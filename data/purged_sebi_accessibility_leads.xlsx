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gati_c19\Downloads\"/>
    </mc:Choice>
  </mc:AlternateContent>
  <xr:revisionPtr revIDLastSave="0" documentId="13_ncr:1_{13274114-9DB8-4ABE-8F30-F1BDA184178D}" xr6:coauthVersionLast="47" xr6:coauthVersionMax="47" xr10:uidLastSave="{00000000-0000-0000-0000-000000000000}"/>
  <bookViews>
    <workbookView xWindow="-98" yWindow="-98" windowWidth="24196" windowHeight="14476" tabRatio="500" xr2:uid="{00000000-000D-0000-FFFF-FFFF00000000}"/>
  </bookViews>
  <sheets>
    <sheet name="Qualified Leads" sheetId="1" r:id="rId1"/>
    <sheet name="Need Manual Review" sheetId="2" r:id="rId2"/>
    <sheet name="Excluded Leads" sheetId="3" r:id="rId3"/>
    <sheet name="Summary" sheetId="4" r:id="rId4"/>
  </sheets>
  <definedNames>
    <definedName name="_xlnm._FilterDatabase" localSheetId="2" hidden="1">'Excluded Leads'!$A$1:$AG$1457</definedName>
    <definedName name="_xlnm._FilterDatabase" localSheetId="1" hidden="1">'Need Manual Review'!$A$1:$AG$568</definedName>
    <definedName name="_xlnm._FilterDatabase" localSheetId="0" hidden="1">'Qualified Leads'!$A$1:$AM$1613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8" i="4" l="1"/>
  <c r="B37" i="4"/>
  <c r="B36" i="4"/>
  <c r="B35" i="4"/>
  <c r="B34" i="4"/>
  <c r="B33" i="4"/>
  <c r="B30" i="4"/>
  <c r="B29" i="4"/>
  <c r="B28" i="4"/>
  <c r="B27" i="4"/>
  <c r="B24" i="4"/>
  <c r="B23" i="4"/>
  <c r="B22" i="4"/>
  <c r="B19" i="4"/>
  <c r="B18" i="4"/>
  <c r="B17" i="4"/>
  <c r="B16" i="4"/>
  <c r="B13" i="4"/>
  <c r="B12" i="4"/>
  <c r="B11" i="4"/>
  <c r="B8" i="4"/>
  <c r="B7" i="4"/>
  <c r="B6" i="4"/>
  <c r="B3" i="4"/>
</calcChain>
</file>

<file path=xl/sharedStrings.xml><?xml version="1.0" encoding="utf-8"?>
<sst xmlns="http://schemas.openxmlformats.org/spreadsheetml/2006/main" count="88813" uniqueCount="28008">
  <si>
    <t>Name</t>
  </si>
  <si>
    <t>Registration No.</t>
  </si>
  <si>
    <t>Contact Person</t>
  </si>
  <si>
    <t>Registered Office Address</t>
  </si>
  <si>
    <t>Registered Office Email-Id</t>
  </si>
  <si>
    <t>Registered Office Telephone</t>
  </si>
  <si>
    <t>Registered Office Fax</t>
  </si>
  <si>
    <t>Registered Office City</t>
  </si>
  <si>
    <t>Registered Office State</t>
  </si>
  <si>
    <t>Registered Office Pincode</t>
  </si>
  <si>
    <t>Correspondence Address</t>
  </si>
  <si>
    <t>Correspondence Email-Id</t>
  </si>
  <si>
    <t>Correspondence Telephone</t>
  </si>
  <si>
    <t>Correspondence Fax</t>
  </si>
  <si>
    <t>Correspondence City</t>
  </si>
  <si>
    <t>Correspondence State</t>
  </si>
  <si>
    <t>Correspondence Pincode</t>
  </si>
  <si>
    <t>Validity From</t>
  </si>
  <si>
    <t>Validity To</t>
  </si>
  <si>
    <t>Country</t>
  </si>
  <si>
    <t>Lead Type</t>
  </si>
  <si>
    <t>Multi-Registered</t>
  </si>
  <si>
    <t>source_category</t>
  </si>
  <si>
    <t>email_domain</t>
  </si>
  <si>
    <t>email_type</t>
  </si>
  <si>
    <t>entity_type</t>
  </si>
  <si>
    <t>data_completeness_score</t>
  </si>
  <si>
    <t>lead_priority_score</t>
  </si>
  <si>
    <t>lead_bucket</t>
  </si>
  <si>
    <t>duplicate_group_key</t>
  </si>
  <si>
    <t>exclusion_reason</t>
  </si>
  <si>
    <t>review_reason</t>
  </si>
  <si>
    <t>recommended_next_step</t>
  </si>
  <si>
    <t>UNIFI CAPITAL PRIVATE LIMITED</t>
  </si>
  <si>
    <t>INP000000613</t>
  </si>
  <si>
    <t>Anu Kaimal</t>
  </si>
  <si>
    <t>NO 11, KAKANI TOWERS,, 15 KHADER NAWAZ KHAN RD,</t>
  </si>
  <si>
    <t>compliance@unificap.com</t>
  </si>
  <si>
    <t>9109633512464</t>
  </si>
  <si>
    <t>CHENNAI</t>
  </si>
  <si>
    <t>TAMIL NADU</t>
  </si>
  <si>
    <t>600006</t>
  </si>
  <si>
    <t>No11 Kakani Towers 15 Khader Nawaz Khan Road Nungambakkam Chennai 600006</t>
  </si>
  <si>
    <t>Mar 01, 2017</t>
  </si>
  <si>
    <t>Perpetual</t>
  </si>
  <si>
    <t>Portfolio Manager</t>
  </si>
  <si>
    <t>No</t>
  </si>
  <si>
    <t>unificap.com</t>
  </si>
  <si>
    <t>corporate_domain</t>
  </si>
  <si>
    <t>company_firm</t>
  </si>
  <si>
    <t>A - Contact First</t>
  </si>
  <si>
    <t>DOMAIN::unificap.com</t>
  </si>
  <si>
    <t>Find/verify website, run accessibility scan, then outreach</t>
  </si>
  <si>
    <t>WAY2WEALTH  BROKERS PRIVATE LTD.</t>
  </si>
  <si>
    <t>INP000000829</t>
  </si>
  <si>
    <t>Sandhya Sandhya</t>
  </si>
  <si>
    <t>RUKMINI TOWERS, 3RD and 4TH FLOOR,, NO. 3 1, PLATFORM ROAD,SHESHADRIPURAM,</t>
  </si>
  <si>
    <t>sandhya@way2wealth.com</t>
  </si>
  <si>
    <t>9108043676869</t>
  </si>
  <si>
    <t>BANGALORE</t>
  </si>
  <si>
    <t>KARNATAKA</t>
  </si>
  <si>
    <t>560020</t>
  </si>
  <si>
    <t>3rd Floor Rukmini Towers 3 bar 1 , Sheshadripuram Bengaluru 560 020</t>
  </si>
  <si>
    <t>Jun 16, 2015</t>
  </si>
  <si>
    <t>way2wealth.com</t>
  </si>
  <si>
    <t>DOMAIN::way2wealth.com</t>
  </si>
  <si>
    <t>TRUST INVESTMENT ADVISORS PVT. LTD.</t>
  </si>
  <si>
    <t>INP000001843</t>
  </si>
  <si>
    <t>Aayushi Mulasi</t>
  </si>
  <si>
    <t>109 by 110, FIRST FLOOR, BALARAMA PREMISES CO OP SOC LTD, VILLAGE PARIGKHARI, BANDRA KURLA COMPLEX, BANDRA E</t>
  </si>
  <si>
    <t>co.pms@trustgroup.in</t>
  </si>
  <si>
    <t>9102242245053</t>
  </si>
  <si>
    <t>MUMBAI</t>
  </si>
  <si>
    <t>MAHARASHTRA</t>
  </si>
  <si>
    <t>400051</t>
  </si>
  <si>
    <t>CORPORATE OFFICE NAMAN CENTRE 1101 1102, 11TH FLOOR G BLOCK C 31 BANDRA KURLA COMPLEX BANDRA EAST</t>
  </si>
  <si>
    <t>Oct 01, 2015</t>
  </si>
  <si>
    <t>trustgroup.in</t>
  </si>
  <si>
    <t>DOMAIN::trustgroup.in</t>
  </si>
  <si>
    <t>GLOBE CAPITAL MARKET LTD.</t>
  </si>
  <si>
    <t>INP000002361</t>
  </si>
  <si>
    <t>Gautam Gupta</t>
  </si>
  <si>
    <t>609, Ansal Bhawan, 16 K.G. Marg, Connaught Place</t>
  </si>
  <si>
    <t>gautamgupta@globecapital.com</t>
  </si>
  <si>
    <t>913041230412345</t>
  </si>
  <si>
    <t>NEW DELHI</t>
  </si>
  <si>
    <t>NATIONAL CAPITAL TERRITORY OF DELHI</t>
  </si>
  <si>
    <t>110001</t>
  </si>
  <si>
    <t>Oct 21, 2016</t>
  </si>
  <si>
    <t>globecapital.com</t>
  </si>
  <si>
    <t>DOMAIN::globecapital.com</t>
  </si>
  <si>
    <t>ALFACCURATE ADVISORS PVT. LTD.</t>
  </si>
  <si>
    <t>INP000003419</t>
  </si>
  <si>
    <t>Bhushan Koli</t>
  </si>
  <si>
    <t>503, 5th Floor, B Wing Naman Midtown, Senapati Bapat Marg, Elphinstone Road</t>
  </si>
  <si>
    <t>bhushankoli@alfaccurate.com</t>
  </si>
  <si>
    <t>9122042360300</t>
  </si>
  <si>
    <t>9122042360333</t>
  </si>
  <si>
    <t>400013</t>
  </si>
  <si>
    <t>Sep 22, 2015</t>
  </si>
  <si>
    <t>alfaccurate.com</t>
  </si>
  <si>
    <t>DOMAIN::alfaccurate.com</t>
  </si>
  <si>
    <t>RIGHT HORIZONS PORTFOLIO MANAGEMENT PRIVATE LIMITED</t>
  </si>
  <si>
    <t>INP000004359</t>
  </si>
  <si>
    <t>Sandeep Goyal</t>
  </si>
  <si>
    <t>No 6 2nd Main Road Aerekere, Bannerghatta Road</t>
  </si>
  <si>
    <t>skg@righthorizons.com</t>
  </si>
  <si>
    <t>910808050593005</t>
  </si>
  <si>
    <t>560076</t>
  </si>
  <si>
    <t>No 6 2nd Main Road Arekere, Bannerghatta Road</t>
  </si>
  <si>
    <t>Aug 06, 2015</t>
  </si>
  <si>
    <t>righthorizons.com</t>
  </si>
  <si>
    <t>DOMAIN::righthorizons.com</t>
  </si>
  <si>
    <t>EMKAY INVESTMENT MANAGERS LIMITED</t>
  </si>
  <si>
    <t>INP000004458</t>
  </si>
  <si>
    <t>Arvind Tankkar</t>
  </si>
  <si>
    <t>The Ruby, 7th Floor,, Senapati Bapat Marg, Dadar W,</t>
  </si>
  <si>
    <t>compliance@emkayglobal.com</t>
  </si>
  <si>
    <t>9102266299299</t>
  </si>
  <si>
    <t>400028</t>
  </si>
  <si>
    <t>C 6, Ground Floor, Paragon Center, P.B. Marg, Opp. Century Mills, Worli,</t>
  </si>
  <si>
    <t>Mar 16, 2015</t>
  </si>
  <si>
    <t>emkayglobal.com</t>
  </si>
  <si>
    <t>DOMAIN::emkayglobal.com</t>
  </si>
  <si>
    <t>360 ONE Asset Management Limited</t>
  </si>
  <si>
    <t>INP000004565</t>
  </si>
  <si>
    <t>Chinmayi Wagle</t>
  </si>
  <si>
    <t>6th Floor, IIFL Centre, Kamala City,, Senapati Bapat Marg, Lower Parel,</t>
  </si>
  <si>
    <t>pmscompliance@360.one</t>
  </si>
  <si>
    <t>9102248765496</t>
  </si>
  <si>
    <t>IIFL Centre, Kamala City, Senapati Bapat Marg, Lower Parel,</t>
  </si>
  <si>
    <t>Sep 25, 2014</t>
  </si>
  <si>
    <t>360.one</t>
  </si>
  <si>
    <t>DOMAIN::360.one</t>
  </si>
  <si>
    <t>MO Alternate Investment Advisors Private Limited</t>
  </si>
  <si>
    <t>INP000004920</t>
  </si>
  <si>
    <t>Naveen Gupta</t>
  </si>
  <si>
    <t>Motilal Oswal Tower, Rahimtullah Sayani Road, Opposite Parel ST Depot, Prabhadevi, Mumbai</t>
  </si>
  <si>
    <t>compliance.moalts@motilaloswal.com</t>
  </si>
  <si>
    <t>91227199757083948</t>
  </si>
  <si>
    <t>400025</t>
  </si>
  <si>
    <t>10th Floor Motilal Oswal Tower Jn. of Gokhale Road, and Sayani Road Prabhadevi</t>
  </si>
  <si>
    <t>Nov 17, 2015</t>
  </si>
  <si>
    <t>motilaloswal.com</t>
  </si>
  <si>
    <t>DOMAIN::motilaloswal.com</t>
  </si>
  <si>
    <t>Buglerock Capital Private Limited</t>
  </si>
  <si>
    <t>INP000005430</t>
  </si>
  <si>
    <t>Bharat Sharda</t>
  </si>
  <si>
    <t>Prestige Takt, 1st Floor No 23, Kasturba Road Cross, Mahatma Gandhi Road Bangalore North Bangalore</t>
  </si>
  <si>
    <t>compliance@buglerock.asia</t>
  </si>
  <si>
    <t>9102269251000</t>
  </si>
  <si>
    <t>560001</t>
  </si>
  <si>
    <t>One World Center, Tower 2, Office No 802, 8th Floor, Senapati Bapat Marg, Elphinstone Road West</t>
  </si>
  <si>
    <t>Oct 09, 2024</t>
  </si>
  <si>
    <t>buglerock.asia</t>
  </si>
  <si>
    <t>DOMAIN::buglerock.asia</t>
  </si>
  <si>
    <t>RENAISSANCE INVESTMENT MANAGERS PRIVATE LIMITED</t>
  </si>
  <si>
    <t>INP000005455</t>
  </si>
  <si>
    <t>Meghana Kashte</t>
  </si>
  <si>
    <t>Office No. 710, 7th Floor, C Wing,  Mittal Commercia Premises CHS Ltd, Off. M.V. Road. Near Mittal Estate, Marol, Andheri East</t>
  </si>
  <si>
    <t>compliance@renaissanceinvest.in</t>
  </si>
  <si>
    <t>9102249711561</t>
  </si>
  <si>
    <t>400059</t>
  </si>
  <si>
    <t>C 710,7th Floor, Mittal Commercia Premises CHS Ltd , Off. M.V. Road, Near Mittal Estate, Andheri</t>
  </si>
  <si>
    <t>May 30, 2017</t>
  </si>
  <si>
    <t>renaissanceinvest.in</t>
  </si>
  <si>
    <t>DOMAIN::renaissanceinvest.in</t>
  </si>
  <si>
    <t>EUREKA PORTFOLIO MANAGEMENT SERVICES PVT LTD</t>
  </si>
  <si>
    <t>INP000005740</t>
  </si>
  <si>
    <t>VIVEK KHATOR</t>
  </si>
  <si>
    <t>DN 51 Merlin Infinite 11th Floor, Salt Lake Sector V</t>
  </si>
  <si>
    <t>PMS@EUREKASEC.COM</t>
  </si>
  <si>
    <t>9103366280000</t>
  </si>
  <si>
    <t>9103322105184</t>
  </si>
  <si>
    <t>KOLKATA</t>
  </si>
  <si>
    <t>WEST BENGAL</t>
  </si>
  <si>
    <t>700091</t>
  </si>
  <si>
    <t>DN  51 Merlin Infinite 11th Floor, Salt Lake Sector V</t>
  </si>
  <si>
    <t>Jul 19, 2017</t>
  </si>
  <si>
    <t>eurekasec.com</t>
  </si>
  <si>
    <t>DOMAIN::eurekasec.com</t>
  </si>
  <si>
    <t>SYKES &amp; RAY EQUITIES INDIA LIMITED</t>
  </si>
  <si>
    <t>INP000005795</t>
  </si>
  <si>
    <t>Sidhant Prabhu</t>
  </si>
  <si>
    <t>3rd Floor, CAMA Building, , Dalal Street, Fort</t>
  </si>
  <si>
    <t>sidhant@sre.co.in</t>
  </si>
  <si>
    <t>9102261937408</t>
  </si>
  <si>
    <t>400001</t>
  </si>
  <si>
    <t>Aug 11, 2017</t>
  </si>
  <si>
    <t>sre.co.in</t>
  </si>
  <si>
    <t>DOMAIN::sre.co.in</t>
  </si>
  <si>
    <t>Asit C Mehta Investment Interrmediates Limited</t>
  </si>
  <si>
    <t>INP000005801</t>
  </si>
  <si>
    <t>Jaideep Vaidya</t>
  </si>
  <si>
    <t>PANTOMATH NUCLEUS HOUSE, SAKI VIHAR ROAD ANDHERI E</t>
  </si>
  <si>
    <t>complianceofficer@acm.co.in</t>
  </si>
  <si>
    <t>02202228583333</t>
  </si>
  <si>
    <t>400072</t>
  </si>
  <si>
    <t>May 29, 2024</t>
  </si>
  <si>
    <t>Yes</t>
  </si>
  <si>
    <t>acm.co.in</t>
  </si>
  <si>
    <t>DOMAIN::acm.co.in</t>
  </si>
  <si>
    <t>360 ONE PORTFOLIO MANAGERS LIMITED</t>
  </si>
  <si>
    <t>INP000005874</t>
  </si>
  <si>
    <t>Purva Joshi</t>
  </si>
  <si>
    <t>IIFL Centre, Kamala City, Senapati Bapat Marg, Lower Parel West</t>
  </si>
  <si>
    <t>regcompliance@iiflw.com</t>
  </si>
  <si>
    <t>Nov 28, 2017</t>
  </si>
  <si>
    <t>iiflw.com</t>
  </si>
  <si>
    <t>DOMAIN::iiflw.com</t>
  </si>
  <si>
    <t>GREEN PORTFOLIO PRIVATE LIMITED</t>
  </si>
  <si>
    <t>INP000006022</t>
  </si>
  <si>
    <t>Tamana Mahnot</t>
  </si>
  <si>
    <t>Unit No. 207, 2nd Floor, JMD Empire Square, Mehrauli Gurgaon Road, A Block, DLF Phase - I, Sector 28, Sikanderpur Ghosi</t>
  </si>
  <si>
    <t>cs@greenportfolio.co</t>
  </si>
  <si>
    <t>0919782027569</t>
  </si>
  <si>
    <t>GURUGRAM</t>
  </si>
  <si>
    <t>HARYANA</t>
  </si>
  <si>
    <t>122002</t>
  </si>
  <si>
    <t>Farm No. 5, 1645, Kanawani Village, Indirapuram, Ghaziabad</t>
  </si>
  <si>
    <t>GHAZIABAD</t>
  </si>
  <si>
    <t>UTTAR PRADESH</t>
  </si>
  <si>
    <t>201014</t>
  </si>
  <si>
    <t>Jun 11, 2018</t>
  </si>
  <si>
    <t>greenportfolio.co</t>
  </si>
  <si>
    <t>DOMAIN::greenportfolio.co</t>
  </si>
  <si>
    <t>Fort Capital Investment Advisory Private Limited</t>
  </si>
  <si>
    <t>INP000006031</t>
  </si>
  <si>
    <t>NIDHI KAJI</t>
  </si>
  <si>
    <t>304, 3rd Floor, Hubtown Solaris,, N. S. Phadke Marg, Near Flyover Bridge, Andheri East,</t>
  </si>
  <si>
    <t>compliance@fortcapital.in</t>
  </si>
  <si>
    <t>9102269973600</t>
  </si>
  <si>
    <t>400069</t>
  </si>
  <si>
    <t>304, 3rd Floor, Hubtown Solaris, N. S. Phadke Marg, Near Flyover Bridge, Andheri East,</t>
  </si>
  <si>
    <t>Jun 13, 2018</t>
  </si>
  <si>
    <t>fortcapital.in</t>
  </si>
  <si>
    <t>DOMAIN::fortcapital.in</t>
  </si>
  <si>
    <t>Credent Asset Management Services Private Limited</t>
  </si>
  <si>
    <t>INP000006101</t>
  </si>
  <si>
    <t>Preeti Sethi</t>
  </si>
  <si>
    <t>306, B2, Shubham Centre, Cardinal Gracious Road, Chakala, Andheri East</t>
  </si>
  <si>
    <t>compliance@credentglobal.com</t>
  </si>
  <si>
    <t>9102268452001</t>
  </si>
  <si>
    <t>400099</t>
  </si>
  <si>
    <t>Unit No. 609, 6th Floor, C Wing, One BKC, G Block, Bandra Kurla Complex, Bandra East</t>
  </si>
  <si>
    <t>Dec 18, 2023</t>
  </si>
  <si>
    <t>credentglobal.com</t>
  </si>
  <si>
    <t>DOMAIN::credentglobal.com</t>
  </si>
  <si>
    <t>Spark Asia Impact Managers Private Limited</t>
  </si>
  <si>
    <t>INP000006235</t>
  </si>
  <si>
    <t>Amrita Pillai</t>
  </si>
  <si>
    <t>No. 1, 3rd Floor, First Crescent Park Road, Gandhi Nagar, Adyar</t>
  </si>
  <si>
    <t>eam.compliance@sparkcapital.in</t>
  </si>
  <si>
    <t>9104469250000</t>
  </si>
  <si>
    <t>600020</t>
  </si>
  <si>
    <t>No. 99, 2nd Floor, Senans Squaree, Santhome High Road, Santhome</t>
  </si>
  <si>
    <t>600028</t>
  </si>
  <si>
    <t>Nov 14, 2018</t>
  </si>
  <si>
    <t>sparkcapital.in</t>
  </si>
  <si>
    <t>DOMAIN::sparkcapital.in</t>
  </si>
  <si>
    <t>Entrust Family Office Investment Advisors Private Limited</t>
  </si>
  <si>
    <t>INP000006314</t>
  </si>
  <si>
    <t>Pradeep A N</t>
  </si>
  <si>
    <t>No.24, 4th Floor, 1st Cross, Magrath Road,</t>
  </si>
  <si>
    <t>compliance@entrust.co.in</t>
  </si>
  <si>
    <t>9108041479777</t>
  </si>
  <si>
    <t>560025</t>
  </si>
  <si>
    <t>No.24,4th Floor, 1st Cross, Magrath Road</t>
  </si>
  <si>
    <t>Dec 11, 2018</t>
  </si>
  <si>
    <t>entrust.co.in</t>
  </si>
  <si>
    <t>DOMAIN::entrust.co.in</t>
  </si>
  <si>
    <t>CONCEPT INVESTWELL PRIVATE LIMITED</t>
  </si>
  <si>
    <t>INP000006323</t>
  </si>
  <si>
    <t>NIRAV DESAI</t>
  </si>
  <si>
    <t>10 A UNION HEIGHTS , MAHARANA PRATAP ROAD, RAHUL RAJ MALL LANE,DUMAS ROAD</t>
  </si>
  <si>
    <t>compliance@conceptinvestwell.com</t>
  </si>
  <si>
    <t>9102612206026</t>
  </si>
  <si>
    <t>SURAT</t>
  </si>
  <si>
    <t>GUJARAT</t>
  </si>
  <si>
    <t>395007</t>
  </si>
  <si>
    <t>10 A UNION HEIGHTS, MAHARANA PRATAP ROAD, RAHUL RAJJ MALL,</t>
  </si>
  <si>
    <t>Dec 13, 2018</t>
  </si>
  <si>
    <t>conceptinvestwell.com</t>
  </si>
  <si>
    <t>DOMAIN::conceptinvestwell.com</t>
  </si>
  <si>
    <t>WEALTH FIRST PORTFOLIO MANAGERS LIMITED</t>
  </si>
  <si>
    <t>INP000006332</t>
  </si>
  <si>
    <t>NIKHIL JAIN</t>
  </si>
  <si>
    <t>CAPITOL HOUSE, 10 PARAS-II, NEAR CAMPUS CORNER,, PRAHALADNAGAR, ANANDNAGAR, ABD 380015</t>
  </si>
  <si>
    <t>nikhil@wealthfirst.biz</t>
  </si>
  <si>
    <t>07907940240000</t>
  </si>
  <si>
    <t>AHMEDABAD</t>
  </si>
  <si>
    <t>380015</t>
  </si>
  <si>
    <t>CAPITOL HOUSE, 10 PARAS-II, NEAR CAMPUS CORNER, PRAHALADNAGAR, ANANDNAGAR, ABD 380015</t>
  </si>
  <si>
    <t>Dec 21, 2018</t>
  </si>
  <si>
    <t>wealthfirst.biz</t>
  </si>
  <si>
    <t>DOMAIN::wealthfirst.biz</t>
  </si>
  <si>
    <t>M/S.ASTEYA INVESTMENT MANAGERS LLP,</t>
  </si>
  <si>
    <t>INP000006536</t>
  </si>
  <si>
    <t>Poonam Rawal</t>
  </si>
  <si>
    <t>Office no.110, 1st floor, Keshava Building, Plot No C-5,, E Block, Bandra Kurla Complex, Bandra East</t>
  </si>
  <si>
    <t>poonam.rawal@asteyaglobal.com</t>
  </si>
  <si>
    <t>9102226514252</t>
  </si>
  <si>
    <t>Office no.110, 1st floor, Keshava Building, Plot No C-5, E Block, Bandra Kurla Complex, Bandra East</t>
  </si>
  <si>
    <t>Apr 01, 2019</t>
  </si>
  <si>
    <t>asteyaglobal.com</t>
  </si>
  <si>
    <t>DOMAIN::asteyaglobal.com</t>
  </si>
  <si>
    <t>COMPOUND EVERYDAY CAPITAL MANAGEMENT LLP</t>
  </si>
  <si>
    <t>INP000006633</t>
  </si>
  <si>
    <t>Arpit Parmar</t>
  </si>
  <si>
    <t>Sakar Bhawan, 2nd Floor, ATM Side, 21/4 Ratlam Kothi Main Road, Above Federal Bank</t>
  </si>
  <si>
    <t>arpit.parmar@cedcapital.in</t>
  </si>
  <si>
    <t>9107312510070</t>
  </si>
  <si>
    <t>INDORE</t>
  </si>
  <si>
    <t>MADHYA PRADESH</t>
  </si>
  <si>
    <t>452001</t>
  </si>
  <si>
    <t>Apr 11, 2019</t>
  </si>
  <si>
    <t>cedcapital.in</t>
  </si>
  <si>
    <t>DOMAIN::cedcapital.in</t>
  </si>
  <si>
    <t>First Global Finance Pvt Ltd</t>
  </si>
  <si>
    <t>INP000006697</t>
  </si>
  <si>
    <t>Mahima Vyas</t>
  </si>
  <si>
    <t>1st Floor, Ratnam Square, Plot No. 38 39, Sector 19A,  Sector 19A, Vashi,</t>
  </si>
  <si>
    <t>compliance@firstglobal.in</t>
  </si>
  <si>
    <t>91222261166525</t>
  </si>
  <si>
    <t>NAVI MUMBAI</t>
  </si>
  <si>
    <t>Ratnam Square, Plot No. 38 39, Sector 19A, Vashi</t>
  </si>
  <si>
    <t>400703</t>
  </si>
  <si>
    <t>Apr 23, 2019</t>
  </si>
  <si>
    <t>firstglobal.in</t>
  </si>
  <si>
    <t>DOMAIN::firstglobal.in</t>
  </si>
  <si>
    <t>SMC Global Securities Limited</t>
  </si>
  <si>
    <t>INP000006703</t>
  </si>
  <si>
    <t>Vikas Sethi</t>
  </si>
  <si>
    <t>11/6B, Shanti Chambers Pusa Road, New Delhi</t>
  </si>
  <si>
    <t>vikassethi@smcindiaonline.com</t>
  </si>
  <si>
    <t>91111130111000</t>
  </si>
  <si>
    <t>110005</t>
  </si>
  <si>
    <t>Apr 26, 2019</t>
  </si>
  <si>
    <t>smcindiaonline.com</t>
  </si>
  <si>
    <t>DOMAIN::smcindiaonline.com</t>
  </si>
  <si>
    <t>TURTLE WEALTH MANAGEMENT PVT. LTD.</t>
  </si>
  <si>
    <t>INP000006758</t>
  </si>
  <si>
    <t>Vibhati Arya</t>
  </si>
  <si>
    <t>1001 Rajhans Montessa, B/S Le Meridien Hotel , Dumas Road, Magdalla</t>
  </si>
  <si>
    <t>vibhati@turtlewealth.in</t>
  </si>
  <si>
    <t>91919925238849</t>
  </si>
  <si>
    <t>May 08, 2019</t>
  </si>
  <si>
    <t>turtlewealth.in</t>
  </si>
  <si>
    <t>DOMAIN::turtlewealth.in</t>
  </si>
  <si>
    <t>JAINAM BROKING LIMITED</t>
  </si>
  <si>
    <t>INP000006785</t>
  </si>
  <si>
    <t>Vidhi  Parikh</t>
  </si>
  <si>
    <t>JAINAM HOUSE, NEW PASSPORT OFFICE ROAD,, PIPLOD</t>
  </si>
  <si>
    <t>vidhi.parikh@jainam.in</t>
  </si>
  <si>
    <t>09102616725556</t>
  </si>
  <si>
    <t>JAINAM HOUSE, NEW PASSPORT OFFICE ROAD, PIPLOD</t>
  </si>
  <si>
    <t>Jun 27, 2019</t>
  </si>
  <si>
    <t>jainam.in</t>
  </si>
  <si>
    <t>DOMAIN::jainam.in</t>
  </si>
  <si>
    <t>Altlnvest Capital Advisors Private Limited</t>
  </si>
  <si>
    <t>INP000006800</t>
  </si>
  <si>
    <t>Hashim Khan</t>
  </si>
  <si>
    <t>10th Floor, SKAV Seethalakshmi, 21/22, Kasturba Road</t>
  </si>
  <si>
    <t>invest@propsharecapital.com</t>
  </si>
  <si>
    <t>9108041692999</t>
  </si>
  <si>
    <t>Jun 28, 2019</t>
  </si>
  <si>
    <t>propsharecapital.com</t>
  </si>
  <si>
    <t>DOMAIN::propsharecapital.com</t>
  </si>
  <si>
    <t>Julius Baer Wealth Advisors India Private Limited</t>
  </si>
  <si>
    <t>INP000007012</t>
  </si>
  <si>
    <t>Altimus, 2501, 25th level,, Pandurang Budhkar Marg, Worli</t>
  </si>
  <si>
    <t>purva.joshi@juliusbaer.com</t>
  </si>
  <si>
    <t>9102261760184</t>
  </si>
  <si>
    <t>400018</t>
  </si>
  <si>
    <t>Altimus, 2501, 25th level, Pandurang Budhkar Marg, Worli</t>
  </si>
  <si>
    <t>Jul 14, 2020</t>
  </si>
  <si>
    <t>juliusbaer.com</t>
  </si>
  <si>
    <t>DOMAIN::juliusbaer.com</t>
  </si>
  <si>
    <t>Purnartha Investment Advisers Pvt.Ltd.</t>
  </si>
  <si>
    <t>INP000007021</t>
  </si>
  <si>
    <t>AMOL DEO</t>
  </si>
  <si>
    <t>Rachna Bungalow Dr Kelkar Road, Off Karve Road Erandwane</t>
  </si>
  <si>
    <t>amol.d@purnartha.com</t>
  </si>
  <si>
    <t>9102049127100</t>
  </si>
  <si>
    <t>PUNE</t>
  </si>
  <si>
    <t>411004</t>
  </si>
  <si>
    <t>Jul 23, 2020</t>
  </si>
  <si>
    <t>purnartha.com</t>
  </si>
  <si>
    <t>DOMAIN::purnartha.com</t>
  </si>
  <si>
    <t>EQUIRUS WEALTH PRIVATE LIMITED</t>
  </si>
  <si>
    <t>INP000007076</t>
  </si>
  <si>
    <t>JINESHA MEHTA</t>
  </si>
  <si>
    <t>A1303MarathonFuturexMafatlalMillsCompound , NMJOSHIMARGLOWERPAREL</t>
  </si>
  <si>
    <t>equirus_compliance@equirus.com</t>
  </si>
  <si>
    <t>9107961909586</t>
  </si>
  <si>
    <t>3RD FLOOR HOUSE NO 9 MAGNET CORPORATE PARK, B/H INTAS SOLA BRIDGE S G HIGHWAY THALTEJ</t>
  </si>
  <si>
    <t>380054</t>
  </si>
  <si>
    <t>Oct 06, 2020</t>
  </si>
  <si>
    <t>equirus.com</t>
  </si>
  <si>
    <t>DOMAIN::equirus.com</t>
  </si>
  <si>
    <t>CKREDENCE WEALTH MANAGEMENT PRIVATE LIMITED</t>
  </si>
  <si>
    <t>INP000007164</t>
  </si>
  <si>
    <t>PRAKASHKUMAR MAVANI</t>
  </si>
  <si>
    <t>901,902,903, International Wealth Center, VIP Road, Vesu</t>
  </si>
  <si>
    <t>PRAKASH.MAVANI@CKREDENCEWEALTH.COM</t>
  </si>
  <si>
    <t>9102614084406</t>
  </si>
  <si>
    <t>Feb 26, 2021</t>
  </si>
  <si>
    <t>ckredencewealth.com</t>
  </si>
  <si>
    <t>DOMAIN::ckredencewealth.com</t>
  </si>
  <si>
    <t>Arthya Wealth and Investments Pvt Ltd</t>
  </si>
  <si>
    <t>INP000007225</t>
  </si>
  <si>
    <t>Nasreen Qureshi</t>
  </si>
  <si>
    <t>712 THE SUMMIT BUSINESS BAY, 7th Floor, Near Western Express Highway, Off Andheri Kurla Road, Andheri East</t>
  </si>
  <si>
    <t>nasreen@arthyawealth.com</t>
  </si>
  <si>
    <t>910009819793096</t>
  </si>
  <si>
    <t>Jun 09, 2021</t>
  </si>
  <si>
    <t>arthyawealth.com</t>
  </si>
  <si>
    <t>DOMAIN::arthyawealth.com</t>
  </si>
  <si>
    <t>Pioneer Client Associates Private Limited</t>
  </si>
  <si>
    <t>INP100007231</t>
  </si>
  <si>
    <t>Rakesh Khanna</t>
  </si>
  <si>
    <t>2nd Floor, Block B, Vatika Towers, Golf Course Road,, Sector 54</t>
  </si>
  <si>
    <t>rakeshkhanna@clientassociates.com</t>
  </si>
  <si>
    <t>9112404995400</t>
  </si>
  <si>
    <t>GURGAON</t>
  </si>
  <si>
    <t>2nd Floor, Block B, Vatika Towers, Golf Course Road, Sector 54</t>
  </si>
  <si>
    <t>Jun 29, 2021</t>
  </si>
  <si>
    <t>clientassociates.com</t>
  </si>
  <si>
    <t>DOMAIN::clientassociates.com</t>
  </si>
  <si>
    <t>DEZERV INVESTMENTS PRIVATE LIMITED</t>
  </si>
  <si>
    <t>INP000007377</t>
  </si>
  <si>
    <t>Kavita Khatri</t>
  </si>
  <si>
    <t>Unit No. 301, Trade Centre, Bandra East</t>
  </si>
  <si>
    <t>kavita.khatri@dezerv.in</t>
  </si>
  <si>
    <t>910009167830754</t>
  </si>
  <si>
    <t>Mar 24, 2022</t>
  </si>
  <si>
    <t>dezerv.in</t>
  </si>
  <si>
    <t>DOMAIN::dezerv.in</t>
  </si>
  <si>
    <t>WhiteOak Capital Asset Management Limited</t>
  </si>
  <si>
    <t>INP000007766</t>
  </si>
  <si>
    <t>Prannav Shah</t>
  </si>
  <si>
    <t>Unit No. B4, 6th Floor, Cnergy, Appasaheb Marathe Marg, Prabhadevi</t>
  </si>
  <si>
    <t>prannav.shah@whiteoakinvestors.com</t>
  </si>
  <si>
    <t>00002269463518</t>
  </si>
  <si>
    <t>Jan 13, 2023</t>
  </si>
  <si>
    <t>whiteoakinvestors.com</t>
  </si>
  <si>
    <t>DOMAIN::whiteoakinvestors.com</t>
  </si>
  <si>
    <t>SINCERE SYNDICATION AND CORPORATE SERVICES LLP</t>
  </si>
  <si>
    <t>INP200007803</t>
  </si>
  <si>
    <t>Sudharshan S</t>
  </si>
  <si>
    <t>Adwave Towers, 3rd Floor, Block A,, No.9, South Boag Road, T. Nagar</t>
  </si>
  <si>
    <t>Sudarshan@sinceresyndication.com</t>
  </si>
  <si>
    <t>004445546075</t>
  </si>
  <si>
    <t>600017</t>
  </si>
  <si>
    <t>Adwave Towers, 3rd Floor, Block A, No.9, South Boag Road, T. Nagar</t>
  </si>
  <si>
    <t>Jan 31, 2023</t>
  </si>
  <si>
    <t>sinceresyndication.com</t>
  </si>
  <si>
    <t>DOMAIN::sinceresyndication.com</t>
  </si>
  <si>
    <t>Waterfield Financial and Investment Advisors Private Limited</t>
  </si>
  <si>
    <t>INP000007818</t>
  </si>
  <si>
    <t>Shilpa Dadhich</t>
  </si>
  <si>
    <t>142 Maker Chamber VI , 220 Jamnalal Bajaj Marg Nariman Point</t>
  </si>
  <si>
    <t>shilpa.dadhich@waterfieldadvisors.com</t>
  </si>
  <si>
    <t>000919987538394</t>
  </si>
  <si>
    <t>400021</t>
  </si>
  <si>
    <t>Feb 14, 2023</t>
  </si>
  <si>
    <t>waterfieldadvisors.com</t>
  </si>
  <si>
    <t>DOMAIN::waterfieldadvisors.com</t>
  </si>
  <si>
    <t>ASK Wealth Advisors Private Limited</t>
  </si>
  <si>
    <t>INP000007827</t>
  </si>
  <si>
    <t>Vinita Taparia</t>
  </si>
  <si>
    <t>Birla Aurora, 16 Level, Office Floor 9 , Dr. Annie Besant Road, Worli</t>
  </si>
  <si>
    <t>vinita.taparia@askwealthadvisors.com</t>
  </si>
  <si>
    <t>9102266132887</t>
  </si>
  <si>
    <t>400030</t>
  </si>
  <si>
    <t>One Lodha Place, Unit No. 2803, 2804, 2805, Senpati Bapat Marg, Lower Parel</t>
  </si>
  <si>
    <t>askwealthadvisors.com</t>
  </si>
  <si>
    <t>DOMAIN::askwealthadvisors.com</t>
  </si>
  <si>
    <t>DRCHOKSEY FINSERV PRIVATE LIMITED</t>
  </si>
  <si>
    <t>INP000007906</t>
  </si>
  <si>
    <t>NIRALI SHAH</t>
  </si>
  <si>
    <t>5TH FLOOR ABHISHEK BUILDING BEHIND MONGINIS CAKE FACTORY , OFF NEW LINK ROAD ANDHERI WEST</t>
  </si>
  <si>
    <t>pmscompliance@devenchoksey.com</t>
  </si>
  <si>
    <t>0002266965555</t>
  </si>
  <si>
    <t>400053</t>
  </si>
  <si>
    <t>Mar 13, 2023</t>
  </si>
  <si>
    <t>devenchoksey.com</t>
  </si>
  <si>
    <t>DOMAIN::devenchoksey.com</t>
  </si>
  <si>
    <t>Tamohara Investment Managers Private Limited</t>
  </si>
  <si>
    <t>INP000008020</t>
  </si>
  <si>
    <t>Rajesh Kodnaney</t>
  </si>
  <si>
    <t>1402, Peninsula Park,Off Veera Desai Road, Andheri West</t>
  </si>
  <si>
    <t>rajesh@tamohara.net</t>
  </si>
  <si>
    <t>910229769644474</t>
  </si>
  <si>
    <t>1402,Peninsula Park,Off Veera Desai Road,Andheri West</t>
  </si>
  <si>
    <t>Apr 13, 2023</t>
  </si>
  <si>
    <t>tamohara.net</t>
  </si>
  <si>
    <t>DOMAIN::tamohara.net</t>
  </si>
  <si>
    <t>Swastika Investmart Limited</t>
  </si>
  <si>
    <t>INP000008181</t>
  </si>
  <si>
    <t>Dimple Soni</t>
  </si>
  <si>
    <t>Office No. 104, 1st Floor, KESHAVA Commercial Building, Plot No. C5, E Block, Bandra Kurla Complex, Opp GST Bhavan, Bandra East</t>
  </si>
  <si>
    <t>compliance@swastika.co.in</t>
  </si>
  <si>
    <t>9107316644244</t>
  </si>
  <si>
    <t>48 , Jaora Compound , M.Y. Hospital Road</t>
  </si>
  <si>
    <t>Jul 04, 2023</t>
  </si>
  <si>
    <t>swastika.co.in</t>
  </si>
  <si>
    <t>DOMAIN::swastika.co.in</t>
  </si>
  <si>
    <t>Citrus Advisors Private Limited</t>
  </si>
  <si>
    <t>INP000008206</t>
  </si>
  <si>
    <t>Neel Visaria</t>
  </si>
  <si>
    <t>2B/2, Neptune Apts Chs Ltd, Juhu Tara Road,Santacruz West</t>
  </si>
  <si>
    <t>neel.visaria@citrusadvisors.com</t>
  </si>
  <si>
    <t>910227738604454</t>
  </si>
  <si>
    <t>400049</t>
  </si>
  <si>
    <t>Plot No.116, Sector 21,Kharghar,Near ISKCON Temple, Opp Bhagwati Gardens,Navi Mumbai</t>
  </si>
  <si>
    <t>410210</t>
  </si>
  <si>
    <t>Jul 21, 2023</t>
  </si>
  <si>
    <t>citrusadvisors.com</t>
  </si>
  <si>
    <t>DOMAIN::citrusadvisors.com</t>
  </si>
  <si>
    <t>Aavishkaar Advisors Private Limited</t>
  </si>
  <si>
    <t>INP000008224</t>
  </si>
  <si>
    <t>Shyamkant Joshi</t>
  </si>
  <si>
    <t>Unit no 202, 203, 204, 2nd floor, Naman Centre, G Block, Bandra Kurla Complex, Bandra East</t>
  </si>
  <si>
    <t>accountsavms@aavishkaar.in</t>
  </si>
  <si>
    <t>91222261248900</t>
  </si>
  <si>
    <t>Aug 07, 2023</t>
  </si>
  <si>
    <t>aavishkaar.in</t>
  </si>
  <si>
    <t>DOMAIN::aavishkaar.in</t>
  </si>
  <si>
    <t>Caspian Impact Investment Adviser Private Limited</t>
  </si>
  <si>
    <t>INP000008358</t>
  </si>
  <si>
    <t>Ruchi Mehta</t>
  </si>
  <si>
    <t>Block 4A 4th floor Ventureast Plaza Plot No 40 and 41, Financial District Gachibowli</t>
  </si>
  <si>
    <t>caspiancompliance@caspian.in</t>
  </si>
  <si>
    <t>9104066297100</t>
  </si>
  <si>
    <t>9104066465884</t>
  </si>
  <si>
    <t>HYDERABAD</t>
  </si>
  <si>
    <t>TELANGANA</t>
  </si>
  <si>
    <t>500032</t>
  </si>
  <si>
    <t>Nov 10, 2023</t>
  </si>
  <si>
    <t>caspian.in</t>
  </si>
  <si>
    <t>DOMAIN::caspian.in</t>
  </si>
  <si>
    <t>LGT Wealth India Private Limited</t>
  </si>
  <si>
    <t>INP000008376</t>
  </si>
  <si>
    <t>Prem Choudhary</t>
  </si>
  <si>
    <t>7th Floor, A Block, Shiv Sagar Estate, Worli</t>
  </si>
  <si>
    <t>compliance@lgtindia.in</t>
  </si>
  <si>
    <t>9102250941000</t>
  </si>
  <si>
    <t>Nov 23, 2023</t>
  </si>
  <si>
    <t>lgtindia.in</t>
  </si>
  <si>
    <t>DOMAIN::lgtindia.in</t>
  </si>
  <si>
    <t>InvesQ Investment Managers LLP</t>
  </si>
  <si>
    <t>INP000008507</t>
  </si>
  <si>
    <t>Rohitkumar Gajbhiye</t>
  </si>
  <si>
    <t>S N 135 1 Plot H 2 B 302, Swarnavilas Building Behind Ven Construction Office , Baner Pashan Link Road  Pashan</t>
  </si>
  <si>
    <t>pmsadmin@invesq.in</t>
  </si>
  <si>
    <t>910209881525064</t>
  </si>
  <si>
    <t>411021</t>
  </si>
  <si>
    <t>101 Harmony Opp Mauli Petrol Pump, Baner Road Baner</t>
  </si>
  <si>
    <t>411045</t>
  </si>
  <si>
    <t>Jan 03, 2024</t>
  </si>
  <si>
    <t>invesq.in</t>
  </si>
  <si>
    <t>DOMAIN::invesq.in</t>
  </si>
  <si>
    <t>CX ADVISORS LLP</t>
  </si>
  <si>
    <t>INP000008525</t>
  </si>
  <si>
    <t>Vinayak  Shenvi</t>
  </si>
  <si>
    <t>Atelier Level 1 Suite No 3 Worldmark 2, Aerocity</t>
  </si>
  <si>
    <t>vinayak@cxpartners.in</t>
  </si>
  <si>
    <t>001147640000</t>
  </si>
  <si>
    <t>110037</t>
  </si>
  <si>
    <t>Jan 09, 2024</t>
  </si>
  <si>
    <t>cxpartners.in</t>
  </si>
  <si>
    <t>DOMAIN::cxpartners.in</t>
  </si>
  <si>
    <t>Almondz Financial Services Limited</t>
  </si>
  <si>
    <t>INP000008589</t>
  </si>
  <si>
    <t>Pragati Gholap</t>
  </si>
  <si>
    <t>F-33/3, Okhla Industrial Area, Phase II</t>
  </si>
  <si>
    <t>pragati.gholap@almondz.com</t>
  </si>
  <si>
    <t>9101143500700</t>
  </si>
  <si>
    <t>110020</t>
  </si>
  <si>
    <t>Feb 09, 2024</t>
  </si>
  <si>
    <t>almondz.com</t>
  </si>
  <si>
    <t>DOMAIN::almondz.com</t>
  </si>
  <si>
    <t>Progressive Share Brokers Private Limited</t>
  </si>
  <si>
    <t>INP000008817</t>
  </si>
  <si>
    <t>Neha Oza</t>
  </si>
  <si>
    <t>122, 123,124, 1st Floor, Laxmi Plaza, Laxmi Industrial Estate, New Link Road, Andheri West</t>
  </si>
  <si>
    <t>pms@progressiveshares.com</t>
  </si>
  <si>
    <t>00002240777500</t>
  </si>
  <si>
    <t>Jul 15, 2024</t>
  </si>
  <si>
    <t>progressiveshares.com</t>
  </si>
  <si>
    <t>DOMAIN::progressiveshares.com</t>
  </si>
  <si>
    <t>Equentis Wealth Advisory Services Limited</t>
  </si>
  <si>
    <t>INP000008969</t>
  </si>
  <si>
    <t>Rakesh Gupta</t>
  </si>
  <si>
    <t>A603, Marathon Futurex, Mafatlal Mills Compound, N M Joshi Marg, Lower Parel E, Mumbai</t>
  </si>
  <si>
    <t>pmscompliance@equentis.com</t>
  </si>
  <si>
    <t>00002261013800</t>
  </si>
  <si>
    <t>Sep 09, 2024</t>
  </si>
  <si>
    <t>equentis.com</t>
  </si>
  <si>
    <t>DOMAIN::equentis.com</t>
  </si>
  <si>
    <t>WAYA FINANCIAL TECHNOLOGIES PRIVATE LIMITED</t>
  </si>
  <si>
    <t>INP000008987</t>
  </si>
  <si>
    <t>Rupesh Patil</t>
  </si>
  <si>
    <t>3602, A Wing, Rustomjee Elanza,, Off Link Road, Malad West,</t>
  </si>
  <si>
    <t>rupesh.patil@thewaya.com</t>
  </si>
  <si>
    <t>00919029832742</t>
  </si>
  <si>
    <t>400064</t>
  </si>
  <si>
    <t>805, DLH Park, S.V Road, Goregaon West</t>
  </si>
  <si>
    <t>400062</t>
  </si>
  <si>
    <t>Sep 10, 2024</t>
  </si>
  <si>
    <t>thewaya.com</t>
  </si>
  <si>
    <t>DOMAIN::thewaya.com</t>
  </si>
  <si>
    <t>PL Asset Management Private Limited</t>
  </si>
  <si>
    <t>INP000009001</t>
  </si>
  <si>
    <t>Akshay Seksaria</t>
  </si>
  <si>
    <t>3rd Floor, Sadhana House, 570, PB Marg</t>
  </si>
  <si>
    <t>pmsdesk@plindia.com</t>
  </si>
  <si>
    <t>9100226632222</t>
  </si>
  <si>
    <t>3rd floor, South Annex, Tower 2, One World Centre, Senapati Bapat Marg, Lower Parel</t>
  </si>
  <si>
    <t>Sep 16, 2024</t>
  </si>
  <si>
    <t>plindia.com</t>
  </si>
  <si>
    <t>DOMAIN::plindia.com</t>
  </si>
  <si>
    <t>Phi Capital Solutions LLP</t>
  </si>
  <si>
    <t>INP000009047</t>
  </si>
  <si>
    <t>P Sivaram</t>
  </si>
  <si>
    <t>LG 1A Siddhartha Chambers Near IIT Gate Kalu Sarai Hauz Khas</t>
  </si>
  <si>
    <t>sp@phicapital.in</t>
  </si>
  <si>
    <t>00919910111649</t>
  </si>
  <si>
    <t>110016</t>
  </si>
  <si>
    <t>C98 Basement  Ground Floor Anand Niketan New Delhi</t>
  </si>
  <si>
    <t>110021</t>
  </si>
  <si>
    <t>Oct 10, 2024</t>
  </si>
  <si>
    <t>phicapital.in</t>
  </si>
  <si>
    <t>DOMAIN::phicapital.in</t>
  </si>
  <si>
    <t>B.N. Rathi Securities Limited</t>
  </si>
  <si>
    <t>INP000009135</t>
  </si>
  <si>
    <t>Gadila Sabitha Reddy</t>
  </si>
  <si>
    <t>6 3 652 IV FLOOR KAUTILYA, AMRUTHA ESTATES SOMAJIGUDA</t>
  </si>
  <si>
    <t>COMPLIANCE@BNRSECURITIES.COM</t>
  </si>
  <si>
    <t>9104040527777</t>
  </si>
  <si>
    <t>500082</t>
  </si>
  <si>
    <t>Dec 18, 2024</t>
  </si>
  <si>
    <t>bnrsecurities.com</t>
  </si>
  <si>
    <t>DOMAIN::bnrsecurities.com</t>
  </si>
  <si>
    <t>BHARAT BHUSHAN EQUITY TRADERS LIMITED</t>
  </si>
  <si>
    <t>INP000009162</t>
  </si>
  <si>
    <t>SHARAD KUMAR</t>
  </si>
  <si>
    <t>503, ROHIT HOUSE, 3 TOLSTOY MARG</t>
  </si>
  <si>
    <t>sharad@bharatbhushan.com</t>
  </si>
  <si>
    <t>9101149800900</t>
  </si>
  <si>
    <t>DELHI</t>
  </si>
  <si>
    <t>204, ROHIT HOUSE, 3 TOLSTOY MARG</t>
  </si>
  <si>
    <t>Jan 06, 2025</t>
  </si>
  <si>
    <t>bharatbhushan.com</t>
  </si>
  <si>
    <t>DOMAIN::bharatbhushan.com</t>
  </si>
  <si>
    <t>Apricus Wealth Investment Managers LLP</t>
  </si>
  <si>
    <t>INP000009302</t>
  </si>
  <si>
    <t>Shantanu Kant</t>
  </si>
  <si>
    <t>FLAT NO 1105, 11th Floor, 1106 SKIPPER HOUSE, 22 FIRE     BRIGADE LANE, BARAKHAMBA, CONNAUGHT PLACE, CENTRAL DELHI</t>
  </si>
  <si>
    <t>operations@apricuswealth.in</t>
  </si>
  <si>
    <t>00919810312124</t>
  </si>
  <si>
    <t>Mar 05, 2025</t>
  </si>
  <si>
    <t>apricuswealth.in</t>
  </si>
  <si>
    <t>DOMAIN::apricuswealth.in</t>
  </si>
  <si>
    <t>ARDEKO ASSET MANAGEMENT PRIVATE LIMITED</t>
  </si>
  <si>
    <t>INP000009384</t>
  </si>
  <si>
    <t>Dwaitin  Dave</t>
  </si>
  <si>
    <t>705, The Ridge, Opp. Novotel, Iscon Char Rasta,</t>
  </si>
  <si>
    <t>dwaitin.dave@ardeko.in</t>
  </si>
  <si>
    <t>00007935721558</t>
  </si>
  <si>
    <t>380060</t>
  </si>
  <si>
    <t>Apr 03, 2025</t>
  </si>
  <si>
    <t>ardeko.in</t>
  </si>
  <si>
    <t>DOMAIN::ardeko.in</t>
  </si>
  <si>
    <t>Wealth India Financial Services Private Limited</t>
  </si>
  <si>
    <t>INP000009393</t>
  </si>
  <si>
    <t>Sarada Priya</t>
  </si>
  <si>
    <t>3rd floor, Indiqube Wave,438 1,, TR Sundaram Avenue, Anna Salai,Chennai</t>
  </si>
  <si>
    <t>s.saradapriya@fundsindia.com</t>
  </si>
  <si>
    <t>04404443443135</t>
  </si>
  <si>
    <t>3rd floor, Indiqube Wave,438 1, TR Sundaram Avenue, Anna Salai,Chennai</t>
  </si>
  <si>
    <t>Apr 04, 2025</t>
  </si>
  <si>
    <t>fundsindia.com</t>
  </si>
  <si>
    <t>DOMAIN::fundsindia.com</t>
  </si>
  <si>
    <t>Vivekam Financial Services Private Limited</t>
  </si>
  <si>
    <t>INP000009481</t>
  </si>
  <si>
    <t>YASHWANT VEMURU</t>
  </si>
  <si>
    <t>Plot No 57, Road No 71, Jubilee Hills</t>
  </si>
  <si>
    <t>info@vivekam.co.in</t>
  </si>
  <si>
    <t>9104023549941</t>
  </si>
  <si>
    <t>500096</t>
  </si>
  <si>
    <t>Jun 05, 2025</t>
  </si>
  <si>
    <t>vivekam.co.in</t>
  </si>
  <si>
    <t>DOMAIN::vivekam.co.in</t>
  </si>
  <si>
    <t>Niveshaay Investment Management Private Limited</t>
  </si>
  <si>
    <t>INP000009506</t>
  </si>
  <si>
    <t>Vidhya Sanwal</t>
  </si>
  <si>
    <t>Office No. 610 6th Floor, SNS Platina Vesu</t>
  </si>
  <si>
    <t>vidhya.sanwal@niveshaay.com</t>
  </si>
  <si>
    <t>9107096078870</t>
  </si>
  <si>
    <t>Jun 23, 2025</t>
  </si>
  <si>
    <t>niveshaay.com</t>
  </si>
  <si>
    <t>DOMAIN::niveshaay.com</t>
  </si>
  <si>
    <t>Omniscience Capital Advisors Private Limited</t>
  </si>
  <si>
    <t>INP000009597</t>
  </si>
  <si>
    <t>Chanchal Manglunia</t>
  </si>
  <si>
    <t>Awfis, 1st Floor, B Wing, Parinee Crescenzo,, G Block Bandra Kurla Complex Ground Bandra East Mumbai</t>
  </si>
  <si>
    <t>chanchal.manglunia@omnisciencecapital.com</t>
  </si>
  <si>
    <t>0000000000000</t>
  </si>
  <si>
    <t>Awfis, 1st Floor, B Wing, Parinee Crescenzo, G Block Bandra Kurla Complex Ground Bandra East Mumbai</t>
  </si>
  <si>
    <t>Aug 18, 2025</t>
  </si>
  <si>
    <t>omnisciencecapital.com</t>
  </si>
  <si>
    <t>DOMAIN::omnisciencecapital.com</t>
  </si>
  <si>
    <t>CREST CAPITAL MANAGEMENT PRIVATE LIMITED</t>
  </si>
  <si>
    <t>INP000009612</t>
  </si>
  <si>
    <t>Zuhaib  Khan</t>
  </si>
  <si>
    <t>B 601, Lantane Mahindra S, LBS Marg, Bhandup West</t>
  </si>
  <si>
    <t>zuhaib@crest-group.co</t>
  </si>
  <si>
    <t>00919871396555</t>
  </si>
  <si>
    <t>400078</t>
  </si>
  <si>
    <t>B wing 6th floor, Supreme Business Park Wing B, SUPREME BUSINESS PARK, , Cliff Avenue Unit  No. B, 501a, Hiranandani Gardens, Powai</t>
  </si>
  <si>
    <t>400076</t>
  </si>
  <si>
    <t>Aug 28, 2025</t>
  </si>
  <si>
    <t>crest-group.co</t>
  </si>
  <si>
    <t>DOMAIN::crest-group.co</t>
  </si>
  <si>
    <t>PrimeInvestor Financial Research Private Limited</t>
  </si>
  <si>
    <t>INP000009658</t>
  </si>
  <si>
    <t>Balachandran D B</t>
  </si>
  <si>
    <t>659, 1st Floor Flat no 1, Alakananda, 4th Avenue, D Sector, Anna Nagar Western Extn</t>
  </si>
  <si>
    <t>bhavana@primeinvestor.in</t>
  </si>
  <si>
    <t>9109952030734</t>
  </si>
  <si>
    <t>600101</t>
  </si>
  <si>
    <t>Oct 10, 2025</t>
  </si>
  <si>
    <t>primeinvestor.in</t>
  </si>
  <si>
    <t>DOMAIN::primeinvestor.in</t>
  </si>
  <si>
    <t>Systematix Wealth and Asset Services Private Limited</t>
  </si>
  <si>
    <t>INP000009728</t>
  </si>
  <si>
    <t>Pradeep  Gotecha</t>
  </si>
  <si>
    <t>The Capital, A wing, No. 603 - 606, 6th Floor, Plot No. C 70, G Block, , Bandra Kurla Complex, Bandra East,</t>
  </si>
  <si>
    <t>compliance_pms@systematixgroup.in</t>
  </si>
  <si>
    <t>09102266198000</t>
  </si>
  <si>
    <t>09102266198029</t>
  </si>
  <si>
    <t>Nov 28, 2025</t>
  </si>
  <si>
    <t>systematixgroup.in</t>
  </si>
  <si>
    <t>DOMAIN::systematixgroup.in</t>
  </si>
  <si>
    <t>Sicomoro Advisors Private Limited</t>
  </si>
  <si>
    <t>INP000009782</t>
  </si>
  <si>
    <t>Rashmikant Talati</t>
  </si>
  <si>
    <t>Unit No 102 1st Floor, Pharma Search House 72 73, , Worli Hill Estate, Dr. B.G. Kher Road, Worli</t>
  </si>
  <si>
    <t>rashmikant.talati@sicomoro.in</t>
  </si>
  <si>
    <t>9102249636131</t>
  </si>
  <si>
    <t>Jan 21, 2026</t>
  </si>
  <si>
    <t>sicomoro.in</t>
  </si>
  <si>
    <t>DOMAIN::sicomoro.in</t>
  </si>
  <si>
    <t>Abakkus Investment Managers Private Limited</t>
  </si>
  <si>
    <t>INP000009959</t>
  </si>
  <si>
    <t>Lijo Varghese</t>
  </si>
  <si>
    <t>6th Floor, Param House, Shanti Nagar, Near Grand Hyatt,, Santacruz East,</t>
  </si>
  <si>
    <t>lijo.varghese@abakkusinvest.com</t>
  </si>
  <si>
    <t>91919819032286</t>
  </si>
  <si>
    <t>400055</t>
  </si>
  <si>
    <t>Abakkus Corporate Centre, 9th  Floor, Param House, Shanti Nagar, Near Grand Hyatt, Off Santacruz Chembur Link Road, Santacruz East,</t>
  </si>
  <si>
    <t>Apr 24, 2026</t>
  </si>
  <si>
    <t>abakkusinvest.com</t>
  </si>
  <si>
    <t>DOMAIN::abakkusinvest.com</t>
  </si>
  <si>
    <t>NARNOLIA VELOX ADVISORY LIMITED</t>
  </si>
  <si>
    <t>INP000009995</t>
  </si>
  <si>
    <t>Ramesh Singh</t>
  </si>
  <si>
    <t>236B AJC BOSE ROAD, MARBLE ARCH 2ND FLOOR</t>
  </si>
  <si>
    <t>rdebnath@narnolia.com</t>
  </si>
  <si>
    <t>9103340501500</t>
  </si>
  <si>
    <t>700020</t>
  </si>
  <si>
    <t>May 06, 2026</t>
  </si>
  <si>
    <t>narnolia.com</t>
  </si>
  <si>
    <t>DOMAIN::narnolia.com</t>
  </si>
  <si>
    <t>Centricity Portfolio Managers Private Limited</t>
  </si>
  <si>
    <t>INP000010007</t>
  </si>
  <si>
    <t>Abhishek Sahu</t>
  </si>
  <si>
    <t>405 A Tower B Global Business Park, Dlf Qe</t>
  </si>
  <si>
    <t>compliance@centricity.co.in</t>
  </si>
  <si>
    <t>9101122438810</t>
  </si>
  <si>
    <t>May 07, 2026</t>
  </si>
  <si>
    <t>centricity.co.in</t>
  </si>
  <si>
    <t>DOMAIN::centricity.co.in</t>
  </si>
  <si>
    <t>Greenedge Wealth Services LLP</t>
  </si>
  <si>
    <t>INP000010043</t>
  </si>
  <si>
    <t>Jindal Haria</t>
  </si>
  <si>
    <t>Office No. 1123, 11th Floor, Omkar The Summit Business Bay, Off Western Express Highway, Gundavali, , Opp. Movie Max Cinemas, Near, Chakala Midc, Mumbai, Mumbai, Maharashtra, India, 400093</t>
  </si>
  <si>
    <t>jindal@greenedgewealth.com</t>
  </si>
  <si>
    <t>0919619526353</t>
  </si>
  <si>
    <t>400093</t>
  </si>
  <si>
    <t>May 12, 2026</t>
  </si>
  <si>
    <t>greenedgewealth.com</t>
  </si>
  <si>
    <t>DOMAIN::greenedgewealth.com</t>
  </si>
  <si>
    <t>Finnovate Investment Managers Private Limited</t>
  </si>
  <si>
    <t>INP000010104</t>
  </si>
  <si>
    <t>Pravin Mayekar</t>
  </si>
  <si>
    <t>703, The Summit Business Bay, Prakashwadi, Gundavali, Chakala MIDC</t>
  </si>
  <si>
    <t>pravin.mayekar@finnovate.in</t>
  </si>
  <si>
    <t>91229619783006</t>
  </si>
  <si>
    <t>Jun 15, 2026</t>
  </si>
  <si>
    <t>finnovate.in</t>
  </si>
  <si>
    <t>DOMAIN::finnovate.in</t>
  </si>
  <si>
    <t>EASTERN FINANCIERS LIMITED</t>
  </si>
  <si>
    <t>INP000010122</t>
  </si>
  <si>
    <t>Reena Khetan</t>
  </si>
  <si>
    <t>102 &amp; 104, 'Lords', 7/1, Lord Sinha Road, Kolkata</t>
  </si>
  <si>
    <t>reena.k@easternfin.com</t>
  </si>
  <si>
    <t>9109830355996</t>
  </si>
  <si>
    <t>700071</t>
  </si>
  <si>
    <t>easternfin.com</t>
  </si>
  <si>
    <t>DOMAIN::easternfin.com</t>
  </si>
  <si>
    <t>QUANTUM INFORMATION SERVICES PRIVATE LIMITED</t>
  </si>
  <si>
    <t>INA000000680</t>
  </si>
  <si>
    <t>Sonal Ramachandran</t>
  </si>
  <si>
    <t>103, REGENT CHAMBERS,, NARIMAN POINT,</t>
  </si>
  <si>
    <t>sonal@equitymaster.com</t>
  </si>
  <si>
    <t>0919867009724</t>
  </si>
  <si>
    <t>101, Raheja Chambers, Fee Press Journal marg, 213, Nariman Point,</t>
  </si>
  <si>
    <t>Dec 27, 2013</t>
  </si>
  <si>
    <t>Investment Adviser</t>
  </si>
  <si>
    <t>equitymaster.com</t>
  </si>
  <si>
    <t>DOMAIN::equitymaster.com</t>
  </si>
  <si>
    <t>DSIJ Wealth Advisory Private Limited</t>
  </si>
  <si>
    <t>INA000001142</t>
  </si>
  <si>
    <t>MR. RAJESH PADODE</t>
  </si>
  <si>
    <t>419-A, 4TH FLOOR, ARUN CHAMBERS,, TARDEO, NEXT TO AC MARKET,</t>
  </si>
  <si>
    <t>rajeshp@dsij.in</t>
  </si>
  <si>
    <t>2040197219</t>
  </si>
  <si>
    <t>400034</t>
  </si>
  <si>
    <t>Office No. ? 303, 3rd Floor, Siddhivinayak Aurum, Behind Eden Garden Society, Near IBIS Hotel, Vimannagar,</t>
  </si>
  <si>
    <t>411014</t>
  </si>
  <si>
    <t>Feb 24, 2014</t>
  </si>
  <si>
    <t>dsij.in</t>
  </si>
  <si>
    <t>DOMAIN::dsij.in</t>
  </si>
  <si>
    <t>GEPL INVESTMENT ADVISORS PRIVATE LIMITED</t>
  </si>
  <si>
    <t>INA000002744</t>
  </si>
  <si>
    <t>ABHISHEK A MISTRY</t>
  </si>
  <si>
    <t>C-14, DHANRAJ MAHAL,C.S.M MARG,, COLABA,</t>
  </si>
  <si>
    <t>advisors@geplcapital.com</t>
  </si>
  <si>
    <t>2266142751</t>
  </si>
  <si>
    <t>C-14, Dhanraj Mahal,C.S.M Marg, Colaba,</t>
  </si>
  <si>
    <t>Mar 03, 2015</t>
  </si>
  <si>
    <t>geplcapital.com</t>
  </si>
  <si>
    <t>DOMAIN::geplcapital.com</t>
  </si>
  <si>
    <t>MONARCH NETWORTH INVESTMENT ADVISORS PVT. LTD.</t>
  </si>
  <si>
    <t>INA000005721</t>
  </si>
  <si>
    <t>MR. VIPUL SHAH</t>
  </si>
  <si>
    <t>MONARCH HOUSE, NR. ISHWAR BHUWAN CROSS ROAD, NR. COMMERCE SIX ROAD, NAVRANGPURA</t>
  </si>
  <si>
    <t>vipul.shah@mnclgroup.com</t>
  </si>
  <si>
    <t>02230641600</t>
  </si>
  <si>
    <t>380009</t>
  </si>
  <si>
    <t>Monarch House, Nr. Ishwar Bhuwan Cross Road, Nr. Commerce Six Road, Navrangpura</t>
  </si>
  <si>
    <t>Nov 24, 2016</t>
  </si>
  <si>
    <t>mnclgroup.com</t>
  </si>
  <si>
    <t>DOMAIN::mnclgroup.com</t>
  </si>
  <si>
    <t>LKP Wealth Advisory Limited</t>
  </si>
  <si>
    <t>INA000009861</t>
  </si>
  <si>
    <t>Ritesh  Tiwari</t>
  </si>
  <si>
    <t>203, Embassy Centre,, Nariman Point</t>
  </si>
  <si>
    <t>ho_compliance@lkpsec.com</t>
  </si>
  <si>
    <t>919136525875</t>
  </si>
  <si>
    <t>1303-1304, Raheja Centre, Free Press Marg, Nariman point</t>
  </si>
  <si>
    <t>Feb 21, 2018</t>
  </si>
  <si>
    <t>lkpsec.com</t>
  </si>
  <si>
    <t>DOMAIN::lkpsec.com</t>
  </si>
  <si>
    <t>Banayantree Services Limited</t>
  </si>
  <si>
    <t>INA100006898</t>
  </si>
  <si>
    <t>Neeraj Gugnani</t>
  </si>
  <si>
    <t>Express Building, 9-10 Bahadurshah, Zafar Marg, New Delhi</t>
  </si>
  <si>
    <t>compliance@etmoney.com</t>
  </si>
  <si>
    <t>00919871396095</t>
  </si>
  <si>
    <t>110002</t>
  </si>
  <si>
    <t>Plot no. 391, Udyog Vihar-III, Gurgaon, Haryana</t>
  </si>
  <si>
    <t>122016</t>
  </si>
  <si>
    <t>Nov 18, 2025</t>
  </si>
  <si>
    <t>etmoney.com</t>
  </si>
  <si>
    <t>DOMAIN::etmoney.com</t>
  </si>
  <si>
    <t>Finwizard Technology Private Limited</t>
  </si>
  <si>
    <t>INA200005323</t>
  </si>
  <si>
    <t>Nishank Jain</t>
  </si>
  <si>
    <t>IndiQube Sapphire, 2nd Floor,, No. 73 1, St Mark s Road,</t>
  </si>
  <si>
    <t>nishank.jain@fisdom.com</t>
  </si>
  <si>
    <t>00918109616263</t>
  </si>
  <si>
    <t>Jun 04, 2026</t>
  </si>
  <si>
    <t>fisdom.com</t>
  </si>
  <si>
    <t>DOMAIN::fisdom.com</t>
  </si>
  <si>
    <t>PRUDENT CORPORATE ADVISORY SERVICES LIMITED</t>
  </si>
  <si>
    <t>INA000004906</t>
  </si>
  <si>
    <t>Meghna Jain</t>
  </si>
  <si>
    <t>PRUDENT HOUSE, 3 Devang Park Society,, Panjrapole Cross Road, Ambawadi</t>
  </si>
  <si>
    <t>meghna.jain@prudentcorporate.com</t>
  </si>
  <si>
    <t>091977940209600</t>
  </si>
  <si>
    <t>PRUDENT HOUSE, Panjrapole Cross Road, Nr. Polytechnic, Ambawadi</t>
  </si>
  <si>
    <t>Jun 08, 2016</t>
  </si>
  <si>
    <t>prudentcorporate.com</t>
  </si>
  <si>
    <t>DOMAIN::prudentcorporate.com</t>
  </si>
  <si>
    <t>Incred Capital Wealth Portfolio Managers Private Limited</t>
  </si>
  <si>
    <t>INA000014890</t>
  </si>
  <si>
    <t>Preeti Lalwani</t>
  </si>
  <si>
    <t>Unit No. 1502-A, 15th Floor, The Capital Building, C-70, G Block, Bandra Kurla Complex, Bandra East</t>
  </si>
  <si>
    <t>compliance@incredcapital.com</t>
  </si>
  <si>
    <t>91009820455802</t>
  </si>
  <si>
    <t>Jul 31, 2020</t>
  </si>
  <si>
    <t>incredcapital.com</t>
  </si>
  <si>
    <t>DOMAIN::incredcapital.com</t>
  </si>
  <si>
    <t>Omkara Capital Private Limited</t>
  </si>
  <si>
    <t>INA000016825</t>
  </si>
  <si>
    <t>Vineet Sood</t>
  </si>
  <si>
    <t>UNIT NO. 207 A/B, PENINSULA CENTRE, DR. S. S. RAO ROAD, BEHIND PIRAMAL CHAMBERS,, PAREL EAST</t>
  </si>
  <si>
    <t>compliance@omkaracapital.in</t>
  </si>
  <si>
    <t>00917897891192</t>
  </si>
  <si>
    <t>400012</t>
  </si>
  <si>
    <t>Apr 11, 2022</t>
  </si>
  <si>
    <t>omkaracapital.in</t>
  </si>
  <si>
    <t>DOMAIN::omkaracapital.in</t>
  </si>
  <si>
    <t>Pioneer Wealth Management Services Limited</t>
  </si>
  <si>
    <t>INA000017259</t>
  </si>
  <si>
    <t>Riddhi Sidhpura</t>
  </si>
  <si>
    <t>1218 Maker Chambers V, Nariman Point</t>
  </si>
  <si>
    <t>riddhi.sidhpura@pinc.co.in</t>
  </si>
  <si>
    <t>009867654945</t>
  </si>
  <si>
    <t>amitc@pinc.co.in</t>
  </si>
  <si>
    <t>Oct 18, 2022</t>
  </si>
  <si>
    <t>pinc.co.in</t>
  </si>
  <si>
    <t>DOMAIN::pinc.co.in</t>
  </si>
  <si>
    <t>Neo Wealth Management Private Limited</t>
  </si>
  <si>
    <t>INA000017286</t>
  </si>
  <si>
    <t>Nitesh Shah</t>
  </si>
  <si>
    <t>903, B wing, Floor 9, Marathon Futurex, N. M. Joshi Marg, Lower Parel</t>
  </si>
  <si>
    <t>compliance@neo-wealth.com</t>
  </si>
  <si>
    <t>91229619523663</t>
  </si>
  <si>
    <t>Nov 01, 2022</t>
  </si>
  <si>
    <t>neo-wealth.com</t>
  </si>
  <si>
    <t>DOMAIN::neo-wealth.com</t>
  </si>
  <si>
    <t>Kredent InfoEdge Private Limited</t>
  </si>
  <si>
    <t>INA000017781</t>
  </si>
  <si>
    <t>Vivek Bajaj</t>
  </si>
  <si>
    <t>J-1/14, BLOCK - EP and GP, 9TH FLOOR, , SECTOR - V, SALTLAKE CITY KOLKATA</t>
  </si>
  <si>
    <t>vivek@stockedge.com</t>
  </si>
  <si>
    <t>0919903048099</t>
  </si>
  <si>
    <t>Mar 23, 2023</t>
  </si>
  <si>
    <t>stockedge.com</t>
  </si>
  <si>
    <t>DOMAIN::stockedge.com</t>
  </si>
  <si>
    <t>Yadnya Academy Private Limited</t>
  </si>
  <si>
    <t>INA000017897</t>
  </si>
  <si>
    <t>Mayur Firodiya</t>
  </si>
  <si>
    <t>G703 BALWANTPURAM SAMRAJYA L5 , CTS NO 1148110 1 A KOTHRUD Pune</t>
  </si>
  <si>
    <t>mayur@investyadnya.in</t>
  </si>
  <si>
    <t>0919730601468</t>
  </si>
  <si>
    <t>411038</t>
  </si>
  <si>
    <t>A2 SR No.133/ 1, PL NO.16 Purva Apartment Aundh</t>
  </si>
  <si>
    <t>411007</t>
  </si>
  <si>
    <t>Apr 24, 2023</t>
  </si>
  <si>
    <t>investyadnya.in</t>
  </si>
  <si>
    <t>DOMAIN::investyadnya.in</t>
  </si>
  <si>
    <t>AlphaGrep Advisors Private Limited</t>
  </si>
  <si>
    <t>INA000018470</t>
  </si>
  <si>
    <t>Punit Sahi</t>
  </si>
  <si>
    <t>Parinee Crescenzo, Unit No. I406, 14th Floor, G Block, Bandra Kurla Complex, Bandra East, Mumbai</t>
  </si>
  <si>
    <t>punit.sahi@alphagrepadvisors.com</t>
  </si>
  <si>
    <t>00917710993310</t>
  </si>
  <si>
    <t>Jan 08, 2026</t>
  </si>
  <si>
    <t>alphagrepadvisors.com</t>
  </si>
  <si>
    <t>DOMAIN::alphagrepadvisors.com</t>
  </si>
  <si>
    <t>Basant Maheshwari Wealth Advisers LLP</t>
  </si>
  <si>
    <t>INA000018498</t>
  </si>
  <si>
    <t>Basant Maheshwari</t>
  </si>
  <si>
    <t>Office No. 701, 7th Floor, Plot 211, Dalamal Tower,, Free Press Journal Marg, Nariman Point</t>
  </si>
  <si>
    <t>info@theequitydesk.com</t>
  </si>
  <si>
    <t>91009830627071</t>
  </si>
  <si>
    <t>Office No. 701, 7th Floor, Plot 211, Dalamal Tower, Free Press Journal Marg, Nariman Point</t>
  </si>
  <si>
    <t>Oct 16, 2023</t>
  </si>
  <si>
    <t>theequitydesk.com</t>
  </si>
  <si>
    <t>DOMAIN::theequitydesk.com</t>
  </si>
  <si>
    <t>MOOL CAPITAL PRIVATE LIMITED</t>
  </si>
  <si>
    <t>INA000018708</t>
  </si>
  <si>
    <t>SRINIVASA SHARAN</t>
  </si>
  <si>
    <t>H N 4066, SECT B, PKT 5/6,, VASANT KUNJ, SOUTH DELHI</t>
  </si>
  <si>
    <t>sharan@mool.one</t>
  </si>
  <si>
    <t>00919741248158</t>
  </si>
  <si>
    <t>110070</t>
  </si>
  <si>
    <t>H N 4066, SECT B, PKT 5/6, VASANT KUNJ, SOUTH DELHI</t>
  </si>
  <si>
    <t>mool.one</t>
  </si>
  <si>
    <t>DOMAIN::mool.one</t>
  </si>
  <si>
    <t>Fluid Fincap Private Limited</t>
  </si>
  <si>
    <t>INA000018762</t>
  </si>
  <si>
    <t>Aniket Shirke</t>
  </si>
  <si>
    <t>Obeya Signal, Ground Floor, Embassy Signet, Embassy Tech Square, Kaverappa Layout, Kad.besanahall,</t>
  </si>
  <si>
    <t>aniket@liquide.life</t>
  </si>
  <si>
    <t>91007718957000</t>
  </si>
  <si>
    <t>560103</t>
  </si>
  <si>
    <t>Jan 16, 2024</t>
  </si>
  <si>
    <t>liquide.life</t>
  </si>
  <si>
    <t>DOMAIN::liquide.life</t>
  </si>
  <si>
    <t>ONE CENTURION VENTURES PRIVATE LIMITED</t>
  </si>
  <si>
    <t>INA000018896</t>
  </si>
  <si>
    <t>Priya  Shah</t>
  </si>
  <si>
    <t>601, Signature Suresh Sawant Road,, Off. Veera Desai Road, Andheri,</t>
  </si>
  <si>
    <t>advisory@onecenturion.in</t>
  </si>
  <si>
    <t>918655742577</t>
  </si>
  <si>
    <t>Unit No. 601, 604, 6th floor, Lotus Signature, , Off Veera Desai Road, Andheri (West),</t>
  </si>
  <si>
    <t>Feb 29, 2024</t>
  </si>
  <si>
    <t>onecenturion.in</t>
  </si>
  <si>
    <t>DOMAIN::onecenturion.in</t>
  </si>
  <si>
    <t>Candour Asset Management LLP</t>
  </si>
  <si>
    <t>INA000019479</t>
  </si>
  <si>
    <t>Amey Kulkarni</t>
  </si>
  <si>
    <t>CTS NO 155 / 156 SAMRUDHHI HEIGHT, 1 ST FLOOR PARVATI PUNE</t>
  </si>
  <si>
    <t>amey.kulkarni@candorinvesting.com</t>
  </si>
  <si>
    <t>917841852436</t>
  </si>
  <si>
    <t>411009</t>
  </si>
  <si>
    <t>Office 302, CTS NO. 681, S.No, 15/1A. Dattakrupa Soc, Kothrud Pune City</t>
  </si>
  <si>
    <t>Aug 06, 2024</t>
  </si>
  <si>
    <t>candorinvesting.com</t>
  </si>
  <si>
    <t>DOMAIN::candorinvesting.com</t>
  </si>
  <si>
    <t>Profitmart Securities Private Limited</t>
  </si>
  <si>
    <t>INA000020095</t>
  </si>
  <si>
    <t>Nitin Bora</t>
  </si>
  <si>
    <t>UNIT NO. 213, OPAL SQUARE, Plot no. C1 Thane east Mumbai</t>
  </si>
  <si>
    <t>compliance@profitmart.in</t>
  </si>
  <si>
    <t>00919850444689</t>
  </si>
  <si>
    <t>THANE</t>
  </si>
  <si>
    <t>400604</t>
  </si>
  <si>
    <t>Office No.3, 1st floor, B3, Cerebrum IT Park, Above DMART, Kalyani Nagar Pune</t>
  </si>
  <si>
    <t>Apr 09, 2025</t>
  </si>
  <si>
    <t>profitmart.in</t>
  </si>
  <si>
    <t>DOMAIN::profitmart.in</t>
  </si>
  <si>
    <t>Dolat Finserv Private Limited</t>
  </si>
  <si>
    <t>INA000020101</t>
  </si>
  <si>
    <t>Viplab Dasgupta</t>
  </si>
  <si>
    <t>301-308, Bhagwati House, A-19, Veera Desai Road,, Andheri West</t>
  </si>
  <si>
    <t>Viplabd@dolatcapital.com</t>
  </si>
  <si>
    <t>00919870193603</t>
  </si>
  <si>
    <t>400058</t>
  </si>
  <si>
    <t>Unit No. 1201, B Wing, 12th Floor, Naman Midtown B wing Premises C. S. Ltd., Senapati Bapat Marg, Elphinstone, Prabhadevi</t>
  </si>
  <si>
    <t>Apr 19, 2025</t>
  </si>
  <si>
    <t>dolatcapital.com</t>
  </si>
  <si>
    <t>DOMAIN::dolatcapital.com</t>
  </si>
  <si>
    <t>Indira Securities Private Limited</t>
  </si>
  <si>
    <t>INA000021410</t>
  </si>
  <si>
    <t>SUMEET PATEL</t>
  </si>
  <si>
    <t>Indira House, 3rd Floor, 5 Topiwala Lane, Lamington Road, Mumbai</t>
  </si>
  <si>
    <t>dharmeshk@indiratrade.com</t>
  </si>
  <si>
    <t>00917314797158</t>
  </si>
  <si>
    <t>400007</t>
  </si>
  <si>
    <t>204-205 Amardarshan, 28/2 Old Palasia, Indore</t>
  </si>
  <si>
    <t>452018</t>
  </si>
  <si>
    <t>Nov 27, 2025</t>
  </si>
  <si>
    <t>indiratrade.com</t>
  </si>
  <si>
    <t>DOMAIN::indiratrade.com</t>
  </si>
  <si>
    <t>JBV Share Broker And Fintech Private Limited</t>
  </si>
  <si>
    <t>INA000021429</t>
  </si>
  <si>
    <t>Asit Mistry</t>
  </si>
  <si>
    <t>1018, Millenium Business Hub, Sarthana, Varachha Road, Surat</t>
  </si>
  <si>
    <t>asit@growthavenues.co.in</t>
  </si>
  <si>
    <t>00919825145217</t>
  </si>
  <si>
    <t>395006</t>
  </si>
  <si>
    <t>OFFICE NO.2001, THE JUNOMONETA TOWER, OPP. PAL RTO, NEAR RAJHANS CINEMA, PAL ADAJAN</t>
  </si>
  <si>
    <t>395009</t>
  </si>
  <si>
    <t>Dec 01, 2025</t>
  </si>
  <si>
    <t>growthavenues.co.in</t>
  </si>
  <si>
    <t>DOMAIN::growthavenues.co.in</t>
  </si>
  <si>
    <t>NBHAVA CAPITAL PRIVATE LIMITED</t>
  </si>
  <si>
    <t>INA000021553</t>
  </si>
  <si>
    <t>BOGGAVARAPU LAKSHMI</t>
  </si>
  <si>
    <t>No. 311, Tower A, Signature Altius,, Kollur Road, Kollur, Medak, Patancheru,</t>
  </si>
  <si>
    <t>caudayalakshmi@nbhava.com</t>
  </si>
  <si>
    <t>00919705161777</t>
  </si>
  <si>
    <t>502300</t>
  </si>
  <si>
    <t>No. 311, Tower A, Signature Altius, Kollur Road, Kollur, Medak, Patancheru,</t>
  </si>
  <si>
    <t>Dec 15, 2025</t>
  </si>
  <si>
    <t>nbhava.com</t>
  </si>
  <si>
    <t>DOMAIN::nbhava.com</t>
  </si>
  <si>
    <t>Bristlecone Consultants</t>
  </si>
  <si>
    <t>INA000021872</t>
  </si>
  <si>
    <t>Hoshner Patel</t>
  </si>
  <si>
    <t>Unit-18,19,20, Technoplis Knowlegde Park,, Mahakali Caves Road, NR Udyog Bhavan, Chakala, Andheri East,</t>
  </si>
  <si>
    <t>hoshner@bristlecone.in</t>
  </si>
  <si>
    <t>00919356261682</t>
  </si>
  <si>
    <t>Unit-18,19,20, Technoplis Knowlegde Park, Mahakali Caves Road, NR Udyog Bhavan, Chakala, Andheri East,</t>
  </si>
  <si>
    <t>Feb 16, 2026</t>
  </si>
  <si>
    <t>bristlecone.in</t>
  </si>
  <si>
    <t>DOMAIN::bristlecone.in</t>
  </si>
  <si>
    <t>WHERE2INVEST LIMITED</t>
  </si>
  <si>
    <t>INA000022075</t>
  </si>
  <si>
    <t>VINAY JAIS</t>
  </si>
  <si>
    <t>7th Floor Flat No. 708, Asian Suncity,, Forest Department, Serilingampally Kondapur, Hyderabad, Medchal Malkajgiri,</t>
  </si>
  <si>
    <t>advisors@where2invest.com</t>
  </si>
  <si>
    <t>00918977729398</t>
  </si>
  <si>
    <t>500084</t>
  </si>
  <si>
    <t>Mar 23, 2026</t>
  </si>
  <si>
    <t>where2invest.com</t>
  </si>
  <si>
    <t>DOMAIN::where2invest.com</t>
  </si>
  <si>
    <t>WILLIAM O NEIL INDIA PRIVATE LIMITED</t>
  </si>
  <si>
    <t>INA200005125</t>
  </si>
  <si>
    <t>Akshay Tech Park, Unit No 302, 3rd Floor, Plot 72 &amp; 73, EPIP Area,, Hoodi Village, Hobli, Whitefield, Krishnarajapura, EPIP Bangalore</t>
  </si>
  <si>
    <t>anupam.singhi@williamoneilindia.com</t>
  </si>
  <si>
    <t>8067453802</t>
  </si>
  <si>
    <t>560066</t>
  </si>
  <si>
    <t>TECHNOMARK BUILDING, A-4, NGEF ANCILLARY INDUSTRIAL ESTATE, GRAPHITE INDIA ROAD,   MAHADEVAPURA, WHITEFIELD,</t>
  </si>
  <si>
    <t>560048</t>
  </si>
  <si>
    <t>Jul 12, 2016</t>
  </si>
  <si>
    <t>williamoneilindia.com</t>
  </si>
  <si>
    <t>DOMAIN::williamoneilindia.com</t>
  </si>
  <si>
    <t>GEOJIT FINANCIAL SERVICES LIMITED</t>
  </si>
  <si>
    <t>INP000003203</t>
  </si>
  <si>
    <t>SHELJO P M</t>
  </si>
  <si>
    <t>Geojit Financial Services Ltd, 34 659 P, Civil Line Road,Padivattom</t>
  </si>
  <si>
    <t>sheljopm@geojit.com</t>
  </si>
  <si>
    <t>9104842901836</t>
  </si>
  <si>
    <t>KERALA</t>
  </si>
  <si>
    <t>682024</t>
  </si>
  <si>
    <t>Geojit Financial Services Ltd, 34 659 P, Civil Line Road, Padivattom</t>
  </si>
  <si>
    <t>KOCHI</t>
  </si>
  <si>
    <t>Feb 16, 2015</t>
  </si>
  <si>
    <t>geojit.com</t>
  </si>
  <si>
    <t>DOMAIN::geojit.com</t>
  </si>
  <si>
    <t>SAMVITTI CAPITAL PRIVATE LIMITED</t>
  </si>
  <si>
    <t>INP000004847</t>
  </si>
  <si>
    <t>Nithesh Bhat</t>
  </si>
  <si>
    <t>KALASHA NIVASA D NO 16 BY 100 2, HARIHARA NAGARA KARNAD</t>
  </si>
  <si>
    <t>nbhat@samvitticapital.com</t>
  </si>
  <si>
    <t>9108242983541</t>
  </si>
  <si>
    <t>MANGALORE</t>
  </si>
  <si>
    <t>574154</t>
  </si>
  <si>
    <t>Sep 24, 2015</t>
  </si>
  <si>
    <t>samvitticapital.com</t>
  </si>
  <si>
    <t>DOMAIN::samvitticapital.com</t>
  </si>
  <si>
    <t>Hem Securities Limited</t>
  </si>
  <si>
    <t>INP000006794</t>
  </si>
  <si>
    <t>Rohit Sharma</t>
  </si>
  <si>
    <t>203, Jaipur Tower,, M.I. Road, Jaipur</t>
  </si>
  <si>
    <t>hem@hemsecurities.com</t>
  </si>
  <si>
    <t>9101414051000</t>
  </si>
  <si>
    <t>JAIPUR</t>
  </si>
  <si>
    <t>RAJASTHAN</t>
  </si>
  <si>
    <t>302001</t>
  </si>
  <si>
    <t>203, Jaipur Tower, M.I. Road, Jaipur</t>
  </si>
  <si>
    <t>hemsecurities.com</t>
  </si>
  <si>
    <t>DOMAIN::hemsecurities.com</t>
  </si>
  <si>
    <t>Estee Advisors Private Limited</t>
  </si>
  <si>
    <t>INP000007720</t>
  </si>
  <si>
    <t>Umesh Kumar</t>
  </si>
  <si>
    <t>PO5-01A, PO5-01B, PO5-01C, 5th Floor, Tower A, WTC Gift City, Block 51, Road 5E, Zone 5,, Gift City, Gandhinagar,</t>
  </si>
  <si>
    <t>umesh.kumar@esteeadvisors.com</t>
  </si>
  <si>
    <t>911240004637700</t>
  </si>
  <si>
    <t>GANDHINAGAR</t>
  </si>
  <si>
    <t>382355</t>
  </si>
  <si>
    <t>8th Floor, Block I, Vatika Business Park, Sohna Road, Sector 49</t>
  </si>
  <si>
    <t>122001</t>
  </si>
  <si>
    <t>Dec 27, 2022</t>
  </si>
  <si>
    <t>esteeadvisors.com</t>
  </si>
  <si>
    <t>DOMAIN::esteeadvisors.com</t>
  </si>
  <si>
    <t>Wryght Research &amp; Capital Private Limited</t>
  </si>
  <si>
    <t>INP000007979</t>
  </si>
  <si>
    <t>Siddhesh More</t>
  </si>
  <si>
    <t>103, Shagun Vatika, Prag Narayan Road</t>
  </si>
  <si>
    <t>siddhesh@wrightresearch.in</t>
  </si>
  <si>
    <t>00919619303157</t>
  </si>
  <si>
    <t>LUCKNOW</t>
  </si>
  <si>
    <t>226001</t>
  </si>
  <si>
    <t>B Wing, 815 A, The Capital, G Block, Bandra Kurla Complex</t>
  </si>
  <si>
    <t>400098</t>
  </si>
  <si>
    <t>Apr 03, 2023</t>
  </si>
  <si>
    <t>wrightresearch.in</t>
  </si>
  <si>
    <t>DOMAIN::wrightresearch.in</t>
  </si>
  <si>
    <t>Findoc Investmart Private Limited</t>
  </si>
  <si>
    <t>INP000009056</t>
  </si>
  <si>
    <t>Mayur Jain</t>
  </si>
  <si>
    <t>1210 to 1213A, Exchange Plaza, Near Mercury Hotel , Opposite WTC Tower, GIFT City</t>
  </si>
  <si>
    <t>pms@myfindoc.com</t>
  </si>
  <si>
    <t>9101614155000</t>
  </si>
  <si>
    <t>4th Floor, Kartar Bhawan, Near PAU Gate No.01</t>
  </si>
  <si>
    <t>LUDHIANA</t>
  </si>
  <si>
    <t>PUNJAB</t>
  </si>
  <si>
    <t>141001</t>
  </si>
  <si>
    <t>Oct 11, 2024</t>
  </si>
  <si>
    <t>myfindoc.com</t>
  </si>
  <si>
    <t>DOMAIN::myfindoc.com</t>
  </si>
  <si>
    <t>Share India Securities Limited</t>
  </si>
  <si>
    <t>INP000009427</t>
  </si>
  <si>
    <t>Beena Sadhwani</t>
  </si>
  <si>
    <t>Unit no 615 and 616 6th Floor X Change Plaza Dalal Street Commercial Co operative Society Limited, Road 5E Block 53 Zone 5 Gift City Gandhinagar Gujarat 382355</t>
  </si>
  <si>
    <t>beena.sadhwani@shareindia.com</t>
  </si>
  <si>
    <t>9101206943926</t>
  </si>
  <si>
    <t>A 15 Sector 64</t>
  </si>
  <si>
    <t>NOIDA</t>
  </si>
  <si>
    <t>201301</t>
  </si>
  <si>
    <t>May 05, 2025</t>
  </si>
  <si>
    <t>shareindia.com</t>
  </si>
  <si>
    <t>DOMAIN::shareindia.com</t>
  </si>
  <si>
    <t>QICAP MANAGEMENT PRIVATE LIMITED</t>
  </si>
  <si>
    <t>INP000009621</t>
  </si>
  <si>
    <t>Sandeep Ahuja</t>
  </si>
  <si>
    <t>Block-51 (301A-301B),WTCROAD 5E ZONE 5, GIFTCITY,Dabhoda, Gandhinagar</t>
  </si>
  <si>
    <t>pms@qi-cap.com</t>
  </si>
  <si>
    <t>91000000000000</t>
  </si>
  <si>
    <t>Sep 01, 2025</t>
  </si>
  <si>
    <t>qi-cap.com</t>
  </si>
  <si>
    <t>DOMAIN::qi-cap.com</t>
  </si>
  <si>
    <t>Finology Ventures Private Limited</t>
  </si>
  <si>
    <t>INA000012218</t>
  </si>
  <si>
    <t>pranjal Kamra</t>
  </si>
  <si>
    <t>402-405, 4th Floor, Avinash One, VIP Road, Opposite to Magneto Mall,</t>
  </si>
  <si>
    <t>Compliance@finology.in</t>
  </si>
  <si>
    <t>917880104817</t>
  </si>
  <si>
    <t>RAIPUR</t>
  </si>
  <si>
    <t>CHHATTISGARH</t>
  </si>
  <si>
    <t>492001</t>
  </si>
  <si>
    <t>Dec 17, 2018</t>
  </si>
  <si>
    <t>finology.in</t>
  </si>
  <si>
    <t>DOMAIN::finology.in</t>
  </si>
  <si>
    <t>Chase Alpha Partners LLP</t>
  </si>
  <si>
    <t>INA000016843</t>
  </si>
  <si>
    <t>Pinkal Vishvesh</t>
  </si>
  <si>
    <t>H. No. 15-41/A/F-4, Mangal Murti, A Wing, Khariwad, Nani Daman</t>
  </si>
  <si>
    <t>info@chasealpha.in</t>
  </si>
  <si>
    <t>917036686868</t>
  </si>
  <si>
    <t>DAMAN</t>
  </si>
  <si>
    <t>DAMAN AND DIU</t>
  </si>
  <si>
    <t>396210</t>
  </si>
  <si>
    <t>Fortune Square Extn 2, Shop No. 216,217, 218,219 &amp; 220, 2nd Floor, Chala Road</t>
  </si>
  <si>
    <t>VAPI</t>
  </si>
  <si>
    <t>396191</t>
  </si>
  <si>
    <t>Apr 26, 2022</t>
  </si>
  <si>
    <t>chasealpha.in</t>
  </si>
  <si>
    <t>DOMAIN::chasealpha.in</t>
  </si>
  <si>
    <t>Zebu Share and Wealth Managements Private Limited</t>
  </si>
  <si>
    <t>INA000017815</t>
  </si>
  <si>
    <t>Vijayakumar  Vellaiyan</t>
  </si>
  <si>
    <t>No 36, VCTV Main Road, Sathy Road Erode, Tamilnadu</t>
  </si>
  <si>
    <t>exchange@zebuetrade.com</t>
  </si>
  <si>
    <t>04448557991</t>
  </si>
  <si>
    <t>ERODE</t>
  </si>
  <si>
    <t>638003</t>
  </si>
  <si>
    <t>No. 301, 4th Main Road, Burma Colony, Perungudi</t>
  </si>
  <si>
    <t>600096</t>
  </si>
  <si>
    <t>Apr 11, 2023</t>
  </si>
  <si>
    <t>zebuetrade.com</t>
  </si>
  <si>
    <t>DOMAIN::zebuetrade.com</t>
  </si>
  <si>
    <t>HENSEX SECURITIES PRIVATE LIMITED</t>
  </si>
  <si>
    <t>INA000019327</t>
  </si>
  <si>
    <t>TAHIR HUSSAIN</t>
  </si>
  <si>
    <t>7, BHAGAT KI KOTHI EXTN, N.H.65,, PALI ROAD,</t>
  </si>
  <si>
    <t>tahir@hensex.com</t>
  </si>
  <si>
    <t>9129126630000</t>
  </si>
  <si>
    <t>JODHPUR</t>
  </si>
  <si>
    <t>342005</t>
  </si>
  <si>
    <t>7, BHAGAT KI KOTHI EXTN, N.H.65, PALI ROAD,</t>
  </si>
  <si>
    <t>Jun 26, 2024</t>
  </si>
  <si>
    <t>hensex.com</t>
  </si>
  <si>
    <t>DOMAIN::hensex.com</t>
  </si>
  <si>
    <t>INVESTCUES CAPITAL INVESTMENT ADVISORS</t>
  </si>
  <si>
    <t>INA000020387</t>
  </si>
  <si>
    <t>ABHISHEK MISRA</t>
  </si>
  <si>
    <t>SAKET 59, Aishwarya Residency, , Telibandha  G E Road</t>
  </si>
  <si>
    <t>abhishek.misra@investcues.com</t>
  </si>
  <si>
    <t>00919867728579</t>
  </si>
  <si>
    <t>Jun 25, 2025</t>
  </si>
  <si>
    <t>investcues.com</t>
  </si>
  <si>
    <t>DOMAIN::investcues.com</t>
  </si>
  <si>
    <t>FINOFIN INSURANCE &amp;  ADVISORY SERVICES PRIVATE LIMITED</t>
  </si>
  <si>
    <t>INA000020679</t>
  </si>
  <si>
    <t>Gurjot singh</t>
  </si>
  <si>
    <t>FINVASIA CENTRE, D -179, Industrial Area, Sector 74 phase 8B SAS Nagar Mohali, Punjab</t>
  </si>
  <si>
    <t>ccofsl@shoonya.com</t>
  </si>
  <si>
    <t>00919888874686</t>
  </si>
  <si>
    <t>MOHALI</t>
  </si>
  <si>
    <t>160055</t>
  </si>
  <si>
    <t>Jul 18, 2025</t>
  </si>
  <si>
    <t>shoonya.com</t>
  </si>
  <si>
    <t>DOMAIN::shoonya.com</t>
  </si>
  <si>
    <t>SAMPADHA RESEARCH AND FINANCIAL CONSULTANTS PRIVATE LIMITED</t>
  </si>
  <si>
    <t>INA000022631</t>
  </si>
  <si>
    <t>M V RAO</t>
  </si>
  <si>
    <t>Dr.No. 55-122/1, Flat s1, 2nd Flr, Jr.Nagar, Venkojipalem, HB Colony, Visakhapatnam</t>
  </si>
  <si>
    <t>ia.compliance@sampadha.com</t>
  </si>
  <si>
    <t>00919866529956</t>
  </si>
  <si>
    <t>VISAKHAPATNAM</t>
  </si>
  <si>
    <t>ANDHRA PRADESH</t>
  </si>
  <si>
    <t>530022</t>
  </si>
  <si>
    <t>Cabin A, Sampadha Co Working Spaces, Dr. No. 4-4-4-2, 3rd Floor, Lalamma Gardens, Manikonda</t>
  </si>
  <si>
    <t>500089</t>
  </si>
  <si>
    <t>May 25, 2026</t>
  </si>
  <si>
    <t>sampadha.com</t>
  </si>
  <si>
    <t>DOMAIN::sampadha.com</t>
  </si>
  <si>
    <t>QUANTUM ADVISORS PVT.LTD.</t>
  </si>
  <si>
    <t>INP000000187</t>
  </si>
  <si>
    <t>Ketav Chaphekar</t>
  </si>
  <si>
    <t>1st Floor, Apeejay House, 3 Dinshaw Vachha Road, Backbay Reclamation, Churchgate</t>
  </si>
  <si>
    <t>Ketav@QASL.com</t>
  </si>
  <si>
    <t>9102261447900</t>
  </si>
  <si>
    <t>912222854318</t>
  </si>
  <si>
    <t>400020</t>
  </si>
  <si>
    <t>Feb 15, 2015</t>
  </si>
  <si>
    <t>qasl.com</t>
  </si>
  <si>
    <t>DOMAIN::qasl.com</t>
  </si>
  <si>
    <t>ALCHEMY CAPITAL MANAGEMENT PRIVATE LTD</t>
  </si>
  <si>
    <t>INP000000365</t>
  </si>
  <si>
    <t>Anis Bohra</t>
  </si>
  <si>
    <t>B 4 AMERCHAND MANSION, 16 MADAME CAMA ROAD, COLABA</t>
  </si>
  <si>
    <t>compliance@alchemycapital.com</t>
  </si>
  <si>
    <t>9102266171700</t>
  </si>
  <si>
    <t>9102266171701</t>
  </si>
  <si>
    <t>B 4, Amerchand Mansion, , 16 Madame Cama Road, Colaba</t>
  </si>
  <si>
    <t>May 16, 2015</t>
  </si>
  <si>
    <t>alchemycapital.com</t>
  </si>
  <si>
    <t>DOMAIN::alchemycapital.com</t>
  </si>
  <si>
    <t>KB CAPITAL MARKETS PVT. LTD.</t>
  </si>
  <si>
    <t>INP000001041</t>
  </si>
  <si>
    <t>Prashant Khandelwal</t>
  </si>
  <si>
    <t>WARDLEY HOUSE 2ND FLOOR, 25, SWALLOW LANE</t>
  </si>
  <si>
    <t>prashant@kbc.in</t>
  </si>
  <si>
    <t>9103340347007</t>
  </si>
  <si>
    <t>700001</t>
  </si>
  <si>
    <t>The Legacy, 3rd Floor, Unit No. 31, 25A Shakespeare Sarani</t>
  </si>
  <si>
    <t>700017</t>
  </si>
  <si>
    <t>Sep 01, 2016</t>
  </si>
  <si>
    <t>kbc.in</t>
  </si>
  <si>
    <t>DOMAIN::kbc.in</t>
  </si>
  <si>
    <t>KARMA CAPITAL ADVISORS PVT. LTD.</t>
  </si>
  <si>
    <t>INP000001223</t>
  </si>
  <si>
    <t>Shardul Vikram  Singh</t>
  </si>
  <si>
    <t>Floor 12U Suite 1 Remi Commercio, Off Veera Desai Road Andheri West</t>
  </si>
  <si>
    <t>SHARDUL.SINGH@KARMACAPITAL.CO.IN</t>
  </si>
  <si>
    <t>9102262327207</t>
  </si>
  <si>
    <t>Jun 16, 2017</t>
  </si>
  <si>
    <t>karmacapital.co.in</t>
  </si>
  <si>
    <t>DOMAIN::karmacapital.co.in</t>
  </si>
  <si>
    <t>MIV INVESTMENT SERVICES PVT. LTD.</t>
  </si>
  <si>
    <t>INP000001413</t>
  </si>
  <si>
    <t>Jose Boni</t>
  </si>
  <si>
    <t>301 302 Mittal Avenue Nagindas Master Road, Kala Ghoda Fort</t>
  </si>
  <si>
    <t>compliance@prodigyinvest.com</t>
  </si>
  <si>
    <t>9102222875801</t>
  </si>
  <si>
    <t>Oct 16, 2014</t>
  </si>
  <si>
    <t>prodigyinvest.com</t>
  </si>
  <si>
    <t>DOMAIN::prodigyinvest.com</t>
  </si>
  <si>
    <t>Wealth Managers India Private Limited</t>
  </si>
  <si>
    <t>INP000001660</t>
  </si>
  <si>
    <t>Vedkumar Zirange</t>
  </si>
  <si>
    <t>3rd Floor, No 23, Old Airport Road, Bengluru</t>
  </si>
  <si>
    <t>mandar@wealthmanagers.co.in</t>
  </si>
  <si>
    <t>91202067636100</t>
  </si>
  <si>
    <t>560008</t>
  </si>
  <si>
    <t>Dec 13, 2023</t>
  </si>
  <si>
    <t>wealthmanagers.co.in</t>
  </si>
  <si>
    <t>DOMAIN::wealthmanagers.co.in</t>
  </si>
  <si>
    <t>LABURNUM CAPITAL ADVISORS PRIVATE LIMITED</t>
  </si>
  <si>
    <t>INP000003526</t>
  </si>
  <si>
    <t>Varun  Madhok</t>
  </si>
  <si>
    <t>D 64 T F Defence Colony, Ring Road Near MCD Office</t>
  </si>
  <si>
    <t>varun.madhok@lab-cap.com</t>
  </si>
  <si>
    <t>0110141015694</t>
  </si>
  <si>
    <t>110024</t>
  </si>
  <si>
    <t>Dec 31, 2015</t>
  </si>
  <si>
    <t>lab-cap.com</t>
  </si>
  <si>
    <t>DOMAIN::lab-cap.com</t>
  </si>
  <si>
    <t>ENVISION CAPITAL SERVICES PVT.LTD.</t>
  </si>
  <si>
    <t>INP000003575</t>
  </si>
  <si>
    <t>Chetan Yadav</t>
  </si>
  <si>
    <t>33 MAKER CHAMBERS 6, JAMNALAL BAJAJ MARG</t>
  </si>
  <si>
    <t>chetan.yadav@envisioncapital.in</t>
  </si>
  <si>
    <t>91222243553000</t>
  </si>
  <si>
    <t>217, Tulsiani Chambers, Nariman Point,</t>
  </si>
  <si>
    <t>Mar 04, 2016</t>
  </si>
  <si>
    <t>envisioncapital.in</t>
  </si>
  <si>
    <t>DOMAIN::envisioncapital.in</t>
  </si>
  <si>
    <t>CONSORTIUM SECURITIES PVT. LTD.</t>
  </si>
  <si>
    <t>INP000003658</t>
  </si>
  <si>
    <t>PARDEEP RAJ</t>
  </si>
  <si>
    <t>36, SANT NAGAR, EAST OF KAILASH</t>
  </si>
  <si>
    <t>PRADEEPRAJ@CONSORTIUMSECURITIES.COM</t>
  </si>
  <si>
    <t>9101145622022</t>
  </si>
  <si>
    <t>110065</t>
  </si>
  <si>
    <t>3RD FLOOR PLOT NO. 274, SHAHEED CAPTAIN GAUR MARG SRINIWAS PURI</t>
  </si>
  <si>
    <t>May 11, 2013</t>
  </si>
  <si>
    <t>consortiumsecurities.com</t>
  </si>
  <si>
    <t>DOMAIN::consortiumsecurities.com</t>
  </si>
  <si>
    <t>A. K. WEALTH MANAGEMENT PRIVATE LIMITED</t>
  </si>
  <si>
    <t>INP000003674</t>
  </si>
  <si>
    <t>Tejas Dawda</t>
  </si>
  <si>
    <t>603, 6TH FLOOR, WINDSOR, OFF CST ROAD,, KALINA, SANTACRUZ (EAST)</t>
  </si>
  <si>
    <t>cs@akgroup.co.in</t>
  </si>
  <si>
    <t>912267546500</t>
  </si>
  <si>
    <t>912266100594</t>
  </si>
  <si>
    <t>603, 6TH FLOOR, WINDSOR, OFF CST ROAD, KALINA, SANTACRUZ (EAST)</t>
  </si>
  <si>
    <t>May 30, 2016</t>
  </si>
  <si>
    <t>akgroup.co.in</t>
  </si>
  <si>
    <t>DOMAIN::akgroup.co.in</t>
  </si>
  <si>
    <t>VALUEQUEST INVESTMENT ADVISORS PVT. LTD.</t>
  </si>
  <si>
    <t>INP000003724</t>
  </si>
  <si>
    <t>HITEN  GALA</t>
  </si>
  <si>
    <t>QUEST, 6TH FLOOR, 1073, RAJABHAU DESAI MARG,, BEHIND BEAU MONDE TOWERS, PRABHADEVI</t>
  </si>
  <si>
    <t>HITEN@VALUEQUEST.IN</t>
  </si>
  <si>
    <t>9102269394444</t>
  </si>
  <si>
    <t>QUEST, 6TH FLOOR, 1073, RAJABHAU DESAI MARG, BEHIND BEAU MONDE TOWERS, PRABHADEVI</t>
  </si>
  <si>
    <t>Jun 09, 2016</t>
  </si>
  <si>
    <t>valuequest.in</t>
  </si>
  <si>
    <t>DOMAIN::valuequest.in</t>
  </si>
  <si>
    <t>AEQUITAS INVESTMENT CONSULTANCY PRIVATE LIMITED</t>
  </si>
  <si>
    <t>INP000004417</t>
  </si>
  <si>
    <t>Neerav Shah</t>
  </si>
  <si>
    <t>A 1003, The Capital Building, , Behind ICICI Bank, BKC, Bandra   East</t>
  </si>
  <si>
    <t>neerav.shah@aequitasindia.in</t>
  </si>
  <si>
    <t>0222659 2126</t>
  </si>
  <si>
    <t>1003, The Capital Building, BKC</t>
  </si>
  <si>
    <t>Dec 26, 2015</t>
  </si>
  <si>
    <t>aequitasindia.in</t>
  </si>
  <si>
    <t>DOMAIN::aequitasindia.in</t>
  </si>
  <si>
    <t>TVS Capital Funds Private Limited</t>
  </si>
  <si>
    <t>INP000004466</t>
  </si>
  <si>
    <t>S Ravi Krishnan</t>
  </si>
  <si>
    <t>Harita Towers No. 119 2nd Floor, St. Marys Road Abhiramapuram Teynampet</t>
  </si>
  <si>
    <t>s.ravikrishnan@tvscapital.in</t>
  </si>
  <si>
    <t>9104424679400</t>
  </si>
  <si>
    <t>600018</t>
  </si>
  <si>
    <t>Jan 27, 2026</t>
  </si>
  <si>
    <t>tvscapital.in</t>
  </si>
  <si>
    <t>DOMAIN::tvscapital.in</t>
  </si>
  <si>
    <t>AAROHAN HOLDINGS AND ADVISORS PRIVATE LIMITED</t>
  </si>
  <si>
    <t>INP000004599</t>
  </si>
  <si>
    <t>PRABIR CHATTERJEE</t>
  </si>
  <si>
    <t>8 2 120 77 A, FIRST FLOOR, ROAD NO. 2, BANJARA HILLS</t>
  </si>
  <si>
    <t>prabir.chatterjee@aarohanfinance.com</t>
  </si>
  <si>
    <t>91404023546894</t>
  </si>
  <si>
    <t>500034</t>
  </si>
  <si>
    <t>701 RICK ASHE BUILDING ST ANTHONY ROAD, BANDRA WEST</t>
  </si>
  <si>
    <t>400050</t>
  </si>
  <si>
    <t>Dec 17, 2014</t>
  </si>
  <si>
    <t>aarohanfinance.com</t>
  </si>
  <si>
    <t>DOMAIN::aarohanfinance.com</t>
  </si>
  <si>
    <t>ABCHLOR INVESTMENTS PRIVATE LIMITED</t>
  </si>
  <si>
    <t>INP000004904</t>
  </si>
  <si>
    <t>HIMANSHU PERIWAL</t>
  </si>
  <si>
    <t>409, Laxmi Mall, New Link Road, Andheri West</t>
  </si>
  <si>
    <t>himanshu@abchlor.com</t>
  </si>
  <si>
    <t>02202240713322</t>
  </si>
  <si>
    <t>409 Laxmi Mall New Link Road, Andheri West</t>
  </si>
  <si>
    <t>Nov 10, 2015</t>
  </si>
  <si>
    <t>abchlor.com</t>
  </si>
  <si>
    <t>DOMAIN::abchlor.com</t>
  </si>
  <si>
    <t>SOLIDARITY ADVISORS PRIVATE LIMITED</t>
  </si>
  <si>
    <t>INP000004961</t>
  </si>
  <si>
    <t>Naarah Pereira</t>
  </si>
  <si>
    <t>101 Buena Vista, St. Alexius Road, Bandra  West</t>
  </si>
  <si>
    <t>mg@solidarity.in</t>
  </si>
  <si>
    <t>91002249714275</t>
  </si>
  <si>
    <t>704 and 705 Balarama , Bandra Kurla Complex, Bandra East</t>
  </si>
  <si>
    <t>Dec 17, 2015</t>
  </si>
  <si>
    <t>solidarity.in</t>
  </si>
  <si>
    <t>DOMAIN::solidarity.in</t>
  </si>
  <si>
    <t>SAMEEKSHA CAPITAL PRIVATE LIMITED</t>
  </si>
  <si>
    <t>INP000004995</t>
  </si>
  <si>
    <t>Shwetna  Jain</t>
  </si>
  <si>
    <t>SOUTH TOWER 1202 ONE42 BEHIND ASHOK VATIKA, NEAR JAYANTILAL PARK BRTS AMBLI BOPAL ROAD</t>
  </si>
  <si>
    <t>compliance@sameeksha.capital</t>
  </si>
  <si>
    <t>09107935334199</t>
  </si>
  <si>
    <t>380058</t>
  </si>
  <si>
    <t>Jan 22, 2016</t>
  </si>
  <si>
    <t>sameeksha.capital</t>
  </si>
  <si>
    <t>DOMAIN::sameeksha.capital</t>
  </si>
  <si>
    <t>VALENTIS ADVISORS PRIVATE LIMITED</t>
  </si>
  <si>
    <t>INP000005125</t>
  </si>
  <si>
    <t>Ashish Shah</t>
  </si>
  <si>
    <t>312, 12th Floor, Shalaka, 9 M. Karve Road, Cooperage</t>
  </si>
  <si>
    <t>ashish.shah@valentisadvisors.com</t>
  </si>
  <si>
    <t>91222267470251</t>
  </si>
  <si>
    <t>1313, Dalamal Tower, Nariman Point,</t>
  </si>
  <si>
    <t>valentisadvisors.com</t>
  </si>
  <si>
    <t>DOMAIN::valentisadvisors.com</t>
  </si>
  <si>
    <t>2POINT2 CAPITAL ADVISORS LLP</t>
  </si>
  <si>
    <t>INP000005190</t>
  </si>
  <si>
    <t>Arvind Kumar  Patwa</t>
  </si>
  <si>
    <t>D-907, Oberoi Splendor, Opp. Majas Depot,, J.V. Link Road, Andheri East</t>
  </si>
  <si>
    <t>arvind@2point2capital.com</t>
  </si>
  <si>
    <t>002249709470</t>
  </si>
  <si>
    <t>400060</t>
  </si>
  <si>
    <t>914, The Summit Business Bay, Near W.E. Highway Metro Station, Andheri East</t>
  </si>
  <si>
    <t>Jun 30, 2016</t>
  </si>
  <si>
    <t>2point2capital.com</t>
  </si>
  <si>
    <t>DOMAIN::2point2capital.com</t>
  </si>
  <si>
    <t>Invesco Asset Management India Private Limited</t>
  </si>
  <si>
    <t>INP000005273</t>
  </si>
  <si>
    <t>Deenal Dhulia</t>
  </si>
  <si>
    <t>2101 A, 21st Floor, A Wing, Marathon Futurex, N. M. Joshi Marg, Lower Parel</t>
  </si>
  <si>
    <t>deenal.dhulia@invesco.com</t>
  </si>
  <si>
    <t>9102267310155</t>
  </si>
  <si>
    <t>invesco.com</t>
  </si>
  <si>
    <t>DOMAIN::invesco.com</t>
  </si>
  <si>
    <t>NEW BERRY CAPITALS PVT. LTD.</t>
  </si>
  <si>
    <t>INP000005323</t>
  </si>
  <si>
    <t>SANGEET LAKKAR</t>
  </si>
  <si>
    <t>A 602  LEVEL 6 MARATHON NEXT GEN INNOVA, GANPATRAO KADAM MARG LOWER PAREL WEST</t>
  </si>
  <si>
    <t>sangeet@newberry.in</t>
  </si>
  <si>
    <t>002248818479</t>
  </si>
  <si>
    <t>Feb 20, 2017</t>
  </si>
  <si>
    <t>newberry.in</t>
  </si>
  <si>
    <t>DOMAIN::newberry.in</t>
  </si>
  <si>
    <t>SEERS FUND MANAGEMENT PRIVATE LIMITED</t>
  </si>
  <si>
    <t>INP000005398</t>
  </si>
  <si>
    <t>JITENDER SHARMA</t>
  </si>
  <si>
    <t>PLOT NO. 49, 2ND FLOOR, NORTHEX MODEL TOWN, PRINCESS ROAD, , NEAR DAV SCHOOL, GTB NAGAR,</t>
  </si>
  <si>
    <t>compliance@seth.co.in</t>
  </si>
  <si>
    <t>9101204566172</t>
  </si>
  <si>
    <t>110009</t>
  </si>
  <si>
    <t>GOLD F-28/1, 2 &amp; 21, 28TH FLOOR, , WAVE ONE, L 2A, SECTOR 18, NOIDA,</t>
  </si>
  <si>
    <t>Apr 17, 2017</t>
  </si>
  <si>
    <t>seth.co.in</t>
  </si>
  <si>
    <t>DOMAIN::seth.co.in</t>
  </si>
  <si>
    <t>NEGEN CAPITAL SERVICES PRIVATE LIMITED</t>
  </si>
  <si>
    <t>INP000005414</t>
  </si>
  <si>
    <t>Yogen Lavari</t>
  </si>
  <si>
    <t>Trade Point Building, 2nd Floor,, Above Passport Office,Utopia City, Pandurang Budhkar Marg, Lower Parel  W , Delisle Road,</t>
  </si>
  <si>
    <t>yogen@negencapital.com</t>
  </si>
  <si>
    <t>9102268162502</t>
  </si>
  <si>
    <t>CITY HALL, KAMALA MILLS COMPOUND, P.B.MARG, LOWER PAREL WEST</t>
  </si>
  <si>
    <t>Apr 26, 2017</t>
  </si>
  <si>
    <t>negencapital.com</t>
  </si>
  <si>
    <t>DOMAIN::negencapital.com</t>
  </si>
  <si>
    <t>ASK Property Investment Advisors Private Limited</t>
  </si>
  <si>
    <t>INP000005713</t>
  </si>
  <si>
    <t>Rohit  Bhase</t>
  </si>
  <si>
    <t>Birla Aurora, Level 16, Office Floor 9,, Dr. Annie Besant Road, Worli,</t>
  </si>
  <si>
    <t>rbhase@askinvestmentadvisors.com</t>
  </si>
  <si>
    <t>913542266460000</t>
  </si>
  <si>
    <t>Birla Aurora, Level 16, Office Floor 9, Dr. Annie Besant Road, Worli,</t>
  </si>
  <si>
    <t>Jul 03, 2017</t>
  </si>
  <si>
    <t>askinvestmentadvisors.com</t>
  </si>
  <si>
    <t>DOMAIN::askinvestmentadvisors.com</t>
  </si>
  <si>
    <t>SILVERARCH INVESTMENT ADVISERS PRIVATE LIMITED</t>
  </si>
  <si>
    <t>INP000005759</t>
  </si>
  <si>
    <t>Sanjay Nambiar</t>
  </si>
  <si>
    <t>1st Floor, B-Wing, Parinee Crescenzo, G Block BKC , Bandra Kurla Complex, Bandra East</t>
  </si>
  <si>
    <t>sanjeev.patni@silverarchinvest.com</t>
  </si>
  <si>
    <t>0919930039399</t>
  </si>
  <si>
    <t>silverarchinvest.com</t>
  </si>
  <si>
    <t>DOMAIN::silverarchinvest.com</t>
  </si>
  <si>
    <t>Equitree Capital Advisors Private Limited</t>
  </si>
  <si>
    <t>INP000005777</t>
  </si>
  <si>
    <t>Suneet Kabra</t>
  </si>
  <si>
    <t>M-4, President Plaza, Nr. Krushi Mangal Hall, Ring Road</t>
  </si>
  <si>
    <t>pawan@equitreecapital.com</t>
  </si>
  <si>
    <t>9102249055100</t>
  </si>
  <si>
    <t>395002</t>
  </si>
  <si>
    <t>1201, 12th Floor, Tower 1, Indiabulls Finance Center, Elphinstone Road</t>
  </si>
  <si>
    <t>Jul 28, 2017</t>
  </si>
  <si>
    <t>equitreecapital.com</t>
  </si>
  <si>
    <t>DOMAIN::equitreecapital.com</t>
  </si>
  <si>
    <t>Avestha Fund Management LLP</t>
  </si>
  <si>
    <t>INP000005810</t>
  </si>
  <si>
    <t>Chaitanya Kamdar</t>
  </si>
  <si>
    <t>Ground Floor, Plot no. 25, Normandie Building, M L Dahanukar Marg, Carmichael Road, Cumballa Hill</t>
  </si>
  <si>
    <t>farokh@avesthafm.com</t>
  </si>
  <si>
    <t>910222223670080</t>
  </si>
  <si>
    <t>400026</t>
  </si>
  <si>
    <t>Ground Floor, Shanazeen, Babulnath Road, NS Patkar Marg, Mumbai</t>
  </si>
  <si>
    <t>Aug 22, 2017</t>
  </si>
  <si>
    <t>avesthafm.com</t>
  </si>
  <si>
    <t>DOMAIN::avesthafm.com</t>
  </si>
  <si>
    <t>Green Lantern Capital LLP</t>
  </si>
  <si>
    <t>INP000005829</t>
  </si>
  <si>
    <t>Pooja Doshi</t>
  </si>
  <si>
    <t>801, Park Residence, Upper Govind Nagar, Malad East</t>
  </si>
  <si>
    <t>pooja@glcapital.in</t>
  </si>
  <si>
    <t>9102240967201</t>
  </si>
  <si>
    <t>400063</t>
  </si>
  <si>
    <t>201, Udyog Bhavan, Sonawala Marg, Goregaon East, Mumbai</t>
  </si>
  <si>
    <t>Sep 07, 2017</t>
  </si>
  <si>
    <t>glcapital.in</t>
  </si>
  <si>
    <t>DOMAIN::glcapital.in</t>
  </si>
  <si>
    <t>TULSIAN PMS LIMITED</t>
  </si>
  <si>
    <t>INP000005838</t>
  </si>
  <si>
    <t>VINOD AMERIA</t>
  </si>
  <si>
    <t>A-504, A Wing, Kohinoor Square, NC Kelkar Marg, Shivaji Park, Dadar (W),</t>
  </si>
  <si>
    <t>info@tulsianpms.com</t>
  </si>
  <si>
    <t>91229833909511</t>
  </si>
  <si>
    <t>A504, A Wing, Kohinoor Square, NC Kelkar Marg, Shivaji Park</t>
  </si>
  <si>
    <t>Sep 26, 2017</t>
  </si>
  <si>
    <t>tulsianpms.com</t>
  </si>
  <si>
    <t>DOMAIN::tulsianpms.com</t>
  </si>
  <si>
    <t>Capitalmind Financial Services Private Limited</t>
  </si>
  <si>
    <t>INP000005847</t>
  </si>
  <si>
    <t>Aditi Dalmia</t>
  </si>
  <si>
    <t>2323 Prakash Arcade 17th Cross 27th Main, 1st Sector HSR Layout</t>
  </si>
  <si>
    <t>compliance@capitalmind.in</t>
  </si>
  <si>
    <t>91007903606811</t>
  </si>
  <si>
    <t>560102</t>
  </si>
  <si>
    <t>Sep 27, 2017</t>
  </si>
  <si>
    <t>capitalmind.in</t>
  </si>
  <si>
    <t>DOMAIN::capitalmind.in</t>
  </si>
  <si>
    <t>QRC Investment Advisors LLP</t>
  </si>
  <si>
    <t>INP000005892</t>
  </si>
  <si>
    <t>Aparna Iyer</t>
  </si>
  <si>
    <t>4 Floor 1 ST 9 Capri Manav Mandir Road , Teen Batti Malabar Hill</t>
  </si>
  <si>
    <t>finance@qrcia.in</t>
  </si>
  <si>
    <t>9102235747678</t>
  </si>
  <si>
    <t>400006</t>
  </si>
  <si>
    <t>QRC Investment Advisors LLP Office 6 Engineers Premises, 9395 Mumbai Samachar Marg Kala Ghoda Fort</t>
  </si>
  <si>
    <t>Feb 27, 2024</t>
  </si>
  <si>
    <t>qrcia.in</t>
  </si>
  <si>
    <t>DOMAIN::qrcia.in</t>
  </si>
  <si>
    <t>DMZ Partners Investment Management LLP</t>
  </si>
  <si>
    <t>INP000005944</t>
  </si>
  <si>
    <t>Mitesh Shah</t>
  </si>
  <si>
    <t>705 Nirman Kendra, Off E Moses Road, Mahalaxmi</t>
  </si>
  <si>
    <t>soumil@dmzpartners.in</t>
  </si>
  <si>
    <t>9102224965361</t>
  </si>
  <si>
    <t>400011</t>
  </si>
  <si>
    <t>Feb 23, 2018</t>
  </si>
  <si>
    <t>dmzpartners.in</t>
  </si>
  <si>
    <t>DOMAIN::dmzpartners.in</t>
  </si>
  <si>
    <t>Chanakya Capital Services Private Limited</t>
  </si>
  <si>
    <t>INP000006040</t>
  </si>
  <si>
    <t>Vivek Jain</t>
  </si>
  <si>
    <t>F-115, Nahar &amp; Seth Industrial Estate,, Next to P &amp; G Plaza, Chakala, Andheri East</t>
  </si>
  <si>
    <t>vivek.jain@chanakyacapital.in</t>
  </si>
  <si>
    <t>910229509062900</t>
  </si>
  <si>
    <t>F-115, Nahar &amp; Seth Industrial Estate, Next to P &amp; G Plaza, Chakala, Andheri East</t>
  </si>
  <si>
    <t>Jun 25, 2018</t>
  </si>
  <si>
    <t>chanakyacapital.in</t>
  </si>
  <si>
    <t>DOMAIN::chanakyacapital.in</t>
  </si>
  <si>
    <t>T.RAM FINANCIAL SERVICES PRIVATE LIMITED</t>
  </si>
  <si>
    <t>INP000006068</t>
  </si>
  <si>
    <t>VEDALAKSHMI PARAMESWARAN</t>
  </si>
  <si>
    <t>No 15, SIXTH STREET  NANDANAM EXTENSION</t>
  </si>
  <si>
    <t>subashr@tramfsl.com</t>
  </si>
  <si>
    <t>9104424335067</t>
  </si>
  <si>
    <t>600035</t>
  </si>
  <si>
    <t>Jul 16, 2018</t>
  </si>
  <si>
    <t>tramfsl.com</t>
  </si>
  <si>
    <t>DOMAIN::tramfsl.com</t>
  </si>
  <si>
    <t>Agreya Capital Advisors LLP</t>
  </si>
  <si>
    <t>INP000006077</t>
  </si>
  <si>
    <t>KRISHNAN V</t>
  </si>
  <si>
    <t>No. 360, 6th Main, 1st Block,, Koramangala</t>
  </si>
  <si>
    <t>krishnan@agreyacapital.com</t>
  </si>
  <si>
    <t>008041690158</t>
  </si>
  <si>
    <t>560034</t>
  </si>
  <si>
    <t>No. 360, 6th Main, 1st Block, Koramangala</t>
  </si>
  <si>
    <t>Jul 18, 2018</t>
  </si>
  <si>
    <t>agreyacapital.com</t>
  </si>
  <si>
    <t>DOMAIN::agreyacapital.com</t>
  </si>
  <si>
    <t>MICROSEC WEALTH MANAGEMENT LIMITED</t>
  </si>
  <si>
    <t>INP000006086</t>
  </si>
  <si>
    <t>RAHUL SINGH</t>
  </si>
  <si>
    <t>AZIMGUNJ HOUSE, 2ND FLOOR, 7 ABANINDRA NATH THAKUR SARANI, FORMERLY CAMAC STREET</t>
  </si>
  <si>
    <t>rksingh@microsec.in</t>
  </si>
  <si>
    <t>9103322829330</t>
  </si>
  <si>
    <t>Jul 23, 2018</t>
  </si>
  <si>
    <t>microsec.in</t>
  </si>
  <si>
    <t>DOMAIN::microsec.in</t>
  </si>
  <si>
    <t>STALLION ASSET PRIVATE LIMITED</t>
  </si>
  <si>
    <t>INP000006129</t>
  </si>
  <si>
    <t>Rohit Jeswani</t>
  </si>
  <si>
    <t>1406A Brighton Tower, Road No-2, Lokhandwala Complex, Andheri West</t>
  </si>
  <si>
    <t>compliance@stallionasset.com</t>
  </si>
  <si>
    <t>9102268680258</t>
  </si>
  <si>
    <t>5th Floor, Jet Prime Building, Suren Road Gundavali Andheri East</t>
  </si>
  <si>
    <t>Aug 31, 2018</t>
  </si>
  <si>
    <t>stallionasset.com</t>
  </si>
  <si>
    <t>DOMAIN::stallionasset.com</t>
  </si>
  <si>
    <t>JOINDRE CAPITAL SERVICES LIMITED</t>
  </si>
  <si>
    <t>INP000006138</t>
  </si>
  <si>
    <t>Ayodhyaprasad Shukla</t>
  </si>
  <si>
    <t>29-32,3rd Floor,9/15, Bansilal Building,  , Homi Modi Street, Fort,</t>
  </si>
  <si>
    <t>shuklaap@joindre.com</t>
  </si>
  <si>
    <t>02202240334728</t>
  </si>
  <si>
    <t>400023</t>
  </si>
  <si>
    <t>Botawala Bldg, 2nd Floor, 11/13, Horniman Circle, Fort, Mumbai</t>
  </si>
  <si>
    <t>Sep 27, 2018</t>
  </si>
  <si>
    <t>joindre.com</t>
  </si>
  <si>
    <t>DOMAIN::joindre.com</t>
  </si>
  <si>
    <t>CapGrow Capital Advisors LLP</t>
  </si>
  <si>
    <t>INP000006147</t>
  </si>
  <si>
    <t>Ruchi Malhotra</t>
  </si>
  <si>
    <t>15TH FLOOR 1519 LODHA CODENAME NO 1 ONE LODHA PLACE, SENAPATI BAPAT MARG LOWER PAREL WEST DELISLE ROAD</t>
  </si>
  <si>
    <t>operations@capgrowcapital.com</t>
  </si>
  <si>
    <t>9102244504456</t>
  </si>
  <si>
    <t>203 A Gitanjali Arcade 2nd Floor Nehru road, Vile Parle east</t>
  </si>
  <si>
    <t>400057</t>
  </si>
  <si>
    <t>Oct 05, 2018</t>
  </si>
  <si>
    <t>capgrowcapital.com</t>
  </si>
  <si>
    <t>DOMAIN::capgrowcapital.com</t>
  </si>
  <si>
    <t>Sky Impact Capital Advisors LLP</t>
  </si>
  <si>
    <t>INP000006165</t>
  </si>
  <si>
    <t>Mahesh Devadiga</t>
  </si>
  <si>
    <t>1102, Lodha Supremus Worli, Dr. E Moses Road, Worli</t>
  </si>
  <si>
    <t>aakash@sfglobal.sg</t>
  </si>
  <si>
    <t>9102268699000</t>
  </si>
  <si>
    <t>Oct 17, 2018</t>
  </si>
  <si>
    <t>sfglobal.sg</t>
  </si>
  <si>
    <t>DOMAIN::sfglobal.sg</t>
  </si>
  <si>
    <t>Wallfort Fund Management LLP</t>
  </si>
  <si>
    <t>INP000006192</t>
  </si>
  <si>
    <t>Chirag Jain</t>
  </si>
  <si>
    <t>207, Floor 2, Plot-5 B,Jeevan Vihar,, Manav Mandir Road, Teen Batti</t>
  </si>
  <si>
    <t>chirag@wallfortpms.com</t>
  </si>
  <si>
    <t>09108591350158</t>
  </si>
  <si>
    <t>209, 2nd Floor,58/64 Hari Chambers, Shahid Bhagat Singh Marg,Fort,</t>
  </si>
  <si>
    <t>Oct 23, 2018</t>
  </si>
  <si>
    <t>wallfortpms.com</t>
  </si>
  <si>
    <t>DOMAIN::wallfortpms.com</t>
  </si>
  <si>
    <t>Sundaram Alternate Assets Limited</t>
  </si>
  <si>
    <t>INP000006271</t>
  </si>
  <si>
    <t>K Rajagopal</t>
  </si>
  <si>
    <t>21, Patullos Road</t>
  </si>
  <si>
    <t>rajagopalk@sundaramalternates.com</t>
  </si>
  <si>
    <t>9104428569863</t>
  </si>
  <si>
    <t>600002</t>
  </si>
  <si>
    <t>Alamelu Terrace Citi Bank Building , 3rd floor 163 Anna salai  Chennai</t>
  </si>
  <si>
    <t>Nov 29, 2018</t>
  </si>
  <si>
    <t>sundaramalternates.com</t>
  </si>
  <si>
    <t>DOMAIN::sundaramalternates.com</t>
  </si>
  <si>
    <t>Klay Securities Private Limited</t>
  </si>
  <si>
    <t>INP000006280</t>
  </si>
  <si>
    <t>Niren Vora</t>
  </si>
  <si>
    <t>1402, ONE BKC, B-Wing, G - Block, Bandra Kurla Complex Bandra East</t>
  </si>
  <si>
    <t>compliance@klaygroup.com</t>
  </si>
  <si>
    <t>9102269106000</t>
  </si>
  <si>
    <t>klaygroup.com</t>
  </si>
  <si>
    <t>DOMAIN::klaygroup.com</t>
  </si>
  <si>
    <t>Itus Capital Advisors Pvt Ltd</t>
  </si>
  <si>
    <t>INP000006341</t>
  </si>
  <si>
    <t>Nandakumar B</t>
  </si>
  <si>
    <t>II Floor,Old No. 50, New No. 40, 2nd Main Road, RA Puram</t>
  </si>
  <si>
    <t>naveenc@ituscapital.com</t>
  </si>
  <si>
    <t>9104448629561</t>
  </si>
  <si>
    <t>ituscapital.com</t>
  </si>
  <si>
    <t>DOMAIN::ituscapital.com</t>
  </si>
  <si>
    <t>CARNELIAN ASSET MANAGEMENT &amp; ADVISORS PRIVATE LIMITED</t>
  </si>
  <si>
    <t>INP000006387</t>
  </si>
  <si>
    <t>Chirag Chad</t>
  </si>
  <si>
    <t>1205/1206, ONE LODHA PLACE, SENAPATI BAPAT MARG, LOWER PAREL (WEST) DELSIE ROAD</t>
  </si>
  <si>
    <t>compliance@carneliancapital.co.in</t>
  </si>
  <si>
    <t>9102269374175</t>
  </si>
  <si>
    <t>1205 1206 One Lodha Place Senapati Bapat Marg, Lower Parel West Delsie Road</t>
  </si>
  <si>
    <t>Feb 22, 2019</t>
  </si>
  <si>
    <t>carneliancapital.co.in</t>
  </si>
  <si>
    <t>DOMAIN::carneliancapital.co.in</t>
  </si>
  <si>
    <t>COMPOSITE INVESTMENTS PRIVATE LIMITED</t>
  </si>
  <si>
    <t>INP000006396</t>
  </si>
  <si>
    <t>PRAKASH NAYAK BADAGABETTU</t>
  </si>
  <si>
    <t>NO 30/1 3RD FLOOR, S J TOWERS MISSION ROAD</t>
  </si>
  <si>
    <t>prakash@compositeinvestments.com</t>
  </si>
  <si>
    <t>91808022244912</t>
  </si>
  <si>
    <t>560027</t>
  </si>
  <si>
    <t>Feb 23, 2019</t>
  </si>
  <si>
    <t>compositeinvestments.com</t>
  </si>
  <si>
    <t>DOMAIN::compositeinvestments.com</t>
  </si>
  <si>
    <t>ITI Alternate Funds Management Limited</t>
  </si>
  <si>
    <t>INP000006402</t>
  </si>
  <si>
    <t>Komal Rathod</t>
  </si>
  <si>
    <t>ITI House, 36, Dr. R. K. Shirodkar Road, Parel</t>
  </si>
  <si>
    <t>pmscompliance@itiorg.com</t>
  </si>
  <si>
    <t>9102266214749</t>
  </si>
  <si>
    <t>Feb 27, 2019</t>
  </si>
  <si>
    <t>itiorg.com</t>
  </si>
  <si>
    <t>DOMAIN::itiorg.com</t>
  </si>
  <si>
    <t>BHANA EQUITY ADVISORS LLP</t>
  </si>
  <si>
    <t>INP000006411</t>
  </si>
  <si>
    <t>Himanshu Bhana</t>
  </si>
  <si>
    <t>410 Raheja Chambers, 213 Nariman Point</t>
  </si>
  <si>
    <t>hbhana@beallp.com</t>
  </si>
  <si>
    <t>09102240040612</t>
  </si>
  <si>
    <t>410 Raheja Cjambers, 213 Nariman Point</t>
  </si>
  <si>
    <t>Feb 28, 2019</t>
  </si>
  <si>
    <t>beallp.com</t>
  </si>
  <si>
    <t>DOMAIN::beallp.com</t>
  </si>
  <si>
    <t>Hanut Alternate Investments LLP</t>
  </si>
  <si>
    <t>INP000006439</t>
  </si>
  <si>
    <t>Varun Sahay</t>
  </si>
  <si>
    <t>B 21 Grand Paradi August Kranti Marg, Kemps s Corner</t>
  </si>
  <si>
    <t>compliance@hanutcapital.com</t>
  </si>
  <si>
    <t>0919903822429</t>
  </si>
  <si>
    <t>400036</t>
  </si>
  <si>
    <t>Grosvenor House, 21 Camac Street</t>
  </si>
  <si>
    <t>700016</t>
  </si>
  <si>
    <t>Mar 12, 2019</t>
  </si>
  <si>
    <t>hanutcapital.com</t>
  </si>
  <si>
    <t>DOMAIN::hanutcapital.com</t>
  </si>
  <si>
    <t>ithought Financial consulting LLP</t>
  </si>
  <si>
    <t>INP000006448</t>
  </si>
  <si>
    <t>SARAVANAKUMAR VELUCHAMY</t>
  </si>
  <si>
    <t>LEVEL 5, CAPITALE TOWERS, , 555,ANNASALAI, TEYNAMPET, CHENNAI</t>
  </si>
  <si>
    <t>saravanan@ithought.co.in</t>
  </si>
  <si>
    <t>9104443308171</t>
  </si>
  <si>
    <t>Mar 13, 2019</t>
  </si>
  <si>
    <t>ithought.co.in</t>
  </si>
  <si>
    <t>DOMAIN::ithought.co.in</t>
  </si>
  <si>
    <t>SKP SECURITIES LIMITED</t>
  </si>
  <si>
    <t>INP000006509</t>
  </si>
  <si>
    <t>GAURAV AGARWAL</t>
  </si>
  <si>
    <t>BIOWONDER, 1702 &amp; 1703 , 789, Anandapur, Eastern Metropolitan Bypass , Near Fortis Hospital</t>
  </si>
  <si>
    <t>gaurav.agarwal@skpsecurities.com</t>
  </si>
  <si>
    <t>9103366777029</t>
  </si>
  <si>
    <t>700107</t>
  </si>
  <si>
    <t>Mar 27, 2019</t>
  </si>
  <si>
    <t>skpsecurities.com</t>
  </si>
  <si>
    <t>DOMAIN::skpsecurities.com</t>
  </si>
  <si>
    <t>Kriis Portfolio Pvt. Ltd.</t>
  </si>
  <si>
    <t>INP000006545</t>
  </si>
  <si>
    <t>Mansi Nagda</t>
  </si>
  <si>
    <t>Office no. 606, R-square, LBS Marg, Mulund West</t>
  </si>
  <si>
    <t>info@kriis.in</t>
  </si>
  <si>
    <t>0919773013207</t>
  </si>
  <si>
    <t>400080</t>
  </si>
  <si>
    <t>Apr 03, 2019</t>
  </si>
  <si>
    <t>kriis.in</t>
  </si>
  <si>
    <t>DOMAIN::kriis.in</t>
  </si>
  <si>
    <t>Guardian Asset Management Private Limited</t>
  </si>
  <si>
    <t>INP000006563</t>
  </si>
  <si>
    <t>Prayaga Sitaram</t>
  </si>
  <si>
    <t>8th Floor, Phoenix Lithop Building,  Plot No 573 D3 E3 and F3 Road Number 1 Jubilee Hills</t>
  </si>
  <si>
    <t>info@gampms.in</t>
  </si>
  <si>
    <t>9104000000000</t>
  </si>
  <si>
    <t>500033</t>
  </si>
  <si>
    <t>Apr 04, 2019</t>
  </si>
  <si>
    <t>gampms.in</t>
  </si>
  <si>
    <t>DOMAIN::gampms.in</t>
  </si>
  <si>
    <t>Kedia Shares &amp; Stocks Brokers Ltd</t>
  </si>
  <si>
    <t>INP000006590</t>
  </si>
  <si>
    <t>Rakesh Agrawal</t>
  </si>
  <si>
    <t>Kedia Shares &amp; Stocks Brokers Ltd., B-3505, KOHINOOR SQUARE, N. C. KELKAR MARG, R. G. GADKARI CHOWK, SHIVAJI PARK, DADAR WEST</t>
  </si>
  <si>
    <t>Compliance@kediashares.com</t>
  </si>
  <si>
    <t>9102246049268</t>
  </si>
  <si>
    <t>kediashares.com</t>
  </si>
  <si>
    <t>DOMAIN::kediashares.com</t>
  </si>
  <si>
    <t>OAKLANE CAPITAL MANAGEMENT LLP</t>
  </si>
  <si>
    <t>INP000006624</t>
  </si>
  <si>
    <t>Swapnil Walimbe</t>
  </si>
  <si>
    <t>104, 1st Floor, Panchsheel, P.M. Shukla Marg, Plot No. 53, C Road, Churchgate</t>
  </si>
  <si>
    <t>swapnil.walimbe@oaklanecapital.com</t>
  </si>
  <si>
    <t>09102041214014</t>
  </si>
  <si>
    <t>801, ONYX TOWERS, NORTH MAIN ROAD  KOREGAON PARK, PUNE.</t>
  </si>
  <si>
    <t>411001</t>
  </si>
  <si>
    <t>Apr 05, 2019</t>
  </si>
  <si>
    <t>oaklanecapital.com</t>
  </si>
  <si>
    <t>DOMAIN::oaklanecapital.com</t>
  </si>
  <si>
    <t>Piper Serica Advisors Private Limited</t>
  </si>
  <si>
    <t>INP000006749</t>
  </si>
  <si>
    <t>Ajaykumar  Modi</t>
  </si>
  <si>
    <t>A Wing 905 &amp; 906, Marathon Innova Nextgen,, off. G.K. Marg, Opp Peninsula Corporate Park, Lower Parel,</t>
  </si>
  <si>
    <t>ajay@piperserica.com</t>
  </si>
  <si>
    <t>9102266545370</t>
  </si>
  <si>
    <t>222, 2nd Floor, TV Industrial Estate,  , S.K.Ahire Marg, Worli</t>
  </si>
  <si>
    <t>piperserica.com</t>
  </si>
  <si>
    <t>DOMAIN::piperserica.com</t>
  </si>
  <si>
    <t>Merisis Advisors Private Limited</t>
  </si>
  <si>
    <t>INP000006846</t>
  </si>
  <si>
    <t>Sumir Verma</t>
  </si>
  <si>
    <t>106 and 107, Balarama Building, Opp. Sales Tax Office, Bandra Kurla Complex</t>
  </si>
  <si>
    <t>sumir@merisis.in</t>
  </si>
  <si>
    <t>9108048521059</t>
  </si>
  <si>
    <t>504, Shashmira Centre, 176 Vidyanagari, CST Road, Santacruz East</t>
  </si>
  <si>
    <t>Jul 24, 2019</t>
  </si>
  <si>
    <t>merisis.in</t>
  </si>
  <si>
    <t>DOMAIN::merisis.in</t>
  </si>
  <si>
    <t>Moneylife Advisory Services Pvt Ltd</t>
  </si>
  <si>
    <t>INP000006873</t>
  </si>
  <si>
    <t>Pankaj Raheja</t>
  </si>
  <si>
    <t>201, 2nd Floor, Vinayak Angan, , Old Prabhadevi Road</t>
  </si>
  <si>
    <t>support@moneylife.in</t>
  </si>
  <si>
    <t>9102249205000</t>
  </si>
  <si>
    <t>9102249205022</t>
  </si>
  <si>
    <t>316, 3rd Floor, Hind Service Industries Premises, Off Veer Savarkar Marg, Shivaji Park, Dadar West</t>
  </si>
  <si>
    <t>Sep 09, 2019</t>
  </si>
  <si>
    <t>moneylife.in</t>
  </si>
  <si>
    <t>DOMAIN::moneylife.in</t>
  </si>
  <si>
    <t>Pelican Holdings Private Limited</t>
  </si>
  <si>
    <t>INP000006891</t>
  </si>
  <si>
    <t>DEEPAK RADHAKRISHNAN</t>
  </si>
  <si>
    <t>NO 18 TRINITY HOUSE 2ND FLOOR, 4TH STREET TIRUMURTHI NAGAR NUNGAMBAKKAM</t>
  </si>
  <si>
    <t>DEEPAK@PELICANPMS.COM</t>
  </si>
  <si>
    <t>9104448570806</t>
  </si>
  <si>
    <t>600034</t>
  </si>
  <si>
    <t>Oct 16, 2019</t>
  </si>
  <si>
    <t>pelicanpms.com</t>
  </si>
  <si>
    <t>DOMAIN::pelicanpms.com</t>
  </si>
  <si>
    <t>Helios Capital Asset Management (India) Private Limited</t>
  </si>
  <si>
    <t>INP000006916</t>
  </si>
  <si>
    <t>Abhinav  Khemani</t>
  </si>
  <si>
    <t>The Capital, 515A, 5th Floor, Plot C70, Bandra Kurla Complex, Bandra East</t>
  </si>
  <si>
    <t>abhinav_khemani@helioscapital.in</t>
  </si>
  <si>
    <t>9102267319619</t>
  </si>
  <si>
    <t>Oct 30, 2019</t>
  </si>
  <si>
    <t>helioscapital.in</t>
  </si>
  <si>
    <t>DOMAIN::helioscapital.in</t>
  </si>
  <si>
    <t>WILLOW ADVISORS LLP</t>
  </si>
  <si>
    <t>INP000006925</t>
  </si>
  <si>
    <t>Vaibhavi Gala</t>
  </si>
  <si>
    <t>302 A, Floor G, Plot 102, Sylverton Building, Nathalal Parikh Marg, Colaba</t>
  </si>
  <si>
    <t>compliance@willowadvisors.in</t>
  </si>
  <si>
    <t>9102222181074</t>
  </si>
  <si>
    <t>400005</t>
  </si>
  <si>
    <t>Nov 18, 2019</t>
  </si>
  <si>
    <t>willowadvisors.in</t>
  </si>
  <si>
    <t>DOMAIN::willowadvisors.in</t>
  </si>
  <si>
    <t>Sageone Investment Managers LLP</t>
  </si>
  <si>
    <t>INP000006943</t>
  </si>
  <si>
    <t>Anurag Bende</t>
  </si>
  <si>
    <t>Bunglow 56, Cloud 9,, NIBM Road, Kondhwa,</t>
  </si>
  <si>
    <t>ab@sageoneinvestments.com</t>
  </si>
  <si>
    <t>9102029970077</t>
  </si>
  <si>
    <t>411048</t>
  </si>
  <si>
    <t>Bunglow 56, Cloud 9, NIBM Road, Kondhwa,</t>
  </si>
  <si>
    <t>Nov 22, 2019</t>
  </si>
  <si>
    <t>sageoneinvestments.com</t>
  </si>
  <si>
    <t>DOMAIN::sageoneinvestments.com</t>
  </si>
  <si>
    <t>PGIM India Asset Management Private Limited</t>
  </si>
  <si>
    <t>INP000006952</t>
  </si>
  <si>
    <t>Sandeep Kamath</t>
  </si>
  <si>
    <t>4th Floor, C Wing,  Laxmi Towers, Bandra Kurla Complex, , Bandra East</t>
  </si>
  <si>
    <t>sandeep.kamath@pgimindia.com</t>
  </si>
  <si>
    <t>9102261593000</t>
  </si>
  <si>
    <t>Dec 12, 2019</t>
  </si>
  <si>
    <t>pgimindia.com</t>
  </si>
  <si>
    <t>DOMAIN::pgimindia.com</t>
  </si>
  <si>
    <t>White Whale Partners LLP</t>
  </si>
  <si>
    <t>INP000006970</t>
  </si>
  <si>
    <t>Shapath Parikh</t>
  </si>
  <si>
    <t>206, Prospect Chambers, 2nd Floor, Dr. D. N. Road, Fort</t>
  </si>
  <si>
    <t>sparikh@whitewhale.in</t>
  </si>
  <si>
    <t>910009920011828</t>
  </si>
  <si>
    <t>Jan 14, 2020</t>
  </si>
  <si>
    <t>whitewhale.in</t>
  </si>
  <si>
    <t>DOMAIN::whitewhale.in</t>
  </si>
  <si>
    <t>NAFA ASSET MANAGERS PRIVATE LIMITED</t>
  </si>
  <si>
    <t>INP000006989</t>
  </si>
  <si>
    <t>Deepali More</t>
  </si>
  <si>
    <t>302, Naman Centre, Plot No. C - 31, G Block,, Bandra Kurla Complex,  Bandra East</t>
  </si>
  <si>
    <t>deepalimore@nafaassetmanagers.com</t>
  </si>
  <si>
    <t>9102268478318</t>
  </si>
  <si>
    <t>302, Naman Centre, Plot No. C - 31, G Block, Bandra Kurla Complex,  Bandra East</t>
  </si>
  <si>
    <t>Jan 20, 2020</t>
  </si>
  <si>
    <t>nafaassetmanagers.com</t>
  </si>
  <si>
    <t>DOMAIN::nafaassetmanagers.com</t>
  </si>
  <si>
    <t>PACE FINANCIAL INVESTMENT ADVISER PRIVATE LIMITED</t>
  </si>
  <si>
    <t>INP000006998</t>
  </si>
  <si>
    <t>Shahnawaz Hussain</t>
  </si>
  <si>
    <t>A 1 291 GF SAFDARJUNG DEVELP AREA, NEW DELHI</t>
  </si>
  <si>
    <t>compliance@pace360.in</t>
  </si>
  <si>
    <t>9101147421001</t>
  </si>
  <si>
    <t>110029</t>
  </si>
  <si>
    <t>Jul 03, 2020</t>
  </si>
  <si>
    <t>pace360.in</t>
  </si>
  <si>
    <t>DOMAIN::pace360.in</t>
  </si>
  <si>
    <t>ROHA ASSET MANAGERS LLP</t>
  </si>
  <si>
    <t>INP000007030</t>
  </si>
  <si>
    <t>RONAK MEHTA</t>
  </si>
  <si>
    <t>JJT HOUSE A 44/45 ROAD NO 2 MIDC, ANDHERI EAST MUMBAI</t>
  </si>
  <si>
    <t>ronak.mehta@rohaassetmanagers.com</t>
  </si>
  <si>
    <t>9102249767774</t>
  </si>
  <si>
    <t>Jul 29, 2020</t>
  </si>
  <si>
    <t>rohaassetmanagers.com</t>
  </si>
  <si>
    <t>DOMAIN::rohaassetmanagers.com</t>
  </si>
  <si>
    <t>Burman Capital Management Private Limited</t>
  </si>
  <si>
    <t>INP100007091</t>
  </si>
  <si>
    <t>Divya Marwah</t>
  </si>
  <si>
    <t>4th Floor, Punjabi Bhawan, 10 Rouse Avenue</t>
  </si>
  <si>
    <t>compliance@burmancapital.com</t>
  </si>
  <si>
    <t>9101171206000</t>
  </si>
  <si>
    <t>1st Floor, ASHI Bhawan, 19, Rouse Avenue</t>
  </si>
  <si>
    <t>Nov 17, 2020</t>
  </si>
  <si>
    <t>burmancapital.com</t>
  </si>
  <si>
    <t>DOMAIN::burmancapital.com</t>
  </si>
  <si>
    <t>BRAIN POINT Investment Centre Pvt Ltd</t>
  </si>
  <si>
    <t>INP000007119</t>
  </si>
  <si>
    <t>VANDANA KASHIKAR</t>
  </si>
  <si>
    <t>401 Terminal 9 Next to Orchid Hotel Near Domestic Airport  Nehru Road Vile Parle East</t>
  </si>
  <si>
    <t>vandana@brainpointinv.com</t>
  </si>
  <si>
    <t>9102226636300</t>
  </si>
  <si>
    <t>Dec 16, 2020</t>
  </si>
  <si>
    <t>brainpointinv.com</t>
  </si>
  <si>
    <t>DOMAIN::brainpointinv.com</t>
  </si>
  <si>
    <t>INP000007128</t>
  </si>
  <si>
    <t>Unit No. 1203, 12th Floor, B Wing, The Capital Building, C 70, G Block, Bandra Kurla Complex, Bandra East</t>
  </si>
  <si>
    <t>incred.compliance@incred.com</t>
  </si>
  <si>
    <t>912241611500</t>
  </si>
  <si>
    <t>Dec 31, 2020</t>
  </si>
  <si>
    <t>incred.com</t>
  </si>
  <si>
    <t>DOMAIN::incred.com</t>
  </si>
  <si>
    <t>Fractal Capital Investments LLP</t>
  </si>
  <si>
    <t>INP000007146</t>
  </si>
  <si>
    <t>MEET DAND</t>
  </si>
  <si>
    <t>C-402 Lokhandwala Residency, Off Dr E Moses Road, Manjrekar Marg, Worli</t>
  </si>
  <si>
    <t>miten@fractalcapital.in</t>
  </si>
  <si>
    <t>9102262640870</t>
  </si>
  <si>
    <t>AWFIS, 10th Floor A-Wing, Parinee Crescenzo, G Block, BKC, Bandra East</t>
  </si>
  <si>
    <t>Jan 12, 2021</t>
  </si>
  <si>
    <t>fractalcapital.in</t>
  </si>
  <si>
    <t>DOMAIN::fractalcapital.in</t>
  </si>
  <si>
    <t>Magadh Capital Advisors LLP</t>
  </si>
  <si>
    <t>INP000007155</t>
  </si>
  <si>
    <t>RAJESH SAHU</t>
  </si>
  <si>
    <t>801, Floor 8 Tower 1, Terra, Planet Godrej, Keshavrao Khadye Marg, Saat Rasta, Jacob Circle, Mumbai,, Maharashtra 400011, India</t>
  </si>
  <si>
    <t>rajesh.sahu@magadhcapital.com</t>
  </si>
  <si>
    <t>000919937672026</t>
  </si>
  <si>
    <t>801, Floor 8 Tower 1, Terra, Planet Godrej, Keshavrao Khadye Marg, Saat Rasta, Jacob Circle, Mumbai, Maharashtra 400011, India</t>
  </si>
  <si>
    <t>Feb 15, 2021</t>
  </si>
  <si>
    <t>magadhcapital.com</t>
  </si>
  <si>
    <t>DOMAIN::magadhcapital.com</t>
  </si>
  <si>
    <t>Profusion Investment Advisors LLP</t>
  </si>
  <si>
    <t>INP000007173</t>
  </si>
  <si>
    <t>Archana Gaglani</t>
  </si>
  <si>
    <t>306 Raheja Centre, Plot 0214, Free Press Journal Marg, Nariman Point</t>
  </si>
  <si>
    <t>archana.gaglani@profusioncapital.com</t>
  </si>
  <si>
    <t>910008424006020</t>
  </si>
  <si>
    <t>302 Moti Villa, Azad Road, Ville Parle East</t>
  </si>
  <si>
    <t>Mar 01, 2021</t>
  </si>
  <si>
    <t>profusioncapital.com</t>
  </si>
  <si>
    <t>DOMAIN::profusioncapital.com</t>
  </si>
  <si>
    <t>Value Prolific Investments and Consulting Private Limited</t>
  </si>
  <si>
    <t>INP100007189</t>
  </si>
  <si>
    <t>Pratap  Singh</t>
  </si>
  <si>
    <t>F-3 , Bhagat Singh Market, New Delhi</t>
  </si>
  <si>
    <t>pratap.singh@valpro.co.in</t>
  </si>
  <si>
    <t>9101146001023</t>
  </si>
  <si>
    <t>A-125, Neeti Bagh, New Delhi</t>
  </si>
  <si>
    <t>110049</t>
  </si>
  <si>
    <t>Apr 01, 2021</t>
  </si>
  <si>
    <t>valpro.co.in</t>
  </si>
  <si>
    <t>DOMAIN::valpro.co.in</t>
  </si>
  <si>
    <t>Molecule Ventures LLP</t>
  </si>
  <si>
    <t>INP000007216</t>
  </si>
  <si>
    <t>Anchal Goenka</t>
  </si>
  <si>
    <t>Office No. B-904, Tower B, Swastik Universal, Dumas Road, Near Valentine Cinema</t>
  </si>
  <si>
    <t>anchal@moleculeventures.in</t>
  </si>
  <si>
    <t>9102613599804</t>
  </si>
  <si>
    <t>1302, B Wing, Naman Midtown Building, FP No. 616 Tulsi Pipe Road, Dr. Ambedkar Nagar, Senapati Bapat Marg, Elphinstone West</t>
  </si>
  <si>
    <t>May 31, 2021</t>
  </si>
  <si>
    <t>moleculeventures.in</t>
  </si>
  <si>
    <t>DOMAIN::moleculeventures.in</t>
  </si>
  <si>
    <t>Northern Arc Investment Managers Private Limited</t>
  </si>
  <si>
    <t>INP200007265</t>
  </si>
  <si>
    <t>Dhiraj  Gupta</t>
  </si>
  <si>
    <t>IITM Research Park, Phase I, 10th Floor, 1, Kanagam Village, Behind Tidel Park, Taramani</t>
  </si>
  <si>
    <t>Dhiraj.Gupta@NorthernArc.com</t>
  </si>
  <si>
    <t>9102266687500</t>
  </si>
  <si>
    <t>600113</t>
  </si>
  <si>
    <t>604 &amp; 605, 6th Floor, Wing A Inspire BKC, G Block, Patthar Nagar Bandra Kurla Complex Bandra East</t>
  </si>
  <si>
    <t>Aug 27, 2021</t>
  </si>
  <si>
    <t>northernarc.com</t>
  </si>
  <si>
    <t>DOMAIN::northernarc.com</t>
  </si>
  <si>
    <t>Prescientcap Investment Advisors LLP</t>
  </si>
  <si>
    <t>INP100007286</t>
  </si>
  <si>
    <t>Sumit Kumar</t>
  </si>
  <si>
    <t>Unit No. 227, Second Floor, DLF Star Tower, Sector 30, Silokara Road</t>
  </si>
  <si>
    <t>sumit@prescientcap.com</t>
  </si>
  <si>
    <t>9101248882371273</t>
  </si>
  <si>
    <t>Oct 26, 2021</t>
  </si>
  <si>
    <t>prescientcap.com</t>
  </si>
  <si>
    <t>DOMAIN::prescientcap.com</t>
  </si>
  <si>
    <t>PRUDENT INVESTMENT MANAGERS LLP</t>
  </si>
  <si>
    <t>INP000007298</t>
  </si>
  <si>
    <t>KAJAL SETH</t>
  </si>
  <si>
    <t>B/903, Building No B Wing-2, Shabari Aashiana , CTS No. 42/4, Deonar Farm Road Doenar Near Reserve Bank</t>
  </si>
  <si>
    <t>kajal.seth@prudentim.com</t>
  </si>
  <si>
    <t>91229920696768</t>
  </si>
  <si>
    <t>400088</t>
  </si>
  <si>
    <t>Parinee Crescenzo, First Floor B Wing, G Block, BKC, Bandra East</t>
  </si>
  <si>
    <t>Nov 16, 2021</t>
  </si>
  <si>
    <t>prudentim.com</t>
  </si>
  <si>
    <t>DOMAIN::prudentim.com</t>
  </si>
  <si>
    <t>STOCKHOLDING SERVICES LIMITED</t>
  </si>
  <si>
    <t>INP000007304</t>
  </si>
  <si>
    <t>Rajneesh Singh</t>
  </si>
  <si>
    <t>SHCIL House, Plot No.P-51, TTC Industrial Area, MIDC, Mahape, Navi Mumbai</t>
  </si>
  <si>
    <t>rajneesh_singh@stockholding.com</t>
  </si>
  <si>
    <t>9102261778600</t>
  </si>
  <si>
    <t>400710</t>
  </si>
  <si>
    <t>stockholding.com</t>
  </si>
  <si>
    <t>DOMAIN::stockholding.com</t>
  </si>
  <si>
    <t>Maximal Capital Private Limited</t>
  </si>
  <si>
    <t>INP000007313</t>
  </si>
  <si>
    <t>Chinar Sheth</t>
  </si>
  <si>
    <t>409, Nirman Kendra premises Co-op Society Ltd, Dr E Moses Road, Jacob Circle Mahalakshmi West, Mumba, Dr E Moses Road, Jacob Circle Mahalakshmi West,</t>
  </si>
  <si>
    <t>sarvesh@maximalcapital.com</t>
  </si>
  <si>
    <t>9102246036351</t>
  </si>
  <si>
    <t>Jan 21, 2022</t>
  </si>
  <si>
    <t>maximalcapital.com</t>
  </si>
  <si>
    <t>DOMAIN::maximalcapital.com</t>
  </si>
  <si>
    <t>White Pine Investment Management Private Limited</t>
  </si>
  <si>
    <t>INP000007331</t>
  </si>
  <si>
    <t>Keshav Karwa</t>
  </si>
  <si>
    <t>A1302, A Wing, Millenium Court Building, Jogeshwari west</t>
  </si>
  <si>
    <t>Keshav.karwa@whitepineim.com</t>
  </si>
  <si>
    <t>91229892389102</t>
  </si>
  <si>
    <t>400102</t>
  </si>
  <si>
    <t>Feb 07, 2022</t>
  </si>
  <si>
    <t>whitepineim.com</t>
  </si>
  <si>
    <t>DOMAIN::whitepineim.com</t>
  </si>
  <si>
    <t>Shree Rama Managers LLP</t>
  </si>
  <si>
    <t>INP300007341</t>
  </si>
  <si>
    <t>Gaurav Rampuria</t>
  </si>
  <si>
    <t>24 Sarat Bose Road,, 4th Floor,</t>
  </si>
  <si>
    <t>compliance@shreerama.co.in</t>
  </si>
  <si>
    <t>9103335442516</t>
  </si>
  <si>
    <t>24 Sarat Bose Road, 4th Floor,</t>
  </si>
  <si>
    <t>Feb 11, 2022</t>
  </si>
  <si>
    <t>shreerama.co.in</t>
  </si>
  <si>
    <t>DOMAIN::shreerama.co.in</t>
  </si>
  <si>
    <t>True Beacon Investment Advisors LLP</t>
  </si>
  <si>
    <t>INP200007353</t>
  </si>
  <si>
    <t>Sandhya Rai</t>
  </si>
  <si>
    <t>New No. 114, Old No. 72.8, Cunningham Road, SRT Road</t>
  </si>
  <si>
    <t>sandhya@truebeacon.com</t>
  </si>
  <si>
    <t>00919004090212</t>
  </si>
  <si>
    <t>560051</t>
  </si>
  <si>
    <t>Mar 09, 2022</t>
  </si>
  <si>
    <t>truebeacon.com</t>
  </si>
  <si>
    <t>DOMAIN::truebeacon.com</t>
  </si>
  <si>
    <t>Complete CircleWealth Solutions LLP</t>
  </si>
  <si>
    <t>INP100007365</t>
  </si>
  <si>
    <t>Vinod Singhania</t>
  </si>
  <si>
    <t>911, Tolstoy House, Tolstoy Marg, New Delhi, Central Delhi</t>
  </si>
  <si>
    <t>vinod@completecirclewealth.com</t>
  </si>
  <si>
    <t>91011454644730</t>
  </si>
  <si>
    <t>Mar 22, 2022</t>
  </si>
  <si>
    <t>completecirclewealth.com</t>
  </si>
  <si>
    <t>DOMAIN::completecirclewealth.com</t>
  </si>
  <si>
    <t>Sahasrar Capital Private Limited</t>
  </si>
  <si>
    <t>INP000007386</t>
  </si>
  <si>
    <t>Mayur Patwa</t>
  </si>
  <si>
    <t>Office no 205, Ten Square, Next to Mount Caramel School, Bibwewadi Kondhwa Road Pune City</t>
  </si>
  <si>
    <t>Mayur@sahasrarcapital.com</t>
  </si>
  <si>
    <t>9109850110448</t>
  </si>
  <si>
    <t>411040</t>
  </si>
  <si>
    <t>Mar 29, 2022</t>
  </si>
  <si>
    <t>sahasrarcapital.com</t>
  </si>
  <si>
    <t>DOMAIN::sahasrarcapital.com</t>
  </si>
  <si>
    <t>InvestSavvy Portfolio Management LLP</t>
  </si>
  <si>
    <t>INP000007395</t>
  </si>
  <si>
    <t>Anurag Goel</t>
  </si>
  <si>
    <t>B2204, Chaitanya Towers,, A.M. Marg, Near Saraswat Bank</t>
  </si>
  <si>
    <t>ashish.goel@invsetsavvy.in</t>
  </si>
  <si>
    <t>0220919820261323</t>
  </si>
  <si>
    <t>B2204, Chaitanya Towers, A.M. Marg, Near Saraswat Bank</t>
  </si>
  <si>
    <t>invsetsavvy.in</t>
  </si>
  <si>
    <t>DOMAIN::invsetsavvy.in</t>
  </si>
  <si>
    <t>AlphaGrep Investment Management Private Limited</t>
  </si>
  <si>
    <t>INP000007401</t>
  </si>
  <si>
    <t>Ankit  Parikh</t>
  </si>
  <si>
    <t>Unit no. 12, A05, 13th Floor, Parinee Crescenzo, G Block, Bandra Kurla Complex, Bandra East, Mumbai</t>
  </si>
  <si>
    <t>compliance.in@alphagrepim.com</t>
  </si>
  <si>
    <t>9102268858719</t>
  </si>
  <si>
    <t>Unit no. 1406, 14th Floor, Parinee Crescenzo,</t>
  </si>
  <si>
    <t>Apr 16, 2025</t>
  </si>
  <si>
    <t>alphagrepim.com</t>
  </si>
  <si>
    <t>DOMAIN::alphagrepim.com</t>
  </si>
  <si>
    <t>INCRED ASSET MANAGEMENT PRIVATE LIMITED</t>
  </si>
  <si>
    <t>INP000007410</t>
  </si>
  <si>
    <t>Dhawal Mehta</t>
  </si>
  <si>
    <t>Unit no 1203, B Wing The Capital , Plot No C 70, G Block, BKC, Bandra East</t>
  </si>
  <si>
    <t>dhawal.mehta@incredamc.com</t>
  </si>
  <si>
    <t>9102268446100</t>
  </si>
  <si>
    <t>May 02, 2022</t>
  </si>
  <si>
    <t>incredamc.com</t>
  </si>
  <si>
    <t>DOMAIN::incredamc.com</t>
  </si>
  <si>
    <t>Multiples Alternate Asset Management Private Limited</t>
  </si>
  <si>
    <t>INP000007429</t>
  </si>
  <si>
    <t>Shweta  Laddha</t>
  </si>
  <si>
    <t>701A Poonam Chambers BWing Dr Annie Besant Road Worli</t>
  </si>
  <si>
    <t>CompliancePMS@multiplesequity.com</t>
  </si>
  <si>
    <t>91022266245555</t>
  </si>
  <si>
    <t>May 10, 2022</t>
  </si>
  <si>
    <t>multiplesequity.com</t>
  </si>
  <si>
    <t>DOMAIN::multiplesequity.com</t>
  </si>
  <si>
    <t>Fireside Investment Advisory LLP</t>
  </si>
  <si>
    <t>INP200007441</t>
  </si>
  <si>
    <t>Kanwaljit  Singh</t>
  </si>
  <si>
    <t>1st Floor Miraya Rose, , Varthur Hobli.</t>
  </si>
  <si>
    <t>kanwal@firesideventures.com</t>
  </si>
  <si>
    <t>910009886467535</t>
  </si>
  <si>
    <t>Jul 04, 2022</t>
  </si>
  <si>
    <t>firesideventures.com</t>
  </si>
  <si>
    <t>DOMAIN::firesideventures.com</t>
  </si>
  <si>
    <t>RP-SG Ventures Advisory LLP</t>
  </si>
  <si>
    <t>INP000007456</t>
  </si>
  <si>
    <t>Abhishek Goenka</t>
  </si>
  <si>
    <t>2nd Floor, Spencer Building, 30 Forjett Street, Grant Road</t>
  </si>
  <si>
    <t>abhishek@rpsgcapital.vc</t>
  </si>
  <si>
    <t>9101243541131</t>
  </si>
  <si>
    <t>2nd Floor, Tower A, Infinity Tower, DLF Cybercity</t>
  </si>
  <si>
    <t>Jul 21, 2022</t>
  </si>
  <si>
    <t>rpsgcapital.vc</t>
  </si>
  <si>
    <t>DOMAIN::rpsgcapital.vc</t>
  </si>
  <si>
    <t>Singularity AMC LLP</t>
  </si>
  <si>
    <t>INP000007474</t>
  </si>
  <si>
    <t>Yash Kela</t>
  </si>
  <si>
    <t>A 1404, 14th Floor, Naman Midtown, Near India Bulls, Senapati Bapat Marg, Elphinstone</t>
  </si>
  <si>
    <t>santosh@skothari.com</t>
  </si>
  <si>
    <t>9102222424480</t>
  </si>
  <si>
    <t>Jul 25, 2022</t>
  </si>
  <si>
    <t>skothari.com</t>
  </si>
  <si>
    <t>DOMAIN::skothari.com</t>
  </si>
  <si>
    <t>XPONENTIA CAPITAL PARTNERS LLP</t>
  </si>
  <si>
    <t>INP000007483</t>
  </si>
  <si>
    <t>Varuna Agarwal</t>
  </si>
  <si>
    <t>Apartment No 201B Sarjan Plaza, 100 Dr Annie Besant Road Worli</t>
  </si>
  <si>
    <t>varuna@xponentia.in</t>
  </si>
  <si>
    <t>910009833949536</t>
  </si>
  <si>
    <t>Jul 29, 2022</t>
  </si>
  <si>
    <t>xponentia.in</t>
  </si>
  <si>
    <t>DOMAIN::xponentia.in</t>
  </si>
  <si>
    <t>Orios Advisors LLP</t>
  </si>
  <si>
    <t>INP000007508</t>
  </si>
  <si>
    <t>Alok Jain</t>
  </si>
  <si>
    <t>Dextrus A802 Crescenzo C3839 G Bandra Kurla Complex Bandra East</t>
  </si>
  <si>
    <t>gaurav@oriosvp.com</t>
  </si>
  <si>
    <t>9102261576868</t>
  </si>
  <si>
    <t>Jul 30, 2024</t>
  </si>
  <si>
    <t>oriosvp.com</t>
  </si>
  <si>
    <t>DOMAIN::oriosvp.com</t>
  </si>
  <si>
    <t>HPMG Shares and Securities Private Limited</t>
  </si>
  <si>
    <t>INP000007517</t>
  </si>
  <si>
    <t>Abhijeet Hegishte</t>
  </si>
  <si>
    <t>B 201 202 Rajkamal SV Road, Kandivali West</t>
  </si>
  <si>
    <t>ABHIJIT@HPMGSHARES.COM</t>
  </si>
  <si>
    <t>002262317670</t>
  </si>
  <si>
    <t>400067</t>
  </si>
  <si>
    <t>Aug 10, 2022</t>
  </si>
  <si>
    <t>hpmgshares.com</t>
  </si>
  <si>
    <t>DOMAIN::hpmgshares.com</t>
  </si>
  <si>
    <t>Electrum Portfolio Managers Private Limited</t>
  </si>
  <si>
    <t>INP000007544</t>
  </si>
  <si>
    <t>Rakesh Garg</t>
  </si>
  <si>
    <t>1301,13th Floor, Morya Grand, Off New Link Road, Opp Infinity Mall, Andheri West</t>
  </si>
  <si>
    <t>Rakesh@electrumcapital.in</t>
  </si>
  <si>
    <t>9102249692465</t>
  </si>
  <si>
    <t>Sep 08, 2022</t>
  </si>
  <si>
    <t>electrumcapital.in</t>
  </si>
  <si>
    <t>DOMAIN::electrumcapital.in</t>
  </si>
  <si>
    <t>BLACKSOIL ASSET MANAGEMENT PRIVATE LIMITED</t>
  </si>
  <si>
    <t>INP000007553</t>
  </si>
  <si>
    <t>ISHAN PATEL</t>
  </si>
  <si>
    <t>1203 Floor 12 Lodha Supremus Senapati Bapat Marg , Lower Parel Delisle Road Mumbai Maharashtra 400 013 India.</t>
  </si>
  <si>
    <t>ishanpatel@blacksoil.co.in</t>
  </si>
  <si>
    <t>9102224812200</t>
  </si>
  <si>
    <t>Sep 16, 2022</t>
  </si>
  <si>
    <t>blacksoil.co.in</t>
  </si>
  <si>
    <t>DOMAIN::blacksoil.co.in</t>
  </si>
  <si>
    <t>Speciale Incept Advisors LLP</t>
  </si>
  <si>
    <t>INP200007566</t>
  </si>
  <si>
    <t>Vishesh Rajaram</t>
  </si>
  <si>
    <t>85 5 D2 Block 3, Aibea Nagar  First Main Road Thiruvanmiyur</t>
  </si>
  <si>
    <t>vishesh.rajaram@specialeinvest.com</t>
  </si>
  <si>
    <t>9109940086522</t>
  </si>
  <si>
    <t>600041</t>
  </si>
  <si>
    <t>Sep 19, 2022</t>
  </si>
  <si>
    <t>specialeinvest.com</t>
  </si>
  <si>
    <t>DOMAIN::specialeinvest.com</t>
  </si>
  <si>
    <t>Valtrust Partners LLP</t>
  </si>
  <si>
    <t>INP100007578</t>
  </si>
  <si>
    <t>Anushri Chandak</t>
  </si>
  <si>
    <t>Unit 315 and 315A, Rectangle 1, D-4, Saket, Saket (South Delhi)</t>
  </si>
  <si>
    <t>co@valtrustcapital.com</t>
  </si>
  <si>
    <t>91004428341032</t>
  </si>
  <si>
    <t>110017</t>
  </si>
  <si>
    <t>Oct 06, 2022</t>
  </si>
  <si>
    <t>valtrustcapital.com</t>
  </si>
  <si>
    <t>DOMAIN::valtrustcapital.com</t>
  </si>
  <si>
    <t>MANSI SHARE &amp; STOCK BROKING PRIVATE LIMITED</t>
  </si>
  <si>
    <t>INP000007605</t>
  </si>
  <si>
    <t>Mithilesh Mehta</t>
  </si>
  <si>
    <t>B 201 AVIRAHI BUILDING, S V ROAD  BORIVALI WEST</t>
  </si>
  <si>
    <t>pms@mansishares.in</t>
  </si>
  <si>
    <t>9102240503800</t>
  </si>
  <si>
    <t>400092</t>
  </si>
  <si>
    <t>Nov 07, 2022</t>
  </si>
  <si>
    <t>mansishares.in</t>
  </si>
  <si>
    <t>DOMAIN::mansishares.in</t>
  </si>
  <si>
    <t>Investcorp India Asset Managers Private Limited</t>
  </si>
  <si>
    <t>INP000007632</t>
  </si>
  <si>
    <t>Sapna Kannaidas</t>
  </si>
  <si>
    <t>Unit no. 02, 6th Floor, Jet Airways Godrej BKC, Plot C 68, G Block, Bandra Kurla Complex, Bandra East</t>
  </si>
  <si>
    <t>skannaidas@investcorp.com</t>
  </si>
  <si>
    <t>9102250102046</t>
  </si>
  <si>
    <t>Nov 15, 2022</t>
  </si>
  <si>
    <t>investcorp.com</t>
  </si>
  <si>
    <t>DOMAIN::investcorp.com</t>
  </si>
  <si>
    <t>Neo Alternative Asset Managers Private Limited</t>
  </si>
  <si>
    <t>INP000007641</t>
  </si>
  <si>
    <t>Ankit Saraf</t>
  </si>
  <si>
    <t>903, B Wing, 9th Floor, Marathon Futurex, Mafatlal Mills Compound, N. M. Joshi Marg, Lower Parel</t>
  </si>
  <si>
    <t>ankit.saraf@neoassetmanagement.com</t>
  </si>
  <si>
    <t>910009870152063</t>
  </si>
  <si>
    <t>Nov 24, 2022</t>
  </si>
  <si>
    <t>neoassetmanagement.com</t>
  </si>
  <si>
    <t>DOMAIN::neoassetmanagement.com</t>
  </si>
  <si>
    <t>Vallum Capital Advisors Private Limited</t>
  </si>
  <si>
    <t>INP000007650</t>
  </si>
  <si>
    <t>Madhavi Gore</t>
  </si>
  <si>
    <t>B-403, Kanakia Wall Street, , Andheri Kurla Road, Chakala MIDC</t>
  </si>
  <si>
    <t>madhavi.gore@vallum.in</t>
  </si>
  <si>
    <t>910228655664538</t>
  </si>
  <si>
    <t>Nov 30, 2022</t>
  </si>
  <si>
    <t>vallum.in</t>
  </si>
  <si>
    <t>DOMAIN::vallum.in</t>
  </si>
  <si>
    <t>Himalaya Investment Advisors LLP</t>
  </si>
  <si>
    <t>INP200007672</t>
  </si>
  <si>
    <t>Surya Vijayakumar</t>
  </si>
  <si>
    <t>R 1102, Tower 7, Adarsh Palm Retreat, Ballandur, Near Ecoworld, Devrabisnahalli</t>
  </si>
  <si>
    <t>compliance@everflowpartners.com</t>
  </si>
  <si>
    <t>009663137527</t>
  </si>
  <si>
    <t>Dec 02, 2022</t>
  </si>
  <si>
    <t>everflowpartners.com</t>
  </si>
  <si>
    <t>DOMAIN::everflowpartners.com</t>
  </si>
  <si>
    <t>Fireside Ventures Advisory LLP</t>
  </si>
  <si>
    <t>INP200007690</t>
  </si>
  <si>
    <t>Dipanjan Basu</t>
  </si>
  <si>
    <t>1st Floor Miraya Rose, Varthur Hobli, Bangalore</t>
  </si>
  <si>
    <t>dipanjan@firesideventures.com</t>
  </si>
  <si>
    <t>910009611944993</t>
  </si>
  <si>
    <t>Dec 13, 2022</t>
  </si>
  <si>
    <t>Antler Innovation India Private Limited</t>
  </si>
  <si>
    <t>INP200007733</t>
  </si>
  <si>
    <t>Nitin  Sharma</t>
  </si>
  <si>
    <t>2nd Floor 2981, 12th Main Road HAL 2nd Stage Indiranagar</t>
  </si>
  <si>
    <t>nitin@antler.co</t>
  </si>
  <si>
    <t>000919930767884</t>
  </si>
  <si>
    <t>560038</t>
  </si>
  <si>
    <t>antler.co</t>
  </si>
  <si>
    <t>DOMAIN::antler.co</t>
  </si>
  <si>
    <t>SWYOM ADVISORS LIMITED</t>
  </si>
  <si>
    <t>INP300007712</t>
  </si>
  <si>
    <t>Veena Joshi</t>
  </si>
  <si>
    <t>11A M D ROAD 2ND FLOOR, ROOM NO 1</t>
  </si>
  <si>
    <t>compliance@swyom.com</t>
  </si>
  <si>
    <t>91009009619000900</t>
  </si>
  <si>
    <t>700007</t>
  </si>
  <si>
    <t>Office No. B 912, Kanakia Wall Street, Chakala Junction, Andheri East.</t>
  </si>
  <si>
    <t>swyom.com</t>
  </si>
  <si>
    <t>DOMAIN::swyom.com</t>
  </si>
  <si>
    <t>True North Credit Fund Managers LLP</t>
  </si>
  <si>
    <t>INP000007748</t>
  </si>
  <si>
    <t>SUSHIM DESAI</t>
  </si>
  <si>
    <t>Suite F9C Grand Hyatt Plaza, Santacruz East</t>
  </si>
  <si>
    <t>compliance@truenorth.co.in</t>
  </si>
  <si>
    <t>9102266824821</t>
  </si>
  <si>
    <t>Dec 30, 2022</t>
  </si>
  <si>
    <t>truenorth.co.in</t>
  </si>
  <si>
    <t>DOMAIN::truenorth.co.in</t>
  </si>
  <si>
    <t>Stalwart Investment Advisors LLP</t>
  </si>
  <si>
    <t>INP000007757</t>
  </si>
  <si>
    <t>Isha Sharma</t>
  </si>
  <si>
    <t>AD 33B, Shalimar Bagh, New Delhi</t>
  </si>
  <si>
    <t>pms@stalwartvalue.com</t>
  </si>
  <si>
    <t>0919599154124</t>
  </si>
  <si>
    <t>110088</t>
  </si>
  <si>
    <t>1005, 10TH FLOOR, KLJ TOWER, NETAJI SUBHASH PLACE, PITAMPURA</t>
  </si>
  <si>
    <t>110034</t>
  </si>
  <si>
    <t>Jan 04, 2023</t>
  </si>
  <si>
    <t>stalwartvalue.com</t>
  </si>
  <si>
    <t>DOMAIN::stalwartvalue.com</t>
  </si>
  <si>
    <t>Epiq Capital Investment Advisory LLP</t>
  </si>
  <si>
    <t>INP000007793</t>
  </si>
  <si>
    <t>Kamlesh Patre</t>
  </si>
  <si>
    <t>Birla Aurora, Level 15, Dr. Annie Besant Road, Worli</t>
  </si>
  <si>
    <t>comp@epiqcapital.com</t>
  </si>
  <si>
    <t>9102262817100</t>
  </si>
  <si>
    <t>Jan 18, 2023</t>
  </si>
  <si>
    <t>epiqcapital.com</t>
  </si>
  <si>
    <t>DOMAIN::epiqcapital.com</t>
  </si>
  <si>
    <t>Zeva Capsol Private Limited</t>
  </si>
  <si>
    <t>INP000007872</t>
  </si>
  <si>
    <t>Anil  Gudibande</t>
  </si>
  <si>
    <t>101 Siddhivinayak 1st Road Union Park , Khar West</t>
  </si>
  <si>
    <t>anil.gudibande@1crowd.co</t>
  </si>
  <si>
    <t>00919821141938</t>
  </si>
  <si>
    <t>400052</t>
  </si>
  <si>
    <t>Mar 10, 2023</t>
  </si>
  <si>
    <t>1crowd.co</t>
  </si>
  <si>
    <t>DOMAIN::1crowd.co</t>
  </si>
  <si>
    <t>MAXIOM ASSET MANAGEMENT PRIVATE LIMITED</t>
  </si>
  <si>
    <t>INP000007881</t>
  </si>
  <si>
    <t>Sudheer  Modadugu</t>
  </si>
  <si>
    <t>Villa No. 53 Maple Town Sun City, Hydershakote, Don Bosco Post, Hyderguda, Hyderabad, Rajendranagar</t>
  </si>
  <si>
    <t>ram@maxiomassetmanagement.com</t>
  </si>
  <si>
    <t>00919550290118</t>
  </si>
  <si>
    <t>500048</t>
  </si>
  <si>
    <t>C4 Awfis, 3rd Floor, Plot 800, Rd 36, Jubilee Hills</t>
  </si>
  <si>
    <t>maxiomassetmanagement.com</t>
  </si>
  <si>
    <t>DOMAIN::maxiomassetmanagement.com</t>
  </si>
  <si>
    <t>MARKETS MOJO ASSET MANAGEMENT PRIVATE LIMITED</t>
  </si>
  <si>
    <t>INP000007890</t>
  </si>
  <si>
    <t>Leena Joyson</t>
  </si>
  <si>
    <t>Benefice Business House, Office No. 3B, 3rd Floor, C.S. 242, Mathuradas Mills Estate, N.M. Joshi Marg, Tulsi Pipe Road, Lower Parel West</t>
  </si>
  <si>
    <t>compliance@mojopms.com</t>
  </si>
  <si>
    <t>9102235121238</t>
  </si>
  <si>
    <t>mojopms.com</t>
  </si>
  <si>
    <t>DOMAIN::mojopms.com</t>
  </si>
  <si>
    <t>Moneygrow Asset Private Limited</t>
  </si>
  <si>
    <t>INP000007915</t>
  </si>
  <si>
    <t>Pooja Gupta</t>
  </si>
  <si>
    <t>B 1202 Vivarea Sane Guruji Marg, Mahalaxmi</t>
  </si>
  <si>
    <t>pooja.gupta@moneygrowindia.com</t>
  </si>
  <si>
    <t>91229833876605</t>
  </si>
  <si>
    <t>804 Lodha Supremus 2 Senapati Bapat Marg, Lower Parel West</t>
  </si>
  <si>
    <t>Mar 14, 2023</t>
  </si>
  <si>
    <t>moneygrowindia.com</t>
  </si>
  <si>
    <t>DOMAIN::moneygrowindia.com</t>
  </si>
  <si>
    <t>PRP Edge Wealth Private Limited</t>
  </si>
  <si>
    <t>INP000007960</t>
  </si>
  <si>
    <t>Sankalp Nayak</t>
  </si>
  <si>
    <t>507, 5th Floor, Eros City Square, Rosewood City, Sector 49 &amp; 50</t>
  </si>
  <si>
    <t>compliance@alphaamoney.com</t>
  </si>
  <si>
    <t>9101244249000</t>
  </si>
  <si>
    <t>122018</t>
  </si>
  <si>
    <t>Mar 27, 2023</t>
  </si>
  <si>
    <t>alphaamoney.com</t>
  </si>
  <si>
    <t>DOMAIN::alphaamoney.com</t>
  </si>
  <si>
    <t>Svan Investment Managers LLP</t>
  </si>
  <si>
    <t>INP000007988</t>
  </si>
  <si>
    <t>Vasha Kasera</t>
  </si>
  <si>
    <t>B1001, Kanakia Wall Street,, Andheri Kurla Road, Andheri East,</t>
  </si>
  <si>
    <t>jigars@svaninvestments.com</t>
  </si>
  <si>
    <t>9102268767700</t>
  </si>
  <si>
    <t>B1001, Kanakia Wall Street, Andheri Kurla Road, Andheri East,</t>
  </si>
  <si>
    <t>svaninvestments.com</t>
  </si>
  <si>
    <t>DOMAIN::svaninvestments.com</t>
  </si>
  <si>
    <t>Svobodha Infinity Investment Advisors Private Limited</t>
  </si>
  <si>
    <t>INP000008011</t>
  </si>
  <si>
    <t>Kranthi Chaitanya Pulluru</t>
  </si>
  <si>
    <t>1-2-302, Domalguda</t>
  </si>
  <si>
    <t>kranthi@savart.com</t>
  </si>
  <si>
    <t>00919885012380</t>
  </si>
  <si>
    <t>500029</t>
  </si>
  <si>
    <t>Plot No. 19/1, Huda Techno Enclave, Hi Tech City, Madhapur</t>
  </si>
  <si>
    <t>500081</t>
  </si>
  <si>
    <t>Apr 12, 2023</t>
  </si>
  <si>
    <t>savart.com</t>
  </si>
  <si>
    <t>DOMAIN::savart.com</t>
  </si>
  <si>
    <t>RBSA Investment Manager LLP</t>
  </si>
  <si>
    <t>INP000008048</t>
  </si>
  <si>
    <t>Sweety Solanki</t>
  </si>
  <si>
    <t>9th, 912, Venus Atlantis Corporate Park, , Anandnagar Main Road, Prahlad Nagar,</t>
  </si>
  <si>
    <t>compliance@rbsainvest.in</t>
  </si>
  <si>
    <t>09107940506037</t>
  </si>
  <si>
    <t>Apr 26, 2023</t>
  </si>
  <si>
    <t>rbsainvest.in</t>
  </si>
  <si>
    <t>DOMAIN::rbsainvest.in</t>
  </si>
  <si>
    <t>ASK Investment Managers Limited</t>
  </si>
  <si>
    <t>INP000008066</t>
  </si>
  <si>
    <t>Amit Gupta</t>
  </si>
  <si>
    <t>Birla Aurora, 16 level, Office Floor 9, , Dr Annie Besant Road, Worli,</t>
  </si>
  <si>
    <t>agupta@askinvestmentmanagers.com</t>
  </si>
  <si>
    <t>9102266520000</t>
  </si>
  <si>
    <t>May 04, 2023</t>
  </si>
  <si>
    <t>askinvestmentmanagers.com</t>
  </si>
  <si>
    <t>DOMAIN::askinvestmentmanagers.com</t>
  </si>
  <si>
    <t>FOUR DIMENSIONS ADVISORS PRIVATE LIMITED</t>
  </si>
  <si>
    <t>INP000008084</t>
  </si>
  <si>
    <t>Hiral Prajapati</t>
  </si>
  <si>
    <t>209-210 Arcadia Building, 2nd Floor, N.C.P.A Marg, 195, Nariman Point, Mumbai</t>
  </si>
  <si>
    <t>hiral@gcvl.in</t>
  </si>
  <si>
    <t>9102240198600</t>
  </si>
  <si>
    <t>May 10, 2023</t>
  </si>
  <si>
    <t>gcvl.in</t>
  </si>
  <si>
    <t>DOMAIN::gcvl.in</t>
  </si>
  <si>
    <t>FORTUNA  ASSET MANAGERS LLP</t>
  </si>
  <si>
    <t>INP000008093</t>
  </si>
  <si>
    <t>Suraj Malik</t>
  </si>
  <si>
    <t>COWRKS, GROUND FLOOR AND FIRST FLOOR, WORLDMARK 1,, ASSET AREA 11, AEROCITY, HOSPITALITY DISTRICT, INDIRA GANDHI INTERNATIONAL AIRPORT, NH-8,</t>
  </si>
  <si>
    <t>info@fortunaadvisors.in</t>
  </si>
  <si>
    <t>91009958620315</t>
  </si>
  <si>
    <t>GF and FF, Asset Area 11, CoWrks, Worldmark 1, Aerocity, New Delhi</t>
  </si>
  <si>
    <t>May 12, 2023</t>
  </si>
  <si>
    <t>fortunaadvisors.in</t>
  </si>
  <si>
    <t>DOMAIN::fortunaadvisors.in</t>
  </si>
  <si>
    <t>THINQWISE WEALTH MANAGERS LLP</t>
  </si>
  <si>
    <t>INP000008109</t>
  </si>
  <si>
    <t>NITESH MORE</t>
  </si>
  <si>
    <t>CS 77 Flat B3203 Floor 32 One Avighna Park Currey Road , Mahadev Palav Marg Near Bharat Mata Cinema Parel</t>
  </si>
  <si>
    <t>compliance@thinqwise.com</t>
  </si>
  <si>
    <t>9102249605300</t>
  </si>
  <si>
    <t>Office No 203 A 2nd Floor Centre Point Premises Co op Society LTD 100, Dr Ambedkar Road Opp Bharat Mata Cinema Lalbaug Parel</t>
  </si>
  <si>
    <t>May 16, 2023</t>
  </si>
  <si>
    <t>thinqwise.com</t>
  </si>
  <si>
    <t>DOMAIN::thinqwise.com</t>
  </si>
  <si>
    <t>Sowilo Investment Managers LLP</t>
  </si>
  <si>
    <t>INP000008127</t>
  </si>
  <si>
    <t>Arvind  Chirania</t>
  </si>
  <si>
    <t>57 Ground Floor Virwani Industrial Estate, Off WEH Goregaon East</t>
  </si>
  <si>
    <t>arvind.c@sowilo.co.in</t>
  </si>
  <si>
    <t>9102242570100</t>
  </si>
  <si>
    <t>Jun 05, 2023</t>
  </si>
  <si>
    <t>sowilo.co.in</t>
  </si>
  <si>
    <t>DOMAIN::sowilo.co.in</t>
  </si>
  <si>
    <t>Sohum Asset Managers Private Limited</t>
  </si>
  <si>
    <t>INP000008136</t>
  </si>
  <si>
    <t>Harshad Babade</t>
  </si>
  <si>
    <t>611 A Wing, INS Tower, Plot No.C 63, G Block Bandra Kurla Complex,, Bandra East, Opp. Indian Oil Petrol Pump</t>
  </si>
  <si>
    <t>compliance@sohumamc.com</t>
  </si>
  <si>
    <t>910229619760033</t>
  </si>
  <si>
    <t>611, INS Tower A wing, Bandra Kurla Comlpex, Bandra East</t>
  </si>
  <si>
    <t>Jun 06, 2023</t>
  </si>
  <si>
    <t>sohumamc.com</t>
  </si>
  <si>
    <t>DOMAIN::sohumamc.com</t>
  </si>
  <si>
    <t>Gaja Alternative Asset Management Limited</t>
  </si>
  <si>
    <t>INP000008154</t>
  </si>
  <si>
    <t>Imran Jafar</t>
  </si>
  <si>
    <t>G-133, Sarita Vihar, New Delhi</t>
  </si>
  <si>
    <t>abhinav.jain@gajacapital.com</t>
  </si>
  <si>
    <t>9102224212280</t>
  </si>
  <si>
    <t>110044</t>
  </si>
  <si>
    <t>1402, Tower 2B, One World Centre</t>
  </si>
  <si>
    <t>Jun 09, 2023</t>
  </si>
  <si>
    <t>gajacapital.com</t>
  </si>
  <si>
    <t>DOMAIN::gajacapital.com</t>
  </si>
  <si>
    <t>LC Capital India Private Limited</t>
  </si>
  <si>
    <t>INP000008163</t>
  </si>
  <si>
    <t>Nrithya Ganam</t>
  </si>
  <si>
    <t>Building 9000, Plot no. 7, SY no. 542, MN Park Phase II</t>
  </si>
  <si>
    <t>nrithya.ganam@lighthouse-canton.com</t>
  </si>
  <si>
    <t>91009176290695</t>
  </si>
  <si>
    <t>500078</t>
  </si>
  <si>
    <t>Hotel Aloft, 5B AeroCity, IGI Road</t>
  </si>
  <si>
    <t>Jun 27, 2023</t>
  </si>
  <si>
    <t>lighthouse-canton.com</t>
  </si>
  <si>
    <t>DOMAIN::lighthouse-canton.com</t>
  </si>
  <si>
    <t>Corporate Business Advisors Private Limited</t>
  </si>
  <si>
    <t>INP000008190</t>
  </si>
  <si>
    <t>Rekha Singh</t>
  </si>
  <si>
    <t>BE/2C, DDA Flats Munirka New Delhi, South Delhi 110067, India</t>
  </si>
  <si>
    <t>rekha@cbacapital.in</t>
  </si>
  <si>
    <t>9101126186149</t>
  </si>
  <si>
    <t>110067</t>
  </si>
  <si>
    <t>Jul 10, 2023</t>
  </si>
  <si>
    <t>cbacapital.in</t>
  </si>
  <si>
    <t>DOMAIN::cbacapital.in</t>
  </si>
  <si>
    <t>Lighthouse AMC Private Limited</t>
  </si>
  <si>
    <t>INP000008215</t>
  </si>
  <si>
    <t>Tarun Pande</t>
  </si>
  <si>
    <t>1904, Raheja Altimus, Dr. GM, Bhosale Marg,  , Opp. Mahindra Tower, Worli</t>
  </si>
  <si>
    <t>tarum@lhfunds.com</t>
  </si>
  <si>
    <t>9102242021000</t>
  </si>
  <si>
    <t>lhfunds.com</t>
  </si>
  <si>
    <t>DOMAIN::lhfunds.com</t>
  </si>
  <si>
    <t>cosmea portfolio management private limited</t>
  </si>
  <si>
    <t>INP000008251</t>
  </si>
  <si>
    <t>Rakesh Postandel</t>
  </si>
  <si>
    <t>2nd floor, ICC Chambers II, Saki Vihar Road, , Near MTNLoffice,Powai,</t>
  </si>
  <si>
    <t>pmscompliance@torusoropms.com</t>
  </si>
  <si>
    <t>9102235931757</t>
  </si>
  <si>
    <t>Aug 23, 2023</t>
  </si>
  <si>
    <t>torusoropms.com</t>
  </si>
  <si>
    <t>DOMAIN::torusoropms.com</t>
  </si>
  <si>
    <t>EAAA India Alternatives Limited</t>
  </si>
  <si>
    <t>INP000008260</t>
  </si>
  <si>
    <t>Ankur Kedia</t>
  </si>
  <si>
    <t>Edelweiss House, Off C.S.T. Road,, Kalina,</t>
  </si>
  <si>
    <t>alternativescompliance@edelweissalts.com</t>
  </si>
  <si>
    <t>9102240194706</t>
  </si>
  <si>
    <t>Edelweiss House, Off C.S.T. Road, Kalina,</t>
  </si>
  <si>
    <t>Sep 06, 2023</t>
  </si>
  <si>
    <t>edelweissalts.com</t>
  </si>
  <si>
    <t>DOMAIN::edelweissalts.com</t>
  </si>
  <si>
    <t>Jashvik Capital Advisory LLP</t>
  </si>
  <si>
    <t>INP000008297</t>
  </si>
  <si>
    <t>Naresh Patwari</t>
  </si>
  <si>
    <t>1124, Hubtown Solaris, N S Phadke Marg Near Regency Restaurant, Andheri  East</t>
  </si>
  <si>
    <t>npatwari@jashvikcapital.com</t>
  </si>
  <si>
    <t>0919920995658</t>
  </si>
  <si>
    <t>Kohinoor Square, No 3503 04 N C Kelkar Marg, Shivaji Park Dadar W, Mumbai</t>
  </si>
  <si>
    <t>Sep 08, 2023</t>
  </si>
  <si>
    <t>jashvikcapital.com</t>
  </si>
  <si>
    <t>DOMAIN::jashvikcapital.com</t>
  </si>
  <si>
    <t>Courser Park Advisors LLP</t>
  </si>
  <si>
    <t>INP000008303</t>
  </si>
  <si>
    <t>Gayathri Rao</t>
  </si>
  <si>
    <t>C 1402, G Crop Residencies, 115 ST bed Layout, Opp. Nirguna Mandir, Koramangala I Block</t>
  </si>
  <si>
    <t>gayathri@courserpark.com</t>
  </si>
  <si>
    <t>00919972006026</t>
  </si>
  <si>
    <t>Jai Ganesh situated at No 633, IVth Cross 100 Road III Block Koramangala</t>
  </si>
  <si>
    <t>Sep 22, 2023</t>
  </si>
  <si>
    <t>courserpark.com</t>
  </si>
  <si>
    <t>DOMAIN::courserpark.com</t>
  </si>
  <si>
    <t>KYNG CAPITAL MANAGEMENT PRIVATE LIMITED</t>
  </si>
  <si>
    <t>INP000008312</t>
  </si>
  <si>
    <t>Ramya N</t>
  </si>
  <si>
    <t>No.57A, 4th Floor, Jawaharlal Nehru Road, Vadapalani</t>
  </si>
  <si>
    <t>complianceofficer@kyngcapitalmanagmt.com</t>
  </si>
  <si>
    <t>910009790668991</t>
  </si>
  <si>
    <t>600026</t>
  </si>
  <si>
    <t>Oct 03, 2023</t>
  </si>
  <si>
    <t>kyngcapitalmanagmt.com</t>
  </si>
  <si>
    <t>DOMAIN::kyngcapitalmanagmt.com</t>
  </si>
  <si>
    <t>Capital 8 LLP</t>
  </si>
  <si>
    <t>INP000008349</t>
  </si>
  <si>
    <t>Zarana Vayda</t>
  </si>
  <si>
    <t>1, Payal Park, Swayan nagar, Satellite road, Jodhpur char rasta</t>
  </si>
  <si>
    <t>compliance@capital8.in</t>
  </si>
  <si>
    <t>09221476604613</t>
  </si>
  <si>
    <t>Nov 03, 2023</t>
  </si>
  <si>
    <t>capital8.in</t>
  </si>
  <si>
    <t>DOMAIN::capital8.in</t>
  </si>
  <si>
    <t>First Bridge Investment Managers Private Limited</t>
  </si>
  <si>
    <t>INP000008367</t>
  </si>
  <si>
    <t>Vishal Gupta</t>
  </si>
  <si>
    <t>B 1107,11th Floor, C Wing, One BKC, Plot No.C 66, Bandra Kurla Complex, Bandra East</t>
  </si>
  <si>
    <t>vishal.gupta@firstbridgefund.com</t>
  </si>
  <si>
    <t>9102262390250</t>
  </si>
  <si>
    <t>Nov 17, 2023</t>
  </si>
  <si>
    <t>firstbridgefund.com</t>
  </si>
  <si>
    <t>DOMAIN::firstbridgefund.com</t>
  </si>
  <si>
    <t>INDIAN ANGEL NETWORK SERVICES PRIVATE LIMITED</t>
  </si>
  <si>
    <t>INP000008385</t>
  </si>
  <si>
    <t>Saurabh Sharma</t>
  </si>
  <si>
    <t>E6, The Eden Park Hotel, Shaheed Jeet Singh Marg</t>
  </si>
  <si>
    <t>s.sharma@iangroup.vc</t>
  </si>
  <si>
    <t>0919810096410</t>
  </si>
  <si>
    <t>Dec 01, 2023</t>
  </si>
  <si>
    <t>iangroup.vc</t>
  </si>
  <si>
    <t>DOMAIN::iangroup.vc</t>
  </si>
  <si>
    <t>KAPM Ventures LLP</t>
  </si>
  <si>
    <t>INP000008394</t>
  </si>
  <si>
    <t>Vineet Kaul</t>
  </si>
  <si>
    <t>30th floor, 3001 Crescent Bay, Parel, Mumbai</t>
  </si>
  <si>
    <t>compliance@kapmventures.com</t>
  </si>
  <si>
    <t>910009702019439</t>
  </si>
  <si>
    <t>Dec 04, 2023</t>
  </si>
  <si>
    <t>kapmventures.com</t>
  </si>
  <si>
    <t>DOMAIN::kapmventures.com</t>
  </si>
  <si>
    <t>NV Alpha Fund Management LLP</t>
  </si>
  <si>
    <t>INP000008400</t>
  </si>
  <si>
    <t>Chirag Gothi</t>
  </si>
  <si>
    <t>1st Floor, South Side D Block, Shivsagar Estate, , Dr. Annie Besant Road, Worli</t>
  </si>
  <si>
    <t>chirag@nvafm.com</t>
  </si>
  <si>
    <t>02236345168572</t>
  </si>
  <si>
    <t>nvafm.com</t>
  </si>
  <si>
    <t>DOMAIN::nvafm.com</t>
  </si>
  <si>
    <t>Wave Asset Private Limited</t>
  </si>
  <si>
    <t>INP000008428</t>
  </si>
  <si>
    <t>Karan Gupta</t>
  </si>
  <si>
    <t>Flat No 902, RNA Mirage, S K Ahire Marg, Worli</t>
  </si>
  <si>
    <t>contact@waveasset.in</t>
  </si>
  <si>
    <t>0919820001645</t>
  </si>
  <si>
    <t>waveasset.in</t>
  </si>
  <si>
    <t>DOMAIN::waveasset.in</t>
  </si>
  <si>
    <t>LATENT ADVISORS LLP</t>
  </si>
  <si>
    <t>INP000008437</t>
  </si>
  <si>
    <t>Divyansh Gupta</t>
  </si>
  <si>
    <t>103 Sanjay Building No 2 Mittal Industrial Estate, M V Road Marol Naka Andheri E</t>
  </si>
  <si>
    <t>bhavin@latentadvisors.com</t>
  </si>
  <si>
    <t>9102249766587</t>
  </si>
  <si>
    <t>latentadvisors.com</t>
  </si>
  <si>
    <t>DOMAIN::latentadvisors.com</t>
  </si>
  <si>
    <t>1729 Advisors LLP</t>
  </si>
  <si>
    <t>INP000008464</t>
  </si>
  <si>
    <t>Radhika Vaz</t>
  </si>
  <si>
    <t>B-1/ B, Near Signature Tower,, South City-1, DLF QE, Gurgaon Dlf qe</t>
  </si>
  <si>
    <t>Deepak@1729advisors.com</t>
  </si>
  <si>
    <t>0008826758135</t>
  </si>
  <si>
    <t>B-1/ B, Near Signature Tower, South City-1, DLF QE, Gurgaon Dlf qe</t>
  </si>
  <si>
    <t>1729advisors.com</t>
  </si>
  <si>
    <t>DOMAIN::1729advisors.com</t>
  </si>
  <si>
    <t>Clockvine Capital Advisors Pvt Ltd</t>
  </si>
  <si>
    <t>INP000008473</t>
  </si>
  <si>
    <t>Bhawna  Lakhotia</t>
  </si>
  <si>
    <t>B-1802, 18th Floor, 11 Lodha Gardenia, Wadala Truck Terminal Road , New Cuffe Parade Mumbai</t>
  </si>
  <si>
    <t>bhawna.lakhotia@clockvinecapital.com</t>
  </si>
  <si>
    <t>0919930765812</t>
  </si>
  <si>
    <t>400037</t>
  </si>
  <si>
    <t>clockvinecapital.com</t>
  </si>
  <si>
    <t>DOMAIN::clockvinecapital.com</t>
  </si>
  <si>
    <t>FirstPort Ventures LLP</t>
  </si>
  <si>
    <t>INP000008491</t>
  </si>
  <si>
    <t>Srishty Chaudhary</t>
  </si>
  <si>
    <t>239, 2nd Floor, Tower A, JMD Megapolis, Sector 48 Sohna Road</t>
  </si>
  <si>
    <t>compliance@firstport.vc</t>
  </si>
  <si>
    <t>9100000000000</t>
  </si>
  <si>
    <t>firstport.vc</t>
  </si>
  <si>
    <t>DOMAIN::firstport.vc</t>
  </si>
  <si>
    <t>Xponent Tribe LLP</t>
  </si>
  <si>
    <t>INP000008516</t>
  </si>
  <si>
    <t>Yash Jogani</t>
  </si>
  <si>
    <t>301, Floor-3,342, Shubh Chetnah Chs Maulana, , Shaukat Ali Road, Bharat Nagar, Grant Road,</t>
  </si>
  <si>
    <t>akshay@xponentribe.com</t>
  </si>
  <si>
    <t>0919773868160</t>
  </si>
  <si>
    <t>xponentribe.com</t>
  </si>
  <si>
    <t>DOMAIN::xponentribe.com</t>
  </si>
  <si>
    <t>SEKURA INDIA MANAGEMENT LIMITED</t>
  </si>
  <si>
    <t>INP000008543</t>
  </si>
  <si>
    <t>Amit Sharma</t>
  </si>
  <si>
    <t>Plot 294/3, Edelweiss House, Off CST Road,, Kalina, Santacruz East,</t>
  </si>
  <si>
    <t>9102240194400</t>
  </si>
  <si>
    <t>Plot 294/3, Edelweiss House, Off CST Road, Kalina, Santacruz East,</t>
  </si>
  <si>
    <t>Jan 19, 2024</t>
  </si>
  <si>
    <t>Arth Portfolio Management Private Limited</t>
  </si>
  <si>
    <t>INP000008552</t>
  </si>
  <si>
    <t>Richa  Jalan</t>
  </si>
  <si>
    <t>Office No. 534, 5th Floor, Avadh Kontina, Near Luthra Circle,, VIP Road, Vesu, Surat</t>
  </si>
  <si>
    <t>compliance@arth-india.com</t>
  </si>
  <si>
    <t>0919819537511</t>
  </si>
  <si>
    <t>Office No. 534, 5th Floor, Avadh Kontina, Near Luthra Circle, VIP Road, Vesu, Surat</t>
  </si>
  <si>
    <t>Jan 23, 2024</t>
  </si>
  <si>
    <t>arth-india.com</t>
  </si>
  <si>
    <t>DOMAIN::arth-india.com</t>
  </si>
  <si>
    <t>Driv Drisht LLP</t>
  </si>
  <si>
    <t>INP000008570</t>
  </si>
  <si>
    <t>Neha Verma</t>
  </si>
  <si>
    <t>Surabhi, 2nd Floor, 8 1 2 DR UN Brahmachari Street, Circus Avenue, Shakespeare Sarani, Kolkata 700017, West Bengal, India</t>
  </si>
  <si>
    <t>cs@dhanvesttor.com</t>
  </si>
  <si>
    <t>9103322800152</t>
  </si>
  <si>
    <t>Feb 07, 2024</t>
  </si>
  <si>
    <t>dhanvesttor.com</t>
  </si>
  <si>
    <t>DOMAIN::dhanvesttor.com</t>
  </si>
  <si>
    <t>FINCOS TECHNOLOGY SOLUTIONS PRIVATE LIMITED</t>
  </si>
  <si>
    <t>INP000008668</t>
  </si>
  <si>
    <t>Kamlesh Patial</t>
  </si>
  <si>
    <t>B- 504 Wing B Statesman House, 148 Barakhamba Road Connaught Place</t>
  </si>
  <si>
    <t>office@fincossolutions.com</t>
  </si>
  <si>
    <t>91111143708987</t>
  </si>
  <si>
    <t>Apr 05, 2024</t>
  </si>
  <si>
    <t>fincossolutions.com</t>
  </si>
  <si>
    <t>DOMAIN::fincossolutions.com</t>
  </si>
  <si>
    <t>Prospero Tree Asset Management LLP</t>
  </si>
  <si>
    <t>INP000008677</t>
  </si>
  <si>
    <t>Nikita Parmar</t>
  </si>
  <si>
    <t>104, Midas Tower, Bhau daji Road Extn                                                           , Sion West</t>
  </si>
  <si>
    <t>compliance@prosperotree.com</t>
  </si>
  <si>
    <t>0919372777607</t>
  </si>
  <si>
    <t>400022</t>
  </si>
  <si>
    <t>Apr 10, 2024</t>
  </si>
  <si>
    <t>prosperotree.com</t>
  </si>
  <si>
    <t>DOMAIN::prosperotree.com</t>
  </si>
  <si>
    <t>Prudent Equity Private Limited</t>
  </si>
  <si>
    <t>INP000008686</t>
  </si>
  <si>
    <t>Akash  Singh</t>
  </si>
  <si>
    <t>Office no 210 2nd Floor S S Plaza, Sector 47 Gurgaon Haryana</t>
  </si>
  <si>
    <t>pmscompliance@prudentequity.com</t>
  </si>
  <si>
    <t>022919450732023</t>
  </si>
  <si>
    <t>Apr 22, 2024</t>
  </si>
  <si>
    <t>prudentequity.com</t>
  </si>
  <si>
    <t>DOMAIN::prudentequity.com</t>
  </si>
  <si>
    <t>Insightful Investment Manager LLP</t>
  </si>
  <si>
    <t>INP000008695</t>
  </si>
  <si>
    <t>Nilesh Kagale</t>
  </si>
  <si>
    <t>9th Floor, Flat No 902, Tower A, 25 South Yadav Patil Marg, Off Veer Savarkar Marg, Prabhadevi</t>
  </si>
  <si>
    <t>nilesh@insightfulinv.com</t>
  </si>
  <si>
    <t>910226952 3006</t>
  </si>
  <si>
    <t>Unit No. B 808, 8th Floor, B Wing, Kohinoor Square, Final Plot No. 46 at the Junction of Lady Jamshetji Road and N.C.Kelkar Road</t>
  </si>
  <si>
    <t>Apr 29, 2024</t>
  </si>
  <si>
    <t>insightfulinv.com</t>
  </si>
  <si>
    <t>DOMAIN::insightfulinv.com</t>
  </si>
  <si>
    <t>V.E.C Assago Capital Management LLP</t>
  </si>
  <si>
    <t>INP000008701</t>
  </si>
  <si>
    <t>Tanmay Oak</t>
  </si>
  <si>
    <t>1111, 11th Floor, Raheja Chamber 213, Nariman Point</t>
  </si>
  <si>
    <t>rajendra.khatu@vecinvestments.com</t>
  </si>
  <si>
    <t>0912243470883</t>
  </si>
  <si>
    <t>May 06, 2024</t>
  </si>
  <si>
    <t>vecinvestments.com</t>
  </si>
  <si>
    <t>DOMAIN::vecinvestments.com</t>
  </si>
  <si>
    <t>Constellation Sports &amp; Entertainment Partners LLP</t>
  </si>
  <si>
    <t>INP000008710</t>
  </si>
  <si>
    <t>Venkata Chalam</t>
  </si>
  <si>
    <t>8 2 698, 5th Floor, 403 M J Towers, Road No. 12, Banjara Hills, Hyderabad</t>
  </si>
  <si>
    <t>venkatachalam@capitalfortunes.com</t>
  </si>
  <si>
    <t>0406603 8300</t>
  </si>
  <si>
    <t>May 09, 2024</t>
  </si>
  <si>
    <t>capitalfortunes.com</t>
  </si>
  <si>
    <t>DOMAIN::capitalfortunes.com</t>
  </si>
  <si>
    <t>Neoliv Capital Advisory Private Limited</t>
  </si>
  <si>
    <t>INP000008738</t>
  </si>
  <si>
    <t>Jigar Maniar</t>
  </si>
  <si>
    <t>403, 4th Floor, Tower B, The Capital, G Block, Bandra Kurla Complex, Bandra (East)</t>
  </si>
  <si>
    <t>compliance.copms@neoliv.in</t>
  </si>
  <si>
    <t>9102247805701</t>
  </si>
  <si>
    <t>Jun 05, 2024</t>
  </si>
  <si>
    <t>neoliv.in</t>
  </si>
  <si>
    <t>DOMAIN::neoliv.in</t>
  </si>
  <si>
    <t>BLUE 91 PORTFOLIO MANAGERS LLP</t>
  </si>
  <si>
    <t>INP000008747</t>
  </si>
  <si>
    <t>Sarish Perinchira</t>
  </si>
  <si>
    <t>4-6 th Floor, Vinay Bhavya Complex, 159A CST Road, Kalina, Santacruz East, Vidyanagari</t>
  </si>
  <si>
    <t>mail@blue91.in</t>
  </si>
  <si>
    <t>0917558960018</t>
  </si>
  <si>
    <t>G2, 1st Floor, Street B, 1st Cross Road, Panampilly Nagar</t>
  </si>
  <si>
    <t>682036</t>
  </si>
  <si>
    <t>Jun 10, 2024</t>
  </si>
  <si>
    <t>blue91.in</t>
  </si>
  <si>
    <t>DOMAIN::blue91.in</t>
  </si>
  <si>
    <t>Equipoise Capital Management Private Limited</t>
  </si>
  <si>
    <t>INP000008756</t>
  </si>
  <si>
    <t>Pressy  Dsouza</t>
  </si>
  <si>
    <t>505 Keshava, Bandra Kurla Complex Bandra East</t>
  </si>
  <si>
    <t>aashish@equipoise.in</t>
  </si>
  <si>
    <t>9102240221202</t>
  </si>
  <si>
    <t>equipoise.in</t>
  </si>
  <si>
    <t>DOMAIN::equipoise.in</t>
  </si>
  <si>
    <t>Shriram Asset Management Company Limited</t>
  </si>
  <si>
    <t>INP000008765</t>
  </si>
  <si>
    <t>Akash Pandey</t>
  </si>
  <si>
    <t>217 2nd Floor Swastik Chambers, Near Junction of ST &amp; CST Road Chembur</t>
  </si>
  <si>
    <t>akash@shriramamc.in</t>
  </si>
  <si>
    <t>9102249696944</t>
  </si>
  <si>
    <t>400071</t>
  </si>
  <si>
    <t>504 Meadows Sahar Plaza Andheri Kurla Road, JB Nagar Andheri East</t>
  </si>
  <si>
    <t>Nov 14, 2025</t>
  </si>
  <si>
    <t>shriramamc.in</t>
  </si>
  <si>
    <t>DOMAIN::shriramamc.in</t>
  </si>
  <si>
    <t>BMC Advisors Private Limited</t>
  </si>
  <si>
    <t>INP000008783</t>
  </si>
  <si>
    <t>KRITTIKA CHOWDHURY</t>
  </si>
  <si>
    <t>ECO CENTER Unit No ECSL0710 7th Floor Plot No 4 , Block EM Sector V Salt Lake</t>
  </si>
  <si>
    <t>info@bmcadvisor.com</t>
  </si>
  <si>
    <t>01109122438810</t>
  </si>
  <si>
    <t>Jul 02, 2024</t>
  </si>
  <si>
    <t>bmcadvisor.com</t>
  </si>
  <si>
    <t>DOMAIN::bmcadvisor.com</t>
  </si>
  <si>
    <t>LAUREL SECURITIES PRIVATE LIMITED</t>
  </si>
  <si>
    <t>INP000008792</t>
  </si>
  <si>
    <t>Vijay  Varma</t>
  </si>
  <si>
    <t>909, 9th Floor, Diamond Heritage, 16, Strand Road , Kolkata</t>
  </si>
  <si>
    <t>compliance@laurelsec.in</t>
  </si>
  <si>
    <t>0919433926767</t>
  </si>
  <si>
    <t>Jul 03, 2024</t>
  </si>
  <si>
    <t>laurelsec.in</t>
  </si>
  <si>
    <t>DOMAIN::laurelsec.in</t>
  </si>
  <si>
    <t>Cactus Partners LLP</t>
  </si>
  <si>
    <t>INP000008808</t>
  </si>
  <si>
    <t>Akshita Jaketia</t>
  </si>
  <si>
    <t>Unit no 2106 21st Floor One Lodha Place Senapati Bapat Marg Lower Parel Mumbai 400 013</t>
  </si>
  <si>
    <t>akshita.jaketia@cactusvp.com</t>
  </si>
  <si>
    <t>9102247500395</t>
  </si>
  <si>
    <t>Jul 08, 2024</t>
  </si>
  <si>
    <t>cactusvp.com</t>
  </si>
  <si>
    <t>DOMAIN::cactusvp.com</t>
  </si>
  <si>
    <t>IVYCAP VENTURES ADVISORS PRIVATE LIMITED</t>
  </si>
  <si>
    <t>INP000008826</t>
  </si>
  <si>
    <t>Madhuri Sawant</t>
  </si>
  <si>
    <t>601, A Wing Delphi, Orchard Avenue, Hiranandani Gardens, , Powai</t>
  </si>
  <si>
    <t>madhuri@ivycapventures.com</t>
  </si>
  <si>
    <t>91007020902791</t>
  </si>
  <si>
    <t>Jul 22, 2024</t>
  </si>
  <si>
    <t>ivycapventures.com</t>
  </si>
  <si>
    <t>DOMAIN::ivycapventures.com</t>
  </si>
  <si>
    <t>Accuracap Consultancy Services Private Limited</t>
  </si>
  <si>
    <t>INP000008844</t>
  </si>
  <si>
    <t>ISHU SINGHANIA</t>
  </si>
  <si>
    <t>2nd FLOOR 61 PANCHKUIAN ROAD</t>
  </si>
  <si>
    <t>SB_ACCESS@ACCURACAP.COM</t>
  </si>
  <si>
    <t>91919821653556</t>
  </si>
  <si>
    <t>OFFICE NO 19, 9TH FLOOR , WAVE 1ST SILVER TOWER SECTOR 18</t>
  </si>
  <si>
    <t>Jul 25, 2024</t>
  </si>
  <si>
    <t>accuracap.com</t>
  </si>
  <si>
    <t>DOMAIN::accuracap.com</t>
  </si>
  <si>
    <t>Square 64 Capital Advisors LLP</t>
  </si>
  <si>
    <t>INP000008862</t>
  </si>
  <si>
    <t>Mihir Dhamankar</t>
  </si>
  <si>
    <t>207 208 Cama Industrial Estate Sun Mill Compound, Lower Parel Delisle Road</t>
  </si>
  <si>
    <t>mihir.dhamankar@square64.com</t>
  </si>
  <si>
    <t>9102240679100</t>
  </si>
  <si>
    <t>Aug 05, 2024</t>
  </si>
  <si>
    <t>square64.com</t>
  </si>
  <si>
    <t>DOMAIN::square64.com</t>
  </si>
  <si>
    <t>Tailwind Financial Services Private Limited</t>
  </si>
  <si>
    <t>INP000008871</t>
  </si>
  <si>
    <t>Pranita Manchekar</t>
  </si>
  <si>
    <t>6th Floor, Simba Tower, Vishveshwar Nagar,, Near Virwani Industrial Estate, Goregaon East</t>
  </si>
  <si>
    <t>compliance@tailwindamc.com</t>
  </si>
  <si>
    <t>910229640696416</t>
  </si>
  <si>
    <t>6th Floor, Simba Tower, Vishveshwar Nagar, Near Virwani Industrial Estate, Goregaon East</t>
  </si>
  <si>
    <t>tailwindamc.com</t>
  </si>
  <si>
    <t>DOMAIN::tailwindamc.com</t>
  </si>
  <si>
    <t>AMETRA INVESTMENT MANAGERS PRIVATE LIMITED</t>
  </si>
  <si>
    <t>INP000008905</t>
  </si>
  <si>
    <t>Darshana Kothari</t>
  </si>
  <si>
    <t>Smartworks, Vaishnavi Tech Park, 5th Floor, South Wing, Sarjapur Main Road, Bellandur Gate, Ambalipura</t>
  </si>
  <si>
    <t>darshana.kothari@elever.app</t>
  </si>
  <si>
    <t>910009739490383</t>
  </si>
  <si>
    <t>Aug 28, 2024</t>
  </si>
  <si>
    <t>elever.app</t>
  </si>
  <si>
    <t>DOMAIN::elever.app</t>
  </si>
  <si>
    <t>QODE ADVISORS LLP</t>
  </si>
  <si>
    <t>INP000008914</t>
  </si>
  <si>
    <t>Komal Trivedi</t>
  </si>
  <si>
    <t>203, Floor 2, Plot 36, Hamam House,, Ambalal Doshi Marg, Bombay Stock Exchange, Fort, Stock Exchange, Colaba Police Station</t>
  </si>
  <si>
    <t>compliance@qodeinvest.com</t>
  </si>
  <si>
    <t>00919820300088</t>
  </si>
  <si>
    <t>Block No 28 2nd Floor Tree Building Raghuvanshi Mills , Lower Parel,</t>
  </si>
  <si>
    <t>Aug 29, 2024</t>
  </si>
  <si>
    <t>qodeinvest.com</t>
  </si>
  <si>
    <t>DOMAIN::qodeinvest.com</t>
  </si>
  <si>
    <t>Unicorn Investment Managers LLP</t>
  </si>
  <si>
    <t>INP000008923</t>
  </si>
  <si>
    <t>Rutvik Pathak</t>
  </si>
  <si>
    <t>1806 Tower no 1 Cresent Bay, Jerbai Wadia Road Parel</t>
  </si>
  <si>
    <t>rutvik@unicornim.in</t>
  </si>
  <si>
    <t>91229167822334</t>
  </si>
  <si>
    <t>603 B Wing Trade World Kamla City, Senpati Bapat Marg Lower Parel</t>
  </si>
  <si>
    <t>Aug 30, 2024</t>
  </si>
  <si>
    <t>unicornim.in</t>
  </si>
  <si>
    <t>DOMAIN::unicornim.in</t>
  </si>
  <si>
    <t>Arnya Realestates Fund Advisors Private Limited</t>
  </si>
  <si>
    <t>INP000008932</t>
  </si>
  <si>
    <t>Anuj Kala</t>
  </si>
  <si>
    <t>1104, Tower 2, Crescent Bay, Jerbai Wadia Road, Parel</t>
  </si>
  <si>
    <t>anuj@arnya.in</t>
  </si>
  <si>
    <t>910228879270660</t>
  </si>
  <si>
    <t>1704, 17th floor, One Lodha Place, Senapati Bapat Marg, Lower Parel</t>
  </si>
  <si>
    <t>Sep 03, 2024</t>
  </si>
  <si>
    <t>arnya.in</t>
  </si>
  <si>
    <t>DOMAIN::arnya.in</t>
  </si>
  <si>
    <t>Amicus India Capital Partners LLP</t>
  </si>
  <si>
    <t>INP000008941</t>
  </si>
  <si>
    <t>Abhijeeth Naik</t>
  </si>
  <si>
    <t>Rocklines House, 3rd Floor, 9 by 1 Museum Road</t>
  </si>
  <si>
    <t>abhijeeth@amicuscapital.in</t>
  </si>
  <si>
    <t>0918046316600</t>
  </si>
  <si>
    <t>amicuscapital.in</t>
  </si>
  <si>
    <t>DOMAIN::amicuscapital.in</t>
  </si>
  <si>
    <t>ACCELT ASSET MANAGEMENT LLP</t>
  </si>
  <si>
    <t>INP000009010</t>
  </si>
  <si>
    <t>Saurav  Agarwal</t>
  </si>
  <si>
    <t>302, Kaveri Commercial Chs Ltd, Kaveri Building, Jagannath Mandir Road, Sakinaka</t>
  </si>
  <si>
    <t>info@acceltasset.com</t>
  </si>
  <si>
    <t>00918777614514</t>
  </si>
  <si>
    <t>Sep 26, 2024</t>
  </si>
  <si>
    <t>acceltasset.com</t>
  </si>
  <si>
    <t>DOMAIN::acceltasset.com</t>
  </si>
  <si>
    <t>CLEARVIEW CAPITAL ADVISORS PRIVATE LIMITED</t>
  </si>
  <si>
    <t>INP000009029</t>
  </si>
  <si>
    <t>Anju  Vimal</t>
  </si>
  <si>
    <t>31 GANESH CHANDRA AVENUE, ABOVE HDFC BANK</t>
  </si>
  <si>
    <t>compliance@clearviewcapital.in</t>
  </si>
  <si>
    <t>00919883102261</t>
  </si>
  <si>
    <t>700013</t>
  </si>
  <si>
    <t>Unit 703, 7th Floor, 90 Degree Magnus, Block EP, Sector V, Salt Lake City, Bidhan Nagar</t>
  </si>
  <si>
    <t>Sep 27, 2024</t>
  </si>
  <si>
    <t>clearviewcapital.in</t>
  </si>
  <si>
    <t>DOMAIN::clearviewcapital.in</t>
  </si>
  <si>
    <t>ArthAlpha LLP</t>
  </si>
  <si>
    <t>INP000009038</t>
  </si>
  <si>
    <t>Harkirat Dhiman</t>
  </si>
  <si>
    <t>2053, Tower 3, Prestige White Meadows,, Whitefield, EPIP,</t>
  </si>
  <si>
    <t>pms.compliance@arthalpha.in</t>
  </si>
  <si>
    <t>910228105916135</t>
  </si>
  <si>
    <t>2053, Tower 3, Prestige White Meadows, Whitefield, EPIP,</t>
  </si>
  <si>
    <t>arthalpha.in</t>
  </si>
  <si>
    <t>DOMAIN::arthalpha.in</t>
  </si>
  <si>
    <t>Ironclad Asset Management LLP</t>
  </si>
  <si>
    <t>INP000009074</t>
  </si>
  <si>
    <t>Mohit Kumar</t>
  </si>
  <si>
    <t>C175, Sector 100 G B Nagar</t>
  </si>
  <si>
    <t>info@ironcladasset.com</t>
  </si>
  <si>
    <t>00918447084868</t>
  </si>
  <si>
    <t>3rd Floor C 175, Sector 100 G B Nagar</t>
  </si>
  <si>
    <t>Oct 28, 2024</t>
  </si>
  <si>
    <t>ironcladasset.com</t>
  </si>
  <si>
    <t>DOMAIN::ironcladasset.com</t>
  </si>
  <si>
    <t>VSPARTANS CONSULTANTS PRIVATE LIMITED</t>
  </si>
  <si>
    <t>INP000009083</t>
  </si>
  <si>
    <t>Nishi  Singhal</t>
  </si>
  <si>
    <t>346 Basement, Sector 38, Gurgaon</t>
  </si>
  <si>
    <t>nishi@vspartans.in</t>
  </si>
  <si>
    <t>0918130811911</t>
  </si>
  <si>
    <t>F.NO.101 IMPERIAL PARK PLOT NO. 4A , DHARAMPETH</t>
  </si>
  <si>
    <t>NAGPUR</t>
  </si>
  <si>
    <t>440010</t>
  </si>
  <si>
    <t>Nov 04, 2024</t>
  </si>
  <si>
    <t>vspartans.in</t>
  </si>
  <si>
    <t>DOMAIN::vspartans.in</t>
  </si>
  <si>
    <t>WSB Real Estate Partners Pvt Ltd</t>
  </si>
  <si>
    <t>INP000009092</t>
  </si>
  <si>
    <t>Dimple Jain</t>
  </si>
  <si>
    <t>Unit No.215, The Capital, G Block, Bandra Kurla Complex, Bandra East</t>
  </si>
  <si>
    <t>dimple@wsbindia.com</t>
  </si>
  <si>
    <t>9102267353035</t>
  </si>
  <si>
    <t>Nov 07, 2024</t>
  </si>
  <si>
    <t>wsbindia.com</t>
  </si>
  <si>
    <t>DOMAIN::wsbindia.com</t>
  </si>
  <si>
    <t>NMR CAPITAL ADVISORS LLP</t>
  </si>
  <si>
    <t>INP000009108</t>
  </si>
  <si>
    <t>Shubh Cholera</t>
  </si>
  <si>
    <t>1302, A Wing, Levels, Rani Sati Marg, Kathiyawadi Chowk, Khot Dongri</t>
  </si>
  <si>
    <t>compliance@nmrcapitaladvisors.com</t>
  </si>
  <si>
    <t>0919769552520</t>
  </si>
  <si>
    <t>400097</t>
  </si>
  <si>
    <t>Unit no. 1114,11 floor Kosha Kommercial Komplex, Podar Road Malad East</t>
  </si>
  <si>
    <t>Nov 27, 2024</t>
  </si>
  <si>
    <t>nmrcapitaladvisors.com</t>
  </si>
  <si>
    <t>DOMAIN::nmrcapitaladvisors.com</t>
  </si>
  <si>
    <t>Amaltas Asset Management LLP</t>
  </si>
  <si>
    <t>INP000009126</t>
  </si>
  <si>
    <t>Chandni Shah</t>
  </si>
  <si>
    <t>303 3rd Floor BGTA GANGA CHS Wadala Truck Terminal Antop Hill</t>
  </si>
  <si>
    <t>chandni@amaltascapital.in</t>
  </si>
  <si>
    <t>0919819568593</t>
  </si>
  <si>
    <t>Dec 06, 2024</t>
  </si>
  <si>
    <t>amaltascapital.in</t>
  </si>
  <si>
    <t>DOMAIN::amaltascapital.in</t>
  </si>
  <si>
    <t>ASHIMA CAPITAL MANAGEMENT LIMITED</t>
  </si>
  <si>
    <t>INP000009153</t>
  </si>
  <si>
    <t>Satish Mishra</t>
  </si>
  <si>
    <t>Basement, Aditya, Near Khadayata Colony, Mithakhali Six Roads, Navrangpura</t>
  </si>
  <si>
    <t>compliance@ashimacapital.com</t>
  </si>
  <si>
    <t>007922779352</t>
  </si>
  <si>
    <t>ashimacapital.com</t>
  </si>
  <si>
    <t>DOMAIN::ashimacapital.com</t>
  </si>
  <si>
    <t>GoldStandard Wealth Private Limited</t>
  </si>
  <si>
    <t>INP000009171</t>
  </si>
  <si>
    <t>Jasvinder Arora</t>
  </si>
  <si>
    <t>B-508, Naman Midtown, Off Senapati Bapat Marg, Delisle Road</t>
  </si>
  <si>
    <t>jasvinder@thegoldstandard.in</t>
  </si>
  <si>
    <t>9102243367000</t>
  </si>
  <si>
    <t>B Wing 508, Naman Midtown, Senapati Bapat Marg, Prabhadevi</t>
  </si>
  <si>
    <t>thegoldstandard.in</t>
  </si>
  <si>
    <t>DOMAIN::thegoldstandard.in</t>
  </si>
  <si>
    <t>LCatterton Mumbai Advisory Services Private Limited</t>
  </si>
  <si>
    <t>INP000009180</t>
  </si>
  <si>
    <t>Srinivasan  R</t>
  </si>
  <si>
    <t>Unit No. 902, 9th Floor, TCG Financial Centre, G block, Bandra Kurla Complex, Bandra East, Mumbai</t>
  </si>
  <si>
    <t>Srinivasan.R@lcatterton.com</t>
  </si>
  <si>
    <t>00091110874323</t>
  </si>
  <si>
    <t>Jan 07, 2025</t>
  </si>
  <si>
    <t>lcatterton.com</t>
  </si>
  <si>
    <t>DOMAIN::lcatterton.com</t>
  </si>
  <si>
    <t>Beams VC Partnerz LLP</t>
  </si>
  <si>
    <t>INP000009199</t>
  </si>
  <si>
    <t>Sagar Agarwal</t>
  </si>
  <si>
    <t>Unit No 1, 9th Floor, B Wing, Times Square, Marol Naka, Andheri East</t>
  </si>
  <si>
    <t>sagar.a@beams.vc</t>
  </si>
  <si>
    <t>9108928763808</t>
  </si>
  <si>
    <t>Jan 09, 2025</t>
  </si>
  <si>
    <t>beams.vc</t>
  </si>
  <si>
    <t>DOMAIN::beams.vc</t>
  </si>
  <si>
    <t>FirstPort Growth Ventures LLP</t>
  </si>
  <si>
    <t>INP000009205</t>
  </si>
  <si>
    <t>Jill Shah</t>
  </si>
  <si>
    <t>Unit 239, JMD Megapolis, Sector 48, Sohna Road, Gurugram</t>
  </si>
  <si>
    <t>vinod@ipventures.in</t>
  </si>
  <si>
    <t>9101244019088</t>
  </si>
  <si>
    <t>Jan 17, 2025</t>
  </si>
  <si>
    <t>ipventures.in</t>
  </si>
  <si>
    <t>DOMAIN::ipventures.in</t>
  </si>
  <si>
    <t>Cumulus Advisory LLP</t>
  </si>
  <si>
    <t>INP000009214</t>
  </si>
  <si>
    <t>Chandrasekar Santhosh</t>
  </si>
  <si>
    <t>24,44, 2nd Main Road, Kasturibai Nagar, Chennai, Chennai City Corporation</t>
  </si>
  <si>
    <t>compliance@cumuluswealth.in</t>
  </si>
  <si>
    <t>0919944147077</t>
  </si>
  <si>
    <t>Jan 31, 2025</t>
  </si>
  <si>
    <t>cumuluswealth.in</t>
  </si>
  <si>
    <t>DOMAIN::cumuluswealth.in</t>
  </si>
  <si>
    <t>Anicut Capital LLP</t>
  </si>
  <si>
    <t>INP000009223</t>
  </si>
  <si>
    <t>Venkatesh Parthasarathy</t>
  </si>
  <si>
    <t>No. 89, Bishop Garden, Greenways Road, Raja Annamalaipuram</t>
  </si>
  <si>
    <t>venkatesh@anicutcapital.com</t>
  </si>
  <si>
    <t>910009500014344</t>
  </si>
  <si>
    <t>Feb 05, 2025</t>
  </si>
  <si>
    <t>anicutcapital.com</t>
  </si>
  <si>
    <t>DOMAIN::anicutcapital.com</t>
  </si>
  <si>
    <t>IKIGAI Asset Manager Holdings Private Limited</t>
  </si>
  <si>
    <t>INP000009232</t>
  </si>
  <si>
    <t>Mehul Shah</t>
  </si>
  <si>
    <t>1008 A, Samrudhi Co op. Soc. Ltd, G Block, Formerly known as INS Tower, CTS. No.4207, Bandra Kurla Complex, Mumbai</t>
  </si>
  <si>
    <t>Mehul.shah@ikigaiasset.com</t>
  </si>
  <si>
    <t>91229820233082</t>
  </si>
  <si>
    <t>Feb 17, 2025</t>
  </si>
  <si>
    <t>ikigaiasset.com</t>
  </si>
  <si>
    <t>DOMAIN::ikigaiasset.com</t>
  </si>
  <si>
    <t>ChrysCapital Advisors LLP</t>
  </si>
  <si>
    <t>INP000009241</t>
  </si>
  <si>
    <t>Shilpi  Bansal</t>
  </si>
  <si>
    <t>16th Floor, Level 15, Eros Corporate Tower, Nehru Place</t>
  </si>
  <si>
    <t>AIFoperations@chryscapital.com</t>
  </si>
  <si>
    <t>91111141291024</t>
  </si>
  <si>
    <t>110019</t>
  </si>
  <si>
    <t>Feb 21, 2025</t>
  </si>
  <si>
    <t>chryscapital.com</t>
  </si>
  <si>
    <t>DOMAIN::chryscapital.com</t>
  </si>
  <si>
    <t>Ebisu Investment Advisors LLP</t>
  </si>
  <si>
    <t>INP000009250</t>
  </si>
  <si>
    <t>Pankajkumar  Mittal</t>
  </si>
  <si>
    <t>C 3 52, Pravasi INDL Estate, Off Aarey Road, Goregaon Police Station, Goregaon East</t>
  </si>
  <si>
    <t>pankaj.mittal@ebisuinvestments.com</t>
  </si>
  <si>
    <t>910227738322241</t>
  </si>
  <si>
    <t>Feb 24, 2025</t>
  </si>
  <si>
    <t>ebisuinvestments.com</t>
  </si>
  <si>
    <t>DOMAIN::ebisuinvestments.com</t>
  </si>
  <si>
    <t>FE SECURITIES PRIVATE LIMITED</t>
  </si>
  <si>
    <t>INP000009269</t>
  </si>
  <si>
    <t>ANIL KUMAR</t>
  </si>
  <si>
    <t>814 ARUNACHAL BUILDING, 19 BARAKHAMBA ROAD</t>
  </si>
  <si>
    <t>fes@fesecurities.in</t>
  </si>
  <si>
    <t>9101123350670</t>
  </si>
  <si>
    <t>803 Arunachal Building, 19 BARAKHAMBA ROAD</t>
  </si>
  <si>
    <t>Feb 28, 2025</t>
  </si>
  <si>
    <t>fesecurities.in</t>
  </si>
  <si>
    <t>DOMAIN::fesecurities.in</t>
  </si>
  <si>
    <t>FISCALEYE PRIVATE LIMITED</t>
  </si>
  <si>
    <t>INP000009278</t>
  </si>
  <si>
    <t>Dileep Nanjudaiah</t>
  </si>
  <si>
    <t>No. 32, 33, BBMP Khatha, Savion BEML 3rd Stage, , Rajarajeshwarinagar, Bangalore South,</t>
  </si>
  <si>
    <t>info@fiscaleye.in</t>
  </si>
  <si>
    <t>0918042084615</t>
  </si>
  <si>
    <t>560098</t>
  </si>
  <si>
    <t>fiscaleye.in</t>
  </si>
  <si>
    <t>DOMAIN::fiscaleye.in</t>
  </si>
  <si>
    <t>Gems Imperial Portfolio Advisory LLP</t>
  </si>
  <si>
    <t>INP000009287</t>
  </si>
  <si>
    <t>Vishakha Sureka</t>
  </si>
  <si>
    <t>5th Floor Office no.8, City Vista Wing B, Fountain Road, Kharadi</t>
  </si>
  <si>
    <t>nirmal@gemsimperial.com</t>
  </si>
  <si>
    <t>910207841988849</t>
  </si>
  <si>
    <t>Office no 620 Nyati Enthral, S.No.12, Opp Reliance Mart Kharadi</t>
  </si>
  <si>
    <t>Mar 03, 2025</t>
  </si>
  <si>
    <t>gemsimperial.com</t>
  </si>
  <si>
    <t>DOMAIN::gemsimperial.com</t>
  </si>
  <si>
    <t>PCS SECURITIES &amp; CONSULTANTS LLP</t>
  </si>
  <si>
    <t>INP000009311</t>
  </si>
  <si>
    <t>YUVARAJ JUJARAY</t>
  </si>
  <si>
    <t>6 3 1090 B 2 MAYANK TOWERS, RAJBHAVAN ROAD SOMAJIGUDA</t>
  </si>
  <si>
    <t>urajj@pcssecurities.co.in</t>
  </si>
  <si>
    <t>09104067807701</t>
  </si>
  <si>
    <t>pcssecurities.co.in</t>
  </si>
  <si>
    <t>DOMAIN::pcssecurities.co.in</t>
  </si>
  <si>
    <t>Invicta Capserv Private Limited</t>
  </si>
  <si>
    <t>INP000009339</t>
  </si>
  <si>
    <t>Daksh Punamiya</t>
  </si>
  <si>
    <t>1503 Wing C Oberoi Splendor Fantacy Land J V Link Road, CTS no. 1 Opp. Majas Depot Jogeshwari East Mumbai</t>
  </si>
  <si>
    <t>admin@invictacap.in</t>
  </si>
  <si>
    <t>910229632018002</t>
  </si>
  <si>
    <t>Mar 19, 2025</t>
  </si>
  <si>
    <t>invictacap.in</t>
  </si>
  <si>
    <t>DOMAIN::invictacap.in</t>
  </si>
  <si>
    <t>Samatva Investment Advisers LLP</t>
  </si>
  <si>
    <t>INP000009348</t>
  </si>
  <si>
    <t>Nallu Sidharatha</t>
  </si>
  <si>
    <t>Plot No. 26, H. No. 8 2 603 1 26, 1st Floor,,Krishnapuram, Road No. 10, Banjara Hills</t>
  </si>
  <si>
    <t>compliance@samatvainvestments.in</t>
  </si>
  <si>
    <t>00919490584540</t>
  </si>
  <si>
    <t>Plot No. 26, H. No. 8 2 603 1 26, 1st Floor,Krishnapuram, Road No. 10, Banjara Hills</t>
  </si>
  <si>
    <t>Mar 25, 2025</t>
  </si>
  <si>
    <t>samatvainvestments.in</t>
  </si>
  <si>
    <t>DOMAIN::samatvainvestments.in</t>
  </si>
  <si>
    <t>SOMERSET HEALTHCARE INVESTMENT ADVISORS III PRIVATE LIMITED</t>
  </si>
  <si>
    <t>INP000009357</t>
  </si>
  <si>
    <t>Zulfikar Trivedi</t>
  </si>
  <si>
    <t>Unit No 401, Plot 72 93, Pharma Search House, Hill Road, B G Kher Marg, Worli</t>
  </si>
  <si>
    <t>ztrivedi@somersetinduscap.com</t>
  </si>
  <si>
    <t>00919819717009</t>
  </si>
  <si>
    <t>Mar 26, 2025</t>
  </si>
  <si>
    <t>somersetinduscap.com</t>
  </si>
  <si>
    <t>DOMAIN::somersetinduscap.com</t>
  </si>
  <si>
    <t>Purva Asset Management Private Limited</t>
  </si>
  <si>
    <t>INP000009366</t>
  </si>
  <si>
    <t>Shailesh  Viswanathan</t>
  </si>
  <si>
    <t>1302, Halasuru Road Sivan Chetty Gardens Bangalore</t>
  </si>
  <si>
    <t>shailesh.v@puravankara.com</t>
  </si>
  <si>
    <t>91009821575285</t>
  </si>
  <si>
    <t>560042</t>
  </si>
  <si>
    <t>Mar 27, 2025</t>
  </si>
  <si>
    <t>puravankara.com</t>
  </si>
  <si>
    <t>DOMAIN::puravankara.com</t>
  </si>
  <si>
    <t>Inflexor Capital Advisors LLP</t>
  </si>
  <si>
    <t>INP000009375</t>
  </si>
  <si>
    <t>Murali Gunturu</t>
  </si>
  <si>
    <t>Wework India Cherry Hills, Embassy Golflinks Business Park Domlur</t>
  </si>
  <si>
    <t>murali@inflexor.vc</t>
  </si>
  <si>
    <t>00919966446961</t>
  </si>
  <si>
    <t>560071</t>
  </si>
  <si>
    <t>Inflexor Capital Advisors LLP, No 301 3rd Floor Embassy Chambers Vittal Mallya Road</t>
  </si>
  <si>
    <t>Mar 28, 2025</t>
  </si>
  <si>
    <t>inflexor.vc</t>
  </si>
  <si>
    <t>DOMAIN::inflexor.vc</t>
  </si>
  <si>
    <t>GROWTHFINITI WEALTH PRIVATE LIMITED</t>
  </si>
  <si>
    <t>INP000009418</t>
  </si>
  <si>
    <t>Grishma Shah</t>
  </si>
  <si>
    <t>Unit No 4, Ground Floor, Senior Estate,, 7C Parsi Panchayat Road, Andheri East</t>
  </si>
  <si>
    <t>grishma@growthfiniti.com</t>
  </si>
  <si>
    <t>91229819788052</t>
  </si>
  <si>
    <t>Unit No 4, Ground Floor, Senior Estate, 7C Parsi Panchayat Road, Andheri East</t>
  </si>
  <si>
    <t>Apr 28, 2025</t>
  </si>
  <si>
    <t>growthfiniti.com</t>
  </si>
  <si>
    <t>DOMAIN::growthfiniti.com</t>
  </si>
  <si>
    <t>Samara Alternate Investment Management LLP</t>
  </si>
  <si>
    <t>INP000009454</t>
  </si>
  <si>
    <t>Vikram Agarwal</t>
  </si>
  <si>
    <t>Level 18, Birla Aurora,, Dr. Annie Besant Road, Worli</t>
  </si>
  <si>
    <t>vikram@samaracapital.com</t>
  </si>
  <si>
    <t>910222261696615</t>
  </si>
  <si>
    <t>Level 18, Birla Aurora, Dr. Annie Besant Road, Worli</t>
  </si>
  <si>
    <t>May 14, 2025</t>
  </si>
  <si>
    <t>samaracapital.com</t>
  </si>
  <si>
    <t>DOMAIN::samaracapital.com</t>
  </si>
  <si>
    <t>Welspun One Investment Management Private limited</t>
  </si>
  <si>
    <t>INP000009463</t>
  </si>
  <si>
    <t>Jonty Motwani</t>
  </si>
  <si>
    <t>7 flr Welspun House Kamala Mills Compound, Lower Parel</t>
  </si>
  <si>
    <t>companysecretary_wolp@welspun.com</t>
  </si>
  <si>
    <t>9102266136000</t>
  </si>
  <si>
    <t>Welspun One Dextrus 6th floor Peninsula Towers, Peninsula Corporate Park Lower Parel West</t>
  </si>
  <si>
    <t>Jun 04, 2025</t>
  </si>
  <si>
    <t>welspun.com</t>
  </si>
  <si>
    <t>DOMAIN::welspun.com</t>
  </si>
  <si>
    <t>Quest4Value Investment Managers LLP</t>
  </si>
  <si>
    <t>INP000009472</t>
  </si>
  <si>
    <t>Tushnaz  Patel</t>
  </si>
  <si>
    <t>1073, Quest, Rajabhau Desai Marg, Behind Beau Monde Towers, Prabhadevi</t>
  </si>
  <si>
    <t>aifcompliancepe@valuequest.in</t>
  </si>
  <si>
    <t>910009820321143</t>
  </si>
  <si>
    <t>Kabir Capital Advisors LLP</t>
  </si>
  <si>
    <t>INP000009490</t>
  </si>
  <si>
    <t>Neha Vyas</t>
  </si>
  <si>
    <t>Block E 003, Welkin Park, 1 10 32 37, Prakash Nagar, Begumpet, Secunderabad</t>
  </si>
  <si>
    <t>neha@kabircapital.in</t>
  </si>
  <si>
    <t>00919833905202</t>
  </si>
  <si>
    <t>500016</t>
  </si>
  <si>
    <t>1 10 39 to 44, Office number 401, Level 4, Gumidelli Towers, Old Airport Road, Begumpet, Prakash Nagar</t>
  </si>
  <si>
    <t>Jun 09, 2025</t>
  </si>
  <si>
    <t>kabircapital.in</t>
  </si>
  <si>
    <t>DOMAIN::kabircapital.in</t>
  </si>
  <si>
    <t>DV INVESTMENT ADVISORS LLP</t>
  </si>
  <si>
    <t>INP000009515</t>
  </si>
  <si>
    <t>Preet Shah</t>
  </si>
  <si>
    <t>2001, Sumer Trinity Tower 1, New Prabhadevi Road, Prabhadevi</t>
  </si>
  <si>
    <t>compliances@dvia.com</t>
  </si>
  <si>
    <t>00919819741338</t>
  </si>
  <si>
    <t>704, 7th Floor, Trade World, Kamala Mills, C wing, Senaparti Bapat Marg, lower Parel West</t>
  </si>
  <si>
    <t>Jun 30, 2025</t>
  </si>
  <si>
    <t>dvia.com</t>
  </si>
  <si>
    <t>DOMAIN::dvia.com</t>
  </si>
  <si>
    <t>IME PORTFOLIO MANAGERS LLP</t>
  </si>
  <si>
    <t>INP000009524</t>
  </si>
  <si>
    <t>Hritwik Chaudhary</t>
  </si>
  <si>
    <t>D11, FootPrints, Good Earth Malhar, Kambipura, Kumbalagodu</t>
  </si>
  <si>
    <t>compliance@imecapital.in</t>
  </si>
  <si>
    <t>91997017044263</t>
  </si>
  <si>
    <t>560074</t>
  </si>
  <si>
    <t>Jul 01, 2025</t>
  </si>
  <si>
    <t>imecapital.in</t>
  </si>
  <si>
    <t>DOMAIN::imecapital.in</t>
  </si>
  <si>
    <t>DT Portfolio Managers LLP</t>
  </si>
  <si>
    <t>INP000009542</t>
  </si>
  <si>
    <t>Shiv Rohira</t>
  </si>
  <si>
    <t>146, 14th Floor, Plot 220, Maker Chamber VI, Jamnalal Bajaj Marg, Nariman Point</t>
  </si>
  <si>
    <t>shiv.rohira@dt-partners.in</t>
  </si>
  <si>
    <t>91919820880099</t>
  </si>
  <si>
    <t>111A, 11th floor, Mittal Chambers, 228, Nariman Point,</t>
  </si>
  <si>
    <t>Jul 09, 2025</t>
  </si>
  <si>
    <t>dt-partners.in</t>
  </si>
  <si>
    <t>DOMAIN::dt-partners.in</t>
  </si>
  <si>
    <t>QUEST INVESTMENT MANAGERS PVT LTD</t>
  </si>
  <si>
    <t>INP000009551</t>
  </si>
  <si>
    <t>Hiten Sampat</t>
  </si>
  <si>
    <t>Plot188 Gurukrupa Sion Road 25B, Gujarat Society Sion</t>
  </si>
  <si>
    <t>hiten@questinvest.com</t>
  </si>
  <si>
    <t>9102269166703</t>
  </si>
  <si>
    <t>Jul 21, 2025</t>
  </si>
  <si>
    <t>questinvest.com</t>
  </si>
  <si>
    <t>DOMAIN::questinvest.com</t>
  </si>
  <si>
    <t>JADE WEALTH MANAGEMENT LLP</t>
  </si>
  <si>
    <t>INP000009560</t>
  </si>
  <si>
    <t>Khushal Shivarkar</t>
  </si>
  <si>
    <t>Office No 206, Meter Room No 2, Omkar CHS, Pant Nagar, Near Vegetable Market, Ghatkopar East</t>
  </si>
  <si>
    <t>info@jadewealth.co.in</t>
  </si>
  <si>
    <t>0918180860487</t>
  </si>
  <si>
    <t>400075</t>
  </si>
  <si>
    <t>jadewealth.co.in</t>
  </si>
  <si>
    <t>DOMAIN::jadewealth.co.in</t>
  </si>
  <si>
    <t>Param Ventures LLP</t>
  </si>
  <si>
    <t>INP000009630</t>
  </si>
  <si>
    <t>Dhara Thakkar</t>
  </si>
  <si>
    <t>A1404, 14th Floor, Naman Midtown, Senapati Bapat Rd, Next to Indiabulls Finance Centre, Elphinstone</t>
  </si>
  <si>
    <t>shailesh@singularityamc.in</t>
  </si>
  <si>
    <t>91009820094118</t>
  </si>
  <si>
    <t>Sep 09, 2025</t>
  </si>
  <si>
    <t>singularityamc.in</t>
  </si>
  <si>
    <t>DOMAIN::singularityamc.in</t>
  </si>
  <si>
    <t>Irris Whiteboard Private Limited</t>
  </si>
  <si>
    <t>INP000009667</t>
  </si>
  <si>
    <t>Anchit Lakhotiya</t>
  </si>
  <si>
    <t>5th Floor NPL Devi New No 111 L B Road, Thiruvanmiyur Kanchipuram Chennai City Corporation</t>
  </si>
  <si>
    <t>anchit.lakhotiya@wbfam.com</t>
  </si>
  <si>
    <t>910229819782226</t>
  </si>
  <si>
    <t>B Wing 706A Kanakia Wall Street Andheri Kurla Road, Andheri East Mumbai</t>
  </si>
  <si>
    <t>Oct 16, 2025</t>
  </si>
  <si>
    <t>wbfam.com</t>
  </si>
  <si>
    <t>DOMAIN::wbfam.com</t>
  </si>
  <si>
    <t>Prajana Advisors Private Limited</t>
  </si>
  <si>
    <t>INP000009676</t>
  </si>
  <si>
    <t>Uddhavraj Yadav</t>
  </si>
  <si>
    <t>109 &amp; 110, First Floor, Balarama Building, , Bandra Kurla Complex, Bandra East, Mumbai, Maharashtra</t>
  </si>
  <si>
    <t>uddhavraj.yadav@prajana-alternatives.com</t>
  </si>
  <si>
    <t>9102212345678</t>
  </si>
  <si>
    <t>801, Naman Centre, , Bandra Kurla Complex, Bandra East, Mumbai, Maharashtra</t>
  </si>
  <si>
    <t>Oct 28, 2025</t>
  </si>
  <si>
    <t>prajana-alternatives.com</t>
  </si>
  <si>
    <t>DOMAIN::prajana-alternatives.com</t>
  </si>
  <si>
    <t>ABN Capital Asset Managers LLP</t>
  </si>
  <si>
    <t>INP000009685</t>
  </si>
  <si>
    <t>Apurva  Iyer</t>
  </si>
  <si>
    <t>Flat No - 903, 9th Floor, West Side, Godrej Platinium Tower B-2, Pirojsha Nagar, Vikhroli,</t>
  </si>
  <si>
    <t>apurva@abncapital.in</t>
  </si>
  <si>
    <t>00919820817940</t>
  </si>
  <si>
    <t>400079</t>
  </si>
  <si>
    <t>B-308, Damji Shamji Corporate Square, Ghatkopar East, Mumbai</t>
  </si>
  <si>
    <t>Nov 07, 2025</t>
  </si>
  <si>
    <t>abncapital.in</t>
  </si>
  <si>
    <t>DOMAIN::abncapital.in</t>
  </si>
  <si>
    <t>Grey Sky Capital Private Limited</t>
  </si>
  <si>
    <t>INP000009694</t>
  </si>
  <si>
    <t>Apurv Anand</t>
  </si>
  <si>
    <t>L 1402 MANTRI ESPANA, OUTER RING ROAD, BELLANDUR</t>
  </si>
  <si>
    <t>apurv@greysky.capital</t>
  </si>
  <si>
    <t>910809900212081</t>
  </si>
  <si>
    <t>Nov 24, 2025</t>
  </si>
  <si>
    <t>greysky.capital</t>
  </si>
  <si>
    <t>DOMAIN::greysky.capital</t>
  </si>
  <si>
    <t>Equinova Investment Managers Private Limited</t>
  </si>
  <si>
    <t>INP000009700</t>
  </si>
  <si>
    <t>Anuj Bansal</t>
  </si>
  <si>
    <t>Unit no. 603, 6th Floor, INS Tower, G Block,, Bandra Kurla Complex, Bandra East</t>
  </si>
  <si>
    <t>anuj.bansal@equinova.co.in</t>
  </si>
  <si>
    <t>000919930260580</t>
  </si>
  <si>
    <t>Unit no. 603, 6th Floor, INS Tower, G Block, Bandra Kurla Complex, Bandra East</t>
  </si>
  <si>
    <t>equinova.co.in</t>
  </si>
  <si>
    <t>DOMAIN::equinova.co.in</t>
  </si>
  <si>
    <t>AVERRA ASSET MANAGERS LLP</t>
  </si>
  <si>
    <t>INP000009746</t>
  </si>
  <si>
    <t>Tanvi Sawant</t>
  </si>
  <si>
    <t>6 Floor- 1st, Plot-674, 12A,, Motta Mahal Bomanji Petit, Cumballa Hill,</t>
  </si>
  <si>
    <t>Tanvi@averra.co.in</t>
  </si>
  <si>
    <t>9109082272650</t>
  </si>
  <si>
    <t>6 Floor- 1st, Plot-674, 12A, Motta Mahal Bomanji Petit, Cumballa Hill,</t>
  </si>
  <si>
    <t>Dec 09, 2025</t>
  </si>
  <si>
    <t>averra.co.in</t>
  </si>
  <si>
    <t>DOMAIN::averra.co.in</t>
  </si>
  <si>
    <t>Eternity Investments Management Partners LLP</t>
  </si>
  <si>
    <t>INP000009755</t>
  </si>
  <si>
    <t>Parvez Pochkhanawala</t>
  </si>
  <si>
    <t>Office No. G2, 6th Floor, 35 Court Chambers, Vitthaldas Thackarsey Marg, Marine Lines, Mumbai 400020</t>
  </si>
  <si>
    <t>compliance@eternityim.in</t>
  </si>
  <si>
    <t>9122044833736</t>
  </si>
  <si>
    <t>Jan 01, 2026</t>
  </si>
  <si>
    <t>eternityim.in</t>
  </si>
  <si>
    <t>DOMAIN::eternityim.in</t>
  </si>
  <si>
    <t>STEADFORT INVESTMENT MANAGERS LLP</t>
  </si>
  <si>
    <t>INP000009764</t>
  </si>
  <si>
    <t>Shivshaktikumar Tiwari</t>
  </si>
  <si>
    <t>C 509, Mittal Commercia CHS, J B Nagar, Marol Naka, Andheri E, Mumbai</t>
  </si>
  <si>
    <t>compliance@steadfort.com</t>
  </si>
  <si>
    <t>9109892350942</t>
  </si>
  <si>
    <t>Jan 07, 2026</t>
  </si>
  <si>
    <t>steadfort.com</t>
  </si>
  <si>
    <t>DOMAIN::steadfort.com</t>
  </si>
  <si>
    <t>INVESTVALUE CAPITAL PRIVATE LIMITED</t>
  </si>
  <si>
    <t>INP000009773</t>
  </si>
  <si>
    <t>Shubham Gagrani</t>
  </si>
  <si>
    <t>303 Gokul Arcade Sahar Rd, A Wing, Vile Parle East</t>
  </si>
  <si>
    <t>aditya@investvalue.ai</t>
  </si>
  <si>
    <t>00919833575667</t>
  </si>
  <si>
    <t>Jan 12, 2026</t>
  </si>
  <si>
    <t>investvalue.ai</t>
  </si>
  <si>
    <t>DOMAIN::investvalue.ai</t>
  </si>
  <si>
    <t>T G P ADVISORS LLP</t>
  </si>
  <si>
    <t>INP000009791</t>
  </si>
  <si>
    <t>Rajesh Ramaiah</t>
  </si>
  <si>
    <t>No. 62, 17th Main, 2nd Block, , Kormangala, Bangalore</t>
  </si>
  <si>
    <t>rajesh@tridentgp.in</t>
  </si>
  <si>
    <t>000000000000000000</t>
  </si>
  <si>
    <t>tridentgp.in</t>
  </si>
  <si>
    <t>DOMAIN::tridentgp.in</t>
  </si>
  <si>
    <t>ARCA Alternatives IM LLP</t>
  </si>
  <si>
    <t>INP000009807</t>
  </si>
  <si>
    <t>Sagar N</t>
  </si>
  <si>
    <t>12th Floor C Wing Mittal Tower New No 21 Old No 6 47, Mahatma Gandhi Road Commercial Street Police Station Bangalore North Bangalore</t>
  </si>
  <si>
    <t>deepak.naragund@arcaalternatives.com</t>
  </si>
  <si>
    <t>91229900573756</t>
  </si>
  <si>
    <t>Jan 23, 2026</t>
  </si>
  <si>
    <t>arcaalternatives.com</t>
  </si>
  <si>
    <t>DOMAIN::arcaalternatives.com</t>
  </si>
  <si>
    <t>SINGULARITY GREEN PRIVATE LIMITED</t>
  </si>
  <si>
    <t>INP000009825</t>
  </si>
  <si>
    <t>Nischal Mittal</t>
  </si>
  <si>
    <t>A-1403 14th Floor, Naman Midtown, Senapati Bapat Marg,</t>
  </si>
  <si>
    <t>finance@singularityamc.in</t>
  </si>
  <si>
    <t>000009820094118</t>
  </si>
  <si>
    <t>Feb 09, 2026</t>
  </si>
  <si>
    <t>India Resurgence Asset Management Business Private Limited</t>
  </si>
  <si>
    <t>INP000009834</t>
  </si>
  <si>
    <t>Umang Patel</t>
  </si>
  <si>
    <t>3rd Floor Piramal Tower Peninsula Corporate Park, Ganpatrao Kadam Marg Lower Parel</t>
  </si>
  <si>
    <t>compliance.irf@indiarf.com</t>
  </si>
  <si>
    <t>9197696279322</t>
  </si>
  <si>
    <t>Feb 13, 2026</t>
  </si>
  <si>
    <t>indiarf.com</t>
  </si>
  <si>
    <t>DOMAIN::indiarf.com</t>
  </si>
  <si>
    <t>Novumlake Partners Private Limited</t>
  </si>
  <si>
    <t>INP000009843</t>
  </si>
  <si>
    <t>Celestina  Mascarenhas</t>
  </si>
  <si>
    <t>Plot no 30, 4302, 43rd floor, Aqua  tower, , Planet Godrej. , Nr Jacob Circle, , Mahalaxmi, Mumbai</t>
  </si>
  <si>
    <t>info@novumlake.com</t>
  </si>
  <si>
    <t>0919820745453</t>
  </si>
  <si>
    <t>AWFIS, 8th floor, Tower1, One international centre, , Senapati Bapat Marg, Dadar West</t>
  </si>
  <si>
    <t>novumlake.com</t>
  </si>
  <si>
    <t>DOMAIN::novumlake.com</t>
  </si>
  <si>
    <t>Windmill Capital Private Limited</t>
  </si>
  <si>
    <t>INP000009852</t>
  </si>
  <si>
    <t>Mayank Bansal</t>
  </si>
  <si>
    <t>No 51, 3rd Floor, Le Parc Richmonde, Richmond Road, Shantala Nagar</t>
  </si>
  <si>
    <t>compliance@windmillcapital.in</t>
  </si>
  <si>
    <t>9108296014433</t>
  </si>
  <si>
    <t>Feb 17, 2026</t>
  </si>
  <si>
    <t>windmillcapital.in</t>
  </si>
  <si>
    <t>DOMAIN::windmillcapital.in</t>
  </si>
  <si>
    <t>VIREYA CAPITAL MANAGEMENT LLP</t>
  </si>
  <si>
    <t>INP000009861</t>
  </si>
  <si>
    <t>Rakhi  Notani</t>
  </si>
  <si>
    <t>23 Amarpali Indl Estate, Ram Mandir Road, Goregaon Police Station, Goregaon West</t>
  </si>
  <si>
    <t>rakhi.notani@vireyacapital.com</t>
  </si>
  <si>
    <t>91022000000000</t>
  </si>
  <si>
    <t>400104</t>
  </si>
  <si>
    <t>B 406, Floor no,4, Jaswanti Allied Business Center premises CSL, Ramchandra Exten Lane, Kanchpada, Malad West</t>
  </si>
  <si>
    <t>Feb 24, 2026</t>
  </si>
  <si>
    <t>vireyacapital.com</t>
  </si>
  <si>
    <t>DOMAIN::vireyacapital.com</t>
  </si>
  <si>
    <t>Profound Ventures Private Limited</t>
  </si>
  <si>
    <t>INP000009870</t>
  </si>
  <si>
    <t>Abhishek Patil</t>
  </si>
  <si>
    <t>906 Flr 9 Raheja Chambers, Free Press Journal Marg, Nariman Point</t>
  </si>
  <si>
    <t>kaushik@kredere.com</t>
  </si>
  <si>
    <t>000009820091732</t>
  </si>
  <si>
    <t>Mar 05, 2026</t>
  </si>
  <si>
    <t>kredere.com</t>
  </si>
  <si>
    <t>DOMAIN::kredere.com</t>
  </si>
  <si>
    <t>Playbook Fund Advisors LLP</t>
  </si>
  <si>
    <t>INP000009889</t>
  </si>
  <si>
    <t>Avil Vaz</t>
  </si>
  <si>
    <t>042, Atlanta, Nariman Point</t>
  </si>
  <si>
    <t>avil@playbook.in</t>
  </si>
  <si>
    <t>910009702657962</t>
  </si>
  <si>
    <t>Mar 16, 2026</t>
  </si>
  <si>
    <t>playbook.in</t>
  </si>
  <si>
    <t>DOMAIN::playbook.in</t>
  </si>
  <si>
    <t>Trilithon Partners LLP</t>
  </si>
  <si>
    <t>INP000009898</t>
  </si>
  <si>
    <t>Supratim Chattopadhyay</t>
  </si>
  <si>
    <t>Flat No. D1106, Ramky Towers, Mindspace Road, Gachibowli, K.V.Rangareddy, Seri Lingampally</t>
  </si>
  <si>
    <t>supratim.chattopadhyay@trilithon.in</t>
  </si>
  <si>
    <t>0220919531709414</t>
  </si>
  <si>
    <t>Office 10, 4th Floor, Jyothi Imperial, Gachibowli</t>
  </si>
  <si>
    <t>Mar 30, 2026</t>
  </si>
  <si>
    <t>trilithon.in</t>
  </si>
  <si>
    <t>DOMAIN::trilithon.in</t>
  </si>
  <si>
    <t>VIVRITI ASSET MANAGEMENT PRIVATE LIMITED</t>
  </si>
  <si>
    <t>INP000009913</t>
  </si>
  <si>
    <t>Ajay Kejriwal</t>
  </si>
  <si>
    <t>PRESTIGE ZACKRIA METROPOLITAN, 8TH FLOOR, BLOCK 1, ANNASALAI</t>
  </si>
  <si>
    <t>contact@vivritifunds.com</t>
  </si>
  <si>
    <t>9104440074811</t>
  </si>
  <si>
    <t>Apr 01, 2026</t>
  </si>
  <si>
    <t>vivritifunds.com</t>
  </si>
  <si>
    <t>DOMAIN::vivritifunds.com</t>
  </si>
  <si>
    <t>Aikyam Capital Management LLP</t>
  </si>
  <si>
    <t>INP000010025</t>
  </si>
  <si>
    <t>Siddharth Jain</t>
  </si>
  <si>
    <t>1203, Lotus Link Square, K3 and K4, CTS 195, Near Apna Bazar, D N Nagar, New Link Road, Andheri West</t>
  </si>
  <si>
    <t>siddharth@aikyamcap.com</t>
  </si>
  <si>
    <t>9102269752662</t>
  </si>
  <si>
    <t>May 11, 2026</t>
  </si>
  <si>
    <t>aikyamcap.com</t>
  </si>
  <si>
    <t>DOMAIN::aikyamcap.com</t>
  </si>
  <si>
    <t>Saamya Advisors LLP</t>
  </si>
  <si>
    <t>INP000010034</t>
  </si>
  <si>
    <t>Ruchi Begrajka</t>
  </si>
  <si>
    <t>Unit 204-C, Wing B, Sumit Samarth Arcade, Aarey Road,, Goregaon West</t>
  </si>
  <si>
    <t>cs@saamya-advisors.in</t>
  </si>
  <si>
    <t>91229821469649</t>
  </si>
  <si>
    <t>Unit 204-C, Wing B, Sumit Samarth Arcade, Aarey Road, Goregaon West</t>
  </si>
  <si>
    <t>saamya-advisors.in</t>
  </si>
  <si>
    <t>DOMAIN::saamya-advisors.in</t>
  </si>
  <si>
    <t>Cresana Wealth Managers Private Limited</t>
  </si>
  <si>
    <t>INP000010052</t>
  </si>
  <si>
    <t>Krutika  Mehta</t>
  </si>
  <si>
    <t>135, 13th Floor, Jolly Maker Chambers II, , Nariman Point,</t>
  </si>
  <si>
    <t>compliance@cresanawealth.com</t>
  </si>
  <si>
    <t>910229870113862</t>
  </si>
  <si>
    <t>May 18, 2026</t>
  </si>
  <si>
    <t>cresanawealth.com</t>
  </si>
  <si>
    <t>DOMAIN::cresanawealth.com</t>
  </si>
  <si>
    <t>INP000010061</t>
  </si>
  <si>
    <t>deenal.dhulia@invescoindia.com</t>
  </si>
  <si>
    <t>9102267310000</t>
  </si>
  <si>
    <t>invescoindia.com</t>
  </si>
  <si>
    <t>DOMAIN::invescoindia.com</t>
  </si>
  <si>
    <t>NIKUNJ STOCK BROKERS LIMITED</t>
  </si>
  <si>
    <t>INP000010070</t>
  </si>
  <si>
    <t>MONIKA MONIKA</t>
  </si>
  <si>
    <t>A-92, G.F. , Kamla Nagar</t>
  </si>
  <si>
    <t>complianceofficer@nikunjonline.com</t>
  </si>
  <si>
    <t>9101147030017</t>
  </si>
  <si>
    <t>110007</t>
  </si>
  <si>
    <t>nikunjonline.com</t>
  </si>
  <si>
    <t>DOMAIN::nikunjonline.com</t>
  </si>
  <si>
    <t>FOURDEGREEWATER FINVEST PRIVATE LIMITED</t>
  </si>
  <si>
    <t>INP000010113</t>
  </si>
  <si>
    <t>VRamya Kumar</t>
  </si>
  <si>
    <t>91 Springboard Business Hub Private Limited, Gopala Krishna Complex, No. 45/3 Residency Road,, CMP Centre And School, Bangalore, Bangalore North, Karnataka, India, 560025</t>
  </si>
  <si>
    <t>ramya@wintwealth.com</t>
  </si>
  <si>
    <t>00917000097756</t>
  </si>
  <si>
    <t>wintwealth.com</t>
  </si>
  <si>
    <t>DOMAIN::wintwealth.com</t>
  </si>
  <si>
    <t>Vaikarya Change LLP</t>
  </si>
  <si>
    <t>INP000010131</t>
  </si>
  <si>
    <t>Gaurav Shetty</t>
  </si>
  <si>
    <t>Common H T, K Raheja Platinum, Plot No 710G, Marol Industrial Estate, Near Sag Baug, Marol Co Op Sty</t>
  </si>
  <si>
    <t>coo@vaikarya.com</t>
  </si>
  <si>
    <t>9102250023200</t>
  </si>
  <si>
    <t>vaikarya.com</t>
  </si>
  <si>
    <t>DOMAIN::vaikarya.com</t>
  </si>
  <si>
    <t>SAMCO Securities Limited</t>
  </si>
  <si>
    <t>INH000005847</t>
  </si>
  <si>
    <t>Mahesh  Morbia</t>
  </si>
  <si>
    <t>SAMRUDDHI HOUSE, PLOT NO. 66, BHAUDAJI CROSS LANE, OPP. SOUTH INDIAN GYMKHANA, MATUNGA CR, MUMBAI 400019</t>
  </si>
  <si>
    <t>Compliance@samco.in</t>
  </si>
  <si>
    <t>917738357441</t>
  </si>
  <si>
    <t>400019</t>
  </si>
  <si>
    <t>1104 A WING NAMAN MIDTOWN, SENAPATI BAPAT MARG, ELPHINSTONE ROAD WEST</t>
  </si>
  <si>
    <t>Apr 19, 2018</t>
  </si>
  <si>
    <t>Research Analyst</t>
  </si>
  <si>
    <t>samco.in</t>
  </si>
  <si>
    <t>DOMAIN::samco.in</t>
  </si>
  <si>
    <t>JEENA SCRIPTECH ALPHA ADVISORS PRIVATE LIMITED</t>
  </si>
  <si>
    <t>INH000006907</t>
  </si>
  <si>
    <t>Gaurav Parikh</t>
  </si>
  <si>
    <t>Plot No 170  , Jeena House,, Om Nagar , Off Pipe Line Road , Andheri East</t>
  </si>
  <si>
    <t>gaurav@jsalphaa.com</t>
  </si>
  <si>
    <t>9102244042032</t>
  </si>
  <si>
    <t>Plot No 170  , Jeena House, Om Nagar , Off Pipe Line Road , Andheri East</t>
  </si>
  <si>
    <t>Mar 06, 2019</t>
  </si>
  <si>
    <t>jsalphaa.com</t>
  </si>
  <si>
    <t>DOMAIN::jsalphaa.com</t>
  </si>
  <si>
    <t>DAYCO SECURITIES PRIVATE LIMITED</t>
  </si>
  <si>
    <t>INH000012892</t>
  </si>
  <si>
    <t>ADITI  NUNDY</t>
  </si>
  <si>
    <t>PODDAR POINT, B BLOCK 'NORTH', 7TH FLOOR, 113 PARK STREET</t>
  </si>
  <si>
    <t>aditi@daycoindia.com</t>
  </si>
  <si>
    <t>033140675065</t>
  </si>
  <si>
    <t>Sep 05, 2023</t>
  </si>
  <si>
    <t>daycoindia.com</t>
  </si>
  <si>
    <t>DOMAIN::daycoindia.com</t>
  </si>
  <si>
    <t>Lotusdew Wealth and Investment Advisors Private Limited</t>
  </si>
  <si>
    <t>INH000021641</t>
  </si>
  <si>
    <t>Abhishek Banerjee</t>
  </si>
  <si>
    <t>Cabin 3 4thFloor 1A 1B Jyoti Imperial, Gachibowli Rd Lumbini Avenue Gachibowli</t>
  </si>
  <si>
    <t>abhishek.banerjee@lotusdew.in</t>
  </si>
  <si>
    <t>917731082221</t>
  </si>
  <si>
    <t>lotusdew.in</t>
  </si>
  <si>
    <t>DOMAIN::lotusdew.in</t>
  </si>
  <si>
    <t>Mojo Markets Private Limited</t>
  </si>
  <si>
    <t>INH000021942</t>
  </si>
  <si>
    <t>Joyson Kalathil</t>
  </si>
  <si>
    <t>Benefice Business House, Office No. 3B, , 3rd Floor, C.S. 242, Mathuradas Mills Estate, N.M. Joshi Marg, Tulsi Pipe Road, Lower Parel West,</t>
  </si>
  <si>
    <t>joyson@marketsmojo.com</t>
  </si>
  <si>
    <t>00000000000000</t>
  </si>
  <si>
    <t>marketsmojo.com</t>
  </si>
  <si>
    <t>DOMAIN::marketsmojo.com</t>
  </si>
  <si>
    <t>VALUEFY SOLUTIONS  PRIVATE LIMITED</t>
  </si>
  <si>
    <t>INA000000060</t>
  </si>
  <si>
    <t>Mr. Sumeet Kumar Agrawal</t>
  </si>
  <si>
    <t>D-401, Tulip Valley of Flowers,, Thakur Village, Kandivali East,</t>
  </si>
  <si>
    <t>sumeet@valuefy.com</t>
  </si>
  <si>
    <t>022 32264400</t>
  </si>
  <si>
    <t>400101</t>
  </si>
  <si>
    <t>D-401, Tulip Valley of Flowers, Thakur Village, Kandivali East,</t>
  </si>
  <si>
    <t>Aug 02, 2013</t>
  </si>
  <si>
    <t>valuefy.com</t>
  </si>
  <si>
    <t>DOMAIN::valuefy.com</t>
  </si>
  <si>
    <t>SPT INVESTMENT ADVISORY SERVICES PVT. LTD.</t>
  </si>
  <si>
    <t>INA000000326</t>
  </si>
  <si>
    <t>Vinod Ameria</t>
  </si>
  <si>
    <t>A-504, A Wing, Kohinoor Square,, NC Kelkar Road, Dadar West</t>
  </si>
  <si>
    <t>compliance@sptulsian.com</t>
  </si>
  <si>
    <t>912244442701</t>
  </si>
  <si>
    <t>A-504, A Wing, Kohinoor Square, NC Kelkar Road, Dadar West</t>
  </si>
  <si>
    <t>Nov 25, 2013</t>
  </si>
  <si>
    <t>sptulsian.com</t>
  </si>
  <si>
    <t>DOMAIN::sptulsian.com</t>
  </si>
  <si>
    <t>V R WEALTH ADVISORS PRIVATE LIMITED</t>
  </si>
  <si>
    <t>INA000000383</t>
  </si>
  <si>
    <t>VIVEK REGE</t>
  </si>
  <si>
    <t>507 , B Wing , Naman Midtown , Senapati Bapat Marg, Elphinstone Road, Delisle Road, Mumbai</t>
  </si>
  <si>
    <t>vivekrege@vrwealthadvisors.com</t>
  </si>
  <si>
    <t>0002266391480</t>
  </si>
  <si>
    <t>Dec 03, 2013</t>
  </si>
  <si>
    <t>vrwealthadvisors.com</t>
  </si>
  <si>
    <t>DOMAIN::vrwealthadvisors.com</t>
  </si>
  <si>
    <t>PLAN AHEAD WEALTH ADVISORS PRIVATE LIMITED</t>
  </si>
  <si>
    <t>INA000000409</t>
  </si>
  <si>
    <t>Shalini Dhawan</t>
  </si>
  <si>
    <t>A-401, FAIRLINK CENTER, OFF ANDHERI LINK ROAD,, ANDHER (W)</t>
  </si>
  <si>
    <t>shalini.dhawan@planahead.in</t>
  </si>
  <si>
    <t>919870763631</t>
  </si>
  <si>
    <t>A-207/208/209/402, Fairlink Centre, Off Andheri Link Road, Andheri West</t>
  </si>
  <si>
    <t>planahead.in</t>
  </si>
  <si>
    <t>DOMAIN::planahead.in</t>
  </si>
  <si>
    <t>WEALTH FIRST ADVISORS PRIVATE LTD</t>
  </si>
  <si>
    <t>INA000000482</t>
  </si>
  <si>
    <t>MR. RAKESH MEHTA</t>
  </si>
  <si>
    <t>CAPITOL HOUSE 10,PARAS BUNGLOW II,, PARAS BUNGLOW II,NEAR PRAHLAD GARDEN,</t>
  </si>
  <si>
    <t>rakeshm@wealth-first.com</t>
  </si>
  <si>
    <t>022 30287279</t>
  </si>
  <si>
    <t>809 Raheja Centre, Nariman Point,</t>
  </si>
  <si>
    <t>Dec 12, 2013</t>
  </si>
  <si>
    <t>wealth-first.com</t>
  </si>
  <si>
    <t>DOMAIN::wealth-first.com</t>
  </si>
  <si>
    <t>TRUSTPLUTUS FAMILY OFFICE &amp; INVESTMENT ADVISERS (INDIA) PRIVATE LIMITED</t>
  </si>
  <si>
    <t>INA000000557</t>
  </si>
  <si>
    <t>Kaizad Hozdar</t>
  </si>
  <si>
    <t>108, 1ST  FLOOR,  BALRAMA PREMISES,, BANDRA KURLA COMPLEX, BANDRA (E),</t>
  </si>
  <si>
    <t>kaizad.hozdar@trustplutus.com</t>
  </si>
  <si>
    <t>91227506525069</t>
  </si>
  <si>
    <t>802, Naman Centre, G Block, C-31, Bandra-Kurla Complex, Bandra (E),</t>
  </si>
  <si>
    <t>Dec 18, 2013</t>
  </si>
  <si>
    <t>trustplutus.com</t>
  </si>
  <si>
    <t>DOMAIN::trustplutus.com</t>
  </si>
  <si>
    <t>UNIQUEST INVESTMENT ADVISER PRIVATE LIMITED</t>
  </si>
  <si>
    <t>INA000001001</t>
  </si>
  <si>
    <t>Kavisha Vora</t>
  </si>
  <si>
    <t>BLOCK B, FIRST FLOOR, SIDDHI VINAYAK TOWERS, OFF S.G HIGHWAY ROAD, MOUJE MAKARBA</t>
  </si>
  <si>
    <t>kavisha.vora@kunvarji.com</t>
  </si>
  <si>
    <t>07966669000</t>
  </si>
  <si>
    <t>380051</t>
  </si>
  <si>
    <t>405, Silicon Tower, Opp. Axis Bank, Law Garden,</t>
  </si>
  <si>
    <t>jagdeep.grewal@kunvarji.com</t>
  </si>
  <si>
    <t xml:space="preserve"> --7966147000</t>
  </si>
  <si>
    <t>380006</t>
  </si>
  <si>
    <t>Feb 03, 2014</t>
  </si>
  <si>
    <t>kunvarji.com</t>
  </si>
  <si>
    <t>DOMAIN::kunvarji.com</t>
  </si>
  <si>
    <t>SHEPHERD'S HILL CAPITAL ADVISORS</t>
  </si>
  <si>
    <t>INA000001035</t>
  </si>
  <si>
    <t>MR. RISHI GUPTA</t>
  </si>
  <si>
    <t>1, GOLDFIELD PLAZA,, SASSOON ROAD,</t>
  </si>
  <si>
    <t>rgupta@shepherdshill.in</t>
  </si>
  <si>
    <t>9665046983</t>
  </si>
  <si>
    <t>10, Aundh Road, Kirkee</t>
  </si>
  <si>
    <t>411003</t>
  </si>
  <si>
    <t>Feb 07, 2014</t>
  </si>
  <si>
    <t>shepherdshill.in</t>
  </si>
  <si>
    <t>DOMAIN::shepherdshill.in</t>
  </si>
  <si>
    <t>VIKRAM ADVISORY SERVICES PVT. LTD.</t>
  </si>
  <si>
    <t>INA000001472</t>
  </si>
  <si>
    <t>Aditya Shah</t>
  </si>
  <si>
    <t>4TH FLOOR, NIKUMBH COMPLEX,, B/H RATNAM COMPLEX, C G ROAD, ELLIS BRIDGE,</t>
  </si>
  <si>
    <t>accounts@vikramadvisory.com</t>
  </si>
  <si>
    <t>919726840666</t>
  </si>
  <si>
    <t>4th Floor, Nikumbh Complex, B/h Ratnam Complex, C G Road, Ellis Bridge,</t>
  </si>
  <si>
    <t>Apr 09, 2014</t>
  </si>
  <si>
    <t>vikramadvisory.com</t>
  </si>
  <si>
    <t>DOMAIN::vikramadvisory.com</t>
  </si>
  <si>
    <t>TBNG  CAPITAL ADVISORS PVT. LTD.</t>
  </si>
  <si>
    <t>INA000001837</t>
  </si>
  <si>
    <t>Sneha Nahar</t>
  </si>
  <si>
    <t>11th Floor, Unit No 1101, One Lodha Place, Senapati Bapat Marg, Opposite Lodha Supremius, Upper Worli, Lower Parel,</t>
  </si>
  <si>
    <t>Compliance@tbng.co.in</t>
  </si>
  <si>
    <t>0918976769096</t>
  </si>
  <si>
    <t>17, Ground Floor, Veer Mahal CHS Ltd., Dr. B Ambedkar Road, Parel- Lalbaug</t>
  </si>
  <si>
    <t>Jun 09, 2014</t>
  </si>
  <si>
    <t>tbng.co.in</t>
  </si>
  <si>
    <t>DOMAIN::tbng.co.in</t>
  </si>
  <si>
    <t>INNOVAGE INVESTMENT ADVISERS PVT LTD</t>
  </si>
  <si>
    <t>INA000003809</t>
  </si>
  <si>
    <t>DINESH ROHIRA</t>
  </si>
  <si>
    <t>B1, 204, ROSE PARADE, OFF, NIBM ROAD, KONDHWA,</t>
  </si>
  <si>
    <t>dinesh@innovage.co.in</t>
  </si>
  <si>
    <t>022 42646414</t>
  </si>
  <si>
    <t>B1, 204, Rose Parade, Off</t>
  </si>
  <si>
    <t>40006</t>
  </si>
  <si>
    <t>Nov 13, 2015</t>
  </si>
  <si>
    <t>innovage.co.in</t>
  </si>
  <si>
    <t>DOMAIN::innovage.co.in</t>
  </si>
  <si>
    <t>BLUE OCEAN FINANCIAL SERVICES PRIVATE LIMITED</t>
  </si>
  <si>
    <t>INA000003833</t>
  </si>
  <si>
    <t>Vishwanath Narayanan</t>
  </si>
  <si>
    <t>15TH Floor, 1505, Meraki Arena, Sion-Trombay Road,, Opp. R K Studio, Chembur East</t>
  </si>
  <si>
    <t>nvishwanath@bofs.co.in</t>
  </si>
  <si>
    <t>918169675182</t>
  </si>
  <si>
    <t>15TH Floor, 1505, Meraki Arena, Sion-Trombay Road, Opp. R K Studio, Chembur East</t>
  </si>
  <si>
    <t>Nov 30, 2015</t>
  </si>
  <si>
    <t>bofs.co.in</t>
  </si>
  <si>
    <t>DOMAIN::bofs.co.in</t>
  </si>
  <si>
    <t>quant Portfolio Managers Private Limited</t>
  </si>
  <si>
    <t>INA000003924</t>
  </si>
  <si>
    <t>ANURAG SETH</t>
  </si>
  <si>
    <t>6th Floor, Sea Breeze Building, Appasaheb Marathe Marg, Prabhadevi</t>
  </si>
  <si>
    <t>Anurag.seth@quantcapital.co.in</t>
  </si>
  <si>
    <t>02240880366</t>
  </si>
  <si>
    <t>612, Maker Chambers IV, Nariman Point,</t>
  </si>
  <si>
    <t>Dec 11, 2015</t>
  </si>
  <si>
    <t>quantcapital.co.in</t>
  </si>
  <si>
    <t>DOMAIN::quantcapital.co.in</t>
  </si>
  <si>
    <t>ACUITAS CAPITAL ADVISORS PRIVATE LIMITED</t>
  </si>
  <si>
    <t>INA000003957</t>
  </si>
  <si>
    <t>Veronica Lobo</t>
  </si>
  <si>
    <t>101, MAKER CHAMBERS III, PLOT NO. 223, NARIMAN POINT</t>
  </si>
  <si>
    <t>ea@acuitascapital.in</t>
  </si>
  <si>
    <t>0919545528835</t>
  </si>
  <si>
    <t>101, Maker Chambers III, Plot No. 223, Nariman Point</t>
  </si>
  <si>
    <t>Dec 29, 2015</t>
  </si>
  <si>
    <t>acuitascapital.in</t>
  </si>
  <si>
    <t>DOMAIN::acuitascapital.in</t>
  </si>
  <si>
    <t>KONGRUENT  WEALTH MANAGEMENT SERVICES LLP</t>
  </si>
  <si>
    <t>INA000004070</t>
  </si>
  <si>
    <t>MR. BHAVESH JHALA</t>
  </si>
  <si>
    <t>410 B HIVE67 ICON POISAR GYMKHANA ROAD LOKMANYA TILAK NAGAR POISAR, NEAR RAGHULEELA MALL KANDIVALI WEST MUMBAI</t>
  </si>
  <si>
    <t>bhaveshjhala@kongruent.co.in</t>
  </si>
  <si>
    <t>02240066650</t>
  </si>
  <si>
    <t>G 73 Profit  Centre Gate  No 2, Opposite to Panchsheel  Height  Bldg, Mahavir  Nagar, Kandivali West</t>
  </si>
  <si>
    <t>Jan 25, 2016</t>
  </si>
  <si>
    <t>kongruent.co.in</t>
  </si>
  <si>
    <t>DOMAIN::kongruent.co.in</t>
  </si>
  <si>
    <t>RC CAPITAL MANAGEMENT</t>
  </si>
  <si>
    <t>INA000004088</t>
  </si>
  <si>
    <t>Praveen Nagaraja</t>
  </si>
  <si>
    <t>B-101, Chinar Co Op Hsg Society, S No 15 P, CTS 681, Nr Sangam Press</t>
  </si>
  <si>
    <t>praveen.nagaraj@rccapitalmanagement.com</t>
  </si>
  <si>
    <t>0919620044311</t>
  </si>
  <si>
    <t>D-102, Sudarshan Apartment, Survey 6/5, Karve Nagar, Behind ICICI Bank, Near Sahawas Society</t>
  </si>
  <si>
    <t>411052</t>
  </si>
  <si>
    <t>Feb 03, 2016</t>
  </si>
  <si>
    <t>rccapitalmanagement.com</t>
  </si>
  <si>
    <t>DOMAIN::rccapitalmanagement.com</t>
  </si>
  <si>
    <t>MANEK FINANCIAL ADVISORS PRIVATE LIMITED</t>
  </si>
  <si>
    <t>INA000004401</t>
  </si>
  <si>
    <t>Sonesh Dedhia</t>
  </si>
  <si>
    <t>C/517, Avior Corporate Park,, Nirmal Galaxy, L.B.S Marg,</t>
  </si>
  <si>
    <t>sonesh.dedhia@manekfinancial.com</t>
  </si>
  <si>
    <t>0919322574914</t>
  </si>
  <si>
    <t>C/517, Avior Corporate Park, L.B.S. Marg, Mulund West,</t>
  </si>
  <si>
    <t>Mar 21, 2016</t>
  </si>
  <si>
    <t>manekfinancial.com</t>
  </si>
  <si>
    <t>DOMAIN::manekfinancial.com</t>
  </si>
  <si>
    <t>MONEYMAP INVESTMENT ADVISORS PVT LTD</t>
  </si>
  <si>
    <t>INA000004500</t>
  </si>
  <si>
    <t>YONITA ALVARES</t>
  </si>
  <si>
    <t>702 SAMARPAN COMPLEX, OPP SOLITAIRE PARK CHAKALA ANDHERI GHATKOPER LINK ROAD</t>
  </si>
  <si>
    <t>Y.ALVARES@MONEYFRONT.IN</t>
  </si>
  <si>
    <t>0918591437680</t>
  </si>
  <si>
    <t>Aug 09, 2021</t>
  </si>
  <si>
    <t>moneyfront.in</t>
  </si>
  <si>
    <t>DOMAIN::moneyfront.in</t>
  </si>
  <si>
    <t>PHILLIPCAPITAL (INDIA) PVT. LTD.</t>
  </si>
  <si>
    <t>INA000004518</t>
  </si>
  <si>
    <t>Rohan Raut</t>
  </si>
  <si>
    <t>NO1,18 FLOOR,URMI ESTATE, 95,GANAPATRAO KADAM MARG, LOWER PAREL</t>
  </si>
  <si>
    <t>compliance@phillipcapital.in</t>
  </si>
  <si>
    <t>919766542383</t>
  </si>
  <si>
    <t>No1,18 Floor,Urmi Estate, 95,Ganapatrao Kadam Marg, Lower Parel</t>
  </si>
  <si>
    <t>Apr 12, 2016</t>
  </si>
  <si>
    <t>phillipcapital.in</t>
  </si>
  <si>
    <t>DOMAIN::phillipcapital.in</t>
  </si>
  <si>
    <t>Mobikwik Investment Adviser Private Limited</t>
  </si>
  <si>
    <t>INA000004773</t>
  </si>
  <si>
    <t>Upasana Taku</t>
  </si>
  <si>
    <t>D-5 Road No 20, Marol MIDC, Andheri East,</t>
  </si>
  <si>
    <t>upasana@mobikwik.com</t>
  </si>
  <si>
    <t>911161266390</t>
  </si>
  <si>
    <t>Unit No. 102, 1st Floor, Block-B, Pegasus One, Golf Course Road, Sector-53</t>
  </si>
  <si>
    <t>122003</t>
  </si>
  <si>
    <t>Mar 16, 2020</t>
  </si>
  <si>
    <t>mobikwik.com</t>
  </si>
  <si>
    <t>DOMAIN::mobikwik.com</t>
  </si>
  <si>
    <t>Market-Hub Stock Broking Private Limited</t>
  </si>
  <si>
    <t>INA000005333</t>
  </si>
  <si>
    <t>Pradipkumar Savjibhai Kanani</t>
  </si>
  <si>
    <t>B-230-231, INTERNATONAL TRADE CENTER (ITC) MAJURA GATE, CROSSING, RING ROAD</t>
  </si>
  <si>
    <t>compliance@markethubonline.com</t>
  </si>
  <si>
    <t>918140934000</t>
  </si>
  <si>
    <t>Apr 15, 2026</t>
  </si>
  <si>
    <t>markethubonline.com</t>
  </si>
  <si>
    <t>DOMAIN::markethubonline.com</t>
  </si>
  <si>
    <t>OPPORTUNE WEALTH ADVISORS PRIVATE LIMITED</t>
  </si>
  <si>
    <t>INA000005366</t>
  </si>
  <si>
    <t>Niloufer Baria</t>
  </si>
  <si>
    <t>309, 3rd floor, Maker Chamber V,, Jamnalal Bajaj Marg, Nariman Point, Mumbai 400021</t>
  </si>
  <si>
    <t>clientrelations@opportunewealth.com</t>
  </si>
  <si>
    <t>0918657444326</t>
  </si>
  <si>
    <t>309, 3rd floor, Maker Chamber V, Jamnalal Bajaj Marg, Nariman Point, Mumbai 400021</t>
  </si>
  <si>
    <t>Aug 16, 2016</t>
  </si>
  <si>
    <t>opportunewealth.com</t>
  </si>
  <si>
    <t>DOMAIN::opportunewealth.com</t>
  </si>
  <si>
    <t>CEDRUS CONSULTANTS PRIVATE LIMITED</t>
  </si>
  <si>
    <t>INA000005457</t>
  </si>
  <si>
    <t>Ganesh Kirtane</t>
  </si>
  <si>
    <t>S. No. 13, CTS No. 881 P, F. No. 1501 A 1, Kumar Sanctum,, Pashan Bavdhan</t>
  </si>
  <si>
    <t>ganesh@cedruswealth.com</t>
  </si>
  <si>
    <t>0919860260955</t>
  </si>
  <si>
    <t>2nd Floor, 202- A, Amelia Apartment, Model Colony, Next to Kirloskar Bungalow, Lakaki Road</t>
  </si>
  <si>
    <t>411016</t>
  </si>
  <si>
    <t>Aug 25, 2016</t>
  </si>
  <si>
    <t>cedruswealth.com</t>
  </si>
  <si>
    <t>DOMAIN::cedruswealth.com</t>
  </si>
  <si>
    <t>KURTOSIS ANALYTICS &amp; ADVISORS</t>
  </si>
  <si>
    <t>INA000005580</t>
  </si>
  <si>
    <t>MR. KRISHNAMOORTHY ANANT RAO</t>
  </si>
  <si>
    <t>1, 1ST FLOOR, C-5/7, GALAXY APARTMENTS, SECTOR- 3,  CBD BELAPUR</t>
  </si>
  <si>
    <t>k.anantrao@kurtosis.in</t>
  </si>
  <si>
    <t>022 65172483</t>
  </si>
  <si>
    <t>400614</t>
  </si>
  <si>
    <t>1, 1st Floor, C-5/7, Galaxy Apartments, Sector- 3,  CBD Belapur</t>
  </si>
  <si>
    <t>Oct 17, 2016</t>
  </si>
  <si>
    <t>kurtosis.in</t>
  </si>
  <si>
    <t>DOMAIN::kurtosis.in</t>
  </si>
  <si>
    <t>Ashmore Investment Management India LLP</t>
  </si>
  <si>
    <t>INA000006846</t>
  </si>
  <si>
    <t>Anila Goyal</t>
  </si>
  <si>
    <t>Units 206, 207, 208 Ceejay House, Shivsagar Estate,, Dr Annie Besant Road, Worli,</t>
  </si>
  <si>
    <t>anila@aaia.in</t>
  </si>
  <si>
    <t>9102262690025</t>
  </si>
  <si>
    <t>Units 206, 207, 208 Ceejay House, Shivsagar Estate, Dr Annie Besant Road, Worli,</t>
  </si>
  <si>
    <t>Jun 02, 2023</t>
  </si>
  <si>
    <t>aaia.in</t>
  </si>
  <si>
    <t>DOMAIN::aaia.in</t>
  </si>
  <si>
    <t>QBER ASSET ADVISORS LLP</t>
  </si>
  <si>
    <t>INA000007021</t>
  </si>
  <si>
    <t>Adityavikram Dube</t>
  </si>
  <si>
    <t>14,B 1401, Lavista, PL - 256/257, Sec 10, Kharghar, Raigad,</t>
  </si>
  <si>
    <t>Aditya@qberassetadvisors.com</t>
  </si>
  <si>
    <t>00002235110684</t>
  </si>
  <si>
    <t>Shop No 33, Om Harmony, Plot No 26, Sector 10, Kharghar, Navi Mumbai</t>
  </si>
  <si>
    <t>Feb 03, 2017</t>
  </si>
  <si>
    <t>qberassetadvisors.com</t>
  </si>
  <si>
    <t>DOMAIN::qberassetadvisors.com</t>
  </si>
  <si>
    <t>INA000007623</t>
  </si>
  <si>
    <t>Awfis, 1st Floor, B Wing, Parinee Crescenzo, G Block, BKC, Bandra East</t>
  </si>
  <si>
    <t>chanchal.manglunia@omnisciencecapital.co</t>
  </si>
  <si>
    <t>0919004560540</t>
  </si>
  <si>
    <t>May 12, 2017</t>
  </si>
  <si>
    <t>omnisciencecapital.co</t>
  </si>
  <si>
    <t>DOMAIN::omnisciencecapital.co</t>
  </si>
  <si>
    <t>Moneycontrol.Dot Com India Limited</t>
  </si>
  <si>
    <t>INA000008482</t>
  </si>
  <si>
    <t>Ashis Panikkar</t>
  </si>
  <si>
    <t>Left Wing, 3rd Floor, Vrindavan Building, , Sriram Mill Compound, Ganpatrao Kadam Marg, Worli, Delisle Road,</t>
  </si>
  <si>
    <t>ashis.panikkar@nw18.com</t>
  </si>
  <si>
    <t>02233634712</t>
  </si>
  <si>
    <t>Sep 22, 2017</t>
  </si>
  <si>
    <t>nw18.com</t>
  </si>
  <si>
    <t>DOMAIN::nw18.com</t>
  </si>
  <si>
    <t>PROALPHA CAPITAL PRIVATE LIMITED</t>
  </si>
  <si>
    <t>INA000009065</t>
  </si>
  <si>
    <t>Sharad Kumar</t>
  </si>
  <si>
    <t>A/703, Palash, Gawand Baug Pokhran Road no.2, Near Upvan Lake, Thane West</t>
  </si>
  <si>
    <t>skumar@proalphaadvisors.com</t>
  </si>
  <si>
    <t>00919222202502</t>
  </si>
  <si>
    <t>400610</t>
  </si>
  <si>
    <t>Office No.2, 1st Floor, Anandram Shopping Centre, Pokhran Road no 2, Siddhachal, Thane West</t>
  </si>
  <si>
    <t>Nov 25, 2025</t>
  </si>
  <si>
    <t>proalphaadvisors.com</t>
  </si>
  <si>
    <t>DOMAIN::proalphaadvisors.com</t>
  </si>
  <si>
    <t>Alphaniti Fintech Private Limited</t>
  </si>
  <si>
    <t>INA000009481</t>
  </si>
  <si>
    <t>Priya Solanki</t>
  </si>
  <si>
    <t>401 402, Varsha-Airawat, Plot No.12B, S.No. 6/1/7, Baner, Pune</t>
  </si>
  <si>
    <t>priya.solanki@alphaniti.com</t>
  </si>
  <si>
    <t>00919699947498</t>
  </si>
  <si>
    <t>tanya.bhogal@finaureus.com</t>
  </si>
  <si>
    <t>Apr 21, 2025</t>
  </si>
  <si>
    <t>alphaniti.com</t>
  </si>
  <si>
    <t>DOMAIN::alphaniti.com</t>
  </si>
  <si>
    <t>NS WEALTH SOLUTION PVT. LTD.</t>
  </si>
  <si>
    <t>INA000009551</t>
  </si>
  <si>
    <t>NITIN SAWANT</t>
  </si>
  <si>
    <t>A- 107 , FLOOR - 1, A, ASHIRWAD CHS, ACHARYA DONDE MARG , NEAR SEWREE FISH MARKET  - SEWREE</t>
  </si>
  <si>
    <t>investments@nswealth.in</t>
  </si>
  <si>
    <t>919145354545</t>
  </si>
  <si>
    <t>400015</t>
  </si>
  <si>
    <t>2ND FLOOR , NABILAL COMPLEX , , SHIVAJI CHOWK  - VITA</t>
  </si>
  <si>
    <t>SANGLI-MIRAJ &amp; KUPWAD</t>
  </si>
  <si>
    <t>415311</t>
  </si>
  <si>
    <t>Jan 18, 2018</t>
  </si>
  <si>
    <t>nswealth.in</t>
  </si>
  <si>
    <t>DOMAIN::nswealth.in</t>
  </si>
  <si>
    <t>Godrej Ventures And Investment Advisers Private Limited</t>
  </si>
  <si>
    <t>INA000010380</t>
  </si>
  <si>
    <t>Saurabh Vashishth</t>
  </si>
  <si>
    <t>Godrej One, 5th Floor,, Pirojshanagar Eastern Express Highway, Vikhroli (East)</t>
  </si>
  <si>
    <t>saurabh.vashishth@godrejventure.com</t>
  </si>
  <si>
    <t>0002261698578</t>
  </si>
  <si>
    <t>Godrej One, 5th Floor, Pirojshanagar Eastern Express Highway, Vikhroli (East)</t>
  </si>
  <si>
    <t>May 04, 2026</t>
  </si>
  <si>
    <t>godrejventure.com</t>
  </si>
  <si>
    <t>DOMAIN::godrejventure.com</t>
  </si>
  <si>
    <t>Lightrock Investment Advisors Private Limited</t>
  </si>
  <si>
    <t>INA000010636</t>
  </si>
  <si>
    <t>Neil Deshpande</t>
  </si>
  <si>
    <t>Cabin No. 1, 3rd Floor, No. 953, 12th Main,, HAL 2nd Stage, Indiranagar,</t>
  </si>
  <si>
    <t>neil@lightrock.com</t>
  </si>
  <si>
    <t>000009860217816</t>
  </si>
  <si>
    <t>Cabin No. 1, 3rd Floor, No. 953, 12th Main, HAL 2nd Stage, Indiranagar,</t>
  </si>
  <si>
    <t>Feb 08, 2022</t>
  </si>
  <si>
    <t>lightrock.com</t>
  </si>
  <si>
    <t>DOMAIN::lightrock.com</t>
  </si>
  <si>
    <t>VALUEQUEST CAPITAL LLP</t>
  </si>
  <si>
    <t>INA100002032</t>
  </si>
  <si>
    <t>SH PARESH S THAKKAR</t>
  </si>
  <si>
    <t>206, WORLDMARK 1 SECOND FLOOR, EAST WING, AEROCITY, NEW DELHI</t>
  </si>
  <si>
    <t>paresh@valuequestcapital.com</t>
  </si>
  <si>
    <t>11 39126203</t>
  </si>
  <si>
    <t>D-3, P3B, District Centre, Saket, New Delhi</t>
  </si>
  <si>
    <t>Jul 28, 2014</t>
  </si>
  <si>
    <t>valuequestcapital.com</t>
  </si>
  <si>
    <t>DOMAIN::valuequestcapital.com</t>
  </si>
  <si>
    <t>DEVERE GROUP INVESTMENT ADVISORS PVT LTD</t>
  </si>
  <si>
    <t>INA100002693</t>
  </si>
  <si>
    <t>STUART IAN GITSHAM</t>
  </si>
  <si>
    <t>1309 PRAGATI TOWER, 26, RAJENDRA PLACE</t>
  </si>
  <si>
    <t>stuart.gitsham@devere-group.com</t>
  </si>
  <si>
    <t>1244712257</t>
  </si>
  <si>
    <t>110008</t>
  </si>
  <si>
    <t>German  Centre, Office No.8, Building, No.9B, Level 12, DLF Cyber City , Phase III, Gurgaon</t>
  </si>
  <si>
    <t>Feb 19, 2015</t>
  </si>
  <si>
    <t>devere-group.com</t>
  </si>
  <si>
    <t>DOMAIN::devere-group.com</t>
  </si>
  <si>
    <t>PAISABAZAAR MARKETING AND CONSULTING PRIVATE LIMITED</t>
  </si>
  <si>
    <t>INA100003949</t>
  </si>
  <si>
    <t>Rohit Kumar</t>
  </si>
  <si>
    <t>Plot No.135P, Sector 44, Gurugram -122001</t>
  </si>
  <si>
    <t>rohit.kumar@paisabazaar.com</t>
  </si>
  <si>
    <t>0919873997758</t>
  </si>
  <si>
    <t>Ground Floor, Plot No.129, Sector 44, Gurgaon -122001</t>
  </si>
  <si>
    <t>paisabazaar.com</t>
  </si>
  <si>
    <t>DOMAIN::paisabazaar.com</t>
  </si>
  <si>
    <t>AAUM INVESTMENT ADVISERS PRIVATE LIMITED</t>
  </si>
  <si>
    <t>INA100005050</t>
  </si>
  <si>
    <t>Mahesh Parasuraman</t>
  </si>
  <si>
    <t>Flat no. No. 6, Flat No. 006, Nanda Ashirwad Apartments, , No.1, Canara Bank Colony, 2nd Main, Chandra Layout, Nagarbhavi, Bengaluru North</t>
  </si>
  <si>
    <t>info@aaumcapital.com</t>
  </si>
  <si>
    <t>918046316600</t>
  </si>
  <si>
    <t>560072</t>
  </si>
  <si>
    <t>Jun 28, 2016</t>
  </si>
  <si>
    <t>aaumcapital.com</t>
  </si>
  <si>
    <t>DOMAIN::aaumcapital.com</t>
  </si>
  <si>
    <t>Independent Advisors Private Limited</t>
  </si>
  <si>
    <t>INA100008443</t>
  </si>
  <si>
    <t>Rahul  Rastogi</t>
  </si>
  <si>
    <t>5, Commercial Complex, , Chitra Vihar,</t>
  </si>
  <si>
    <t>compliance@valueresearch.in</t>
  </si>
  <si>
    <t>910229899638444</t>
  </si>
  <si>
    <t>110092</t>
  </si>
  <si>
    <t>C-103, Sector 65</t>
  </si>
  <si>
    <t>Sep 14, 2017</t>
  </si>
  <si>
    <t>valueresearch.in</t>
  </si>
  <si>
    <t>DOMAIN::valueresearch.in</t>
  </si>
  <si>
    <t>SENSAGE FINANCIAL SERVICES PRIVATE LIMITED</t>
  </si>
  <si>
    <t>INA200000027</t>
  </si>
  <si>
    <t>M.S. Shabbir</t>
  </si>
  <si>
    <t>Flat No102 Fortune Heights MCH No10 2 289 87 102, Shanti Nagar Shantinagar Asifnagar Hyderabad</t>
  </si>
  <si>
    <t>shabbir@sensageonline.com</t>
  </si>
  <si>
    <t>040 2333 3322</t>
  </si>
  <si>
    <t>500028</t>
  </si>
  <si>
    <t>10-2-5/11 A C Guards, Near Income Tax Towers,</t>
  </si>
  <si>
    <t>500004</t>
  </si>
  <si>
    <t>Aug 01, 2013</t>
  </si>
  <si>
    <t>sensageonline.com</t>
  </si>
  <si>
    <t>DOMAIN::sensageonline.com</t>
  </si>
  <si>
    <t>AROHA CAPITAL PRIVATE LTD</t>
  </si>
  <si>
    <t>INA200000175</t>
  </si>
  <si>
    <t>Vivek  Pai</t>
  </si>
  <si>
    <t>No 10/1 Lakshminarayan Complex, Ground Floor, Palace Road</t>
  </si>
  <si>
    <t>VIVEKPAI@AROHACAPITAL.COM</t>
  </si>
  <si>
    <t>919902835555</t>
  </si>
  <si>
    <t>560052</t>
  </si>
  <si>
    <t>Oct 07, 2013</t>
  </si>
  <si>
    <t>arohacapital.com</t>
  </si>
  <si>
    <t>DOMAIN::arohacapital.com</t>
  </si>
  <si>
    <t>29K INVESTMENT ADVISERS PRIVATE LTD</t>
  </si>
  <si>
    <t>INA200000365</t>
  </si>
  <si>
    <t>Prashanth Prabhu</t>
  </si>
  <si>
    <t>No.390, 7th Main, 9th Cross, Jayanagar 2nd Block</t>
  </si>
  <si>
    <t>adviser@29kadvisers.com</t>
  </si>
  <si>
    <t>919900422411</t>
  </si>
  <si>
    <t>560011</t>
  </si>
  <si>
    <t>Nov 27, 2013</t>
  </si>
  <si>
    <t>29kadvisers.com</t>
  </si>
  <si>
    <t>DOMAIN::29kadvisers.com</t>
  </si>
  <si>
    <t>Scripbox Wealth Managers Private Limited</t>
  </si>
  <si>
    <t>INA200001041</t>
  </si>
  <si>
    <t>Meyyappan Meyyappan</t>
  </si>
  <si>
    <t>3rd Floor, Indiqube, The Leela Galleria, , No.23, Old Airport Road,</t>
  </si>
  <si>
    <t>compliance.ria@scripbox.com</t>
  </si>
  <si>
    <t>00919945034531</t>
  </si>
  <si>
    <t>Sep 18, 2025</t>
  </si>
  <si>
    <t>scripbox.com</t>
  </si>
  <si>
    <t>DOMAIN::scripbox.com</t>
  </si>
  <si>
    <t>AKSHAYA WEALTH MANAGEMENT PRIVATE LTD</t>
  </si>
  <si>
    <t>INA200001249</t>
  </si>
  <si>
    <t>MR.G.V.SUDARSHAN</t>
  </si>
  <si>
    <t>690, 16TH MAIN,, 4TH BLOCK, JAYANAGAR</t>
  </si>
  <si>
    <t>sudarshan@ akshayawealthadvisers.com</t>
  </si>
  <si>
    <t>8026535701</t>
  </si>
  <si>
    <t>560041</t>
  </si>
  <si>
    <t>690, 16TH MAIN, 4TH BLOCK, JAYANAGAR</t>
  </si>
  <si>
    <t>Mar 14, 2014</t>
  </si>
  <si>
    <t>akshayawealthadvisers.com</t>
  </si>
  <si>
    <t>DOMAIN::akshayawealthadvisers.com</t>
  </si>
  <si>
    <t>WEALTH MANAGERS UNITED (INDIA) PRIVATE LTD</t>
  </si>
  <si>
    <t>INA200001330</t>
  </si>
  <si>
    <t>Jayaprakash Pai Muniyal</t>
  </si>
  <si>
    <t>NO.2, III Floor, HAYES ROAD</t>
  </si>
  <si>
    <t>feedback@wmuindia.com</t>
  </si>
  <si>
    <t>918040952801</t>
  </si>
  <si>
    <t>Mar 24, 2014</t>
  </si>
  <si>
    <t>wmuindia.com</t>
  </si>
  <si>
    <t>DOMAIN::wmuindia.com</t>
  </si>
  <si>
    <t>HEXAGON CAPITAL ADVISORS PRIVATE LTD</t>
  </si>
  <si>
    <t>INA200001702</t>
  </si>
  <si>
    <t>T Srikanth Bhagavat</t>
  </si>
  <si>
    <t>S 209, Suraj Ganga Arcade, 332 7, 15th Cross Rd, 2nd Block, Jaya Nagar, Bengaluru, 560011</t>
  </si>
  <si>
    <t>bhagavat@hexagonwealth.com</t>
  </si>
  <si>
    <t>919880460406</t>
  </si>
  <si>
    <t>May 06, 2014</t>
  </si>
  <si>
    <t>hexagonwealth.com</t>
  </si>
  <si>
    <t>DOMAIN::hexagonwealth.com</t>
  </si>
  <si>
    <t>FINATWORK INVESTMENT ADVISOR</t>
  </si>
  <si>
    <t>INA200002387</t>
  </si>
  <si>
    <t>SAURABH BANSAL</t>
  </si>
  <si>
    <t>G-1, EBONY, NO.7/1-2, HOSUR ROAD,, LANGFORD TOWN</t>
  </si>
  <si>
    <t>saurabh.bansal@finatwork.com</t>
  </si>
  <si>
    <t>8041227738</t>
  </si>
  <si>
    <t>G-1, EBONY, NO.7/1-2, HOSUR ROAD, LANGFORD TOWN</t>
  </si>
  <si>
    <t>Nov 12, 2014</t>
  </si>
  <si>
    <t>finatwork.com</t>
  </si>
  <si>
    <t>DOMAIN::finatwork.com</t>
  </si>
  <si>
    <t>SNOWBALL CAPITAL INVESTMENT ADVISORS LLP</t>
  </si>
  <si>
    <t>INA200002544</t>
  </si>
  <si>
    <t>Shalabh Agarwal</t>
  </si>
  <si>
    <t>Flat 1305, Block 20, My Home Vihanga, Gachibowli</t>
  </si>
  <si>
    <t>shalabh.agarwal@snowballcapital.in</t>
  </si>
  <si>
    <t>917702108899</t>
  </si>
  <si>
    <t>Flat no.309, Block-5, Mansarovar Heaights-3, Manovikas Nagar, Hasmatpet</t>
  </si>
  <si>
    <t>500009</t>
  </si>
  <si>
    <t>Jan 06, 2015</t>
  </si>
  <si>
    <t>snowballcapital.in</t>
  </si>
  <si>
    <t>DOMAIN::snowballcapital.in</t>
  </si>
  <si>
    <t>SINHASI CONSULTANTS PVT LTD</t>
  </si>
  <si>
    <t>INA200004177</t>
  </si>
  <si>
    <t>MS MIMI PARTHA SARATHY</t>
  </si>
  <si>
    <t>SRINIVASAM NO.20 9TH CROSS, 6TH MAIN  MALLESHWARAM</t>
  </si>
  <si>
    <t>mimi@sinhasi.com</t>
  </si>
  <si>
    <t>080 41281383</t>
  </si>
  <si>
    <t>560003</t>
  </si>
  <si>
    <t>Feb 12, 2016</t>
  </si>
  <si>
    <t>sinhasi.com</t>
  </si>
  <si>
    <t>DOMAIN::sinhasi.com</t>
  </si>
  <si>
    <t>OYEPAISA CONSULTING PRIVATE LIMITED</t>
  </si>
  <si>
    <t>INA200004300</t>
  </si>
  <si>
    <t>UDAY KUMAR  DHOOT</t>
  </si>
  <si>
    <t>No.19/2, T-1, Third Floor, Haudin Oaks,, Haudin Road, Halasuru</t>
  </si>
  <si>
    <t>uday.dhoot@oyepaisa.com</t>
  </si>
  <si>
    <t>919108552393</t>
  </si>
  <si>
    <t>No.19/2, T-1, Third Floor, Haudin Oaks, Haudin Road, Halasuru</t>
  </si>
  <si>
    <t>oyepaisa.com</t>
  </si>
  <si>
    <t>DOMAIN::oyepaisa.com</t>
  </si>
  <si>
    <t>Arevuk Advisory Services Private Limited</t>
  </si>
  <si>
    <t>INA200005166</t>
  </si>
  <si>
    <t>Yogesh Parulekar</t>
  </si>
  <si>
    <t>91 Springboard, 74 Techno Park, Andheri East,</t>
  </si>
  <si>
    <t>yogesh.parulekar@kuvera.in</t>
  </si>
  <si>
    <t>00919819913116</t>
  </si>
  <si>
    <t>Jan 02, 2026</t>
  </si>
  <si>
    <t>kuvera.in</t>
  </si>
  <si>
    <t>DOMAIN::kuvera.in</t>
  </si>
  <si>
    <t>GUARDIAN CAPITAL INVESTMENT ADVISORS PRIVATE LIMITED</t>
  </si>
  <si>
    <t>INA200005380</t>
  </si>
  <si>
    <t>KARTIK DAMODAR</t>
  </si>
  <si>
    <t>8th Floor, Phoenix Lithop Building, Plot No 573,, D3, E3 &amp; F3, Road Number 1, Jubilee Hills,</t>
  </si>
  <si>
    <t>kartik.damodar@guardiancapital.in</t>
  </si>
  <si>
    <t>4023544640</t>
  </si>
  <si>
    <t>8th Floor, Phoenix Lithop Building, Plot No 573, D3, E3 &amp; F3, Road Number 1, Jubilee Hills,</t>
  </si>
  <si>
    <t>Aug 18, 2016</t>
  </si>
  <si>
    <t>guardiancapital.in</t>
  </si>
  <si>
    <t>DOMAIN::guardiancapital.in</t>
  </si>
  <si>
    <t>RightFocus Investments Pvt Ltd.</t>
  </si>
  <si>
    <t>INA200006628</t>
  </si>
  <si>
    <t>Shailendra Kumar</t>
  </si>
  <si>
    <t>4020, 2nd Floor, HAL 2nd Stage, Service Road, 17th Main, 1st Cross, Indiranagar</t>
  </si>
  <si>
    <t>shailendra@finatoz.com</t>
  </si>
  <si>
    <t>00919900142993</t>
  </si>
  <si>
    <t>finatoz.com</t>
  </si>
  <si>
    <t>DOMAIN::finatoz.com</t>
  </si>
  <si>
    <t>NINEBARK ADVISORS PRIVATE LIMITED</t>
  </si>
  <si>
    <t>INA200007779</t>
  </si>
  <si>
    <t>Kankanala Vijaya Saradhi Reddy</t>
  </si>
  <si>
    <t>C 801, LAKEBREEZE, APARNA HILLPARK,, CHANDANAGAR, PJR ENCLAVE ROAD,</t>
  </si>
  <si>
    <t>saradhi@ninebark.in</t>
  </si>
  <si>
    <t>9107893274158</t>
  </si>
  <si>
    <t>500050</t>
  </si>
  <si>
    <t>C 801, LAKEBREEZE, APARNA HILLPARK, CHANDANAGAR, PJR ENCLAVE ROAD,</t>
  </si>
  <si>
    <t>ninebark.in</t>
  </si>
  <si>
    <t>DOMAIN::ninebark.in</t>
  </si>
  <si>
    <t>KALEIDOFIN PRIVATE LIMITED</t>
  </si>
  <si>
    <t>INA200009874</t>
  </si>
  <si>
    <t>Sai Saranya  Ramesh</t>
  </si>
  <si>
    <t>Module No. A6 02, Block A, 6th Floor Phase 2, Kanagam Road, , IIIT Madras Research Park, Taramani</t>
  </si>
  <si>
    <t>help@kaleidofin.com</t>
  </si>
  <si>
    <t>9118005727907</t>
  </si>
  <si>
    <t>Feb 22, 2018</t>
  </si>
  <si>
    <t>kaleidofin.com</t>
  </si>
  <si>
    <t>DOMAIN::kaleidofin.com</t>
  </si>
  <si>
    <t>Finshield Investment Advisors</t>
  </si>
  <si>
    <t>INA200011268</t>
  </si>
  <si>
    <t>Rajiv Radhakrishnan</t>
  </si>
  <si>
    <t>No. 443, 3rd Floor,  F Block, 13th Cross, 18th Main Road,Sahakarnagar</t>
  </si>
  <si>
    <t>rajiv@finshieldadvisors.com</t>
  </si>
  <si>
    <t>91008660963623</t>
  </si>
  <si>
    <t>560092</t>
  </si>
  <si>
    <t>Sep 27, 2023</t>
  </si>
  <si>
    <t>finshieldadvisors.com</t>
  </si>
  <si>
    <t>DOMAIN::finshieldadvisors.com</t>
  </si>
  <si>
    <t>DYNAMIC EQUITIES PVT. LTD.</t>
  </si>
  <si>
    <t>INA300002022</t>
  </si>
  <si>
    <t>DOLLY DHAVLE</t>
  </si>
  <si>
    <t>TECHNOPOLIS BUILDING, 14TH. FLOOR, PLOT NO. BP 4, SECTOR-V,SALTLAKE,</t>
  </si>
  <si>
    <t>dolly@dynamiclevels.com</t>
  </si>
  <si>
    <t>913330010000</t>
  </si>
  <si>
    <t>Technopolis Building, 14th. Floor, Plot No. BP 4, Sector-V,Saltlake,</t>
  </si>
  <si>
    <t>dynamiclevels.com</t>
  </si>
  <si>
    <t>DOMAIN::dynamiclevels.com</t>
  </si>
  <si>
    <t>STEP AHEAD INVESTMENT ADVISORS PVT. LTD.</t>
  </si>
  <si>
    <t>INA300002857</t>
  </si>
  <si>
    <t>SUBHABRATA GHOSH</t>
  </si>
  <si>
    <t>12A, N S Road, 5th Floor, Room No 13A/1,, Kolkata 700001</t>
  </si>
  <si>
    <t>subhabratag@stepaheadia.com</t>
  </si>
  <si>
    <t>9831016350</t>
  </si>
  <si>
    <t>4 no. Government Place, Delta House Basement</t>
  </si>
  <si>
    <t>Mar 26, 2015</t>
  </si>
  <si>
    <t>stepaheadia.com</t>
  </si>
  <si>
    <t>DOMAIN::stepaheadia.com</t>
  </si>
  <si>
    <t>LAMRON ANALYSTS PVT LTD</t>
  </si>
  <si>
    <t>INA300003772</t>
  </si>
  <si>
    <t>SOUMITRA SENGUPTA</t>
  </si>
  <si>
    <t>109/40B HAZRA ROAD</t>
  </si>
  <si>
    <t>soumitra.sengupta@lamronanalysts.com</t>
  </si>
  <si>
    <t>03324740640</t>
  </si>
  <si>
    <t>700026</t>
  </si>
  <si>
    <t>109/40B Hazra Road</t>
  </si>
  <si>
    <t>Nov 09, 2015</t>
  </si>
  <si>
    <t>lamronanalysts.com</t>
  </si>
  <si>
    <t>DOMAIN::lamronanalysts.com</t>
  </si>
  <si>
    <t>SENORA ADVISORS LLP</t>
  </si>
  <si>
    <t>INA000011413</t>
  </si>
  <si>
    <t>Neha  Jalan</t>
  </si>
  <si>
    <t>Floor No.2, PLOT-264/265,, Vaswani Chamber, Dr Annie Besant Road, Worli Colony,</t>
  </si>
  <si>
    <t>info@senoraadvisors.com</t>
  </si>
  <si>
    <t>919819817643</t>
  </si>
  <si>
    <t>Floor No.2, PLOT-264/265, Vaswani Chamber, Dr Annie Besant Road, Worli Colony,</t>
  </si>
  <si>
    <t>Aug 16, 2018</t>
  </si>
  <si>
    <t>senoraadvisors.com</t>
  </si>
  <si>
    <t>DOMAIN::senoraadvisors.com</t>
  </si>
  <si>
    <t>VARDE INDIA INVESTMENT ADVISER PRIVATE LIMITED</t>
  </si>
  <si>
    <t>INA000012102</t>
  </si>
  <si>
    <t>Aseem Kohli</t>
  </si>
  <si>
    <t>Office No 77, 7th Floor, 3 North Avenue, Maker Maxity, Bandra Kurla Complex, Bandra East</t>
  </si>
  <si>
    <t>akohli@varde.com</t>
  </si>
  <si>
    <t>65068611409</t>
  </si>
  <si>
    <t>Office No. 77, 7th Floor, 3 North Avenue, Maker Maxity, Bandra Kurla Complex, Bandra East,</t>
  </si>
  <si>
    <t>Nov 28, 2018</t>
  </si>
  <si>
    <t>varde.com</t>
  </si>
  <si>
    <t>DOMAIN::varde.com</t>
  </si>
  <si>
    <t>TARA CAPITAL PARTNERS INDIA PRIVATE LIMITED</t>
  </si>
  <si>
    <t>INA000012412</t>
  </si>
  <si>
    <t>ANAND  TAMHANE</t>
  </si>
  <si>
    <t>1105, The Summit Business Park Premises Co Op Society Ltd,, Andheri Kurla Road, Andheri East</t>
  </si>
  <si>
    <t>compliance@taracapitalpartners.com</t>
  </si>
  <si>
    <t>9102249769456</t>
  </si>
  <si>
    <t>1105, The Summit Business Park Premises Co Op Society Ltd, Andheri Kurla Road, Andheri East</t>
  </si>
  <si>
    <t>Jan 31, 2019</t>
  </si>
  <si>
    <t>taracapitalpartners.com</t>
  </si>
  <si>
    <t>DOMAIN::taracapitalpartners.com</t>
  </si>
  <si>
    <t>Dalton Investment Advisory Services Private Limited</t>
  </si>
  <si>
    <t>INA000012874</t>
  </si>
  <si>
    <t>Siva Thiravidamony</t>
  </si>
  <si>
    <t>3rd floor, Prudential Building,, Prudential IT Park, Hiranandani Gardens, Powai,</t>
  </si>
  <si>
    <t>legal@daltoninvestments.com</t>
  </si>
  <si>
    <t>9102262606888</t>
  </si>
  <si>
    <t>3rd floor, Prudential Building, Prudential IT Park, Hiranandani Gardens, Powai,</t>
  </si>
  <si>
    <t>Mar 28, 2019</t>
  </si>
  <si>
    <t>daltoninvestments.com</t>
  </si>
  <si>
    <t>DOMAIN::daltoninvestments.com</t>
  </si>
  <si>
    <t>Pari Washington Company Advisors Private Limited</t>
  </si>
  <si>
    <t>INA200013284</t>
  </si>
  <si>
    <t>Jayanti  Suresh</t>
  </si>
  <si>
    <t>18 Tiger Varadachari Road, 1st Street, Besant Nagar</t>
  </si>
  <si>
    <t>jayanti@pariwashington.com</t>
  </si>
  <si>
    <t>9104445511599</t>
  </si>
  <si>
    <t>600090</t>
  </si>
  <si>
    <t>May 10, 2019</t>
  </si>
  <si>
    <t>pariwashington.com</t>
  </si>
  <si>
    <t>DOMAIN::pariwashington.com</t>
  </si>
  <si>
    <t>The Alchemists Ark Pvt. Ltd.</t>
  </si>
  <si>
    <t>INA000013323</t>
  </si>
  <si>
    <t>Raymond Nagawkar</t>
  </si>
  <si>
    <t>B-101,Signet Corner, Baner Road, Baner</t>
  </si>
  <si>
    <t>raymond.moses@moneyworks4me.com</t>
  </si>
  <si>
    <t>919890823452</t>
  </si>
  <si>
    <t>May 16, 2019</t>
  </si>
  <si>
    <t>moneyworks4me.com</t>
  </si>
  <si>
    <t>DOMAIN::moneyworks4me.com</t>
  </si>
  <si>
    <t>Finance First Advisers</t>
  </si>
  <si>
    <t>INA000013527</t>
  </si>
  <si>
    <t>Nandlal Bhatkar</t>
  </si>
  <si>
    <t>H 502, Maestros, Opp Salunke Vihar, Wanawadi</t>
  </si>
  <si>
    <t>adviser@financefirst.in</t>
  </si>
  <si>
    <t>919881710432</t>
  </si>
  <si>
    <t>Jun 19, 2019</t>
  </si>
  <si>
    <t>financefirst.in</t>
  </si>
  <si>
    <t>DOMAIN::financefirst.in</t>
  </si>
  <si>
    <t>Finkasturi Nivesh Private Limited</t>
  </si>
  <si>
    <t>INA000014128</t>
  </si>
  <si>
    <t>Nirakar Pradhan</t>
  </si>
  <si>
    <t>302, Sunset Heights, Kanjurbhatwadi, Eknath Hatiskar Marg, Prabhadevi, Mumbai</t>
  </si>
  <si>
    <t>care@finkasturi.com</t>
  </si>
  <si>
    <t>00919833999267</t>
  </si>
  <si>
    <t>finkasturi.com</t>
  </si>
  <si>
    <t>DOMAIN::finkasturi.com</t>
  </si>
  <si>
    <t>MADHUVAN INVESTMENT ADVISORS</t>
  </si>
  <si>
    <t>INA000014207</t>
  </si>
  <si>
    <t>PARITA PATEL</t>
  </si>
  <si>
    <t>G3 Ground Floor, Madhuban, Nr. Mandalpur Under bridge, Ellisbridge, Ahmedabad</t>
  </si>
  <si>
    <t>parita@madhuvan.com</t>
  </si>
  <si>
    <t>07930011972</t>
  </si>
  <si>
    <t>madhuvan.com</t>
  </si>
  <si>
    <t>DOMAIN::madhuvan.com</t>
  </si>
  <si>
    <t>SHREEM DATATECH SOLUTIONS PRIVATE LIMITED</t>
  </si>
  <si>
    <t>INA200014247</t>
  </si>
  <si>
    <t>Kishor KUMAR</t>
  </si>
  <si>
    <t>No 800 7th Cross 1st A Main Road, BSK 3rd Stage, 3rd Phase, 3rd Block</t>
  </si>
  <si>
    <t>kk@mymoneysage.in</t>
  </si>
  <si>
    <t>00919844090646</t>
  </si>
  <si>
    <t>560085</t>
  </si>
  <si>
    <t>7 Sree Devi Complex Spacio workspace Cabin 3 3rd Floor, NAT Street Basavanagudi Bengaluru</t>
  </si>
  <si>
    <t>560004</t>
  </si>
  <si>
    <t>Dec 04, 2019</t>
  </si>
  <si>
    <t>mymoneysage.in</t>
  </si>
  <si>
    <t>DOMAIN::mymoneysage.in</t>
  </si>
  <si>
    <t>Unien Capital Advisors Private Limited</t>
  </si>
  <si>
    <t>INA200014548</t>
  </si>
  <si>
    <t>B Viswanadha Raju</t>
  </si>
  <si>
    <t>House No. 113, 7th B Cross,AECS Layout, 3rd stage,, Sanjay NagarR.M.V. Extension II Stage, Bangalore, Bangalore North</t>
  </si>
  <si>
    <t>vishi@unien.in</t>
  </si>
  <si>
    <t>00009900512814</t>
  </si>
  <si>
    <t>560094</t>
  </si>
  <si>
    <t>House No. 113, 7th B Cross,AECS Layout, 3rd stage, Sanjay NagarR.M.V. Extension II Stage, Bangalore, Bangalore North</t>
  </si>
  <si>
    <t>Dec 24, 2024</t>
  </si>
  <si>
    <t>unien.in</t>
  </si>
  <si>
    <t>DOMAIN::unien.in</t>
  </si>
  <si>
    <t>KRISTAL ADVISORS PRIVATE LIMITED</t>
  </si>
  <si>
    <t>INA100014569</t>
  </si>
  <si>
    <t>SIMSON R SIMSON R</t>
  </si>
  <si>
    <t>Indiqube Orion, BBMP Khata No. 1802/55/13/55/11B, Sy. No. 55/11B &amp; 55/13, 2nd Sector, 24th Main Road,HSR Layout, Haralukunte Village, Begur Hobli,</t>
  </si>
  <si>
    <t>Simson@kristal.ai</t>
  </si>
  <si>
    <t>00918861007993</t>
  </si>
  <si>
    <t>Indiqube Orion, 1st Floor, 2nd Sector, 24th Main Road, Haralukunte Village, Begur Hobli, HSR Layout</t>
  </si>
  <si>
    <t>Mar 11, 2020</t>
  </si>
  <si>
    <t>kristal.ai</t>
  </si>
  <si>
    <t>DOMAIN::kristal.ai</t>
  </si>
  <si>
    <t>PRP Professional Edge Associates Private Limited</t>
  </si>
  <si>
    <t>INA100014578</t>
  </si>
  <si>
    <t>Sanjeev Gupta</t>
  </si>
  <si>
    <t>ES 343 ESPACE Nirvana Country, South City II Sector 50</t>
  </si>
  <si>
    <t>info@prpedge.com</t>
  </si>
  <si>
    <t>911244249000</t>
  </si>
  <si>
    <t>508 5th Floor Eros City Square, Rosewood City  Sector 49 &amp; 50</t>
  </si>
  <si>
    <t>Mar 12, 2020</t>
  </si>
  <si>
    <t>prpedge.com</t>
  </si>
  <si>
    <t>DOMAIN::prpedge.com</t>
  </si>
  <si>
    <t>ARETE SECURITIES LIMITED</t>
  </si>
  <si>
    <t>INA000014614</t>
  </si>
  <si>
    <t>DINESH AGARWAL</t>
  </si>
  <si>
    <t>101 A,Mittal Court,, Nariman Point,Mumbai</t>
  </si>
  <si>
    <t>dinesh.agarwal@aretesecurities.com</t>
  </si>
  <si>
    <t>9102240439000</t>
  </si>
  <si>
    <t>101 A Mittal Court, Nariman Point, Mumbai</t>
  </si>
  <si>
    <t>Apr 27, 2020</t>
  </si>
  <si>
    <t>aretesecurities.com</t>
  </si>
  <si>
    <t>DOMAIN::aretesecurities.com</t>
  </si>
  <si>
    <t>BOWHEAD INVESTMENT ADVISORS PRIVATE LIMITED</t>
  </si>
  <si>
    <t>INA100014648</t>
  </si>
  <si>
    <t>Prateek  Gupta</t>
  </si>
  <si>
    <t>M-113 DLF Park Place Dlf Phase, V, Sector 54, Golf Course Road, Gurgaon, Haryana</t>
  </si>
  <si>
    <t>compliance@bowheadindia.com</t>
  </si>
  <si>
    <t>00919654757090</t>
  </si>
  <si>
    <t>122011</t>
  </si>
  <si>
    <t>May 08, 2020</t>
  </si>
  <si>
    <t>bowheadindia.com</t>
  </si>
  <si>
    <t>DOMAIN::bowheadindia.com</t>
  </si>
  <si>
    <t>Multipl Wealth Management Private Limited</t>
  </si>
  <si>
    <t>INA200014681</t>
  </si>
  <si>
    <t>VIKAS JAIN</t>
  </si>
  <si>
    <t>SLV Arcade, 2nd Floor, No. 57, Old No. 320 D, , 9th Main Road, 40th Cross, 5th Block, Jayanagar,</t>
  </si>
  <si>
    <t>vikas@multipl.xyz</t>
  </si>
  <si>
    <t>91008369015170</t>
  </si>
  <si>
    <t>Nov 07, 2023</t>
  </si>
  <si>
    <t>multipl.xyz</t>
  </si>
  <si>
    <t>DOMAIN::multipl.xyz</t>
  </si>
  <si>
    <t>Triquetra Wealth</t>
  </si>
  <si>
    <t>INA000015233</t>
  </si>
  <si>
    <t>Abhishek Mukim</t>
  </si>
  <si>
    <t>1A MEZ ZANINE FLOOR CALCOT HOUSE 8/10 TAMARIND LANE FORT</t>
  </si>
  <si>
    <t>Abhishek@triquetrawealth.com</t>
  </si>
  <si>
    <t>91009833710600</t>
  </si>
  <si>
    <t>triquetrawealth.com</t>
  </si>
  <si>
    <t>DOMAIN::triquetrawealth.com</t>
  </si>
  <si>
    <t>ADV PARTNERS INVESTMENT ADVISER INDIA PRIVATE LIMITED</t>
  </si>
  <si>
    <t>INA000015312</t>
  </si>
  <si>
    <t>Ashwini Patil</t>
  </si>
  <si>
    <t>16th Floor, 1602, Lodha Codename no 1,, One Lodha Place, Senapati Bapat Marg, Lower Parel,</t>
  </si>
  <si>
    <t>apatil@advpartners.com</t>
  </si>
  <si>
    <t>0919987044140</t>
  </si>
  <si>
    <t>16th Floor, 1602, Lodha Codename no 1, One Lodha Place, Senapati Bapat Marg, Lower Parel,</t>
  </si>
  <si>
    <t>Oct 22, 2020</t>
  </si>
  <si>
    <t>advpartners.com</t>
  </si>
  <si>
    <t>DOMAIN::advpartners.com</t>
  </si>
  <si>
    <t>FERMI 325 INVESTMENT ADVISER</t>
  </si>
  <si>
    <t>INA000015543</t>
  </si>
  <si>
    <t>SANKET RATHOD</t>
  </si>
  <si>
    <t>Flat No 4, Venu Apartment , opp to vidhya bhawan school, Model Colony</t>
  </si>
  <si>
    <t>sanket.rathod@fermi325.com</t>
  </si>
  <si>
    <t>9102025868705</t>
  </si>
  <si>
    <t>Dec 07, 2020</t>
  </si>
  <si>
    <t>fermi325.com</t>
  </si>
  <si>
    <t>DOMAIN::fermi325.com</t>
  </si>
  <si>
    <t>Right Alpha Capital Private Limited</t>
  </si>
  <si>
    <t>INA200015592</t>
  </si>
  <si>
    <t>Gaurav  Garg</t>
  </si>
  <si>
    <t>Galaxy, Unit 2, Electra Block,1st Floor, Wing A Exora Business Park,, Prestige Tech Park II, Bellandur</t>
  </si>
  <si>
    <t>compliance@rightalpha.club</t>
  </si>
  <si>
    <t>91009108499166</t>
  </si>
  <si>
    <t>560037</t>
  </si>
  <si>
    <t>Galaxy, Unit 2, Electra Block,1st Floor, Wing A Exora Business Park, Prestige Tech Park II, Bellandur</t>
  </si>
  <si>
    <t>Jun 13, 2023</t>
  </si>
  <si>
    <t>rightalpha.club</t>
  </si>
  <si>
    <t>DOMAIN::rightalpha.club</t>
  </si>
  <si>
    <t>Alphaware Advisory Services Private Limited</t>
  </si>
  <si>
    <t>INA000015747</t>
  </si>
  <si>
    <t>Sagar Lele</t>
  </si>
  <si>
    <t>1 Janki Centre, Off Veera Desai Road</t>
  </si>
  <si>
    <t>admin@rupeeting.com</t>
  </si>
  <si>
    <t>912226730892</t>
  </si>
  <si>
    <t>Feb 08, 2021</t>
  </si>
  <si>
    <t>rupeeting.com</t>
  </si>
  <si>
    <t>DOMAIN::rupeeting.com</t>
  </si>
  <si>
    <t>Accelpru Investment Advisors</t>
  </si>
  <si>
    <t>INA000015774</t>
  </si>
  <si>
    <t>Umang Parekh</t>
  </si>
  <si>
    <t>95, Floor- 9, Plot- 223, Maker Chamber III,, Jamnalal Bajaj Marg, Nariman Point,</t>
  </si>
  <si>
    <t>info@accelpru.com</t>
  </si>
  <si>
    <t>912235128492</t>
  </si>
  <si>
    <t>95, Floor- 9, Plot- 223, Maker Chamber III, Jamnalal Bajaj Marg, Nariman Point,</t>
  </si>
  <si>
    <t>Feb 23, 2021</t>
  </si>
  <si>
    <t>accelpru.com</t>
  </si>
  <si>
    <t>DOMAIN::accelpru.com</t>
  </si>
  <si>
    <t>Prospurts Consulco Private Limited</t>
  </si>
  <si>
    <t>INA100015869</t>
  </si>
  <si>
    <t>Abhishek  Mittal</t>
  </si>
  <si>
    <t>39/6,Ground Floor,, East Patel Nagar</t>
  </si>
  <si>
    <t>abhishek@prospurts.com</t>
  </si>
  <si>
    <t>91009599560528</t>
  </si>
  <si>
    <t>701, Narain Manzil, Barakhamba Road</t>
  </si>
  <si>
    <t>Apr 20, 2021</t>
  </si>
  <si>
    <t>prospurts.com</t>
  </si>
  <si>
    <t>DOMAIN::prospurts.com</t>
  </si>
  <si>
    <t>Lazara Capital Advisors Private Limited</t>
  </si>
  <si>
    <t>INA000015899</t>
  </si>
  <si>
    <t>PRANAV VORA</t>
  </si>
  <si>
    <t>7th Floor, Mephezalea Tower, Plot No 364/3, Lane No. 6, Koregaon Park,</t>
  </si>
  <si>
    <t>pranav@lazara.in</t>
  </si>
  <si>
    <t>919820859571</t>
  </si>
  <si>
    <t>May 21, 2021</t>
  </si>
  <si>
    <t>lazara.in</t>
  </si>
  <si>
    <t>DOMAIN::lazara.in</t>
  </si>
  <si>
    <t>Multistrato Capital Advisors Private Limited</t>
  </si>
  <si>
    <t>INA000015969</t>
  </si>
  <si>
    <t>Kuntal Bhansali</t>
  </si>
  <si>
    <t>903, Ecostar Building, Off Aarey Road,, Churi Wadi, Goregaon East,</t>
  </si>
  <si>
    <t>kuntal@multistratocapital.com</t>
  </si>
  <si>
    <t>00919136935300</t>
  </si>
  <si>
    <t>903, Ecostar Building, Off Aarey Road, Churi Wadi, Goregaon East,</t>
  </si>
  <si>
    <t>Jul 14, 2021</t>
  </si>
  <si>
    <t>multistratocapital.com</t>
  </si>
  <si>
    <t>DOMAIN::multistratocapital.com</t>
  </si>
  <si>
    <t>GYR Financial Planners Private Limited</t>
  </si>
  <si>
    <t>INA000015996</t>
  </si>
  <si>
    <t>Rohit Shah</t>
  </si>
  <si>
    <t>Office No. 201, 2nd Floor, Corporate Arena, Piramal Cross Road,, Goregaon West</t>
  </si>
  <si>
    <t>rohit@gettingyourich.com</t>
  </si>
  <si>
    <t>919820329758</t>
  </si>
  <si>
    <t>Jul 23, 2021</t>
  </si>
  <si>
    <t>gettingyourich.com</t>
  </si>
  <si>
    <t>DOMAIN::gettingyourich.com</t>
  </si>
  <si>
    <t>Quinstinct Advisory Private Ltd</t>
  </si>
  <si>
    <t>INA200016096</t>
  </si>
  <si>
    <t>Sanjay Santhanam</t>
  </si>
  <si>
    <t>115/268/15 7th Floor, Khaleel Shirazi Estate Egmore</t>
  </si>
  <si>
    <t>ria@quinstinct.com</t>
  </si>
  <si>
    <t>91009840019451</t>
  </si>
  <si>
    <t>600008</t>
  </si>
  <si>
    <t>Aug 13, 2021</t>
  </si>
  <si>
    <t>quinstinct.com</t>
  </si>
  <si>
    <t>DOMAIN::quinstinct.com</t>
  </si>
  <si>
    <t>QUANTSAPP WEALTH PRIVATE LIMITED</t>
  </si>
  <si>
    <t>INA000016278</t>
  </si>
  <si>
    <t>Sumedha  Arora</t>
  </si>
  <si>
    <t>Flat No - 1804, 18th Floor, B Wing, Raj Grandeur CHS Ltd,, Hiranandani Hospital Road, Powai,</t>
  </si>
  <si>
    <t>wealth@quantsapp.com</t>
  </si>
  <si>
    <t>91008657759829</t>
  </si>
  <si>
    <t>601, Trade Avenue, Suren Road, Near Western Express Highway, Andheri East</t>
  </si>
  <si>
    <t>Oct 25, 2021</t>
  </si>
  <si>
    <t>quantsapp.com</t>
  </si>
  <si>
    <t>DOMAIN::quantsapp.com</t>
  </si>
  <si>
    <t>Nirmiti Investment Advisors LLP</t>
  </si>
  <si>
    <t>INA000016296</t>
  </si>
  <si>
    <t>Avanti Doshi</t>
  </si>
  <si>
    <t>A- 201 Rohan Nilay 2, Near Spicer School,, Aundh Pune</t>
  </si>
  <si>
    <t>Avanti@proinvestnirmiti.com</t>
  </si>
  <si>
    <t>919373534393</t>
  </si>
  <si>
    <t>A 201 Rohan Nilay Ph 2, Near Spicer School Aundh</t>
  </si>
  <si>
    <t>proinvestnirmiti.com</t>
  </si>
  <si>
    <t>DOMAIN::proinvestnirmiti.com</t>
  </si>
  <si>
    <t>DV Investment Advisors LLP</t>
  </si>
  <si>
    <t>INA000016302</t>
  </si>
  <si>
    <t>Deepak Bakliwal</t>
  </si>
  <si>
    <t>2001, Sumer Trinity, Tower 1,, New Prabhadevi Road, Prabhadevi</t>
  </si>
  <si>
    <t>compliances@dvia.in</t>
  </si>
  <si>
    <t>919987686641</t>
  </si>
  <si>
    <t>C 704 Trade World, Kamala Mills, Lower Parel</t>
  </si>
  <si>
    <t>dvia.in</t>
  </si>
  <si>
    <t>DOMAIN::dvia.in</t>
  </si>
  <si>
    <t>UPWISERY ADVISORS LLP</t>
  </si>
  <si>
    <t>INA200016564</t>
  </si>
  <si>
    <t>Badri Toshniwal</t>
  </si>
  <si>
    <t>4TH FLOOR ,PLOT NO 235 A, UNIT NO 402, ROAD NO 36 PINNACLE 36, JUBILEE HILLS</t>
  </si>
  <si>
    <t>vishal@upwisery.com</t>
  </si>
  <si>
    <t>0919700242291</t>
  </si>
  <si>
    <t>Jan 24, 2022</t>
  </si>
  <si>
    <t>upwisery.com</t>
  </si>
  <si>
    <t>DOMAIN::upwisery.com</t>
  </si>
  <si>
    <t>Nuqi Wealth India Private Limited</t>
  </si>
  <si>
    <t>INA000016612</t>
  </si>
  <si>
    <t>Aamir Farooqui</t>
  </si>
  <si>
    <t>UNIT NO 206, PARINEE-I, SHAH INDUSTRIAL ESTATE,, OFF VEERA DESAI ROAD, ANDHERI WEST</t>
  </si>
  <si>
    <t>aamir.farooqui@nuqiwealth.com</t>
  </si>
  <si>
    <t>919870078698</t>
  </si>
  <si>
    <t>Office 201, Maruti Business Park, Bldg 2, Veera Desai Road, Near Yashraj Studio, Andheri West,</t>
  </si>
  <si>
    <t>Jan 31, 2022</t>
  </si>
  <si>
    <t>nuqiwealth.com</t>
  </si>
  <si>
    <t>DOMAIN::nuqiwealth.com</t>
  </si>
  <si>
    <t>Parami Financial Services Private Limited</t>
  </si>
  <si>
    <t>INA000016649</t>
  </si>
  <si>
    <t>AVINASH  NAHATA</t>
  </si>
  <si>
    <t>FLATNO 402 PLOT NO 2 TOWER I NEELKANTH RESIDENCY, SECTOR 46 A INTERNAL ROAD NERUL NAVI MUMBAI</t>
  </si>
  <si>
    <t>avinash@paramifinancial.com</t>
  </si>
  <si>
    <t>919323672154</t>
  </si>
  <si>
    <t>400706</t>
  </si>
  <si>
    <t>Feb 01, 2022</t>
  </si>
  <si>
    <t>paramifinancial.com</t>
  </si>
  <si>
    <t>DOMAIN::paramifinancial.com</t>
  </si>
  <si>
    <t>Trufid Advisors Private Limited</t>
  </si>
  <si>
    <t>INA000016889</t>
  </si>
  <si>
    <t>Shreenivas Hegde</t>
  </si>
  <si>
    <t>Office no.409 4th Floor A wing ,Kanakia Wall Street Chakala, Andheri- Kurla Road,Andheri East</t>
  </si>
  <si>
    <t>advisory@trufid.com</t>
  </si>
  <si>
    <t>910229820351090</t>
  </si>
  <si>
    <t>May 25, 2022</t>
  </si>
  <si>
    <t>trufid.com</t>
  </si>
  <si>
    <t>DOMAIN::trufid.com</t>
  </si>
  <si>
    <t>Lookinglaz Technologies LLP</t>
  </si>
  <si>
    <t>INA200016917</t>
  </si>
  <si>
    <t>Vikram  Biswas</t>
  </si>
  <si>
    <t>1296, 5th floor, 4th Main, 18th Cross road, Sector 7, HSR Layout</t>
  </si>
  <si>
    <t>vikram.biswas@fliber.in</t>
  </si>
  <si>
    <t>91009886767218</t>
  </si>
  <si>
    <t>Oct 20, 2023</t>
  </si>
  <si>
    <t>fliber.in</t>
  </si>
  <si>
    <t>DOMAIN::fliber.in</t>
  </si>
  <si>
    <t>ARVO WEALTH ADVISORS PRIVATE LIMITED</t>
  </si>
  <si>
    <t>INA000016922</t>
  </si>
  <si>
    <t>ANUJ MEHTA</t>
  </si>
  <si>
    <t>Office 312 Metrohouse, 21/8 Mangaldas road</t>
  </si>
  <si>
    <t>anuj@arvowealth.com</t>
  </si>
  <si>
    <t>0919503133117</t>
  </si>
  <si>
    <t>May 30, 2022</t>
  </si>
  <si>
    <t>arvowealth.com</t>
  </si>
  <si>
    <t>DOMAIN::arvowealth.com</t>
  </si>
  <si>
    <t>SNR INVESTMENT ADVISERS PRIVATE LIMITED</t>
  </si>
  <si>
    <t>INA100016947</t>
  </si>
  <si>
    <t>JITENDER KUMAR</t>
  </si>
  <si>
    <t>DGL-220, FRONT PORTION, 2ND FLOOR, DLF GALLERIA, MAYUR VIHAR PHASE -1</t>
  </si>
  <si>
    <t>ops@alphasnr.com</t>
  </si>
  <si>
    <t>910119868333294</t>
  </si>
  <si>
    <t>110091</t>
  </si>
  <si>
    <t>A-15, Second floor, Hauz Khas</t>
  </si>
  <si>
    <t>Jun 03, 2022</t>
  </si>
  <si>
    <t>alphasnr.com</t>
  </si>
  <si>
    <t>DOMAIN::alphasnr.com</t>
  </si>
  <si>
    <t>Elystar Investment Management Private Limited</t>
  </si>
  <si>
    <t>INA200017022</t>
  </si>
  <si>
    <t>Manasa Vedula</t>
  </si>
  <si>
    <t>Flat 1082, Level 8, Tower 1,, Prestige Ivy League, Kondapur,</t>
  </si>
  <si>
    <t>compliance@elystarinvest.com</t>
  </si>
  <si>
    <t>00917304434100</t>
  </si>
  <si>
    <t>91 Springboard Business Hub, 1st Floor &amp; 2nd Floor, Kagalwala House, Behind Shaman Wheels, Kalina, Santacruz East</t>
  </si>
  <si>
    <t>Jun 14, 2022</t>
  </si>
  <si>
    <t>elystarinvest.com</t>
  </si>
  <si>
    <t>DOMAIN::elystarinvest.com</t>
  </si>
  <si>
    <t>TRUEMIND INVESTMENT ADVISER PRIVATE LIMITED</t>
  </si>
  <si>
    <t>INA100017089</t>
  </si>
  <si>
    <t>Sumit Duseja</t>
  </si>
  <si>
    <t>FLAT NO. 111-A, 2ND FLOOR EXTENDED PORTION, BLOCK C-8, KESHAVPURAM</t>
  </si>
  <si>
    <t>connect@truemindcapital.com</t>
  </si>
  <si>
    <t>0919999505324</t>
  </si>
  <si>
    <t>110035</t>
  </si>
  <si>
    <t>Jul 26, 2022</t>
  </si>
  <si>
    <t>truemindcapital.com</t>
  </si>
  <si>
    <t>DOMAIN::truemindcapital.com</t>
  </si>
  <si>
    <t>Cashvisory Pvt. Ltd.</t>
  </si>
  <si>
    <t>INA300017162</t>
  </si>
  <si>
    <t>Utkarsh Choudhary</t>
  </si>
  <si>
    <t>9/2A, Topsia Road, South Apartment No. 4B, Pushpanjali Chambers,</t>
  </si>
  <si>
    <t>partners@cashvisory.com</t>
  </si>
  <si>
    <t>919830023995</t>
  </si>
  <si>
    <t>700046</t>
  </si>
  <si>
    <t>Mar 01, 2024</t>
  </si>
  <si>
    <t>cashvisory.com</t>
  </si>
  <si>
    <t>DOMAIN::cashvisory.com</t>
  </si>
  <si>
    <t>Marcellus Capital Partners LLP</t>
  </si>
  <si>
    <t>INA000017204</t>
  </si>
  <si>
    <t>Hardik Gandhi</t>
  </si>
  <si>
    <t>Boston House, 102, 1st Floor,Suren Road, Near WEH Metro Station,t, Andheri East</t>
  </si>
  <si>
    <t>hardik@marcellus.in</t>
  </si>
  <si>
    <t>0919327210326</t>
  </si>
  <si>
    <t>Sep 23, 2022</t>
  </si>
  <si>
    <t>marcellus.in</t>
  </si>
  <si>
    <t>DOMAIN::marcellus.in</t>
  </si>
  <si>
    <t>ALGONAUTS ADVISORY SERVICES PRIVATE LIMITED</t>
  </si>
  <si>
    <t>INA000017277</t>
  </si>
  <si>
    <t>SHARAD SANKARAN</t>
  </si>
  <si>
    <t>B1006, UNIQUE AURUM, , POONAM GARDEN, MIRA ROAD EAST</t>
  </si>
  <si>
    <t>sharad.sankaran@algonauts.in</t>
  </si>
  <si>
    <t>919820551555</t>
  </si>
  <si>
    <t>401107</t>
  </si>
  <si>
    <t>Oct 28, 2022</t>
  </si>
  <si>
    <t>algonauts.in</t>
  </si>
  <si>
    <t>DOMAIN::algonauts.in</t>
  </si>
  <si>
    <t>MFS Capital Partners</t>
  </si>
  <si>
    <t>INA000017295</t>
  </si>
  <si>
    <t>Paras Shah</t>
  </si>
  <si>
    <t>A 203, 204, El Dorado CHS, Kashinath Dhuru Marg</t>
  </si>
  <si>
    <t>principalofficer@mfscapitalpartners.com</t>
  </si>
  <si>
    <t>00918976590131</t>
  </si>
  <si>
    <t>Nov 03, 2022</t>
  </si>
  <si>
    <t>mfscapitalpartners.com</t>
  </si>
  <si>
    <t>DOMAIN::mfscapitalpartners.com</t>
  </si>
  <si>
    <t>CAPITAL LEAGUE LLP</t>
  </si>
  <si>
    <t>INA000017365</t>
  </si>
  <si>
    <t>Sapna Narang</t>
  </si>
  <si>
    <t>GL-705 &amp; GL-706, 7TH FLOOR, DLF CROSS POINT,, DLF CITY PHASE-IV</t>
  </si>
  <si>
    <t>advisory@capitalleague.biz</t>
  </si>
  <si>
    <t>919810199020</t>
  </si>
  <si>
    <t>122009</t>
  </si>
  <si>
    <t>Nov 21, 2022</t>
  </si>
  <si>
    <t>capitalleague.biz</t>
  </si>
  <si>
    <t>DOMAIN::capitalleague.biz</t>
  </si>
  <si>
    <t>Care Portfolio Managers Private Limited</t>
  </si>
  <si>
    <t>INA000017444</t>
  </si>
  <si>
    <t>Vatsal  Zaveri</t>
  </si>
  <si>
    <t>201, Silver Heights, TPS III 51st Road,, Borivli (W), Mumbai</t>
  </si>
  <si>
    <t>IA@carepms.com</t>
  </si>
  <si>
    <t>918652389955</t>
  </si>
  <si>
    <t>201, Silver Heights, TPS III 51st Road, Borivli (W), Mumbai</t>
  </si>
  <si>
    <t>carepms.com</t>
  </si>
  <si>
    <t>DOMAIN::carepms.com</t>
  </si>
  <si>
    <t>Uniapps Investment Adviser Private Limited</t>
  </si>
  <si>
    <t>INA000017639</t>
  </si>
  <si>
    <t>Sagar Wadhwa</t>
  </si>
  <si>
    <t>Ground floor, Unitech Commercial tower 2, Arya Samaj Road, Block B,, Greenwood City, unit 1,2,3, Sector 45, Gurugram</t>
  </si>
  <si>
    <t>compliance@uniapps.club</t>
  </si>
  <si>
    <t>91009253083032</t>
  </si>
  <si>
    <t>Ground floor, Unitech Commercial tower 2, Arya Samaj Road, Block B, Greenwood City, unit 1,2,3, Sector 45, Gurugram</t>
  </si>
  <si>
    <t>Jan 23, 2023</t>
  </si>
  <si>
    <t>uniapps.club</t>
  </si>
  <si>
    <t>DOMAIN::uniapps.club</t>
  </si>
  <si>
    <t>Alfama Research &amp; Advisory</t>
  </si>
  <si>
    <t>INA000017754</t>
  </si>
  <si>
    <t>Jayashree Ramachandran</t>
  </si>
  <si>
    <t>B 702, Salarpuria Silverwoods, 15 Varthur road, CV Raman Nagar, Nagavarapalya,, Bangalore, Karnataka, 560093</t>
  </si>
  <si>
    <t>jayashree@alfama.in</t>
  </si>
  <si>
    <t>022918310351915</t>
  </si>
  <si>
    <t>560093</t>
  </si>
  <si>
    <t>B 702, Salarpuria Silverwoods, 15 Varthur road, CV Raman Nagar, Nagavarapalya, Bangalore, Karnataka, 560093</t>
  </si>
  <si>
    <t>alfama.in</t>
  </si>
  <si>
    <t>DOMAIN::alfama.in</t>
  </si>
  <si>
    <t>SIGFYN INVESTMENT ADVISORS PRIVATE LIMITED</t>
  </si>
  <si>
    <t>INA000017833</t>
  </si>
  <si>
    <t>Sabyasachi Bose</t>
  </si>
  <si>
    <t>Wework Manyata, NXT Tower- 1 , Embassy Manyata Business Park, Nagavara, Bangalore  KA</t>
  </si>
  <si>
    <t>sabyasachi.bose@sigfyn.com</t>
  </si>
  <si>
    <t>0919667424885</t>
  </si>
  <si>
    <t>560045</t>
  </si>
  <si>
    <t>WeWork Latitude RMZ Latitude Commercial, Bellary Road Hebbal Bangalore</t>
  </si>
  <si>
    <t>560024</t>
  </si>
  <si>
    <t>Apr 20, 2023</t>
  </si>
  <si>
    <t>sigfyn.com</t>
  </si>
  <si>
    <t>DOMAIN::sigfyn.com</t>
  </si>
  <si>
    <t>Essential Investment Managers Private Limited</t>
  </si>
  <si>
    <t>INA000017912</t>
  </si>
  <si>
    <t>Anurag Gupta</t>
  </si>
  <si>
    <t>No. 51, 3rd Floor, Le Parc Richmonde, Richmond Road,, Shantala Nagar, Bangalore, Karnataka, India, 560025</t>
  </si>
  <si>
    <t>compliance@essentialadviser.com</t>
  </si>
  <si>
    <t>00919833401081</t>
  </si>
  <si>
    <t>No. 51, 3rd Floor, Le Parc Richmonde, Richmond Road, Shantala Nagar, Bangalore, Karnataka, India, 560025</t>
  </si>
  <si>
    <t>essentialadviser.com</t>
  </si>
  <si>
    <t>DOMAIN::essentialadviser.com</t>
  </si>
  <si>
    <t>WEALTH YANTRA TECHNOLOGIES PRIVATE LIMITED</t>
  </si>
  <si>
    <t>INA000017949</t>
  </si>
  <si>
    <t>VIJAYANAND VENKATARAMAN</t>
  </si>
  <si>
    <t>2ND FLOOR, 82/62, ARCOT ROAD,, SALIGRAMAM</t>
  </si>
  <si>
    <t>ria@wealthyantra.com</t>
  </si>
  <si>
    <t>910229363488011</t>
  </si>
  <si>
    <t>600093</t>
  </si>
  <si>
    <t>2ND FLOOR, 82/62, ARCOT ROAD, SALIGRAMAM</t>
  </si>
  <si>
    <t>May 26, 2023</t>
  </si>
  <si>
    <t>wealthyantra.com</t>
  </si>
  <si>
    <t>DOMAIN::wealthyantra.com</t>
  </si>
  <si>
    <t>Neo Wealth Partners Private Limited</t>
  </si>
  <si>
    <t>INA000017958</t>
  </si>
  <si>
    <t>Subhajit Bhattacharjee</t>
  </si>
  <si>
    <t>B 903, Marathon Futurex, N M Joshi Marg,, Lower Parel, Mumbai 400013</t>
  </si>
  <si>
    <t>subhajit.b@neofamilyoffice.in</t>
  </si>
  <si>
    <t>00919113942302</t>
  </si>
  <si>
    <t>B 903, Marathon Futurex, N M Joshi Marg, Lower Parel, Mumbai 400013</t>
  </si>
  <si>
    <t>neofamilyoffice.in</t>
  </si>
  <si>
    <t>DOMAIN::neofamilyoffice.in</t>
  </si>
  <si>
    <t>ARYZEN CAPITAL ADVISORS LLP</t>
  </si>
  <si>
    <t>INA000018018</t>
  </si>
  <si>
    <t>Anubhav Srivastava</t>
  </si>
  <si>
    <t>Flat 20174, Prestige Lake Side Habitat, Varthur Main Road, Gunjur,, Near To Dominos Pizza,</t>
  </si>
  <si>
    <t>anubhav@aryzen.in</t>
  </si>
  <si>
    <t>910229820610997</t>
  </si>
  <si>
    <t>560087</t>
  </si>
  <si>
    <t>Flat 20174, Prestige Lake Side Habitat, Varthur Main Road, Gunjur, Near To Dominos Pizza,</t>
  </si>
  <si>
    <t>aryzen.in</t>
  </si>
  <si>
    <t>DOMAIN::aryzen.in</t>
  </si>
  <si>
    <t>Finfam Investment Advisors Private Limited</t>
  </si>
  <si>
    <t>INA000018036</t>
  </si>
  <si>
    <t>Priyank Shah</t>
  </si>
  <si>
    <t>A -1201, Silver Leaf CHS, Akruli Road, Kandivali East, Mumbai</t>
  </si>
  <si>
    <t>compliance@thefinancialist.co</t>
  </si>
  <si>
    <t>918779728779</t>
  </si>
  <si>
    <t>Aug 05, 2025</t>
  </si>
  <si>
    <t>thefinancialist.co</t>
  </si>
  <si>
    <t>DOMAIN::thefinancialist.co</t>
  </si>
  <si>
    <t>FINIDEAS INVESTMENT ADVISOR PRIVATE LIMITED</t>
  </si>
  <si>
    <t>INA000018045</t>
  </si>
  <si>
    <t>UDIPTH TALERA</t>
  </si>
  <si>
    <t>1002 LUXURIA BUSINESS HUB, , DUMAS ROAD, NEW MAGDALLA</t>
  </si>
  <si>
    <t>udipth.talera@finideas.com</t>
  </si>
  <si>
    <t>912619377745459</t>
  </si>
  <si>
    <t>finideas.com</t>
  </si>
  <si>
    <t>DOMAIN::finideas.com</t>
  </si>
  <si>
    <t>Goldmine Assets Private Limited</t>
  </si>
  <si>
    <t>INA000018054</t>
  </si>
  <si>
    <t>Samir Gandhi</t>
  </si>
  <si>
    <t>Block A 209, Second Floor, Navratna Corporate Park,, Ambali Bopal Road, Jayantilal Park,</t>
  </si>
  <si>
    <t>samir@goldmine.net.in</t>
  </si>
  <si>
    <t>0919825606310</t>
  </si>
  <si>
    <t>Block A 209, Second Floor, Navratna Corporate Park, Ambali Bopal Road, Jayantilal Park,</t>
  </si>
  <si>
    <t>goldmine.net.in</t>
  </si>
  <si>
    <t>DOMAIN::goldmine.net.in</t>
  </si>
  <si>
    <t>Lunchbrake Classic Private Limited</t>
  </si>
  <si>
    <t>INA000018072</t>
  </si>
  <si>
    <t>Arpit Agarwal</t>
  </si>
  <si>
    <t>97, 4th Main, 1st Cross Rd, New Tippasandra,, Bengaluru, Karnataka 560075</t>
  </si>
  <si>
    <t>arpit@fold.money</t>
  </si>
  <si>
    <t>00919654584496</t>
  </si>
  <si>
    <t>560075</t>
  </si>
  <si>
    <t>4th Floor, 311, Binnamangala 1st Stage, 100 Feet Road, Indiranagar, Bengaluru, Karnataka 560038</t>
  </si>
  <si>
    <t>Jun 08, 2023</t>
  </si>
  <si>
    <t>fold.money</t>
  </si>
  <si>
    <t>DOMAIN::fold.money</t>
  </si>
  <si>
    <t>Equal Identity Private Limited</t>
  </si>
  <si>
    <t>INA000018124</t>
  </si>
  <si>
    <t>Abhishek Sambangi</t>
  </si>
  <si>
    <t>2nd floor The sky view sky view 10 SY No 83 1 Raidurg Hyderabad</t>
  </si>
  <si>
    <t>abhishek.s@equal.in</t>
  </si>
  <si>
    <t>022229840842236</t>
  </si>
  <si>
    <t>equal.in</t>
  </si>
  <si>
    <t>DOMAIN::equal.in</t>
  </si>
  <si>
    <t>Lime Internet Private Limited</t>
  </si>
  <si>
    <t>INA000018133</t>
  </si>
  <si>
    <t>Harshit Singh</t>
  </si>
  <si>
    <t>Flat No. 603, Kanchenjunga Building, 18 Barakhamba Road,</t>
  </si>
  <si>
    <t>compliance@wealthzi.com</t>
  </si>
  <si>
    <t>00919220411299</t>
  </si>
  <si>
    <t>C-112, First Floor, Sector 2, Noida, Gautam Buddha Nagar,</t>
  </si>
  <si>
    <t>wealthzi.com</t>
  </si>
  <si>
    <t>DOMAIN::wealthzi.com</t>
  </si>
  <si>
    <t>Pi Square Advisors</t>
  </si>
  <si>
    <t>INA000018179</t>
  </si>
  <si>
    <t>Vishrut C Pathak</t>
  </si>
  <si>
    <t>B-1808, Navratna Corporate Park, Ambli</t>
  </si>
  <si>
    <t>vpathak@pisquareinvestments.com</t>
  </si>
  <si>
    <t>00918469186390</t>
  </si>
  <si>
    <t>Jul 05, 2023</t>
  </si>
  <si>
    <t>pisquareinvestments.com</t>
  </si>
  <si>
    <t>DOMAIN::pisquareinvestments.com</t>
  </si>
  <si>
    <t>Aurum Softwares and Solutions Private Limited</t>
  </si>
  <si>
    <t>INA000018188</t>
  </si>
  <si>
    <t>Sonia Jain</t>
  </si>
  <si>
    <t>MNDC, MBP-P-136, Mahape, Navi Mumbai,, Thane</t>
  </si>
  <si>
    <t>sonia.jain@aurumproptech.in</t>
  </si>
  <si>
    <t>9102230001700</t>
  </si>
  <si>
    <t>MNDC, MBP-P-136, Mahape, Navi Mumbai, Thane</t>
  </si>
  <si>
    <t>aurumproptech.in</t>
  </si>
  <si>
    <t>DOMAIN::aurumproptech.in</t>
  </si>
  <si>
    <t>Hum Fauji Financial Services Pvt Ltd</t>
  </si>
  <si>
    <t>INA000018197</t>
  </si>
  <si>
    <t>Rahul Pawar</t>
  </si>
  <si>
    <t>2nd Floor, Bimal Plaza, Plot 9, Pocket 4 Market,, Sector 11, Dwarka</t>
  </si>
  <si>
    <t>avp@humfauji.in</t>
  </si>
  <si>
    <t>919220551471</t>
  </si>
  <si>
    <t>110075</t>
  </si>
  <si>
    <t>2nd Floor, Bimal Plaza, Plot 9, Pocket 4 Market, Sector 11, Dwarka</t>
  </si>
  <si>
    <t>humfauji.in</t>
  </si>
  <si>
    <t>DOMAIN::humfauji.in</t>
  </si>
  <si>
    <t>MARATHON TRENDS ADVISORY PRIVATE LIMITED</t>
  </si>
  <si>
    <t>INA000018319</t>
  </si>
  <si>
    <t>Vineet Kumar Singh</t>
  </si>
  <si>
    <t>202, Hill View No.1, 2nd Floor, 241,, Hill Road, Bandra West</t>
  </si>
  <si>
    <t>vineet.ia@marathontrends.com</t>
  </si>
  <si>
    <t>000229819500166</t>
  </si>
  <si>
    <t>602, Landmark Platinum, Plot No. 337, 338, Corner of SV Road and 34th Road, Khar West</t>
  </si>
  <si>
    <t>Aug 01, 2023</t>
  </si>
  <si>
    <t>marathontrends.com</t>
  </si>
  <si>
    <t>DOMAIN::marathontrends.com</t>
  </si>
  <si>
    <t>Wealth Crafts</t>
  </si>
  <si>
    <t>INA000018328</t>
  </si>
  <si>
    <t>Vivek S G</t>
  </si>
  <si>
    <t>No 39, 8th Main Road, Gokula,, 1st Stage, 2nd Phase, Mathikere, Bangalore</t>
  </si>
  <si>
    <t>vivek@wealthcrafts.in</t>
  </si>
  <si>
    <t>022919886524678</t>
  </si>
  <si>
    <t>560054</t>
  </si>
  <si>
    <t>No 39, 8th Main Road, Gokula, 1st Stage, 2nd Phase, Mathikere, Bangalore</t>
  </si>
  <si>
    <t>Aug 02, 2023</t>
  </si>
  <si>
    <t>wealthcrafts.in</t>
  </si>
  <si>
    <t>DOMAIN::wealthcrafts.in</t>
  </si>
  <si>
    <t>DSK INVESTMENT ADVISORS PRIVATE LIMITED</t>
  </si>
  <si>
    <t>INA000018416</t>
  </si>
  <si>
    <t>Daljit Singh Kochhar</t>
  </si>
  <si>
    <t>124, Sunder Nagar</t>
  </si>
  <si>
    <t>dsk@richify.in</t>
  </si>
  <si>
    <t>00919311061312</t>
  </si>
  <si>
    <t>110003</t>
  </si>
  <si>
    <t>Aug 30, 2023</t>
  </si>
  <si>
    <t>richify.in</t>
  </si>
  <si>
    <t>DOMAIN::richify.in</t>
  </si>
  <si>
    <t>Invexa Capital LLP</t>
  </si>
  <si>
    <t>INA000018443</t>
  </si>
  <si>
    <t>Ayushi Shah</t>
  </si>
  <si>
    <t>151 A, Mittal Court, A Wing, 15th Floor, Nariman Point, Mumbai city</t>
  </si>
  <si>
    <t>compliance@invexacapital.com</t>
  </si>
  <si>
    <t>91009833495336</t>
  </si>
  <si>
    <t>11th Floor, Express Towers, Nariman Point, Churchgate,</t>
  </si>
  <si>
    <t>Sep 26, 2023</t>
  </si>
  <si>
    <t>invexacapital.com</t>
  </si>
  <si>
    <t>DOMAIN::invexacapital.com</t>
  </si>
  <si>
    <t>FINSHARPE PRIVATE LIMITED</t>
  </si>
  <si>
    <t>INA000018489</t>
  </si>
  <si>
    <t>Rohan  Borawake</t>
  </si>
  <si>
    <t>Office No. 506, S. No. 128, SEASONS BUSINESS SQUARE, AUNDH, HAVELI,</t>
  </si>
  <si>
    <t>rohan@finsharpe.com</t>
  </si>
  <si>
    <t>91009923411966</t>
  </si>
  <si>
    <t>Oct 13, 2023</t>
  </si>
  <si>
    <t>finsharpe.com</t>
  </si>
  <si>
    <t>DOMAIN::finsharpe.com</t>
  </si>
  <si>
    <t>Epsilon Money Investment Management Private Limited</t>
  </si>
  <si>
    <t>INA000018504</t>
  </si>
  <si>
    <t>Diksha Vaish</t>
  </si>
  <si>
    <t>Unit No.101, 1st Floor, Simba Towers CTS No 67- A 1 Village, Dindoshi, Goregaon</t>
  </si>
  <si>
    <t>compliance@epsilonmoneyim.com</t>
  </si>
  <si>
    <t>919140073211</t>
  </si>
  <si>
    <t>Oct 19, 2023</t>
  </si>
  <si>
    <t>epsilonmoneyim.com</t>
  </si>
  <si>
    <t>DOMAIN::epsilonmoneyim.com</t>
  </si>
  <si>
    <t>Turiya Advisory Services LLP</t>
  </si>
  <si>
    <t>INA000018540</t>
  </si>
  <si>
    <t>Bijoy  Daga</t>
  </si>
  <si>
    <t>Premise No 408 Plot No A 69 A 70 4th Floor, Oriana Business Park Wagle Estate Thane west</t>
  </si>
  <si>
    <t>Bijoy@turiyaadvisory.com</t>
  </si>
  <si>
    <t>0919820086355</t>
  </si>
  <si>
    <t>Nov 13, 2023</t>
  </si>
  <si>
    <t>turiyaadvisory.com</t>
  </si>
  <si>
    <t>DOMAIN::turiyaadvisory.com</t>
  </si>
  <si>
    <t>Korman Capital Investment Advisors LLP</t>
  </si>
  <si>
    <t>INA000018656</t>
  </si>
  <si>
    <t>Gaurav Kumar  Somani</t>
  </si>
  <si>
    <t>WeWork Prestige Atlanta,80 Feet Main Road, Koramangala 1A Block, Industrial Layout</t>
  </si>
  <si>
    <t>gaurav@kormancapital.com</t>
  </si>
  <si>
    <t>00919611877783</t>
  </si>
  <si>
    <t>Unit 2, 4th Floor, Olsen Spaces, Site No. 41, Agara Village, 12th Main Road, 14th Cross, HSR Layout, Sector 6, Banglore</t>
  </si>
  <si>
    <t>Dec 06, 2023</t>
  </si>
  <si>
    <t>kormancapital.com</t>
  </si>
  <si>
    <t>DOMAIN::kormancapital.com</t>
  </si>
  <si>
    <t>Growthvine Capital Private Limited</t>
  </si>
  <si>
    <t>INA000018665</t>
  </si>
  <si>
    <t>SHUBHAM GUPTA</t>
  </si>
  <si>
    <t>X 37, Loha Mandi, Naraina Industrial Area, South West Delhi</t>
  </si>
  <si>
    <t>info@growthvineadvisors.com</t>
  </si>
  <si>
    <t>918879974537</t>
  </si>
  <si>
    <t>110028</t>
  </si>
  <si>
    <t>C-376 A, 1st FLOOR, SUSHANT LOK-1, C-BLOCK, GURGAON, HARYANA</t>
  </si>
  <si>
    <t>Dec 11, 2023</t>
  </si>
  <si>
    <t>growthvineadvisors.com</t>
  </si>
  <si>
    <t>DOMAIN::growthvineadvisors.com</t>
  </si>
  <si>
    <t>Starseed Investments Private Limited</t>
  </si>
  <si>
    <t>INA000018771</t>
  </si>
  <si>
    <t>Rohit  Vajpeyi</t>
  </si>
  <si>
    <t>CB-13A, G/F, Shalimar Bagh,</t>
  </si>
  <si>
    <t>rvajpeyi@starseedinvest.com</t>
  </si>
  <si>
    <t>91009810109297</t>
  </si>
  <si>
    <t>BF-39, Aditya City Centre, Indirapuram,</t>
  </si>
  <si>
    <t>Jan 17, 2024</t>
  </si>
  <si>
    <t>starseedinvest.com</t>
  </si>
  <si>
    <t>DOMAIN::starseedinvest.com</t>
  </si>
  <si>
    <t>MENTOR RING FINANCIAL ADVISORY PRIVATE LIMITED</t>
  </si>
  <si>
    <t>INA000018832</t>
  </si>
  <si>
    <t>Thejus Palathingal</t>
  </si>
  <si>
    <t>No 3 3rd Floor 90 7th Main Rd  Kalyan Nagar</t>
  </si>
  <si>
    <t>info@mentorring.co.in</t>
  </si>
  <si>
    <t>91009880202808</t>
  </si>
  <si>
    <t>560043</t>
  </si>
  <si>
    <t>mentorring.co.in</t>
  </si>
  <si>
    <t>DOMAIN::mentorring.co.in</t>
  </si>
  <si>
    <t>Dreamplug Advisory Solutions Private Limited</t>
  </si>
  <si>
    <t>INA000018841</t>
  </si>
  <si>
    <t>Ajit Kumar</t>
  </si>
  <si>
    <t>404, Uphar II CHS Ltd, Plot No. 5 BHD Sanjeeva ENCL, 7 Bunglows, Near Juhu Circle,</t>
  </si>
  <si>
    <t>principalofficer@daspl.co.in</t>
  </si>
  <si>
    <t>91228951765699</t>
  </si>
  <si>
    <t>400061</t>
  </si>
  <si>
    <t>769 and 770, 100 Feet Road, 12th Main, HAL 2nd Stage, Indiranagar, Bengaluru Urban</t>
  </si>
  <si>
    <t>daspl.co.in</t>
  </si>
  <si>
    <t>DOMAIN::daspl.co.in</t>
  </si>
  <si>
    <t>GOLDVEST CAPITAL SERVICES PRIVATE LIMITED</t>
  </si>
  <si>
    <t>INA000018902</t>
  </si>
  <si>
    <t>Amarendra Hanumanula</t>
  </si>
  <si>
    <t>Plot No.26, Road No-3, Site- II , Film Nagr, Jubilee Hills,</t>
  </si>
  <si>
    <t>amar@goldvest.in</t>
  </si>
  <si>
    <t>91009908004646</t>
  </si>
  <si>
    <t>goldvest.in</t>
  </si>
  <si>
    <t>DOMAIN::goldvest.in</t>
  </si>
  <si>
    <t>Econ Ventures LLP</t>
  </si>
  <si>
    <t>INA000018948</t>
  </si>
  <si>
    <t>Akshay  Gupta</t>
  </si>
  <si>
    <t>Lovely Niwas Kishan Nagar 2 Road No 16 Wagle Estate Thane West Thane</t>
  </si>
  <si>
    <t>akshay@ecoventures.in</t>
  </si>
  <si>
    <t>022919167930044</t>
  </si>
  <si>
    <t>Mar 06, 2024</t>
  </si>
  <si>
    <t>ecoventures.in</t>
  </si>
  <si>
    <t>DOMAIN::ecoventures.in</t>
  </si>
  <si>
    <t>Prosperentia Investment Advisors LLP</t>
  </si>
  <si>
    <t>INA000018957</t>
  </si>
  <si>
    <t>Viraj Padhye</t>
  </si>
  <si>
    <t>1401, Marathon Millennium, LBS Road, Mulund West,</t>
  </si>
  <si>
    <t>viraj.padhye@prosperentia.com</t>
  </si>
  <si>
    <t>00919923430110</t>
  </si>
  <si>
    <t>Feb 04, 2026</t>
  </si>
  <si>
    <t>prosperentia.com</t>
  </si>
  <si>
    <t>DOMAIN::prosperentia.com</t>
  </si>
  <si>
    <t>PERPETUAL CAPITAL ADVISORS PRIVATE LIMITED</t>
  </si>
  <si>
    <t>INA000018230</t>
  </si>
  <si>
    <t>Ms Jain</t>
  </si>
  <si>
    <t>S. NO 588/2C CTS 3217, OFFICE 603 APEX BUSINESS COURT PHASE 2,, Bibvewadi, Pune, Pune City</t>
  </si>
  <si>
    <t>compliance@perpetualinv.com</t>
  </si>
  <si>
    <t>0919021987900</t>
  </si>
  <si>
    <t>411037</t>
  </si>
  <si>
    <t>S. NO 588/2C CTS 3217, OFFICE 603 APEX BUSINESS COURT PHASE 2, Bibvewadi, Pune, Pune City</t>
  </si>
  <si>
    <t>perpetualinv.com</t>
  </si>
  <si>
    <t>DOMAIN::perpetualinv.com</t>
  </si>
  <si>
    <t>I VENTURES CAPITAL PRIVATE LIMITED</t>
  </si>
  <si>
    <t>INA000019026</t>
  </si>
  <si>
    <t>Nitin Jindal</t>
  </si>
  <si>
    <t>17, First Floor, Hemkunt Colony, Greater Kailash</t>
  </si>
  <si>
    <t>nitin.jindal@iventures.in</t>
  </si>
  <si>
    <t>9101244634433</t>
  </si>
  <si>
    <t>110048</t>
  </si>
  <si>
    <t>12 B Ground Floor, Vipul Agora Tower, M.G. Road,</t>
  </si>
  <si>
    <t>Mar 26, 2024</t>
  </si>
  <si>
    <t>iventures.in</t>
  </si>
  <si>
    <t>DOMAIN::iventures.in</t>
  </si>
  <si>
    <t>Anubhuti Advisors LLP</t>
  </si>
  <si>
    <t>INA000019035</t>
  </si>
  <si>
    <t>Meet Rachchh</t>
  </si>
  <si>
    <t>South Tower 601 603 One 42 Ambli Road, Ashok Vatika Bopal Ahmedabad</t>
  </si>
  <si>
    <t>meet@anubhutiadvisory.com</t>
  </si>
  <si>
    <t>910799892707286</t>
  </si>
  <si>
    <t>Mar 27, 2024</t>
  </si>
  <si>
    <t>anubhutiadvisory.com</t>
  </si>
  <si>
    <t>DOMAIN::anubhutiadvisory.com</t>
  </si>
  <si>
    <t>PROVITT CONSULTANTS</t>
  </si>
  <si>
    <t>INA000018276</t>
  </si>
  <si>
    <t>SHALINI  GERA</t>
  </si>
  <si>
    <t>Plot No 7, Third Floor, Block C, Pocket 8,, Sector 17, Dwarka,</t>
  </si>
  <si>
    <t>info@provittconsultants.com</t>
  </si>
  <si>
    <t>911145551649</t>
  </si>
  <si>
    <t>110078</t>
  </si>
  <si>
    <t>Plot No 7, Third Floor, Block C, Pocket 8, Sector 17, Dwarka,</t>
  </si>
  <si>
    <t>Jul 25, 2023</t>
  </si>
  <si>
    <t>provittconsultants.com</t>
  </si>
  <si>
    <t>DOMAIN::provittconsultants.com</t>
  </si>
  <si>
    <t>HEXAWEALTH FINANCIAL TECHNOLOGIES PRIVATE LIMITED</t>
  </si>
  <si>
    <t>INA000019080</t>
  </si>
  <si>
    <t>Abhinav Singhvi</t>
  </si>
  <si>
    <t>BLOCK-A FT NO 1504 LODHA MERIDIAN KPHB-V MALAYSIAN TOWN, SHIP KKP MEDCHAL MALKAJGIRI KUKATPALL Y TIRUMALAGI Hyderabad</t>
  </si>
  <si>
    <t>ia@hexawealth.in</t>
  </si>
  <si>
    <t>919032869997</t>
  </si>
  <si>
    <t>500072</t>
  </si>
  <si>
    <t>THH-6F/031-052, 6th Floor, C/o T-HUB Foundation, 1/C, 83/1, Raidurg Panmakhta, Near Hitech City, Ranga Reddi,</t>
  </si>
  <si>
    <t>Apr 30, 2024</t>
  </si>
  <si>
    <t>hexawealth.in</t>
  </si>
  <si>
    <t>DOMAIN::hexawealth.in</t>
  </si>
  <si>
    <t>MYFI FINTECH ADVISORY SERVICES PRIVATE LIMITED</t>
  </si>
  <si>
    <t>INA000019099</t>
  </si>
  <si>
    <t>Kiran Nambiar</t>
  </si>
  <si>
    <t>601, 6th Floor, Pinnacle House Plot No 604,, TPS III Bandra, P.D. Hinduja Road, Bandra West,</t>
  </si>
  <si>
    <t>sebi@askmyfi.com</t>
  </si>
  <si>
    <t>91009867767406</t>
  </si>
  <si>
    <t>601, 6th Floor, Pinnacle House Plot No 604, TPS III Bandra, P.D. Hinduja Road, Bandra West,</t>
  </si>
  <si>
    <t>askmyfi.com</t>
  </si>
  <si>
    <t>DOMAIN::askmyfi.com</t>
  </si>
  <si>
    <t>CORPCARE INVESTMENT ADVISORY PRIVATE LIMITED</t>
  </si>
  <si>
    <t>INA000018249</t>
  </si>
  <si>
    <t>Sourabh Kumar</t>
  </si>
  <si>
    <t>Office No. 411, 4th Floor, INS Tower A,, CTS No. 4207, G Block, Bandra-Kurla Complex, Bandra East</t>
  </si>
  <si>
    <t>sourabh.kumar@corpcare.co.in</t>
  </si>
  <si>
    <t>0919820499819</t>
  </si>
  <si>
    <t>Office No. 411, 4th Floor, INS Tower A, CTS No. 4207, G Block, Bandra-Kurla Complex, Bandra East</t>
  </si>
  <si>
    <t>corpcare.co.in</t>
  </si>
  <si>
    <t>DOMAIN::corpcare.co.in</t>
  </si>
  <si>
    <t>ORIM ADVISORS PRIVATE LIMITED</t>
  </si>
  <si>
    <t>INA000018294</t>
  </si>
  <si>
    <t>Kuldeep Rajesh Mehta</t>
  </si>
  <si>
    <t>13/C,Mini Land,Tank Road,, Bhandup West ,Mumbai 400078</t>
  </si>
  <si>
    <t>connect@orim.in</t>
  </si>
  <si>
    <t>091917977016006</t>
  </si>
  <si>
    <t>13/C,Mini Land,Tank Road, Bhandup West ,Mumbai 400078</t>
  </si>
  <si>
    <t>Jul 31, 2023</t>
  </si>
  <si>
    <t>orim.in</t>
  </si>
  <si>
    <t>DOMAIN::orim.in</t>
  </si>
  <si>
    <t>BYLD WEALTH ADVISORY PVT LTD</t>
  </si>
  <si>
    <t>INA000019141</t>
  </si>
  <si>
    <t>VINU MAMMEN</t>
  </si>
  <si>
    <t>Prestige Sigma, 5th Floor No. 3, Vitthal Mallya Road, Mahatma Gandhi Road,</t>
  </si>
  <si>
    <t>vinu.mammen@jcwealth.in</t>
  </si>
  <si>
    <t>0919900019790</t>
  </si>
  <si>
    <t>Jun 13, 2024</t>
  </si>
  <si>
    <t>jcwealth.in</t>
  </si>
  <si>
    <t>DOMAIN::jcwealth.in</t>
  </si>
  <si>
    <t>PRISHA WEALTH MANAGEMENT PRIVATE LIMITED</t>
  </si>
  <si>
    <t>INA000019202</t>
  </si>
  <si>
    <t>PRITI  GOEL</t>
  </si>
  <si>
    <t>HNO-MN18, HUB AND OAK, C-360, LGF, DEFENCE COLONY</t>
  </si>
  <si>
    <t>priti.goel@prishawealth.com</t>
  </si>
  <si>
    <t>91009811273006</t>
  </si>
  <si>
    <t>Jun 20, 2024</t>
  </si>
  <si>
    <t>prishawealth.com</t>
  </si>
  <si>
    <t>DOMAIN::prishawealth.com</t>
  </si>
  <si>
    <t>Fintrek Research Advisors Private Limited</t>
  </si>
  <si>
    <t>INA000019284</t>
  </si>
  <si>
    <t>Varun Mittal</t>
  </si>
  <si>
    <t>A wing, 5th Floor, 501, Rustomjee Central Park,, Andheri Kurla Road, Opp. Kanakia Wall Street, Andheri East</t>
  </si>
  <si>
    <t>varun@fintrek.co.in</t>
  </si>
  <si>
    <t>00918879989687</t>
  </si>
  <si>
    <t>A wing, 5th Floor, 501, Rustomjee Central Park, Andheri Kurla Road, Opp. Kanakia Wall Street, Andheri East</t>
  </si>
  <si>
    <t>Jun 21, 2024</t>
  </si>
  <si>
    <t>fintrek.co.in</t>
  </si>
  <si>
    <t>DOMAIN::fintrek.co.in</t>
  </si>
  <si>
    <t>Qubit Investment Advisors Private Limited</t>
  </si>
  <si>
    <t>INA000019293</t>
  </si>
  <si>
    <t>Siddhant Raniwala</t>
  </si>
  <si>
    <t>1142, 6th Main 7th Sector, HSR Layout, Koramangala,, Bangalore South</t>
  </si>
  <si>
    <t>siddhant@jars-ca.com</t>
  </si>
  <si>
    <t>00919084132575</t>
  </si>
  <si>
    <t>1142, 6th Main 7th Sector, HSR Layout, Koramangala, Bangalore South</t>
  </si>
  <si>
    <t>jars-ca.com</t>
  </si>
  <si>
    <t>DOMAIN::jars-ca.com</t>
  </si>
  <si>
    <t>FW Fintech Private Limited</t>
  </si>
  <si>
    <t>INA000019415</t>
  </si>
  <si>
    <t>Naveen Changoiwala</t>
  </si>
  <si>
    <t>P NO 224 3RD FL RANKA, JUNCTION 80/3 VIJINAPUR, Krishnarajapuram R S, Bangalore North</t>
  </si>
  <si>
    <t>compliance@noveltywealth.in</t>
  </si>
  <si>
    <t>00917976763434</t>
  </si>
  <si>
    <t>560016</t>
  </si>
  <si>
    <t>noveltywealth.in</t>
  </si>
  <si>
    <t>DOMAIN::noveltywealth.in</t>
  </si>
  <si>
    <t>Dymon Asia Capital Investment Adviser India Private Limited</t>
  </si>
  <si>
    <t>INA000019488</t>
  </si>
  <si>
    <t>Aafreen  Kashyap</t>
  </si>
  <si>
    <t>HD-136, 1st Floor, Commerz II, CTS No 95 4 B 3 &amp; 4 590,, Oberoi Garden City, Off Western Express Highway, Goregaon East</t>
  </si>
  <si>
    <t>dymmumbai@dymonasia.com</t>
  </si>
  <si>
    <t>91009821197376</t>
  </si>
  <si>
    <t>814, 8th Floor, The Capital Building, Bandra Kurla Complex, Bandra (East),</t>
  </si>
  <si>
    <t>Aug 09, 2024</t>
  </si>
  <si>
    <t>dymonasia.com</t>
  </si>
  <si>
    <t>DOMAIN::dymonasia.com</t>
  </si>
  <si>
    <t>Maximus Financial Advisors LLP</t>
  </si>
  <si>
    <t>INA000019512</t>
  </si>
  <si>
    <t>Dharmin Chande</t>
  </si>
  <si>
    <t>4302, Planet Godrej, T-2, K K Marg Mahalaxmi East, Jacob Circle,, Tambit naka Police Bit</t>
  </si>
  <si>
    <t>dharmin@maximusadvisors.co.in</t>
  </si>
  <si>
    <t>0918291717025</t>
  </si>
  <si>
    <t>4302, Planet Godrej, T-2, K K Marg Mahalaxmi East, Jacob Circle, Tambit naka Police Bit</t>
  </si>
  <si>
    <t>maximusadvisors.co.in</t>
  </si>
  <si>
    <t>DOMAIN::maximusadvisors.co.in</t>
  </si>
  <si>
    <t>Finuture Technologies Private Limited</t>
  </si>
  <si>
    <t>INA000019521</t>
  </si>
  <si>
    <t>Munmun Desai</t>
  </si>
  <si>
    <t>LOOR 2, PLOT 264/265, VASWANI CHAMBERS, DR ANNIE BESANT ROAD, WORLI COLONY, MUMBAI</t>
  </si>
  <si>
    <t>munmun@finuture.in</t>
  </si>
  <si>
    <t>00009821676390</t>
  </si>
  <si>
    <t>01-126, We Work Vaishnavi Signature, No. 78/9, Outer Ring Road, Bellandur Village Varthur Hobli, Bengaluru, Karnataka</t>
  </si>
  <si>
    <t>Sep 11, 2024</t>
  </si>
  <si>
    <t>finuture.in</t>
  </si>
  <si>
    <t>DOMAIN::finuture.in</t>
  </si>
  <si>
    <t>Nobias Analyst India Private Limited</t>
  </si>
  <si>
    <t>INA000019558</t>
  </si>
  <si>
    <t>Lara Aramita  Menezes</t>
  </si>
  <si>
    <t>14th Floor, Unit No 1417, One Lodha Palace, Lodha Codename No 1, Senapati Bapat Marg, Lower Parel,</t>
  </si>
  <si>
    <t>lara.menezes@nobias.com</t>
  </si>
  <si>
    <t>91009822588993</t>
  </si>
  <si>
    <t>Sep 23, 2024</t>
  </si>
  <si>
    <t>nobias.com</t>
  </si>
  <si>
    <t>DOMAIN::nobias.com</t>
  </si>
  <si>
    <t>Legacy Custodians Advisory Private Limited</t>
  </si>
  <si>
    <t>INA000019567</t>
  </si>
  <si>
    <t>Jay Devang Shah</t>
  </si>
  <si>
    <t>Suite 623, 6th Floor, The Business Quarter,, Tower 2A - North Annex, One World Center, Senapati Bapat Marg, Lower Parel,</t>
  </si>
  <si>
    <t>jay.shah@thelegacycustodians.com</t>
  </si>
  <si>
    <t>00919920120999</t>
  </si>
  <si>
    <t>Suite 623, 6th Floor, The Business Quarter, Tower 2A - North Annex, One World Center, Senapati Bapat Marg, Lower Parel,</t>
  </si>
  <si>
    <t>thelegacycustodians.com</t>
  </si>
  <si>
    <t>DOMAIN::thelegacycustodians.com</t>
  </si>
  <si>
    <t>Pugmark Fund Capital Advisors LLP</t>
  </si>
  <si>
    <t>INA000019576</t>
  </si>
  <si>
    <t>Ram Manohar Mamidi</t>
  </si>
  <si>
    <t>E-203, Raheja Residency, Koramangala 3rd Block,, Nandagudi Police Station</t>
  </si>
  <si>
    <t>ram@pugmarkfund.com</t>
  </si>
  <si>
    <t>00919880122118</t>
  </si>
  <si>
    <t>WeWork, Prestige Atlanta, 80 Feet Road, Koramangala, Bengaluru</t>
  </si>
  <si>
    <t>Sep 24, 2024</t>
  </si>
  <si>
    <t>pugmarkfund.com</t>
  </si>
  <si>
    <t>DOMAIN::pugmarkfund.com</t>
  </si>
  <si>
    <t>ValueX Fund Managers LLP</t>
  </si>
  <si>
    <t>INA000019743</t>
  </si>
  <si>
    <t>Pranay Mogarkar</t>
  </si>
  <si>
    <t>401,Osia corner Mhatar pada road, Amboli, Andheri (west), Mumbai</t>
  </si>
  <si>
    <t>pranaym@valuex.in</t>
  </si>
  <si>
    <t>0917045280892</t>
  </si>
  <si>
    <t>4th floor, Spectrum Tower, Mindspace, Chincholi Bunder Road, Malad (west), Mumbai</t>
  </si>
  <si>
    <t>Dec 17, 2024</t>
  </si>
  <si>
    <t>valuex.in</t>
  </si>
  <si>
    <t>DOMAIN::valuex.in</t>
  </si>
  <si>
    <t>Privus Advisors LLP</t>
  </si>
  <si>
    <t>INA000019752</t>
  </si>
  <si>
    <t>Jeremy solomon</t>
  </si>
  <si>
    <t>115 DBS Heritage House, Prescott Street,, Fort,</t>
  </si>
  <si>
    <t>compliance@privus.in</t>
  </si>
  <si>
    <t>910048965600</t>
  </si>
  <si>
    <t>115 DBS Heritage House, Prescott Street, Fort,</t>
  </si>
  <si>
    <t>privus.in</t>
  </si>
  <si>
    <t>DOMAIN::privus.in</t>
  </si>
  <si>
    <t>Wealthspring Investment Adviser Pvt Ltd</t>
  </si>
  <si>
    <t>INA000019761</t>
  </si>
  <si>
    <t>Satish Kumar Mishra</t>
  </si>
  <si>
    <t>449, ResCowork 03, Level 4, Regus, Dynasty A Wing, Andheri-Kurla Road,, Andheri East, Mumbai</t>
  </si>
  <si>
    <t>satish.mishra@wealthspring.in</t>
  </si>
  <si>
    <t>912267869155</t>
  </si>
  <si>
    <t>449, ResCowork 03, Level 4, Regus, Dynasty A Wing, Andheri-Kurla Road, Andheri East, Mumbai</t>
  </si>
  <si>
    <t>Dec 27, 2024</t>
  </si>
  <si>
    <t>wealthspring.in</t>
  </si>
  <si>
    <t>DOMAIN::wealthspring.in</t>
  </si>
  <si>
    <t>Uniorbit Wealth Management Private Limited</t>
  </si>
  <si>
    <t>INA000019798</t>
  </si>
  <si>
    <t>Mridul Mimansa</t>
  </si>
  <si>
    <t>Indiqube-Sigma, 3rd Floor, 3/B, Nexus, 1A Block, Koramangala</t>
  </si>
  <si>
    <t>compliance@powerup.money</t>
  </si>
  <si>
    <t>000918105125824</t>
  </si>
  <si>
    <t>Mar 25, 2026</t>
  </si>
  <si>
    <t>powerup.money</t>
  </si>
  <si>
    <t>DOMAIN::powerup.money</t>
  </si>
  <si>
    <t>OMNIBUS INVESTMENT ADVISORS LLP</t>
  </si>
  <si>
    <t>INA000019877</t>
  </si>
  <si>
    <t>MIT GANDHI</t>
  </si>
  <si>
    <t>B-4, Himmatlal Park, Opp. Azad Muncipal Garden, Satellite</t>
  </si>
  <si>
    <t>mit@onecase.in</t>
  </si>
  <si>
    <t>0919904099117</t>
  </si>
  <si>
    <t>Feb 04, 2025</t>
  </si>
  <si>
    <t>onecase.in</t>
  </si>
  <si>
    <t>DOMAIN::onecase.in</t>
  </si>
  <si>
    <t>Jio Finance Platform and Service Limited</t>
  </si>
  <si>
    <t>INA000019938</t>
  </si>
  <si>
    <t>Pranav Gupta</t>
  </si>
  <si>
    <t>1st Floor, Building 4NA, Maker Maxity, BKC, Bandra, East Mumbai</t>
  </si>
  <si>
    <t>jasmine.jiwani@jfs.in</t>
  </si>
  <si>
    <t>00919892187312</t>
  </si>
  <si>
    <t>Feb 11, 2025</t>
  </si>
  <si>
    <t>jfs.in</t>
  </si>
  <si>
    <t>DOMAIN::jfs.in</t>
  </si>
  <si>
    <t>PLIRIS CAPITAL PRIVATE LIMITED</t>
  </si>
  <si>
    <t>INA000019947</t>
  </si>
  <si>
    <t>Meeshal Mehta</t>
  </si>
  <si>
    <t>God's Grace, 19 Gidney Park, Salisbury Park, Market Yard, Pune</t>
  </si>
  <si>
    <t>meeshal.mehta@pliris.com</t>
  </si>
  <si>
    <t>91009823041888</t>
  </si>
  <si>
    <t>Feb 12, 2025</t>
  </si>
  <si>
    <t>pliris.com</t>
  </si>
  <si>
    <t>DOMAIN::pliris.com</t>
  </si>
  <si>
    <t>Growtheum Investment Advisors India Private Limited</t>
  </si>
  <si>
    <t>INA000019965</t>
  </si>
  <si>
    <t>Saurabh Mehta</t>
  </si>
  <si>
    <t>Unit No. 1210-C, 12 Floor, C Wing, One BKC, Bandra Kurla, Complex, Bandra Kurla Complex East</t>
  </si>
  <si>
    <t>Saurabh@growtheumcapital.com</t>
  </si>
  <si>
    <t>91008826569000</t>
  </si>
  <si>
    <t>Feb 20, 2025</t>
  </si>
  <si>
    <t>growtheumcapital.com</t>
  </si>
  <si>
    <t>DOMAIN::growtheumcapital.com</t>
  </si>
  <si>
    <t>CUSP MONEY ADVISORS PRIVATE LIMITED</t>
  </si>
  <si>
    <t>INA000020004</t>
  </si>
  <si>
    <t>HARDIK THAKKAR</t>
  </si>
  <si>
    <t>402, Gala Hub Anx,  Bopal, Daskro,</t>
  </si>
  <si>
    <t>hardik.thakkar@cusp.money</t>
  </si>
  <si>
    <t>00919724325983</t>
  </si>
  <si>
    <t>Mar 24, 2025</t>
  </si>
  <si>
    <t>cusp.money</t>
  </si>
  <si>
    <t>DOMAIN::cusp.money</t>
  </si>
  <si>
    <t>SUMMER HILL MANAGEMENT LLP</t>
  </si>
  <si>
    <t>INA000020013</t>
  </si>
  <si>
    <t>Tanuja Uchil</t>
  </si>
  <si>
    <t>Level 20, A Wing, Crescenzo Business District,, G Block, Bandra East</t>
  </si>
  <si>
    <t>tanuja.uchil@summerhill.in</t>
  </si>
  <si>
    <t>0919987585777</t>
  </si>
  <si>
    <t>Level 20, A Wing, Crescenzo Business District, G Block, Bandra East</t>
  </si>
  <si>
    <t>summerhill.in</t>
  </si>
  <si>
    <t>DOMAIN::summerhill.in</t>
  </si>
  <si>
    <t>Wealthculture Advisory Services Private Limited</t>
  </si>
  <si>
    <t>INA000020022</t>
  </si>
  <si>
    <t>Ujjawal Kumar</t>
  </si>
  <si>
    <t>203-2nd floor, Ujagar Cha, VN Purav Mang, Deonar</t>
  </si>
  <si>
    <t>ujjawal@wealthculture.in</t>
  </si>
  <si>
    <t>00918939499557</t>
  </si>
  <si>
    <t>wealthculture.in</t>
  </si>
  <si>
    <t>DOMAIN::wealthculture.in</t>
  </si>
  <si>
    <t>NYE Investech Private Limited</t>
  </si>
  <si>
    <t>INA000020129</t>
  </si>
  <si>
    <t>Tushar Goel</t>
  </si>
  <si>
    <t>701, 7th Floor, Aggarwal Corporate Tower, Plot No. 23, Plot No. 23, District Centre, Rajendra Place, New Delhi</t>
  </si>
  <si>
    <t>tushar.goel@rapipay.com</t>
  </si>
  <si>
    <t>00919871465793</t>
  </si>
  <si>
    <t>A-8, 8th Floor Q-Tower, Sector-68, Noida</t>
  </si>
  <si>
    <t>201309</t>
  </si>
  <si>
    <t>rapipay.com</t>
  </si>
  <si>
    <t>DOMAIN::rapipay.com</t>
  </si>
  <si>
    <t>Navi Investment Advisors Private Limited</t>
  </si>
  <si>
    <t>INA000020165</t>
  </si>
  <si>
    <t>Sameer Hedge</t>
  </si>
  <si>
    <t>09th Floor, Vaishnavi Tech Square, Iballur Village, Bengaluru, Karnataka</t>
  </si>
  <si>
    <t>ria.complaince@navi.com</t>
  </si>
  <si>
    <t>00918762965530</t>
  </si>
  <si>
    <t>May 15, 2025</t>
  </si>
  <si>
    <t>navi.com</t>
  </si>
  <si>
    <t>DOMAIN::navi.com</t>
  </si>
  <si>
    <t>Onebanc Technologies Private Limited</t>
  </si>
  <si>
    <t>INA000020174</t>
  </si>
  <si>
    <t>Nishant Ahuja</t>
  </si>
  <si>
    <t>12th FLOOR WELLDONE TECH PARK, SOHNA ROAD, SECTOR 48, Gurgaon, Gurugram, Haryana</t>
  </si>
  <si>
    <t>compliance@onebanc.ai</t>
  </si>
  <si>
    <t>00919990906990</t>
  </si>
  <si>
    <t>onebanc.ai</t>
  </si>
  <si>
    <t>DOMAIN::onebanc.ai</t>
  </si>
  <si>
    <t>BLUESTRIDES FINANCIAL SERVICES PRIVATE LIMITED</t>
  </si>
  <si>
    <t>INA000020192</t>
  </si>
  <si>
    <t>Akshay Bommena</t>
  </si>
  <si>
    <t>NO 1015, 3rd Cross, 1st Block,, HRBR Layout, Kalyan nagar</t>
  </si>
  <si>
    <t>akshay@bluestrides.com</t>
  </si>
  <si>
    <t>00919881881246</t>
  </si>
  <si>
    <t>Flat No 301, 3rd Floor, Y V Rao Mansion, next to TTD kalyana Mandapam, Liberty Cross Road, Himayatnagar,</t>
  </si>
  <si>
    <t>May 19, 2025</t>
  </si>
  <si>
    <t>bluestrides.com</t>
  </si>
  <si>
    <t>DOMAIN::bluestrides.com</t>
  </si>
  <si>
    <t>CASTLEGATE CAPITAL SERVICES PRIVATE LIMITED</t>
  </si>
  <si>
    <t>INA000020253</t>
  </si>
  <si>
    <t>Vaibhavi Rao</t>
  </si>
  <si>
    <t>B-1212 Central Tower, Kohinoor Square, Dadar, , Mumbai</t>
  </si>
  <si>
    <t>vaibhavi@castlegate.in</t>
  </si>
  <si>
    <t>00919920444888</t>
  </si>
  <si>
    <t>castlegate.in</t>
  </si>
  <si>
    <t>DOMAIN::castlegate.in</t>
  </si>
  <si>
    <t>Jio BlackRock Investment Advisers Private Limited</t>
  </si>
  <si>
    <t>INA000020314</t>
  </si>
  <si>
    <t>Sudha Gurnani</t>
  </si>
  <si>
    <t>Unit No. 1301A, 13th Floor, Altimus Building, Plot No. 130, Worli Estate,, Pandurang Budhkar Marg, Worli Colony, Mumbai</t>
  </si>
  <si>
    <t>investment.advisers@jioblackrock.com</t>
  </si>
  <si>
    <t>0919082019285</t>
  </si>
  <si>
    <t>Unit No. 1301A, 13th Floor, Altimus Building, Plot No. 130, Worli Estate, Pandurang Budhkar Marg, Worli Colony, Mumbai</t>
  </si>
  <si>
    <t>Jun 10, 2025</t>
  </si>
  <si>
    <t>jioblackrock.com</t>
  </si>
  <si>
    <t>DOMAIN::jioblackrock.com</t>
  </si>
  <si>
    <t>MINERVA  ASSET ADVISORS PRIVATE LIMITED</t>
  </si>
  <si>
    <t>INA000020332</t>
  </si>
  <si>
    <t>Kunal Kapoor</t>
  </si>
  <si>
    <t>MGP-PS-2-14 a M3M, GOLF ESTATE-Ph-2,, Gurgaon, Gurugram,</t>
  </si>
  <si>
    <t>kapoor@minervaassetadvisors.com</t>
  </si>
  <si>
    <t>00919711300235</t>
  </si>
  <si>
    <t>Office-1042, 10th Floor, Tower-B, Unitech Cyber Park, Sector- 39, Gurgaon,</t>
  </si>
  <si>
    <t>Jun 17, 2025</t>
  </si>
  <si>
    <t>minervaassetadvisors.com</t>
  </si>
  <si>
    <t>DOMAIN::minervaassetadvisors.com</t>
  </si>
  <si>
    <t>Ocean Finvest India Private Limited</t>
  </si>
  <si>
    <t>INA000020369</t>
  </si>
  <si>
    <t>MEGHNA KARIA</t>
  </si>
  <si>
    <t>T F-310, Shivalik Shilp, Ambli - Bopal Road, Ahmedabad</t>
  </si>
  <si>
    <t>compliance@inxits.com</t>
  </si>
  <si>
    <t>00918866271677</t>
  </si>
  <si>
    <t>Jun 24, 2025</t>
  </si>
  <si>
    <t>inxits.com</t>
  </si>
  <si>
    <t>DOMAIN::inxits.com</t>
  </si>
  <si>
    <t>NETWORTH TRACKER SOLUTIONS PRIVATE LIMITED</t>
  </si>
  <si>
    <t>INA000020396</t>
  </si>
  <si>
    <t>Shashin Koradia</t>
  </si>
  <si>
    <t>Flat No Office No.1018,Hubtown Solaris, Block Sector Andheri West, Road N. S. Phadke Marg, Mumbai</t>
  </si>
  <si>
    <t>support@networthtracker.in</t>
  </si>
  <si>
    <t>00919819982121</t>
  </si>
  <si>
    <t>networthtracker.in</t>
  </si>
  <si>
    <t>DOMAIN::networthtracker.in</t>
  </si>
  <si>
    <t>Clearsharp Technology Private Limited</t>
  </si>
  <si>
    <t>INA000020439</t>
  </si>
  <si>
    <t>Adithya V V</t>
  </si>
  <si>
    <t>X - 58, IInd FLOOR, LOHA MANDI,NARAINA, West Delhi, NEW DELHI</t>
  </si>
  <si>
    <t>adithya.v@clearsharp.in</t>
  </si>
  <si>
    <t>00919538192952</t>
  </si>
  <si>
    <t>23&amp;24 AMR Tech Park 2A Ground Floor, House road, Bommanahalli, Bangalore</t>
  </si>
  <si>
    <t>560068</t>
  </si>
  <si>
    <t>clearsharp.in</t>
  </si>
  <si>
    <t>DOMAIN::clearsharp.in</t>
  </si>
  <si>
    <t>INFINASK ADVISORS LLP</t>
  </si>
  <si>
    <t>INA000020509</t>
  </si>
  <si>
    <t>Pawan Somani</t>
  </si>
  <si>
    <t>Flat No 806 Solitaire Heights 150 Feet Link Road, Bhayandar (W), Ahead of Planeteria Complex</t>
  </si>
  <si>
    <t>pawan@infinask.com</t>
  </si>
  <si>
    <t>00919322551321</t>
  </si>
  <si>
    <t>401101</t>
  </si>
  <si>
    <t>Jul 10, 2025</t>
  </si>
  <si>
    <t>infinask.com</t>
  </si>
  <si>
    <t>DOMAIN::infinask.com</t>
  </si>
  <si>
    <t>Weallat Solutions Private Limited</t>
  </si>
  <si>
    <t>INA000020518</t>
  </si>
  <si>
    <t>Chirag Ram Paryani</t>
  </si>
  <si>
    <t>A1004 Kabra Centroid, CST Road, Kalina, Santacruz East</t>
  </si>
  <si>
    <t>compliance.officer@weallat.com</t>
  </si>
  <si>
    <t>0919320090862</t>
  </si>
  <si>
    <t>weallat.com</t>
  </si>
  <si>
    <t>DOMAIN::weallat.com</t>
  </si>
  <si>
    <t>ASK LONG-SHORT FUND MANAGERS PRIVATE LIMITED</t>
  </si>
  <si>
    <t>INA000020536</t>
  </si>
  <si>
    <t>GAURIK SHAH</t>
  </si>
  <si>
    <t>Birla Aurora, Level 16, Century Mill, Dr. Annie Besant Road, Worli, Mumbai</t>
  </si>
  <si>
    <t>gaurik.shah@askhedgesolutions.com</t>
  </si>
  <si>
    <t>00919820189502</t>
  </si>
  <si>
    <t>askhedgesolutions.com</t>
  </si>
  <si>
    <t>DOMAIN::askhedgesolutions.com</t>
  </si>
  <si>
    <t>CUBERA ASSET ADVISORS PRIVATE LIMITED</t>
  </si>
  <si>
    <t>INA000020624</t>
  </si>
  <si>
    <t>Nilesh Borana</t>
  </si>
  <si>
    <t>UNIT 801- 802 8TH FLOOR,Tower, 1,Senapati Bapat Marg,Dadar  West,Prabhadevi,Lower Parel</t>
  </si>
  <si>
    <t>nilesh@cuberaadvisors.com</t>
  </si>
  <si>
    <t>00919833144266</t>
  </si>
  <si>
    <t>Jul 14, 2025</t>
  </si>
  <si>
    <t>cuberaadvisors.com</t>
  </si>
  <si>
    <t>DOMAIN::cuberaadvisors.com</t>
  </si>
  <si>
    <t>Cettlx Services Private Limited</t>
  </si>
  <si>
    <t>INA000020633</t>
  </si>
  <si>
    <t>Gurushant Hanchinal</t>
  </si>
  <si>
    <t>495 7TH SECTOR, HSR LAYOUT, HSR Layout, Bangalore</t>
  </si>
  <si>
    <t>guru@vealthx.com</t>
  </si>
  <si>
    <t>0919900093528</t>
  </si>
  <si>
    <t>vealthx.com</t>
  </si>
  <si>
    <t>DOMAIN::vealthx.com</t>
  </si>
  <si>
    <t>INDIUM INVESTMENT ADVISERS PRIVATE LIMITED</t>
  </si>
  <si>
    <t>INA000020660</t>
  </si>
  <si>
    <t>Tridib Pathak</t>
  </si>
  <si>
    <t>403, OBEROI SPLENDOR-C, JOGESHWARI VIKHROLI LINK, JOGESHWARI EAST, MUMBAI</t>
  </si>
  <si>
    <t>tridib.pathak@indium.in</t>
  </si>
  <si>
    <t>00919833579215</t>
  </si>
  <si>
    <t>Jul 17, 2025</t>
  </si>
  <si>
    <t>indium.in</t>
  </si>
  <si>
    <t>DOMAIN::indium.in</t>
  </si>
  <si>
    <t>Orelius Financial Advisory and Management Services Private Limited</t>
  </si>
  <si>
    <t>INA000020688</t>
  </si>
  <si>
    <t>Mohit Kanodia</t>
  </si>
  <si>
    <t>B-403, ELDORA BUILDING, , HIRANANDANI GARDENS POWAI,</t>
  </si>
  <si>
    <t>corporate@shaguncapital.in</t>
  </si>
  <si>
    <t>919867783199</t>
  </si>
  <si>
    <t>shaguncapital.in</t>
  </si>
  <si>
    <t>DOMAIN::shaguncapital.in</t>
  </si>
  <si>
    <t>Wealth Beacon Investment Advisors Private Limited</t>
  </si>
  <si>
    <t>INA000020749</t>
  </si>
  <si>
    <t>Indrani Banerjee</t>
  </si>
  <si>
    <t>Villa No 260, Prestige Lakeside Habitat, Gunjurvarthur</t>
  </si>
  <si>
    <t>contact@wealthbeacon.ai</t>
  </si>
  <si>
    <t>00919886302903</t>
  </si>
  <si>
    <t>Jul 31, 2025</t>
  </si>
  <si>
    <t>wealthbeacon.ai</t>
  </si>
  <si>
    <t>DOMAIN::wealthbeacon.ai</t>
  </si>
  <si>
    <t>3Q FINANCIAL SERVICES PRIVATE LIMITED</t>
  </si>
  <si>
    <t>INA000020794</t>
  </si>
  <si>
    <t>Ketan Sarda</t>
  </si>
  <si>
    <t>1195/2Anandi Gopal Apts, F C Road, Shivajinagar, Pune</t>
  </si>
  <si>
    <t>ketan@3qwealth.com</t>
  </si>
  <si>
    <t>00919833822825</t>
  </si>
  <si>
    <t>411005</t>
  </si>
  <si>
    <t>3qwealth.com</t>
  </si>
  <si>
    <t>DOMAIN::3qwealth.com</t>
  </si>
  <si>
    <t>PLOUTUS ASSET SERVICES LLP</t>
  </si>
  <si>
    <t>INA000020800</t>
  </si>
  <si>
    <t>Sridevi Viswanathan</t>
  </si>
  <si>
    <t>No.7/13, Ground Floor, Baktavatsalam Nagar,, 4th Street, Adyar</t>
  </si>
  <si>
    <t>sridevi@financialplanners.co.in</t>
  </si>
  <si>
    <t>00919841428055</t>
  </si>
  <si>
    <t>No.7/13, Ground Floor, Baktavatsalam Nagar, 4th Street, Adyar</t>
  </si>
  <si>
    <t>financialplanners.co.in</t>
  </si>
  <si>
    <t>DOMAIN::financialplanners.co.in</t>
  </si>
  <si>
    <t>Eiko Quantum Solutions Pvt Ltd</t>
  </si>
  <si>
    <t>INA000020819</t>
  </si>
  <si>
    <t>TANYA SOMAIYA</t>
  </si>
  <si>
    <t>112-A, 1st Floor, Lodha Supremus,, New Cuffe Parade, Wadala, Mumbai,</t>
  </si>
  <si>
    <t>tanyasomaiya@eikoquantum.com</t>
  </si>
  <si>
    <t>0919820002295</t>
  </si>
  <si>
    <t>112-A, 1st Floor, Lodha Supremus, New Cuffe Parade, Wadala, Mumbai,</t>
  </si>
  <si>
    <t>eikoquantum.com</t>
  </si>
  <si>
    <t>DOMAIN::eikoquantum.com</t>
  </si>
  <si>
    <t>Thinkfinny Tech Labs Pvt Ltd.</t>
  </si>
  <si>
    <t>INA000020873</t>
  </si>
  <si>
    <t>Sachin Kamkar</t>
  </si>
  <si>
    <t>Flat No 17143, Prestige Lakeside, Habitat Apt, Gunjur, Varthu, Bangalore, Bangalore North</t>
  </si>
  <si>
    <t>sachin@finny.club</t>
  </si>
  <si>
    <t>00919535111775</t>
  </si>
  <si>
    <t>Aug 07, 2025</t>
  </si>
  <si>
    <t>finny.club</t>
  </si>
  <si>
    <t>DOMAIN::finny.club</t>
  </si>
  <si>
    <t>Newcamp Finserv Private Limited</t>
  </si>
  <si>
    <t>INA000020891</t>
  </si>
  <si>
    <t>Piyush Lahoti</t>
  </si>
  <si>
    <t>The Yard, Carlton Towers, A Wing,, 3rd , Floor, No.1 Carlton Towers, Old Airport Road</t>
  </si>
  <si>
    <t>ria.po@activv.money</t>
  </si>
  <si>
    <t>00917032653376</t>
  </si>
  <si>
    <t>The Yard, Carlton Towers, A Wing, 3rd , Floor, No.1 Carlton Towers, Old Airport Road</t>
  </si>
  <si>
    <t>activv.money</t>
  </si>
  <si>
    <t>DOMAIN::activv.money</t>
  </si>
  <si>
    <t>NERDYBIRD WEALTH ADVISORY LLP</t>
  </si>
  <si>
    <t>INA000020925</t>
  </si>
  <si>
    <t>Shilpa Gole</t>
  </si>
  <si>
    <t>A 801, Block -A, West gate business bay, NR Makarba Cross road, Beside Signature -1, Makarba, Jivraj Park, Ahmedabad</t>
  </si>
  <si>
    <t>shilpa@nerdybird.in</t>
  </si>
  <si>
    <t>00919586855398</t>
  </si>
  <si>
    <t>Aug 11, 2025</t>
  </si>
  <si>
    <t>nerdybird.in</t>
  </si>
  <si>
    <t>DOMAIN::nerdybird.in</t>
  </si>
  <si>
    <t>Wallet Wealth LLP</t>
  </si>
  <si>
    <t>INA000020998</t>
  </si>
  <si>
    <t>Sridharan Sundaram</t>
  </si>
  <si>
    <t>AT2 Guru Roshini Flats, 3rd Floor, 6th Main Road, Nanganallur, Chennai</t>
  </si>
  <si>
    <t>sridharan@walletwealth.co.in</t>
  </si>
  <si>
    <t>00919940116967</t>
  </si>
  <si>
    <t>600061</t>
  </si>
  <si>
    <t>8A, 2nd Main Road, Nanganallur, Opp to Hayagreevar Temple, Chennai</t>
  </si>
  <si>
    <t>walletwealth.co.in</t>
  </si>
  <si>
    <t>DOMAIN::walletwealth.co.in</t>
  </si>
  <si>
    <t>Peace Valley Ventures Private Limited</t>
  </si>
  <si>
    <t>INA000021012</t>
  </si>
  <si>
    <t>Mukund Lahoty</t>
  </si>
  <si>
    <t>Z-188, First Floor, Naraina Industrial Area, Phase -1, Naraina Industrial Estate, South West Delhi, New Delhi</t>
  </si>
  <si>
    <t>mukund@turtlefinance.in</t>
  </si>
  <si>
    <t>00919999885624</t>
  </si>
  <si>
    <t>turtlefinance.in</t>
  </si>
  <si>
    <t>DOMAIN::turtlefinance.in</t>
  </si>
  <si>
    <t>DHANAYUSH CAPITAL SERVICES PRIVATE LIMITED</t>
  </si>
  <si>
    <t>INA000021021</t>
  </si>
  <si>
    <t>KIRAN TELANG</t>
  </si>
  <si>
    <t>63A Proctor Road, Sunder Sadan, 3rd Floor, Mumbai</t>
  </si>
  <si>
    <t>compliance@dhanayushcapital.com</t>
  </si>
  <si>
    <t>919821543385</t>
  </si>
  <si>
    <t>400004</t>
  </si>
  <si>
    <t>611 Raheja Centre, Free Press Journal Marg, Nariman Point,</t>
  </si>
  <si>
    <t>dhanayushcapital.com</t>
  </si>
  <si>
    <t>DOMAIN::dhanayushcapital.com</t>
  </si>
  <si>
    <t>ARC Spire Advisory Private Limited</t>
  </si>
  <si>
    <t>INA000021058</t>
  </si>
  <si>
    <t>Nitish Sahni</t>
  </si>
  <si>
    <t>AG-82, Aspen Green, Unitech Nirvana Country, Sector 50, Gurgaon, Haryana</t>
  </si>
  <si>
    <t>nitish@paasa.co</t>
  </si>
  <si>
    <t>00919899354394</t>
  </si>
  <si>
    <t>Sep 25, 2025</t>
  </si>
  <si>
    <t>paasa.co</t>
  </si>
  <si>
    <t>DOMAIN::paasa.co</t>
  </si>
  <si>
    <t>Octanom Tech Private Limited</t>
  </si>
  <si>
    <t>INA000021207</t>
  </si>
  <si>
    <t>ARCHIT MAHAJAN</t>
  </si>
  <si>
    <t>11th 1101, Moti Mahal Apex Building, C.T.S No F 902 Village Bandra,, Plot No 116 Near Junction of Waterfield and Gurunanak Rd, Bandra West, Mumbai,</t>
  </si>
  <si>
    <t>Archit@octonom.com</t>
  </si>
  <si>
    <t>00919930180035</t>
  </si>
  <si>
    <t>11th 1101, Moti Mahal Apex Building, C.T.S No F 902 Village Bandra, Plot No 116 Near Junction of Waterfield and Gurunanak Rd, Bandra West, Mumbai,</t>
  </si>
  <si>
    <t>Oct 30, 2025</t>
  </si>
  <si>
    <t>octonom.com</t>
  </si>
  <si>
    <t>DOMAIN::octonom.com</t>
  </si>
  <si>
    <t>Ryze India Advisory Solutions Private Limited</t>
  </si>
  <si>
    <t>INA000021234</t>
  </si>
  <si>
    <t>Nitin George</t>
  </si>
  <si>
    <t>Gala No. 329, 3rd Floor, Link Way Estate, CTS No 1093, New Link Road, Next to Shakti Motors, Malad West, Mumbai</t>
  </si>
  <si>
    <t>nitin@ryzemoney.in</t>
  </si>
  <si>
    <t>00919916386005</t>
  </si>
  <si>
    <t>Oct 31, 2025</t>
  </si>
  <si>
    <t>ryzemoney.in</t>
  </si>
  <si>
    <t>DOMAIN::ryzemoney.in</t>
  </si>
  <si>
    <t>Stackfin Technology Private Limited</t>
  </si>
  <si>
    <t>INA000021313</t>
  </si>
  <si>
    <t>Niranjan Goyal</t>
  </si>
  <si>
    <t>12084-T12, Prestige Ferns Residency, Harlur Main Rd,, Eastwood Township, Bangalore,</t>
  </si>
  <si>
    <t>niranjan.goyal@stackwealth.in</t>
  </si>
  <si>
    <t>00919886969451</t>
  </si>
  <si>
    <t>Unit - 001, B Wing, Satellite Gazebo, Andheri Ghatkopar Link Road, Chakala, Andheri East</t>
  </si>
  <si>
    <t>Nov 04, 2025</t>
  </si>
  <si>
    <t>stackwealth.in</t>
  </si>
  <si>
    <t>DOMAIN::stackwealth.in</t>
  </si>
  <si>
    <t>Pravia Investment Advisors Private Limited</t>
  </si>
  <si>
    <t>INA000021322</t>
  </si>
  <si>
    <t>Vaibhavi Shah</t>
  </si>
  <si>
    <t>801 A-WING 215 ATRIUM CTS NO 215,, ANDHERI KURLA ROAD, ANDHERI EAST, CHAKALA MIDC</t>
  </si>
  <si>
    <t>info@pravia.in</t>
  </si>
  <si>
    <t>00919870953410</t>
  </si>
  <si>
    <t>801 A-WING 215 ATRIUM CTS NO 215, ANDHERI KURLA ROAD, ANDHERI EAST, CHAKALA MIDC</t>
  </si>
  <si>
    <t>pravia.in</t>
  </si>
  <si>
    <t>DOMAIN::pravia.in</t>
  </si>
  <si>
    <t>Pararthya Capital Management LLP</t>
  </si>
  <si>
    <t>INA000021340</t>
  </si>
  <si>
    <t>Nikunj Gala</t>
  </si>
  <si>
    <t>1301, Varun C.H.S. Pant Nagar Samaj Mandir Hall Bldg, Ghatkopar East Mumbai</t>
  </si>
  <si>
    <t>team@pararthya.in</t>
  </si>
  <si>
    <t>919082765273</t>
  </si>
  <si>
    <t>pararthya.in</t>
  </si>
  <si>
    <t>DOMAIN::pararthya.in</t>
  </si>
  <si>
    <t>IPK WEALTH SERVICES PRIVATE LIMITED</t>
  </si>
  <si>
    <t>INA000021386</t>
  </si>
  <si>
    <t>PRABHU KUMARASAMY</t>
  </si>
  <si>
    <t>1st Floor,Office no.111,   D.No.100B/26, SCS tower,Opp to  Court, Sankari Main Road, Seetharampalayam, Tiruchengode</t>
  </si>
  <si>
    <t>prabhukumarasamy@ipkwealth.com</t>
  </si>
  <si>
    <t>00919789472732</t>
  </si>
  <si>
    <t>637209</t>
  </si>
  <si>
    <t>ipkwealth.com</t>
  </si>
  <si>
    <t>DOMAIN::ipkwealth.com</t>
  </si>
  <si>
    <t>Invesmate Insights Private Limited</t>
  </si>
  <si>
    <t>INA000021544</t>
  </si>
  <si>
    <t>Santanu Saha</t>
  </si>
  <si>
    <t>5, Narendra Nagar, Belgharia, North 24 Parganas, , Belgharia, West Bengal,</t>
  </si>
  <si>
    <t>santanusaha@insights.market</t>
  </si>
  <si>
    <t>00919230975228</t>
  </si>
  <si>
    <t>700056</t>
  </si>
  <si>
    <t>Nanaksar Tower, 137/1, B.T. Road, Dunlop, Baranagar, West Bengal,</t>
  </si>
  <si>
    <t>BARANAGAR</t>
  </si>
  <si>
    <t>700108</t>
  </si>
  <si>
    <t>Dec 12, 2025</t>
  </si>
  <si>
    <t>insights.market</t>
  </si>
  <si>
    <t>DOMAIN::insights.market</t>
  </si>
  <si>
    <t>Quicko Infosoft Private Limited</t>
  </si>
  <si>
    <t>INA000021599</t>
  </si>
  <si>
    <t>VISHVAJIT SONAGARA</t>
  </si>
  <si>
    <t>B701, Amrapali Lakeview Tower, Opp., Vastrapur Lake, Vastrapur, Ahmedabad</t>
  </si>
  <si>
    <t>vishvajit@quicko.com</t>
  </si>
  <si>
    <t>00919099983246</t>
  </si>
  <si>
    <t>Dec 18, 2025</t>
  </si>
  <si>
    <t>quicko.com</t>
  </si>
  <si>
    <t>DOMAIN::quicko.com</t>
  </si>
  <si>
    <t>Houlihan Lokey Advisory India Private Limited</t>
  </si>
  <si>
    <t>INA000021687</t>
  </si>
  <si>
    <t>17th Floor, Altimus, Dr. GM Bhosale Marg, opp. Mahindra Tower, B Wing, Worli, Mumbai</t>
  </si>
  <si>
    <t>tejas.dawda@hl.com</t>
  </si>
  <si>
    <t>00919022784479</t>
  </si>
  <si>
    <t>Jan 19, 2026</t>
  </si>
  <si>
    <t>hl.com</t>
  </si>
  <si>
    <t>DOMAIN::hl.com</t>
  </si>
  <si>
    <t>Tiny Epic Solutions Private Limited</t>
  </si>
  <si>
    <t>INA000021702</t>
  </si>
  <si>
    <t>RAJESH SINHA</t>
  </si>
  <si>
    <t>10th FLR C Wing Near Services Lift ELE Nesco IT Park Goregaon, East NESCO IT Building No 4 W E Highway</t>
  </si>
  <si>
    <t>rajesh.s@tinyepic.in</t>
  </si>
  <si>
    <t>00919930865272</t>
  </si>
  <si>
    <t>tinyepic.in</t>
  </si>
  <si>
    <t>DOMAIN::tinyepic.in</t>
  </si>
  <si>
    <t>DIVERSIFI LABS PRIVATE LIMITED</t>
  </si>
  <si>
    <t>INA000021711</t>
  </si>
  <si>
    <t>JAYESH KUMAR</t>
  </si>
  <si>
    <t>24, 2nd cross, BDA layout, SY No 52, Tavarekere</t>
  </si>
  <si>
    <t>jayesh@diversifi.in</t>
  </si>
  <si>
    <t>00919888362128</t>
  </si>
  <si>
    <t>560029</t>
  </si>
  <si>
    <t>diversifi.in</t>
  </si>
  <si>
    <t>DOMAIN::diversifi.in</t>
  </si>
  <si>
    <t>PRAVID FINANCIAL SERVICES LLP</t>
  </si>
  <si>
    <t>INA000021784</t>
  </si>
  <si>
    <t>Prashant Radhakrishnan</t>
  </si>
  <si>
    <t>A1004, Akme Ballet Apartments, Doddanakundi,</t>
  </si>
  <si>
    <t>prashant@pravidadvisory.com</t>
  </si>
  <si>
    <t>00918123482152</t>
  </si>
  <si>
    <t>pravidadvisory.com</t>
  </si>
  <si>
    <t>DOMAIN::pravidadvisory.com</t>
  </si>
  <si>
    <t>WEALTHDNA FINVEST PRIVATE LIMITED</t>
  </si>
  <si>
    <t>INA000021863</t>
  </si>
  <si>
    <t>Arjun Masurkar</t>
  </si>
  <si>
    <t>175, Second Floor, Amarjyothi HBCS Layout Domlur, Bangalore</t>
  </si>
  <si>
    <t>arjun@wealthdna.in</t>
  </si>
  <si>
    <t>00919886025603</t>
  </si>
  <si>
    <t>wealthdna.in</t>
  </si>
  <si>
    <t>DOMAIN::wealthdna.in</t>
  </si>
  <si>
    <t>MATCAP WEALTH ADVISORS PRIVATE LIMITED</t>
  </si>
  <si>
    <t>INA000021890</t>
  </si>
  <si>
    <t>Ishita Shah</t>
  </si>
  <si>
    <t>B/306, Dynasty Business, Park, Opp Sangam Cinema, J.B. Nagar</t>
  </si>
  <si>
    <t>ishita.shah@fintoo.in</t>
  </si>
  <si>
    <t>00919870025474</t>
  </si>
  <si>
    <t>Feb 20, 2026</t>
  </si>
  <si>
    <t>fintoo.in</t>
  </si>
  <si>
    <t>DOMAIN::fintoo.in</t>
  </si>
  <si>
    <t>Koti Labs Private Limited</t>
  </si>
  <si>
    <t>INA000021951</t>
  </si>
  <si>
    <t>Ajit  Kumar</t>
  </si>
  <si>
    <t>F0130, Juniper Block, Brigade Orchards, Devanhalli, Bengaluru</t>
  </si>
  <si>
    <t>ajit@kotilabs.com</t>
  </si>
  <si>
    <t>00919167949733</t>
  </si>
  <si>
    <t>562110</t>
  </si>
  <si>
    <t>Feb 26, 2026</t>
  </si>
  <si>
    <t>kotilabs.com</t>
  </si>
  <si>
    <t>DOMAIN::kotilabs.com</t>
  </si>
  <si>
    <t>Famli Technology Products Private Limited</t>
  </si>
  <si>
    <t>INA000021979</t>
  </si>
  <si>
    <t>Priyanka Sonawane</t>
  </si>
  <si>
    <t>SN7,8,38, FL 803, BLDG C-4 Brahma Suncity, Wadgaonsheri</t>
  </si>
  <si>
    <t>PO@famlilife.com</t>
  </si>
  <si>
    <t>000919156023672</t>
  </si>
  <si>
    <t>Feb 27, 2026</t>
  </si>
  <si>
    <t>famlilife.com</t>
  </si>
  <si>
    <t>DOMAIN::famlilife.com</t>
  </si>
  <si>
    <t>Sixdis Technologies Private Limited</t>
  </si>
  <si>
    <t>INA000022020</t>
  </si>
  <si>
    <t>Jatin Premanand Mazalcar</t>
  </si>
  <si>
    <t>L2-106, WeWork, Vaishnavi Signature, Marathahalli, Sarjapur Outer Ring Road, Bellandur</t>
  </si>
  <si>
    <t>legal@oolka.in</t>
  </si>
  <si>
    <t>919999507799</t>
  </si>
  <si>
    <t>Mar 12, 2026</t>
  </si>
  <si>
    <t>oolka.in</t>
  </si>
  <si>
    <t>DOMAIN::oolka.in</t>
  </si>
  <si>
    <t>WEALTHDOOR INVESTMENT ADVISERS PRIVATE LIMITED</t>
  </si>
  <si>
    <t>INA000022057</t>
  </si>
  <si>
    <t>ANKITA SHRIVASTAVA</t>
  </si>
  <si>
    <t>8th Floor, 803, DLF Prime Tower, Okhla Industrial Area Phase-i, South Delhi,</t>
  </si>
  <si>
    <t>principalofficer@wealthdoor.com</t>
  </si>
  <si>
    <t>00918800882347</t>
  </si>
  <si>
    <t>Mar 18, 2026</t>
  </si>
  <si>
    <t>wealthdoor.com</t>
  </si>
  <si>
    <t>DOMAIN::wealthdoor.com</t>
  </si>
  <si>
    <t>TWOCENTS VENTURES LLP</t>
  </si>
  <si>
    <t>INA000022093</t>
  </si>
  <si>
    <t>Deepti Kharpas</t>
  </si>
  <si>
    <t>NO.1, 1ST FLOOR, 4TH CROSS, VICTORIA LAYOUT, VIVEKNAGAR (BANGALORE), VIVEKNAGARA POLICE STATION, BANGALORE SOUTH</t>
  </si>
  <si>
    <t>deepti@2centscapital.com</t>
  </si>
  <si>
    <t>00919004391881</t>
  </si>
  <si>
    <t>560047</t>
  </si>
  <si>
    <t>Mar 24, 2026</t>
  </si>
  <si>
    <t>2centscapital.com</t>
  </si>
  <si>
    <t>DOMAIN::2centscapital.com</t>
  </si>
  <si>
    <t>NATIVE INVESTMENT MANAGERS LLP</t>
  </si>
  <si>
    <t>INA000022163</t>
  </si>
  <si>
    <t>Naysar Parikh</t>
  </si>
  <si>
    <t>22, Floor 2, Plot 76, Panchasar Building, Patan Jain Mandal Road,, Off Netaji Subhash Road, Marine Drive,</t>
  </si>
  <si>
    <t>naysar@nativeinvest.in</t>
  </si>
  <si>
    <t>000919930907361</t>
  </si>
  <si>
    <t>Apr 10, 2026</t>
  </si>
  <si>
    <t>nativeinvest.in</t>
  </si>
  <si>
    <t>DOMAIN::nativeinvest.in</t>
  </si>
  <si>
    <t>NYVO Technology Private Limited</t>
  </si>
  <si>
    <t>INA000022172</t>
  </si>
  <si>
    <t>Harsh Soni</t>
  </si>
  <si>
    <t>B3/1018 GOKULAM APPARTMENT,8TH MILE KANAKPURA ROAD</t>
  </si>
  <si>
    <t>harsh@nyvo.in</t>
  </si>
  <si>
    <t>000000000000000</t>
  </si>
  <si>
    <t>560062</t>
  </si>
  <si>
    <t>nyvo.in</t>
  </si>
  <si>
    <t>DOMAIN::nyvo.in</t>
  </si>
  <si>
    <t>TREND REVERSAL RESEARCH &amp; INVESTMENT ADVISORS PRIVATE LIMITED</t>
  </si>
  <si>
    <t>INA000022181</t>
  </si>
  <si>
    <t>Ramita Bhasin</t>
  </si>
  <si>
    <t>T-302, 3rd Floor, T-Tower, Homes-121, Sector-121, Dadri, Gautam Buddha Nagar</t>
  </si>
  <si>
    <t>Compliance@trendreversalresearch.com</t>
  </si>
  <si>
    <t>00919560386505</t>
  </si>
  <si>
    <t>201307</t>
  </si>
  <si>
    <t>trendreversalresearch.com</t>
  </si>
  <si>
    <t>DOMAIN::trendreversalresearch.com</t>
  </si>
  <si>
    <t>Crystalline Capserve Private Limited</t>
  </si>
  <si>
    <t>INA000022224</t>
  </si>
  <si>
    <t>Sidharthan Kumar</t>
  </si>
  <si>
    <t>No.12, Kasilingam Street,, Ayyappa Nagar, Ayapakkam, Chennai,Tiruvallur</t>
  </si>
  <si>
    <t>ia@crystallinecap.in</t>
  </si>
  <si>
    <t>00919791334007</t>
  </si>
  <si>
    <t>600077</t>
  </si>
  <si>
    <t>7th Floor, 1547, Classic Towers, Trichy Road,</t>
  </si>
  <si>
    <t>COIMBATORE</t>
  </si>
  <si>
    <t>641018</t>
  </si>
  <si>
    <t>crystallinecap.in</t>
  </si>
  <si>
    <t>DOMAIN::crystallinecap.in</t>
  </si>
  <si>
    <t>Money Purse Finserv LLP</t>
  </si>
  <si>
    <t>INA000022260</t>
  </si>
  <si>
    <t>Raise Naik</t>
  </si>
  <si>
    <t>1111 12th Floor, DSL Abacus IT Park, Uppal, Hyderabad</t>
  </si>
  <si>
    <t>raise@moneypurse.in</t>
  </si>
  <si>
    <t>000919553378635</t>
  </si>
  <si>
    <t>500039</t>
  </si>
  <si>
    <t>moneypurse.in</t>
  </si>
  <si>
    <t>DOMAIN::moneypurse.in</t>
  </si>
  <si>
    <t>MYFINVEST INVESTMENT ADVISORS LLP</t>
  </si>
  <si>
    <t>INA000022297</t>
  </si>
  <si>
    <t>Avinash Bhutada</t>
  </si>
  <si>
    <t>FL 3 1041, Kalyani Heights, Sadashiv Peth,</t>
  </si>
  <si>
    <t>avinash@myfinvest.in</t>
  </si>
  <si>
    <t>00918390029955</t>
  </si>
  <si>
    <t>411030</t>
  </si>
  <si>
    <t>myfinvest.in</t>
  </si>
  <si>
    <t>DOMAIN::myfinvest.in</t>
  </si>
  <si>
    <t>Eton Solutions and Technologies India LLP</t>
  </si>
  <si>
    <t>INA000022349</t>
  </si>
  <si>
    <t>Amarnath Shenoy</t>
  </si>
  <si>
    <t>Salarpuria Magnificia Phoenix 3rd Floor Vijanapura Mahadevapura ward Old Madras Road, Dooravaninagar</t>
  </si>
  <si>
    <t>amarnath.shenoy@eton-solutions.com</t>
  </si>
  <si>
    <t>00919880728738</t>
  </si>
  <si>
    <t>Apr 23, 2026</t>
  </si>
  <si>
    <t>eton-solutions.com</t>
  </si>
  <si>
    <t>DOMAIN::eton-solutions.com</t>
  </si>
  <si>
    <t>QUANT ART MARKET SOLUTIONS PRIVATE LIMITED</t>
  </si>
  <si>
    <t>INA000022367</t>
  </si>
  <si>
    <t>Samir Lodha</t>
  </si>
  <si>
    <t>81/14, SHREERAMPORE ROAD (N), GARIA South Twenty Four Paraganas</t>
  </si>
  <si>
    <t>samirl@quantartmarket.com</t>
  </si>
  <si>
    <t>00919619188995</t>
  </si>
  <si>
    <t>700084</t>
  </si>
  <si>
    <t>Globsyn Crystals Building I, Unit No. 9, 4th Floor, Block-EP, Sector-V,  Salt Lake, Kolkata</t>
  </si>
  <si>
    <t>quantartmarket.com</t>
  </si>
  <si>
    <t>DOMAIN::quantartmarket.com</t>
  </si>
  <si>
    <t>Shankh Wealth Advisors LLP</t>
  </si>
  <si>
    <t>INA000022400</t>
  </si>
  <si>
    <t>Akshay Kunkulol</t>
  </si>
  <si>
    <t>Solitaire Five, S. No. 572 A FL, 603, Bibvewadi Kondhawa Road, Bibvewadi</t>
  </si>
  <si>
    <t>akshay@infinitypool.in</t>
  </si>
  <si>
    <t>9102079604627</t>
  </si>
  <si>
    <t>infinitypool.in</t>
  </si>
  <si>
    <t>DOMAIN::infinitypool.in</t>
  </si>
  <si>
    <t>A58 KNOWLEDGE SERVICES PRIVATE LIMITED</t>
  </si>
  <si>
    <t>INA000022419</t>
  </si>
  <si>
    <t>Zaharah Sheriff</t>
  </si>
  <si>
    <t>1E-1101, New Mhada Complex, Lokhandwala Circle, Andheri</t>
  </si>
  <si>
    <t>legal@a58.in</t>
  </si>
  <si>
    <t>00919870007040</t>
  </si>
  <si>
    <t>May 05, 2026</t>
  </si>
  <si>
    <t>a58.in</t>
  </si>
  <si>
    <t>DOMAIN::a58.in</t>
  </si>
  <si>
    <t>BLACKLITT TECHNOLOGIES PRIVATE LIMITED</t>
  </si>
  <si>
    <t>INA000022428</t>
  </si>
  <si>
    <t>Rachit Tripathi</t>
  </si>
  <si>
    <t>46, 1st Floor, 12th Main Road, Sector - 6,, HSR Layout, Belhind HSR BDA Complex,</t>
  </si>
  <si>
    <t>rachit@blacklitt.com</t>
  </si>
  <si>
    <t>00919980341314</t>
  </si>
  <si>
    <t>blacklitt.com</t>
  </si>
  <si>
    <t>DOMAIN::blacklitt.com</t>
  </si>
  <si>
    <t>FINSPURT ANALYTICS PRIVATE LIMITED</t>
  </si>
  <si>
    <t>INA000022437</t>
  </si>
  <si>
    <t>Shreni Makharia</t>
  </si>
  <si>
    <t>1105, Plot-B, Lodha Supremus, Thane West,</t>
  </si>
  <si>
    <t>support@finspurt.com</t>
  </si>
  <si>
    <t>00919619142477</t>
  </si>
  <si>
    <t>400607</t>
  </si>
  <si>
    <t>finspurt.com</t>
  </si>
  <si>
    <t>DOMAIN::finspurt.com</t>
  </si>
  <si>
    <t>Tatvartha Wealthnest Ai Private Limited</t>
  </si>
  <si>
    <t>INA000022464</t>
  </si>
  <si>
    <t>Anurag Sinha</t>
  </si>
  <si>
    <t>N11, 1st Floor,  24th main,, jp nagar,1st Phase</t>
  </si>
  <si>
    <t>anurag@wealthnest.ai</t>
  </si>
  <si>
    <t>00919900051745</t>
  </si>
  <si>
    <t>wealthnest.ai</t>
  </si>
  <si>
    <t>DOMAIN::wealthnest.ai</t>
  </si>
  <si>
    <t>PINSEC AI RESEARCH ADVISORY PRIVATE LIMITED</t>
  </si>
  <si>
    <t>INA000022473</t>
  </si>
  <si>
    <t>Suriya kumar R</t>
  </si>
  <si>
    <t>Fathima Akhtar Court, 7th, Floor, No.453, Anna Salai,, Teynampet,</t>
  </si>
  <si>
    <t>suriya@pinsec.ai</t>
  </si>
  <si>
    <t>00919360259172</t>
  </si>
  <si>
    <t>pinsec.ai</t>
  </si>
  <si>
    <t>DOMAIN::pinsec.ai</t>
  </si>
  <si>
    <t>Anesh K Vyaas LLP</t>
  </si>
  <si>
    <t>INA000022516</t>
  </si>
  <si>
    <t>Anesh K Vyaas</t>
  </si>
  <si>
    <t>Flat No B/1503, Runwal Pride CHS,, L.B.S.Marg, Mulund West,</t>
  </si>
  <si>
    <t>anesh@aurumventures.capital</t>
  </si>
  <si>
    <t>00919892389699</t>
  </si>
  <si>
    <t>Flat No B/1503, Runwal Pride CHS, L.B.S.Marg, Mulund West,</t>
  </si>
  <si>
    <t>aurumventures.capital</t>
  </si>
  <si>
    <t>DOMAIN::aurumventures.capital</t>
  </si>
  <si>
    <t>Banyan Capital Advisors LLP</t>
  </si>
  <si>
    <t>INA000022525</t>
  </si>
  <si>
    <t>Shaheen Akhtar</t>
  </si>
  <si>
    <t>D-51 Gulmohar Park, New Delhi</t>
  </si>
  <si>
    <t>compliance@banyan-capital.com</t>
  </si>
  <si>
    <t>00919560021124</t>
  </si>
  <si>
    <t>HPG House, 3rd Floor, 19 Nehru Place, New Delhi</t>
  </si>
  <si>
    <t>banyan-capital.com</t>
  </si>
  <si>
    <t>DOMAIN::banyan-capital.com</t>
  </si>
  <si>
    <t>FINRIGHT INVESTMENT ADVISORS LLP</t>
  </si>
  <si>
    <t>INA000022589</t>
  </si>
  <si>
    <t>Dhairya Dedhia</t>
  </si>
  <si>
    <t>706 CTS-171/IA/33, Bldg-4,Sapphire Hight, Akurli Rd, Kandivali East, Kandivali Police Station,, Kandivali East</t>
  </si>
  <si>
    <t>dhairya.dedhia@finright.in</t>
  </si>
  <si>
    <t>00917208325270</t>
  </si>
  <si>
    <t>finright.in</t>
  </si>
  <si>
    <t>DOMAIN::finright.in</t>
  </si>
  <si>
    <t>MAHIR INVESTMENT ADVISERS PRIVATE LIMITED</t>
  </si>
  <si>
    <t>INA000022668</t>
  </si>
  <si>
    <t>BHARAT MAKKAR</t>
  </si>
  <si>
    <t>PL G/A-9/1 SHOP 1, MIDC G NR MORIS SO, CHINCHWAD EAST</t>
  </si>
  <si>
    <t>compliance@mahiradvisers.com</t>
  </si>
  <si>
    <t>000919084945151</t>
  </si>
  <si>
    <t>411019</t>
  </si>
  <si>
    <t>Jun 01, 2026</t>
  </si>
  <si>
    <t>mahiradvisers.com</t>
  </si>
  <si>
    <t>DOMAIN::mahiradvisers.com</t>
  </si>
  <si>
    <t>HER-MONY SERVICES PRIVATE LIMITED</t>
  </si>
  <si>
    <t>INA000022710</t>
  </si>
  <si>
    <t>Rohini Bhan</t>
  </si>
  <si>
    <t>GINSERV, CA Site No 1, Behind Hotel Leela Palace, HAL 3rd Stage, Kodihalli</t>
  </si>
  <si>
    <t>rohini.bhan@her-mony.com</t>
  </si>
  <si>
    <t>00919739718763</t>
  </si>
  <si>
    <t>Jun 03, 2026</t>
  </si>
  <si>
    <t>her-mony.com</t>
  </si>
  <si>
    <t>DOMAIN::her-mony.com</t>
  </si>
  <si>
    <t>Allvest Invesment Managers Private Limited</t>
  </si>
  <si>
    <t>INA000022765</t>
  </si>
  <si>
    <t>Bhoumik Mehta</t>
  </si>
  <si>
    <t>Unit No. 2, Second Floor, B Wing,, Art Guild House, Phoenix Market City, Kurla West.</t>
  </si>
  <si>
    <t>complianceofficer.aimpl@allvest.co</t>
  </si>
  <si>
    <t>0009820734779</t>
  </si>
  <si>
    <t>400070</t>
  </si>
  <si>
    <t>Jun 05, 2026</t>
  </si>
  <si>
    <t>allvest.co</t>
  </si>
  <si>
    <t>DOMAIN::allvest.co</t>
  </si>
  <si>
    <t>ZENARA TECHNOLOGIES PRIVATE LIMITED</t>
  </si>
  <si>
    <t>INA000022774</t>
  </si>
  <si>
    <t>Sudhir Kumar A</t>
  </si>
  <si>
    <t>Plot No. 27, Flat No. 402, Third Floor, Sanath Spaces, Fourth Cross, R K Gardens,, New BEL Road, Mathikere,Bangalore North,</t>
  </si>
  <si>
    <t>Sudhir.a@zenaratechnologies.com</t>
  </si>
  <si>
    <t>00919036029215</t>
  </si>
  <si>
    <t>Lamora Coworking, 1st Floor, 94, Rashtriya Vidyalaya Road, , Basavangudi, Bangalore</t>
  </si>
  <si>
    <t>Jun 09, 2026</t>
  </si>
  <si>
    <t>zenaratechnologies.com</t>
  </si>
  <si>
    <t>DOMAIN::zenaratechnologies.com</t>
  </si>
  <si>
    <t>VERIQUS FINANCIAL SERVICES PRIVATE LIMITED</t>
  </si>
  <si>
    <t>INA000022808</t>
  </si>
  <si>
    <t>Akash Joshi</t>
  </si>
  <si>
    <t>Unit no. 8, Nirlon House Annie Basent Road</t>
  </si>
  <si>
    <t>fs@veriqus.com</t>
  </si>
  <si>
    <t>45754673</t>
  </si>
  <si>
    <t>Jun 10, 2026</t>
  </si>
  <si>
    <t>veriqus.com</t>
  </si>
  <si>
    <t>DOMAIN::veriqus.com</t>
  </si>
  <si>
    <t>Mangal Keshav Financial Services LLP</t>
  </si>
  <si>
    <t>INA000014331</t>
  </si>
  <si>
    <t>Gyan Prakash Sinha</t>
  </si>
  <si>
    <t>501,Heritage Plaza, Opp Indian Oil COlony,J.P.Road.Andheri(W)</t>
  </si>
  <si>
    <t>compliance@mangalkeshav.com</t>
  </si>
  <si>
    <t>Dec 24, 2019</t>
  </si>
  <si>
    <t>mangalkeshav.com</t>
  </si>
  <si>
    <t>DOMAIN::mangalkeshav.com</t>
  </si>
  <si>
    <t>BHAROSA TECHNOSERVE PRIVATE LIMITED</t>
  </si>
  <si>
    <t>INA100004657</t>
  </si>
  <si>
    <t>Anita Bhargava</t>
  </si>
  <si>
    <t>401, Aradhana Apartments, , Sector 13 R K Puram</t>
  </si>
  <si>
    <t>anita@bharosaclub.com</t>
  </si>
  <si>
    <t>910229899113595</t>
  </si>
  <si>
    <t>110066</t>
  </si>
  <si>
    <t>May 06, 2016</t>
  </si>
  <si>
    <t>bharosaclub.com</t>
  </si>
  <si>
    <t>DOMAIN::bharosaclub.com</t>
  </si>
  <si>
    <t>MOAT FINANCIAL SERVICES PRIVATE LIMITED</t>
  </si>
  <si>
    <t>INP000004482</t>
  </si>
  <si>
    <t>FAZALUL HAQUE A S</t>
  </si>
  <si>
    <t>3 I, 3rd Floor, National Pearl Star, Edappally, Ernakulam</t>
  </si>
  <si>
    <t>compliance@moatindia.com</t>
  </si>
  <si>
    <t>9104844039561</t>
  </si>
  <si>
    <t>Sep 05, 2016</t>
  </si>
  <si>
    <t>moatindia.com</t>
  </si>
  <si>
    <t>DOMAIN::moatindia.com</t>
  </si>
  <si>
    <t>MARFATIA STOCK BROKING PRIVATE LIMITED</t>
  </si>
  <si>
    <t>INP000005117</t>
  </si>
  <si>
    <t>RAHUL MEHTA</t>
  </si>
  <si>
    <t>216 GLACIER COMPLEX, JETALPUR ROAD</t>
  </si>
  <si>
    <t>fromdeskofmd@marfatia.net</t>
  </si>
  <si>
    <t>9102653513355</t>
  </si>
  <si>
    <t>VADODARA</t>
  </si>
  <si>
    <t>390007</t>
  </si>
  <si>
    <t>Sep 04, 2024</t>
  </si>
  <si>
    <t>marfatia.net</t>
  </si>
  <si>
    <t>DOMAIN::marfatia.net</t>
  </si>
  <si>
    <t>CLUBMILLIONAIRE FINANCIAL SERVICES PRIVATE LIMITED</t>
  </si>
  <si>
    <t>INP000005380</t>
  </si>
  <si>
    <t>PREETHYMOL V</t>
  </si>
  <si>
    <t>2nd Floor Butlers Business Centre,  KC Abraham Masters Road  Panampilly Nagar</t>
  </si>
  <si>
    <t>preethy@clubmillionaire.in</t>
  </si>
  <si>
    <t>0918848733918</t>
  </si>
  <si>
    <t>Apr 13, 2017</t>
  </si>
  <si>
    <t>clubmillionaire.in</t>
  </si>
  <si>
    <t>DOMAIN::clubmillionaire.in</t>
  </si>
  <si>
    <t>ACHINTYA SECURITIES LIMITED</t>
  </si>
  <si>
    <t>INP000006350</t>
  </si>
  <si>
    <t>SUYASH BANSAL</t>
  </si>
  <si>
    <t>12th Floor, Unit No 1208, Dalal Street, Block No. 53 Building No. 53E, Road 5E, Zone 5, Gift City, Gandhi Nagar</t>
  </si>
  <si>
    <t>info@achintya.co.in</t>
  </si>
  <si>
    <t>005126670700</t>
  </si>
  <si>
    <t>Achintya Tower, 7/118E, SWAROOP NAGAR</t>
  </si>
  <si>
    <t>KANPUR</t>
  </si>
  <si>
    <t>208002</t>
  </si>
  <si>
    <t>Jan 16, 2019</t>
  </si>
  <si>
    <t>achintya.co.in</t>
  </si>
  <si>
    <t>DOMAIN::achintya.co.in</t>
  </si>
  <si>
    <t>BADJATE WEALTH PRIVATE LIMITED</t>
  </si>
  <si>
    <t>INP000006527</t>
  </si>
  <si>
    <t>TUSHAR BADJATE</t>
  </si>
  <si>
    <t>207, 2ND FLOOR, MANGALAM ARCADE, ABOVE VENUS BOOK DEPOT, DHARAMPETH EXTENSION</t>
  </si>
  <si>
    <t>tusharbadjate@badjategroup.com</t>
  </si>
  <si>
    <t>9107126604217</t>
  </si>
  <si>
    <t>badjategroup.com</t>
  </si>
  <si>
    <t>DOMAIN::badjategroup.com</t>
  </si>
  <si>
    <t>COUNTER CYCLICAL INVESTMENTS PRIVATE LIMITED</t>
  </si>
  <si>
    <t>INP000006554</t>
  </si>
  <si>
    <t>Sumit  Panwar</t>
  </si>
  <si>
    <t>401, PN 16, SHIRKEY BUILDING, L/O RAJ NAGAR S B CLY</t>
  </si>
  <si>
    <t>Sumit@cciplpms.com</t>
  </si>
  <si>
    <t>9107122591144</t>
  </si>
  <si>
    <t>440013</t>
  </si>
  <si>
    <t>303, MOHTA BUILDING, SBI COMPOUND, CHHAONI, KATOL ROAD</t>
  </si>
  <si>
    <t>cciplpms.com</t>
  </si>
  <si>
    <t>DOMAIN::cciplpms.com</t>
  </si>
  <si>
    <t>Mittal Analytics Private Limited</t>
  </si>
  <si>
    <t>INP000006730</t>
  </si>
  <si>
    <t>Yagya Kalra</t>
  </si>
  <si>
    <t>F4 403  404 A Iridium, Shalimar Corporate Park Vibhuti Khand Gomtinagar Lucknow</t>
  </si>
  <si>
    <t>compliance@mittalanalytics.com</t>
  </si>
  <si>
    <t>9105224002900</t>
  </si>
  <si>
    <t>226010</t>
  </si>
  <si>
    <t>May 07, 2019</t>
  </si>
  <si>
    <t>mittalanalytics.com</t>
  </si>
  <si>
    <t>DOMAIN::mittalanalytics.com</t>
  </si>
  <si>
    <t>INVASSET LLP</t>
  </si>
  <si>
    <t>INP000006907</t>
  </si>
  <si>
    <t>PARVESH  KUMAR</t>
  </si>
  <si>
    <t>Plot No 14 and 15, First Floor, South City, Canal Road</t>
  </si>
  <si>
    <t>Parveshkumar@invasset.com</t>
  </si>
  <si>
    <t>919915613625</t>
  </si>
  <si>
    <t>142027</t>
  </si>
  <si>
    <t>Oct 25, 2019</t>
  </si>
  <si>
    <t>invasset.com</t>
  </si>
  <si>
    <t>DOMAIN::invasset.com</t>
  </si>
  <si>
    <t>Prosperity Wealth Management Private Limited</t>
  </si>
  <si>
    <t>INP000007049</t>
  </si>
  <si>
    <t>BHAGABATA NAYAK</t>
  </si>
  <si>
    <t>14 Dr.SVKS Thangaraj Road, Vinayagar Nagar</t>
  </si>
  <si>
    <t>Compliance@pwm-india.com</t>
  </si>
  <si>
    <t>9104448576102</t>
  </si>
  <si>
    <t>MADURAI</t>
  </si>
  <si>
    <t>625020</t>
  </si>
  <si>
    <t>No.1 Level 1, Balaji First Avenue, T.Nagar</t>
  </si>
  <si>
    <t>Sep 10, 2020</t>
  </si>
  <si>
    <t>pwm-india.com</t>
  </si>
  <si>
    <t>DOMAIN::pwm-india.com</t>
  </si>
  <si>
    <t>Divya Capital One Private Limited</t>
  </si>
  <si>
    <t>INP000008145</t>
  </si>
  <si>
    <t>Haritima Singh</t>
  </si>
  <si>
    <t>Commercial Unit No. 510/511/511A, 5th Floor ,Dalal Street Commercial Co-Operative Society Ltd, Xchange Plaza Block No.-53, Building No. 53E, Zone-5, Road 5E, GIFT City</t>
  </si>
  <si>
    <t>cs@divyacapitalone.com</t>
  </si>
  <si>
    <t>9101149535515</t>
  </si>
  <si>
    <t>S-3 Level Hall No. 3 Block E, International Trade Tower Nehru Place</t>
  </si>
  <si>
    <t>divyacapitalone.com</t>
  </si>
  <si>
    <t>DOMAIN::divyacapitalone.com</t>
  </si>
  <si>
    <t>TRADESWIFT BROKING PRIVATE LIMITED</t>
  </si>
  <si>
    <t>INP000008446</t>
  </si>
  <si>
    <t>AJAY MUNDHRA</t>
  </si>
  <si>
    <t>4TH FLOOR,BAID HOUSE, 1 TARA NAGAR AJMER ROAD</t>
  </si>
  <si>
    <t>pms@tradeswift.net</t>
  </si>
  <si>
    <t>9101414050505</t>
  </si>
  <si>
    <t>302006</t>
  </si>
  <si>
    <t>Jul 30, 2025</t>
  </si>
  <si>
    <t>tradeswift.net</t>
  </si>
  <si>
    <t>DOMAIN::tradeswift.net</t>
  </si>
  <si>
    <t>Fortune Wealth Management Company India Private Limited</t>
  </si>
  <si>
    <t>INP000008622</t>
  </si>
  <si>
    <t>RATHNAMALA V</t>
  </si>
  <si>
    <t>1056, AVINASHI ROAD</t>
  </si>
  <si>
    <t>rathnamala.v@fortunewmc.com</t>
  </si>
  <si>
    <t>9104224334343</t>
  </si>
  <si>
    <t>Mar 12, 2024</t>
  </si>
  <si>
    <t>fortunewmc.com</t>
  </si>
  <si>
    <t>DOMAIN::fortunewmc.com</t>
  </si>
  <si>
    <t>SPICE ROUTE ADVISORS LLP</t>
  </si>
  <si>
    <t>INP000008978</t>
  </si>
  <si>
    <t>Anish Mathew</t>
  </si>
  <si>
    <t>1J, Tower 3, Alpha Horizon, Building no 13 420 1GT3,, Vallarpadam</t>
  </si>
  <si>
    <t>sreeash@spicerouteadvisors.in</t>
  </si>
  <si>
    <t>00919687767393</t>
  </si>
  <si>
    <t>ERNAKULAM</t>
  </si>
  <si>
    <t>682504</t>
  </si>
  <si>
    <t>1J, Tower 3, Alpha Horizon, Building no 13 420 1GT3, Vallarpadam</t>
  </si>
  <si>
    <t>spicerouteadvisors.in</t>
  </si>
  <si>
    <t>DOMAIN::spicerouteadvisors.in</t>
  </si>
  <si>
    <t>PLUSWEALTH CAPITAL MANAGEMENT LLP</t>
  </si>
  <si>
    <t>INP000009144</t>
  </si>
  <si>
    <t>Ankur Kulshreshtha</t>
  </si>
  <si>
    <t>15TH FLOOR OFFICE NO 2 A2, Gift One Tower Block No 56 Road 5C Zone 5</t>
  </si>
  <si>
    <t>compliance@pluswealth.net</t>
  </si>
  <si>
    <t>911201206294424</t>
  </si>
  <si>
    <t>Office No. 6A, Max Towers, Sector 16B</t>
  </si>
  <si>
    <t>Jan 03, 2025</t>
  </si>
  <si>
    <t>pluswealth.net</t>
  </si>
  <si>
    <t>DOMAIN::pluswealth.net</t>
  </si>
  <si>
    <t>AIALPHA FINANCIAL ADVISORY SERVICES PRIVATE LIMITED</t>
  </si>
  <si>
    <t>INP000009296</t>
  </si>
  <si>
    <t>SAJI SUNILKUMAR</t>
  </si>
  <si>
    <t>7A, Infra Gallant, Layam Road</t>
  </si>
  <si>
    <t>saji@aialpha.in</t>
  </si>
  <si>
    <t>9107977092624</t>
  </si>
  <si>
    <t>682011</t>
  </si>
  <si>
    <t>aialpha.in</t>
  </si>
  <si>
    <t>DOMAIN::aialpha.in</t>
  </si>
  <si>
    <t>IFM INVESTMENT ADVISORS PRIVATE LIMITED</t>
  </si>
  <si>
    <t>INP000009436</t>
  </si>
  <si>
    <t>Amanjot Kaur</t>
  </si>
  <si>
    <t>77 3B1</t>
  </si>
  <si>
    <t>AMANJOT@IFMGLOBAL.IN</t>
  </si>
  <si>
    <t>9101724243301</t>
  </si>
  <si>
    <t>160059</t>
  </si>
  <si>
    <t>B98, PHASE 8 INDUSTRIAL AREA SECTOR 73</t>
  </si>
  <si>
    <t>160062</t>
  </si>
  <si>
    <t>ifmglobal.in</t>
  </si>
  <si>
    <t>DOMAIN::ifmglobal.in</t>
  </si>
  <si>
    <t>INDNIVEZA DISTRIBUTORS PRIVATE LIMITED</t>
  </si>
  <si>
    <t>INP000009649</t>
  </si>
  <si>
    <t>Namrata Ratnani</t>
  </si>
  <si>
    <t>Kamla Colony, Shamli, Muzaffarnagar</t>
  </si>
  <si>
    <t>compliance@wn-pms.in</t>
  </si>
  <si>
    <t>910229152322723</t>
  </si>
  <si>
    <t>MUZAFFARNAGAR</t>
  </si>
  <si>
    <t>247776</t>
  </si>
  <si>
    <t>1001 1002 Accord Classic, Sonawala Road Goregaon East</t>
  </si>
  <si>
    <t>Sep 23, 2025</t>
  </si>
  <si>
    <t>wn-pms.in</t>
  </si>
  <si>
    <t>DOMAIN::wn-pms.in</t>
  </si>
  <si>
    <t>AMPLE INVESTMENT ADVISER</t>
  </si>
  <si>
    <t>INA000010779</t>
  </si>
  <si>
    <t>AKHAND TRIPATHI</t>
  </si>
  <si>
    <t>H. No.310-B, Chinar, Incube Business Centre, Near Vrindavan Dhaba, Bhopal</t>
  </si>
  <si>
    <t>info@ampleia.com</t>
  </si>
  <si>
    <t>917999149031</t>
  </si>
  <si>
    <t>BHOPAL</t>
  </si>
  <si>
    <t>462026</t>
  </si>
  <si>
    <t>akhandtripathy@gmail.com</t>
  </si>
  <si>
    <t>Jun 06, 2018</t>
  </si>
  <si>
    <t>ampleia.com</t>
  </si>
  <si>
    <t>DOMAIN::ampleia.com</t>
  </si>
  <si>
    <t>ARK PRIMARY ADVISORS PVT. LTD</t>
  </si>
  <si>
    <t>INA100001927</t>
  </si>
  <si>
    <t>HEMANT KUMAR BENIWAL</t>
  </si>
  <si>
    <t>FIRST FLOOR, B-16, JANTA COLONY,, BEHIND PINK SQUARE MALL, JAIPUR</t>
  </si>
  <si>
    <t>hemantbeniwal@TFLguide.com</t>
  </si>
  <si>
    <t>01414007474</t>
  </si>
  <si>
    <t>302004</t>
  </si>
  <si>
    <t>First floor, B-16, Janta Colony, behind Pink Square Mall, Jaipur</t>
  </si>
  <si>
    <t>Jun 24, 2014</t>
  </si>
  <si>
    <t>tflguide.com</t>
  </si>
  <si>
    <t>DOMAIN::tflguide.com</t>
  </si>
  <si>
    <t>Valuegrow Investment Advisors Private Limited</t>
  </si>
  <si>
    <t>INA200006910</t>
  </si>
  <si>
    <t>Tirumala Ampolu</t>
  </si>
  <si>
    <t>D. No. 4-60-5/4/1, Lawsons Bay Colony</t>
  </si>
  <si>
    <t>tirumala.rao@valuegrow.in</t>
  </si>
  <si>
    <t>919871790325</t>
  </si>
  <si>
    <t>530017</t>
  </si>
  <si>
    <t>4 60 5 4 1 Lawsons Bay Colony, Visakhapatnam</t>
  </si>
  <si>
    <t>530016</t>
  </si>
  <si>
    <t>Jan 12, 2017</t>
  </si>
  <si>
    <t>valuegrow.in</t>
  </si>
  <si>
    <t>DOMAIN::valuegrow.in</t>
  </si>
  <si>
    <t>21G INVESTMENT ADVISERS PRIVATE LIMITED</t>
  </si>
  <si>
    <t>INA000017231</t>
  </si>
  <si>
    <t>GAURAV VERMA</t>
  </si>
  <si>
    <t>2455 GR, DN ARJAN NAGAR, R S ROAD</t>
  </si>
  <si>
    <t>INFO@21GINVESTMENTS.COM</t>
  </si>
  <si>
    <t>917717577141</t>
  </si>
  <si>
    <t>141003</t>
  </si>
  <si>
    <t>Oct 07, 2022</t>
  </si>
  <si>
    <t>21ginvestments.com</t>
  </si>
  <si>
    <t>DOMAIN::21ginvestments.com</t>
  </si>
  <si>
    <t>1 Finance Private Limited</t>
  </si>
  <si>
    <t>INA000017523</t>
  </si>
  <si>
    <t>Mohan Kumar</t>
  </si>
  <si>
    <t>Marwadi Financial Plaza Nana Mava  Main Road, Off 150 Feet Ring Road</t>
  </si>
  <si>
    <t>compliance@1finance.co.in</t>
  </si>
  <si>
    <t>00007738942481</t>
  </si>
  <si>
    <t>RAJKOT</t>
  </si>
  <si>
    <t>360001</t>
  </si>
  <si>
    <t>Unit No B- 1101/1102, 11th Floor B Wing, Lotus Corporate Park Off Western Express Highway Goregaon (E)</t>
  </si>
  <si>
    <t>Dec 22, 2022</t>
  </si>
  <si>
    <t>1finance.co.in</t>
  </si>
  <si>
    <t>DOMAIN::1finance.co.in</t>
  </si>
  <si>
    <t>Coinwise Research Private Limited</t>
  </si>
  <si>
    <t>INA000018382</t>
  </si>
  <si>
    <t>Rohit Prakash</t>
  </si>
  <si>
    <t>Flat No 1603, Almond B, Omaxe Residency 2, Arjunganj,, Lucknow, Uttar Pradesh</t>
  </si>
  <si>
    <t>info@coinstreet.in</t>
  </si>
  <si>
    <t>000229310855217</t>
  </si>
  <si>
    <t>226002</t>
  </si>
  <si>
    <t>1003, 10th Floor, Tower B, Emerald Estate Apartments, Sector 65, Haryana, Gurgaon</t>
  </si>
  <si>
    <t>coinstreet.in</t>
  </si>
  <si>
    <t>DOMAIN::coinstreet.in</t>
  </si>
  <si>
    <t>GOOD MONEYING WEALTH PLANNERS PRIVATE LIMITED</t>
  </si>
  <si>
    <t>INA000018744</t>
  </si>
  <si>
    <t>Manikaran Singal</t>
  </si>
  <si>
    <t>SCO 333-34 Cabin No. 206,, First Floor Sector 35-B,</t>
  </si>
  <si>
    <t>mks@goodmoneying.com</t>
  </si>
  <si>
    <t>00911724103547</t>
  </si>
  <si>
    <t>CHANDIGARH</t>
  </si>
  <si>
    <t>160022</t>
  </si>
  <si>
    <t>SCO 333-34 Cabin No. 206, First Floor Sector 35-B,</t>
  </si>
  <si>
    <t>goodmoneying.com</t>
  </si>
  <si>
    <t>DOMAIN::goodmoneying.com</t>
  </si>
  <si>
    <t>STOIC ADVISORS LLP</t>
  </si>
  <si>
    <t>INA000018920</t>
  </si>
  <si>
    <t>Puneet  Khurana</t>
  </si>
  <si>
    <t>House No 108, Sector-7A</t>
  </si>
  <si>
    <t>compliance-ria@stoicinvesting.com</t>
  </si>
  <si>
    <t>91009953227679</t>
  </si>
  <si>
    <t>FARIDABAD</t>
  </si>
  <si>
    <t>121006</t>
  </si>
  <si>
    <t>stoicinvesting.com</t>
  </si>
  <si>
    <t>DOMAIN::stoicinvesting.com</t>
  </si>
  <si>
    <t>Naveen Rego Capital Private Limited</t>
  </si>
  <si>
    <t>INA000019211</t>
  </si>
  <si>
    <t>Naveen Julian Rego</t>
  </si>
  <si>
    <t>1-17-1198/10, 1st Floor, N J Arcade, Ladyhill,, Dakshina Kannada</t>
  </si>
  <si>
    <t>support@naveenrego.com</t>
  </si>
  <si>
    <t>00919845557582</t>
  </si>
  <si>
    <t>575006</t>
  </si>
  <si>
    <t>1-17-1198/10, 1st Floor, N J Arcade, Ladyhill, Dakshina Kannada</t>
  </si>
  <si>
    <t>naveenrego.com</t>
  </si>
  <si>
    <t>DOMAIN::naveenrego.com</t>
  </si>
  <si>
    <t>Safestack Wealth Private Limited</t>
  </si>
  <si>
    <t>INA000019424</t>
  </si>
  <si>
    <t>Chelluri Maheshwari</t>
  </si>
  <si>
    <t>1st Floor, H.No, E-1/46, Sector 11, DLF, Faridabad</t>
  </si>
  <si>
    <t>maheshwari@verifyapp.in</t>
  </si>
  <si>
    <t>00919966257992</t>
  </si>
  <si>
    <t>verifyapp.in</t>
  </si>
  <si>
    <t>DOMAIN::verifyapp.in</t>
  </si>
  <si>
    <t>Tender Financial Services Private Limited</t>
  </si>
  <si>
    <t>INA000019734</t>
  </si>
  <si>
    <t>Megha Jose</t>
  </si>
  <si>
    <t>1056, T.S.NO.10 600, Avinashi Road, Race Course, Coimbatore, Tamil Nadu</t>
  </si>
  <si>
    <t>megha@thryve.finance</t>
  </si>
  <si>
    <t>917259524005</t>
  </si>
  <si>
    <t>Dec 16, 2024</t>
  </si>
  <si>
    <t>thryve.finance</t>
  </si>
  <si>
    <t>DOMAIN::thryve.finance</t>
  </si>
  <si>
    <t>VASUPRADAH INVESTMENT ADVISORY SERVICES PVT. LTD.</t>
  </si>
  <si>
    <t>INA000020059</t>
  </si>
  <si>
    <t>NEELAKANTAN PILLAI</t>
  </si>
  <si>
    <t>G 32, 67/4891 GROUND FLOOR, PINOEER TOWERS,MARINE DRIVE, KOCHI, KERALA</t>
  </si>
  <si>
    <t>NEELAKANTANPILLAI@VASUPRADAH.COM</t>
  </si>
  <si>
    <t>00919821107359</t>
  </si>
  <si>
    <t>682031</t>
  </si>
  <si>
    <t>Apr 01, 2025</t>
  </si>
  <si>
    <t>vasupradah.com</t>
  </si>
  <si>
    <t>DOMAIN::vasupradah.com</t>
  </si>
  <si>
    <t>ASHUTOSH FINANCIAL SERVICES PRIVATE LIMITED</t>
  </si>
  <si>
    <t>INA000020068</t>
  </si>
  <si>
    <t>SANDEEP VERMA</t>
  </si>
  <si>
    <t>STERLING APPARTMENTS, NEAR JUBILEE BAUG CHOWK, JAWAHAR ROAD, RAJKOT</t>
  </si>
  <si>
    <t>RIA@ASHUTOSHFINSERV.COM</t>
  </si>
  <si>
    <t>00919227896922</t>
  </si>
  <si>
    <t>ashutoshfinserv.com</t>
  </si>
  <si>
    <t>DOMAIN::ashutoshfinserv.com</t>
  </si>
  <si>
    <t>SAHASTHA INVESTMENT ADVISERS PRIVATE LIMITED</t>
  </si>
  <si>
    <t>INA000020086</t>
  </si>
  <si>
    <t>Piyush khatri</t>
  </si>
  <si>
    <t>903, 9 FLOOR MALL OF JAIPUR GANDHIPATH, VAISHALI NAGAR, JAIPUR, RAJASTHAN</t>
  </si>
  <si>
    <t>piyush@sahastha.com</t>
  </si>
  <si>
    <t>00918875127277</t>
  </si>
  <si>
    <t>302021</t>
  </si>
  <si>
    <t>Apr 07, 2025</t>
  </si>
  <si>
    <t>sahastha.com</t>
  </si>
  <si>
    <t>DOMAIN::sahastha.com</t>
  </si>
  <si>
    <t>Finfix Research and Analytics Private Limited</t>
  </si>
  <si>
    <t>INA000020378</t>
  </si>
  <si>
    <t>PRABLEEN BAJPAI</t>
  </si>
  <si>
    <t>H NO. 6365A, RAJEEV VIHAR, MANIMAJRA, Chandigarh</t>
  </si>
  <si>
    <t>connect@finfix.co.in</t>
  </si>
  <si>
    <t>9151477741</t>
  </si>
  <si>
    <t>160101</t>
  </si>
  <si>
    <t>718, 7th Floor, Crescent Heights, Sushant Golf City,</t>
  </si>
  <si>
    <t>226030</t>
  </si>
  <si>
    <t>finfix.co.in</t>
  </si>
  <si>
    <t>DOMAIN::finfix.co.in</t>
  </si>
  <si>
    <t>MS SQUARE INVESTMENT ADVISORS LLP</t>
  </si>
  <si>
    <t>INA000020411</t>
  </si>
  <si>
    <t>MOHNISH SAINI</t>
  </si>
  <si>
    <t>501, KRIYANSH HEIGHTS, INDRAPRASTHA COLONY, VAISHALI NAGAR, JAIPUR</t>
  </si>
  <si>
    <t>mohnish.saini@mssquare.in</t>
  </si>
  <si>
    <t>00918527587900</t>
  </si>
  <si>
    <t>mssquare.in</t>
  </si>
  <si>
    <t>DOMAIN::mssquare.in</t>
  </si>
  <si>
    <t>Profit Finstock Private Limited</t>
  </si>
  <si>
    <t>INA000020651</t>
  </si>
  <si>
    <t>Pradhan Chandrashekhar S</t>
  </si>
  <si>
    <t>GF1 A, Ashwamegh Complex,, Opp. Sayaji Club Vadodara</t>
  </si>
  <si>
    <t>cspradhan@profitfromit.in</t>
  </si>
  <si>
    <t>00919426536576</t>
  </si>
  <si>
    <t>390001</t>
  </si>
  <si>
    <t>GF1 A, Ashwamegh Complex, Opp. Sayaji Club Vadodara</t>
  </si>
  <si>
    <t>profitfromit.in</t>
  </si>
  <si>
    <t>DOMAIN::profitfromit.in</t>
  </si>
  <si>
    <t>Zactor Tech Private Limited</t>
  </si>
  <si>
    <t>INA000021173</t>
  </si>
  <si>
    <t>Vinod Parihar</t>
  </si>
  <si>
    <t>Plot No. 293 P, Sector 12,, Panchkula</t>
  </si>
  <si>
    <t>shivam@zactortech.com</t>
  </si>
  <si>
    <t>00917697913113</t>
  </si>
  <si>
    <t>Panchkula</t>
  </si>
  <si>
    <t>134112</t>
  </si>
  <si>
    <t>Plot No. 293 P, Sector 12, Panchkula</t>
  </si>
  <si>
    <t>zactortech.com</t>
  </si>
  <si>
    <t>DOMAIN::zactortech.com</t>
  </si>
  <si>
    <t>VSCVITTY.AI PRIVATE LIMITED</t>
  </si>
  <si>
    <t>INA000021580</t>
  </si>
  <si>
    <t>Vinod Singhal</t>
  </si>
  <si>
    <t>SHOP 222, GANPATI PLAZA, M .I. Road, Jaipur</t>
  </si>
  <si>
    <t>vinodsinghal@vsc.co.in</t>
  </si>
  <si>
    <t>00919414071060</t>
  </si>
  <si>
    <t>vsc.co.in</t>
  </si>
  <si>
    <t>DOMAIN::vsc.co.in</t>
  </si>
  <si>
    <t>BFC Capital Private Limited</t>
  </si>
  <si>
    <t>INA000021669</t>
  </si>
  <si>
    <t>Sunil Gupta</t>
  </si>
  <si>
    <t>CP 61 Viraj Khand Gomti Nagar, Lucknow</t>
  </si>
  <si>
    <t>Sunilgupta@bfccapital.com</t>
  </si>
  <si>
    <t>00918960006601</t>
  </si>
  <si>
    <t>bfccapital.com</t>
  </si>
  <si>
    <t>DOMAIN::bfccapital.com</t>
  </si>
  <si>
    <t>RIQR LLP</t>
  </si>
  <si>
    <t>INA000021720</t>
  </si>
  <si>
    <t>Jay Shah</t>
  </si>
  <si>
    <t>3 A/B Indraprasth Complex, near Inox Multiplex, Ellora Park, Subhanpura</t>
  </si>
  <si>
    <t>jayrshah@riqr.in</t>
  </si>
  <si>
    <t>00919956537655</t>
  </si>
  <si>
    <t>390023</t>
  </si>
  <si>
    <t>riqr.in</t>
  </si>
  <si>
    <t>DOMAIN::riqr.in</t>
  </si>
  <si>
    <t>Beyondco Technologies Private Limited</t>
  </si>
  <si>
    <t>INA000021809</t>
  </si>
  <si>
    <t>Parijat Chaturvedi</t>
  </si>
  <si>
    <t>A7/34,TVH Ekanta Apartment, GV Residency, Uppilipalayam,</t>
  </si>
  <si>
    <t>parijat@safebox.life</t>
  </si>
  <si>
    <t>00919685517117</t>
  </si>
  <si>
    <t>641015</t>
  </si>
  <si>
    <t>Feb 10, 2026</t>
  </si>
  <si>
    <t>safebox.life</t>
  </si>
  <si>
    <t>DOMAIN::safebox.life</t>
  </si>
  <si>
    <t>FYNRO ADVISORY SERVICES PRIVATE LIMITED</t>
  </si>
  <si>
    <t>INA000021942</t>
  </si>
  <si>
    <t>Sandhya Iyer</t>
  </si>
  <si>
    <t>Flat No . 712, Ceebros Boulevard, No. 3 381, OMR, Kanchipuram</t>
  </si>
  <si>
    <t>sandhya@fynro.in</t>
  </si>
  <si>
    <t>000919790998539</t>
  </si>
  <si>
    <t>KANCHEEPURAM</t>
  </si>
  <si>
    <t>600097</t>
  </si>
  <si>
    <t>fynro.in</t>
  </si>
  <si>
    <t>DOMAIN::fynro.in</t>
  </si>
  <si>
    <t>Rupeestop LLP</t>
  </si>
  <si>
    <t>INA000022701</t>
  </si>
  <si>
    <t>Dhiraj Sharma</t>
  </si>
  <si>
    <t>E-812, PIYUSH HEIGHTS SECTOR 89 Faridabad</t>
  </si>
  <si>
    <t>dhiraj@rupeestop.com</t>
  </si>
  <si>
    <t>00919829026436</t>
  </si>
  <si>
    <t>121002</t>
  </si>
  <si>
    <t>D 52 SUBHASH MARG CORNER C-SCHEME JAIPUR</t>
  </si>
  <si>
    <t>Jun 02, 2026</t>
  </si>
  <si>
    <t>rupeestop.com</t>
  </si>
  <si>
    <t>DOMAIN::rupeestop.com</t>
  </si>
  <si>
    <t>Finanjo Ventures Private Limited</t>
  </si>
  <si>
    <t>INA000022783</t>
  </si>
  <si>
    <t>Prithviraj Singh</t>
  </si>
  <si>
    <t>10/1, Basement, Near Chitrakoo Stadium,Vaishali Nagar</t>
  </si>
  <si>
    <t>compliances@finanjo.com</t>
  </si>
  <si>
    <t>00919008883883</t>
  </si>
  <si>
    <t>finanjo.com</t>
  </si>
  <si>
    <t>DOMAIN::finanjo.com</t>
  </si>
  <si>
    <t>CHADHA INVESTMENT CONSULTANT PRIVATE LIMITED</t>
  </si>
  <si>
    <t>INA100004533</t>
  </si>
  <si>
    <t>NO:3, BHIKAJI CAMA PLACE, R-5, ANSAL CHAMBERS-1</t>
  </si>
  <si>
    <t>kannan@chadhainvestment.com</t>
  </si>
  <si>
    <t>1141658986</t>
  </si>
  <si>
    <t>No:3, Bhikaji Cama Place, R-5, Ansal Chambers-1</t>
  </si>
  <si>
    <t>chadhainvestment.com</t>
  </si>
  <si>
    <t>DOMAIN::chadhainvestment.com</t>
  </si>
  <si>
    <t>INSTITUTIONAL INVESTOR ADVISORY SERVICES INDIA LIMITED</t>
  </si>
  <si>
    <t>INH000000024</t>
  </si>
  <si>
    <t>AMIT TANDON</t>
  </si>
  <si>
    <t>GROUND FLOOR, DGP HOUSE, 88-C, OLD PRABHADEVI ROAD</t>
  </si>
  <si>
    <t>amit.tandon@iias.in</t>
  </si>
  <si>
    <t>2222721575</t>
  </si>
  <si>
    <t>15th Floor, West Wing, P J Towers, Dalal Street, fORT</t>
  </si>
  <si>
    <t>Jan 30, 2015</t>
  </si>
  <si>
    <t>iias.in</t>
  </si>
  <si>
    <t>DOMAIN::iias.in</t>
  </si>
  <si>
    <t>BOB CAPITAL MARKETS LIMITED</t>
  </si>
  <si>
    <t>INH000000040</t>
  </si>
  <si>
    <t>Sameer Khobrekar</t>
  </si>
  <si>
    <t>3RD FLOOR, UTI TOWER, BANDRA-KURLA COMPLEX, BANDRA(EAST),</t>
  </si>
  <si>
    <t>compliance@bobcaps.in</t>
  </si>
  <si>
    <t>919920626156</t>
  </si>
  <si>
    <t>3rd Floor, UTI Tower, Bandra-Kurla Complex, Bandra(East),</t>
  </si>
  <si>
    <t>Feb 04, 2015</t>
  </si>
  <si>
    <t>bobcaps.in</t>
  </si>
  <si>
    <t>DOMAIN::bobcaps.in</t>
  </si>
  <si>
    <t>Ashika Stock Services Limited</t>
  </si>
  <si>
    <t>INH000000206</t>
  </si>
  <si>
    <t>MR. PARAS BOTHRA</t>
  </si>
  <si>
    <t>1008, RAHEJA CENTRE, 10TH FLOOR, 214,NARIMAN POINT</t>
  </si>
  <si>
    <t>paras@ashikagroup.com</t>
  </si>
  <si>
    <t>02266111704</t>
  </si>
  <si>
    <t>1008, Raheja Centre, 10th Floor, 214,Nariman Point</t>
  </si>
  <si>
    <t>Mar 24, 2015</t>
  </si>
  <si>
    <t>ashikagroup.com</t>
  </si>
  <si>
    <t>DOMAIN::ashikagroup.com</t>
  </si>
  <si>
    <t>CHOICE EQUITY BROKING PRIVATE LIMITED</t>
  </si>
  <si>
    <t>INH000000222</t>
  </si>
  <si>
    <t>Swati Matkar</t>
  </si>
  <si>
    <t>SHREE SHAKAMBHARI CORPORATE PARK, PLOT NO. 156-158,, CHAKRAVARTI ASHOK SOCIETY, NEAR CAMBRIDGE SCHOOL, J.B. NAGAR, ANDHERI (EAST),</t>
  </si>
  <si>
    <t>compliance@choiceindia.com</t>
  </si>
  <si>
    <t>02267079999999</t>
  </si>
  <si>
    <t>Sunil Patodia Tower, Plot No. 156-158 J.B. Nagar, Andheri (East)</t>
  </si>
  <si>
    <t>Mar 25, 2015</t>
  </si>
  <si>
    <t>choiceindia.com</t>
  </si>
  <si>
    <t>DOMAIN::choiceindia.com</t>
  </si>
  <si>
    <t>Mehta Equities Private Limited</t>
  </si>
  <si>
    <t>INH000000552</t>
  </si>
  <si>
    <t>Prakash Joshi</t>
  </si>
  <si>
    <t>903, Lodha Supremus, Dr. E Moses Road, Worli Naka</t>
  </si>
  <si>
    <t>prakash.joshi@plus500.com</t>
  </si>
  <si>
    <t>00002261507180</t>
  </si>
  <si>
    <t>plus500.com</t>
  </si>
  <si>
    <t>DOMAIN::plus500.com</t>
  </si>
  <si>
    <t>Monarch Networth Capital Limited</t>
  </si>
  <si>
    <t>INH000000644</t>
  </si>
  <si>
    <t>MR. RUSHIKESH K PARIKH</t>
  </si>
  <si>
    <t>901/902, ATLANTA CENTER, SONAWALA ROAD,, GOREGAON(E)</t>
  </si>
  <si>
    <t>compliance@networthdirect.com</t>
  </si>
  <si>
    <t>2230641652</t>
  </si>
  <si>
    <t>901/902, Atlanta Center, Sonawala Road, Goregaon(E)</t>
  </si>
  <si>
    <t>Jun 17, 2015</t>
  </si>
  <si>
    <t>networthdirect.com</t>
  </si>
  <si>
    <t>DOMAIN::networthdirect.com</t>
  </si>
  <si>
    <t>NAYAN M. VALA SECURITIES PVT LTD</t>
  </si>
  <si>
    <t>INH000000677</t>
  </si>
  <si>
    <t>MR. DHARMESH N. VALA</t>
  </si>
  <si>
    <t>403-404, COSMO COURT, ABOVE WAMAN HARI PETHE JEWELLERS,, S. V. RAOD, VILE PARLE (EAST),</t>
  </si>
  <si>
    <t>dharmesh@nayanmvala.com</t>
  </si>
  <si>
    <t>2226105974</t>
  </si>
  <si>
    <t>400056</t>
  </si>
  <si>
    <t>403-404, Cosmo Court, Above Waman hari Pethe Jewellers, S. V. Raod, Vile Parle (East),</t>
  </si>
  <si>
    <t>Jun 18, 2015</t>
  </si>
  <si>
    <t>nayanmvala.com</t>
  </si>
  <si>
    <t>DOMAIN::nayanmvala.com</t>
  </si>
  <si>
    <t>JEFFERIES INDIA PRIVATE LIMITED</t>
  </si>
  <si>
    <t>INH000000701</t>
  </si>
  <si>
    <t>Sanjay Pai</t>
  </si>
  <si>
    <t>42/43, 2  NORTH AVENUE, MAKER MAXITY, BANDRA-KURLA COMPLEX, BANDRA(EAST)</t>
  </si>
  <si>
    <t>spai@jefferies.com</t>
  </si>
  <si>
    <t>918291233957</t>
  </si>
  <si>
    <t>42/43, 2  North Avenue, Maker Maxity, Bandra-Kurla Complex, Bandra(East)</t>
  </si>
  <si>
    <t>jefferies.com</t>
  </si>
  <si>
    <t>DOMAIN::jefferies.com</t>
  </si>
  <si>
    <t>SHILPA STOCK BROKER PVT. LTD</t>
  </si>
  <si>
    <t>INH000000776</t>
  </si>
  <si>
    <t>MR. DHAWAL SUDHIR JOSHI</t>
  </si>
  <si>
    <t>B-11 3RD FLOOR PLOT-36, TAMARIND HOUSE MUDHANA SHETTY MARG HUTATMA CHOWK FORT</t>
  </si>
  <si>
    <t>dhawal@ssbpl.net</t>
  </si>
  <si>
    <t>2240324366</t>
  </si>
  <si>
    <t>3, Natwar Chamber, 1st Floor, 94 Nagindas Master Road, Fort</t>
  </si>
  <si>
    <t>Jun 24, 2015</t>
  </si>
  <si>
    <t>ssbpl.net</t>
  </si>
  <si>
    <t>DOMAIN::ssbpl.net</t>
  </si>
  <si>
    <t>ANAND RATHI SHARE AND STOCK BROKERS LIMITED</t>
  </si>
  <si>
    <t>INH000000834</t>
  </si>
  <si>
    <t>MR. DEEPAK KEDIA</t>
  </si>
  <si>
    <t>EXPRESS ZONE  A- WING, 10TH FLOOR, WESTERN EXPRESS HIGHWAY, GOREGAON (EAST)</t>
  </si>
  <si>
    <t>deepakkedia@rathi.com</t>
  </si>
  <si>
    <t>022 40013821</t>
  </si>
  <si>
    <t>?	Trade- D, 10th Floor, Kamala Mills Compound, Senapati Bapat Marg, Lower Parel</t>
  </si>
  <si>
    <t>Jun 29, 2015</t>
  </si>
  <si>
    <t>rathi.com</t>
  </si>
  <si>
    <t>DOMAIN::rathi.com</t>
  </si>
  <si>
    <t>SUSHIL FINANCIAL SERVICES PRIVATE LIMITED</t>
  </si>
  <si>
    <t>INH000000867</t>
  </si>
  <si>
    <t>Suresh Nemani</t>
  </si>
  <si>
    <t>12, HOMJI STREET, DENA BANK BUILDING, FORT</t>
  </si>
  <si>
    <t>suresh.nemani@sushilfinance.com</t>
  </si>
  <si>
    <t>919833110343</t>
  </si>
  <si>
    <t>12, Homji Street, Dena Bank Building, Fort</t>
  </si>
  <si>
    <t>Jul 01, 2015</t>
  </si>
  <si>
    <t>sushilfinance.com</t>
  </si>
  <si>
    <t>DOMAIN::sushilfinance.com</t>
  </si>
  <si>
    <t>ELARA SECURITIES (INDIA) PRIVATE LIMITED</t>
  </si>
  <si>
    <t>INH000000933</t>
  </si>
  <si>
    <t>Anand Arunkumar Rao</t>
  </si>
  <si>
    <t>INDIABULLS FINANCE CENTRE,TOWER 3, 21ST FLOOR,, SENAPATI BAPAT MARG, ELPHINSTONE ROAD (WEST),</t>
  </si>
  <si>
    <t>compliance@elaracapital.com</t>
  </si>
  <si>
    <t>2261648509</t>
  </si>
  <si>
    <t>One International Center,Tower 3, 21st Floor, Senapati Bapat Marg, Elphinstone Road (West),</t>
  </si>
  <si>
    <t>Jul 07, 2015</t>
  </si>
  <si>
    <t>elaracapital.com</t>
  </si>
  <si>
    <t>DOMAIN::elaracapital.com</t>
  </si>
  <si>
    <t>BP EQUITIES PRIVATE LIMITED</t>
  </si>
  <si>
    <t>INH000000974</t>
  </si>
  <si>
    <t>DINESH MANGE</t>
  </si>
  <si>
    <t>24/26, CAMA BUILDING, DALAL STREET, FORT</t>
  </si>
  <si>
    <t>dineshmange@bpwealth.com</t>
  </si>
  <si>
    <t>022 61596148</t>
  </si>
  <si>
    <t>4th Floor, Rustom Building, Veer Nariman Road, Fort</t>
  </si>
  <si>
    <t>Jul 09, 2015</t>
  </si>
  <si>
    <t>bpwealth.com</t>
  </si>
  <si>
    <t>DOMAIN::bpwealth.com</t>
  </si>
  <si>
    <t>KHAMBATTA SECURITIES LIMITED</t>
  </si>
  <si>
    <t>INH000000982</t>
  </si>
  <si>
    <t>SATISH V. BETADPUR</t>
  </si>
  <si>
    <t># 1 GR. FLR., 7/10 BOTAWALA BLDG.,, 9 BANK STREET, HORNIMAN CIRCLE</t>
  </si>
  <si>
    <t>satish@khambattasecurities.com</t>
  </si>
  <si>
    <t>022 40273335</t>
  </si>
  <si>
    <t># 1 Gr. Flr., 7/10 Botawala Bldg., 9 Bank Street, Horniman Circle</t>
  </si>
  <si>
    <t>khambattasecurities.com</t>
  </si>
  <si>
    <t>DOMAIN::khambattasecurities.com</t>
  </si>
  <si>
    <t>ARISAIG PARTNERS (INDIA) PRIVATE LTD.</t>
  </si>
  <si>
    <t>INH000001006</t>
  </si>
  <si>
    <t>Yong Soon Teo</t>
  </si>
  <si>
    <t>Office 701, 7th Floor, Plot 98, Neelkanth,, Netaji Subhash Road, Todi Park, Marine Drive,</t>
  </si>
  <si>
    <t>eric@arisaig.com</t>
  </si>
  <si>
    <t>09100000000</t>
  </si>
  <si>
    <t>400002</t>
  </si>
  <si>
    <t>Office 701, 7th Floor, Plot 98, Neelkanth, Netaji Subhash Road, Todi Park, Marine Drive</t>
  </si>
  <si>
    <t>Jul 13, 2015</t>
  </si>
  <si>
    <t>arisaig.com</t>
  </si>
  <si>
    <t>DOMAIN::arisaig.com</t>
  </si>
  <si>
    <t>ANTIQUE STOCK BROKING LIMITED</t>
  </si>
  <si>
    <t>INH000001089</t>
  </si>
  <si>
    <t>ANIL R AGRAWAL</t>
  </si>
  <si>
    <t>ITI House,, 36, Dr. R. K. Shirodkar Road,Parel,</t>
  </si>
  <si>
    <t>anil@antiquelimited.com</t>
  </si>
  <si>
    <t>022 4031 3318</t>
  </si>
  <si>
    <t>20th Floor, Naman Midtown, A Wing, Senapati Bapat Marg, Elphinstone Road (West),</t>
  </si>
  <si>
    <t>Jul 20, 2015</t>
  </si>
  <si>
    <t>antiquelimited.com</t>
  </si>
  <si>
    <t>DOMAIN::antiquelimited.com</t>
  </si>
  <si>
    <t>WAVES STRATEGY ADVISORS</t>
  </si>
  <si>
    <t>INH000001097</t>
  </si>
  <si>
    <t>ASHISH KYAL</t>
  </si>
  <si>
    <t>413, A wing, Express Zone, Western Express Highway, Malad East, Mumbai</t>
  </si>
  <si>
    <t>ashishkyal@wavesstrategy.com</t>
  </si>
  <si>
    <t>919820323114</t>
  </si>
  <si>
    <t>302, Karishma Plaza Commercial Premises Co- operative Society, Pushpak Park, Dalfary Road, Malad (East),</t>
  </si>
  <si>
    <t>wavesstrategy.com</t>
  </si>
  <si>
    <t>DOMAIN::wavesstrategy.com</t>
  </si>
  <si>
    <t>CLSA INDIA PRIVATE LIMITED</t>
  </si>
  <si>
    <t>INH000001113</t>
  </si>
  <si>
    <t>RAJIV HINGU</t>
  </si>
  <si>
    <t>8/F, DALAMAL HOUSE, NARIMAN POINT,</t>
  </si>
  <si>
    <t>sarika.ramanathan@clsa.com</t>
  </si>
  <si>
    <t>022 6650 5070</t>
  </si>
  <si>
    <t>8/F, Dalamal house, Nariman Point,</t>
  </si>
  <si>
    <t>clsa.com</t>
  </si>
  <si>
    <t>DOMAIN::clsa.com</t>
  </si>
  <si>
    <t>MAXIMUS SECURITIES LTD.</t>
  </si>
  <si>
    <t>INH000001147</t>
  </si>
  <si>
    <t>MR. K SURYANARAYANAN</t>
  </si>
  <si>
    <t>FIRST FLOOR, STERLING CENTRE, ANDHERI KURLA ROAD, ANDHERI EAST</t>
  </si>
  <si>
    <t>surya@maximussecurities.com</t>
  </si>
  <si>
    <t>2261418761</t>
  </si>
  <si>
    <t>First Floor, Sterling Centre, Andheri Kurla Road, Andheri East</t>
  </si>
  <si>
    <t>Jul 27, 2015</t>
  </si>
  <si>
    <t>maximussecurities.com</t>
  </si>
  <si>
    <t>DOMAIN::maximussecurities.com</t>
  </si>
  <si>
    <t>AJCON GLOBAL SERVICES LIMITED</t>
  </si>
  <si>
    <t>INH000001170</t>
  </si>
  <si>
    <t>Ashok Ajmera</t>
  </si>
  <si>
    <t>408, EXPRESS ZONE, A WING, CELLO ? SONAL RELATY,, NEAR PATELS, WESTERN EXPRESS HIGHWAY,  GOREGAON (EAST),</t>
  </si>
  <si>
    <t>ashok@ajcon.net</t>
  </si>
  <si>
    <t>0919930320115</t>
  </si>
  <si>
    <t>408, Express Zone, A Wing, Cello ? Sonal Relaty, Near Patels, Western Express Highway,  Goregaon (East),</t>
  </si>
  <si>
    <t>Jul 28, 2015</t>
  </si>
  <si>
    <t>ajcon.net</t>
  </si>
  <si>
    <t>DOMAIN::ajcon.net</t>
  </si>
  <si>
    <t>DALAL AND BROACHA STOCK BROKING PVT LTD</t>
  </si>
  <si>
    <t>INH000001246</t>
  </si>
  <si>
    <t>MR. NILESH PRIYAKANT DALAL</t>
  </si>
  <si>
    <t>506, MAKER CHAMBER,, V 221, NARIMAN POINT,</t>
  </si>
  <si>
    <t>nilesh.dalal@dalal-broacha.com</t>
  </si>
  <si>
    <t>022 67141410</t>
  </si>
  <si>
    <t>506, Maker Chamber, V 221, Nariman Point,</t>
  </si>
  <si>
    <t>Aug 04, 2015</t>
  </si>
  <si>
    <t>dalal-broacha.com</t>
  </si>
  <si>
    <t>DOMAIN::dalal-broacha.com</t>
  </si>
  <si>
    <t>SUNIDHI SECURITIES &amp; FINANCE LTD.</t>
  </si>
  <si>
    <t>INH000001329</t>
  </si>
  <si>
    <t>MR. MAHESH DESAI</t>
  </si>
  <si>
    <t>KALPATARU INSPIRE, UNIT 1, 8TH FLOOR, OPP. GRAND HYATT HOTEL, SANTACRUZ-EAST</t>
  </si>
  <si>
    <t>maheshdesai@sunidhi.com</t>
  </si>
  <si>
    <t>2266318608</t>
  </si>
  <si>
    <t>KALPATARU INSPIRE, UNIT 1, 8TH FLOOR, OPP. GRAND HYATT HOTEL</t>
  </si>
  <si>
    <t>Aug 12, 2015</t>
  </si>
  <si>
    <t>sunidhi.com</t>
  </si>
  <si>
    <t>DOMAIN::sunidhi.com</t>
  </si>
  <si>
    <t>PHILLIP CAPITAL (INDIA) PVT. LTD.</t>
  </si>
  <si>
    <t>INH000001345</t>
  </si>
  <si>
    <t>SANDEEP GUPTA</t>
  </si>
  <si>
    <t>NO. 1, 18TH FLOOR, URMI ESTATE, 95 GANPATRAO KADAM MARG, LOWER PAREL (W)</t>
  </si>
  <si>
    <t>compliance@phillipcaital.in</t>
  </si>
  <si>
    <t>2224831919</t>
  </si>
  <si>
    <t>Aug 13, 2015</t>
  </si>
  <si>
    <t>phillipcaital.in</t>
  </si>
  <si>
    <t>DOMAIN::phillipcaital.in</t>
  </si>
  <si>
    <t>ASIAN MARKETS SECURITIES PRIVATE LIMITED</t>
  </si>
  <si>
    <t>INH000001378</t>
  </si>
  <si>
    <t>Narendra Singh</t>
  </si>
  <si>
    <t>B-709,EXPRESS ZONE, W E HIGHWAY,MALAD EAST</t>
  </si>
  <si>
    <t>narendra.singh@amsec.in</t>
  </si>
  <si>
    <t>919930374005</t>
  </si>
  <si>
    <t>B-709, EXPRESS ZONE, W.E. HIGHWAY, MALAD EAST,</t>
  </si>
  <si>
    <t>amsec.in</t>
  </si>
  <si>
    <t>DOMAIN::amsec.in</t>
  </si>
  <si>
    <t>KANTILAL CHHAGANLAL SECURITIES PRIVATE LIMITED</t>
  </si>
  <si>
    <t>INH000001428</t>
  </si>
  <si>
    <t>MR. VENKATA NARAYANA GIRI SALADI</t>
  </si>
  <si>
    <t>VILCO CENTRE, A WING, 2ND FLOOR,, BEHIND GARWARE HOUSE, 8, SUBASH ROAD, VILE PARLE(E)</t>
  </si>
  <si>
    <t>vn.giri@kcsecurities.com</t>
  </si>
  <si>
    <t>022 67236177</t>
  </si>
  <si>
    <t>Vilco Centre, A Wing, 2nd Floor, Behind Garware House, 8, Subash Road, Vile Parle(E)</t>
  </si>
  <si>
    <t>Aug 19, 2015</t>
  </si>
  <si>
    <t>kcsecurities.com</t>
  </si>
  <si>
    <t>DOMAIN::kcsecurities.com</t>
  </si>
  <si>
    <t>NIRMAL BANG EQUITIES PRIVATE LIMITED</t>
  </si>
  <si>
    <t>INH000001436</t>
  </si>
  <si>
    <t>MR. SACHIN PAWAR</t>
  </si>
  <si>
    <t>B-2, 301, 3RD FLOOR, MARATHON INNOVA, OFF GANPATRAO KADAM MARG,LOWER PAREL(W)</t>
  </si>
  <si>
    <t>sachin.pawar@nirmalbang.com</t>
  </si>
  <si>
    <t>022 39267530</t>
  </si>
  <si>
    <t>401, 4th Floor, b Wing, Khandelwal House, Poddar Road, Near Poddar Park, Malad(East)</t>
  </si>
  <si>
    <t>nirmalbang.com</t>
  </si>
  <si>
    <t>DOMAIN::nirmalbang.com</t>
  </si>
  <si>
    <t>DIMENSIONAL SECURITIES PRIVATE LIMITED</t>
  </si>
  <si>
    <t>INH000001444</t>
  </si>
  <si>
    <t>Santosh Kumar Singh</t>
  </si>
  <si>
    <t>CITY ICE BUILDING, 4TH FLOOR, 298 PERIN NARIMAN STREET, FORT</t>
  </si>
  <si>
    <t>santosh@dimensional.in</t>
  </si>
  <si>
    <t>917021567798</t>
  </si>
  <si>
    <t>401, CITY ICE BUILDING, 4TH FLOOR, 298 PERIN NARIMAN STREET, FORT</t>
  </si>
  <si>
    <t>dimensional.in</t>
  </si>
  <si>
    <t>DOMAIN::dimensional.in</t>
  </si>
  <si>
    <t>SSJ FINANCE &amp; SECURITIES PVT LTD</t>
  </si>
  <si>
    <t>INH000001527</t>
  </si>
  <si>
    <t>MR. RANJEET RAJARAM MORE</t>
  </si>
  <si>
    <t>1ST FLOOR, SURYA MAHAL, 5, BUJORJI BHARUCHA MARG, FORT,</t>
  </si>
  <si>
    <t>co@ssjfinance.com</t>
  </si>
  <si>
    <t>022 4300 8807</t>
  </si>
  <si>
    <t>1st Floor, Merchant Chamber, Opp. Patkar Hall, 41, New Marine Lines,</t>
  </si>
  <si>
    <t>Aug 25, 2015</t>
  </si>
  <si>
    <t>ssjfinance.com</t>
  </si>
  <si>
    <t>DOMAIN::ssjfinance.com</t>
  </si>
  <si>
    <t>ITI SECURITIES BROKING LIMITED</t>
  </si>
  <si>
    <t>INH000001535</t>
  </si>
  <si>
    <t>MR. P. BALAKRISHNA IYER</t>
  </si>
  <si>
    <t>20TH FLOOR, NAMAN MIDTOWN, ?A? WING,, SENAPATI BAPAT MARG, ELPHINSTONE ROAD (WEST),</t>
  </si>
  <si>
    <t>balakrishnan@ffsil.com</t>
  </si>
  <si>
    <t>022 4027 3748</t>
  </si>
  <si>
    <t>20th Floor, Naman Midtown, ?A? Wing, Senapati Bapat Marg, Elphinstone Road (West),</t>
  </si>
  <si>
    <t>ffsil.com</t>
  </si>
  <si>
    <t>DOMAIN::ffsil.com</t>
  </si>
  <si>
    <t>DHANKI SECURITIES PRIVATE LIMITED</t>
  </si>
  <si>
    <t>INH000001550</t>
  </si>
  <si>
    <t>MR. BHARAT V DHANKI</t>
  </si>
  <si>
    <t>302, HUBTOWN SOLARIS, N.S. PHADKE ROAD,, NEAR EAST WEST FLYOVER, ANDHERI (E),</t>
  </si>
  <si>
    <t>info@dhankisecurities.com</t>
  </si>
  <si>
    <t>022 61717585</t>
  </si>
  <si>
    <t>302, Hubtown Solaris, N.S. Phadke Road, Near East West Flyover, Andheri (E),</t>
  </si>
  <si>
    <t>dhankisecurities.com</t>
  </si>
  <si>
    <t>DOMAIN::dhankisecurities.com</t>
  </si>
  <si>
    <t>VENTURA SECURITIES LIMITED</t>
  </si>
  <si>
    <t>INH000001634</t>
  </si>
  <si>
    <t>D P SINGH</t>
  </si>
  <si>
    <t>E-DHANUR, 15, SIR P M ROAD, MUMBAI</t>
  </si>
  <si>
    <t>d_singh@ventura1.com</t>
  </si>
  <si>
    <t>02267547055</t>
  </si>
  <si>
    <t>C/112-116, BLDG. NO. 1, KAILASH INDUSTRIAL COMPLEX, PARKSITE, OFF LBS MARG, VIKHROLI (WEST)</t>
  </si>
  <si>
    <t>Sep 02, 2015</t>
  </si>
  <si>
    <t>ventura1.com</t>
  </si>
  <si>
    <t>DOMAIN::ventura1.com</t>
  </si>
  <si>
    <t>KJMC CAPITAL MARKET SERVICES LIMITED</t>
  </si>
  <si>
    <t>INH000001642</t>
  </si>
  <si>
    <t>GIRISH JAIN</t>
  </si>
  <si>
    <t>16TH FLOOR, ATLANTA, NARIMAN POINT, MUMBAI</t>
  </si>
  <si>
    <t>jaingirish@kjmc.com</t>
  </si>
  <si>
    <t>02240945500</t>
  </si>
  <si>
    <t>kjmc.com</t>
  </si>
  <si>
    <t>DOMAIN::kjmc.com</t>
  </si>
  <si>
    <t>NIRMAL BANG SECURITIES PRIVATE LIMITED</t>
  </si>
  <si>
    <t>INH000001766</t>
  </si>
  <si>
    <t>MR. SAMIR KAMDAR</t>
  </si>
  <si>
    <t>B 2 302,MARATHON INNOVA GANPATRAO KADAM MARG, PENINSULA CORPORATE PARK, LOWER PAREL WEST</t>
  </si>
  <si>
    <t>samir.kamdar@nirmalbang.com</t>
  </si>
  <si>
    <t>2239269379</t>
  </si>
  <si>
    <t>401, 4th floor, B wing, Khandelwal House, Poddar Road, near poddar Park, Malada (East),</t>
  </si>
  <si>
    <t>Sep 23, 2015</t>
  </si>
  <si>
    <t>WALLFORT FINANCIAL SERVICES LIMITED</t>
  </si>
  <si>
    <t>INH000001824</t>
  </si>
  <si>
    <t>ANIKET BHARADIA</t>
  </si>
  <si>
    <t>205/A, 58/64 HARI CHAMBERS, S B SINGH ROAD, FORT, MUMBAI</t>
  </si>
  <si>
    <t>aniket.bharadia@wallfort.com</t>
  </si>
  <si>
    <t>2261176025</t>
  </si>
  <si>
    <t>Sep 30, 2015</t>
  </si>
  <si>
    <t>wallfort.com</t>
  </si>
  <si>
    <t>DOMAIN::wallfort.com</t>
  </si>
  <si>
    <t>SAJAG SECURITIES PVT. LTD.</t>
  </si>
  <si>
    <t>INH000001923</t>
  </si>
  <si>
    <t>RASHMI CHANDAK</t>
  </si>
  <si>
    <t>SAJAG SECURITIES PVT. LTD., REGENT  CHAMBERS,OPP. GARWARE COLLEGE,33/15-B,KARVE ROAD</t>
  </si>
  <si>
    <t>rashmi@sajag.co.in</t>
  </si>
  <si>
    <t>2066014737</t>
  </si>
  <si>
    <t>Sajag Securities Pvt. Ltd., Regent  Chambers</t>
  </si>
  <si>
    <t>Oct 14, 2015</t>
  </si>
  <si>
    <t>sajag.co.in</t>
  </si>
  <si>
    <t>DOMAIN::sajag.co.in</t>
  </si>
  <si>
    <t>MASTER CAPITAL SERVICES LIMITED</t>
  </si>
  <si>
    <t>INH000002194</t>
  </si>
  <si>
    <t>C-1, 18/20, JEEVAN JYOT BUILDING,,  CAWASJI PATEL STREET, FORT,</t>
  </si>
  <si>
    <t>mcsl.research@mastertrust.co.in</t>
  </si>
  <si>
    <t>1723025815</t>
  </si>
  <si>
    <t>SCO 22-23, Sector 9D,</t>
  </si>
  <si>
    <t>160017</t>
  </si>
  <si>
    <t>mastertrust.co.in</t>
  </si>
  <si>
    <t>DOMAIN::mastertrust.co.in</t>
  </si>
  <si>
    <t>Haitong Securities India Private Limited</t>
  </si>
  <si>
    <t>INH000002590</t>
  </si>
  <si>
    <t>Prasanna Chandwaskar</t>
  </si>
  <si>
    <t>1203A, Tower 2A, Floor 12A, One World Center, 841 Senapti Bapat Marg, Elphinstone Road</t>
  </si>
  <si>
    <t>prasanna.chandwaskar@htisec.com</t>
  </si>
  <si>
    <t>912243156803</t>
  </si>
  <si>
    <t>htisec.com</t>
  </si>
  <si>
    <t>DOMAIN::htisec.com</t>
  </si>
  <si>
    <t>HEDGE EQUITIES LTD</t>
  </si>
  <si>
    <t>INH000004398</t>
  </si>
  <si>
    <t>Pavithra Pramod</t>
  </si>
  <si>
    <t>B 302 Trade Square, Mehra Compound, Near DSK Madhuban,, Sakinaka Kurla Road, Andheri East</t>
  </si>
  <si>
    <t>compliance@hedgegroup.in</t>
  </si>
  <si>
    <t>919072001024</t>
  </si>
  <si>
    <t>Hedge House, Mamangalam</t>
  </si>
  <si>
    <t>682025</t>
  </si>
  <si>
    <t>Sep 28, 2016</t>
  </si>
  <si>
    <t>hedgegroup.in</t>
  </si>
  <si>
    <t>DOMAIN::hedgegroup.in</t>
  </si>
  <si>
    <t>Elixir Equities Pvt. Ltd.</t>
  </si>
  <si>
    <t>INH000004787</t>
  </si>
  <si>
    <t>VARUN DIPAN MEHTA</t>
  </si>
  <si>
    <t>58, MITTAL CHAMBERS,, 228, NARIMAN POINT</t>
  </si>
  <si>
    <t>varun.mehta@elixirequities.com</t>
  </si>
  <si>
    <t>919820039005</t>
  </si>
  <si>
    <t>58, MITTAL CHAMBERS, 228, NARIMAN POINT</t>
  </si>
  <si>
    <t>May 18, 2017</t>
  </si>
  <si>
    <t>elixirequities.com</t>
  </si>
  <si>
    <t>DOMAIN::elixirequities.com</t>
  </si>
  <si>
    <t>TRUSTLINE SECURIITES LTD</t>
  </si>
  <si>
    <t>INH100000528</t>
  </si>
  <si>
    <t>ANKIT JHAMB</t>
  </si>
  <si>
    <t>C-633, NEW FRIENDS COLONY</t>
  </si>
  <si>
    <t>ankit.jhamb@trustline.in</t>
  </si>
  <si>
    <t>1204663310</t>
  </si>
  <si>
    <t>110025</t>
  </si>
  <si>
    <t>Trustline Tower, B-3, Sector-3</t>
  </si>
  <si>
    <t>Jun 01, 2015</t>
  </si>
  <si>
    <t>trustline.in</t>
  </si>
  <si>
    <t>DOMAIN::trustline.in</t>
  </si>
  <si>
    <t>BONANZA PORTFOLIO LTD.</t>
  </si>
  <si>
    <t>INH100001666</t>
  </si>
  <si>
    <t>Kunal Kamble</t>
  </si>
  <si>
    <t>4353/4C, MADAN MOHAN STREET, ANSARI ROAD,DARYAGANJ</t>
  </si>
  <si>
    <t>kunal.kamble@bonanzaonline.com</t>
  </si>
  <si>
    <t>919172991561</t>
  </si>
  <si>
    <t>Plot No. M-2,Cama Industrial Estate, Walbhat Road,Goregaon (E)</t>
  </si>
  <si>
    <t>Sep 03, 2015</t>
  </si>
  <si>
    <t>bonanzaonline.com</t>
  </si>
  <si>
    <t>DOMAIN::bonanzaonline.com</t>
  </si>
  <si>
    <t>M/S. IFCI FINANCIAL SERVICES LTD</t>
  </si>
  <si>
    <t>INH100001930</t>
  </si>
  <si>
    <t>MR.S.DEVARAJAN</t>
  </si>
  <si>
    <t>IFCI TOWER, 61, NEHRU PLACE</t>
  </si>
  <si>
    <t>devarajan@ifinltd.in</t>
  </si>
  <si>
    <t>4425306686</t>
  </si>
  <si>
    <t>Continental Chambers, 3rd Floor, 142, Mahatma Gandhi Road</t>
  </si>
  <si>
    <t>Oct 20, 2015</t>
  </si>
  <si>
    <t>ifinltd.in</t>
  </si>
  <si>
    <t>DOMAIN::ifinltd.in</t>
  </si>
  <si>
    <t>ELITE WEALTH LIMITED</t>
  </si>
  <si>
    <t>INH100002300</t>
  </si>
  <si>
    <t>Diwan Singh</t>
  </si>
  <si>
    <t>Casa Picasso, Golf Course Extension Road,, Near Rajesh Pilot Chowk, Radha Swami, Sector- 61</t>
  </si>
  <si>
    <t>compliance@elitestock.com</t>
  </si>
  <si>
    <t>0919650391805</t>
  </si>
  <si>
    <t>Plot No. 15 Second Floor Tradex Tower Sector 125, Gautam Buddha Nagar</t>
  </si>
  <si>
    <t>Nov 24, 2015</t>
  </si>
  <si>
    <t>elitestock.com</t>
  </si>
  <si>
    <t>DOMAIN::elitestock.com</t>
  </si>
  <si>
    <t>INH100002615</t>
  </si>
  <si>
    <t>SWATI MAHESHWARI</t>
  </si>
  <si>
    <t>101 A, 10TH FLOOR, MITTAL COURT, NARIMAN POINT</t>
  </si>
  <si>
    <t>complianceofficer@spasecurities.com</t>
  </si>
  <si>
    <t>2240439000</t>
  </si>
  <si>
    <t>101-A, 10th Floor, Mittal Court, Nariman Point</t>
  </si>
  <si>
    <t>Feb 08, 2016</t>
  </si>
  <si>
    <t>spasecurities.com</t>
  </si>
  <si>
    <t>DOMAIN::spasecurities.com</t>
  </si>
  <si>
    <t>MANSUKH SECURITIES &amp; FINANCE LIMITED</t>
  </si>
  <si>
    <t>INH100003274</t>
  </si>
  <si>
    <t>Mansukh Securitiesand FinanceLimited</t>
  </si>
  <si>
    <t>MansukhHouse,Plot No6,PandavNagar,OppMotherDairyPlant</t>
  </si>
  <si>
    <t>complianceofficer@moneysukh.com</t>
  </si>
  <si>
    <t>919953334723</t>
  </si>
  <si>
    <t>Plot No.  6 , Mansukh House, Pandav Nagar</t>
  </si>
  <si>
    <t>Jul 25, 2016</t>
  </si>
  <si>
    <t>moneysukh.com</t>
  </si>
  <si>
    <t>DOMAIN::moneysukh.com</t>
  </si>
  <si>
    <t>STOCKHIFI ADVISORY SERVICES PRIVATE LIMITED</t>
  </si>
  <si>
    <t>INH200001996</t>
  </si>
  <si>
    <t>RAMESH  BAJAJ</t>
  </si>
  <si>
    <t>NO.53, KUPPUMUTHU STREET,, TRIPLICANE,</t>
  </si>
  <si>
    <t>admin@stockhifi.com</t>
  </si>
  <si>
    <t>919841198942</t>
  </si>
  <si>
    <t>600005</t>
  </si>
  <si>
    <t>No. 101, Kanagasri Nagar, Cathedral Road, Gopalapuram, Near Music Academy,</t>
  </si>
  <si>
    <t>600085</t>
  </si>
  <si>
    <t>Oct 28, 2015</t>
  </si>
  <si>
    <t>stockhifi.com</t>
  </si>
  <si>
    <t>DOMAIN::stockhifi.com</t>
  </si>
  <si>
    <t>Shriram Insight Share Brokers Limited</t>
  </si>
  <si>
    <t>INH200003687</t>
  </si>
  <si>
    <t>Sanjay Tiwari</t>
  </si>
  <si>
    <t>Shriram House, No.4 Burkit Road, T. Nagar</t>
  </si>
  <si>
    <t>complianceofficer@shriraminsight.com</t>
  </si>
  <si>
    <t>0003323218429</t>
  </si>
  <si>
    <t>CK5 6, Sector II, Salt Lake City, Kolkata</t>
  </si>
  <si>
    <t>Apr 20, 2026</t>
  </si>
  <si>
    <t>shriraminsight.com</t>
  </si>
  <si>
    <t>DOMAIN::shriraminsight.com</t>
  </si>
  <si>
    <t>SMIFS LIMITED</t>
  </si>
  <si>
    <t>INH300001474</t>
  </si>
  <si>
    <t>Tamari Chatterjee</t>
  </si>
  <si>
    <t>VAIBHAV, 5TH FLOOR, 4 LEE ROAD</t>
  </si>
  <si>
    <t>compliance@smifs.com</t>
  </si>
  <si>
    <t>919748899166</t>
  </si>
  <si>
    <t>Aug 20, 2015</t>
  </si>
  <si>
    <t>smifs.com</t>
  </si>
  <si>
    <t>DOMAIN::smifs.com</t>
  </si>
  <si>
    <t>PEERLESS SECURITIES LTD.</t>
  </si>
  <si>
    <t>INH300002365</t>
  </si>
  <si>
    <t>AMARTYA RAY</t>
  </si>
  <si>
    <t>1, CHOWRINGHEE SQUARE, 2ND FLOOR</t>
  </si>
  <si>
    <t>compliance@peerlesssec.co.in</t>
  </si>
  <si>
    <t>3322481078</t>
  </si>
  <si>
    <t>700069</t>
  </si>
  <si>
    <t>1, Chowringhee Square, 2nd Floor</t>
  </si>
  <si>
    <t>Nov 27, 2015</t>
  </si>
  <si>
    <t>peerlesssec.co.in</t>
  </si>
  <si>
    <t>DOMAIN::peerlesssec.co.in</t>
  </si>
  <si>
    <t>BNK SECURITIES PVT LTD</t>
  </si>
  <si>
    <t>INH300003520</t>
  </si>
  <si>
    <t>BNK SECURITIES PVT LTD.</t>
  </si>
  <si>
    <t>2, PALM AVENUE, MAYFAIR TOWERS</t>
  </si>
  <si>
    <t>ak@bnkcapital.com</t>
  </si>
  <si>
    <t>03330028575</t>
  </si>
  <si>
    <t>700019</t>
  </si>
  <si>
    <t>2, Palm Avenue, Mayfair Towers</t>
  </si>
  <si>
    <t>Oct 18, 2016</t>
  </si>
  <si>
    <t>bnkcapital.com</t>
  </si>
  <si>
    <t>DOMAIN::bnkcapital.com</t>
  </si>
  <si>
    <t>INTEGRATED ENTERPRISES INDIA PVT. LTD</t>
  </si>
  <si>
    <t>INH200006530</t>
  </si>
  <si>
    <t>V PRABHA PRABHA</t>
  </si>
  <si>
    <t>5A, 5TH FLOOR, KENCES TOWERS,, 1, RAMAKRISHNA STREET, TNAGAR</t>
  </si>
  <si>
    <t>Compliance@integratedindia.in</t>
  </si>
  <si>
    <t>919840908222</t>
  </si>
  <si>
    <t>5A, 5TH FLOOR, KENCES TOWERS, 1, RAMAKRISHNA STREET, TNAGAR</t>
  </si>
  <si>
    <t>Oct 24, 2018</t>
  </si>
  <si>
    <t>integratedindia.in</t>
  </si>
  <si>
    <t>DOMAIN::integratedindia.in</t>
  </si>
  <si>
    <t>BgSE Financials Limited</t>
  </si>
  <si>
    <t>INH200006789</t>
  </si>
  <si>
    <t>Vishal Solanki</t>
  </si>
  <si>
    <t>No.51, Stock Exchange Towers, 1st Cross, J.C.Road</t>
  </si>
  <si>
    <t>cs@bfsl.co.in</t>
  </si>
  <si>
    <t>919611805820</t>
  </si>
  <si>
    <t>Jan 23, 2019</t>
  </si>
  <si>
    <t>bfsl.co.in</t>
  </si>
  <si>
    <t>DOMAIN::bfsl.co.in</t>
  </si>
  <si>
    <t>Riskilla Software Technologies Private Limited</t>
  </si>
  <si>
    <t>INH200006895</t>
  </si>
  <si>
    <t>Abid Hassan</t>
  </si>
  <si>
    <t>91 Springboard, Gopala Krishna Complex MG Road</t>
  </si>
  <si>
    <t>abid@sensibull.com</t>
  </si>
  <si>
    <t>008971790711</t>
  </si>
  <si>
    <t>Jul 29, 2030</t>
  </si>
  <si>
    <t>sensibull.com</t>
  </si>
  <si>
    <t>DOMAIN::sensibull.com</t>
  </si>
  <si>
    <t>VCK SHARE AND STOCK BROKING SERVICES LIMITED</t>
  </si>
  <si>
    <t>INH300007402</t>
  </si>
  <si>
    <t>HEMAL KAMPANI</t>
  </si>
  <si>
    <t>16 INDIA EXCHANGE PLACE 1STFLOOR</t>
  </si>
  <si>
    <t>hkampani@vckgroup.org</t>
  </si>
  <si>
    <t>9103340099982</t>
  </si>
  <si>
    <t>Sep 27, 2019</t>
  </si>
  <si>
    <t>vckgroup.org</t>
  </si>
  <si>
    <t>DOMAIN::vckgroup.org</t>
  </si>
  <si>
    <t>INH200007645</t>
  </si>
  <si>
    <t>Naveen KR Naveen KR</t>
  </si>
  <si>
    <t>No 51 Le Parc Richmonde, Richmond Road, Shanthala Nagar</t>
  </si>
  <si>
    <t>compliance@windmill.capital</t>
  </si>
  <si>
    <t>919901470256</t>
  </si>
  <si>
    <t>Jun 25, 2020</t>
  </si>
  <si>
    <t>windmill.capital</t>
  </si>
  <si>
    <t>DOMAIN::windmill.capital</t>
  </si>
  <si>
    <t>OPULENT INVESTMENT ADVISER PVT LTD</t>
  </si>
  <si>
    <t>INH000007669</t>
  </si>
  <si>
    <t>Shishir Suhane</t>
  </si>
  <si>
    <t>61, Floor-6, Plot-85, Maker Tower, E Wing, G , D Somani Marg, World Trade Centre, Cuffe Parade,</t>
  </si>
  <si>
    <t>shishir@stockaxis.com</t>
  </si>
  <si>
    <t>919820274304</t>
  </si>
  <si>
    <t>Jul 02, 2020</t>
  </si>
  <si>
    <t>stockaxis.com</t>
  </si>
  <si>
    <t>DOMAIN::stockaxis.com</t>
  </si>
  <si>
    <t>CRISIL Limited</t>
  </si>
  <si>
    <t>INH000007854</t>
  </si>
  <si>
    <t>Prasad Koparkar</t>
  </si>
  <si>
    <t>Crisil Limited, Lightbridge IT Park,, Saki Vihar Road, Andheri East,</t>
  </si>
  <si>
    <t>prasad.koparkar@crisil.com</t>
  </si>
  <si>
    <t>9102240405942</t>
  </si>
  <si>
    <t>Crisil Limited, Lightbridge IT Park, Saki Vihar Road, Andheri East,</t>
  </si>
  <si>
    <t>Nov 03, 2020</t>
  </si>
  <si>
    <t>crisil.com</t>
  </si>
  <si>
    <t>DOMAIN::crisil.com</t>
  </si>
  <si>
    <t>Equinomics Research Pvt Ltd</t>
  </si>
  <si>
    <t>INH000007863</t>
  </si>
  <si>
    <t>Chokkalingam Gangatharan</t>
  </si>
  <si>
    <t>307, Atlanta Estate,, Dr. Ambedkar Chowk, Off Western Express Highway, Goregoan East</t>
  </si>
  <si>
    <t>chokka.g@equinomics.co.in</t>
  </si>
  <si>
    <t>919819301888</t>
  </si>
  <si>
    <t>307 Atlanta Estate Dr Ambedkar Chowk , Off Western Express Hwy Goregaon East</t>
  </si>
  <si>
    <t>Nov 05, 2020</t>
  </si>
  <si>
    <t>equinomics.co.in</t>
  </si>
  <si>
    <t>DOMAIN::equinomics.co.in</t>
  </si>
  <si>
    <t>Onepaper Research Analysts Pvt Ltd</t>
  </si>
  <si>
    <t>INH000008093</t>
  </si>
  <si>
    <t>Bimesh  Sah</t>
  </si>
  <si>
    <t>74 Techno park, 74/II, C Cross Road, Opp Gate No2 MIDC, Seepz Andheri East</t>
  </si>
  <si>
    <t>bimesh.kumar@onepaper.in</t>
  </si>
  <si>
    <t>9102249392323</t>
  </si>
  <si>
    <t>Jan 14, 2021</t>
  </si>
  <si>
    <t>onepaper.in</t>
  </si>
  <si>
    <t>DOMAIN::onepaper.in</t>
  </si>
  <si>
    <t>INVESTORAI ANALYTICS INDIA LLP</t>
  </si>
  <si>
    <t>INH200008583</t>
  </si>
  <si>
    <t>PRASHANT SISODIA</t>
  </si>
  <si>
    <t>Innov8, Tower A, 5th floor, Mantri, Commercio, Kariyamna Agrahara, PO Bellandur,</t>
  </si>
  <si>
    <t>prashant.sisodia@bridgeweave.com</t>
  </si>
  <si>
    <t>918091480972</t>
  </si>
  <si>
    <t>Aug 04, 2021</t>
  </si>
  <si>
    <t>bridgeweave.com</t>
  </si>
  <si>
    <t>DOMAIN::bridgeweave.com</t>
  </si>
  <si>
    <t>Morningstar Investment Research India Private Limited</t>
  </si>
  <si>
    <t>INH000008686</t>
  </si>
  <si>
    <t>Purva Swan</t>
  </si>
  <si>
    <t>9th Floor, Platinum Technopark, Sector 30A, Vashi, Navi Mumbai</t>
  </si>
  <si>
    <t>Compliance.IN@morningstar.com</t>
  </si>
  <si>
    <t>918879042766</t>
  </si>
  <si>
    <t>400705</t>
  </si>
  <si>
    <t>Aug 31, 2021</t>
  </si>
  <si>
    <t>morningstar.com</t>
  </si>
  <si>
    <t>DOMAIN::morningstar.com</t>
  </si>
  <si>
    <t>WealthTrust Capital Services</t>
  </si>
  <si>
    <t>INH000008996</t>
  </si>
  <si>
    <t>Sneha  Jain</t>
  </si>
  <si>
    <t>213,2nd Floor, Turf Estate, Shakti Mill Lane, Mahalaxmi</t>
  </si>
  <si>
    <t>admin@wealthtrustcap.com</t>
  </si>
  <si>
    <t>912224909249</t>
  </si>
  <si>
    <t>Office Number 1, Aikya Signature, Naushir Barucha Marg, Sleater Road, Tardeo</t>
  </si>
  <si>
    <t>Dec 27, 2021</t>
  </si>
  <si>
    <t>wealthtrustcap.com</t>
  </si>
  <si>
    <t>DOMAIN::wealthtrustcap.com</t>
  </si>
  <si>
    <t>STRATZY FINTECH PRIVATE LIMITED</t>
  </si>
  <si>
    <t>INH000009180</t>
  </si>
  <si>
    <t>Mohit Bhandari</t>
  </si>
  <si>
    <t>Flat No-1501, Center Point, Mulund East,</t>
  </si>
  <si>
    <t>mohit@stratzy.in</t>
  </si>
  <si>
    <t>917030224401</t>
  </si>
  <si>
    <t>400081</t>
  </si>
  <si>
    <t>stratzy.in</t>
  </si>
  <si>
    <t>DOMAIN::stratzy.in</t>
  </si>
  <si>
    <t>INH000009825</t>
  </si>
  <si>
    <t>Rahul Ghose</t>
  </si>
  <si>
    <t>1101, 1102, 1103, 11th Floor, Moti Mahala Apex,, Waterfield Road, Guru Nanak Road, Bandra West,</t>
  </si>
  <si>
    <t>contactus@octanom.com</t>
  </si>
  <si>
    <t>917669668668</t>
  </si>
  <si>
    <t>11th1101, Moti Mahal Apex Building,CTS NoF902 Village Bandra, Plot No116, Near Junction of Waterfield and Gurunanak Rd, Bandra West</t>
  </si>
  <si>
    <t>Jun 13, 2022</t>
  </si>
  <si>
    <t>octanom.com</t>
  </si>
  <si>
    <t>DOMAIN::octanom.com</t>
  </si>
  <si>
    <t>INVEST4EDU PRIVATE LIMITED</t>
  </si>
  <si>
    <t>INH000010113</t>
  </si>
  <si>
    <t>Dinesh  Saney</t>
  </si>
  <si>
    <t>308, Gokul Arcade, Sahar Road, A Wing Vile Parle (East) Near Garware Polyster</t>
  </si>
  <si>
    <t>dinesh.saney@invest4edu.com</t>
  </si>
  <si>
    <t>918169534138</t>
  </si>
  <si>
    <t>Oct 17, 2022</t>
  </si>
  <si>
    <t>invest4edu.com</t>
  </si>
  <si>
    <t>DOMAIN::invest4edu.com</t>
  </si>
  <si>
    <t>ASPERO MARKETS PRIVATE LIMITED</t>
  </si>
  <si>
    <t>INH000010256</t>
  </si>
  <si>
    <t>Vigneshwar  Mohandas</t>
  </si>
  <si>
    <t>12TH FLOOR, PRESTIGE POLYGON, NO-471 ANNA SALAI NANDANAM</t>
  </si>
  <si>
    <t>vigneshwar.mohandhas@aspero.in</t>
  </si>
  <si>
    <t>09196771041</t>
  </si>
  <si>
    <t>aspero.in</t>
  </si>
  <si>
    <t>DOMAIN::aspero.in</t>
  </si>
  <si>
    <t>Definedge Securities Broking Private Limited</t>
  </si>
  <si>
    <t>INH000010344</t>
  </si>
  <si>
    <t>Sanjay Nayak</t>
  </si>
  <si>
    <t>2nd Floor, Ambashish, Lane no. 9, Pakharbag, NDA Pashan Road, Bavdhan</t>
  </si>
  <si>
    <t>compliance@definedge.com</t>
  </si>
  <si>
    <t>919867677402</t>
  </si>
  <si>
    <t>Office no. 523, 5th Floor, Chintamani Plaza, Andheri Kurla Road, Near WEH Metro Station, Andheri East</t>
  </si>
  <si>
    <t>Oct 21, 2022</t>
  </si>
  <si>
    <t>definedge.com</t>
  </si>
  <si>
    <t>DOMAIN::definedge.com</t>
  </si>
  <si>
    <t>Investmentor Securities Limited</t>
  </si>
  <si>
    <t>INH000010742</t>
  </si>
  <si>
    <t>Rupam Patel</t>
  </si>
  <si>
    <t>14th Floor, Solitaire Sky, Opp. Gujarat Vidhyapith, Ashram Road</t>
  </si>
  <si>
    <t>Rupam@investmentor.in</t>
  </si>
  <si>
    <t>917969153620</t>
  </si>
  <si>
    <t>380014</t>
  </si>
  <si>
    <t>Nov 09, 2022</t>
  </si>
  <si>
    <t>investmentor.in</t>
  </si>
  <si>
    <t>DOMAIN::investmentor.in</t>
  </si>
  <si>
    <t>INCRED RESEARCH SERVICES PRIVATE LIMITED</t>
  </si>
  <si>
    <t>INH000011024</t>
  </si>
  <si>
    <t>Yogesh Kadam</t>
  </si>
  <si>
    <t>UNIT NO 1203 12TH FLOOR B WING, THE CAPITAL PLOT NO C 70 G BLOCK BANDRA EAST BKC</t>
  </si>
  <si>
    <t>compliance@incredresearch.com</t>
  </si>
  <si>
    <t>09102241611597</t>
  </si>
  <si>
    <t>5th Floor, B Wing, Laxmi Towers, Plot No. C-25, G Block, Bandra Kurla Complex, Bandra (East)</t>
  </si>
  <si>
    <t>Dec 06, 2022</t>
  </si>
  <si>
    <t>incredresearch.com</t>
  </si>
  <si>
    <t>DOMAIN::incredresearch.com</t>
  </si>
  <si>
    <t>ARTHA CAPITAL</t>
  </si>
  <si>
    <t>INH000011060</t>
  </si>
  <si>
    <t>DEVANSHU DAMANI</t>
  </si>
  <si>
    <t>109, Netaji Subhas Road, Gooyee House, 5th Floor, Room No. 58</t>
  </si>
  <si>
    <t>devanshu@arthacapital.in</t>
  </si>
  <si>
    <t>09103346011219</t>
  </si>
  <si>
    <t>Dec 08, 2022</t>
  </si>
  <si>
    <t>arthacapital.in</t>
  </si>
  <si>
    <t>DOMAIN::arthacapital.in</t>
  </si>
  <si>
    <t>INTELISYS VENTURES PRIVATE LIMITED</t>
  </si>
  <si>
    <t>INH000011112</t>
  </si>
  <si>
    <t>ANKUSH JAIN</t>
  </si>
  <si>
    <t>OFFICE NO. 712, 7TH FLOOR,, FINSWELL SR. NO. 208/1A,</t>
  </si>
  <si>
    <t>Info@intelisysgroup.com</t>
  </si>
  <si>
    <t>009595858943</t>
  </si>
  <si>
    <t>OFFICE NO. 712, 7TH FLOOR, FINSWELL SR. NO. 208/1A,</t>
  </si>
  <si>
    <t>Dec 20, 2022</t>
  </si>
  <si>
    <t>intelisysgroup.com</t>
  </si>
  <si>
    <t>DOMAIN::intelisysgroup.com</t>
  </si>
  <si>
    <t>MarketWolf Securities Private Limited</t>
  </si>
  <si>
    <t>INH000012379</t>
  </si>
  <si>
    <t>Aston Building, 10th Floor, Lokhandwala Complex, Andheri West, Mumbai-400053</t>
  </si>
  <si>
    <t>complianceofficer@marketwolf.com</t>
  </si>
  <si>
    <t>08655622190</t>
  </si>
  <si>
    <t>Aston Building, 10th Floor, Lokhandwala Complex, Andheri West, Mumbai 400053</t>
  </si>
  <si>
    <t>marketwolf.com</t>
  </si>
  <si>
    <t>DOMAIN::marketwolf.com</t>
  </si>
  <si>
    <t>Inuvest Financial Technologies Pvt Ltd</t>
  </si>
  <si>
    <t>INH000012403</t>
  </si>
  <si>
    <t>Kanavel Rajesh</t>
  </si>
  <si>
    <t>No. 153 2, 3rd Floor, M.R.B.Arcade, Bagalur Main Road, Yelahanka, Dwarka Nagar</t>
  </si>
  <si>
    <t>Services@inuvest.tech</t>
  </si>
  <si>
    <t>919500052691</t>
  </si>
  <si>
    <t>560063</t>
  </si>
  <si>
    <t>inuvest.tech</t>
  </si>
  <si>
    <t>DOMAIN::inuvest.tech</t>
  </si>
  <si>
    <t>Angel Securities Limited</t>
  </si>
  <si>
    <t>INH000012430</t>
  </si>
  <si>
    <t>Shailly Shanbhag</t>
  </si>
  <si>
    <t>6th Floor, Ackruti Star,, MIDC Central Road</t>
  </si>
  <si>
    <t>Shailly.Shanbhag@Angelone.in</t>
  </si>
  <si>
    <t>09197694042</t>
  </si>
  <si>
    <t>6th Floor, Ackruti Star, MIDC Central Road</t>
  </si>
  <si>
    <t>Jun 15, 2023</t>
  </si>
  <si>
    <t>angelone.in</t>
  </si>
  <si>
    <t>DOMAIN::angelone.in</t>
  </si>
  <si>
    <t>Ekwiti Research</t>
  </si>
  <si>
    <t>INH000012713</t>
  </si>
  <si>
    <t>Prajwal Gopal</t>
  </si>
  <si>
    <t>No. 544, 4th Floor, 9th Cross, Vidyaranyapura, 4th A Main, AMS Layout</t>
  </si>
  <si>
    <t>prajwalgopal@ekwiti.in</t>
  </si>
  <si>
    <t>916363350617</t>
  </si>
  <si>
    <t>560097</t>
  </si>
  <si>
    <t>Aug 25, 2023</t>
  </si>
  <si>
    <t>ekwiti.in</t>
  </si>
  <si>
    <t>DOMAIN::ekwiti.in</t>
  </si>
  <si>
    <t>CHILLAR FINTECH PRIVATE LIMITED</t>
  </si>
  <si>
    <t>INH000013369</t>
  </si>
  <si>
    <t>Rajkumar Desai</t>
  </si>
  <si>
    <t>B-103, Gokul Gagan CHS Ltd., Opp. Viceroy Park, Thakur village, Kandivali (E)</t>
  </si>
  <si>
    <t>rajkumar@surplusapp.in</t>
  </si>
  <si>
    <t>08879476576</t>
  </si>
  <si>
    <t>Oct 12, 2023</t>
  </si>
  <si>
    <t>surplusapp.in</t>
  </si>
  <si>
    <t>DOMAIN::surplusapp.in</t>
  </si>
  <si>
    <t>GOALZEN CAPITAL SERVICES PRIVATE LIMITED</t>
  </si>
  <si>
    <t>INH000013448</t>
  </si>
  <si>
    <t>Robin Arya</t>
  </si>
  <si>
    <t>Co ikeva Office 10, Level 3, NSL Centrum, Serene Estate Pvt Ltd, , Site No. Phase I and II, Opp KPHB Colony Lane Opp. Forum Mall Kukatpally,</t>
  </si>
  <si>
    <t>research@goalzencapital.in</t>
  </si>
  <si>
    <t>919063309052</t>
  </si>
  <si>
    <t>goalzencapital.in</t>
  </si>
  <si>
    <t>DOMAIN::goalzencapital.in</t>
  </si>
  <si>
    <t>UNIRESEARCH GLOBAL PRIVATE LIMITED</t>
  </si>
  <si>
    <t>INH000013776</t>
  </si>
  <si>
    <t>VINAY ARORA</t>
  </si>
  <si>
    <t>Ground Floor, Unitech Commercial  Tower 2,, Arya Samaj Road,Block B,Greenwood City,Unit1 3,Sector45</t>
  </si>
  <si>
    <t>compliance@uniresearch.in</t>
  </si>
  <si>
    <t>919205566852</t>
  </si>
  <si>
    <t>Nov 30, 2023</t>
  </si>
  <si>
    <t>uniresearch.in</t>
  </si>
  <si>
    <t>DOMAIN::uniresearch.in</t>
  </si>
  <si>
    <t>Cupressus Enterprises Private Limited</t>
  </si>
  <si>
    <t>INH000013828</t>
  </si>
  <si>
    <t>Prateek Dugar</t>
  </si>
  <si>
    <t>MERLIN NORTH STAR BLOCK 2 3RD FLOOR, FLAT NO. 3K 70 P C GHOSH ROAD</t>
  </si>
  <si>
    <t>prateek@intelsense.in</t>
  </si>
  <si>
    <t>918910725042</t>
  </si>
  <si>
    <t>700048</t>
  </si>
  <si>
    <t>intelsense.in</t>
  </si>
  <si>
    <t>DOMAIN::intelsense.in</t>
  </si>
  <si>
    <t>RS WEALTH MANAGEMENT PRIVATE LIMITED</t>
  </si>
  <si>
    <t>INH000015145</t>
  </si>
  <si>
    <t>neetu arora</t>
  </si>
  <si>
    <t>606, PEARLS BEST HEIGHTS-II, PLOT NO C-9, NETAJI SUBHASH PLACE, PITAMPURA</t>
  </si>
  <si>
    <t>neetuarora@rswealth.in</t>
  </si>
  <si>
    <t>911140821500</t>
  </si>
  <si>
    <t>Feb 14, 2024</t>
  </si>
  <si>
    <t>rswealth.in</t>
  </si>
  <si>
    <t>DOMAIN::rswealth.in</t>
  </si>
  <si>
    <t>NJ India Invest Private Limited</t>
  </si>
  <si>
    <t>INH000015224</t>
  </si>
  <si>
    <t>Rakesh Tokarkar</t>
  </si>
  <si>
    <t>BLOCK NO. 901 &amp; 902, 6TH FLOOR, B TOWER, UDHNA UDYOGNAGAR SANGH COMMERCIAL COMPLEX,, CENTRAL ROAD NO.10, UDHNA</t>
  </si>
  <si>
    <t>compliance@njgroup.in</t>
  </si>
  <si>
    <t>026104025907</t>
  </si>
  <si>
    <t>394210</t>
  </si>
  <si>
    <t>BLOCK NO. 901 &amp; 902, 6TH FLOOR, B TOWER, UDHNA UDYOGNAGAR SANGH COMMERCIAL COMPLEX, CENTRAL ROAD NO.10, UDHNA</t>
  </si>
  <si>
    <t>Feb 28, 2024</t>
  </si>
  <si>
    <t>njgroup.in</t>
  </si>
  <si>
    <t>DOMAIN::njgroup.in</t>
  </si>
  <si>
    <t>Paul Asset Consultant Private Limited</t>
  </si>
  <si>
    <t>INH000015279</t>
  </si>
  <si>
    <t>Prasenjit Paul</t>
  </si>
  <si>
    <t>DGK 407 4TH FLOOR THE GALLERIA, ACTION AREA 1 NEW TOWN</t>
  </si>
  <si>
    <t>info@paulasset.com</t>
  </si>
  <si>
    <t>918910923802</t>
  </si>
  <si>
    <t>700156</t>
  </si>
  <si>
    <t>DGK 407 4TH FLOOR THE GALLERIA, ACTION AREA 1 NEWTOWN</t>
  </si>
  <si>
    <t>paulasset.com</t>
  </si>
  <si>
    <t>DOMAIN::paulasset.com</t>
  </si>
  <si>
    <t>Caprize Investment Managers Private Limited</t>
  </si>
  <si>
    <t>INH000015446</t>
  </si>
  <si>
    <t>Paras Chheda</t>
  </si>
  <si>
    <t>OFFICE NUMBER 211, 2ND FLOOR, KAMALA SPACES,S V ROAD, SANTACRUZ (WEST)</t>
  </si>
  <si>
    <t>info@caprize.co.in</t>
  </si>
  <si>
    <t>9102262392029</t>
  </si>
  <si>
    <t>400054</t>
  </si>
  <si>
    <t>Mar 14, 2024</t>
  </si>
  <si>
    <t>caprize.co.in</t>
  </si>
  <si>
    <t>DOMAIN::caprize.co.in</t>
  </si>
  <si>
    <t>Trudence Capital Advisors Private Limited</t>
  </si>
  <si>
    <t>INH000015747</t>
  </si>
  <si>
    <t>NITIN  MANGAL</t>
  </si>
  <si>
    <t>FLT NO 63 1 F CTS NO. 168, KALPATARU, AURA BLDG, LBS MARG OPP R CITY MALL</t>
  </si>
  <si>
    <t>compliance-grievance@trudencecapital.com</t>
  </si>
  <si>
    <t>917738220841</t>
  </si>
  <si>
    <t>400086</t>
  </si>
  <si>
    <t>Mar 22, 2024</t>
  </si>
  <si>
    <t>trudencecapital.com</t>
  </si>
  <si>
    <t>DOMAIN::trudencecapital.com</t>
  </si>
  <si>
    <t>K.M Jain Stock Brokers Pvt Ltd</t>
  </si>
  <si>
    <t>INH000015756</t>
  </si>
  <si>
    <t>ANAND JAIN</t>
  </si>
  <si>
    <t>631 STOCK EXCHANGE TOWER, DALAL STREET P J TOWER FORT</t>
  </si>
  <si>
    <t>accounts@kmjpl.com</t>
  </si>
  <si>
    <t>9102249734185</t>
  </si>
  <si>
    <t>1306, FLOOR-13, MARATHON ICON, OFF GANPATRAO KADAM MARG, OPP PENINSULA CORPORATE PARK, LOWER PAREL (W)</t>
  </si>
  <si>
    <t>kmjpl.com</t>
  </si>
  <si>
    <t>DOMAIN::kmjpl.com</t>
  </si>
  <si>
    <t>ZAMZAM CAPITAL</t>
  </si>
  <si>
    <t>INH000016199</t>
  </si>
  <si>
    <t>SAIF AHMED</t>
  </si>
  <si>
    <t>BERLIE STREET, SHANTHINAGAR,LANGFORD TOWN</t>
  </si>
  <si>
    <t>po@zamzam-capital.com</t>
  </si>
  <si>
    <t>918694010200</t>
  </si>
  <si>
    <t>Jun 12, 2024</t>
  </si>
  <si>
    <t>zamzam-capital.com</t>
  </si>
  <si>
    <t>DOMAIN::zamzam-capital.com</t>
  </si>
  <si>
    <t>APEX EDGE RESEARCH AND ADVISORY PRIVATE LIMITED</t>
  </si>
  <si>
    <t>INH000016357</t>
  </si>
  <si>
    <t>BINDU PANDEY</t>
  </si>
  <si>
    <t>No. 311/301/58/1, Singasadra,, Begur Hobli, Begur, Bangalore South,</t>
  </si>
  <si>
    <t>compliance@goldenedgeresearch.com</t>
  </si>
  <si>
    <t>007760127197</t>
  </si>
  <si>
    <t>No. 311/301/58/1, Singasadra, Begur Hobli, Begur, Bangalore South,</t>
  </si>
  <si>
    <t>Jun 14, 2024</t>
  </si>
  <si>
    <t>goldenedgeresearch.com</t>
  </si>
  <si>
    <t>DOMAIN::goldenedgeresearch.com</t>
  </si>
  <si>
    <t>INVOS RESEARCH &amp; TECHNOLOGY PRIVATE LIMITED</t>
  </si>
  <si>
    <t>INH000016597</t>
  </si>
  <si>
    <t>KINSHUK SENGUPTA</t>
  </si>
  <si>
    <t>A 19 Basement Block B 1 Mohan, Co operative Na New Delhi</t>
  </si>
  <si>
    <t>compliance@invosresearch.com</t>
  </si>
  <si>
    <t>01140846647</t>
  </si>
  <si>
    <t>Jun 24, 2024</t>
  </si>
  <si>
    <t>invosresearch.com</t>
  </si>
  <si>
    <t>DOMAIN::invosresearch.com</t>
  </si>
  <si>
    <t>VIKABH SECURITIES PRIVATE LIMITED</t>
  </si>
  <si>
    <t>INH000017657</t>
  </si>
  <si>
    <t>MANGESH  SAWANT</t>
  </si>
  <si>
    <t>B-701 EXPRESS ZONE, W.E.HIGHWAY MALAD EAST</t>
  </si>
  <si>
    <t>mangesh.sawant@vikabh.com</t>
  </si>
  <si>
    <t>0002242173005</t>
  </si>
  <si>
    <t>Jul 16, 2024</t>
  </si>
  <si>
    <t>vikabh.com</t>
  </si>
  <si>
    <t>DOMAIN::vikabh.com</t>
  </si>
  <si>
    <t>EXENCIAL RESEARCH PARTNERS</t>
  </si>
  <si>
    <t>INH000017666</t>
  </si>
  <si>
    <t>Kruti SHAH</t>
  </si>
  <si>
    <t>Block B Office No 304, Mondeal heights, NR. Panchratna Party Plot S.G. Highway</t>
  </si>
  <si>
    <t>Products@exencialresearch.com</t>
  </si>
  <si>
    <t>919727847071</t>
  </si>
  <si>
    <t>exencialresearch.com</t>
  </si>
  <si>
    <t>DOMAIN::exencialresearch.com</t>
  </si>
  <si>
    <t>Kalkine Consultancy India Private Limited</t>
  </si>
  <si>
    <t>INH000017727</t>
  </si>
  <si>
    <t>Sudip Gupta</t>
  </si>
  <si>
    <t>K 52B, Kalkaji</t>
  </si>
  <si>
    <t>sudip.gupta@kalkine.co.in</t>
  </si>
  <si>
    <t>919958435100</t>
  </si>
  <si>
    <t>A4 and A5, Logix Park, A Block, Sector 16</t>
  </si>
  <si>
    <t>Jul 19, 2024</t>
  </si>
  <si>
    <t>kalkine.co.in</t>
  </si>
  <si>
    <t>DOMAIN::kalkine.co.in</t>
  </si>
  <si>
    <t>Commodity Samachar Securities Private Limited</t>
  </si>
  <si>
    <t>INH000017781</t>
  </si>
  <si>
    <t>Chandni Kapoor</t>
  </si>
  <si>
    <t>27 by 1 B, Office No. 311, Building, Suratwala Mark Plazzo, Infotech Park Hinjawadi, Haveli</t>
  </si>
  <si>
    <t>compliance@commoditysamachar.com</t>
  </si>
  <si>
    <t>919755144880</t>
  </si>
  <si>
    <t>411057</t>
  </si>
  <si>
    <t>Office No. B-311 and 314, 3rd Floor, Building B, , Suratwala Mark Plazzo, Hinjawadi, Taluka Mulshi,</t>
  </si>
  <si>
    <t>commoditysamachar.com</t>
  </si>
  <si>
    <t>DOMAIN::commoditysamachar.com</t>
  </si>
  <si>
    <t>Vyom Research LLP</t>
  </si>
  <si>
    <t>INH000018221</t>
  </si>
  <si>
    <t>Kuldeep Butani</t>
  </si>
  <si>
    <t>Shop No 238, 2nd Floor, Sky View, Sarthana</t>
  </si>
  <si>
    <t>Compliance@Vyomresearch.in</t>
  </si>
  <si>
    <t>917567540400</t>
  </si>
  <si>
    <t>vyomresearch.in</t>
  </si>
  <si>
    <t>DOMAIN::vyomresearch.in</t>
  </si>
  <si>
    <t>STOCKGRO TECHNOLOGY LLP</t>
  </si>
  <si>
    <t>INH000018300</t>
  </si>
  <si>
    <t>AJAY  LAKHOTIA</t>
  </si>
  <si>
    <t>2nd floor 177 Block A, Laketown, Parganas North, Kolkata - 700089 , West Bengal, India</t>
  </si>
  <si>
    <t>compliance@stockgro.com</t>
  </si>
  <si>
    <t>918105422255</t>
  </si>
  <si>
    <t>700089</t>
  </si>
  <si>
    <t>WeWork Galaxy, 43, Residency Rd, Shanthala Nagar, Ashok Nagar, Bengaluru</t>
  </si>
  <si>
    <t>Aug 07, 2024</t>
  </si>
  <si>
    <t>stockgro.com</t>
  </si>
  <si>
    <t>DOMAIN::stockgro.com</t>
  </si>
  <si>
    <t>FEEDSENSE AI PRIVATE LIMITED</t>
  </si>
  <si>
    <t>INH000018382</t>
  </si>
  <si>
    <t>Mallika  Saha</t>
  </si>
  <si>
    <t>Raikamal, 3rd Floor, Flat 3A B,18A, Tara Shankar Sarani</t>
  </si>
  <si>
    <t>mallika@feedsense.ai</t>
  </si>
  <si>
    <t>919051194941</t>
  </si>
  <si>
    <t>700037</t>
  </si>
  <si>
    <t>Ecospace Business Park, Block 4A, 5th Floor, Unit No 501, Street No 59, New Town,</t>
  </si>
  <si>
    <t>Aug 19, 2024</t>
  </si>
  <si>
    <t>feedsense.ai</t>
  </si>
  <si>
    <t>DOMAIN::feedsense.ai</t>
  </si>
  <si>
    <t>Front Wave Research LLP</t>
  </si>
  <si>
    <t>INH000018407</t>
  </si>
  <si>
    <t>Vispi Irani</t>
  </si>
  <si>
    <t>214 215 Sagar Avenue Lallubhai Park Road, S V Road Above ICICI Bank Andheri Railway station DN nagar Police station</t>
  </si>
  <si>
    <t>kayan@frontwaveresearch.com</t>
  </si>
  <si>
    <t>919920790471</t>
  </si>
  <si>
    <t>Aug 21, 2024</t>
  </si>
  <si>
    <t>frontwaveresearch.com</t>
  </si>
  <si>
    <t>DOMAIN::frontwaveresearch.com</t>
  </si>
  <si>
    <t>Brainstormerz Research and Data Analytics Private Limited</t>
  </si>
  <si>
    <t>INH000018452</t>
  </si>
  <si>
    <t>Dolly  Bonde</t>
  </si>
  <si>
    <t>401, 402, Airawat Building, Plot No 12B, Baner</t>
  </si>
  <si>
    <t>compliance@brainstormerz.in</t>
  </si>
  <si>
    <t>919327714705</t>
  </si>
  <si>
    <t>brainstormerz.in</t>
  </si>
  <si>
    <t>DOMAIN::brainstormerz.in</t>
  </si>
  <si>
    <t>Rightspade Capital Advisors Private Limited</t>
  </si>
  <si>
    <t>INH000018799</t>
  </si>
  <si>
    <t>Shreyas Pandit</t>
  </si>
  <si>
    <t>555,4th Floor, 14th Main Road, , HSR Layout, Sector 7</t>
  </si>
  <si>
    <t>hello@rightspade.com</t>
  </si>
  <si>
    <t>916363219981</t>
  </si>
  <si>
    <t>rightspade.com</t>
  </si>
  <si>
    <t>DOMAIN::rightspade.com</t>
  </si>
  <si>
    <t>INDstocks Private Limited</t>
  </si>
  <si>
    <t>INH000018948</t>
  </si>
  <si>
    <t>Hardeep Arora</t>
  </si>
  <si>
    <t>616, 6th floor, Suncity Success Tower, Sector 65</t>
  </si>
  <si>
    <t>ra@indmoney.com</t>
  </si>
  <si>
    <t>919999650150</t>
  </si>
  <si>
    <t>122005</t>
  </si>
  <si>
    <t>Dec 05, 2024</t>
  </si>
  <si>
    <t>indmoney.com</t>
  </si>
  <si>
    <t>DOMAIN::indmoney.com</t>
  </si>
  <si>
    <t>Stockera Technology Private Limited</t>
  </si>
  <si>
    <t>INH000019071</t>
  </si>
  <si>
    <t>Anupam  Sinhal</t>
  </si>
  <si>
    <t>305, Gemstar Commercial Complex Ramchandra Lane Extension, Kachpada, Malad West</t>
  </si>
  <si>
    <t>contact@stockera.com</t>
  </si>
  <si>
    <t>0918888222122</t>
  </si>
  <si>
    <t>stockera.com</t>
  </si>
  <si>
    <t>DOMAIN::stockera.com</t>
  </si>
  <si>
    <t>Dynamic Equities Private Limited</t>
  </si>
  <si>
    <t>INH000019178</t>
  </si>
  <si>
    <t>Jibachh Prasad</t>
  </si>
  <si>
    <t>14TH FLOOR, PLOT NO. BP 4, TECHNOPOLIS, SECTOR  5, SALT LAKE</t>
  </si>
  <si>
    <t>it_compliance@valuestocks.in</t>
  </si>
  <si>
    <t>919874421921</t>
  </si>
  <si>
    <t>Dec 28, 2024</t>
  </si>
  <si>
    <t>valuestocks.in</t>
  </si>
  <si>
    <t>DOMAIN::valuestocks.in</t>
  </si>
  <si>
    <t>Congruence Investment Advisers India Private Limited</t>
  </si>
  <si>
    <t>INH000019202</t>
  </si>
  <si>
    <t>Kedar Samudram</t>
  </si>
  <si>
    <t>45 3, I Floor, Gopalakrishna Complex, Residency Road</t>
  </si>
  <si>
    <t>kedar@congruenceadvisers.com</t>
  </si>
  <si>
    <t>919886932445</t>
  </si>
  <si>
    <t>Jan 01, 2025</t>
  </si>
  <si>
    <t>congruenceadvisers.com</t>
  </si>
  <si>
    <t>DOMAIN::congruenceadvisers.com</t>
  </si>
  <si>
    <t>Time &amp; Tide Advisors LLP</t>
  </si>
  <si>
    <t>INH000019345</t>
  </si>
  <si>
    <t>Akash Javeri</t>
  </si>
  <si>
    <t>N East, 7th Floor,  Panorama 203, Walkeshwar Raod, Near Teen Bati Malabar Hill</t>
  </si>
  <si>
    <t>aakash@timetide.in</t>
  </si>
  <si>
    <t>919619237350</t>
  </si>
  <si>
    <t>timetide.in</t>
  </si>
  <si>
    <t>DOMAIN::timetide.in</t>
  </si>
  <si>
    <t>Arthscience Capital Research Private Limited</t>
  </si>
  <si>
    <t>INH000019433</t>
  </si>
  <si>
    <t>Poonam Shami</t>
  </si>
  <si>
    <t>175, Kagalwala House, 2nd Floor, Kalina, Santacruz, Vidyanagari,</t>
  </si>
  <si>
    <t>info@arthscience.in</t>
  </si>
  <si>
    <t>0919004009149</t>
  </si>
  <si>
    <t>arthscience.in</t>
  </si>
  <si>
    <t>DOMAIN::arthscience.in</t>
  </si>
  <si>
    <t>INH000019460</t>
  </si>
  <si>
    <t>Vora Rajendrakumar</t>
  </si>
  <si>
    <t>T F 310 Shivalik Shilp Ambli Bhopal Road, Jodhpur Char Rasta</t>
  </si>
  <si>
    <t>research@oceanfinvest.in</t>
  </si>
  <si>
    <t>919624161777</t>
  </si>
  <si>
    <t>Jan 23, 2025</t>
  </si>
  <si>
    <t>oceanfinvest.in</t>
  </si>
  <si>
    <t>DOMAIN::oceanfinvest.in</t>
  </si>
  <si>
    <t>CNI INFOXCHANGE PRIVATE LIMITED</t>
  </si>
  <si>
    <t>INH000019512</t>
  </si>
  <si>
    <t>Kishor  Ostwal</t>
  </si>
  <si>
    <t>A 120, Goluk Arcade,, Sahar Road, Vile parle east</t>
  </si>
  <si>
    <t>kishor@chamatcar.com</t>
  </si>
  <si>
    <t>91098201838</t>
  </si>
  <si>
    <t>A 120, Goluk Arcade, Sahar Road, Vile parle east</t>
  </si>
  <si>
    <t>chamatcar.com</t>
  </si>
  <si>
    <t>DOMAIN::chamatcar.com</t>
  </si>
  <si>
    <t>I CAP TRADERS CIRCUIT PRIVATE LIMITED</t>
  </si>
  <si>
    <t>INH000019859</t>
  </si>
  <si>
    <t>Vidhan Gupta</t>
  </si>
  <si>
    <t>Unit No. 119, 1st Floor, Richmond Towers,, Richmond Town, Shanthala Nagar, Karnataka, Bangalore North</t>
  </si>
  <si>
    <t>compliance@traderscircuit.com</t>
  </si>
  <si>
    <t>919916315030</t>
  </si>
  <si>
    <t>Unit No. 119, 1st Floor, Richmond Towers, Richmond Town, Shanthala Nagar, Karnataka, Bangalore North</t>
  </si>
  <si>
    <t>traderscircuit.com</t>
  </si>
  <si>
    <t>DOMAIN::traderscircuit.com</t>
  </si>
  <si>
    <t>Enrich Financial Market Private limited</t>
  </si>
  <si>
    <t>INH000019974</t>
  </si>
  <si>
    <t>Anoop P R</t>
  </si>
  <si>
    <t>New.No.241, Old.No.85 86 III Floor B, Ziad Court, Rangaraja Puram Main Road, Kodambakkam,chennai</t>
  </si>
  <si>
    <t>compliance@enrichmoney.in</t>
  </si>
  <si>
    <t>914435000470</t>
  </si>
  <si>
    <t>Feb 27, 2025</t>
  </si>
  <si>
    <t>enrichmoney.in</t>
  </si>
  <si>
    <t>DOMAIN::enrichmoney.in</t>
  </si>
  <si>
    <t>Compounding Wealth Advisors LLP</t>
  </si>
  <si>
    <t>INH000019983</t>
  </si>
  <si>
    <t>Rakesh  Pujara</t>
  </si>
  <si>
    <t>1203, One World, S. V. Road, Malad West, Near N. L. High School, Malad West,</t>
  </si>
  <si>
    <t>info@compoundingwealth.co.in</t>
  </si>
  <si>
    <t>0919821638712</t>
  </si>
  <si>
    <t>Mar 06, 2025</t>
  </si>
  <si>
    <t>compoundingwealth.co.in</t>
  </si>
  <si>
    <t>DOMAIN::compoundingwealth.co.in</t>
  </si>
  <si>
    <t>GOINDIA ADVISORS LLP</t>
  </si>
  <si>
    <t>INH000020040</t>
  </si>
  <si>
    <t>Rakesh Arora</t>
  </si>
  <si>
    <t>A502, Keshav Kunj, Plot 5 9, Sector 44a, Nerul</t>
  </si>
  <si>
    <t>rakesh@goindiaadvisors.com</t>
  </si>
  <si>
    <t>009198203056</t>
  </si>
  <si>
    <t>10th Floor, Parinee Cresenzo, C 30, G Block, B Wing, Bandra Kurla complex</t>
  </si>
  <si>
    <t>Mar 12, 2025</t>
  </si>
  <si>
    <t>goindiaadvisors.com</t>
  </si>
  <si>
    <t>DOMAIN::goindiaadvisors.com</t>
  </si>
  <si>
    <t>AIONION CAPITAL MARKET SERVICES PRIVATE LIMITED</t>
  </si>
  <si>
    <t>INH000020138</t>
  </si>
  <si>
    <t>ANISH GUPTA</t>
  </si>
  <si>
    <t>3RD FLOOR, MEERLAN TOWERS,, 33, HANUMANTHA ROAD, ROYAPETTAH,</t>
  </si>
  <si>
    <t>anish@aionioncapital.com</t>
  </si>
  <si>
    <t>0919884011310</t>
  </si>
  <si>
    <t>600014</t>
  </si>
  <si>
    <t>3RD FLOOR, MEERLAN TOWERS, 33, HANUMANTHA ROAD, ROYAPETTAH,</t>
  </si>
  <si>
    <t>aionioncapital.com</t>
  </si>
  <si>
    <t>DOMAIN::aionioncapital.com</t>
  </si>
  <si>
    <t>Option Brains Capital Private Limited</t>
  </si>
  <si>
    <t>INH000020174</t>
  </si>
  <si>
    <t>Sahil Balani</t>
  </si>
  <si>
    <t>UNIT NO 306, 3RD FLOOR, REGENCY LANDMARK ULHASNAGAR</t>
  </si>
  <si>
    <t>sahil@optionbrains.com</t>
  </si>
  <si>
    <t>910088795357</t>
  </si>
  <si>
    <t>421002</t>
  </si>
  <si>
    <t>optionbrains.com</t>
  </si>
  <si>
    <t>DOMAIN::optionbrains.com</t>
  </si>
  <si>
    <t>PRRSAAR SAMPADA PRIVATE LIMITED</t>
  </si>
  <si>
    <t>INH000020323</t>
  </si>
  <si>
    <t>RAVI KANT</t>
  </si>
  <si>
    <t>2nd Floor, Rohtak Road, 17A 35, West Punjabi Bagh</t>
  </si>
  <si>
    <t>ravikant@prrsaar.com</t>
  </si>
  <si>
    <t>91093111157</t>
  </si>
  <si>
    <t>110026</t>
  </si>
  <si>
    <t>prrsaar.com</t>
  </si>
  <si>
    <t>DOMAIN::prrsaar.com</t>
  </si>
  <si>
    <t>IKASHI FINTECH PRIVATE LIMITED</t>
  </si>
  <si>
    <t>INH000020509</t>
  </si>
  <si>
    <t>Sagar Dhosewan</t>
  </si>
  <si>
    <t>Plot No108 Lumbini Society, Near Euro School Gachibowli</t>
  </si>
  <si>
    <t>sagar@finnovationz.com</t>
  </si>
  <si>
    <t>918484888958</t>
  </si>
  <si>
    <t>finnovationz.com</t>
  </si>
  <si>
    <t>DOMAIN::finnovationz.com</t>
  </si>
  <si>
    <t>KASAA Research &amp; Investment Advisory Private Limited</t>
  </si>
  <si>
    <t>INH000020864</t>
  </si>
  <si>
    <t>Kaushik Akiwatkar</t>
  </si>
  <si>
    <t>Sterling Towers, Level 1, 2 3, Pan Card Club Road</t>
  </si>
  <si>
    <t>kaushik@markup.club</t>
  </si>
  <si>
    <t>918200921568</t>
  </si>
  <si>
    <t>Jun 13, 2025</t>
  </si>
  <si>
    <t>markup.club</t>
  </si>
  <si>
    <t>DOMAIN::markup.club</t>
  </si>
  <si>
    <t>ELEVE CAPITAL PARTNERS</t>
  </si>
  <si>
    <t>INH000021049</t>
  </si>
  <si>
    <t>KRANTI ANDHALE</t>
  </si>
  <si>
    <t>Flat No 401, Om Sai Shraddha, CHS Samata Nagar</t>
  </si>
  <si>
    <t>support@elevecapitalpartners.com</t>
  </si>
  <si>
    <t>917718873255</t>
  </si>
  <si>
    <t>elevecapitalpartners.com</t>
  </si>
  <si>
    <t>DOMAIN::elevecapitalpartners.com</t>
  </si>
  <si>
    <t>RGX Research Private Limited</t>
  </si>
  <si>
    <t>INH000021094</t>
  </si>
  <si>
    <t>Ritesh Gokani</t>
  </si>
  <si>
    <t>WHITE ORCHID SHOP 105 BESIDE SHELL PETROL, PUMP Adajan Dn Surat City</t>
  </si>
  <si>
    <t>ritesh.gokani@equitypro.co.in</t>
  </si>
  <si>
    <t>917021709639</t>
  </si>
  <si>
    <t>equitypro.co.in</t>
  </si>
  <si>
    <t>DOMAIN::equitypro.co.in</t>
  </si>
  <si>
    <t>Equbot AI India Private Limited</t>
  </si>
  <si>
    <t>INH000021173</t>
  </si>
  <si>
    <t>Ekatmika Kathua</t>
  </si>
  <si>
    <t>Villa No. 31, Samruddhi Lake Drive, Nimekaipura, Old Madras Road</t>
  </si>
  <si>
    <t>ekatmika@equbot.com</t>
  </si>
  <si>
    <t>000098803072</t>
  </si>
  <si>
    <t>560049</t>
  </si>
  <si>
    <t>Buzzworks, Ground Floor in Summit,Brigade Metropolis, Mahadevapura, Whitefield Road</t>
  </si>
  <si>
    <t>equbot.com</t>
  </si>
  <si>
    <t>DOMAIN::equbot.com</t>
  </si>
  <si>
    <t>Equivest Research Private Limited</t>
  </si>
  <si>
    <t>INH000021243</t>
  </si>
  <si>
    <t>Sudhir Kumar</t>
  </si>
  <si>
    <t>A-244, Leisure Valley Villas , Plot No. GH-02, Sector Techzone-4, Surajpur,</t>
  </si>
  <si>
    <t>info@equivestresearch.com</t>
  </si>
  <si>
    <t>917065010013</t>
  </si>
  <si>
    <t>201306</t>
  </si>
  <si>
    <t>equivestresearch.com</t>
  </si>
  <si>
    <t>DOMAIN::equivestresearch.com</t>
  </si>
  <si>
    <t>FUNDSGURU PRIVATE LIMITED</t>
  </si>
  <si>
    <t>INH000021526</t>
  </si>
  <si>
    <t>Suhag Patel</t>
  </si>
  <si>
    <t>B-404 Mondeal Heights NR.Panchratna, Party Plot, S G Highway</t>
  </si>
  <si>
    <t>ra@bullcapital.in</t>
  </si>
  <si>
    <t>919998999177</t>
  </si>
  <si>
    <t>Jul 04, 2025</t>
  </si>
  <si>
    <t>bullcapital.in</t>
  </si>
  <si>
    <t>DOMAIN::bullcapital.in</t>
  </si>
  <si>
    <t>Growth Investing Private Limited</t>
  </si>
  <si>
    <t>INH000021571</t>
  </si>
  <si>
    <t>Narender Singhmar</t>
  </si>
  <si>
    <t>H.No 1659-P, SECOND FLOOR,, SECTOR 46, GURGAON Haryana</t>
  </si>
  <si>
    <t>help@growthinvesting.in</t>
  </si>
  <si>
    <t>009810500199</t>
  </si>
  <si>
    <t>H.No 1659-P, SECOND FLOOR, SECTOR 46, GURGAON Haryana</t>
  </si>
  <si>
    <t>growthinvesting.in</t>
  </si>
  <si>
    <t>DOMAIN::growthinvesting.in</t>
  </si>
  <si>
    <t>Palette Wealth Management Private Limited</t>
  </si>
  <si>
    <t>INH000021669</t>
  </si>
  <si>
    <t>Kuldeep Sikarwar</t>
  </si>
  <si>
    <t>C Wing, 29th Floor, 2903, PL46, East Tower,, N C Kelkar Road, Dadar, Shivaji Park,</t>
  </si>
  <si>
    <t>compliance@palettewealth.com</t>
  </si>
  <si>
    <t>919833891925</t>
  </si>
  <si>
    <t>TBQ Studio 536, 5th Floor, Tower 2A, North Annex, One World Centre, Lower Parel,</t>
  </si>
  <si>
    <t>palettewealth.com</t>
  </si>
  <si>
    <t>DOMAIN::palettewealth.com</t>
  </si>
  <si>
    <t>Aastha Fintech Private Limited</t>
  </si>
  <si>
    <t>INH000021678</t>
  </si>
  <si>
    <t>Vina Dobariya</t>
  </si>
  <si>
    <t>OFFICE NO. 307 3RD FLOOR MILESTONE MILLAGRO,, UNIVERSITY ROAD, VESU, SURAT</t>
  </si>
  <si>
    <t>bm@aasthafintech.com</t>
  </si>
  <si>
    <t>009178784419</t>
  </si>
  <si>
    <t>OFFICE NO. 307 3RD FLOOR MILESTONE MILLAGRO, UNIVERSITY ROAD, VESU, SURAT</t>
  </si>
  <si>
    <t>aasthafintech.com</t>
  </si>
  <si>
    <t>DOMAIN::aasthafintech.com</t>
  </si>
  <si>
    <t>Pravin Ratilal Share And Stock Brokers Limited</t>
  </si>
  <si>
    <t>INH000021960</t>
  </si>
  <si>
    <t>MILAN SHAH</t>
  </si>
  <si>
    <t>5th floor,Sakar 1, OPP Gandhigram Railway Station</t>
  </si>
  <si>
    <t>analyst@pravinratilal.com</t>
  </si>
  <si>
    <t>919904137773</t>
  </si>
  <si>
    <t>pravinratilal.com</t>
  </si>
  <si>
    <t>DOMAIN::pravinratilal.com</t>
  </si>
  <si>
    <t>ASP FINSERV PRIVATE LIMITED</t>
  </si>
  <si>
    <t>INH000022118</t>
  </si>
  <si>
    <t>Ashish Pandey</t>
  </si>
  <si>
    <t>304 Hira Plaza, Chinchpada Rd Katemanivli Kalyan</t>
  </si>
  <si>
    <t>ashish@aspfinserv.com</t>
  </si>
  <si>
    <t>918097180305</t>
  </si>
  <si>
    <t>421306</t>
  </si>
  <si>
    <t>1214, 12th Floor, F P NOs 36-37, The Metropole, Jethalal, Parekh Road, NR Jhunjhunwala College, Ghatkopar West,</t>
  </si>
  <si>
    <t>Jul 28, 2025</t>
  </si>
  <si>
    <t>aspfinserv.com</t>
  </si>
  <si>
    <t>DOMAIN::aspfinserv.com</t>
  </si>
  <si>
    <t>Aaritya Broking Private Limited</t>
  </si>
  <si>
    <t>INH000022172</t>
  </si>
  <si>
    <t>Riya Nahar</t>
  </si>
  <si>
    <t>72, Service Road, LRDE Layout, Doddanekkundi, , Bangalore, Bangalore North,</t>
  </si>
  <si>
    <t>riya@aaritya.com</t>
  </si>
  <si>
    <t>aaritya.com</t>
  </si>
  <si>
    <t>DOMAIN::aaritya.com</t>
  </si>
  <si>
    <t>Finkhoz Roboadvisory Services Private Limited</t>
  </si>
  <si>
    <t>INH000022297</t>
  </si>
  <si>
    <t>Arpit Goel</t>
  </si>
  <si>
    <t>83A, BlockG, Palam Vihar, Gurgaon, Haryana, 122017</t>
  </si>
  <si>
    <t>compliance@finkhoz.com</t>
  </si>
  <si>
    <t>919811003018</t>
  </si>
  <si>
    <t>122017</t>
  </si>
  <si>
    <t>finkhoz.com</t>
  </si>
  <si>
    <t>DOMAIN::finkhoz.com</t>
  </si>
  <si>
    <t>PARAMS DATA PROVIDER PRIVATE LIMITED</t>
  </si>
  <si>
    <t>INH000022400</t>
  </si>
  <si>
    <t>Subir Singh</t>
  </si>
  <si>
    <t>B1/639 A, Janakpuri,, New Delhi, Delhi 110058, India</t>
  </si>
  <si>
    <t>subir@predictram.com</t>
  </si>
  <si>
    <t>110058</t>
  </si>
  <si>
    <t>B1/639 A, Janakpuri, New Delhi, Delhi 110058, India</t>
  </si>
  <si>
    <t>predictram.com</t>
  </si>
  <si>
    <t>DOMAIN::predictram.com</t>
  </si>
  <si>
    <t>GISKARD DATATECH PRIVATE LIMITED</t>
  </si>
  <si>
    <t>INH000022507</t>
  </si>
  <si>
    <t>Amber Pabreja</t>
  </si>
  <si>
    <t>151, 3 Floor,Moksha Mansion, 1 Cross, Sarjapur, Marathahalli RD, Koramangala</t>
  </si>
  <si>
    <t>amber@trendlyne.com</t>
  </si>
  <si>
    <t>919886634184</t>
  </si>
  <si>
    <t>Aug 06, 2025</t>
  </si>
  <si>
    <t>trendlyne.com</t>
  </si>
  <si>
    <t>DOMAIN::trendlyne.com</t>
  </si>
  <si>
    <t>PRIMEVYUH WEALTH ADVISORS PRIVATE LIMITED</t>
  </si>
  <si>
    <t>INH000022570</t>
  </si>
  <si>
    <t>Shailendra Jain</t>
  </si>
  <si>
    <t>A2-307, Provident Welworth, Marasandra, , Yelahanka, Doddatumkur, Dodballapur</t>
  </si>
  <si>
    <t>shailendra.jain@primevyuh.com</t>
  </si>
  <si>
    <t>562163</t>
  </si>
  <si>
    <t>primevyuh.com</t>
  </si>
  <si>
    <t>DOMAIN::primevyuh.com</t>
  </si>
  <si>
    <t>Raedan Capital Pvt Ltd</t>
  </si>
  <si>
    <t>INH000022631</t>
  </si>
  <si>
    <t>Khushi Mehta</t>
  </si>
  <si>
    <t>207, 2nd Floor, Neelkanth Corporate IT Park, Vidhyavihar west</t>
  </si>
  <si>
    <t>khushi@raedancapital.in</t>
  </si>
  <si>
    <t>9102269657777</t>
  </si>
  <si>
    <t>raedancapital.in</t>
  </si>
  <si>
    <t>DOMAIN::raedancapital.in</t>
  </si>
  <si>
    <t>WEALTH WISHERS</t>
  </si>
  <si>
    <t>INH000022640</t>
  </si>
  <si>
    <t>Monika Loya</t>
  </si>
  <si>
    <t>51A annapurna road sudarshan nagar, Indore</t>
  </si>
  <si>
    <t>info@wealthwishers.com</t>
  </si>
  <si>
    <t>919826586510</t>
  </si>
  <si>
    <t>452009</t>
  </si>
  <si>
    <t>Aug 08, 2025</t>
  </si>
  <si>
    <t>wealthwishers.com</t>
  </si>
  <si>
    <t>DOMAIN::wealthwishers.com</t>
  </si>
  <si>
    <t>Mata Securities India Private Limited</t>
  </si>
  <si>
    <t>INH000022668</t>
  </si>
  <si>
    <t>Manish Sule</t>
  </si>
  <si>
    <t>B 402,Business Square,, Andheri - Kurla road, Chakala, Andheri - East</t>
  </si>
  <si>
    <t>manish@matasec.com</t>
  </si>
  <si>
    <t>9102268310407</t>
  </si>
  <si>
    <t>B 402,Business Square, Andheri - Kurla road, Chakala, Andheri - East</t>
  </si>
  <si>
    <t>matasec.com</t>
  </si>
  <si>
    <t>DOMAIN::matasec.com</t>
  </si>
  <si>
    <t>LARES ALGOTECH INDIA PRIVATE LIMITED</t>
  </si>
  <si>
    <t>INH000022899</t>
  </si>
  <si>
    <t>Maya Singh</t>
  </si>
  <si>
    <t>Flat No 460 3rd Floor, Kondli Gharoli, Mayur Vihar-3</t>
  </si>
  <si>
    <t>compliance@laresalgotech.com</t>
  </si>
  <si>
    <t>911204957452</t>
  </si>
  <si>
    <t>1005 Tower A 10th Floor Spectrum Metro Mall, Sector 75 Phase 1 Noida</t>
  </si>
  <si>
    <t>Aug 21, 2025</t>
  </si>
  <si>
    <t>laresalgotech.com</t>
  </si>
  <si>
    <t>DOMAIN::laresalgotech.com</t>
  </si>
  <si>
    <t>SIDDHARTH BHANUSHALI ADVISORY PRIVATE LIMITED</t>
  </si>
  <si>
    <t>INH000022905</t>
  </si>
  <si>
    <t>SIDDHARTH BHANUSHALI</t>
  </si>
  <si>
    <t>Office No. 311, 3rd Floor Lodha I Think B,, Near Xperia Mall, Kalyan Kalyan Shil Road, Nilje Dombivli East,</t>
  </si>
  <si>
    <t>siddharth@sidsnb.com</t>
  </si>
  <si>
    <t>918655683274</t>
  </si>
  <si>
    <t>421204</t>
  </si>
  <si>
    <t>Office No. 311, 3rd Floor Lodha I Think B, Near Xperia Mall, Kalyan Kalyan Shil Road, Nilje Dombivli East,</t>
  </si>
  <si>
    <t>Aug 22, 2025</t>
  </si>
  <si>
    <t>sidsnb.com</t>
  </si>
  <si>
    <t>DOMAIN::sidsnb.com</t>
  </si>
  <si>
    <t>Affinity Wealth Management</t>
  </si>
  <si>
    <t>INH000022914</t>
  </si>
  <si>
    <t>Samir Kumar</t>
  </si>
  <si>
    <t>Flat No 610, Vishwa Sadan,, District Centre, Janak Puri</t>
  </si>
  <si>
    <t>samirkumar@affinitywealthmanagement.org</t>
  </si>
  <si>
    <t>919990121886</t>
  </si>
  <si>
    <t>Flat No 610, Vishwa Sadan, District Centre, Janak Puri</t>
  </si>
  <si>
    <t>affinitywealthmanagement.org</t>
  </si>
  <si>
    <t>DOMAIN::affinitywealthmanagement.org</t>
  </si>
  <si>
    <t>Thoughtful Investors Research LLP</t>
  </si>
  <si>
    <t>INH000022932</t>
  </si>
  <si>
    <t>Tapankumar Doshi</t>
  </si>
  <si>
    <t>B/401, Chinmay Crystal, Bodakdev</t>
  </si>
  <si>
    <t>support@catapan.in</t>
  </si>
  <si>
    <t>09163529002</t>
  </si>
  <si>
    <t>catapan.in</t>
  </si>
  <si>
    <t>DOMAIN::catapan.in</t>
  </si>
  <si>
    <t>Factorlab Capital Services Private Limited</t>
  </si>
  <si>
    <t>INH000023144</t>
  </si>
  <si>
    <t>Sekhar Khandavalli</t>
  </si>
  <si>
    <t>Cabin No 18, CoKarma Coworking Space, 1st Floor, Mahaveer Radiance, Plot No53, 54, 57  58, Survey, No43  44, Guttala Begumpet, Kavuri Hills, Madhapur, Hyderabad, Shaikpet, Telangana,</t>
  </si>
  <si>
    <t>sudhamsh@factorlab.in</t>
  </si>
  <si>
    <t>Sep 03, 2025</t>
  </si>
  <si>
    <t>factorlab.in</t>
  </si>
  <si>
    <t>DOMAIN::factorlab.in</t>
  </si>
  <si>
    <t>ELIOS FINANCIAL SERVICES PRIVATE LIMITED</t>
  </si>
  <si>
    <t>INH000023153</t>
  </si>
  <si>
    <t>VRINDA GANVE</t>
  </si>
  <si>
    <t>S6-3, 6th Floor, Pinnacle Business Park,, Mahakali Caves Road, Andheri (East), Mumbai</t>
  </si>
  <si>
    <t>compliance@eliosfin.com</t>
  </si>
  <si>
    <t>919321889104</t>
  </si>
  <si>
    <t>Sep 05, 2025</t>
  </si>
  <si>
    <t>eliosfin.com</t>
  </si>
  <si>
    <t>DOMAIN::eliosfin.com</t>
  </si>
  <si>
    <t>Raise Securities Private Limited</t>
  </si>
  <si>
    <t>INH000023357</t>
  </si>
  <si>
    <t>Manish Garg</t>
  </si>
  <si>
    <t>Unit No. 2201, 22nd Floor, Gold Medal Avenue,, SV Road, Beside Patel Petrol Pump,Piramal Nagar, Goregaon West</t>
  </si>
  <si>
    <t>ra@dhan.co</t>
  </si>
  <si>
    <t>0002243116666</t>
  </si>
  <si>
    <t>Unit No2201, 22nd Floor, 63 Gold Medal Avenue, S V Road, Piramal Nagar, Goregaon West,</t>
  </si>
  <si>
    <t>Sep 22, 2025</t>
  </si>
  <si>
    <t>dhan.co</t>
  </si>
  <si>
    <t>DOMAIN::dhan.co</t>
  </si>
  <si>
    <t>Shriram Research Private Limited</t>
  </si>
  <si>
    <t>INH000023384</t>
  </si>
  <si>
    <t>VINAY TIWARI</t>
  </si>
  <si>
    <t>3rd and 4th Floor, Rukmini Towers, 3 1, Sheshadripuram, Platform Road</t>
  </si>
  <si>
    <t>compliance@seafundsindia.com</t>
  </si>
  <si>
    <t>seafundsindia.com</t>
  </si>
  <si>
    <t>DOMAIN::seafundsindia.com</t>
  </si>
  <si>
    <t>Indiacharts Data Analytics Private Limited</t>
  </si>
  <si>
    <t>INH000023630</t>
  </si>
  <si>
    <t>Sunder Subramaniam</t>
  </si>
  <si>
    <t>305 Ekta Bhhumi Gardens Wing,, Dattapada Road Borivali East,</t>
  </si>
  <si>
    <t>sunder@indiacharts.com</t>
  </si>
  <si>
    <t>400066</t>
  </si>
  <si>
    <t>305 Ekta Bhhumi Gardens Wing, Dattapada Road Borivali East,</t>
  </si>
  <si>
    <t>Oct 14, 2025</t>
  </si>
  <si>
    <t>indiacharts.com</t>
  </si>
  <si>
    <t>DOMAIN::indiacharts.com</t>
  </si>
  <si>
    <t>TRADEBOOK CONSULTANCY SERVICES PRIVATE LIMITED</t>
  </si>
  <si>
    <t>INH000023816</t>
  </si>
  <si>
    <t>Aryan Kamlesh</t>
  </si>
  <si>
    <t>301, Sanjona Complex, Above SBI Bank, Near Chagan Mitha Petrol Pump, , Chembur east ,</t>
  </si>
  <si>
    <t>aryan.tater@trackk.in</t>
  </si>
  <si>
    <t>919137109339</t>
  </si>
  <si>
    <t>Nov 13, 2025</t>
  </si>
  <si>
    <t>trackk.in</t>
  </si>
  <si>
    <t>DOMAIN::trackk.in</t>
  </si>
  <si>
    <t>SOLVITAS ANALYTICS PRIVATE LIMITED</t>
  </si>
  <si>
    <t>INH000023931</t>
  </si>
  <si>
    <t>Bilal  Syed</t>
  </si>
  <si>
    <t>Office No B 1904, Arihant, Aura, Thane, Navi Mumbai, Sanpada</t>
  </si>
  <si>
    <t>ra@solvitasanalytics.com</t>
  </si>
  <si>
    <t>919820006111</t>
  </si>
  <si>
    <t>solvitasanalytics.com</t>
  </si>
  <si>
    <t>DOMAIN::solvitasanalytics.com</t>
  </si>
  <si>
    <t>Bossinvestor Analytics Solutions Private Limited</t>
  </si>
  <si>
    <t>INH000024143</t>
  </si>
  <si>
    <t>Raghuveer Chikhmali</t>
  </si>
  <si>
    <t>S No. 257 Flat No. C-301 KAASP COUNTY, Wakad</t>
  </si>
  <si>
    <t>principalofficer@bossinvestor.in</t>
  </si>
  <si>
    <t>917758941262</t>
  </si>
  <si>
    <t>Dec 11, 2025</t>
  </si>
  <si>
    <t>bossinvestor.in</t>
  </si>
  <si>
    <t>DOMAIN::bossinvestor.in</t>
  </si>
  <si>
    <t>AETRAM TRADES PRIVATE LIMITED</t>
  </si>
  <si>
    <t>INH000024222</t>
  </si>
  <si>
    <t>PRABHAKAR SIVARAMAN</t>
  </si>
  <si>
    <t>113-134 ,UNIT NO 308 THIRD FLOOR,, BETA WING RAHEJA TOWERS, ANNA SALAI</t>
  </si>
  <si>
    <t>prabhakar@aetramtrades.in</t>
  </si>
  <si>
    <t>917448888450</t>
  </si>
  <si>
    <t>aetramtrades.in</t>
  </si>
  <si>
    <t>DOMAIN::aetramtrades.in</t>
  </si>
  <si>
    <t>Wiseold Bird Private Limited</t>
  </si>
  <si>
    <t>INH000024383</t>
  </si>
  <si>
    <t>Ravi  Kant</t>
  </si>
  <si>
    <t>F-302, BALAJI SAPTHAGIRI, KUNDALAHALLI GRAMA, MAIN, , Bangalore South</t>
  </si>
  <si>
    <t>ravibhat@wiseoldbird.in</t>
  </si>
  <si>
    <t>Dec 22, 2025</t>
  </si>
  <si>
    <t>wiseoldbird.in</t>
  </si>
  <si>
    <t>DOMAIN::wiseoldbird.in</t>
  </si>
  <si>
    <t>KBS India Limited</t>
  </si>
  <si>
    <t>INH000024392</t>
  </si>
  <si>
    <t>RUSHIKESH PARIKH</t>
  </si>
  <si>
    <t>502, Commerce House, , Nagindas Master Road, Fort, Mumbai</t>
  </si>
  <si>
    <t>rishi.parikh@kbs.co.in</t>
  </si>
  <si>
    <t>917021518447</t>
  </si>
  <si>
    <t>kbs.co.in</t>
  </si>
  <si>
    <t>DOMAIN::kbs.co.in</t>
  </si>
  <si>
    <t>CENTILLION CAPITAL PRIVATE LIMITED</t>
  </si>
  <si>
    <t>INH000024541</t>
  </si>
  <si>
    <t>Vinod Aggarwal</t>
  </si>
  <si>
    <t>1171/1172, 11th Floor, Aggarwal Millennium Tower-II , Netaji Subhash Place , Pitampura</t>
  </si>
  <si>
    <t>centillion@centillioncap.com</t>
  </si>
  <si>
    <t>Dec 31, 2025</t>
  </si>
  <si>
    <t>centillioncap.com</t>
  </si>
  <si>
    <t>DOMAIN::centillioncap.com</t>
  </si>
  <si>
    <t>Tradzo Research</t>
  </si>
  <si>
    <t>INH000024675</t>
  </si>
  <si>
    <t>Harsh Patel</t>
  </si>
  <si>
    <t>A 416 Sumel 11, Nr Namaste Circle, Shahibaug</t>
  </si>
  <si>
    <t>harsh@tradzo.in</t>
  </si>
  <si>
    <t>9107949243233</t>
  </si>
  <si>
    <t>380004</t>
  </si>
  <si>
    <t>tradzo.in</t>
  </si>
  <si>
    <t>DOMAIN::tradzo.in</t>
  </si>
  <si>
    <t>Multiplier Wealth Investment Advisors Private Limited</t>
  </si>
  <si>
    <t>INH000024709</t>
  </si>
  <si>
    <t>Abhishek Abhishek</t>
  </si>
  <si>
    <t>244P, Sector 9A, Huda Market</t>
  </si>
  <si>
    <t>contact@multiplierwealth.com</t>
  </si>
  <si>
    <t>918802976838</t>
  </si>
  <si>
    <t>multiplierwealth.com</t>
  </si>
  <si>
    <t>DOMAIN::multiplierwealth.com</t>
  </si>
  <si>
    <t>MARKET PULSE SECURITIES PRIVATE LIMITED</t>
  </si>
  <si>
    <t>INH000024824</t>
  </si>
  <si>
    <t>CHARMI SHAH</t>
  </si>
  <si>
    <t>Office No.9/10, 4th Floor, Agnelo House, , C.T.S. No. F/186, S. V. Road, Khar West</t>
  </si>
  <si>
    <t>compliance@marketpulse.in</t>
  </si>
  <si>
    <t>919930236292</t>
  </si>
  <si>
    <t>marketpulse.in</t>
  </si>
  <si>
    <t>DOMAIN::marketpulse.in</t>
  </si>
  <si>
    <t>Indo Thai Securities Limited</t>
  </si>
  <si>
    <t>INH000024842</t>
  </si>
  <si>
    <t>Shruti Sikrwar</t>
  </si>
  <si>
    <t>capital Tower behind c21 mall, indore, Scheme No.-54, Indore, Indore, Madhya Pradesh</t>
  </si>
  <si>
    <t>compliance@indothai.co.in</t>
  </si>
  <si>
    <t>917470441886</t>
  </si>
  <si>
    <t>452010</t>
  </si>
  <si>
    <t>Feb 03, 2026</t>
  </si>
  <si>
    <t>indothai.co.in</t>
  </si>
  <si>
    <t>DOMAIN::indothai.co.in</t>
  </si>
  <si>
    <t>Stable Finserv Private Limited</t>
  </si>
  <si>
    <t>INH000024912</t>
  </si>
  <si>
    <t>Mallu Reddy</t>
  </si>
  <si>
    <t>Third Floor, Block A112, Stable Money, Bhive HSR Premium Campus, Krishna Reddy Industrial Area, Kudlu Gate Bommanahalli Bangalore South</t>
  </si>
  <si>
    <t>compliance@stablemoney.in</t>
  </si>
  <si>
    <t>stablemoney.in</t>
  </si>
  <si>
    <t>DOMAIN::stablemoney.in</t>
  </si>
  <si>
    <t>DAYALSTREET FINANCIAL SERVICES PRIVATE LIMITED</t>
  </si>
  <si>
    <t>INH000025081</t>
  </si>
  <si>
    <t>ABHISHEK DAYAL</t>
  </si>
  <si>
    <t>1005 RAJESH PRESIDENCY , PLOT 206 SECTOR 03 ULWE NAVI MUMBAI</t>
  </si>
  <si>
    <t>abhishek@dayalstreet.com</t>
  </si>
  <si>
    <t>007021122770</t>
  </si>
  <si>
    <t>410206</t>
  </si>
  <si>
    <t>dayalstreet.com</t>
  </si>
  <si>
    <t>DOMAIN::dayalstreet.com</t>
  </si>
  <si>
    <t>RHOFI FINANCIAL TECHNOLOGIES</t>
  </si>
  <si>
    <t>INH000025090</t>
  </si>
  <si>
    <t>RAJANI  PRAKASH</t>
  </si>
  <si>
    <t>17,2ND FLOOR,7TH MAIN ROAD, II STAGE INDIRANGAR BANGALORE</t>
  </si>
  <si>
    <t>rajani.prakash@rhofi.com</t>
  </si>
  <si>
    <t>008754643928</t>
  </si>
  <si>
    <t>rhofi.com</t>
  </si>
  <si>
    <t>DOMAIN::rhofi.com</t>
  </si>
  <si>
    <t>CLEARMIND CONSULTANCY PRIVATE LIMITED</t>
  </si>
  <si>
    <t>INH000025179</t>
  </si>
  <si>
    <t>PUNAM KUCHERIA</t>
  </si>
  <si>
    <t>PL 396 To 398 FL 15 GOLDFIELD ENCLAVE , KOREGAON PARK PUNE - 411001</t>
  </si>
  <si>
    <t>admin@iamclearmind.com</t>
  </si>
  <si>
    <t>SHOP No 106, 1st FLOOR , JEWEL SQUARE CTS NO.15/A,7/15 S.No.479&amp;480,KOREGAON ROAD</t>
  </si>
  <si>
    <t>iamclearmind.com</t>
  </si>
  <si>
    <t>DOMAIN::iamclearmind.com</t>
  </si>
  <si>
    <t>Alpha Plus Capital Associates LLP</t>
  </si>
  <si>
    <t>INH000025203</t>
  </si>
  <si>
    <t>Anshul Shah</t>
  </si>
  <si>
    <t>Unit No. 601-606, Royale Herritage at, D N Nagar, Mhada Layout, Andheri West</t>
  </si>
  <si>
    <t>anshul@alphapluscapital.in</t>
  </si>
  <si>
    <t>919820133982</t>
  </si>
  <si>
    <t>alphapluscapital.in</t>
  </si>
  <si>
    <t>DOMAIN::alphapluscapital.in</t>
  </si>
  <si>
    <t>ARTHAVRKSH FINANCIAL SERVICES PRIVATE LIMITED</t>
  </si>
  <si>
    <t>INH000025212</t>
  </si>
  <si>
    <t>Shobha Shah</t>
  </si>
  <si>
    <t>501, 5th floor, Solus, Hiranandani Estate</t>
  </si>
  <si>
    <t>shobha.shah@arthavrksh.com</t>
  </si>
  <si>
    <t>Mar 02, 2026</t>
  </si>
  <si>
    <t>arthavrksh.com</t>
  </si>
  <si>
    <t>DOMAIN::arthavrksh.com</t>
  </si>
  <si>
    <t>HEDGIUM SERVICES LLP</t>
  </si>
  <si>
    <t>INH000025258</t>
  </si>
  <si>
    <t>Kamlesh Ramchandani</t>
  </si>
  <si>
    <t>Flat No. 101, Plot No. 20, Sector 42 A, Nerul West</t>
  </si>
  <si>
    <t>kamlesh.ramchandani@hedgium.in</t>
  </si>
  <si>
    <t>Mar 09, 2026</t>
  </si>
  <si>
    <t>hedgium.in</t>
  </si>
  <si>
    <t>DOMAIN::hedgium.in</t>
  </si>
  <si>
    <t>A K EQUITIES PRIVATE LIMITED</t>
  </si>
  <si>
    <t>INH000025692</t>
  </si>
  <si>
    <t>SUNIL JANGIR</t>
  </si>
  <si>
    <t>4th Floor, Kalpataru Heritage, 127, M G Road, Fort</t>
  </si>
  <si>
    <t>suniljangir@akequities.com</t>
  </si>
  <si>
    <t>0002261402525</t>
  </si>
  <si>
    <t>akequities.com</t>
  </si>
  <si>
    <t>DOMAIN::akequities.com</t>
  </si>
  <si>
    <t>EXCEL STOCK BROKING PRIVATE LIMITED</t>
  </si>
  <si>
    <t>INH000025939</t>
  </si>
  <si>
    <t>Sushil Modi</t>
  </si>
  <si>
    <t>Unit No.4, 7th Floor, Srijan Corporate Park,, Block GP, Plot No. G2, Sector V, Salt Lake City</t>
  </si>
  <si>
    <t>sushilmodi@excelstockbroking.com</t>
  </si>
  <si>
    <t>0009073323429</t>
  </si>
  <si>
    <t>Unit No.4, 7th Floor, Srijan Corporate Park, Block GP, Plot No. G2, Sector V, Salt Lake City</t>
  </si>
  <si>
    <t>excelstockbroking.com</t>
  </si>
  <si>
    <t>DOMAIN::excelstockbroking.com</t>
  </si>
  <si>
    <t>JUPITER RESEARCH &amp; ADVISORS PRIVATE LIMITED</t>
  </si>
  <si>
    <t>INH000026008</t>
  </si>
  <si>
    <t>AASHI  PANSARI</t>
  </si>
  <si>
    <t>Unit No. 105, 1st Floor, Eco Space IT Park CHSL, Andheri East,</t>
  </si>
  <si>
    <t>aashi.pansari@aashitech.com</t>
  </si>
  <si>
    <t>0009967610002</t>
  </si>
  <si>
    <t>Apr 13, 2026</t>
  </si>
  <si>
    <t>aashitech.com</t>
  </si>
  <si>
    <t>DOMAIN::aashitech.com</t>
  </si>
  <si>
    <t>TRUENOVA INVESTMENT PRIVATE LIMITED</t>
  </si>
  <si>
    <t>INH000026044</t>
  </si>
  <si>
    <t>KSHITIJ  RAI</t>
  </si>
  <si>
    <t>CM NO. 813, WE WORK, 13TH FLOOR, 247 PARK,, TOWER B, LBS MARG, VIKHROLI WEST,</t>
  </si>
  <si>
    <t>kshitij@truenovawealth.com</t>
  </si>
  <si>
    <t>0009120719887</t>
  </si>
  <si>
    <t>400083</t>
  </si>
  <si>
    <t>truenovawealth.com</t>
  </si>
  <si>
    <t>DOMAIN::truenovawealth.com</t>
  </si>
  <si>
    <t>LATIN MANHARLAL SECURITIES PRIVATE LIMITED</t>
  </si>
  <si>
    <t>INH000026169</t>
  </si>
  <si>
    <t>VIRENDRA S PEDNEKAR</t>
  </si>
  <si>
    <t>124, VIRAJ, 5TH FLOOR,, S V ROAD, KHAR WEST</t>
  </si>
  <si>
    <t>virendra.pednekar@lmspl.com</t>
  </si>
  <si>
    <t>9102240350106</t>
  </si>
  <si>
    <t>lmspl.com</t>
  </si>
  <si>
    <t>DOMAIN::lmspl.com</t>
  </si>
  <si>
    <t>Padmakshi Financial Services Private Limited</t>
  </si>
  <si>
    <t>INH000026406</t>
  </si>
  <si>
    <t>Rohit Chothani</t>
  </si>
  <si>
    <t>Padmakshi Financial Services Private Limited 1101, 11th Floor, P J Tower, Dalal Street,, Fort</t>
  </si>
  <si>
    <t>rohit@padmakshi.com</t>
  </si>
  <si>
    <t>Padmakshi Financial Services Private Limited 1101, 11th Floor, P J Tower, Dalal Street, Fort</t>
  </si>
  <si>
    <t>Apr 21, 2026</t>
  </si>
  <si>
    <t>padmakshi.com</t>
  </si>
  <si>
    <t>DOMAIN::padmakshi.com</t>
  </si>
  <si>
    <t>B-CUBE CONSULTING PRIVATE LIMITED</t>
  </si>
  <si>
    <t>INH000027016</t>
  </si>
  <si>
    <t>Bhaskar Karampudi</t>
  </si>
  <si>
    <t>IV Floor, 8 3 167 K43 507, Flat No. 507, Leeladhar Enclave, Kalyan Nagar Venture III, Mothi Nagar</t>
  </si>
  <si>
    <t>bhaskar@b-cube.in</t>
  </si>
  <si>
    <t>0004046026812</t>
  </si>
  <si>
    <t>500018</t>
  </si>
  <si>
    <t>b-cube.in</t>
  </si>
  <si>
    <t>DOMAIN::b-cube.in</t>
  </si>
  <si>
    <t>ISFCAP Strategic Advisors LLP</t>
  </si>
  <si>
    <t>INH000027177</t>
  </si>
  <si>
    <t>Abhinav Mehra</t>
  </si>
  <si>
    <t>8 Silver Oaks Avenue, DLF Phase 1, DLF QE</t>
  </si>
  <si>
    <t>abhinavmehra@me.com</t>
  </si>
  <si>
    <t>009833432545</t>
  </si>
  <si>
    <t>May 15, 2026</t>
  </si>
  <si>
    <t>me.com</t>
  </si>
  <si>
    <t>DOMAIN::me.com</t>
  </si>
  <si>
    <t>ELBEE SECURITIES PVT LTD</t>
  </si>
  <si>
    <t>INH000027265</t>
  </si>
  <si>
    <t>Manish  Agarwal</t>
  </si>
  <si>
    <t>19 R N MUKHERJEE RD2ND FL. EASTERN BLDG, KOLKATA,</t>
  </si>
  <si>
    <t>manish@elbeesecurities.com</t>
  </si>
  <si>
    <t>0009830057026</t>
  </si>
  <si>
    <t>elbeesecurities.com</t>
  </si>
  <si>
    <t>DOMAIN::elbeesecurities.com</t>
  </si>
  <si>
    <t>Oraph Private Limited</t>
  </si>
  <si>
    <t>INH000027645</t>
  </si>
  <si>
    <t>Raghav Malik</t>
  </si>
  <si>
    <t>D-393, Third Floor,, Defence Colony,</t>
  </si>
  <si>
    <t>raghav@algotest.in</t>
  </si>
  <si>
    <t>0009810992306</t>
  </si>
  <si>
    <t>algotest.in</t>
  </si>
  <si>
    <t>DOMAIN::algotest.in</t>
  </si>
  <si>
    <t>Axczel Research Private Limited</t>
  </si>
  <si>
    <t>INH000027681</t>
  </si>
  <si>
    <t>Jestin James</t>
  </si>
  <si>
    <t>No.112, AKR Tech Park B, BLK Krishnareddy Ind Area,, Singasandra, Bangalore Rural, Bangalore</t>
  </si>
  <si>
    <t>info@axczel.com</t>
  </si>
  <si>
    <t>00009591972269</t>
  </si>
  <si>
    <t>axczel.com</t>
  </si>
  <si>
    <t>DOMAIN::axczel.com</t>
  </si>
  <si>
    <t>Alt-Alpha Broking Private Limited</t>
  </si>
  <si>
    <t>INH000027742</t>
  </si>
  <si>
    <t>LAXMI  MYLAVARAPU</t>
  </si>
  <si>
    <t>4th floor, Innov8 Subhash Nagar Road,Navpada, Netaji Subhash Nagar, Vile Parle East</t>
  </si>
  <si>
    <t>madhu@altcase.com</t>
  </si>
  <si>
    <t>0009594066336</t>
  </si>
  <si>
    <t>altcase.com</t>
  </si>
  <si>
    <t>DOMAIN::altcase.com</t>
  </si>
  <si>
    <t>ORTEM SECURITIES LIMITED</t>
  </si>
  <si>
    <t>INH000028130</t>
  </si>
  <si>
    <t>Sanjay Agrawal</t>
  </si>
  <si>
    <t>59, BENTINCK STREET,, 1ST FLOOR.</t>
  </si>
  <si>
    <t>sanjay@ortemsecurities.com</t>
  </si>
  <si>
    <t>0009830927108</t>
  </si>
  <si>
    <t>59, BENTINCK STREET, 1ST FLOOR.</t>
  </si>
  <si>
    <t>Jun 12, 2026</t>
  </si>
  <si>
    <t>ortemsecurities.com</t>
  </si>
  <si>
    <t>DOMAIN::ortemsecurities.com</t>
  </si>
  <si>
    <t>Wealth Vidhya</t>
  </si>
  <si>
    <t>INH000028352</t>
  </si>
  <si>
    <t>Harshitha Iyer</t>
  </si>
  <si>
    <t>Shop No 213, Western Business Hub, Nr. Veerbhadra Avenue</t>
  </si>
  <si>
    <t>contact@smartmoneyclub.in</t>
  </si>
  <si>
    <t>Jun 19, 2026</t>
  </si>
  <si>
    <t>smartmoneyclub.in</t>
  </si>
  <si>
    <t>DOMAIN::smartmoneyclub.in</t>
  </si>
  <si>
    <t>Sanctum Wealth Private Limited</t>
  </si>
  <si>
    <t>INH000003051</t>
  </si>
  <si>
    <t>CoWrks, Level 3, Birla Centurion, Century Mills Compound Pandurang Budhkar Marg, Worli</t>
  </si>
  <si>
    <t>shiv.gupta@sanctumwealth.in</t>
  </si>
  <si>
    <t>2266372425</t>
  </si>
  <si>
    <t>Unit 1501, 15th Floor, Tower 2B, One Indiabulls Center, Lower Parel</t>
  </si>
  <si>
    <t>May 27, 2016</t>
  </si>
  <si>
    <t>sanctumwealth.in</t>
  </si>
  <si>
    <t>DOMAIN::sanctumwealth.in</t>
  </si>
  <si>
    <t>DBFS SECURITIES LIMITED</t>
  </si>
  <si>
    <t>INH200002820</t>
  </si>
  <si>
    <t>First Floor, No.122, Rajaji Road, West Thambaram</t>
  </si>
  <si>
    <t>johnk@dbfsindia.com</t>
  </si>
  <si>
    <t>4843060107</t>
  </si>
  <si>
    <t>600045</t>
  </si>
  <si>
    <t>: III/947, Smart Centre, M K K Nair Road, Vazhakkala</t>
  </si>
  <si>
    <t>682021</t>
  </si>
  <si>
    <t>Mar 31, 2016</t>
  </si>
  <si>
    <t>dbfsindia.com</t>
  </si>
  <si>
    <t>DOMAIN::dbfsindia.com</t>
  </si>
  <si>
    <t>EUREKA STOCK &amp; SHARE BROKING SERVICES LTD.</t>
  </si>
  <si>
    <t>INH300002910</t>
  </si>
  <si>
    <t>1101, Merlin Infinite, DN 51, 11th Floor,, Salt Lake, Sector 5,</t>
  </si>
  <si>
    <t>vinoy@eurekasecurities.com</t>
  </si>
  <si>
    <t>3366280000</t>
  </si>
  <si>
    <t>B3/4, Gillander House, , 8, N.S.Road,3rd Floor,</t>
  </si>
  <si>
    <t>Apr 28, 2016</t>
  </si>
  <si>
    <t>eurekasecurities.com</t>
  </si>
  <si>
    <t>DOMAIN::eurekasecurities.com</t>
  </si>
  <si>
    <t>Deepesh Jain</t>
  </si>
  <si>
    <t>INA000016384</t>
  </si>
  <si>
    <t>Deepesh JAIN</t>
  </si>
  <si>
    <t>203, VIDYA VIHAR CHS, KASTURBA ROAD NO 5,</t>
  </si>
  <si>
    <t>jain.deepesh@icai.org</t>
  </si>
  <si>
    <t>919892075349</t>
  </si>
  <si>
    <t>Nov 15, 2021</t>
  </si>
  <si>
    <t>icai.org</t>
  </si>
  <si>
    <t>individual_practitioner</t>
  </si>
  <si>
    <t>B - Good Lead</t>
  </si>
  <si>
    <t>DOMAIN::icai.org</t>
  </si>
  <si>
    <t>Kapil Aggarwal Proprietor investkaps</t>
  </si>
  <si>
    <t>INA000022190</t>
  </si>
  <si>
    <t>Kapil Aggarwal</t>
  </si>
  <si>
    <t>A-144, Vivek Vihar, Phase-1</t>
  </si>
  <si>
    <t>investkaps_ia@zohomail.in</t>
  </si>
  <si>
    <t>918076283540</t>
  </si>
  <si>
    <t>110095</t>
  </si>
  <si>
    <t>zohomail.in</t>
  </si>
  <si>
    <t>DOMAIN::zohomail.in</t>
  </si>
  <si>
    <t>Alphafront Finserv Private Limited</t>
  </si>
  <si>
    <t>INA000006651</t>
  </si>
  <si>
    <t>Swapnil Bhaskar</t>
  </si>
  <si>
    <t>10th Floor, G 1003 B G1004, Gamma Block, Sigma Soft Tech Park,, Varthur Hobli, Whitefield</t>
  </si>
  <si>
    <t>swapnil@alphafront.com</t>
  </si>
  <si>
    <t>Niyo, 5th Floor, Delta Block, Sigma Technology Park, Varthur Rd, Phase 2, Whitefield</t>
  </si>
  <si>
    <t>Nov 26, 2020</t>
  </si>
  <si>
    <t>alphafront.com</t>
  </si>
  <si>
    <t>DOMAIN::alphafront.com</t>
  </si>
  <si>
    <t>Ekvity Investment Advisors</t>
  </si>
  <si>
    <t>INA000006952</t>
  </si>
  <si>
    <t>Kharanshu Parikh</t>
  </si>
  <si>
    <t>21, Vidya Villa, Bldg. No.2, , Old Nagardas Road, Andheri East</t>
  </si>
  <si>
    <t>info@finstream.in</t>
  </si>
  <si>
    <t>1320, 13th Floor Solaris One Sai Wadi Teli Galli, Andheri East, Mumbai</t>
  </si>
  <si>
    <t>Jan 13, 2017</t>
  </si>
  <si>
    <t>finstream.in</t>
  </si>
  <si>
    <t>DOMAIN::finstream.in</t>
  </si>
  <si>
    <t>Dyota Solutions Private Limited</t>
  </si>
  <si>
    <t>INA000007216</t>
  </si>
  <si>
    <t>Kaushik Ramachandran</t>
  </si>
  <si>
    <t>B-615, TWIN TOWER CHS, MANISH PARK PUMP HOUSE,, ANDHERI (EAST), CHAKAL, MIDC</t>
  </si>
  <si>
    <t>kaushik@dyotasolutions.com</t>
  </si>
  <si>
    <t>408, 3rd Main, HMT Layout, Anand Nagar, (Near Punjab National Bank)</t>
  </si>
  <si>
    <t>Mar 06, 2017</t>
  </si>
  <si>
    <t>dyotasolutions.com</t>
  </si>
  <si>
    <t>DOMAIN::dyotasolutions.com</t>
  </si>
  <si>
    <t>Moral Financial Research</t>
  </si>
  <si>
    <t>INA000008093</t>
  </si>
  <si>
    <t>Gaurav Bhale</t>
  </si>
  <si>
    <t>208, II Floor, Gold Coin Plaza, , Tower Square</t>
  </si>
  <si>
    <t>info@moralresearch.com</t>
  </si>
  <si>
    <t>moralresearch.com</t>
  </si>
  <si>
    <t>DOMAIN::moralresearch.com</t>
  </si>
  <si>
    <t>FRR SHARES AND SECURITIES LIMITED</t>
  </si>
  <si>
    <t>INA000008668</t>
  </si>
  <si>
    <t>NITIN  LAKHOTIA</t>
  </si>
  <si>
    <t>205, EMBASSY CENTRE, Nariman Point</t>
  </si>
  <si>
    <t>NITIN.LAKHOTIA@FRRSHARES.COM</t>
  </si>
  <si>
    <t>103/C, MITTAL TOWER, NARIMAN POINT</t>
  </si>
  <si>
    <t>Oct 26, 2017</t>
  </si>
  <si>
    <t>frrshares.com</t>
  </si>
  <si>
    <t>DOMAIN::frrshares.com</t>
  </si>
  <si>
    <t>RIPPLEWAVE EQUITY ADVISORS LLP</t>
  </si>
  <si>
    <t>INA000009180</t>
  </si>
  <si>
    <t>MEHUL SAVLA</t>
  </si>
  <si>
    <t>410, UNIQUE INDUSTRIAL ESTATE, OFF V. S. MARG, PRABHADEVI</t>
  </si>
  <si>
    <t>mehul@ripplewave.net</t>
  </si>
  <si>
    <t>Nov 29, 2017</t>
  </si>
  <si>
    <t>ripplewave.net</t>
  </si>
  <si>
    <t>DOMAIN::ripplewave.net</t>
  </si>
  <si>
    <t>SANGUINE WEALTH ADVISORS LLP</t>
  </si>
  <si>
    <t>INA000009685</t>
  </si>
  <si>
    <t>AMAR TEKWANI</t>
  </si>
  <si>
    <t>B7, JAY CHAMBERS,DAYALDAS ROAD, VILE PARLE EAST</t>
  </si>
  <si>
    <t>amar@sanguinewealth.com</t>
  </si>
  <si>
    <t>Feb 05, 2018</t>
  </si>
  <si>
    <t>sanguinewealth.com</t>
  </si>
  <si>
    <t>DOMAIN::sanguinewealth.com</t>
  </si>
  <si>
    <t>JAVERI FISCAL SERVICES LIMITED</t>
  </si>
  <si>
    <t>INA000010070</t>
  </si>
  <si>
    <t>HARSH JAVERI</t>
  </si>
  <si>
    <t>PS-17, 2ND FLOOR, ROTUNDA, STOCK EXCHANGE, BOMBAY SAMACHAR MARG</t>
  </si>
  <si>
    <t>sdj@vsnl.com</t>
  </si>
  <si>
    <t>Mar 14, 2018</t>
  </si>
  <si>
    <t>vsnl.com</t>
  </si>
  <si>
    <t>DOMAIN::vsnl.com</t>
  </si>
  <si>
    <t>FinIntent Investment Adviser</t>
  </si>
  <si>
    <t>INA000010919</t>
  </si>
  <si>
    <t>Ravi  Natarajan</t>
  </si>
  <si>
    <t>P 1701, 17th floor, Marina Enclave,, Jan Kalyan Nagar, Malad west,</t>
  </si>
  <si>
    <t>ravi@finintent.com</t>
  </si>
  <si>
    <t>400095</t>
  </si>
  <si>
    <t>BloomDesk 2.0 204, Neelkanth, CHS, S.V.Road, Borivali West</t>
  </si>
  <si>
    <t>finintent.com</t>
  </si>
  <si>
    <t>DOMAIN::finintent.com</t>
  </si>
  <si>
    <t>Rays Investment Adviser Private Limited</t>
  </si>
  <si>
    <t>INA100009327</t>
  </si>
  <si>
    <t>Rohan Bansal</t>
  </si>
  <si>
    <t>403 Dmall Netaji Subhash Place, Pitampura</t>
  </si>
  <si>
    <t>rohan.bansal@raysfinancial.com</t>
  </si>
  <si>
    <t>Dec 18, 2017</t>
  </si>
  <si>
    <t>raysfinancial.com</t>
  </si>
  <si>
    <t>DOMAIN::raysfinancial.com</t>
  </si>
  <si>
    <t>Wealth Bridge Consultants Private Limited</t>
  </si>
  <si>
    <t>INA100009460</t>
  </si>
  <si>
    <t>SUDHIR SETHI</t>
  </si>
  <si>
    <t>97,Shanti Kunj , Behind Sector 3 &amp; 4, Vasant Kunj</t>
  </si>
  <si>
    <t>shivamsethi@wealthbridgeindia.com</t>
  </si>
  <si>
    <t>Jan 03, 2018</t>
  </si>
  <si>
    <t>wealthbridgeindia.com</t>
  </si>
  <si>
    <t>DOMAIN::wealthbridgeindia.com</t>
  </si>
  <si>
    <t>PeakAlpha Investment Services Pvt Ltd</t>
  </si>
  <si>
    <t>INA200007043</t>
  </si>
  <si>
    <t>Priya Sunder</t>
  </si>
  <si>
    <t>Ground Floor, 'Kalpavriksh', 13, Brunton Road Cross</t>
  </si>
  <si>
    <t>priya.sunder@peakalpha.com</t>
  </si>
  <si>
    <t>Feb 06, 2017</t>
  </si>
  <si>
    <t>peakalpha.com</t>
  </si>
  <si>
    <t>DOMAIN::peakalpha.com</t>
  </si>
  <si>
    <t>HEDGELOOP TECHNOLOGIES PVT LTD</t>
  </si>
  <si>
    <t>INA200007265</t>
  </si>
  <si>
    <t>VISHNU BODAPATI</t>
  </si>
  <si>
    <t>8-2-334/27, PLOT NO. 27, T&amp;T CORP VISION SPACE, 2ND FLOOR, ROAD NO. 3, BANJARA HILLS</t>
  </si>
  <si>
    <t>vish@hedgeloop.com</t>
  </si>
  <si>
    <t>Mar 13, 2017</t>
  </si>
  <si>
    <t>hedgeloop.com</t>
  </si>
  <si>
    <t>DOMAIN::hedgeloop.com</t>
  </si>
  <si>
    <t>ASCENT CAPITAL ADVISORS INDIA PRIVATE LIMITED</t>
  </si>
  <si>
    <t>INA200007645</t>
  </si>
  <si>
    <t>Subhasis Majumder</t>
  </si>
  <si>
    <t>No 1, Ali Asker Road, Off Palace Road</t>
  </si>
  <si>
    <t>subhasis@ascentcapital.in</t>
  </si>
  <si>
    <t>May 15, 2017</t>
  </si>
  <si>
    <t>ascentcapital.in</t>
  </si>
  <si>
    <t>DOMAIN::ascentcapital.in</t>
  </si>
  <si>
    <t>TAVASYA CAPITAL PRIVATE LIMITED</t>
  </si>
  <si>
    <t>INA200007690</t>
  </si>
  <si>
    <t>GAUTAM KUMAR</t>
  </si>
  <si>
    <t>No. E-23, Rolling Hills, , Gachibowli</t>
  </si>
  <si>
    <t>gautamkumar@ksk.co.in</t>
  </si>
  <si>
    <t>1-62/K/84, Plot No. 84, Phase II, Kavuri Hills, Madhapur</t>
  </si>
  <si>
    <t>May 19, 2017</t>
  </si>
  <si>
    <t>ksk.co.in</t>
  </si>
  <si>
    <t>DOMAIN::ksk.co.in</t>
  </si>
  <si>
    <t>90-10 Financial Planners Pvt Ltd</t>
  </si>
  <si>
    <t>INA200008291</t>
  </si>
  <si>
    <t>Rajesh Rao</t>
  </si>
  <si>
    <t>Jaiganesh, New No.1 and Old No. 321, 36th A Cross, 7th Main, 5th Block, Jayanagar,</t>
  </si>
  <si>
    <t>rajesh@90to10.com</t>
  </si>
  <si>
    <t>90to10.com</t>
  </si>
  <si>
    <t>DOMAIN::90to10.com</t>
  </si>
  <si>
    <t>SUCCINCT FINTECH SERVICES PRIVATE LIMITED</t>
  </si>
  <si>
    <t>INA200008705</t>
  </si>
  <si>
    <t>SOUBHAGYA PATRA</t>
  </si>
  <si>
    <t>No. 4, RCC Chambers, 2nd Floor,, 30th Cross, 4th T Block Jayanagar, Bannerghatta Road Extension,</t>
  </si>
  <si>
    <t>SOUBHAGYA.PATRA@SUCCINCTFINTECH.COM</t>
  </si>
  <si>
    <t>No. 4, RCC Chambers, 2nd Floor, 30th Cross, 4th T Block Jayanagar, Bannerghatta Road Extension,</t>
  </si>
  <si>
    <t>Oct 30, 2017</t>
  </si>
  <si>
    <t>succinctfintech.com</t>
  </si>
  <si>
    <t>DOMAIN::succinctfintech.com</t>
  </si>
  <si>
    <t>Valuevest Services Private Limited</t>
  </si>
  <si>
    <t>INA000011343</t>
  </si>
  <si>
    <t>Nikhil Mantha</t>
  </si>
  <si>
    <t>B 1301, Kailash Business Park, Veer Sawarkar Marg, Vikhroli West, Mumbai, Maharashtra</t>
  </si>
  <si>
    <t>nikhil@piggy.co.in</t>
  </si>
  <si>
    <t>C 1512, Kailash Business Park, Veer Sawarkar Marg, Vikhroli West, Mumbai,Maharashtra</t>
  </si>
  <si>
    <t>Aug 06, 2018</t>
  </si>
  <si>
    <t>piggy.co.in</t>
  </si>
  <si>
    <t>DOMAIN::piggy.co.in</t>
  </si>
  <si>
    <t>Qovar Advisors Private Limited</t>
  </si>
  <si>
    <t>INA200011365</t>
  </si>
  <si>
    <t>Eswar Suryanarayan</t>
  </si>
  <si>
    <t>A 2054, Sobha Arena, Pebble Court, Off Kanakapura road, Thalaghattapura village</t>
  </si>
  <si>
    <t>eswar@qovar.in</t>
  </si>
  <si>
    <t>qovar.in</t>
  </si>
  <si>
    <t>DOMAIN::qovar.in</t>
  </si>
  <si>
    <t>L.F.C. SECURITIES PVT. LTD.</t>
  </si>
  <si>
    <t>INA000011617</t>
  </si>
  <si>
    <t>KETAN PAREKH</t>
  </si>
  <si>
    <t>104-111, BHAVESHWAR MARKET, M.G. ROAD, GHATKOPAR- (E)</t>
  </si>
  <si>
    <t>info@labdhi.in</t>
  </si>
  <si>
    <t>400077</t>
  </si>
  <si>
    <t>Sep 04, 2018</t>
  </si>
  <si>
    <t>labdhi.in</t>
  </si>
  <si>
    <t>DOMAIN::labdhi.in</t>
  </si>
  <si>
    <t>SSBA INNOVATIONS LIMITED</t>
  </si>
  <si>
    <t>INA000012166</t>
  </si>
  <si>
    <t>ATUL REGE</t>
  </si>
  <si>
    <t>1309, Lodha Supremus,saki vihar road,, opp. MTNL Office,Powai, Mumbai-400072</t>
  </si>
  <si>
    <t>atul@ssbainnovations.com</t>
  </si>
  <si>
    <t>1309, Lodha Supremus,saki vihar road, opp. MTNL Office,Powai, Mumbai-400072</t>
  </si>
  <si>
    <t>Dec 12, 2018</t>
  </si>
  <si>
    <t>ssbainnovations.com</t>
  </si>
  <si>
    <t>DOMAIN::ssbainnovations.com</t>
  </si>
  <si>
    <t>Ankhonia Advisors Pvt. Ltd.</t>
  </si>
  <si>
    <t>INA200012568</t>
  </si>
  <si>
    <t>Mukesh Sinha</t>
  </si>
  <si>
    <t>No. 3 Banaswadi Road, Cooke Town</t>
  </si>
  <si>
    <t>mukesh@ankhonia.com</t>
  </si>
  <si>
    <t>560005</t>
  </si>
  <si>
    <t>ankhonia.com</t>
  </si>
  <si>
    <t>DOMAIN::ankhonia.com</t>
  </si>
  <si>
    <t>Svobodha Infinity Investment Advisors Pvt. Ltd.</t>
  </si>
  <si>
    <t>INA200012601</t>
  </si>
  <si>
    <t>Sankarsh Chanda</t>
  </si>
  <si>
    <t>3-6-373, St. No. 2, Himayath Nagar</t>
  </si>
  <si>
    <t>sankarsh@savart.in</t>
  </si>
  <si>
    <t>savart.in</t>
  </si>
  <si>
    <t>DOMAIN::savart.in</t>
  </si>
  <si>
    <t>M/s Cycas Investment Advisers</t>
  </si>
  <si>
    <t>INA200013017</t>
  </si>
  <si>
    <t>Ajay Sharma</t>
  </si>
  <si>
    <t>Villa 350, Indu Fortune Fields, KPHB Road Phase 13, Kukatpally</t>
  </si>
  <si>
    <t>ajay.sharma@cycas.co.in</t>
  </si>
  <si>
    <t>Apr 08, 2019</t>
  </si>
  <si>
    <t>cycas.co.in</t>
  </si>
  <si>
    <t>DOMAIN::cycas.co.in</t>
  </si>
  <si>
    <t>Sanaka India Advisors LLP</t>
  </si>
  <si>
    <t>INA000013059</t>
  </si>
  <si>
    <t>Neeraj  Bhatia</t>
  </si>
  <si>
    <t>1208 A, 13th Floor, Parinee Crescenzo, G Block, Behind MCA, Bandra Kurla Complex</t>
  </si>
  <si>
    <t>neeraj@sanakacapital.com</t>
  </si>
  <si>
    <t>Apr 09, 2019</t>
  </si>
  <si>
    <t>sanakacapital.com</t>
  </si>
  <si>
    <t>DOMAIN::sanakacapital.com</t>
  </si>
  <si>
    <t>Ventugrow consultants Private Limited</t>
  </si>
  <si>
    <t>INA000013235</t>
  </si>
  <si>
    <t>Sumit  Chanda</t>
  </si>
  <si>
    <t>1, Sarthak CHS, Plot no. 1,, Road no. 6, Sector 1, New Panvel,</t>
  </si>
  <si>
    <t>sumitchanda@monitree.in</t>
  </si>
  <si>
    <t>Plot no. A-144/145, Road no. 23, Wagle Industrial Estate</t>
  </si>
  <si>
    <t>monitree.in</t>
  </si>
  <si>
    <t>DOMAIN::monitree.in</t>
  </si>
  <si>
    <t>Tavaga Advisory Services Private Limited</t>
  </si>
  <si>
    <t>INA000013457</t>
  </si>
  <si>
    <t>Nitin Mathur</t>
  </si>
  <si>
    <t>1502, Lakefront Solitaire, A S Road, Near Heera Panna Mall, Powai</t>
  </si>
  <si>
    <t>nitin@tavaga.com</t>
  </si>
  <si>
    <t>9th Floor, WeWork, G Block, Bandra Kurla Complex</t>
  </si>
  <si>
    <t>Jun 10, 2019</t>
  </si>
  <si>
    <t>tavaga.com</t>
  </si>
  <si>
    <t>DOMAIN::tavaga.com</t>
  </si>
  <si>
    <t>Flameback Capital Private Limited</t>
  </si>
  <si>
    <t>INA200013798</t>
  </si>
  <si>
    <t>Kishan Nair</t>
  </si>
  <si>
    <t>61, MKK Road, deviah park, Srirampuram</t>
  </si>
  <si>
    <t>kishan@flamebackcapital.com</t>
  </si>
  <si>
    <t>560021</t>
  </si>
  <si>
    <t>Aug 19, 2019</t>
  </si>
  <si>
    <t>flamebackcapital.com</t>
  </si>
  <si>
    <t>DOMAIN::flamebackcapital.com</t>
  </si>
  <si>
    <t>AGNAM ADVISORS LLP</t>
  </si>
  <si>
    <t>INA200013886</t>
  </si>
  <si>
    <t>PRASHANT MISHRA</t>
  </si>
  <si>
    <t>B-2082, SOBHA TULIP, 24TH MAIN ROAD, JP NAGAR,, 6TH PHASE, BANGALORE</t>
  </si>
  <si>
    <t>prashant@agnam.in</t>
  </si>
  <si>
    <t>560078</t>
  </si>
  <si>
    <t>Office No 02B118 WEWORK SALARPURIA SYMBIOSIS, AREKERE VILLAGE BEGUR BANNERGHATTA MAIN ROAD</t>
  </si>
  <si>
    <t>Aug 26, 2019</t>
  </si>
  <si>
    <t>agnam.in</t>
  </si>
  <si>
    <t>DOMAIN::agnam.in</t>
  </si>
  <si>
    <t>INCOFIN INDIA INVESTMENT MANAGEMENT PRIVATE LIMITED</t>
  </si>
  <si>
    <t>INA200014043</t>
  </si>
  <si>
    <t>Sanjay Kumar</t>
  </si>
  <si>
    <t>JAMBU TOWERS No 99 1st floor, New Avadi Road Kilpauk</t>
  </si>
  <si>
    <t>sanjay.kumar@incofin.com</t>
  </si>
  <si>
    <t>600010</t>
  </si>
  <si>
    <t>Oct 04, 2019</t>
  </si>
  <si>
    <t>incofin.com</t>
  </si>
  <si>
    <t>DOMAIN::incofin.com</t>
  </si>
  <si>
    <t>Kivah Advisors</t>
  </si>
  <si>
    <t>INA200014186</t>
  </si>
  <si>
    <t>mithun aswath</t>
  </si>
  <si>
    <t>624 Sobha Dewflower Sarakki Main Road JP Nagar 1st Phase</t>
  </si>
  <si>
    <t>mithun@kivahadvisors.com</t>
  </si>
  <si>
    <t>kivahadvisors.com</t>
  </si>
  <si>
    <t>DOMAIN::kivahadvisors.com</t>
  </si>
  <si>
    <t>FEE ONLY INVESTMENT ADVISERS LLP</t>
  </si>
  <si>
    <t>INA000014836</t>
  </si>
  <si>
    <t>HARSH ROONGTA</t>
  </si>
  <si>
    <t>701/702, Madhava Building, E Block, Bandra Kurla Complex, Bandra East</t>
  </si>
  <si>
    <t>harsh@harshroongta.com</t>
  </si>
  <si>
    <t>702 Balarama Building E Block, Bandra Kurla Complex Bandra east</t>
  </si>
  <si>
    <t>Jul 21, 2020</t>
  </si>
  <si>
    <t>harshroongta.com</t>
  </si>
  <si>
    <t>DOMAIN::harshroongta.com</t>
  </si>
  <si>
    <t>Clovek Wealth Management Private Limited</t>
  </si>
  <si>
    <t>INA100014879</t>
  </si>
  <si>
    <t>Sachin KAPOOR</t>
  </si>
  <si>
    <t>Unit No B 91 9 Floor Tower B Advant, IT Park Plot No 7 Sector 142 Noida Gautam Buddha Nagar</t>
  </si>
  <si>
    <t>sachin.kapoor@clovekwealth.com</t>
  </si>
  <si>
    <t>201305</t>
  </si>
  <si>
    <t>UNIT No 915, 9th FLOOR, TOWER B, ADVANT IT PARK, PLOT No. 7, SECTOR 142, NOIDA EXPRESSWAY</t>
  </si>
  <si>
    <t>Jul 27, 2020</t>
  </si>
  <si>
    <t>clovekwealth.com</t>
  </si>
  <si>
    <t>DOMAIN::clovekwealth.com</t>
  </si>
  <si>
    <t>FINMO INVESTMENTS ADVISORS PRIVATE LIMITED</t>
  </si>
  <si>
    <t>INA200014900</t>
  </si>
  <si>
    <t>SUMANTA  RAY</t>
  </si>
  <si>
    <t>New 05, Old 123/5E, 6th Main Road,, Hosakerahalli, BSK III Stage,</t>
  </si>
  <si>
    <t>sumanta@wealthvruddhi.com</t>
  </si>
  <si>
    <t>New 05, Old 123/5E, 6th Main Road, Hosakerahalli, BSK III Stage,</t>
  </si>
  <si>
    <t>Aug 04, 2020</t>
  </si>
  <si>
    <t>wealthvruddhi.com</t>
  </si>
  <si>
    <t>DOMAIN::wealthvruddhi.com</t>
  </si>
  <si>
    <t>PHAEDRUS ADVISORY LLP</t>
  </si>
  <si>
    <t>INA000015260</t>
  </si>
  <si>
    <t>GOVIND PATHAK</t>
  </si>
  <si>
    <t>301, Siddhi Grandeur, Plot 84, Sector 19, Kharghar</t>
  </si>
  <si>
    <t>govind@phaedrus.co.in</t>
  </si>
  <si>
    <t>phaedrus.co.in</t>
  </si>
  <si>
    <t>DOMAIN::phaedrus.co.in</t>
  </si>
  <si>
    <t>Samyama Advisors Private Limited</t>
  </si>
  <si>
    <t>INA000015321</t>
  </si>
  <si>
    <t>Ankit Bhandari</t>
  </si>
  <si>
    <t>30, Omkar House, Near Swastik Cross Road, Navarangpura</t>
  </si>
  <si>
    <t>ankit@educationfund.in</t>
  </si>
  <si>
    <t>Oct 28, 2020</t>
  </si>
  <si>
    <t>educationfund.in</t>
  </si>
  <si>
    <t>DOMAIN::educationfund.in</t>
  </si>
  <si>
    <t>Cervin Family Office &amp; Advisors Pvt. Ltd.</t>
  </si>
  <si>
    <t>INA000015385</t>
  </si>
  <si>
    <t>Munish Randev</t>
  </si>
  <si>
    <t>4201,42 Floor, C Wing, Oberoi Exquisite, Goregaon-East</t>
  </si>
  <si>
    <t>munish@cervinfamilyoffice.com</t>
  </si>
  <si>
    <t>WeWork, 1st Floor, Oberoi Commerz II, Mohan Gokhale Road, Goregaon East,</t>
  </si>
  <si>
    <t>cervinfamilyoffice.com</t>
  </si>
  <si>
    <t>DOMAIN::cervinfamilyoffice.com</t>
  </si>
  <si>
    <t>Kedia Capital Services Pvt. Ltd.</t>
  </si>
  <si>
    <t>INA000015525</t>
  </si>
  <si>
    <t>Vijay Kedia</t>
  </si>
  <si>
    <t>Aadinath Commercial, Opposite Mumbai University, Vasant  Valley Road, Khadakpada, Kalyan West</t>
  </si>
  <si>
    <t>vijay@kediacapital.com</t>
  </si>
  <si>
    <t>421301</t>
  </si>
  <si>
    <t>Dec 02, 2020</t>
  </si>
  <si>
    <t>kediacapital.com</t>
  </si>
  <si>
    <t>DOMAIN::kediacapital.com</t>
  </si>
  <si>
    <t>ASSETZ PREMIER WEALTH ADVISORY PVT LTD</t>
  </si>
  <si>
    <t>INA200015671</t>
  </si>
  <si>
    <t>SIVAKUMAR  PULLOT</t>
  </si>
  <si>
    <t>E 29, MEGAWIN TOWERS, THIRD FLOOR, SECOND AVENUE, BESANT NAGAR</t>
  </si>
  <si>
    <t>sivakumar@assetzindia.net</t>
  </si>
  <si>
    <t>Jan 08, 2021</t>
  </si>
  <si>
    <t>assetzindia.net</t>
  </si>
  <si>
    <t>DOMAIN::assetzindia.net</t>
  </si>
  <si>
    <t>GreenOak India Investment Advisors Private Limited</t>
  </si>
  <si>
    <t>INA000015817</t>
  </si>
  <si>
    <t>Gautam Subramani</t>
  </si>
  <si>
    <t>First International Financial Center, 1st Floor, Plot No.C-54 &amp; C-55, G Block, BKC, Bandra East</t>
  </si>
  <si>
    <t>gautam.subramani@bentallgreenoak.com</t>
  </si>
  <si>
    <t>Mar 31, 2021</t>
  </si>
  <si>
    <t>bentallgreenoak.com</t>
  </si>
  <si>
    <t>DOMAIN::bentallgreenoak.com</t>
  </si>
  <si>
    <t>InvestAscent Wealth Advisors Private Limited</t>
  </si>
  <si>
    <t>INA200015857</t>
  </si>
  <si>
    <t>Anuja Agrawal</t>
  </si>
  <si>
    <t>1010, 4th floor, 26th main, 4th T block, Jayanagar</t>
  </si>
  <si>
    <t>anuja@Investascent.com</t>
  </si>
  <si>
    <t>Apr 15, 2021</t>
  </si>
  <si>
    <t>investascent.com</t>
  </si>
  <si>
    <t>DOMAIN::investascent.com</t>
  </si>
  <si>
    <t>Anuvitt Fintech Private Limited</t>
  </si>
  <si>
    <t>INA000016126</t>
  </si>
  <si>
    <t>Priyesh Karia</t>
  </si>
  <si>
    <t>Flat No. B. 5, Matruashish CHS Ltd,  , SV Road, Plot No. 378-B, Nr Balbharti School</t>
  </si>
  <si>
    <t>priyesh@cumulativeventures.com</t>
  </si>
  <si>
    <t>C-1104, Tower 4, The Crest Towers, Pheonix Market City, , Velacherry Main Road, Velachery,</t>
  </si>
  <si>
    <t>600042</t>
  </si>
  <si>
    <t>Aug 23, 2021</t>
  </si>
  <si>
    <t>cumulativeventures.com</t>
  </si>
  <si>
    <t>DOMAIN::cumulativeventures.com</t>
  </si>
  <si>
    <t>Alpha Alternatives Fund Advisors LLP</t>
  </si>
  <si>
    <t>INA000016171</t>
  </si>
  <si>
    <t>Mayank Varshney</t>
  </si>
  <si>
    <t>34th Floor, Sunshine Tower, Senapati Bapat Marg, Dadar West</t>
  </si>
  <si>
    <t>compliance@alt-alpha.com</t>
  </si>
  <si>
    <t>Aug 30, 2021</t>
  </si>
  <si>
    <t>alt-alpha.com</t>
  </si>
  <si>
    <t>DOMAIN::alt-alpha.com</t>
  </si>
  <si>
    <t>Alpha Capital</t>
  </si>
  <si>
    <t>INA100016390</t>
  </si>
  <si>
    <t>Akhil Bhardwaj</t>
  </si>
  <si>
    <t>1154 11TH FLOOR TOWER B2 SPAzE IT PARK, SOHNA ROAD Sector  -49</t>
  </si>
  <si>
    <t>contact@alphacapital.in</t>
  </si>
  <si>
    <t>Nov 18, 2021</t>
  </si>
  <si>
    <t>alphacapital.in</t>
  </si>
  <si>
    <t>DOMAIN::alphacapital.in</t>
  </si>
  <si>
    <t>Investor First Advisors</t>
  </si>
  <si>
    <t>INA000016515</t>
  </si>
  <si>
    <t>Danesh  Mistry</t>
  </si>
  <si>
    <t>Flat No -12, 3rd Floor, , Kala Niketan Building, 95 Queens Road,</t>
  </si>
  <si>
    <t>danesh@investorfirstadvisors.com</t>
  </si>
  <si>
    <t>Dec 28, 2021</t>
  </si>
  <si>
    <t>investorfirstadvisors.com</t>
  </si>
  <si>
    <t>DOMAIN::investorfirstadvisors.com</t>
  </si>
  <si>
    <t>Multiplyy Investment Advisors LLP</t>
  </si>
  <si>
    <t>INA200016573</t>
  </si>
  <si>
    <t>Saurabh Kabra</t>
  </si>
  <si>
    <t>501, Sri Balaji Solitaire, 1-2-593/44, , Gaganmahal Colony, Domalguda,</t>
  </si>
  <si>
    <t>saurabhkabra@multiplyy.in</t>
  </si>
  <si>
    <t>multiplyy.in</t>
  </si>
  <si>
    <t>DOMAIN::multiplyy.in</t>
  </si>
  <si>
    <t>Degree 212 Investment Services &amp; IMF Private Limited</t>
  </si>
  <si>
    <t>INA000016603</t>
  </si>
  <si>
    <t>Pravin Budhauliya</t>
  </si>
  <si>
    <t>B 601, Grand View - 7, Near Ashok Leyland,, Ambegaon, Pune</t>
  </si>
  <si>
    <t>pravinbudhauliya@degree212.in</t>
  </si>
  <si>
    <t>411046</t>
  </si>
  <si>
    <t>1st Floor, GV 7 Capital, Grand View 7, S. No. 8/12, Ambegaon BK, Pune</t>
  </si>
  <si>
    <t>degree212.in</t>
  </si>
  <si>
    <t>DOMAIN::degree212.in</t>
  </si>
  <si>
    <t>Appreciate Investment Advisory Private Limited</t>
  </si>
  <si>
    <t>INA000016719</t>
  </si>
  <si>
    <t>Shlok Srivastav</t>
  </si>
  <si>
    <t>0-14, Floor-2 Mahalakshmi Industrial Estate,, Dainik Shivneri Marg, Worli</t>
  </si>
  <si>
    <t>shlok@ppreciate.com</t>
  </si>
  <si>
    <t>0-14, Floor-2 Mahalakshmi Industrial Estate, Dainik Shivneri Marg, Worli</t>
  </si>
  <si>
    <t>Feb 21, 2022</t>
  </si>
  <si>
    <t>ppreciate.com</t>
  </si>
  <si>
    <t>DOMAIN::ppreciate.com</t>
  </si>
  <si>
    <t>Ginteja Fintech Private Limited</t>
  </si>
  <si>
    <t>INA300016738</t>
  </si>
  <si>
    <t>Keshav Beriwala</t>
  </si>
  <si>
    <t>Microsec Block, Azimganj House, 2nd Floor, 7, Abanindra Nath Thakur Sarani</t>
  </si>
  <si>
    <t>info@ginteja.com</t>
  </si>
  <si>
    <t>Mar 02, 2022</t>
  </si>
  <si>
    <t>ginteja.com</t>
  </si>
  <si>
    <t>DOMAIN::ginteja.com</t>
  </si>
  <si>
    <t>CIRCLE WEALTH ADVISORS PRIVATE LIMITED</t>
  </si>
  <si>
    <t>INA000016782</t>
  </si>
  <si>
    <t>MUKUL AGARWAL</t>
  </si>
  <si>
    <t>701 702 MADHAVA BUILDING BKC, ADAJCENT TO FAMILY COURT, Bandra Kurla Complex, Bandra East</t>
  </si>
  <si>
    <t>MANAGE@CWA.CO.IN</t>
  </si>
  <si>
    <t>Mar 21, 2022</t>
  </si>
  <si>
    <t>cwa.co.in</t>
  </si>
  <si>
    <t>DOMAIN::cwa.co.in</t>
  </si>
  <si>
    <t>Induswealth Advisors</t>
  </si>
  <si>
    <t>INA200016856</t>
  </si>
  <si>
    <t>Praveen Reddy</t>
  </si>
  <si>
    <t>SUITE NO. 614 DBS HOUSE 31-A, CATHEDRAL GARDEN, NUNGAMBAKKAM CHENNAI</t>
  </si>
  <si>
    <t>PRAVEEN.REDDY@INDUSWEALTH.COM</t>
  </si>
  <si>
    <t>May 13, 2022</t>
  </si>
  <si>
    <t>induswealth.com</t>
  </si>
  <si>
    <t>DOMAIN::induswealth.com</t>
  </si>
  <si>
    <t>PURPLEPOND FINANCIAL PLANNERS PRIVATE LIMITED</t>
  </si>
  <si>
    <t>INA200016892</t>
  </si>
  <si>
    <t>Saravanan  S</t>
  </si>
  <si>
    <t>No.11/11A, Sir Thiyagaraya Road,, Challamall, Suit 604, 6th Floor, T Nagar,</t>
  </si>
  <si>
    <t>saravanan@purplepond.in</t>
  </si>
  <si>
    <t>No.11/11A, Sir Thiyagaraya Road, Challamall, Suit 604, 6th Floor, T Nagar,</t>
  </si>
  <si>
    <t>May 27, 2022</t>
  </si>
  <si>
    <t>purplepond.in</t>
  </si>
  <si>
    <t>DOMAIN::purplepond.in</t>
  </si>
  <si>
    <t>Elbee Investment Advisors Private Limited</t>
  </si>
  <si>
    <t>INA300016969</t>
  </si>
  <si>
    <t>Harsh  Agarwal</t>
  </si>
  <si>
    <t>19, R N Mukherjee Road, 2nd Floor, Eastern Building</t>
  </si>
  <si>
    <t>info@elbeeinvest.com</t>
  </si>
  <si>
    <t>Jun 09, 2022</t>
  </si>
  <si>
    <t>elbeeinvest.com</t>
  </si>
  <si>
    <t>DOMAIN::elbeeinvest.com</t>
  </si>
  <si>
    <t>VSK FINANCIAL CONSULTANCY SERVICES PVT. LTD.</t>
  </si>
  <si>
    <t>INA000017620</t>
  </si>
  <si>
    <t>YOGIN SABNIS</t>
  </si>
  <si>
    <t>227, Unique Industrial Estate, Second Floor, Off Veer Savarkar Marg,, Twin Tower Lane, Prabhadevi</t>
  </si>
  <si>
    <t>ymsabnis@vskindia.com</t>
  </si>
  <si>
    <t>227, Unique Industrial Estate, Second Floor, Off Veer Savarkar Marg, Twin Tower Lane, Prabhadevi</t>
  </si>
  <si>
    <t>vskindia.com</t>
  </si>
  <si>
    <t>DOMAIN::vskindia.com</t>
  </si>
  <si>
    <t>BESTPALS RESEARCH &amp; ADVISORY LLP</t>
  </si>
  <si>
    <t>INA200005141</t>
  </si>
  <si>
    <t>8-45, 6TH LANE, LAWYERPETA EXTENSION, , ONGOLE PRAKASAM DISTRICT</t>
  </si>
  <si>
    <t>tvkvivek@bestpals.in</t>
  </si>
  <si>
    <t>9030330125</t>
  </si>
  <si>
    <t>523001</t>
  </si>
  <si>
    <t>Jul 15, 2016</t>
  </si>
  <si>
    <t>bestpals.in</t>
  </si>
  <si>
    <t>DOMAIN::bestpals.in</t>
  </si>
  <si>
    <t>MARWADI SHARES AND FINANCE LTD.</t>
  </si>
  <si>
    <t>INH000002186</t>
  </si>
  <si>
    <t>Tushit Mangukiya</t>
  </si>
  <si>
    <t>MARWADI FINANCIAL PLAZA, NANA MAVA MAIN ROAD, OFF. 150 FEET RING ROAD</t>
  </si>
  <si>
    <t>tushit.mangukiya@marwadionline.in</t>
  </si>
  <si>
    <t>0919879207351</t>
  </si>
  <si>
    <t>marwadionline.in</t>
  </si>
  <si>
    <t>DOMAIN::marwadionline.in</t>
  </si>
  <si>
    <t>TRADEBULLS SECURITIES PRIVATE LIMITED</t>
  </si>
  <si>
    <t>INH000004486</t>
  </si>
  <si>
    <t>Shikha Shah</t>
  </si>
  <si>
    <t>Flat No. 304, Sai Nivas - C, Kathiria</t>
  </si>
  <si>
    <t>compliance@tradebulls.in</t>
  </si>
  <si>
    <t>919998305110</t>
  </si>
  <si>
    <t>Tradebulls House, Sindhubhavan Road, Bodakdev</t>
  </si>
  <si>
    <t>tradebulls.in</t>
  </si>
  <si>
    <t>DOMAIN::tradebulls.in</t>
  </si>
  <si>
    <t>Goldmine stocks Pvt Ltd.</t>
  </si>
  <si>
    <t>INH000005625</t>
  </si>
  <si>
    <t>SUKEN PANSERIYA</t>
  </si>
  <si>
    <t>UNIT NO 1110-1111, 11th FLOOR, BLOCK 53-E,, DALAL STREET BUILDING BSE TOWER, ROAD 5E, ZONE-5, GIFT CITY</t>
  </si>
  <si>
    <t>sukenp@goldmine.co.in</t>
  </si>
  <si>
    <t>07926688219</t>
  </si>
  <si>
    <t>382050</t>
  </si>
  <si>
    <t>UNIT NO 1110-1111, 11th FLOOR, BLOCK 53-E, DALAL STREET BUILDING BSE TOWER, ROAD 5E, ZONE-5, GIFT CITY</t>
  </si>
  <si>
    <t>Jan 22, 2018</t>
  </si>
  <si>
    <t>goldmine.co.in</t>
  </si>
  <si>
    <t>DOMAIN::goldmine.co.in</t>
  </si>
  <si>
    <t>CAPSTOCKS AND SECURITIES (INDIA) PRIVATE LIMITED</t>
  </si>
  <si>
    <t>INH200003109</t>
  </si>
  <si>
    <t>Karthic BabuTRS</t>
  </si>
  <si>
    <t>CAPSTOCKS TOWERS, T.C. 28/2023, THAKARAPARAMBU ROAD, FORT PO,</t>
  </si>
  <si>
    <t>cspl@capstocks.com</t>
  </si>
  <si>
    <t>919847730187</t>
  </si>
  <si>
    <t>THIRUVANANTHAPURAM</t>
  </si>
  <si>
    <t>695023</t>
  </si>
  <si>
    <t>May 31, 2016</t>
  </si>
  <si>
    <t>capstocks.com</t>
  </si>
  <si>
    <t>DOMAIN::capstocks.com</t>
  </si>
  <si>
    <t>VERTEX SECURITIES LTD</t>
  </si>
  <si>
    <t>INH200007335</t>
  </si>
  <si>
    <t>Treesa  Antony</t>
  </si>
  <si>
    <t>VERTEX SECURITIES LTD 2ND FLOOR, THOTTATHIL TOWERS MARKET ROAD</t>
  </si>
  <si>
    <t>compliance@vertexbroking.com</t>
  </si>
  <si>
    <t>919446000617</t>
  </si>
  <si>
    <t>682018</t>
  </si>
  <si>
    <t>Aug 09, 2019</t>
  </si>
  <si>
    <t>vertexbroking.com</t>
  </si>
  <si>
    <t>DOMAIN::vertexbroking.com</t>
  </si>
  <si>
    <t>Investomania Research Services Private Limited</t>
  </si>
  <si>
    <t>INH000009898</t>
  </si>
  <si>
    <t>Akashdeep Chandel</t>
  </si>
  <si>
    <t>Naman Exotica, P. No 14, F. No. 301,, Clerk Town, Kadnagpur,</t>
  </si>
  <si>
    <t>director@investomaniaresearch.com</t>
  </si>
  <si>
    <t>917580808069</t>
  </si>
  <si>
    <t>440004</t>
  </si>
  <si>
    <t>7 MIG Muninagar,  , First Floor Office No. 1, Indore Road</t>
  </si>
  <si>
    <t>UJJAIN</t>
  </si>
  <si>
    <t>456010</t>
  </si>
  <si>
    <t>Jun 16, 2022</t>
  </si>
  <si>
    <t>investomaniaresearch.com</t>
  </si>
  <si>
    <t>DOMAIN::investomaniaresearch.com</t>
  </si>
  <si>
    <t>Bullish India Capital Pvt. Ltd.</t>
  </si>
  <si>
    <t>INH000010070</t>
  </si>
  <si>
    <t>Sanchi Arora</t>
  </si>
  <si>
    <t>House No. 1256, Sector 34c</t>
  </si>
  <si>
    <t>info@bullishindia.com</t>
  </si>
  <si>
    <t>919988137985</t>
  </si>
  <si>
    <t>Oct 14, 2022</t>
  </si>
  <si>
    <t>bullishindia.com</t>
  </si>
  <si>
    <t>DOMAIN::bullishindia.com</t>
  </si>
  <si>
    <t>KIFS Trade Capital Private Limited</t>
  </si>
  <si>
    <t>INH000012485</t>
  </si>
  <si>
    <t>Apeksha Modi</t>
  </si>
  <si>
    <t>Office Nos. PO6-01A, 01B &amp; 01C, 6th Floor, WTC Tower-A, Block No. 51,, Road 5 E, Gift City,</t>
  </si>
  <si>
    <t>apexa@kifs.co.in</t>
  </si>
  <si>
    <t>919909930692</t>
  </si>
  <si>
    <t>KIFS Corporate House, 4th Floor, Beside Hotel Plannet Landmark, , Near Ashok Vatika, Iskon-Ambli Road, Ambli</t>
  </si>
  <si>
    <t>Jun 28, 2023</t>
  </si>
  <si>
    <t>kifs.co.in</t>
  </si>
  <si>
    <t>DOMAIN::kifs.co.in</t>
  </si>
  <si>
    <t>PATEL WEALTH ADVISORS PRIVATE LIMITED</t>
  </si>
  <si>
    <t>INH000015242</t>
  </si>
  <si>
    <t>DENISH PATEL</t>
  </si>
  <si>
    <t>OXYGEN, M/2/3, HOUSING BOARD OPP PRADHYUMAN-, ROYAL HEIGHTS, NEAR NEEL DA DHABA, KALAWAD ROAD</t>
  </si>
  <si>
    <t>RESEARCHTEAM@PATELWEALTH.COM</t>
  </si>
  <si>
    <t>9128199984848</t>
  </si>
  <si>
    <t>360005</t>
  </si>
  <si>
    <t>patelwealth.com</t>
  </si>
  <si>
    <t>DOMAIN::patelwealth.com</t>
  </si>
  <si>
    <t>PHD CAPITAL PRIVATE LIMITED</t>
  </si>
  <si>
    <t>INH000016126</t>
  </si>
  <si>
    <t>PRADIP HALDER</t>
  </si>
  <si>
    <t>Sadpur-Maslandpur Habra-1 Maslandapur, Basirhat Road, Parganas North, Maslandapur</t>
  </si>
  <si>
    <t>researchdesk@phdcapital.in</t>
  </si>
  <si>
    <t>03216297100</t>
  </si>
  <si>
    <t>BARASAT</t>
  </si>
  <si>
    <t>743289</t>
  </si>
  <si>
    <t>May 08, 2024</t>
  </si>
  <si>
    <t>phdcapital.in</t>
  </si>
  <si>
    <t>DOMAIN::phdcapital.in</t>
  </si>
  <si>
    <t>TRADE NEXUS RESEARCH</t>
  </si>
  <si>
    <t>INH000017505</t>
  </si>
  <si>
    <t>KIRANMAI NALLELLA</t>
  </si>
  <si>
    <t>HNo 15,1,237, Industrial Park, Warangal City Centre</t>
  </si>
  <si>
    <t>services@tradenexusreserach.com</t>
  </si>
  <si>
    <t>917981304517</t>
  </si>
  <si>
    <t>WARANGAL</t>
  </si>
  <si>
    <t>506002</t>
  </si>
  <si>
    <t>FLAT NO.302 THIRD FLOOR, H NO 1 90 7 B 79 22A NR, MADHAPUR, SERILINGAMPALLY, RANGAREDDY</t>
  </si>
  <si>
    <t>Jul 11, 2024</t>
  </si>
  <si>
    <t>tradenexusreserach.com</t>
  </si>
  <si>
    <t>DOMAIN::tradenexusreserach.com</t>
  </si>
  <si>
    <t>Stock Yaari Technologies Private Limited</t>
  </si>
  <si>
    <t>INH000018188</t>
  </si>
  <si>
    <t>Abhishek Singh</t>
  </si>
  <si>
    <t>H. No. 254, Sector 23</t>
  </si>
  <si>
    <t>ra1@stockyaari.com</t>
  </si>
  <si>
    <t>009355789175</t>
  </si>
  <si>
    <t>121005</t>
  </si>
  <si>
    <t>Plot No 756 ll nd Floor Udyog Vihar, phase 5 Gurgram</t>
  </si>
  <si>
    <t>Aug 02, 2024</t>
  </si>
  <si>
    <t>stockyaari.com</t>
  </si>
  <si>
    <t>DOMAIN::stockyaari.com</t>
  </si>
  <si>
    <t>Green candle Research Academy</t>
  </si>
  <si>
    <t>INH000019053</t>
  </si>
  <si>
    <t>Pawan  Kumar</t>
  </si>
  <si>
    <t>Plot No. 18, Max City , Tehsil Chhata, Kosi Kalan</t>
  </si>
  <si>
    <t>info@greencandleresearch.com</t>
  </si>
  <si>
    <t>918126516337</t>
  </si>
  <si>
    <t>MATHURA</t>
  </si>
  <si>
    <t>281403</t>
  </si>
  <si>
    <t>greencandleresearch.com</t>
  </si>
  <si>
    <t>DOMAIN::greencandleresearch.com</t>
  </si>
  <si>
    <t>SIHO Research Private Limited</t>
  </si>
  <si>
    <t>INH000019813</t>
  </si>
  <si>
    <t>NITIN  KUMAR</t>
  </si>
  <si>
    <t>8 Shivpuri, Shivaji Road, Victoria Park, Meerut</t>
  </si>
  <si>
    <t>jsr.nitin@sihoresearch.com</t>
  </si>
  <si>
    <t>919560609816</t>
  </si>
  <si>
    <t>MEERUT</t>
  </si>
  <si>
    <t>250001</t>
  </si>
  <si>
    <t>OFFICE 1511, 14th FLOOR, GALAXY BLUE SAPPHIRE PLAZA, , GREATER NOIDAWRD, EXTENSION, SECTOR 4</t>
  </si>
  <si>
    <t>Feb 18, 2025</t>
  </si>
  <si>
    <t>sihoresearch.com</t>
  </si>
  <si>
    <t>DOMAIN::sihoresearch.com</t>
  </si>
  <si>
    <t>PA WEALTH VENTURES PRIVATE LIMITED</t>
  </si>
  <si>
    <t>INH000020642</t>
  </si>
  <si>
    <t>Sukhman Kaur</t>
  </si>
  <si>
    <t>701 7th floor Apra Tower, Feroze Gandhi Market</t>
  </si>
  <si>
    <t>ksukhman@pawealth.in</t>
  </si>
  <si>
    <t>009872536442</t>
  </si>
  <si>
    <t>pawealth.in</t>
  </si>
  <si>
    <t>DOMAIN::pawealth.in</t>
  </si>
  <si>
    <t>Rainbow Money Private Limited</t>
  </si>
  <si>
    <t>INH000021562</t>
  </si>
  <si>
    <t>Siddharth Mukund</t>
  </si>
  <si>
    <t>Chandra Kanti Complex, Akashwani, Road, Ward No 02, Khajpura, Sheikhpura, Phulwari</t>
  </si>
  <si>
    <t>siddharth@rainbowmoney.in</t>
  </si>
  <si>
    <t>0918789301746</t>
  </si>
  <si>
    <t>PATNA</t>
  </si>
  <si>
    <t>BIHAR</t>
  </si>
  <si>
    <t>800014</t>
  </si>
  <si>
    <t>rainbowmoney.in</t>
  </si>
  <si>
    <t>DOMAIN::rainbowmoney.in</t>
  </si>
  <si>
    <t>AUROSTARINVESTMENT ADVISORY PRIVATE  LIMITED</t>
  </si>
  <si>
    <t>INH000021979</t>
  </si>
  <si>
    <t>Nikhil  Kabra</t>
  </si>
  <si>
    <t>5, B 1, COLVIN ROAD, CIVIL LINES, PRAYAGRAJ</t>
  </si>
  <si>
    <t>service@aurostar.in</t>
  </si>
  <si>
    <t>0919935201126</t>
  </si>
  <si>
    <t>ALLAHABAD</t>
  </si>
  <si>
    <t>211001</t>
  </si>
  <si>
    <t>aurostar.in</t>
  </si>
  <si>
    <t>DOMAIN::aurostar.in</t>
  </si>
  <si>
    <t>SHYAM ADVISORY LIMITED</t>
  </si>
  <si>
    <t>INH000022589</t>
  </si>
  <si>
    <t>Vipul Kotak</t>
  </si>
  <si>
    <t>SHYAM HOUSE, NR AMBIKA PARK, RIAYA ROAD</t>
  </si>
  <si>
    <t>info@shyamadvisory.com</t>
  </si>
  <si>
    <t>0002816199996</t>
  </si>
  <si>
    <t>360007</t>
  </si>
  <si>
    <t>shyamadvisory.com</t>
  </si>
  <si>
    <t>DOMAIN::shyamadvisory.com</t>
  </si>
  <si>
    <t>SPRINGPAD WEALTH SOLUTIONS PRIVATE LIMITED</t>
  </si>
  <si>
    <t>INH000022950</t>
  </si>
  <si>
    <t>Rahul Chandra</t>
  </si>
  <si>
    <t>Shaila Tower, J1/16, Block EP and GP, 7th Floor,, Unit No. 704, Sector V, Bidhan Nagar CK Market</t>
  </si>
  <si>
    <t>rahul.chandra@springpadwealth.com</t>
  </si>
  <si>
    <t>919147220996</t>
  </si>
  <si>
    <t>Shaila Tower, J1/16, Block EP and GP, 7th Floor, Unit No. 704, Sector V, Bidhan Nagar CK Market</t>
  </si>
  <si>
    <t>Aug 25, 2025</t>
  </si>
  <si>
    <t>springpadwealth.com</t>
  </si>
  <si>
    <t>DOMAIN::springpadwealth.com</t>
  </si>
  <si>
    <t>Trending Trading Minds Private Limited</t>
  </si>
  <si>
    <t>INH000023700</t>
  </si>
  <si>
    <t>Madhuri Dinesh</t>
  </si>
  <si>
    <t>No 36 Ayappa Colony, Davangere, Harihar</t>
  </si>
  <si>
    <t>getinfo@thetradingminds.com</t>
  </si>
  <si>
    <t>917483670128</t>
  </si>
  <si>
    <t>DAVANAGERE</t>
  </si>
  <si>
    <t>577601</t>
  </si>
  <si>
    <t>thetradingminds.com</t>
  </si>
  <si>
    <t>DOMAIN::thetradingminds.com</t>
  </si>
  <si>
    <t>DOZEN DIAMONDS INDIA PRIVATE LIMITED</t>
  </si>
  <si>
    <t>INH000023889</t>
  </si>
  <si>
    <t>Shashi  Aggarwal</t>
  </si>
  <si>
    <t>FL N 10 Pink Rose Soc Garden Estate, K J Mehta School, Nashik Road</t>
  </si>
  <si>
    <t>contact@dozendiamonds.com</t>
  </si>
  <si>
    <t>NASHIK</t>
  </si>
  <si>
    <t>422101</t>
  </si>
  <si>
    <t>dozendiamonds.com</t>
  </si>
  <si>
    <t>DOMAIN::dozendiamonds.com</t>
  </si>
  <si>
    <t>A C Agarwal Share Brokers Private Limited</t>
  </si>
  <si>
    <t>INH000023913</t>
  </si>
  <si>
    <t>Ravindra Uniyal</t>
  </si>
  <si>
    <t>406, PAYAL CO OP SOC</t>
  </si>
  <si>
    <t>ravi@acagarwal.com</t>
  </si>
  <si>
    <t>009122361059</t>
  </si>
  <si>
    <t>390020</t>
  </si>
  <si>
    <t>acagarwal.com</t>
  </si>
  <si>
    <t>DOMAIN::acagarwal.com</t>
  </si>
  <si>
    <t>STOCKVAANI FINANCIAL ADVISORY PRIVATE LIMITED</t>
  </si>
  <si>
    <t>INH000024949</t>
  </si>
  <si>
    <t>Navodit Tiwari</t>
  </si>
  <si>
    <t>202, Second Floor, Dronacharya Public School,, Raipur,  Chhattisgarh, India, 492001</t>
  </si>
  <si>
    <t>info@stockvaani.com</t>
  </si>
  <si>
    <t>918369640153</t>
  </si>
  <si>
    <t>202, Second Floor, Dronacharya Public School, Raipur,  Chhattisgarh, India, 492001</t>
  </si>
  <si>
    <t>stockvaani.com</t>
  </si>
  <si>
    <t>DOMAIN::stockvaani.com</t>
  </si>
  <si>
    <t>Irage Broking Services LLP</t>
  </si>
  <si>
    <t>INH000025425</t>
  </si>
  <si>
    <t>Gaurav Raizada</t>
  </si>
  <si>
    <t>Unit 1&amp; 2, 17th Floor, Gift One Tower Road SC, Zone 5, Gift City</t>
  </si>
  <si>
    <t>exchange-communication@irage.in</t>
  </si>
  <si>
    <t>J1 14, Block-EP  GP, 9th Floor, Sector - V, Salt Lake City</t>
  </si>
  <si>
    <t>irage.in</t>
  </si>
  <si>
    <t>DOMAIN::irage.in</t>
  </si>
  <si>
    <t>SSIT FINSERV PRIVATE LIMITED</t>
  </si>
  <si>
    <t>INH000025832</t>
  </si>
  <si>
    <t>Bhargavi  Dasmanthurao</t>
  </si>
  <si>
    <t>901 IMPERIAL HEIGHTS AKSHAR CHOWK, ATLADARA</t>
  </si>
  <si>
    <t>bhargavi@equitywala.com</t>
  </si>
  <si>
    <t>390012</t>
  </si>
  <si>
    <t>Apr 09, 2026</t>
  </si>
  <si>
    <t>equitywala.com</t>
  </si>
  <si>
    <t>DOMAIN::equitywala.com</t>
  </si>
  <si>
    <t>NEOMINDS RESEARCH ANALYSTS</t>
  </si>
  <si>
    <t>INH000028176</t>
  </si>
  <si>
    <t>Navaneeth Mukundan</t>
  </si>
  <si>
    <t>No. 98/3715 1,2,3,4 The Atomic,, Near Techno Park Phase - 1, Kazhakuttam</t>
  </si>
  <si>
    <t>admin@nmra.in</t>
  </si>
  <si>
    <t>00009632144223</t>
  </si>
  <si>
    <t>695582</t>
  </si>
  <si>
    <t>No. 98/3715 1,2,3,4 The Atomic, Near Techno Park Phase - 1, Kazhakuttam</t>
  </si>
  <si>
    <t>nmra.in</t>
  </si>
  <si>
    <t>DOMAIN::nmra.in</t>
  </si>
  <si>
    <t>HST WEALTH MANAGEMENT AND RESEARCH ADVISORS PRIVATE LIMITED</t>
  </si>
  <si>
    <t>INH000028255</t>
  </si>
  <si>
    <t>HARISELVAN RADHAKRISHNAN</t>
  </si>
  <si>
    <t>10, T.S.No 5, 4th Floor, RMR Fairlands,, Park Street, Fairlands</t>
  </si>
  <si>
    <t>hari@hstio.com</t>
  </si>
  <si>
    <t>00009597299401</t>
  </si>
  <si>
    <t>SALEM</t>
  </si>
  <si>
    <t>636016</t>
  </si>
  <si>
    <t>Jun 16, 2026</t>
  </si>
  <si>
    <t>hstio.com</t>
  </si>
  <si>
    <t>DOMAIN::hstio.com</t>
  </si>
  <si>
    <t>ACUMEN CAPITAL MARKET (INDIA) LIMITED</t>
  </si>
  <si>
    <t>INH200003026</t>
  </si>
  <si>
    <t>S.T. REDDIAR &amp; SONS BUILDING,, VEEKSHANANM ROAD,</t>
  </si>
  <si>
    <t>research@acmlmail.com</t>
  </si>
  <si>
    <t>4843079100</t>
  </si>
  <si>
    <t>682035</t>
  </si>
  <si>
    <t>May 13, 2016</t>
  </si>
  <si>
    <t>acmlmail.com</t>
  </si>
  <si>
    <t>DOMAIN::acmlmail.com</t>
  </si>
  <si>
    <t>Ramakrishnan M Proprietor Well Fare Investment Advisers</t>
  </si>
  <si>
    <t>INA000018683</t>
  </si>
  <si>
    <t>Ramakrishnan Munusamy</t>
  </si>
  <si>
    <t>90/5/2 VCV Nagar, Panikampalayam Pirivu, RS Road,, Perundurai, Erode District,</t>
  </si>
  <si>
    <t>p13ramakrishnanm@iimidr.ac.in</t>
  </si>
  <si>
    <t>919363569105</t>
  </si>
  <si>
    <t>638052</t>
  </si>
  <si>
    <t>90/5/2 VCV Nagar, Panikampalayam Pirivu, RS Road, Perundurai, Erode District,</t>
  </si>
  <si>
    <t>iimidr.ac.in</t>
  </si>
  <si>
    <t>DOMAIN::iimidr.ac.in</t>
  </si>
  <si>
    <t>BALACHANDRAN RAMAN VISWANATHAN</t>
  </si>
  <si>
    <t>INA000021757</t>
  </si>
  <si>
    <t>BALACHANDRAN VISWANATHAN</t>
  </si>
  <si>
    <t>MADHURIMA, PARITHELIL PALAM, EDAPALLY,</t>
  </si>
  <si>
    <t>BALU@VISWARAM.COM</t>
  </si>
  <si>
    <t>919249425272</t>
  </si>
  <si>
    <t>Jan 30, 2026</t>
  </si>
  <si>
    <t>viswaram.com</t>
  </si>
  <si>
    <t>DOMAIN::viswaram.com</t>
  </si>
  <si>
    <t>EQUITYPANDIT FINANCIAL SERVICES PRIVATE LIMITED</t>
  </si>
  <si>
    <t>INA000006688</t>
  </si>
  <si>
    <t>ABHISHEK PARAKH</t>
  </si>
  <si>
    <t>A-488, VIDHYUT NAGAR,, AJMER ROAD</t>
  </si>
  <si>
    <t>ABHISHEK.PARAKH@EQUITYPANDIT.COM</t>
  </si>
  <si>
    <t>302019</t>
  </si>
  <si>
    <t>305, Trinnity Business Park, LP Savani Road,</t>
  </si>
  <si>
    <t>Nov 15, 2016</t>
  </si>
  <si>
    <t>equitypandit.com</t>
  </si>
  <si>
    <t>DOMAIN::equitypandit.com</t>
  </si>
  <si>
    <t>VASISTH CAPITAL PRIVATE LIMITED</t>
  </si>
  <si>
    <t>INA200014016</t>
  </si>
  <si>
    <t>RAMESH CALLORE</t>
  </si>
  <si>
    <t>65, Ground Floor, West Venkatapuram, Dinakar Nagar</t>
  </si>
  <si>
    <t>ramesh@vasisthcapital.com</t>
  </si>
  <si>
    <t>SECUNDERABAD</t>
  </si>
  <si>
    <t>500015</t>
  </si>
  <si>
    <t>Sep 30, 2019</t>
  </si>
  <si>
    <t>vasisthcapital.com</t>
  </si>
  <si>
    <t>DOMAIN::vasisthcapital.com</t>
  </si>
  <si>
    <t>Finvin Financial Planners</t>
  </si>
  <si>
    <t>INA000015534</t>
  </si>
  <si>
    <t>Melvin Joseph</t>
  </si>
  <si>
    <t>Chakkungal House Muthalakodam PO Near Stadium, Thodupuzha Kerala</t>
  </si>
  <si>
    <t>melvin@finvin.in</t>
  </si>
  <si>
    <t>685605</t>
  </si>
  <si>
    <t>Chakkungal House, Muthalakodam PO, Near Stadium, Thodupuzha, Kerala</t>
  </si>
  <si>
    <t>Dec 03, 2020</t>
  </si>
  <si>
    <t>finvin.in</t>
  </si>
  <si>
    <t>DOMAIN::finvin.in</t>
  </si>
  <si>
    <t>ASCENT FINANCIAL SOLUTIONS PVT LTD</t>
  </si>
  <si>
    <t>INA000017064</t>
  </si>
  <si>
    <t>PRAKASH LOHANA</t>
  </si>
  <si>
    <t>315-316, NOTUS IT PARK, SARABHAI CAMPUS, NEAR GENDA CIRCLE</t>
  </si>
  <si>
    <t>LOHANA_PRAKASH@ASCENTSOLUTIONS.IN</t>
  </si>
  <si>
    <t>Jun 28, 2022</t>
  </si>
  <si>
    <t>ascentsolutions.in</t>
  </si>
  <si>
    <t>DOMAIN::ascentsolutions.in</t>
  </si>
  <si>
    <t>RIGHT RETURNS FINANCIAL PLANNING LLP</t>
  </si>
  <si>
    <t>INA000004930</t>
  </si>
  <si>
    <t>208, UNIQUE INDUSTRIAL ESTATE, TWIN TOWER LANE, PRABHADEVI,</t>
  </si>
  <si>
    <t>devang@rightreturns.com</t>
  </si>
  <si>
    <t>208-209, Unique Industrial Estate, Twin Tower Lane, Prabhadevi,</t>
  </si>
  <si>
    <t>rightreturns.com</t>
  </si>
  <si>
    <t>DOMAIN::rightreturns.com</t>
  </si>
  <si>
    <t>SURESH RATHI SECURITIES PVT. LTD.</t>
  </si>
  <si>
    <t>INH000004413</t>
  </si>
  <si>
    <t>MALAY JOSHI</t>
  </si>
  <si>
    <t>11/12, MITHILA 'A' CHS LTD., J. B. NAGAR, ANDHERI (EAST),</t>
  </si>
  <si>
    <t>malay@sureshrathi.in</t>
  </si>
  <si>
    <t>1st FLOOR, MAHESH HOSTEL COMPLEX, OPP. BOMBAY MOTORS, CHOPASANI ROAD,</t>
  </si>
  <si>
    <t>342003</t>
  </si>
  <si>
    <t>sureshrathi.in</t>
  </si>
  <si>
    <t>DOMAIN::sureshrathi.in</t>
  </si>
  <si>
    <t>PORECHA SECURITIES</t>
  </si>
  <si>
    <t>INH000004495</t>
  </si>
  <si>
    <t>SAMIR PORECHA</t>
  </si>
  <si>
    <t>PG-14, ROTUNDA BLDG.,, MS MARG,</t>
  </si>
  <si>
    <t>samir@porecha.in</t>
  </si>
  <si>
    <t>PG-14, ROTUNDA BLDG., MS MARG,</t>
  </si>
  <si>
    <t>Nov 29, 2016</t>
  </si>
  <si>
    <t>porecha.in</t>
  </si>
  <si>
    <t>DOMAIN::porecha.in</t>
  </si>
  <si>
    <t>Kaviraj Securities Pvt. Ltd.</t>
  </si>
  <si>
    <t>INH000005254</t>
  </si>
  <si>
    <t>Anoop Purohit</t>
  </si>
  <si>
    <t>Office no.1, Kemp Plaza, Mind Space, malad West</t>
  </si>
  <si>
    <t>kaviraj@kavirajsecurities.com</t>
  </si>
  <si>
    <t>Oct 11, 2017</t>
  </si>
  <si>
    <t>kavirajsecurities.com</t>
  </si>
  <si>
    <t>DOMAIN::kavirajsecurities.com</t>
  </si>
  <si>
    <t>Inventure Growth &amp; Securities Limited</t>
  </si>
  <si>
    <t>INH000006129</t>
  </si>
  <si>
    <t>Bhavi Gandhi</t>
  </si>
  <si>
    <t>201, Viraj Tower,, W.E. Highway, Near Land Mark Building, Andheri (E), Mumbai-400093</t>
  </si>
  <si>
    <t>compliance@inventuregrowth.com</t>
  </si>
  <si>
    <t>201, Viraj Tower, W.E. Highway, Near Land Mark Building, Andheri (E), Mumbai-400093</t>
  </si>
  <si>
    <t>Jul 12, 2018</t>
  </si>
  <si>
    <t>inventuregrowth.com</t>
  </si>
  <si>
    <t>DOMAIN::inventuregrowth.com</t>
  </si>
  <si>
    <t>WEALTH DISCOVERY SECURITIES PRIVATE LIMITED</t>
  </si>
  <si>
    <t>INH100004571</t>
  </si>
  <si>
    <t>SACHIN BANSAL</t>
  </si>
  <si>
    <t>1206, KAILASH BUILDING, K.G. MARG, CONNAUGHT PLACE</t>
  </si>
  <si>
    <t>SACHIN@WEALTHDISCOVERY.IN</t>
  </si>
  <si>
    <t>Jan 09, 2017</t>
  </si>
  <si>
    <t>wealthdiscovery.in</t>
  </si>
  <si>
    <t>DOMAIN::wealthdiscovery.in</t>
  </si>
  <si>
    <t>OJ FINANCIAL SERVICES LTD</t>
  </si>
  <si>
    <t>INH100893674</t>
  </si>
  <si>
    <t>ARUN  GUPTA</t>
  </si>
  <si>
    <t>231 IJS PALACE, 320, DELHI GATE BAZAR, ASAF ALI ROAD</t>
  </si>
  <si>
    <t>OJ@OJFIN.COM</t>
  </si>
  <si>
    <t>Jan 30, 2017</t>
  </si>
  <si>
    <t>ojfin.com</t>
  </si>
  <si>
    <t>DOMAIN::ojfin.com</t>
  </si>
  <si>
    <t>AMBALAL SHARES &amp; STOCKS PRIVATE LIMITED</t>
  </si>
  <si>
    <t>INH200004675</t>
  </si>
  <si>
    <t>A  RAJASEKARAN</t>
  </si>
  <si>
    <t>NO 2 KEWAL CHAND PLAZA, BRINDAVAN STREET , AMB ALAL GREEN CITY , OLD BYE PASS ROAD</t>
  </si>
  <si>
    <t>asr@ambalalshares.com</t>
  </si>
  <si>
    <t>632004</t>
  </si>
  <si>
    <t>Mar 31, 2017</t>
  </si>
  <si>
    <t>ambalalshares.com</t>
  </si>
  <si>
    <t>DOMAIN::ambalalshares.com</t>
  </si>
  <si>
    <t>GOODWILL WEALTH MANAGEMENT PVT LTD</t>
  </si>
  <si>
    <t>INH200005179</t>
  </si>
  <si>
    <t>JAYAKUMAR A</t>
  </si>
  <si>
    <t>NO 9,2nd  FLOOR, MASHA ALLAH BUILDIING,, , BHEEMA SENA GARDEN STREET,  MYLAPORE</t>
  </si>
  <si>
    <t>JAYAKUMAREQUITYRESEARCH@GWCINDIA.IN</t>
  </si>
  <si>
    <t>600004</t>
  </si>
  <si>
    <t>No.73, Tarana Complex, First Floor, Sardar Patel Road, Guindy</t>
  </si>
  <si>
    <t>600032</t>
  </si>
  <si>
    <t>Sep 04, 2017</t>
  </si>
  <si>
    <t>gwcindia.in</t>
  </si>
  <si>
    <t>DOMAIN::gwcindia.in</t>
  </si>
  <si>
    <t>GAUTAM VORA - ULJK RESEARCH</t>
  </si>
  <si>
    <t>INH000006518</t>
  </si>
  <si>
    <t>GAUTAM VORA</t>
  </si>
  <si>
    <t>1119,1120, BOMBAY STOCK EXCHANGE TOWER, DALAL STREET</t>
  </si>
  <si>
    <t>customersupport@uljk.in</t>
  </si>
  <si>
    <t>uljk.in</t>
  </si>
  <si>
    <t>DOMAIN::uljk.in</t>
  </si>
  <si>
    <t>Institutional Shareholder Services India Private Limited</t>
  </si>
  <si>
    <t>INH000006554</t>
  </si>
  <si>
    <t>Ramu Nirmal</t>
  </si>
  <si>
    <t>7th and 8th floor, Central Wing, Nesco IT 4., Western Express Highway, Goregaon East</t>
  </si>
  <si>
    <t>ramu.nirmal@issgovernance.com</t>
  </si>
  <si>
    <t>issgovernance.com</t>
  </si>
  <si>
    <t>DOMAIN::issgovernance.com</t>
  </si>
  <si>
    <t>INDBANK MERCHANT BANKING SERVICES LIMITED</t>
  </si>
  <si>
    <t>INH200006576</t>
  </si>
  <si>
    <t>ASHOK KUMAR  ROUTRAY</t>
  </si>
  <si>
    <t>Indbank Merchant banking services Ltd, 1st floor Khivraj complex 1, no 480, Anna salai, Nandanam</t>
  </si>
  <si>
    <t>registered@indbankonline.com</t>
  </si>
  <si>
    <t>Nov 09, 2018</t>
  </si>
  <si>
    <t>indbankonline.com</t>
  </si>
  <si>
    <t>DOMAIN::indbankonline.com</t>
  </si>
  <si>
    <t>Jamnadas Virji Advisory</t>
  </si>
  <si>
    <t>INH000006697</t>
  </si>
  <si>
    <t>DHARAN SHAH</t>
  </si>
  <si>
    <t>J 52 Maker Tower, Cuffe Parade</t>
  </si>
  <si>
    <t>dharan@jamnadasvirji.com</t>
  </si>
  <si>
    <t>Jan 08, 2019</t>
  </si>
  <si>
    <t>jamnadasvirji.com</t>
  </si>
  <si>
    <t>DOMAIN::jamnadasvirji.com</t>
  </si>
  <si>
    <t>JAMNADAS MORARJEE SECURITIES LTD</t>
  </si>
  <si>
    <t>INH000006794</t>
  </si>
  <si>
    <t>HARSES KAMPANI</t>
  </si>
  <si>
    <t>203 204 STOCK EXCHANGE TOWER, DALAL STREET FORT</t>
  </si>
  <si>
    <t>harseskampani@jmsl.in</t>
  </si>
  <si>
    <t>Jan 29, 2019</t>
  </si>
  <si>
    <t>jmsl.in</t>
  </si>
  <si>
    <t>DOMAIN::jmsl.in</t>
  </si>
  <si>
    <t>SANTOSH KUMAR KEJRIWAL SECURITIES PVT LTD</t>
  </si>
  <si>
    <t>INH300007411</t>
  </si>
  <si>
    <t>VINAY KEJRIWAL</t>
  </si>
  <si>
    <t>6TH FLOOR, GOVIND BHAWAN, 2, BRABOURNE ROAD</t>
  </si>
  <si>
    <t>vinay@kejriwalgroup.in</t>
  </si>
  <si>
    <t>Oct 01, 2019</t>
  </si>
  <si>
    <t>kejriwalgroup.in</t>
  </si>
  <si>
    <t>DOMAIN::kejriwalgroup.in</t>
  </si>
  <si>
    <t>JAMNADAS VIRJI SHARES &amp; STOCK BROKERS PVT LTD</t>
  </si>
  <si>
    <t>INH000007483</t>
  </si>
  <si>
    <t>DIVYESH SHAH</t>
  </si>
  <si>
    <t>811-812, STOCK EXCHANGE TOWER, DALAL STREET, FORT</t>
  </si>
  <si>
    <t>divyesh@jvsons.com</t>
  </si>
  <si>
    <t>Nov 15, 2019</t>
  </si>
  <si>
    <t>jvsons.com</t>
  </si>
  <si>
    <t>DOMAIN::jvsons.com</t>
  </si>
  <si>
    <t>TRADE EDGE RESEARCH SERVICES</t>
  </si>
  <si>
    <t>INH000007553</t>
  </si>
  <si>
    <t>Dhruv Udani</t>
  </si>
  <si>
    <t>Office No. 712, 7th Floor, Surya House Bldg., , Opp. R. N. Gandhi School, Next to Vidyavihar Station, Vidyavihar (E),</t>
  </si>
  <si>
    <t>dhruv@thincredblu.com</t>
  </si>
  <si>
    <t>Feb 10, 2020</t>
  </si>
  <si>
    <t>thincredblu.com</t>
  </si>
  <si>
    <t>DOMAIN::thincredblu.com</t>
  </si>
  <si>
    <t>INH000007809</t>
  </si>
  <si>
    <t>302, Naman Centre, Plot No. C 31,, G Block, Bandra Kurla Complex, Bandra East,</t>
  </si>
  <si>
    <t>deepalimore@duesbergbosson.com</t>
  </si>
  <si>
    <t>302, Naman Centre, Plot No. C 31, G Block, Bandra Kurla Complex, Bandra East,</t>
  </si>
  <si>
    <t>Oct 08, 2020</t>
  </si>
  <si>
    <t>duesbergbosson.com</t>
  </si>
  <si>
    <t>DOMAIN::duesbergbosson.com</t>
  </si>
  <si>
    <t>KEYNOTE CAPITALS LIMITED</t>
  </si>
  <si>
    <t>INH000007997</t>
  </si>
  <si>
    <t>DEVIN JOSHI</t>
  </si>
  <si>
    <t>THE RUBY, 9TH FLOOR,, SENAPATI BAPAT MARG, DADAR WEST,</t>
  </si>
  <si>
    <t>devin@keynoteindia.net</t>
  </si>
  <si>
    <t>THE RUBY, 9TH FLOOR, SENAPATI BAPAT MARG, DADAR WEST,</t>
  </si>
  <si>
    <t>Dec 15, 2020</t>
  </si>
  <si>
    <t>keynoteindia.net</t>
  </si>
  <si>
    <t>DOMAIN::keynoteindia.net</t>
  </si>
  <si>
    <t>JRK STOCK BROKING PVT LIMITED</t>
  </si>
  <si>
    <t>INH300008881</t>
  </si>
  <si>
    <t>BIRENDRA JAIN</t>
  </si>
  <si>
    <t>TOBACCO HOUSE, 1 OLD COURT HOUSE CORNER, 3RD FLOOR, ROOM NO - 301</t>
  </si>
  <si>
    <t>bjain@jrkgroup.in</t>
  </si>
  <si>
    <t>Nov 24, 2021</t>
  </si>
  <si>
    <t>jrkgroup.in</t>
  </si>
  <si>
    <t>DOMAIN::jrkgroup.in</t>
  </si>
  <si>
    <t>Mintbox Solutions Private Limited</t>
  </si>
  <si>
    <t>INH000009524</t>
  </si>
  <si>
    <t>Anurag Bhalerao</t>
  </si>
  <si>
    <t>Flat 2703, Amanda B Wing, Hiranandani Meadows,, G.A. RD Vasant Vihar</t>
  </si>
  <si>
    <t>anurag@mintbox.ai</t>
  </si>
  <si>
    <t>Flat 2703, Amanda B Wing, Hiranandani Meadows, G.A. RD Vasant Vihar</t>
  </si>
  <si>
    <t>mintbox.ai</t>
  </si>
  <si>
    <t>DOMAIN::mintbox.ai</t>
  </si>
  <si>
    <t>VIDFIN TECHNOLOGIES PRIVATE LIMITED</t>
  </si>
  <si>
    <t>INH100009752</t>
  </si>
  <si>
    <t>Vaibhav Tewatia</t>
  </si>
  <si>
    <t>C1 48 49, 4th Floor, Deep Vihar, Sec 24, Rohini,, Badli, North West Delhi,</t>
  </si>
  <si>
    <t>vaibhav@vidfin.com</t>
  </si>
  <si>
    <t>110042</t>
  </si>
  <si>
    <t>F-652, 3rd Floor, Palam Extension, Dwarka Sector - 7</t>
  </si>
  <si>
    <t>vidfin.com</t>
  </si>
  <si>
    <t>DOMAIN::vidfin.com</t>
  </si>
  <si>
    <t>KAMAYAKYA WEALTH MANAGEMENT PRIVATE LIMITED</t>
  </si>
  <si>
    <t>INH000009843</t>
  </si>
  <si>
    <t>Aniket Kulkarni</t>
  </si>
  <si>
    <t>Flat No. A-6, Second Floor, New Nirmal CHS, Plot No. 189, Survey No. 347, Dhole Patil Road, Above Zamus Place</t>
  </si>
  <si>
    <t>aniket@kamayakya.com</t>
  </si>
  <si>
    <t>Flat No. 11,New Nirmal CHS, 347, 3rd Floor, Plot Number. 189, Dhole Patil Road, Above Hotel Zamus Place, Ghorapadi, Haveli,</t>
  </si>
  <si>
    <t>kamayakya.com</t>
  </si>
  <si>
    <t>DOMAIN::kamayakya.com</t>
  </si>
  <si>
    <t>SHARES BAZAAR PRIVATE LIMITED</t>
  </si>
  <si>
    <t>INH200010001</t>
  </si>
  <si>
    <t>Bhupal  Nanavath</t>
  </si>
  <si>
    <t>15-31-S3/MMC/719-A, 7th Floor, KPHB Colony, 2nd Phase, Kukatpally, Hyderabad</t>
  </si>
  <si>
    <t>nbnaik@sharesbazaar.com</t>
  </si>
  <si>
    <t>Jul 27, 2022</t>
  </si>
  <si>
    <t>sharesbazaar.com</t>
  </si>
  <si>
    <t>DOMAIN::sharesbazaar.com</t>
  </si>
  <si>
    <t>INH000011149</t>
  </si>
  <si>
    <t>Sneha Jain</t>
  </si>
  <si>
    <t>Dec 23, 2022</t>
  </si>
  <si>
    <t>Fynocrat Technologies Private Limited</t>
  </si>
  <si>
    <t>INH000011918</t>
  </si>
  <si>
    <t>Gaurav Goel</t>
  </si>
  <si>
    <t>K-286, Site V, Kasna Industrial Area, Greater Noida, Noida, Gautam Buddha Nagar</t>
  </si>
  <si>
    <t>gaurav@fynocrat.com</t>
  </si>
  <si>
    <t>Office No. 910,9th Floor,Tower A, Ithum Tower, Sec 62  Noida, Delhi NCR</t>
  </si>
  <si>
    <t>Mar 15, 2023</t>
  </si>
  <si>
    <t>fynocrat.com</t>
  </si>
  <si>
    <t>DOMAIN::fynocrat.com</t>
  </si>
  <si>
    <t>WEALTHYIN BROKING PRIVATE LIMITED</t>
  </si>
  <si>
    <t>INH000012175</t>
  </si>
  <si>
    <t>RAKHESH R</t>
  </si>
  <si>
    <t>PN Plaza, 1090/B, Ground Floor, 18th Cross Rd, , 3rd Sector, HSR Layout, Bengaluru, Karnataka 560102</t>
  </si>
  <si>
    <t>rakhesh@wealthy.in</t>
  </si>
  <si>
    <t>Apr 05, 2023</t>
  </si>
  <si>
    <t>wealthy.in</t>
  </si>
  <si>
    <t>DOMAIN::wealthy.in</t>
  </si>
  <si>
    <t>SOVEREIGN GLOBAL MARKETS PRIVATE LIMITED</t>
  </si>
  <si>
    <t>INH000012263</t>
  </si>
  <si>
    <t>UMESH  TULSYAN</t>
  </si>
  <si>
    <t>409, 4th Floor, Mercantile House, Connaught Place</t>
  </si>
  <si>
    <t>umesh.tulsyan@sovereignglobal.in</t>
  </si>
  <si>
    <t>Apr 17, 2023</t>
  </si>
  <si>
    <t>sovereignglobal.in</t>
  </si>
  <si>
    <t>DOMAIN::sovereignglobal.in</t>
  </si>
  <si>
    <t>Chhotastock Research &amp; Finance Private Limited</t>
  </si>
  <si>
    <t>INH000012281</t>
  </si>
  <si>
    <t>Mithun Venkatramana</t>
  </si>
  <si>
    <t>L151 3rd Floor CK Pearl, 5th Main Road HSR Layout Sector 6</t>
  </si>
  <si>
    <t>mithun@chhotastock.com</t>
  </si>
  <si>
    <t>Apr 25, 2023</t>
  </si>
  <si>
    <t>chhotastock.com</t>
  </si>
  <si>
    <t>DOMAIN::chhotastock.com</t>
  </si>
  <si>
    <t>Intensive Fiscal Services Private Limited</t>
  </si>
  <si>
    <t>INH000012397</t>
  </si>
  <si>
    <t>Shreyans  Surana</t>
  </si>
  <si>
    <t>914 Raheja Chambers  Fress Press Journal Marg , Nariman Point</t>
  </si>
  <si>
    <t>shreyans@intensivefiscal.com</t>
  </si>
  <si>
    <t>intensivefiscal.com</t>
  </si>
  <si>
    <t>DOMAIN::intensivefiscal.com</t>
  </si>
  <si>
    <t>FINTEREST CAPITAL RESEARCH PRIVATE LIMITED</t>
  </si>
  <si>
    <t>INH000012458</t>
  </si>
  <si>
    <t>Nikhil Oswal</t>
  </si>
  <si>
    <t>Office No 804 8th Floor Prasad Chambers, Opera House Tata Road No 2 Girgaon</t>
  </si>
  <si>
    <t>nikhil.oswal@finterestcapital.com</t>
  </si>
  <si>
    <t>Jun 21, 2023</t>
  </si>
  <si>
    <t>finterestcapital.com</t>
  </si>
  <si>
    <t>DOMAIN::finterestcapital.com</t>
  </si>
  <si>
    <t>PANKAJ MANGALDAS SECURITIES PVT LTD</t>
  </si>
  <si>
    <t>INH000013341</t>
  </si>
  <si>
    <t>KARAN THAKKAR</t>
  </si>
  <si>
    <t>701, PJ TOWER, DALAL STREET, FORT</t>
  </si>
  <si>
    <t>compliance@pmsec.in</t>
  </si>
  <si>
    <t>411, 4th Floor, Atlantic Commercial Tower, , RBMehta Road,GhatkoparEast</t>
  </si>
  <si>
    <t>pmsec.in</t>
  </si>
  <si>
    <t>DOMAIN::pmsec.in</t>
  </si>
  <si>
    <t>STOXVERSE RESEARCH ANALYTICS PRIVATE LIMITED</t>
  </si>
  <si>
    <t>INH000013411</t>
  </si>
  <si>
    <t>Praveen Burigalla Liander</t>
  </si>
  <si>
    <t>SYNO126,PSR Prime Towers Gachibowli Village, Gachibowli Seri Lingampally K.V.Rangareddy</t>
  </si>
  <si>
    <t>praveen@stoxverse.com</t>
  </si>
  <si>
    <t>stoxverse.com</t>
  </si>
  <si>
    <t>DOMAIN::stoxverse.com</t>
  </si>
  <si>
    <t>Capitalsquare Financial Services Private Limited</t>
  </si>
  <si>
    <t>INH000014085</t>
  </si>
  <si>
    <t>Sunil Kumar Manocha</t>
  </si>
  <si>
    <t>208, 2nd Floor, Aarpee Centre,, MIDC Road No. 11, Andheri- East, Mumbai-400093.</t>
  </si>
  <si>
    <t>sunil.manocha@capitalsquare.in</t>
  </si>
  <si>
    <t>208, 2nd Floor, Aarpee Centre, MIDC Road No. 11, Andheri- East, Mumbai-400093.</t>
  </si>
  <si>
    <t>capitalsquare.in</t>
  </si>
  <si>
    <t>DOMAIN::capitalsquare.in</t>
  </si>
  <si>
    <t>GSB Securities Private Limited</t>
  </si>
  <si>
    <t>INH000014094</t>
  </si>
  <si>
    <t>Suyash Biyani</t>
  </si>
  <si>
    <t>ML Spaces, A Wing, 402, 4th Floor, DJ Road, Vile Parle W</t>
  </si>
  <si>
    <t>research@gsbgroup.co.in</t>
  </si>
  <si>
    <t>gsbgroup.co.in</t>
  </si>
  <si>
    <t>DOMAIN::gsbgroup.co.in</t>
  </si>
  <si>
    <t>BIGARC ANALYTICA PRIVATE LIMITED</t>
  </si>
  <si>
    <t>INH000014243</t>
  </si>
  <si>
    <t>DILIP KUMAR</t>
  </si>
  <si>
    <t>56/A/3 SN BANERJEE ROADPS-TITAGARH, Barrackpore, North 24 Parganas,</t>
  </si>
  <si>
    <t>dilip.kumar@bigarc.in</t>
  </si>
  <si>
    <t>700120</t>
  </si>
  <si>
    <t>Jan 01, 2024</t>
  </si>
  <si>
    <t>bigarc.in</t>
  </si>
  <si>
    <t>DOMAIN::bigarc.in</t>
  </si>
  <si>
    <t>LAKSHMISHREE INVESTMENT AND SECURITIES LIMITED</t>
  </si>
  <si>
    <t>INH000014395</t>
  </si>
  <si>
    <t>ABHISHEK SHARMA</t>
  </si>
  <si>
    <t>Unit No 407, IV Floor, Marathon Icon,, Marathon Nextgen Campus, Ganpat Rao Kadam Marg, Opposite Peninsula Corporate Park, Lower Parel ,</t>
  </si>
  <si>
    <t>compliance@lakshmishree.com</t>
  </si>
  <si>
    <t>Unit No 407, IV Floor, Marathon Icon, Marathon Nextgen Campus, Ganpat Rao Kadam Marg, Opposite Peninsula Corporate Park, Lower Parel ,</t>
  </si>
  <si>
    <t>Jan 08, 2024</t>
  </si>
  <si>
    <t>lakshmishree.com</t>
  </si>
  <si>
    <t>DOMAIN::lakshmishree.com</t>
  </si>
  <si>
    <t>InGovern Research Services Pvt Ltd</t>
  </si>
  <si>
    <t>INH000014429</t>
  </si>
  <si>
    <t>Shriram Subramanian</t>
  </si>
  <si>
    <t>B604 Meenakshi Classic Apts, 27th Main HSR Layout Sector 1</t>
  </si>
  <si>
    <t>info@ingovern.com</t>
  </si>
  <si>
    <t>ingovern.com</t>
  </si>
  <si>
    <t>DOMAIN::ingovern.com</t>
  </si>
  <si>
    <t>IntelliRecommend Research Private Ltd</t>
  </si>
  <si>
    <t>INH000014766</t>
  </si>
  <si>
    <t>Manish Ahuja</t>
  </si>
  <si>
    <t>B1402, The Palm Drive, Golf Course Extn Road, Sector 66</t>
  </si>
  <si>
    <t>manish.ahuja@intelliinvest.com</t>
  </si>
  <si>
    <t>intelliinvest.com</t>
  </si>
  <si>
    <t>DOMAIN::intelliinvest.com</t>
  </si>
  <si>
    <t>TRADEVISOR FINNOVATIONS PRIVATE LIMITED</t>
  </si>
  <si>
    <t>INH000015109</t>
  </si>
  <si>
    <t>Dhiraj Sagar</t>
  </si>
  <si>
    <t>Shop No Ug/15, Upper Ground Floor, Empire State Building, Ring Road, Surat Textile Market, Surat City</t>
  </si>
  <si>
    <t>connect@tradevisor.in</t>
  </si>
  <si>
    <t>tradevisor.in</t>
  </si>
  <si>
    <t>DOMAIN::tradevisor.in</t>
  </si>
  <si>
    <t>KHANDWALA SECURITIES LIMITED</t>
  </si>
  <si>
    <t>INH000015206</t>
  </si>
  <si>
    <t>ABHISHEK JOSHI</t>
  </si>
  <si>
    <t>G7, Vikas Building, Ground Floor, Green Street, Fort, Mumbai</t>
  </si>
  <si>
    <t>abhishek.joshi@kslindia.com</t>
  </si>
  <si>
    <t>kslindia.com</t>
  </si>
  <si>
    <t>DOMAIN::kslindia.com</t>
  </si>
  <si>
    <t>Fifty Fintech Private Limited</t>
  </si>
  <si>
    <t>INH000015260</t>
  </si>
  <si>
    <t>Aditya Prasad</t>
  </si>
  <si>
    <t>71 Shree Nivas, Broad Acres Stud farm, IVRI rd, Avalahalli, Prestige Garden Bay, Bangalore</t>
  </si>
  <si>
    <t>aditya@50fin.in</t>
  </si>
  <si>
    <t>560064</t>
  </si>
  <si>
    <t>50fin.in</t>
  </si>
  <si>
    <t>DOMAIN::50fin.in</t>
  </si>
  <si>
    <t>COVESTING TECHNOLOGIES PRIVATE LIMITED</t>
  </si>
  <si>
    <t>INH000015835</t>
  </si>
  <si>
    <t>Anmol Shaha</t>
  </si>
  <si>
    <t>12, 7th Cross road,1A block 3rd block, Koramangala l Block, South Bangalore</t>
  </si>
  <si>
    <t>team@covesting.in</t>
  </si>
  <si>
    <t>Apr 04, 2024</t>
  </si>
  <si>
    <t>covesting.in</t>
  </si>
  <si>
    <t>DOMAIN::covesting.in</t>
  </si>
  <si>
    <t>Ashika Global Family Office Services Private Limited</t>
  </si>
  <si>
    <t>INH000015987</t>
  </si>
  <si>
    <t>Nawal Kedia</t>
  </si>
  <si>
    <t>Trinity, 7th floor, 226/1 AJC Bose Road</t>
  </si>
  <si>
    <t>nawalkishore@ashikagroup.com</t>
  </si>
  <si>
    <t>1008 Raheja Centre, 214 Nariman Point, 10th floor</t>
  </si>
  <si>
    <t>May 02, 2024</t>
  </si>
  <si>
    <t>Bestmate Investment Services Pvt. Ltd.</t>
  </si>
  <si>
    <t>INH000015996</t>
  </si>
  <si>
    <t>Pradeep Suryavanshi</t>
  </si>
  <si>
    <t>OFFICE NO.605, TOWER A, CORPORATE PARK, SECTOR - 142</t>
  </si>
  <si>
    <t>pradeep@bestmate.in</t>
  </si>
  <si>
    <t>May 07, 2024</t>
  </si>
  <si>
    <t>bestmate.in</t>
  </si>
  <si>
    <t>DOMAIN::bestmate.in</t>
  </si>
  <si>
    <t>EERIMA DIGITOOLS PVT LTD</t>
  </si>
  <si>
    <t>INH000016010</t>
  </si>
  <si>
    <t>VINAYAK KANVINDE</t>
  </si>
  <si>
    <t>Flat No. 101, Wing B, 1st floor, Pooja Galaxy, Pooja Complex, Ghodbunder Road, Next to Vijay Nagari</t>
  </si>
  <si>
    <t>vinayak@qualscore.in</t>
  </si>
  <si>
    <t>qualscore.in</t>
  </si>
  <si>
    <t>DOMAIN::qualscore.in</t>
  </si>
  <si>
    <t>NU Investors Technologies Private Ltd</t>
  </si>
  <si>
    <t>INH000016764</t>
  </si>
  <si>
    <t>Rakhesh R</t>
  </si>
  <si>
    <t>Galaxy, Unit No. 603, A Wing, Everest Grand, Mahakali Caves Road, Opp. Ahura Centre, Andheri East, Chakala Midc</t>
  </si>
  <si>
    <t>compliance@lemonn.co.in</t>
  </si>
  <si>
    <t>Galaxy, Unit No. 603, A Wing, Everest Grand, Mahakali Caves Road, Opp Ahura Centre, Andheri East,</t>
  </si>
  <si>
    <t>lemonn.co.in</t>
  </si>
  <si>
    <t>DOMAIN::lemonn.co.in</t>
  </si>
  <si>
    <t>Coheron Brokers Private Limited</t>
  </si>
  <si>
    <t>INH000016773</t>
  </si>
  <si>
    <t>Jignesh  Patel</t>
  </si>
  <si>
    <t>1609 LODHA CODENAME NO ONE LODHA PLACE, SENAPATI BAPAT MARG LOWER PAREL DELISLE ROAD</t>
  </si>
  <si>
    <t>compliance@negenwealth.com</t>
  </si>
  <si>
    <t>negenwealth.com</t>
  </si>
  <si>
    <t>DOMAIN::negenwealth.com</t>
  </si>
  <si>
    <t>STREETGAINS TECHNOLOGIES PRIVATE LIMITED</t>
  </si>
  <si>
    <t>INH000017082</t>
  </si>
  <si>
    <t>SANTHOSH V</t>
  </si>
  <si>
    <t>No.2, A Basaveshwara HBCS, 2nd stage 4th Main, Chandra Lay Out</t>
  </si>
  <si>
    <t>compliance@streetgains.in</t>
  </si>
  <si>
    <t>560040</t>
  </si>
  <si>
    <t>Jun 28, 2024</t>
  </si>
  <si>
    <t>streetgains.in</t>
  </si>
  <si>
    <t>DOMAIN::streetgains.in</t>
  </si>
  <si>
    <t>YOBEE RESEARCH PRIVATE LIMITED</t>
  </si>
  <si>
    <t>INH000017550</t>
  </si>
  <si>
    <t>SALIL MATHUR</t>
  </si>
  <si>
    <t>C2 602, Cherry County, Tech Zone 4, GREATER NOIDA, Gautam Buddha Nagar</t>
  </si>
  <si>
    <t>salil@yobee.co.in</t>
  </si>
  <si>
    <t>yobee.co.in</t>
  </si>
  <si>
    <t>DOMAIN::yobee.co.in</t>
  </si>
  <si>
    <t>Mandot Securities Private Limited</t>
  </si>
  <si>
    <t>INH000017648</t>
  </si>
  <si>
    <t>Amit  Jain</t>
  </si>
  <si>
    <t>217 Silver Sanchora Castle , 7 R N T Marg</t>
  </si>
  <si>
    <t>info@mandotsecurities.com</t>
  </si>
  <si>
    <t>mandotsecurities.com</t>
  </si>
  <si>
    <t>DOMAIN::mandotsecurities.com</t>
  </si>
  <si>
    <t>NDA Securities Limited</t>
  </si>
  <si>
    <t>INH000017903</t>
  </si>
  <si>
    <t>Rishabh Rajora</t>
  </si>
  <si>
    <t>E 157, 2nd Floor, Kalkaji</t>
  </si>
  <si>
    <t>equityresearch@ndaindia.com</t>
  </si>
  <si>
    <t>ndaindia.com</t>
  </si>
  <si>
    <t>DOMAIN::ndaindia.com</t>
  </si>
  <si>
    <t>PUNE E - STOCK BROKING LIMITED</t>
  </si>
  <si>
    <t>INH000018197</t>
  </si>
  <si>
    <t>Drumil Shah</t>
  </si>
  <si>
    <t>PL No. 1198, Subhash Nagar, Mr. Nanavati Colony Lane 3</t>
  </si>
  <si>
    <t>drumilshah@pesb.co.in</t>
  </si>
  <si>
    <t>411002</t>
  </si>
  <si>
    <t>pesb.co.in</t>
  </si>
  <si>
    <t>DOMAIN::pesb.co.in</t>
  </si>
  <si>
    <t>Quantace Research and Capital Private Limited</t>
  </si>
  <si>
    <t>INH000018258</t>
  </si>
  <si>
    <t>Karthick  Jonagadla</t>
  </si>
  <si>
    <t>Office No.06 B104, We Work Spectrum Tower, 6th Floor, Mindspace,, Chincholi Bunder Road, Off Link Road, Malad West, Malad, Mumbai,</t>
  </si>
  <si>
    <t>karthick@quantace.in</t>
  </si>
  <si>
    <t>Office No.06 B104, We Work Spectrum Tower, 6th Floor, Mindspace, Chincholi Bunder Road, Off Link Road, Malad West, Malad, Mumbai,</t>
  </si>
  <si>
    <t>quantace.in</t>
  </si>
  <si>
    <t>DOMAIN::quantace.in</t>
  </si>
  <si>
    <t>VENTUGROW CONSULTANTS PRIVATE LIMITED</t>
  </si>
  <si>
    <t>INH000018762</t>
  </si>
  <si>
    <t>Sumit Chanda</t>
  </si>
  <si>
    <t>Unit 701, 7th Floor, Dheeraj Kawal,, LBS Marg, Mumbai City, Vikhroli</t>
  </si>
  <si>
    <t>compliance@jarvisinvest.com</t>
  </si>
  <si>
    <t>Unit 701, 7th Floor, Dheeraj Kawal, LBS Marg, Mumbai City, Vikhroli</t>
  </si>
  <si>
    <t>Nov 05, 2024</t>
  </si>
  <si>
    <t>jarvisinvest.com</t>
  </si>
  <si>
    <t>DOMAIN::jarvisinvest.com</t>
  </si>
  <si>
    <t>AJIT SINGH DUA</t>
  </si>
  <si>
    <t>INA000000631</t>
  </si>
  <si>
    <t>A-706, COTTAGE LAND,, SECTOR 19QA, NERUL,</t>
  </si>
  <si>
    <t>ajit@wallflower.co.in</t>
  </si>
  <si>
    <t>022 27707047</t>
  </si>
  <si>
    <t>A-706, Cottage Land, Sector 19QA, Nerul,</t>
  </si>
  <si>
    <t>Dec 26, 2013</t>
  </si>
  <si>
    <t>wallflower.co.in</t>
  </si>
  <si>
    <t>DOMAIN::wallflower.co.in</t>
  </si>
  <si>
    <t>KALPESH N ASHAR</t>
  </si>
  <si>
    <t>INA000001027</t>
  </si>
  <si>
    <t>KALPESH  Ashar</t>
  </si>
  <si>
    <t>OFFICE NO.402,ADAMJI BUILDING,413, NARSHI NATHA STREET MASJID (WEST)</t>
  </si>
  <si>
    <t>kalpesh@fullcirclefpa.com</t>
  </si>
  <si>
    <t>919820878009</t>
  </si>
  <si>
    <t>400009</t>
  </si>
  <si>
    <t>Feb 06, 2014</t>
  </si>
  <si>
    <t>fullcirclefpa.com</t>
  </si>
  <si>
    <t>DOMAIN::fullcirclefpa.com</t>
  </si>
  <si>
    <t>HARSH VARDHAN DAWAR</t>
  </si>
  <si>
    <t>INA000002173</t>
  </si>
  <si>
    <t>1301/A, HILL VIEW PARK, THAKUR VILLAGE, KANDIVALI EAST</t>
  </si>
  <si>
    <t>harsh@wealthcafe.in</t>
  </si>
  <si>
    <t>022 28878545</t>
  </si>
  <si>
    <t>Sep 01, 2014</t>
  </si>
  <si>
    <t>wealthcafe.in</t>
  </si>
  <si>
    <t>DOMAIN::wealthcafe.in</t>
  </si>
  <si>
    <t>Nishit Vinay Shah</t>
  </si>
  <si>
    <t>INA000004146</t>
  </si>
  <si>
    <t>NISHIT SHAH</t>
  </si>
  <si>
    <t>HIMALAYA APARTMENT, FLAT NO 5, NEW MANEKLAL ESTATE, RAMLEELA MAIDAN, GHATKOPAR WEST</t>
  </si>
  <si>
    <t>nishit@visolitech.com</t>
  </si>
  <si>
    <t>02240044744</t>
  </si>
  <si>
    <t>139, Jaygopal Industrial Estate, Bhavani Shankar X Road,Dadar (West)</t>
  </si>
  <si>
    <t>visolitech.com</t>
  </si>
  <si>
    <t>DOMAIN::visolitech.com</t>
  </si>
  <si>
    <t>HEMENDRA GANDHI</t>
  </si>
  <si>
    <t>INA000004237</t>
  </si>
  <si>
    <t>Hemendra Gandhi</t>
  </si>
  <si>
    <t>38th Floor, E, A Wing Wintergreen, Rivali Park, Near Metro Mall,, Datta Pada Road, Magathane, Borivali East</t>
  </si>
  <si>
    <t>info@hgcapital.in</t>
  </si>
  <si>
    <t>919930805139</t>
  </si>
  <si>
    <t>38th Floor, E, A Wing Wintergreen, Rivali Park, Near Metro Mall, Datta Pada Road, Magathane, Borivali East</t>
  </si>
  <si>
    <t>Feb 24, 2016</t>
  </si>
  <si>
    <t>hgcapital.in</t>
  </si>
  <si>
    <t>DOMAIN::hgcapital.in</t>
  </si>
  <si>
    <t>Atul Mishra (Proprietor - AMIGOS FINSERV)</t>
  </si>
  <si>
    <t>INA000004245</t>
  </si>
  <si>
    <t>ATUL MISHRA</t>
  </si>
  <si>
    <t>1105, A-Wing, Iris, Near Western Express Highway,, Next to JP Infra, Mira Road (East), Mira-Bhayandar,</t>
  </si>
  <si>
    <t>atul@amigosfinserv.com</t>
  </si>
  <si>
    <t>00919820798844</t>
  </si>
  <si>
    <t>1105, A-Wing, Iris, Near Western Express Highway, Next to JP Infra, Mira Road (East), Mira-Bhayandar,</t>
  </si>
  <si>
    <t>Feb 26, 2016</t>
  </si>
  <si>
    <t>amigosfinserv.com</t>
  </si>
  <si>
    <t>DOMAIN::amigosfinserv.com</t>
  </si>
  <si>
    <t>ANMOL GUPTA PROP. SEVEN PROSPER FINANCIAL PLANNERS</t>
  </si>
  <si>
    <t>INA000005622</t>
  </si>
  <si>
    <t>ANMOL GUPTA</t>
  </si>
  <si>
    <t>2308 D, SECTOR E, SUDAMA NAGAR</t>
  </si>
  <si>
    <t>anmol@sevenprosper.com</t>
  </si>
  <si>
    <t>07314041638</t>
  </si>
  <si>
    <t>2308 D, Sector E, Sudama Nagar</t>
  </si>
  <si>
    <t>sevenprosper.com</t>
  </si>
  <si>
    <t>DOMAIN::sevenprosper.com</t>
  </si>
  <si>
    <t>Abhijit Talukdar</t>
  </si>
  <si>
    <t>INA000006703</t>
  </si>
  <si>
    <t>A602, Magnolia Enclave, Nahar Amrit Shakti, Chandivali</t>
  </si>
  <si>
    <t>abhijit.talukdar@attainix.com</t>
  </si>
  <si>
    <t>919324291687</t>
  </si>
  <si>
    <t>E-404, Ivy building, Mahindra Splendour, LBS road, Bhandup (West),</t>
  </si>
  <si>
    <t>attainix.com</t>
  </si>
  <si>
    <t>DOMAIN::attainix.com</t>
  </si>
  <si>
    <t>SH ANKUR KAPUR</t>
  </si>
  <si>
    <t>INA100001406</t>
  </si>
  <si>
    <t>SH Ankur Kapur</t>
  </si>
  <si>
    <t>9B SHIVALIK APARTMENT PLOT NO 32, SECTOR 6 DWARKA</t>
  </si>
  <si>
    <t>advisor@ankurkapur.com</t>
  </si>
  <si>
    <t>919899581185</t>
  </si>
  <si>
    <t>N 281, DLF Park Place, DLF Phase 5, Sector 54, Gurugram,</t>
  </si>
  <si>
    <t>Mar 31, 2014</t>
  </si>
  <si>
    <t>ankurkapur.com</t>
  </si>
  <si>
    <t>DOMAIN::ankurkapur.com</t>
  </si>
  <si>
    <t>ABHISHEK KUMAR</t>
  </si>
  <si>
    <t>INA100008045</t>
  </si>
  <si>
    <t>Abhishek Kumar</t>
  </si>
  <si>
    <t>H-301, Umang Winter Hills, Metro Pillar 768,, Dwarka Mor, Sewak Park,</t>
  </si>
  <si>
    <t>abhishekk@sahajmoney.com</t>
  </si>
  <si>
    <t>918861764646</t>
  </si>
  <si>
    <t>110059</t>
  </si>
  <si>
    <t>H-301, Umang Winter Hills, Metro Pillar 768, Dwarka Mor, Sewak Park,</t>
  </si>
  <si>
    <t>Jul 13, 2017</t>
  </si>
  <si>
    <t>sahajmoney.com</t>
  </si>
  <si>
    <t>DOMAIN::sahajmoney.com</t>
  </si>
  <si>
    <t>RENU MAHESHWARI</t>
  </si>
  <si>
    <t>INA200000589</t>
  </si>
  <si>
    <t>P-101, THE ATRIUM, 22, KALAKSHETRA ROAD,, THIRUVANMIYUR,</t>
  </si>
  <si>
    <t>renu.maheshwari@finscholarz.in</t>
  </si>
  <si>
    <t>044 4215 4468</t>
  </si>
  <si>
    <t>P-101, The Atrium, 22, Kalakshetra Road, Thiruvanmiyur,</t>
  </si>
  <si>
    <t>Dec 23, 2013</t>
  </si>
  <si>
    <t>finscholarz.in</t>
  </si>
  <si>
    <t>DOMAIN::finscholarz.in</t>
  </si>
  <si>
    <t>MAHESH B PUTTAMADAPPA</t>
  </si>
  <si>
    <t>INA200002361</t>
  </si>
  <si>
    <t>434, 13TH MAIN, 3RD CROSS, SRINIVASANAGAR, 2ND PHASE</t>
  </si>
  <si>
    <t>maheshbp@mbpia.in</t>
  </si>
  <si>
    <t>919880366277</t>
  </si>
  <si>
    <t>560050</t>
  </si>
  <si>
    <t>Nov 05, 2014</t>
  </si>
  <si>
    <t>mbpia.in</t>
  </si>
  <si>
    <t>DOMAIN::mbpia.in</t>
  </si>
  <si>
    <t>Bharat Jain (Proprietor of Manthan Research and Advisory)</t>
  </si>
  <si>
    <t>INA200005109</t>
  </si>
  <si>
    <t>BHARAT  JAIN</t>
  </si>
  <si>
    <t>ABHINANDAN KLP PROJECTS PVT LTD, 1B BLOCK SHOP NO S4 E, STRAHANS ROAD,</t>
  </si>
  <si>
    <t>info@manthanresearch.com</t>
  </si>
  <si>
    <t>919884623521</t>
  </si>
  <si>
    <t>600012</t>
  </si>
  <si>
    <t>KLP ABHINADNAN APTS,  P BLOCK, , FLAT 701, 7th FLOOR  1-30 PERAMBUR BARRACKS ROAD,</t>
  </si>
  <si>
    <t>Jul 11, 2016</t>
  </si>
  <si>
    <t>manthanresearch.com</t>
  </si>
  <si>
    <t>DOMAIN::manthanresearch.com</t>
  </si>
  <si>
    <t>NISHITH. B</t>
  </si>
  <si>
    <t>INA200005158</t>
  </si>
  <si>
    <t>Nishith NISHITH B</t>
  </si>
  <si>
    <t>B 502 GEETANJALI APARTMENT, , NO 15 MEDAVAKKAM TANK ROAD, 2ND STREET, KILPAUK</t>
  </si>
  <si>
    <t>nishith@shreefinancial.com</t>
  </si>
  <si>
    <t>919840718371</t>
  </si>
  <si>
    <t>B 502 Geetanjali Apartment, , No 15 Medavakkam tank Road, 2nd Street, Kilpauk</t>
  </si>
  <si>
    <t>Jul 19, 2016</t>
  </si>
  <si>
    <t>shreefinancial.com</t>
  </si>
  <si>
    <t>DOMAIN::shreefinancial.com</t>
  </si>
  <si>
    <t>Sudheer M</t>
  </si>
  <si>
    <t>INA200010986</t>
  </si>
  <si>
    <t>620, Ground Floor, 16th B Main, 3rd Cross, 3rd Block, Koramangala</t>
  </si>
  <si>
    <t>sudheer@prasidhi.in</t>
  </si>
  <si>
    <t>919620177540</t>
  </si>
  <si>
    <t>Jul 02, 2018</t>
  </si>
  <si>
    <t>prasidhi.in</t>
  </si>
  <si>
    <t>DOMAIN::prasidhi.in</t>
  </si>
  <si>
    <t>Narayan Kamath Kandel Proprietor of Finplifi Financial Planners and Consultants</t>
  </si>
  <si>
    <t>INA200011240</t>
  </si>
  <si>
    <t>Narayan Kamath</t>
  </si>
  <si>
    <t>No. 206, Raja Rajeshwari Residency,, Chikka Banaswadi Main Road, Ramaiah Reddy Layout,</t>
  </si>
  <si>
    <t>narayan.kamath@finplifi.com</t>
  </si>
  <si>
    <t>00919986004424</t>
  </si>
  <si>
    <t>No. 206, Raja Rajeshwari Residency, Chikka Banaswadi Main Road, Ramaiah Reddy Layout,</t>
  </si>
  <si>
    <t>Jul 24, 2018</t>
  </si>
  <si>
    <t>finplifi.com</t>
  </si>
  <si>
    <t>DOMAIN::finplifi.com</t>
  </si>
  <si>
    <t>RAHUL AGARWAL (PROPRIETOR OF ADVENT FINANCIAL)</t>
  </si>
  <si>
    <t>INA300003616</t>
  </si>
  <si>
    <t>RAHUL AGARWAL</t>
  </si>
  <si>
    <t>1704 Water Lily, Nahar Amrit Shakti, Chandivali</t>
  </si>
  <si>
    <t>rahul@adventfa.com</t>
  </si>
  <si>
    <t>(033) 2486 5085</t>
  </si>
  <si>
    <t>Goldwin Gunjan, 3rd Floor, 19B Paddapukur Lane</t>
  </si>
  <si>
    <t>Oct 08, 2015</t>
  </si>
  <si>
    <t>adventfa.com</t>
  </si>
  <si>
    <t>DOMAIN::adventfa.com</t>
  </si>
  <si>
    <t>Biswarup Sinha Ray</t>
  </si>
  <si>
    <t>INA300008614</t>
  </si>
  <si>
    <t>17/2D K. P. Chatterjee Lane, Behala</t>
  </si>
  <si>
    <t>biswarup@viniyogindia.com</t>
  </si>
  <si>
    <t>00916291268415</t>
  </si>
  <si>
    <t>700034</t>
  </si>
  <si>
    <t>viniyogindia.com</t>
  </si>
  <si>
    <t>DOMAIN::viniyogindia.com</t>
  </si>
  <si>
    <t>Arijit Sen</t>
  </si>
  <si>
    <t>INA300012723</t>
  </si>
  <si>
    <t>Arup Residency II, Block B, 2nd Floor, Flat No. 2B,, 1827/1, Chakgaria, Panchasayar</t>
  </si>
  <si>
    <t>arijitsen@merrymind.in</t>
  </si>
  <si>
    <t>09674663431</t>
  </si>
  <si>
    <t>700094</t>
  </si>
  <si>
    <t>Arup Residency II, Block B, 2nd Floor, Flat No. 2B, 1827/1, Chakgaria, Panchasayar</t>
  </si>
  <si>
    <t>Mar 18, 2019</t>
  </si>
  <si>
    <t>merrymind.in</t>
  </si>
  <si>
    <t>DOMAIN::merrymind.in</t>
  </si>
  <si>
    <t>Ravi Saraogi</t>
  </si>
  <si>
    <t>INA200013983</t>
  </si>
  <si>
    <t>D401, The Atrium, Kalakshetra Road,, Thiruvanmiyur,</t>
  </si>
  <si>
    <t>ravi.saraogi@samasthiti.in</t>
  </si>
  <si>
    <t>917358115733</t>
  </si>
  <si>
    <t>D401, The Atrium, Kalakshetra Road, Thiruvanmiyur,</t>
  </si>
  <si>
    <t>Sep 17, 2019</t>
  </si>
  <si>
    <t>samasthiti.in</t>
  </si>
  <si>
    <t>DOMAIN::samasthiti.in</t>
  </si>
  <si>
    <t>Chethan Dhruva</t>
  </si>
  <si>
    <t>INA200014724</t>
  </si>
  <si>
    <t>CHETHAN DHRUVA</t>
  </si>
  <si>
    <t>605B, Renaissance Park 3  Apartments, Subramanyanagar 1st Main Road</t>
  </si>
  <si>
    <t>chethan_dhruva@chethandhruvaadvisory.in</t>
  </si>
  <si>
    <t>919845345369</t>
  </si>
  <si>
    <t>560055</t>
  </si>
  <si>
    <t>Jun 02, 2020</t>
  </si>
  <si>
    <t>chethandhruvaadvisory.in</t>
  </si>
  <si>
    <t>DOMAIN::chethandhruvaadvisory.in</t>
  </si>
  <si>
    <t>MAHESH KABRA (PROPRIETOR : TAURUSCAP INVESTMENT ADVISERS)</t>
  </si>
  <si>
    <t>INA000015923</t>
  </si>
  <si>
    <t>Mahesh Kabra</t>
  </si>
  <si>
    <t>502 A, Maheshwar Prakash 2, Cottage Lane, SV Road, Santacruz West</t>
  </si>
  <si>
    <t>mahesh@tauruscap.in</t>
  </si>
  <si>
    <t>917710099850</t>
  </si>
  <si>
    <t>Jul 06, 2021</t>
  </si>
  <si>
    <t>tauruscap.in</t>
  </si>
  <si>
    <t>DOMAIN::tauruscap.in</t>
  </si>
  <si>
    <t>Prashanth Sekhar</t>
  </si>
  <si>
    <t>INA200016412</t>
  </si>
  <si>
    <t>Euphoria, Elcot Avenue, Sholinganallur</t>
  </si>
  <si>
    <t>prashanth@sekhicapital.com</t>
  </si>
  <si>
    <t>919940050541</t>
  </si>
  <si>
    <t>600119</t>
  </si>
  <si>
    <t>Nov 25, 2021</t>
  </si>
  <si>
    <t>sekhicapital.com</t>
  </si>
  <si>
    <t>DOMAIN::sekhicapital.com</t>
  </si>
  <si>
    <t>Varun Ginodia - Proprietor Bulwark Advisors</t>
  </si>
  <si>
    <t>INA000016764</t>
  </si>
  <si>
    <t>Varun Ginodia</t>
  </si>
  <si>
    <t>E 2306, Anmol Fortune, 23rd Floor,, Unnat Nagar Rd No. 1, Off. MG Road, Goregaon W</t>
  </si>
  <si>
    <t>varun@bulwarkadvisors.in</t>
  </si>
  <si>
    <t>919819711898</t>
  </si>
  <si>
    <t>E 2306, Anmol Fortune, 23rd Floor, Unnat Nagar Rd No. 1, Off. MG Road, Goregaon W</t>
  </si>
  <si>
    <t>bulwarkadvisors.in</t>
  </si>
  <si>
    <t>DOMAIN::bulwarkadvisors.in</t>
  </si>
  <si>
    <t>Arun Mathur Proprietor of Dhantripti Financial Planners</t>
  </si>
  <si>
    <t>INA000017499</t>
  </si>
  <si>
    <t>Arun  Mathur</t>
  </si>
  <si>
    <t>Flat No 803 Tower 38 , Lotus Espacia Sector 100 Gautam Buddha Nagar</t>
  </si>
  <si>
    <t>arunmathur@dhantripti.com</t>
  </si>
  <si>
    <t>919910253723</t>
  </si>
  <si>
    <t>dhantripti.com</t>
  </si>
  <si>
    <t>DOMAIN::dhantripti.com</t>
  </si>
  <si>
    <t>Urvil Bharatkumar Modi</t>
  </si>
  <si>
    <t>INA000017611</t>
  </si>
  <si>
    <t>Urvil Modi</t>
  </si>
  <si>
    <t>K 605 Greenwoods, MV Road, Near WEH Metro Station, Andheri East</t>
  </si>
  <si>
    <t>urvil@samriddhi.life</t>
  </si>
  <si>
    <t>910229892800524</t>
  </si>
  <si>
    <t>samriddhi.life</t>
  </si>
  <si>
    <t>DOMAIN::samriddhi.life</t>
  </si>
  <si>
    <t>Anshul Khare Proprietor of Inertia Equities for Wealth</t>
  </si>
  <si>
    <t>INA000018090</t>
  </si>
  <si>
    <t>Anshul  Khare</t>
  </si>
  <si>
    <t>S No.227,228,229, Bldg E4, F No. 403, Rohan Mithilla</t>
  </si>
  <si>
    <t>anshul.khare@equities4wealth.com</t>
  </si>
  <si>
    <t>91009881127924</t>
  </si>
  <si>
    <t>Jun 16, 2023</t>
  </si>
  <si>
    <t>equities4wealth.com</t>
  </si>
  <si>
    <t>DOMAIN::equities4wealth.com</t>
  </si>
  <si>
    <t>Jahnvi Deepak Goradia</t>
  </si>
  <si>
    <t>INA000018753</t>
  </si>
  <si>
    <t>Jahnvi Goradia</t>
  </si>
  <si>
    <t>101, Sahyadri Building, Neelkanth Valley,, 7th Road Rajawadi, Ghatkopar East</t>
  </si>
  <si>
    <t>connect@jcurvecapital.in</t>
  </si>
  <si>
    <t>919820373002</t>
  </si>
  <si>
    <t>101, Sahyadri Building, Neelkanth Valley, 7th Road Rajawadi, Ghatkopar East</t>
  </si>
  <si>
    <t>Jan 10, 2024</t>
  </si>
  <si>
    <t>jcurvecapital.in</t>
  </si>
  <si>
    <t>DOMAIN::jcurvecapital.in</t>
  </si>
  <si>
    <t>Vinod Chinnaya Bangera- Proprietor- Karvin Capital</t>
  </si>
  <si>
    <t>INA000018823</t>
  </si>
  <si>
    <t>Vinod Bangera</t>
  </si>
  <si>
    <t>Seventh, B-703, Oberoi Splendor Jogeshwari Vikhroli Link Road,, Jogeshwari East</t>
  </si>
  <si>
    <t>vinod.bangera@karvincapital.com</t>
  </si>
  <si>
    <t>919987772345</t>
  </si>
  <si>
    <t>Seventh, B-703, Oberoi Splendor Jogeshwari Vikhroli Link Road, Jogeshwari East</t>
  </si>
  <si>
    <t>Feb 08, 2024</t>
  </si>
  <si>
    <t>karvincapital.com</t>
  </si>
  <si>
    <t>DOMAIN::karvincapital.com</t>
  </si>
  <si>
    <t>Girish Ganaraj Proprietor of Finwise Financial Planners and Advisors</t>
  </si>
  <si>
    <t>INA000018850</t>
  </si>
  <si>
    <t>Girish Ganaraj</t>
  </si>
  <si>
    <t>141-A, Centrum Tower, Barkat Ali Road,, Wadala East</t>
  </si>
  <si>
    <t>girishg.ria@finwise.in</t>
  </si>
  <si>
    <t>00919820818007</t>
  </si>
  <si>
    <t>141-A, Centrum Tower, Barkat Ali Road, Wadala East</t>
  </si>
  <si>
    <t>finwise.in</t>
  </si>
  <si>
    <t>DOMAIN::finwise.in</t>
  </si>
  <si>
    <t>Abhishek Goel proprietor Primedin Investment Adviser</t>
  </si>
  <si>
    <t>INA000018258</t>
  </si>
  <si>
    <t>Abhishek Goel</t>
  </si>
  <si>
    <t>G-502, Parsvnath Prestige, Sector 93A, Noida,</t>
  </si>
  <si>
    <t>abhi@finexadvisors.in</t>
  </si>
  <si>
    <t>918800572090</t>
  </si>
  <si>
    <t>Jul 24, 2023</t>
  </si>
  <si>
    <t>finexadvisors.in</t>
  </si>
  <si>
    <t>DOMAIN::finexadvisors.in</t>
  </si>
  <si>
    <t>Vishal Bharat Shah</t>
  </si>
  <si>
    <t>INA000019220</t>
  </si>
  <si>
    <t>Vishal  Shah</t>
  </si>
  <si>
    <t>C 302, Lorelle Society, Datta Mandir Road,, Shankar Kalat Nagar, Wakad</t>
  </si>
  <si>
    <t>vishal.shah@bachhat.money</t>
  </si>
  <si>
    <t>00917387458677</t>
  </si>
  <si>
    <t>C 302, Lorelle Society, Datta Mandir Road, Shankar Kalat Nagar, Wakad</t>
  </si>
  <si>
    <t>bachhat.money</t>
  </si>
  <si>
    <t>DOMAIN::bachhat.money</t>
  </si>
  <si>
    <t>Madhur Gundecha Sole Proprietor of Ligna Wealth Advisors</t>
  </si>
  <si>
    <t>INA000019248</t>
  </si>
  <si>
    <t>Madhur Gundecha</t>
  </si>
  <si>
    <t>Flat No. X-3118, 3rd Floor, Plot No-3, Akshar Business Park, , Sector 25 Vashi, Road, Navi Mumbai</t>
  </si>
  <si>
    <t>madhur.gundecha@lignawealth.com</t>
  </si>
  <si>
    <t>919820765887</t>
  </si>
  <si>
    <t>lignawealth.com</t>
  </si>
  <si>
    <t>DOMAIN::lignawealth.com</t>
  </si>
  <si>
    <t>Seshaphani Jonnalagadda Proprietor of Invest Street Investment Advisers</t>
  </si>
  <si>
    <t>INA000019390</t>
  </si>
  <si>
    <t>Seshaphani Jonnalagadda Proprietor of Invest Street Investment</t>
  </si>
  <si>
    <t>36/5, 3rd Floor, Hustlehub Tech Park, Sector 2, HSR Layout,</t>
  </si>
  <si>
    <t>support@investstreet.in</t>
  </si>
  <si>
    <t>919878247365</t>
  </si>
  <si>
    <t>Jul 18, 2024</t>
  </si>
  <si>
    <t>investstreet.in</t>
  </si>
  <si>
    <t>DOMAIN::investstreet.in</t>
  </si>
  <si>
    <t>N Prabhanjan Rao Proprietor Elysian Investment Advisory Services</t>
  </si>
  <si>
    <t>INA000019406</t>
  </si>
  <si>
    <t>N Prabhanjan Rao</t>
  </si>
  <si>
    <t>7, Sridevi Complex, NAT Street,, Basavanagudi,</t>
  </si>
  <si>
    <t>rao@cfooptimus.com</t>
  </si>
  <si>
    <t>917760796280</t>
  </si>
  <si>
    <t>7, Sridevi Complex, NAT Street, Basavanagudi,</t>
  </si>
  <si>
    <t>cfooptimus.com</t>
  </si>
  <si>
    <t>DOMAIN::cfooptimus.com</t>
  </si>
  <si>
    <t>Abhishek Phore - Proprietor Control Wealth Advisers</t>
  </si>
  <si>
    <t>INA000019442</t>
  </si>
  <si>
    <t>Abhishek Phore</t>
  </si>
  <si>
    <t>146-C 1st Floor, Hastsal, Uttam Nagar,</t>
  </si>
  <si>
    <t>abhishek.phore@controlwealth.co.in</t>
  </si>
  <si>
    <t>917042121964</t>
  </si>
  <si>
    <t>Jul 31, 2024</t>
  </si>
  <si>
    <t>controlwealth.co.in</t>
  </si>
  <si>
    <t>DOMAIN::controlwealth.co.in</t>
  </si>
  <si>
    <t>Malay Kirti Shah</t>
  </si>
  <si>
    <t>INA000019619</t>
  </si>
  <si>
    <t>10th Floor, C-1005, August Park,, 1st B Cross Road</t>
  </si>
  <si>
    <t>malayshah@crispidea.com</t>
  </si>
  <si>
    <t>919916106105</t>
  </si>
  <si>
    <t>10th Floor, C-1005, August Park, 1st B Cross Road</t>
  </si>
  <si>
    <t>Oct 18, 2024</t>
  </si>
  <si>
    <t>crispidea.com</t>
  </si>
  <si>
    <t>DOMAIN::crispidea.com</t>
  </si>
  <si>
    <t>Saurabh Aggarwal Proprietor Eraqus Investment Advisors</t>
  </si>
  <si>
    <t>INA000019983</t>
  </si>
  <si>
    <t>Saurabh Aggarwal</t>
  </si>
  <si>
    <t>A-145, DLF Capital Greens , Shivaji Marg , Karam Pura, West Delhi</t>
  </si>
  <si>
    <t>Saurabh@eraqusia.com</t>
  </si>
  <si>
    <t>919899024347</t>
  </si>
  <si>
    <t>110015</t>
  </si>
  <si>
    <t>eraqusia.com</t>
  </si>
  <si>
    <t>DOMAIN::eraqusia.com</t>
  </si>
  <si>
    <t>PRATEEK SINGH</t>
  </si>
  <si>
    <t>INA000020077</t>
  </si>
  <si>
    <t>D64, DGS Apartment, Plot 6, Sector 22,, Dwarka</t>
  </si>
  <si>
    <t>prateek@azadparivaar.com</t>
  </si>
  <si>
    <t>919818998252</t>
  </si>
  <si>
    <t>D64, DGS Apartment, Plot 6, Sector 22, Dwarka</t>
  </si>
  <si>
    <t>azadparivaar.com</t>
  </si>
  <si>
    <t>DOMAIN::azadparivaar.com</t>
  </si>
  <si>
    <t>Pradip Prabir Banerjee</t>
  </si>
  <si>
    <t>INA000020183</t>
  </si>
  <si>
    <t>Pradip Banerjee</t>
  </si>
  <si>
    <t>A/149 ROOM NO 298 VIVEK APARTMENT FLAT NO 5 , NR GURUNANAK SCHOOL KURLA CAMP ULHASNAGAR</t>
  </si>
  <si>
    <t>info@pradippbanerjeeria.com</t>
  </si>
  <si>
    <t>919819788297</t>
  </si>
  <si>
    <t>421004</t>
  </si>
  <si>
    <t>C-924/925 ROOM NO 1847/1848 OM SAI RAM APT, FLAT NO 304 KURLA CAMP ROAD KAILASH COLONY ULHASNAGAR</t>
  </si>
  <si>
    <t>421005</t>
  </si>
  <si>
    <t>pradippbanerjeeria.com</t>
  </si>
  <si>
    <t>DOMAIN::pradippbanerjeeria.com</t>
  </si>
  <si>
    <t>Navinkumar Mishra Proprietor NM India Investment Advisers</t>
  </si>
  <si>
    <t>INA000020235</t>
  </si>
  <si>
    <t>Navinkumar Mishra</t>
  </si>
  <si>
    <t>303, Konark Shram Building,, 156, Tardeo Road,</t>
  </si>
  <si>
    <t>navin@nmindiaadvisers.com</t>
  </si>
  <si>
    <t>919702597119</t>
  </si>
  <si>
    <t>303, Konark Shram Building, 156, Tardeo Road,</t>
  </si>
  <si>
    <t>May 30, 2025</t>
  </si>
  <si>
    <t>nmindiaadvisers.com</t>
  </si>
  <si>
    <t>DOMAIN::nmindiaadvisers.com</t>
  </si>
  <si>
    <t>Varun Srivastava</t>
  </si>
  <si>
    <t>INA000020448</t>
  </si>
  <si>
    <t>122, Tower 1A, Kalpataru Aura,, LBS Marg, Ghatkopar West,</t>
  </si>
  <si>
    <t>p14varuns@iima.ac.in</t>
  </si>
  <si>
    <t>919560042118</t>
  </si>
  <si>
    <t>122, Tower 1A, Kalpataru Aura, LBS Marg, Ghatkopar West,</t>
  </si>
  <si>
    <t>iima.ac.in</t>
  </si>
  <si>
    <t>DOMAIN::iima.ac.in</t>
  </si>
  <si>
    <t>N Raghu Kumar</t>
  </si>
  <si>
    <t>INA000020527</t>
  </si>
  <si>
    <t>N Raghu  Kumar</t>
  </si>
  <si>
    <t>F263, 6th Cross, BEL Layout 1st Stage,, Anjananagar, Bangalore,</t>
  </si>
  <si>
    <t>raghu@finsim.in</t>
  </si>
  <si>
    <t>00919880627311</t>
  </si>
  <si>
    <t>560091</t>
  </si>
  <si>
    <t>F263, 6th Cross, BEL Layout 1st Stage, Anjananagar, Bangalore,</t>
  </si>
  <si>
    <t>finsim.in</t>
  </si>
  <si>
    <t>DOMAIN::finsim.in</t>
  </si>
  <si>
    <t>TARUN ROKADIYA</t>
  </si>
  <si>
    <t>INA000020882</t>
  </si>
  <si>
    <t>301 Heritage Opus, Near Green Acres,Opp, Auda lake  Prahladnagar, Ahmedabad</t>
  </si>
  <si>
    <t>tarun@risewell.in</t>
  </si>
  <si>
    <t>919925001701</t>
  </si>
  <si>
    <t>risewell.in</t>
  </si>
  <si>
    <t>DOMAIN::risewell.in</t>
  </si>
  <si>
    <t>Viresh P Patel</t>
  </si>
  <si>
    <t>INA000021076</t>
  </si>
  <si>
    <t>Flat No 3 Borivali Sonmarg CHS LTD NR W E, Highway Kasturba Road Borivali East</t>
  </si>
  <si>
    <t>ia.planner@vireshpatel.com</t>
  </si>
  <si>
    <t>917083346003</t>
  </si>
  <si>
    <t>Sep 29, 2025</t>
  </si>
  <si>
    <t>vireshpatel.com</t>
  </si>
  <si>
    <t>DOMAIN::vireshpatel.com</t>
  </si>
  <si>
    <t>Sudip Dipten Putatunda</t>
  </si>
  <si>
    <t>INA000021359</t>
  </si>
  <si>
    <t>Sudip  Putatunda</t>
  </si>
  <si>
    <t>3, Ground Floor, UNMESH CHS, OLD PRABHADEVI ROAD, SHANTARAM SHIRDHANKAR ROAD, PRABHADEVI</t>
  </si>
  <si>
    <t>sudip@putatunda.com</t>
  </si>
  <si>
    <t>919820309303</t>
  </si>
  <si>
    <t>putatunda.com</t>
  </si>
  <si>
    <t>DOMAIN::putatunda.com</t>
  </si>
  <si>
    <t>Vijay Rajendra Kotak Proprietor of Brytlink Wealth Management</t>
  </si>
  <si>
    <t>INA000021827</t>
  </si>
  <si>
    <t>Vijay Kotak</t>
  </si>
  <si>
    <t>K-602, Park Tittanium Park Street, Aundh Chest Hospital Road, Near Kalewadi  Phata, Wakad</t>
  </si>
  <si>
    <t>vijaykotak@brytlink.com</t>
  </si>
  <si>
    <t>00919028007843</t>
  </si>
  <si>
    <t>Feb 12, 2026</t>
  </si>
  <si>
    <t>brytlink.com</t>
  </si>
  <si>
    <t>DOMAIN::brytlink.com</t>
  </si>
  <si>
    <t>INA000022127</t>
  </si>
  <si>
    <t>702, 7th Floor, Corinthian Bldg, Plot No 370, Linking Road, Cts No E/286B, Khar (w)</t>
  </si>
  <si>
    <t>jay.shah@iiml.org</t>
  </si>
  <si>
    <t>000918369103997</t>
  </si>
  <si>
    <t>Apr 06, 2026</t>
  </si>
  <si>
    <t>iiml.org</t>
  </si>
  <si>
    <t>DOMAIN::iiml.org</t>
  </si>
  <si>
    <t>Arjit Anand</t>
  </si>
  <si>
    <t>INA000022507</t>
  </si>
  <si>
    <t>HD 260, Wework Embassy TechVillage, Block L, Devarabisanahalli, Outer Ring Road, Bellandur</t>
  </si>
  <si>
    <t>arjita@iridiumcapital.co.in</t>
  </si>
  <si>
    <t>00919380007218</t>
  </si>
  <si>
    <t>iridiumcapital.co.in</t>
  </si>
  <si>
    <t>DOMAIN::iridiumcapital.co.in</t>
  </si>
  <si>
    <t>Vijayan N Proprietor Vudhi FinTech</t>
  </si>
  <si>
    <t>INA000022640</t>
  </si>
  <si>
    <t>Vijayan N Vijayan</t>
  </si>
  <si>
    <t>Vudhi FinTech, G1, 4 608, V.O.C. Street, Desk No. 499, Kottivakkam, Perungudi, OMR</t>
  </si>
  <si>
    <t>vjn@vudhi.com</t>
  </si>
  <si>
    <t>0000000000000000</t>
  </si>
  <si>
    <t>May 27, 2026</t>
  </si>
  <si>
    <t>vudhi.com</t>
  </si>
  <si>
    <t>DOMAIN::vudhi.com</t>
  </si>
  <si>
    <t>SAKSHUM KESHORE JAIN</t>
  </si>
  <si>
    <t>INA000022880</t>
  </si>
  <si>
    <t>SAKSHUM JAIN</t>
  </si>
  <si>
    <t>957, Ground floor, Dr. Mukherjee Nagar</t>
  </si>
  <si>
    <t>sakshum@sthiros.money</t>
  </si>
  <si>
    <t>00919911110958</t>
  </si>
  <si>
    <t>Jun 24, 2026</t>
  </si>
  <si>
    <t>sthiros.money</t>
  </si>
  <si>
    <t>DOMAIN::sthiros.money</t>
  </si>
  <si>
    <t>Kedia Stocks and Commodities Research Pvt Ltd</t>
  </si>
  <si>
    <t>INH000006156</t>
  </si>
  <si>
    <t>Ajay Kedia</t>
  </si>
  <si>
    <t>Aadinath Commercial, Opposite. Mumbai University, Vasant Valley Road, Khadakpada, KalyanWest</t>
  </si>
  <si>
    <t>info@kediacommodity.com</t>
  </si>
  <si>
    <t>KALYAN-DOMBIVALI</t>
  </si>
  <si>
    <t>Aug 03, 2018</t>
  </si>
  <si>
    <t>kediacommodity.com</t>
  </si>
  <si>
    <t>DOMAIN::kediacommodity.com</t>
  </si>
  <si>
    <t>JK SECURITIES PRIVATE LIMITED</t>
  </si>
  <si>
    <t>INH000007289</t>
  </si>
  <si>
    <t>MANISH SHAH</t>
  </si>
  <si>
    <t>Opp. People's Bank Park,, Sardar Gunj, Anand-388001</t>
  </si>
  <si>
    <t>manish@jksecurities.com</t>
  </si>
  <si>
    <t>ANAND</t>
  </si>
  <si>
    <t>388001</t>
  </si>
  <si>
    <t>Opp. People's Bank Park, Sardar Gunj, Anand-388001</t>
  </si>
  <si>
    <t>Jul 12, 2019</t>
  </si>
  <si>
    <t>jksecurities.com</t>
  </si>
  <si>
    <t>DOMAIN::jksecurities.com</t>
  </si>
  <si>
    <t>RAGHUNANDAN CAPITAL PRIVATE LIMITED</t>
  </si>
  <si>
    <t>INH000010335</t>
  </si>
  <si>
    <t>NARENDRA SINGH</t>
  </si>
  <si>
    <t>Unit 601 To 602 A, 6th Floor, DSCCSL 53E Road 5C, Block 53, Zone 5, DTA Gandhinagar</t>
  </si>
  <si>
    <t>RMCOMPLIANCE@RMONEYINDIA.COM</t>
  </si>
  <si>
    <t>26 257B SULTANGANJ, NEAR ASHISH PALACE</t>
  </si>
  <si>
    <t>AGRA</t>
  </si>
  <si>
    <t>282004</t>
  </si>
  <si>
    <t>rmoneyindia.com</t>
  </si>
  <si>
    <t>DOMAIN::rmoneyindia.com</t>
  </si>
  <si>
    <t>ANS PRIVATE LIMITED</t>
  </si>
  <si>
    <t>INH000012421</t>
  </si>
  <si>
    <t>MAHAVIR TOSHNIWAL</t>
  </si>
  <si>
    <t>501, 502 &amp; 502A, 5th Floor, DSCCSL, 53 E, Block 53, Zone- 5, GIFT City</t>
  </si>
  <si>
    <t>MTF@ANSPL.NET</t>
  </si>
  <si>
    <t>Arham Financial Centre, Panchnath Main Road, Harihar Chowk,</t>
  </si>
  <si>
    <t>Jun 12, 2023</t>
  </si>
  <si>
    <t>anspl.net</t>
  </si>
  <si>
    <t>DOMAIN::anspl.net</t>
  </si>
  <si>
    <t>ASTHA CREDIT AND SECURITIES PRIVATE LIMITED</t>
  </si>
  <si>
    <t>INH000013332</t>
  </si>
  <si>
    <t>CHITRANGANA SINGH</t>
  </si>
  <si>
    <t>F-01 138/42 USHA PREET COMPLEX,, MALVIYA NAGAR</t>
  </si>
  <si>
    <t>compliance@asthatrade.com</t>
  </si>
  <si>
    <t>462003</t>
  </si>
  <si>
    <t>F-01 138/42 USHA PREET COMPLEX, MALVIYA NAGAR</t>
  </si>
  <si>
    <t>asthatrade.com</t>
  </si>
  <si>
    <t>DOMAIN::asthatrade.com</t>
  </si>
  <si>
    <t>Dailyraven Technologies Private Limited</t>
  </si>
  <si>
    <t>INH000015729</t>
  </si>
  <si>
    <t>Kritesh Abhishek</t>
  </si>
  <si>
    <t>H/O Suman Sinha, East Laxmi Nagar, Khemnichak, Sampatchak</t>
  </si>
  <si>
    <t>kritesh@tradebrains.in</t>
  </si>
  <si>
    <t>800027</t>
  </si>
  <si>
    <t>No 1212, First Floor, SBM Fortune, 22nd Cross , Club Road, Sector 3, HSR Layout</t>
  </si>
  <si>
    <t>Mar 21, 2024</t>
  </si>
  <si>
    <t>tradebrains.in</t>
  </si>
  <si>
    <t>DOMAIN::tradebrains.in</t>
  </si>
  <si>
    <t>Booming Bulls Finserv Pvt Ltd</t>
  </si>
  <si>
    <t>INH000016348</t>
  </si>
  <si>
    <t>NEHA  SINGH</t>
  </si>
  <si>
    <t>C/o Usha Sekhri, W/o B.N.Sekhri, A-24, Cross Street No. 6, Smriti Nagar, Bhilai, Durg</t>
  </si>
  <si>
    <t>neha@boomingbullsfinserv.com</t>
  </si>
  <si>
    <t>BHILAI</t>
  </si>
  <si>
    <t>490020</t>
  </si>
  <si>
    <t>Plot No. RC-11, Shop No. 2, RSS Nagar, Korba</t>
  </si>
  <si>
    <t>KORBA</t>
  </si>
  <si>
    <t>495677</t>
  </si>
  <si>
    <t>boomingbullsfinserv.com</t>
  </si>
  <si>
    <t>DOMAIN::boomingbullsfinserv.com</t>
  </si>
  <si>
    <t>WIINANCE FINANCIAL SERVICES PRIVATE LIMITED</t>
  </si>
  <si>
    <t>INH000017329</t>
  </si>
  <si>
    <t>KAPIL KUMAR VASHISHTHA</t>
  </si>
  <si>
    <t>PLOT NO 8 MAIN GOPAL PURA BYE PASS, TRIVENI NAGAR JAIPUR</t>
  </si>
  <si>
    <t>KAPIL.VASHISHTHA@WIINANCE.COM</t>
  </si>
  <si>
    <t>701 EMBASSY CHAMBER 3RD ROAD, KHAR WEST</t>
  </si>
  <si>
    <t>Jul 04, 2024</t>
  </si>
  <si>
    <t>wiinance.com</t>
  </si>
  <si>
    <t>DOMAIN::wiinance.com</t>
  </si>
  <si>
    <t>BANA FINTECH PVT LTD</t>
  </si>
  <si>
    <t>INH000018045</t>
  </si>
  <si>
    <t>NILESH PATEL</t>
  </si>
  <si>
    <t>Matoshree, Plot No 2103 31, Rukmininagar</t>
  </si>
  <si>
    <t>nilesh@stockhero.in</t>
  </si>
  <si>
    <t>KOLHAPUR</t>
  </si>
  <si>
    <t>416005</t>
  </si>
  <si>
    <t>Aug 01, 2024</t>
  </si>
  <si>
    <t>stockhero.in</t>
  </si>
  <si>
    <t>DOMAIN::stockhero.in</t>
  </si>
  <si>
    <t>ARIHANT CAPITAL MARKETS LTD.</t>
  </si>
  <si>
    <t>INH000002764</t>
  </si>
  <si>
    <t>601, Atlantis Tower, Plot No. , 13 A, Scheme N0. 78,</t>
  </si>
  <si>
    <t>dinesh.ahuja@arihantcapital.com</t>
  </si>
  <si>
    <t>Mar 11, 2016</t>
  </si>
  <si>
    <t>arihantcapital.com</t>
  </si>
  <si>
    <t>DOMAIN::arihantcapital.com</t>
  </si>
  <si>
    <t>INH300002902</t>
  </si>
  <si>
    <t>BIOWONDER, level- 17 , 789, Anandapur, Eastern Metropolitan Bypass , Near Fortis Hospital</t>
  </si>
  <si>
    <t>anil.shukla@skpmoneywise.com</t>
  </si>
  <si>
    <t>hatterjee International Centre (Level 21), 33A, J.L. Nehru Road</t>
  </si>
  <si>
    <t>Apr 26, 2016</t>
  </si>
  <si>
    <t>skpmoneywise.com</t>
  </si>
  <si>
    <t>DOMAIN::skpmoneywise.com</t>
  </si>
  <si>
    <t>EAST INDIA SECURITIES LTD</t>
  </si>
  <si>
    <t>INH300003231</t>
  </si>
  <si>
    <t>10/1 D, LAL BAZAR STREET, 3RD FLOOR, MERCANTILE BUILDING</t>
  </si>
  <si>
    <t>sanjeevm@eisec.com</t>
  </si>
  <si>
    <t>Jul 13, 2016</t>
  </si>
  <si>
    <t>eisec.com</t>
  </si>
  <si>
    <t>DOMAIN::eisec.com</t>
  </si>
  <si>
    <t>KRISHNA RATH</t>
  </si>
  <si>
    <t>INA000002892</t>
  </si>
  <si>
    <t>KRISHNA  RATH</t>
  </si>
  <si>
    <t>8th Floor SRB Towers, Infocity Patia Bhubaneswar Odisha</t>
  </si>
  <si>
    <t>connect@finvestor.in</t>
  </si>
  <si>
    <t>221237219446724</t>
  </si>
  <si>
    <t>BHUBANESWAR</t>
  </si>
  <si>
    <t>ODISHA</t>
  </si>
  <si>
    <t>751024</t>
  </si>
  <si>
    <t>8th Floor SRB Towers Infocity Patia Bhubaneswar Odisha</t>
  </si>
  <si>
    <t>Apr 01, 2015</t>
  </si>
  <si>
    <t>finvestor.in</t>
  </si>
  <si>
    <t>C - Later</t>
  </si>
  <si>
    <t>DOMAIN::finvestor.in</t>
  </si>
  <si>
    <t>Keep for later enrichment</t>
  </si>
  <si>
    <t>prashant Dubey</t>
  </si>
  <si>
    <t>INA100008771</t>
  </si>
  <si>
    <t>Prashant Dubey</t>
  </si>
  <si>
    <t>GP 12, Ganganagar, Mawana Road,</t>
  </si>
  <si>
    <t>prashantdubey@hillviewglobalfin.com</t>
  </si>
  <si>
    <t>919560744510</t>
  </si>
  <si>
    <t>Nov 02, 2017</t>
  </si>
  <si>
    <t>hillviewglobalfin.com</t>
  </si>
  <si>
    <t>DOMAIN::hillviewglobalfin.com</t>
  </si>
  <si>
    <t>Prashant Raghuwanshi Proprietor Investment Solution Providers</t>
  </si>
  <si>
    <t>INA100009381</t>
  </si>
  <si>
    <t>Prashant Raghuwanshi</t>
  </si>
  <si>
    <t>3rd Floor, Ideashacks Building, 14/3 Mathura Road Near Metro Pillar 564</t>
  </si>
  <si>
    <t>support@mybillions.in</t>
  </si>
  <si>
    <t>919871933301</t>
  </si>
  <si>
    <t>121003</t>
  </si>
  <si>
    <t>Dec 21, 2017</t>
  </si>
  <si>
    <t>mybillions.in</t>
  </si>
  <si>
    <t>DOMAIN::mybillions.in</t>
  </si>
  <si>
    <t>ABUBAKR SIDDIQUE. A.G.</t>
  </si>
  <si>
    <t>INA200000910</t>
  </si>
  <si>
    <t>No.46, 2nd Cross Street, Sri Moogambigai Nagar, Thanampalayam</t>
  </si>
  <si>
    <t>myplanner@wealthtraits.com</t>
  </si>
  <si>
    <t>4422641424</t>
  </si>
  <si>
    <t>PUDUCHERRY</t>
  </si>
  <si>
    <t>605007</t>
  </si>
  <si>
    <t>No.6, Ponni Amman Koil 2nd Street, C. Pallavaram,</t>
  </si>
  <si>
    <t>600043</t>
  </si>
  <si>
    <t>Jan 27, 2014</t>
  </si>
  <si>
    <t>wealthtraits.com</t>
  </si>
  <si>
    <t>DOMAIN::wealthtraits.com</t>
  </si>
  <si>
    <t>Maxie Jose (Sole Proprietor),  Affluenz Wealth Advisors</t>
  </si>
  <si>
    <t>INA200001231</t>
  </si>
  <si>
    <t>Maxie Jose</t>
  </si>
  <si>
    <t>Level 1, MIG 386, Panampilly Nagar</t>
  </si>
  <si>
    <t>maxiejose@affluenzwealth.com</t>
  </si>
  <si>
    <t>00914843567751</t>
  </si>
  <si>
    <t>LEVEL 1 MIG 386, PANAMPILLY NAGAR</t>
  </si>
  <si>
    <t>Mar 12, 2014</t>
  </si>
  <si>
    <t>affluenzwealth.com</t>
  </si>
  <si>
    <t>DOMAIN::affluenzwealth.com</t>
  </si>
  <si>
    <t>SATISH RAJAN N</t>
  </si>
  <si>
    <t>INA200002189</t>
  </si>
  <si>
    <t>7A INFRA GALLANT, LAYAM ROAD</t>
  </si>
  <si>
    <t>satish@satishrajan.com</t>
  </si>
  <si>
    <t>04844022650</t>
  </si>
  <si>
    <t>NO. 3, 4TH FLOOR, JEWEL ARCADE, LAYAM ROAD</t>
  </si>
  <si>
    <t>Sep 03, 2014</t>
  </si>
  <si>
    <t>satishrajan.com</t>
  </si>
  <si>
    <t>DOMAIN::satishrajan.com</t>
  </si>
  <si>
    <t>PENAGALURU VENKATA RAVITEJA</t>
  </si>
  <si>
    <t>INA200010904</t>
  </si>
  <si>
    <t>6/133-C SANKARAPURAM</t>
  </si>
  <si>
    <t>raviteja@globallyunique.in</t>
  </si>
  <si>
    <t>09618355264</t>
  </si>
  <si>
    <t>KADAPA</t>
  </si>
  <si>
    <t>516002</t>
  </si>
  <si>
    <t>globallyunique.in</t>
  </si>
  <si>
    <t>DOMAIN::globallyunique.in</t>
  </si>
  <si>
    <t>Kundan Mishra</t>
  </si>
  <si>
    <t>INA100013649</t>
  </si>
  <si>
    <t>592CHHA/672/1, SWAROOP NAGAR, TELIBAGH</t>
  </si>
  <si>
    <t>info@cluefinserv.com</t>
  </si>
  <si>
    <t>919598539660</t>
  </si>
  <si>
    <t>226025</t>
  </si>
  <si>
    <t>Jul 17, 2019</t>
  </si>
  <si>
    <t>cluefinserv.com</t>
  </si>
  <si>
    <t>DOMAIN::cluefinserv.com</t>
  </si>
  <si>
    <t>Insightful</t>
  </si>
  <si>
    <t>INA200015732</t>
  </si>
  <si>
    <t>Vikram Krishnamoorthy</t>
  </si>
  <si>
    <t>29A, North End Road, Krishnaswamy Nagar 2, Ramanathapuram</t>
  </si>
  <si>
    <t>vikram@insightful.in</t>
  </si>
  <si>
    <t>9109655566165</t>
  </si>
  <si>
    <t>641045</t>
  </si>
  <si>
    <t>Feb 04, 2021</t>
  </si>
  <si>
    <t>insightful.in</t>
  </si>
  <si>
    <t>DOMAIN::insightful.in</t>
  </si>
  <si>
    <t>Kislay Upadhyay</t>
  </si>
  <si>
    <t>INA000016056</t>
  </si>
  <si>
    <t>9A/30, Shiv Mandir Road, Indrapuri, shiv mandir road, indrapuri</t>
  </si>
  <si>
    <t>info@fidelfolio.ai</t>
  </si>
  <si>
    <t>919559035737</t>
  </si>
  <si>
    <t>800024</t>
  </si>
  <si>
    <t>9A/30, Shiv Mandir Road, Indrapuri</t>
  </si>
  <si>
    <t>Jul 29, 2021</t>
  </si>
  <si>
    <t>fidelfolio.ai</t>
  </si>
  <si>
    <t>DOMAIN::fidelfolio.ai</t>
  </si>
  <si>
    <t>Deepak Motwani (Proprietor: Marquee Investment Managers)</t>
  </si>
  <si>
    <t>INA000017347</t>
  </si>
  <si>
    <t>Deepak Motwani</t>
  </si>
  <si>
    <t>F-16, Maruti Nandan Complex, Sahyog Vihar, Bawadiya Kalan, Near Aura Mall</t>
  </si>
  <si>
    <t>deepak@marqueeinvestment.in</t>
  </si>
  <si>
    <t>918878311101</t>
  </si>
  <si>
    <t>462039</t>
  </si>
  <si>
    <t>Nov 16, 2022</t>
  </si>
  <si>
    <t>marqueeinvestment.in</t>
  </si>
  <si>
    <t>DOMAIN::marqueeinvestment.in</t>
  </si>
  <si>
    <t>Ananya Roy - Proprietor of Credibull Capital</t>
  </si>
  <si>
    <t>INA000018878</t>
  </si>
  <si>
    <t>Ananya Roy</t>
  </si>
  <si>
    <t>0 Diet Road, Kanjari,, Silor,</t>
  </si>
  <si>
    <t>ananya.roy@credibullcapital.in</t>
  </si>
  <si>
    <t>917045354602</t>
  </si>
  <si>
    <t>BUNDI</t>
  </si>
  <si>
    <t>323001</t>
  </si>
  <si>
    <t>0 Diet Road, Kanjari, Silor,</t>
  </si>
  <si>
    <t>Feb 16, 2024</t>
  </si>
  <si>
    <t>credibullcapital.in</t>
  </si>
  <si>
    <t>DOMAIN::credibullcapital.in</t>
  </si>
  <si>
    <t>Chinmay D Naik Proprietor Kautilya Capital Management</t>
  </si>
  <si>
    <t>INA000021252</t>
  </si>
  <si>
    <t>Chinmay  D Naik</t>
  </si>
  <si>
    <t>303, Meghdhanush Complex, Race Course</t>
  </si>
  <si>
    <t>chinmay.naik@kcmehta.com</t>
  </si>
  <si>
    <t>912652440468</t>
  </si>
  <si>
    <t>Nov 03, 2025</t>
  </si>
  <si>
    <t>kcmehta.com</t>
  </si>
  <si>
    <t>DOMAIN::kcmehta.com</t>
  </si>
  <si>
    <t>Anil Kumar Koul Proprietor of Koul Financial Advisor</t>
  </si>
  <si>
    <t>INA000022066</t>
  </si>
  <si>
    <t>ANIL  KOUL</t>
  </si>
  <si>
    <t>SHOP No 13, F,F, SLF MALL,, I.P COLONY, ONY</t>
  </si>
  <si>
    <t>anilkoulcfp@sahayak.com</t>
  </si>
  <si>
    <t>SHOP No 13, F,F, SLF MALL, I.P COLONY, ONY</t>
  </si>
  <si>
    <t>sahayak.com</t>
  </si>
  <si>
    <t>DOMAIN::sahayak.com</t>
  </si>
  <si>
    <t>Arpan Kukreja</t>
  </si>
  <si>
    <t>INA000022136</t>
  </si>
  <si>
    <t>2F 34, Ward 11, NH 2, Near Lakhani Dharamshala</t>
  </si>
  <si>
    <t>arpan@nexvest.one</t>
  </si>
  <si>
    <t>917838360825</t>
  </si>
  <si>
    <t>121001</t>
  </si>
  <si>
    <t>nexvest.one</t>
  </si>
  <si>
    <t>DOMAIN::nexvest.one</t>
  </si>
  <si>
    <t>VARUN HARESH DODHIA PROPRIETOR OF LIGHT YEAR ADVISORY</t>
  </si>
  <si>
    <t>INA000022899</t>
  </si>
  <si>
    <t>VARUN DODHIA</t>
  </si>
  <si>
    <t>E-202, Shubham Green City SR No- 79/1/B NEAR NEW-257, , Tighra, Valsad</t>
  </si>
  <si>
    <t>advice@lightyearadvisory.com</t>
  </si>
  <si>
    <t>00917046730917</t>
  </si>
  <si>
    <t>VALSAD</t>
  </si>
  <si>
    <t>396185</t>
  </si>
  <si>
    <t>lightyearadvisory.com</t>
  </si>
  <si>
    <t>DOMAIN::lightyearadvisory.com</t>
  </si>
  <si>
    <t>BRIJESH C PARIKH (PROPRIETOR OF PLANETWEALTH FINANCIAL ADVISORS)</t>
  </si>
  <si>
    <t>INA000004492</t>
  </si>
  <si>
    <t>MODH MAHOADAYA BHAVAN, SIR PATTANI ROAD, NR. MEGHANI CIRCLE</t>
  </si>
  <si>
    <t>parikhbrijesh@planetvidya.org.in</t>
  </si>
  <si>
    <t>9328190022</t>
  </si>
  <si>
    <t>BHAVNAGAR</t>
  </si>
  <si>
    <t>364001</t>
  </si>
  <si>
    <t>Modh Mahoadaya Bhavan, Sir Pattani Road, Nr. Meghani Circle</t>
  </si>
  <si>
    <t>Apr 04, 2016</t>
  </si>
  <si>
    <t>planetvidya.org.in</t>
  </si>
  <si>
    <t>DOMAIN::planetvidya.org.in</t>
  </si>
  <si>
    <t>RAJAT SHARMA (PROP SANA SECURITIES)</t>
  </si>
  <si>
    <t>INA100004608</t>
  </si>
  <si>
    <t>WGF 1&amp;2, HANS BHAWAN, BAHADUR SHAH ZAFAR MARG</t>
  </si>
  <si>
    <t>rajat@sanasecurities.com</t>
  </si>
  <si>
    <t>1141517078</t>
  </si>
  <si>
    <t>Apr 29, 2016</t>
  </si>
  <si>
    <t>sanasecurities.com</t>
  </si>
  <si>
    <t>DOMAIN::sanasecurities.com</t>
  </si>
  <si>
    <t>JYOTI DEVIPRASAD BUDHIA</t>
  </si>
  <si>
    <t>INH000002095</t>
  </si>
  <si>
    <t>608, 6th Floor, Accord Classic,, Above Anupam Stationary, Near Station, Goregaon East,</t>
  </si>
  <si>
    <t>jyoti@ncfmtraining.com</t>
  </si>
  <si>
    <t>9324473734</t>
  </si>
  <si>
    <t>400043</t>
  </si>
  <si>
    <t>103, 1st Floor, Classic Heritage, Peru Baugh, Aarey Road, Goregaon (East)</t>
  </si>
  <si>
    <t>ncfmtraining.com</t>
  </si>
  <si>
    <t>DOMAIN::ncfmtraining.com</t>
  </si>
  <si>
    <t>ABJ FINSTOCKS</t>
  </si>
  <si>
    <t>INH000003507</t>
  </si>
  <si>
    <t>BHARTI ASHISH JOSHI</t>
  </si>
  <si>
    <t>A 23, ANJAN CO. SOC. NR. SUFLAM SCHOOL, CHANDLODIA</t>
  </si>
  <si>
    <t>support@abjfinstocks.com</t>
  </si>
  <si>
    <t>0009825621336</t>
  </si>
  <si>
    <t>382481</t>
  </si>
  <si>
    <t>abjfinstocks.com</t>
  </si>
  <si>
    <t>DOMAIN::abjfinstocks.com</t>
  </si>
  <si>
    <t>Sandeep M. Wagle</t>
  </si>
  <si>
    <t>INH000005050</t>
  </si>
  <si>
    <t>Sandeep Wagle</t>
  </si>
  <si>
    <t>A 3601, OBEROI ETERNIA, SAMBHAJI NAGAR, L B S ROAD, MULUND WEST</t>
  </si>
  <si>
    <t>sandeep.wagle@powermywealth.com</t>
  </si>
  <si>
    <t>919820228096</t>
  </si>
  <si>
    <t>powermywealth.com</t>
  </si>
  <si>
    <t>DOMAIN::powermywealth.com</t>
  </si>
  <si>
    <t>PATEL ABHIKUMAR HARESBHAI</t>
  </si>
  <si>
    <t>INH000005069</t>
  </si>
  <si>
    <t>ABHIKUMAR PATEL</t>
  </si>
  <si>
    <t>922,I square corporate Park, Science city</t>
  </si>
  <si>
    <t>HELP@ALGOBAZAR.COM</t>
  </si>
  <si>
    <t>919725190009</t>
  </si>
  <si>
    <t>algobazar.com</t>
  </si>
  <si>
    <t>DOMAIN::algobazar.com</t>
  </si>
  <si>
    <t>NARAYANAN SRINIVASAN</t>
  </si>
  <si>
    <t>INH200001483</t>
  </si>
  <si>
    <t>MR. NARAYANAN SRINIVASAN</t>
  </si>
  <si>
    <t>NO: 12, G2, NO.2/3391, SENTHURAM APARTMENT,, VEERAMANI, NAGAR, 1ST CROSS ST,   NANMANGALAM,</t>
  </si>
  <si>
    <t>powerbull@powerbullstocks.com</t>
  </si>
  <si>
    <t>4440423233</t>
  </si>
  <si>
    <t>600117</t>
  </si>
  <si>
    <t>Prince Infocity II , Regus Unit,  No. 1, 1st Floor, Old Mahabalipuram Road,  Kandanchavadi,</t>
  </si>
  <si>
    <t>powerbullstocks.com</t>
  </si>
  <si>
    <t>DOMAIN::powerbullstocks.com</t>
  </si>
  <si>
    <t>VALARMURUGAN S</t>
  </si>
  <si>
    <t>INH200003000</t>
  </si>
  <si>
    <t>Valarmurugan Stalin</t>
  </si>
  <si>
    <t>NO. 6, MANIAMMAYAR STREET,, THIRUVALLUVAR NAGAR, PAMMAL</t>
  </si>
  <si>
    <t>valar@eqsis.com</t>
  </si>
  <si>
    <t>919500077790</t>
  </si>
  <si>
    <t>600075</t>
  </si>
  <si>
    <t>No. 6, Maniammayar street, Thiruvalluvar Nagar, Pammal</t>
  </si>
  <si>
    <t>eqsis.com</t>
  </si>
  <si>
    <t>DOMAIN::eqsis.com</t>
  </si>
  <si>
    <t>Ganesh Sandeep Nagarsekar</t>
  </si>
  <si>
    <t>INH000008835</t>
  </si>
  <si>
    <t>Ganesh Nagarsekar</t>
  </si>
  <si>
    <t>E-26, Pranam CHS, Chikoowadi, Borivali (W)</t>
  </si>
  <si>
    <t>nagarsekargs2018@email.iimcal.ac.in</t>
  </si>
  <si>
    <t>918888312811</t>
  </si>
  <si>
    <t>Nov 12, 2021</t>
  </si>
  <si>
    <t>email.iimcal.ac.in</t>
  </si>
  <si>
    <t>DOMAIN::email.iimcal.ac.in</t>
  </si>
  <si>
    <t>Himanshu Dugar</t>
  </si>
  <si>
    <t>INH200009944</t>
  </si>
  <si>
    <t>Old No.13, New No.27, TEMPLE ROAD, MEDAVAKKAM TANK COLONY, KILPAUK</t>
  </si>
  <si>
    <t>himanshu@stylusholdings.com</t>
  </si>
  <si>
    <t>917200443084</t>
  </si>
  <si>
    <t>Jul 08, 2022</t>
  </si>
  <si>
    <t>stylusholdings.com</t>
  </si>
  <si>
    <t>DOMAIN::stylusholdings.com</t>
  </si>
  <si>
    <t>Praveen Gramle- Proprietor of Ananya Research</t>
  </si>
  <si>
    <t>INH200009971</t>
  </si>
  <si>
    <t>Praveen Gramle</t>
  </si>
  <si>
    <t>AVANI 1007 GREEN GRACE APPT, KHAJAGUDA LANE GACHIBOWLI</t>
  </si>
  <si>
    <t>praveen@ananyaresearch.com</t>
  </si>
  <si>
    <t>919071211777</t>
  </si>
  <si>
    <t>500104</t>
  </si>
  <si>
    <t>Jul 19, 2022</t>
  </si>
  <si>
    <t>ananyaresearch.com</t>
  </si>
  <si>
    <t>DOMAIN::ananyaresearch.com</t>
  </si>
  <si>
    <t>Mint Investing</t>
  </si>
  <si>
    <t>INH000010177</t>
  </si>
  <si>
    <t>Naresh Bangeja</t>
  </si>
  <si>
    <t>Flat No 1602 16th Floor Mellona Cooperative Housing Society , Hiranandani Fortune City Bhokarpada</t>
  </si>
  <si>
    <t>admin@mintinvesting.in</t>
  </si>
  <si>
    <t>919870434245</t>
  </si>
  <si>
    <t>410221</t>
  </si>
  <si>
    <t>mintinvesting.in</t>
  </si>
  <si>
    <t>DOMAIN::mintinvesting.in</t>
  </si>
  <si>
    <t>Mudit Bali</t>
  </si>
  <si>
    <t>INH000010283</t>
  </si>
  <si>
    <t>We Work Oberoi Commerz II 22nd Floor CTS No 95, 4 B 3 &amp; 4 590, Off W.E Highway, Oberoi Garden City Goregaon East D2</t>
  </si>
  <si>
    <t>mudit@nueton.co</t>
  </si>
  <si>
    <t>919599301445</t>
  </si>
  <si>
    <t>nueton.co</t>
  </si>
  <si>
    <t>DOMAIN::nueton.co</t>
  </si>
  <si>
    <t>Anitha M Proprietor of Brightways Financial Services</t>
  </si>
  <si>
    <t>INH000010566</t>
  </si>
  <si>
    <t>ANITHA MProprietor of Brightways FinancialServices</t>
  </si>
  <si>
    <t>6, 13th Cross, 1st Main, Ramaiah Reddy Road, 2nd Floor, Rupena Agrahara, Nr Shopping Land Super Market</t>
  </si>
  <si>
    <t>Support@brightwaysfinancial.com</t>
  </si>
  <si>
    <t>916363360542</t>
  </si>
  <si>
    <t>Oct 31, 2022</t>
  </si>
  <si>
    <t>brightwaysfinancial.com</t>
  </si>
  <si>
    <t>DOMAIN::brightwaysfinancial.com</t>
  </si>
  <si>
    <t>Vinod Kumar Saha Proprietor of The Divine Research and Wealth Solution</t>
  </si>
  <si>
    <t>INH000013077</t>
  </si>
  <si>
    <t>Vinod Saha</t>
  </si>
  <si>
    <t>117 1st Floor Shagun Arcade, Plot No-8 PU, 4 Scheme No 54, Commercial AB Road</t>
  </si>
  <si>
    <t>compliance@drws.in</t>
  </si>
  <si>
    <t>917487954038</t>
  </si>
  <si>
    <t>Office No. 408-409, Krishna Business Centre, 4th Floor, Plot No.11 PU4, Scheme No. 54, AB Road, Near Medanta Hospital,</t>
  </si>
  <si>
    <t>Oct 05, 2023</t>
  </si>
  <si>
    <t>drws.in</t>
  </si>
  <si>
    <t>DOMAIN::drws.in</t>
  </si>
  <si>
    <t>Zanil Shah</t>
  </si>
  <si>
    <t>INH000013907</t>
  </si>
  <si>
    <t>C-401, Old Ashok Nagar, Vazira Naka,, L.T.Road, Borivali West</t>
  </si>
  <si>
    <t>info@zanilshah.com</t>
  </si>
  <si>
    <t>918080280312</t>
  </si>
  <si>
    <t>400091</t>
  </si>
  <si>
    <t>K602,Old Ashok Nagar Vazira Naka, Borivali West</t>
  </si>
  <si>
    <t>zanilshah.com</t>
  </si>
  <si>
    <t>DOMAIN::zanilshah.com</t>
  </si>
  <si>
    <t>Ankit Rambabu Jaiswal Proprietor of BullStockindia Research</t>
  </si>
  <si>
    <t>INH000014049</t>
  </si>
  <si>
    <t>Ankit Jaiswal</t>
  </si>
  <si>
    <t>Sy No. 45 2 Ramamurthynagar, Muninanjappa Layout, B Channasandra</t>
  </si>
  <si>
    <t>Ankith@bullstockindia.com</t>
  </si>
  <si>
    <t>917666035467</t>
  </si>
  <si>
    <t>Dec 15, 2023</t>
  </si>
  <si>
    <t>bullstockindia.com</t>
  </si>
  <si>
    <t>DOMAIN::bullstockindia.com</t>
  </si>
  <si>
    <t>Poonam Chindaliya Proprietor of Credible Capital</t>
  </si>
  <si>
    <t>INH000016393</t>
  </si>
  <si>
    <t>Poonam Chindaliya</t>
  </si>
  <si>
    <t>F1204, Swapnabhoomi, Opposite Rajhans Synfonia, BhCelebrity Green, Abhva</t>
  </si>
  <si>
    <t>info@crediblecapital.in</t>
  </si>
  <si>
    <t>918511066503</t>
  </si>
  <si>
    <t>crediblecapital.in</t>
  </si>
  <si>
    <t>DOMAIN::crediblecapital.in</t>
  </si>
  <si>
    <t>ANAND GANAPATHY K</t>
  </si>
  <si>
    <t>INH000016630</t>
  </si>
  <si>
    <t>ANAND KULOTHUNGAN</t>
  </si>
  <si>
    <t>Finvezto Stock Research, Cabin No 13, COQUB Coworking Space,, S.No 16 2a, Service Road, Near Ring Road, Vanagaram, Ist Floor</t>
  </si>
  <si>
    <t>support@finvezto.com</t>
  </si>
  <si>
    <t>918148413194</t>
  </si>
  <si>
    <t>600095</t>
  </si>
  <si>
    <t>Finvezto Stock Research, Cabin No 13, COQUB Coworking Space, S.No 16 2a, Service Road, Near Ring Road, Vanagaram, Ist Floor</t>
  </si>
  <si>
    <t>finvezto.com</t>
  </si>
  <si>
    <t>DOMAIN::finvezto.com</t>
  </si>
  <si>
    <t>SARITA PANSARI AS PROPRIETOR OF JUPITER RESEARCH AND ADVISORS</t>
  </si>
  <si>
    <t>INH000016922</t>
  </si>
  <si>
    <t>SARITA PANSARI</t>
  </si>
  <si>
    <t>Office No.-102, Ground floor, Building no. 1, Solitaire Corporate Park, Andheri kurla road, Chakala, Andheri East</t>
  </si>
  <si>
    <t>sarita@aashitech.com</t>
  </si>
  <si>
    <t>919967640004</t>
  </si>
  <si>
    <t>Jun 25, 2024</t>
  </si>
  <si>
    <t>Santosh Sharma, Proprietor SmartStox</t>
  </si>
  <si>
    <t>INH000017055</t>
  </si>
  <si>
    <t>Santosh Sharma</t>
  </si>
  <si>
    <t>117, 1st Floor, Shagun Arcade, scheme No 54 A B Road</t>
  </si>
  <si>
    <t>admin@smartstox.in</t>
  </si>
  <si>
    <t>917000515293</t>
  </si>
  <si>
    <t>Jun 27, 2024</t>
  </si>
  <si>
    <t>smartstox.in</t>
  </si>
  <si>
    <t>DOMAIN::smartstox.in</t>
  </si>
  <si>
    <t>DEVVRAT KUMAR</t>
  </si>
  <si>
    <t>INH000017107</t>
  </si>
  <si>
    <t>316, VARDHMAN PREMIUM MALL, DEEPALI , PITAMPURA</t>
  </si>
  <si>
    <t>advisory@fundlane.in</t>
  </si>
  <si>
    <t>919350727272</t>
  </si>
  <si>
    <t>fundlane.in</t>
  </si>
  <si>
    <t>DOMAIN::fundlane.in</t>
  </si>
  <si>
    <t>ANKIT HIMATSINGKA</t>
  </si>
  <si>
    <t>INH000018911</t>
  </si>
  <si>
    <t>C 169, SF, MAYFIELD GARDEN, SECTOR 50,</t>
  </si>
  <si>
    <t>ahimatsingka@selp15.hbs.edu</t>
  </si>
  <si>
    <t>919560046103</t>
  </si>
  <si>
    <t>Nov 25, 2024</t>
  </si>
  <si>
    <t>selp15.hbs.edu</t>
  </si>
  <si>
    <t>DOMAIN::selp15.hbs.edu</t>
  </si>
  <si>
    <t>Rohit Mohan Dhanani Proprietor of Krid Capital</t>
  </si>
  <si>
    <t>INH000020855</t>
  </si>
  <si>
    <t>Rohit Dhanani Proprietor of Krid Capital</t>
  </si>
  <si>
    <t>1002 Brighton Tower Chs Ltd Lokhandwala, Complex 2nd Cross Lane Nr Rajput Dairy</t>
  </si>
  <si>
    <t>support@kridcapital.in</t>
  </si>
  <si>
    <t>919967451462</t>
  </si>
  <si>
    <t>Jun 12, 2025</t>
  </si>
  <si>
    <t>kridcapital.in</t>
  </si>
  <si>
    <t>DOMAIN::kridcapital.in</t>
  </si>
  <si>
    <t>Mayur B Deshmukh Proprietor of Govardhan Research And Analytics</t>
  </si>
  <si>
    <t>INH000020873</t>
  </si>
  <si>
    <t>Mayur Deshmukh</t>
  </si>
  <si>
    <t>S.NO.150 TO 152 BLD-A FLA-C/3/4 , Mhada colony Morwadi Pimpri</t>
  </si>
  <si>
    <t>mayur@govardhanresearch.com</t>
  </si>
  <si>
    <t>918983698796</t>
  </si>
  <si>
    <t>411018</t>
  </si>
  <si>
    <t>Jun 16, 2025</t>
  </si>
  <si>
    <t>govardhanresearch.com</t>
  </si>
  <si>
    <t>DOMAIN::govardhanresearch.com</t>
  </si>
  <si>
    <t>Rupak Ghosh</t>
  </si>
  <si>
    <t>INH000021368</t>
  </si>
  <si>
    <t>Apartment No. 9111, Block 9 Prestige Shantiniketan , Apartment Whitefield Main Road Bangalore</t>
  </si>
  <si>
    <t>rupak@ifinstrats.com</t>
  </si>
  <si>
    <t>919972300602</t>
  </si>
  <si>
    <t>ifinstrats.com</t>
  </si>
  <si>
    <t>DOMAIN::ifinstrats.com</t>
  </si>
  <si>
    <t>PANKAJ KUMAR JAIN PROPRIETOR OF EYE ON TRADE RESEARCH</t>
  </si>
  <si>
    <t>INH000021386</t>
  </si>
  <si>
    <t>PANKAJ  JAIN</t>
  </si>
  <si>
    <t>336 2nd Floor Left Side Gali No 4, Govindpuri Kalkaji</t>
  </si>
  <si>
    <t>support@eyeontrade.com</t>
  </si>
  <si>
    <t>918986506414</t>
  </si>
  <si>
    <t>eyeontrade.com</t>
  </si>
  <si>
    <t>DOMAIN::eyeontrade.com</t>
  </si>
  <si>
    <t>Debasish Swain proprietor of Discipline Research</t>
  </si>
  <si>
    <t>INH000021784</t>
  </si>
  <si>
    <t>Debasish Swain</t>
  </si>
  <si>
    <t>No. 30 31 Srinidhi Ascend Garvebhavipalya Hosur, Main RD Bommanahalli Banga</t>
  </si>
  <si>
    <t>support@disciplineresearch.com</t>
  </si>
  <si>
    <t>009199022124</t>
  </si>
  <si>
    <t>disciplineresearch.com</t>
  </si>
  <si>
    <t>DOMAIN::disciplineresearch.com</t>
  </si>
  <si>
    <t>Rajesh Gupta</t>
  </si>
  <si>
    <t>INH000022321</t>
  </si>
  <si>
    <t>D 502, TRUE FRIENDS APARTMENTS, PLOT NO 29, SECTOR-6, DWARKA</t>
  </si>
  <si>
    <t>rajesh.gupta3085@insead.edu</t>
  </si>
  <si>
    <t>918283955053</t>
  </si>
  <si>
    <t>insead.edu</t>
  </si>
  <si>
    <t>DOMAIN::insead.edu</t>
  </si>
  <si>
    <t>DINESH KUMAR SINGHAL Propritor The Money Method</t>
  </si>
  <si>
    <t>INH000022349</t>
  </si>
  <si>
    <t>DINESH SINGHAL</t>
  </si>
  <si>
    <t>B1 1443 Tower 11 3rd Floor Purvanchal Royal City, Chi 5 Greater Noida</t>
  </si>
  <si>
    <t>dinesh.singhal@themoneymethod.co.in</t>
  </si>
  <si>
    <t>918899796348</t>
  </si>
  <si>
    <t>201310</t>
  </si>
  <si>
    <t>Aug 01, 2025</t>
  </si>
  <si>
    <t>themoneymethod.co.in</t>
  </si>
  <si>
    <t>DOMAIN::themoneymethod.co.in</t>
  </si>
  <si>
    <t>Raksha Sharma Proprietor of Pheonix Capital Research</t>
  </si>
  <si>
    <t>INH000022446</t>
  </si>
  <si>
    <t>Raksha Sharma</t>
  </si>
  <si>
    <t>120, Kalani Nagar, Aero Dram</t>
  </si>
  <si>
    <t>info@pheonixcapitalresearch.com</t>
  </si>
  <si>
    <t>919752011727</t>
  </si>
  <si>
    <t>452005</t>
  </si>
  <si>
    <t>pheonixcapitalresearch.com</t>
  </si>
  <si>
    <t>DOMAIN::pheonixcapitalresearch.com</t>
  </si>
  <si>
    <t>Amit Anand Proprietor Capital vision Research</t>
  </si>
  <si>
    <t>INH000022482</t>
  </si>
  <si>
    <t>Amit Anand</t>
  </si>
  <si>
    <t>Plot No. 10, 4th Floor, Above Domino's Pizza, Hosur , Chikku Lakshmaiah Layout, Adugodi, Koramangala</t>
  </si>
  <si>
    <t>compliance@capitalvisionresearch.com</t>
  </si>
  <si>
    <t>919006533459</t>
  </si>
  <si>
    <t>capitalvisionresearch.com</t>
  </si>
  <si>
    <t>DOMAIN::capitalvisionresearch.com</t>
  </si>
  <si>
    <t>PRAGATI CHETTRI PROPRIETOR OF EQUITY PRIME RESEARCH</t>
  </si>
  <si>
    <t>INH000023490</t>
  </si>
  <si>
    <t>PRAGATI CHETTRI</t>
  </si>
  <si>
    <t>NO 138 1391, Arakere, Gr Queens Amber, 1st Cross, Mico Layout Road</t>
  </si>
  <si>
    <t>support@equityprimeresearch.com</t>
  </si>
  <si>
    <t>919733464069</t>
  </si>
  <si>
    <t>Sep 26, 2025</t>
  </si>
  <si>
    <t>equityprimeresearch.com</t>
  </si>
  <si>
    <t>DOMAIN::equityprimeresearch.com</t>
  </si>
  <si>
    <t>Jaykumar Bharatbhai Dabhi proprietor of NM Marketedge Analytics</t>
  </si>
  <si>
    <t>INH000023995</t>
  </si>
  <si>
    <t>Jaykumar Dabhi</t>
  </si>
  <si>
    <t>8TH F 815 B WING MARADIA PLAZA C G ROAD, NR PANCHWATI PETROL PUMP, ELLISBIDGE</t>
  </si>
  <si>
    <t>research@nmmarketedge.com</t>
  </si>
  <si>
    <t>917777918628</t>
  </si>
  <si>
    <t>Dec 02, 2025</t>
  </si>
  <si>
    <t>nmmarketedge.com</t>
  </si>
  <si>
    <t>DOMAIN::nmmarketedge.com</t>
  </si>
  <si>
    <t>Yogesh Lalwani proprietor of Unicap Research</t>
  </si>
  <si>
    <t>INH000024204</t>
  </si>
  <si>
    <t>Yogesh Lalwani</t>
  </si>
  <si>
    <t>BFF-26 Indus Satellite Greens , Kelodh Hala</t>
  </si>
  <si>
    <t>info@unicapresearch.com</t>
  </si>
  <si>
    <t>918602727992</t>
  </si>
  <si>
    <t>unicapresearch.com</t>
  </si>
  <si>
    <t>DOMAIN::unicapresearch.com</t>
  </si>
  <si>
    <t>Srishti Vivek Mendiratta</t>
  </si>
  <si>
    <t>INH000024295</t>
  </si>
  <si>
    <t>Srishti Mendiratta</t>
  </si>
  <si>
    <t>96, New Cloth Market , Sarangpur, Ahmedabad</t>
  </si>
  <si>
    <t>investor@wealthminds.co.in</t>
  </si>
  <si>
    <t>919726629121</t>
  </si>
  <si>
    <t>380002</t>
  </si>
  <si>
    <t>Dec 17, 2025</t>
  </si>
  <si>
    <t>wealthminds.co.in</t>
  </si>
  <si>
    <t>DOMAIN::wealthminds.co.in</t>
  </si>
  <si>
    <t>MOHAK AILANI</t>
  </si>
  <si>
    <t>INH000025799</t>
  </si>
  <si>
    <t>701, Tower 2 Sagavi Apartment, Sector 55</t>
  </si>
  <si>
    <t>info@mohakailani.com</t>
  </si>
  <si>
    <t>918287179350</t>
  </si>
  <si>
    <t>mohakailani.com</t>
  </si>
  <si>
    <t>DOMAIN::mohakailani.com</t>
  </si>
  <si>
    <t>Surender Singh Proprietor My Equity Sherpa</t>
  </si>
  <si>
    <t>INH000026035</t>
  </si>
  <si>
    <t>Surender  Singh</t>
  </si>
  <si>
    <t>WeWork Raheja Woods, Kalyani Nagar, Sr. no. 222/1, BLD No.8 Lower, Upper, Podium, 1st to 5th Raheja Woods, 8, Central Avenue, Kalyani Nagar</t>
  </si>
  <si>
    <t>admin@myequitysherpa.in</t>
  </si>
  <si>
    <t>411006</t>
  </si>
  <si>
    <t>myequitysherpa.in</t>
  </si>
  <si>
    <t>DOMAIN::myequitysherpa.in</t>
  </si>
  <si>
    <t>Puru Mahajan Proprietor of QARO</t>
  </si>
  <si>
    <t>INH000026196</t>
  </si>
  <si>
    <t>Puru Mahajan</t>
  </si>
  <si>
    <t>RZ-84A, Manas Kunj Road, New Uttam Nagar, West Delhi</t>
  </si>
  <si>
    <t>purumahajan@qaroai.com</t>
  </si>
  <si>
    <t>009891086179</t>
  </si>
  <si>
    <t>qaroai.com</t>
  </si>
  <si>
    <t>DOMAIN::qaroai.com</t>
  </si>
  <si>
    <t>Pravesh Khatri Proprietorship Firm Talsi Research Analyst</t>
  </si>
  <si>
    <t>INH000026576</t>
  </si>
  <si>
    <t>Pravesh  Khatri</t>
  </si>
  <si>
    <t>89 Floor Ground, Indra Vihar</t>
  </si>
  <si>
    <t>capraveshkhatri09@gmail.co</t>
  </si>
  <si>
    <t>gmail.co</t>
  </si>
  <si>
    <t>DOMAIN::gmail.co</t>
  </si>
  <si>
    <t>Devesh Varshney</t>
  </si>
  <si>
    <t>INH000027371</t>
  </si>
  <si>
    <t>D 219, Divyasree 77 Place, Yemalur</t>
  </si>
  <si>
    <t>dev@trueprice.pro</t>
  </si>
  <si>
    <t>00007718826919</t>
  </si>
  <si>
    <t>May 19, 2026</t>
  </si>
  <si>
    <t>trueprice.pro</t>
  </si>
  <si>
    <t>DOMAIN::trueprice.pro</t>
  </si>
  <si>
    <t>Varun Sharma Proprietor of Chart View Research</t>
  </si>
  <si>
    <t>INH000027520</t>
  </si>
  <si>
    <t>Varun  Sharma</t>
  </si>
  <si>
    <t>House No 134 Scheme No 132 Star Squre Indore</t>
  </si>
  <si>
    <t>info@chartviewresearch.com</t>
  </si>
  <si>
    <t>May 22, 2026</t>
  </si>
  <si>
    <t>chartviewresearch.com</t>
  </si>
  <si>
    <t>DOMAIN::chartviewresearch.com</t>
  </si>
  <si>
    <t>Yogesh Kumar Aggarwal</t>
  </si>
  <si>
    <t>INH000027548</t>
  </si>
  <si>
    <t>Yogesh Aggarwal</t>
  </si>
  <si>
    <t>Shop No. 2, B 38, Opp Metro Pillar 671, Main Najafgarh Road, Uttam Nagar</t>
  </si>
  <si>
    <t>Contact@puranornaments.com</t>
  </si>
  <si>
    <t>00009718366748</t>
  </si>
  <si>
    <t>puranornaments.com</t>
  </si>
  <si>
    <t>DOMAIN::puranornaments.com</t>
  </si>
  <si>
    <t>Milind Sonone Proprietor of Growbrow</t>
  </si>
  <si>
    <t>INH000027584</t>
  </si>
  <si>
    <t>Milind Sonone</t>
  </si>
  <si>
    <t>19 Dhenu Market Regal Square, Above Janta Kachori and Cafe</t>
  </si>
  <si>
    <t>info@growbrow.in</t>
  </si>
  <si>
    <t>009770195201</t>
  </si>
  <si>
    <t>452003</t>
  </si>
  <si>
    <t>growbrow.in</t>
  </si>
  <si>
    <t>DOMAIN::growbrow.in</t>
  </si>
  <si>
    <t>Atul Dhananjay Kumar Proprietor of SALVATION CAPITAL</t>
  </si>
  <si>
    <t>INH000027663</t>
  </si>
  <si>
    <t>Atul Kumar</t>
  </si>
  <si>
    <t>Flat F-804 Plot-58 &amp; 65 Sector 15 C B D Belapur</t>
  </si>
  <si>
    <t>Atul@Salvationcap.com</t>
  </si>
  <si>
    <t>919820034170</t>
  </si>
  <si>
    <t>salvationcap.com</t>
  </si>
  <si>
    <t>DOMAIN::salvationcap.com</t>
  </si>
  <si>
    <t>Saurabh Maheshwari proprietor of Dev Maheshwari and associates</t>
  </si>
  <si>
    <t>INH000028088</t>
  </si>
  <si>
    <t>Saurabh Maheshwari</t>
  </si>
  <si>
    <t>A1, Bhale Estate Apt, Old Mumbai Pune Highway, , Shivaji nagar Bhamburda,</t>
  </si>
  <si>
    <t>sm@devmaheshwari.com</t>
  </si>
  <si>
    <t>912041270885</t>
  </si>
  <si>
    <t>Jun 11, 2026</t>
  </si>
  <si>
    <t>devmaheshwari.com</t>
  </si>
  <si>
    <t>DOMAIN::devmaheshwari.com</t>
  </si>
  <si>
    <t>SUSHIL KEDIA (SOLE PROPRIETOR OF KEDIANOMICS)</t>
  </si>
  <si>
    <t>INH000002947</t>
  </si>
  <si>
    <t>112, Vaswani Chambers, Dr. Annie Besant Road, WORLI</t>
  </si>
  <si>
    <t>sushil@kedianomics.com</t>
  </si>
  <si>
    <t>8080189100</t>
  </si>
  <si>
    <t>403, BHIMA BUILDING, SIR POCHKANWALA ROAD, WORLI</t>
  </si>
  <si>
    <t>May 02, 2016</t>
  </si>
  <si>
    <t>kedianomics.com</t>
  </si>
  <si>
    <t>DOMAIN::kedianomics.com</t>
  </si>
  <si>
    <t>PUNIT S JAIN  (PROPRIETOR OF JAIN MATRIX INVESTMENTS)</t>
  </si>
  <si>
    <t>INH200002747</t>
  </si>
  <si>
    <t>D-401, RENAISSANCE BRINDAVAN APARTMENT, UTTARHALLI MAIN ROAD, , SUBRAMANYAPURA</t>
  </si>
  <si>
    <t>punit.jain@jainmatrix.com</t>
  </si>
  <si>
    <t>8026396184</t>
  </si>
  <si>
    <t>560061</t>
  </si>
  <si>
    <t>D-401, Renaissance Brindavan Apartment, Uttarhalli Main Road, , Subramanyapura</t>
  </si>
  <si>
    <t>Mar 10, 2016</t>
  </si>
  <si>
    <t>jainmatrix.com</t>
  </si>
  <si>
    <t>DOMAIN::jainmatrix.com</t>
  </si>
  <si>
    <t>ADROIT FINANCIAL SERVICES PVT LTD</t>
  </si>
  <si>
    <t>INH100003084</t>
  </si>
  <si>
    <t>401-402, FOURTH FLOOR, ANGEL MEGA MALL, KAUSHAMBI, GHAZIABAD</t>
  </si>
  <si>
    <t>amitkumargupta@adroitfinancial.com</t>
  </si>
  <si>
    <t>201010</t>
  </si>
  <si>
    <t>adroitfinancial.com</t>
  </si>
  <si>
    <t>DOMAIN::adroitfinancial.com</t>
  </si>
  <si>
    <t>NIFTYONLY</t>
  </si>
  <si>
    <t>INA000007526</t>
  </si>
  <si>
    <t>YATIN SHAH</t>
  </si>
  <si>
    <t>1/C,JIJIBHOY INDUSTRIAL ESTATE,, 2ND FLOOR,GOREGAON (WEST)</t>
  </si>
  <si>
    <t>backoffice@niftyonly.in</t>
  </si>
  <si>
    <t>1/C,JIJIBHOY INDUSTRIAL ESTATE, 2ND FLOOR,GOREGAON (WEST)</t>
  </si>
  <si>
    <t>Apr 20, 2017</t>
  </si>
  <si>
    <t>niftyonly.in</t>
  </si>
  <si>
    <t>DOMAIN::niftyonly.in</t>
  </si>
  <si>
    <t>Taponeel Mukherjee</t>
  </si>
  <si>
    <t>INA100008203</t>
  </si>
  <si>
    <t>52/82 CHITRANJAN PARK</t>
  </si>
  <si>
    <t>taponeel.mukherjee@development-tracks.com</t>
  </si>
  <si>
    <t>Aug 04, 2017</t>
  </si>
  <si>
    <t>development-tracks.com</t>
  </si>
  <si>
    <t>DOMAIN::development-tracks.com</t>
  </si>
  <si>
    <t>Arpit Jain (Proprietor, Duvera Capital Advisors)</t>
  </si>
  <si>
    <t>INA000012652</t>
  </si>
  <si>
    <t>Arpit Jain</t>
  </si>
  <si>
    <t>Shop no. 214, Morya estate, New Link Road, Andheri West. Mumbai</t>
  </si>
  <si>
    <t>arpit@duveracapital.com</t>
  </si>
  <si>
    <t>duveracapital.com</t>
  </si>
  <si>
    <t>DOMAIN::duveracapital.com</t>
  </si>
  <si>
    <t>Griffin Family Office</t>
  </si>
  <si>
    <t>INA200014195</t>
  </si>
  <si>
    <t>Ravi  Narayan</t>
  </si>
  <si>
    <t>35/1, Central Quay,, Yellappa Chetty Layout, Halasuru Road</t>
  </si>
  <si>
    <t>ravi@griffincap.in</t>
  </si>
  <si>
    <t>Unit No. 912, 9th Floor, Prestige Meridian 1, No. 29, MG Road,</t>
  </si>
  <si>
    <t>griffincap.in</t>
  </si>
  <si>
    <t>DOMAIN::griffincap.in</t>
  </si>
  <si>
    <t>Yashraj Maheshwari</t>
  </si>
  <si>
    <t>INA000015057</t>
  </si>
  <si>
    <t>203 Wing A, Shivalik Corporate Park, , B/H IOC Pump, 132 Ft Ring Road, Satellite</t>
  </si>
  <si>
    <t>yashraj@abnay.com</t>
  </si>
  <si>
    <t>Sep 03, 2020</t>
  </si>
  <si>
    <t>abnay.com</t>
  </si>
  <si>
    <t>DOMAIN::abnay.com</t>
  </si>
  <si>
    <t>Roshni Nayak</t>
  </si>
  <si>
    <t>INA000016038</t>
  </si>
  <si>
    <t>C/204, New Gagangiri chs, Laxminarayan Temple Road, Opp MCF Joggers Park, Borivali West</t>
  </si>
  <si>
    <t>roshni.nayak@goalbridge.in</t>
  </si>
  <si>
    <t>Jul 28, 2021</t>
  </si>
  <si>
    <t>goalbridge.in</t>
  </si>
  <si>
    <t>DOMAIN::goalbridge.in</t>
  </si>
  <si>
    <t>Vikas B Goel</t>
  </si>
  <si>
    <t>INA000016074</t>
  </si>
  <si>
    <t>Vikas Goel</t>
  </si>
  <si>
    <t>B/903-904 Shikhar Kunj, Upper Govind Nagar, Malad (East)</t>
  </si>
  <si>
    <t>vikas@vbgco.com</t>
  </si>
  <si>
    <t>Aug 10, 2021</t>
  </si>
  <si>
    <t>vbgco.com</t>
  </si>
  <si>
    <t>DOMAIN::vbgco.com</t>
  </si>
  <si>
    <t>KUSH JITESH GHODASARA</t>
  </si>
  <si>
    <t>INH000002137</t>
  </si>
  <si>
    <t>506, PRASHAM, KASTURBA ROAD, NEAR DHARAN CINEMA</t>
  </si>
  <si>
    <t>kush@chartechnician.com</t>
  </si>
  <si>
    <t>9662378887</t>
  </si>
  <si>
    <t>chartechnician.com</t>
  </si>
  <si>
    <t>DOMAIN::chartechnician.com</t>
  </si>
  <si>
    <t>MANAS JAISWAL</t>
  </si>
  <si>
    <t>INH100001625</t>
  </si>
  <si>
    <t>53 - LAKE GARDEN, SECTOR -1, UDYAN -2, OPP S.P.DENTAL COLLEGE, ELDECO RAIBAREILLY ROAD</t>
  </si>
  <si>
    <t>mj@manasjaiswal.com</t>
  </si>
  <si>
    <t>5624044637</t>
  </si>
  <si>
    <t>55&amp;56- LGF, Eldeco Express Plaza, Shaheed Path, Eldeco , Raibareily Road</t>
  </si>
  <si>
    <t>manasjaiswal.com</t>
  </si>
  <si>
    <t>DOMAIN::manasjaiswal.com</t>
  </si>
  <si>
    <t>R HARESH</t>
  </si>
  <si>
    <t>INH200005656</t>
  </si>
  <si>
    <t>HARESH RAJENDRAN</t>
  </si>
  <si>
    <t>544 A/9 MURUGAN NAGAR 1ST FLOOR, NEAR CHURCH. TADAMPATTI</t>
  </si>
  <si>
    <t>CONTACT@RHARESH.COM</t>
  </si>
  <si>
    <t>919994424594</t>
  </si>
  <si>
    <t>636014</t>
  </si>
  <si>
    <t>Feb 01, 2018</t>
  </si>
  <si>
    <t>rharesh.com</t>
  </si>
  <si>
    <t>DOMAIN::rharesh.com</t>
  </si>
  <si>
    <t>Vishal Gupta Proprietor of VG STOCK RESEARCH</t>
  </si>
  <si>
    <t>INH100007985</t>
  </si>
  <si>
    <t>VISHAL GUPTA</t>
  </si>
  <si>
    <t>PLOT NO. 12C,, FF-3, V V SHOPPING PLAZA</t>
  </si>
  <si>
    <t>contact@vgstockresearch.com</t>
  </si>
  <si>
    <t>919953934544</t>
  </si>
  <si>
    <t>201012</t>
  </si>
  <si>
    <t>PLOT NO. 12C, FF-3, V V SHOPPING PLAZA</t>
  </si>
  <si>
    <t>Dec 09, 2020</t>
  </si>
  <si>
    <t>vgstockresearch.com</t>
  </si>
  <si>
    <t>DOMAIN::vgstockresearch.com</t>
  </si>
  <si>
    <t>SUMIT PAL PROPRIETOR OF SNS FIN SOLUTIONS</t>
  </si>
  <si>
    <t>INH300008757</t>
  </si>
  <si>
    <t>Sumit Pal</t>
  </si>
  <si>
    <t>Unit No1302, Tower B 3, RPS Savana, Sector88, Faridabad ,Vil Kheri Kalan</t>
  </si>
  <si>
    <t>sumitpal@snsfinsolutions.com</t>
  </si>
  <si>
    <t>919990090414</t>
  </si>
  <si>
    <t>Unit No 913,Tower No4,Assotech Business Cresterra Park, Plot No22, Sector 135, Near Bhada Express, Noida, Gautam buddha Nagar,</t>
  </si>
  <si>
    <t>201304</t>
  </si>
  <si>
    <t>Sep 10, 2021</t>
  </si>
  <si>
    <t>snsfinsolutions.com</t>
  </si>
  <si>
    <t>DOMAIN::snsfinsolutions.com</t>
  </si>
  <si>
    <t>Amiteshwar Singh Proprietor of Researchlyne.com</t>
  </si>
  <si>
    <t>INH100010013</t>
  </si>
  <si>
    <t>Amiteshwar Singh</t>
  </si>
  <si>
    <t>Ground floor, 236 E Block, Bhai Randhir Singh Nagar, Ludhiana, Punjab</t>
  </si>
  <si>
    <t>info@researchlyne.com</t>
  </si>
  <si>
    <t>919511137775</t>
  </si>
  <si>
    <t>141012</t>
  </si>
  <si>
    <t>Jul 28, 2022</t>
  </si>
  <si>
    <t>researchlyne.com</t>
  </si>
  <si>
    <t>DOMAIN::researchlyne.com</t>
  </si>
  <si>
    <t>KUNDAN MISHRA</t>
  </si>
  <si>
    <t>INH000010830</t>
  </si>
  <si>
    <t>592CHHA/672/1,, Swaroop Nagar, Telibagh</t>
  </si>
  <si>
    <t>info@researchaim.com</t>
  </si>
  <si>
    <t>Office no 201, Second Floor, Situated at Chinar Incube Business Center, Chinar Fortune City, Village Bawadiya Kalan, Inside Main Road, Ward No 53, Hoshangabad Road</t>
  </si>
  <si>
    <t>Nov 11, 2022</t>
  </si>
  <si>
    <t>researchaim.com</t>
  </si>
  <si>
    <t>DOMAIN::researchaim.com</t>
  </si>
  <si>
    <t>Ashutosh Kabra</t>
  </si>
  <si>
    <t>INH000015349</t>
  </si>
  <si>
    <t>Kabra Sadan , Opposite Gopal Building, Kishangarh ( Rural )</t>
  </si>
  <si>
    <t>support@financewiseadvisor.com</t>
  </si>
  <si>
    <t>919413592811</t>
  </si>
  <si>
    <t>AJMER</t>
  </si>
  <si>
    <t>305801</t>
  </si>
  <si>
    <t>Mar 04, 2024</t>
  </si>
  <si>
    <t>financewiseadvisor.com</t>
  </si>
  <si>
    <t>DOMAIN::financewiseadvisor.com</t>
  </si>
  <si>
    <t>Manikanth Devarakonda</t>
  </si>
  <si>
    <t>INH000015871</t>
  </si>
  <si>
    <t>21-315, Sunnambatti, Mancherial,</t>
  </si>
  <si>
    <t>mani@trade-with-mani.com</t>
  </si>
  <si>
    <t>918800264952</t>
  </si>
  <si>
    <t>ADILABAD</t>
  </si>
  <si>
    <t>504208</t>
  </si>
  <si>
    <t>Apr 16, 2024</t>
  </si>
  <si>
    <t>trade-with-mani.com</t>
  </si>
  <si>
    <t>DOMAIN::trade-with-mani.com</t>
  </si>
  <si>
    <t>LALIT KUMAR GUPTA</t>
  </si>
  <si>
    <t>INH000017037</t>
  </si>
  <si>
    <t>LALIT GUPTA</t>
  </si>
  <si>
    <t>1090, Sungadi, Near Pradhaan Rohitansh Avasthi</t>
  </si>
  <si>
    <t>support@optionbooster.in</t>
  </si>
  <si>
    <t>919258924477</t>
  </si>
  <si>
    <t>BAREILLY</t>
  </si>
  <si>
    <t>262001</t>
  </si>
  <si>
    <t>optionbooster.in</t>
  </si>
  <si>
    <t>DOMAIN::optionbooster.in</t>
  </si>
  <si>
    <t>KALPESH RATHI</t>
  </si>
  <si>
    <t>INH000018425</t>
  </si>
  <si>
    <t>99, Keshav Nagar,, Gali No. 4, Opp. Ashok Udhyan</t>
  </si>
  <si>
    <t>kalpesh@9star.in</t>
  </si>
  <si>
    <t>919828849999</t>
  </si>
  <si>
    <t>342008</t>
  </si>
  <si>
    <t>99, Keshav Nagar, Gali No. 4, Opp. Ashok Udhyan</t>
  </si>
  <si>
    <t>Aug 26, 2024</t>
  </si>
  <si>
    <t>9star.in</t>
  </si>
  <si>
    <t>DOMAIN::9star.in</t>
  </si>
  <si>
    <t>Amit Mishra Proprietor of First Trade Research</t>
  </si>
  <si>
    <t>INH000018753</t>
  </si>
  <si>
    <t>AMIT MISHRA</t>
  </si>
  <si>
    <t>16, Shivcity, Hamukhedi, Dewas Road</t>
  </si>
  <si>
    <t>info@firsttraderesearch.com</t>
  </si>
  <si>
    <t>919575141141</t>
  </si>
  <si>
    <t>456001</t>
  </si>
  <si>
    <t>Plot No. 37 B/F/S, Scheme No. 78, Aranya, Sector F, Slice 3,</t>
  </si>
  <si>
    <t>firsttraderesearch.com</t>
  </si>
  <si>
    <t>DOMAIN::firsttraderesearch.com</t>
  </si>
  <si>
    <t>Deepak Khatri</t>
  </si>
  <si>
    <t>INH000019187</t>
  </si>
  <si>
    <t>Deepak  Khatri</t>
  </si>
  <si>
    <t>Plot No. 24, Jwala Prasad Nagar naka Madar Ajmer</t>
  </si>
  <si>
    <t>info@theskwealth.com</t>
  </si>
  <si>
    <t>918829979475</t>
  </si>
  <si>
    <t>305001</t>
  </si>
  <si>
    <t>Dec 31, 2024</t>
  </si>
  <si>
    <t>theskwealth.com</t>
  </si>
  <si>
    <t>DOMAIN::theskwealth.com</t>
  </si>
  <si>
    <t>PRITI TIWARI</t>
  </si>
  <si>
    <t>INH000019822</t>
  </si>
  <si>
    <t>MIG 1, 714, Amdi Nagar, HUDCO VTC, Bhilai West,</t>
  </si>
  <si>
    <t>prititiwari@platinumresearch.in</t>
  </si>
  <si>
    <t>919200091008</t>
  </si>
  <si>
    <t>490009</t>
  </si>
  <si>
    <t>platinumresearch.in</t>
  </si>
  <si>
    <t>DOMAIN::platinumresearch.in</t>
  </si>
  <si>
    <t>Awesome Investing</t>
  </si>
  <si>
    <t>INH000019965</t>
  </si>
  <si>
    <t>Viral Shah</t>
  </si>
  <si>
    <t>204 205 PACIFIC FORTUNE, 5 9 PANCHNATH PLOT</t>
  </si>
  <si>
    <t>viral@awesomeinvesting.in</t>
  </si>
  <si>
    <t>0229194291898</t>
  </si>
  <si>
    <t>Feb 25, 2025</t>
  </si>
  <si>
    <t>awesomeinvesting.in</t>
  </si>
  <si>
    <t>DOMAIN::awesomeinvesting.in</t>
  </si>
  <si>
    <t>VIKASH KUMAR GUPTA</t>
  </si>
  <si>
    <t>INH000020378</t>
  </si>
  <si>
    <t>Ward No 8, Barhi, PO Barhi, Khanna Banjari</t>
  </si>
  <si>
    <t>Support@KushaagriAdvisors.com</t>
  </si>
  <si>
    <t>919637581171</t>
  </si>
  <si>
    <t>KATNI</t>
  </si>
  <si>
    <t>483770</t>
  </si>
  <si>
    <t>May 08, 2025</t>
  </si>
  <si>
    <t>kushaagriadvisors.com</t>
  </si>
  <si>
    <t>DOMAIN::kushaagriadvisors.com</t>
  </si>
  <si>
    <t>ARUN S VIJAY</t>
  </si>
  <si>
    <t>INH000020633</t>
  </si>
  <si>
    <t>ARUN VIJAY</t>
  </si>
  <si>
    <t>Sree Padmanabham, Opp B N V Hospital</t>
  </si>
  <si>
    <t>arun@alphaturtles.in</t>
  </si>
  <si>
    <t>918070809040</t>
  </si>
  <si>
    <t>695027</t>
  </si>
  <si>
    <t>alphaturtles.in</t>
  </si>
  <si>
    <t>DOMAIN::alphaturtles.in</t>
  </si>
  <si>
    <t>Neetu Kushwaha Proprietor of Trading Hub Research</t>
  </si>
  <si>
    <t>INH000021401</t>
  </si>
  <si>
    <t>Neetu Kushwaha</t>
  </si>
  <si>
    <t>Ward No.19, Purusmani, Mohalla, Sindhi Camp</t>
  </si>
  <si>
    <t>info@tradinghubresearch.com</t>
  </si>
  <si>
    <t>919111500035</t>
  </si>
  <si>
    <t>SATNA</t>
  </si>
  <si>
    <t>485001</t>
  </si>
  <si>
    <t>tradinghubresearch.com</t>
  </si>
  <si>
    <t>DOMAIN::tradinghubresearch.com</t>
  </si>
  <si>
    <t>ERUGURALA NIKHIL KUMAR PROPRIETOR OF US INVESTMENT SOLUTIONS</t>
  </si>
  <si>
    <t>INH000021702</t>
  </si>
  <si>
    <t>ERUGURALA NIKHIL KUMAR</t>
  </si>
  <si>
    <t>QNO D-2054, Tilak Nagar, Godavari Khani, Ramagundam</t>
  </si>
  <si>
    <t>CONTACT@USINVESTMENTSOLUTIONS.COM</t>
  </si>
  <si>
    <t>918187861272</t>
  </si>
  <si>
    <t>KARIMNAGAR</t>
  </si>
  <si>
    <t>505209</t>
  </si>
  <si>
    <t>usinvestmentsolutions.com</t>
  </si>
  <si>
    <t>DOMAIN::usinvestmentsolutions.com</t>
  </si>
  <si>
    <t>MAHYAVANSHI JIGNESH JAYANTIBHAI</t>
  </si>
  <si>
    <t>INH000022376</t>
  </si>
  <si>
    <t>JIGNESH MAHYAVANSHI</t>
  </si>
  <si>
    <t>317, Mahyavanshi Falia, Tukwada, Taluka  Pardi</t>
  </si>
  <si>
    <t>jignesh@stoxsheekho.com</t>
  </si>
  <si>
    <t>919998170632</t>
  </si>
  <si>
    <t>Aug 04, 2025</t>
  </si>
  <si>
    <t>stoxsheekho.com</t>
  </si>
  <si>
    <t>DOMAIN::stoxsheekho.com</t>
  </si>
  <si>
    <t>Zubin Baben Proprietor Peruma Capital</t>
  </si>
  <si>
    <t>INH000022677</t>
  </si>
  <si>
    <t>Zubin Baben</t>
  </si>
  <si>
    <t>Mammoottil House, Next to Govt LP School,, Perumpanachy PO, Changanacherry, Madappally</t>
  </si>
  <si>
    <t>zubin@peruma.in</t>
  </si>
  <si>
    <t>919110405413</t>
  </si>
  <si>
    <t>Kottayam</t>
  </si>
  <si>
    <t>686536</t>
  </si>
  <si>
    <t>Mammoottil House, Next to Govt LP School, Perumpanachy PO, Changanacherry, Madappally</t>
  </si>
  <si>
    <t>peruma.in</t>
  </si>
  <si>
    <t>DOMAIN::peruma.in</t>
  </si>
  <si>
    <t>Hardik Jain proprietor of  M/S Eternal Research Investment Advisor</t>
  </si>
  <si>
    <t>INH000022686</t>
  </si>
  <si>
    <t>Hardik Jain</t>
  </si>
  <si>
    <t>Office Near Akansha Apparment, Patel Nagar City Center Gwalior</t>
  </si>
  <si>
    <t>support@eternalresearch.in</t>
  </si>
  <si>
    <t>919630057714</t>
  </si>
  <si>
    <t>GWALIOR</t>
  </si>
  <si>
    <t>474010</t>
  </si>
  <si>
    <t>Aug 12, 2025</t>
  </si>
  <si>
    <t>eternalresearch.in</t>
  </si>
  <si>
    <t>DOMAIN::eternalresearch.in</t>
  </si>
  <si>
    <t>RAHUL DAS Proprietor AnalyzerView Market Research</t>
  </si>
  <si>
    <t>INH000023719</t>
  </si>
  <si>
    <t>RAHUL DAS</t>
  </si>
  <si>
    <t>KUKSHIMLA, RAIDOGACHIA, PURBASTHALI, PURBA BARDHAMAN</t>
  </si>
  <si>
    <t>rahul@analyzerview.com</t>
  </si>
  <si>
    <t>919382093168</t>
  </si>
  <si>
    <t>BARDHAMAN</t>
  </si>
  <si>
    <t>713513</t>
  </si>
  <si>
    <t>analyzerview.com</t>
  </si>
  <si>
    <t>DOMAIN::analyzerview.com</t>
  </si>
  <si>
    <t>RASHMITH</t>
  </si>
  <si>
    <t>INH000025984</t>
  </si>
  <si>
    <t>RASHMITH Shetty</t>
  </si>
  <si>
    <t>Door NO 6-62(3B) Kamakshi Complex Hebri post &amp; Taluk Hebri</t>
  </si>
  <si>
    <t>contact@rashmithshetty.in</t>
  </si>
  <si>
    <t>UDUPI</t>
  </si>
  <si>
    <t>576112</t>
  </si>
  <si>
    <t>rashmithshetty.in</t>
  </si>
  <si>
    <t>DOMAIN::rashmithshetty.in</t>
  </si>
  <si>
    <t>VARUN N JOSHI</t>
  </si>
  <si>
    <t>INH000026141</t>
  </si>
  <si>
    <t>VARUN  JOSHI</t>
  </si>
  <si>
    <t>T 10 DEV COMMERCIAL COMPLEX, ABOVE NEW ALKA RESTAURANT</t>
  </si>
  <si>
    <t>support@nirivantes.com</t>
  </si>
  <si>
    <t>00009898693068</t>
  </si>
  <si>
    <t>nirivantes.com</t>
  </si>
  <si>
    <t>DOMAIN::nirivantes.com</t>
  </si>
  <si>
    <t>Saloni Maheshwari</t>
  </si>
  <si>
    <t>INH000026682</t>
  </si>
  <si>
    <t>House no. 65, Sector 7</t>
  </si>
  <si>
    <t>saloni@smaheshwari.in</t>
  </si>
  <si>
    <t>134109</t>
  </si>
  <si>
    <t>smaheshwari.in</t>
  </si>
  <si>
    <t>DOMAIN::smaheshwari.in</t>
  </si>
  <si>
    <t>INDRA KAMAL TIWARI</t>
  </si>
  <si>
    <t>INH000027414</t>
  </si>
  <si>
    <t>Indra  Tiwari</t>
  </si>
  <si>
    <t>Flat No. 25, 3rd Floor, Shri ji Residency Apartment,, Neerav Nikunj Phase-1, Officer Colony, Sikandra</t>
  </si>
  <si>
    <t>ra@indrakamal.com</t>
  </si>
  <si>
    <t>00007987406092</t>
  </si>
  <si>
    <t>282007</t>
  </si>
  <si>
    <t>May 20, 2026</t>
  </si>
  <si>
    <t>indrakamal.com</t>
  </si>
  <si>
    <t>DOMAIN::indrakamal.com</t>
  </si>
  <si>
    <t>Komal Mirani</t>
  </si>
  <si>
    <t>INH000028200</t>
  </si>
  <si>
    <t>Flat No 401, Muktagiri Colony Kourinbhatha</t>
  </si>
  <si>
    <t>komal@komalmirani.com</t>
  </si>
  <si>
    <t>007974365568</t>
  </si>
  <si>
    <t>DURG</t>
  </si>
  <si>
    <t>491441</t>
  </si>
  <si>
    <t>komalmirani.com</t>
  </si>
  <si>
    <t>DOMAIN::komalmirani.com</t>
  </si>
  <si>
    <t>DHAVAL P VYAS</t>
  </si>
  <si>
    <t>INH000002855</t>
  </si>
  <si>
    <t>B 501, SATYAMEV FAMOSA, NEAR PRAMUKH NAGAR BUNGLOW,, BESIDES SHANTI VILLA, SARGASAN CROSS ROAD, SARGASAN</t>
  </si>
  <si>
    <t>dhavalpvyas@dhavalpvyas.com</t>
  </si>
  <si>
    <t>9375333277</t>
  </si>
  <si>
    <t>382421</t>
  </si>
  <si>
    <t>H-403, Dev Residency, Opp. Shukan Gold, Near Vandemataram Chowk, Gota</t>
  </si>
  <si>
    <t>382480</t>
  </si>
  <si>
    <t>Apr 13, 2016</t>
  </si>
  <si>
    <t>dhavalpvyas.com</t>
  </si>
  <si>
    <t>DOMAIN::dhavalpvyas.com</t>
  </si>
  <si>
    <t>MILAN VAISHNAV</t>
  </si>
  <si>
    <t>INH000003341</t>
  </si>
  <si>
    <t>TF 07, SUNER COMPLEX, HARINAGAR CROSS ROADS,, GOTRI ROAD, VADODARA</t>
  </si>
  <si>
    <t>02652392508</t>
  </si>
  <si>
    <t>TF 07, SUNER COMPLEX, HARINAGAR CROSS ROADS, Gotri Road, Vadodara</t>
  </si>
  <si>
    <t>Aug 11, 2016</t>
  </si>
  <si>
    <t>mymoneyplant.co.in</t>
  </si>
  <si>
    <t>DOMAIN::mymoneyplant.co.in</t>
  </si>
  <si>
    <t>Bhargav Bujarbaruah</t>
  </si>
  <si>
    <t>INA300012316</t>
  </si>
  <si>
    <t>c/o Ms. Pubalee D Bujarbaruah, Upper New Colony, Near Womens' College</t>
  </si>
  <si>
    <t>bhargav.b@consultant.com</t>
  </si>
  <si>
    <t>SHILLONG</t>
  </si>
  <si>
    <t>MEGHALAYA</t>
  </si>
  <si>
    <t>793003</t>
  </si>
  <si>
    <t>Jan 03, 2019</t>
  </si>
  <si>
    <t>consultant.com</t>
  </si>
  <si>
    <t>DOMAIN::consultant.com</t>
  </si>
  <si>
    <t>VIJAY DUTT VEMALA</t>
  </si>
  <si>
    <t>INA200013594</t>
  </si>
  <si>
    <t>VIJAY VEMALA</t>
  </si>
  <si>
    <t>20-115, SRI PAADA NILAYAM, THASILDAR STREET, NEW PET, PALAMANER</t>
  </si>
  <si>
    <t>vijay@vjcapital.in</t>
  </si>
  <si>
    <t>TIRUPATI</t>
  </si>
  <si>
    <t>517408</t>
  </si>
  <si>
    <t>A-404, PURVA SKYWOOD, SILVER COUNTY ROAD, OFF HARALUR ROAD</t>
  </si>
  <si>
    <t>Jul 08, 2019</t>
  </si>
  <si>
    <t>vjcapital.in</t>
  </si>
  <si>
    <t>DOMAIN::vjcapital.in</t>
  </si>
  <si>
    <t>RAJU SATPUTE PROPRIETOR THE EQUAL RESEARCH</t>
  </si>
  <si>
    <t>INA000004377</t>
  </si>
  <si>
    <t>PLOT NO 295 PU4 SCHEME NO 54 2nd FLOOR, BEHIND ORBIT MALL INDORE</t>
  </si>
  <si>
    <t>raju.satpute@astral.ac.in</t>
  </si>
  <si>
    <t>228-A, Trade Center, 18, South Tukoganj</t>
  </si>
  <si>
    <t>Mar 16, 2016</t>
  </si>
  <si>
    <t>astral.ac.in</t>
  </si>
  <si>
    <t>DOMAIN::astral.ac.in</t>
  </si>
  <si>
    <t>DEEPAK KUMAR PANDEY PROPRIETOR ABR VENTURE FINANCIAL SERVICES</t>
  </si>
  <si>
    <t>INA000005309</t>
  </si>
  <si>
    <t>PLOT NO 107, PU4,SCHEME NO 54,VIJAY NAGAR</t>
  </si>
  <si>
    <t>contact@abrventure.com</t>
  </si>
  <si>
    <t>12-B, Swarn Vatika, Vandana Nagar</t>
  </si>
  <si>
    <t>Aug 03, 2016</t>
  </si>
  <si>
    <t>abrventure.com</t>
  </si>
  <si>
    <t>DOMAIN::abrventure.com</t>
  </si>
  <si>
    <t>jasmeet singh</t>
  </si>
  <si>
    <t>INH100004951</t>
  </si>
  <si>
    <t>2nd Floor, 227,, Raja Garden</t>
  </si>
  <si>
    <t>jasmeet@valueguyz.com</t>
  </si>
  <si>
    <t>2nd Floor, 227, Raja Garden</t>
  </si>
  <si>
    <t>Jun 29, 2017</t>
  </si>
  <si>
    <t>valueguyz.com</t>
  </si>
  <si>
    <t>DOMAIN::valueguyz.com</t>
  </si>
  <si>
    <t>SUMEET KUMAR</t>
  </si>
  <si>
    <t>INH100005093</t>
  </si>
  <si>
    <t>SUMEET  KUMAR</t>
  </si>
  <si>
    <t>105, Aggarwal Plaza, Block - F,, Vikaspuri</t>
  </si>
  <si>
    <t>info@eantra.com</t>
  </si>
  <si>
    <t>110018</t>
  </si>
  <si>
    <t>105, Aggarwal Plaza, Block - F, Vikaspuri,</t>
  </si>
  <si>
    <t>Aug 01, 2017</t>
  </si>
  <si>
    <t>eantra.com</t>
  </si>
  <si>
    <t>DOMAIN::eantra.com</t>
  </si>
  <si>
    <t>ASHISH KAPUR</t>
  </si>
  <si>
    <t>INH100007082</t>
  </si>
  <si>
    <t>A 2,3,4 THIRD FLOOR, HB TWIN TOWER, NETAJI SUBHASH PLACE, PITAMPURA</t>
  </si>
  <si>
    <t>ashishkapur@investshoppe.com</t>
  </si>
  <si>
    <t>Apr 22, 2019</t>
  </si>
  <si>
    <t>investshoppe.com</t>
  </si>
  <si>
    <t>DOMAIN::investshoppe.com</t>
  </si>
  <si>
    <t>Sandip Sabharwal</t>
  </si>
  <si>
    <t>INH000008109</t>
  </si>
  <si>
    <t>Room No. 2202, Marathon Heights, P.B. Marg, , Near Deepak Talkies, Delisle road, Lower Parel</t>
  </si>
  <si>
    <t>sandip@asksandipsabharwal.com</t>
  </si>
  <si>
    <t>Jan 27, 2021</t>
  </si>
  <si>
    <t>asksandipsabharwal.com</t>
  </si>
  <si>
    <t>DOMAIN::asksandipsabharwal.com</t>
  </si>
  <si>
    <t>Salonee Sanghvi Proprietor My Wealth Guide</t>
  </si>
  <si>
    <t>INH000008677</t>
  </si>
  <si>
    <t>Salonee Sanghvi</t>
  </si>
  <si>
    <t>405 Ready Money Terrace, Dr A B Road,  Worli Naka</t>
  </si>
  <si>
    <t>info@mywealthguide.com</t>
  </si>
  <si>
    <t>mywealthguide.com</t>
  </si>
  <si>
    <t>DOMAIN::mywealthguide.com</t>
  </si>
  <si>
    <t>Sumit Poddar Proprietor Tikona Capital</t>
  </si>
  <si>
    <t>INH000009807</t>
  </si>
  <si>
    <t>Sumit Poddar</t>
  </si>
  <si>
    <t>2C 123 Kalpataru Estate, JVLR, Andheri E</t>
  </si>
  <si>
    <t>sumitpoddar@tikonacapital.com</t>
  </si>
  <si>
    <t>tikonacapital.com</t>
  </si>
  <si>
    <t>DOMAIN::tikonacapital.com</t>
  </si>
  <si>
    <t>Vikash Goel Proprietor Omnifin Solutions</t>
  </si>
  <si>
    <t>INH300009923</t>
  </si>
  <si>
    <t>Vikash Goel</t>
  </si>
  <si>
    <t>Diamond Arcade, 313, 68 Jessore Road</t>
  </si>
  <si>
    <t>vg@omnifinsolutions.com</t>
  </si>
  <si>
    <t>700055</t>
  </si>
  <si>
    <t>Jun 24, 2022</t>
  </si>
  <si>
    <t>omnifinsolutions.com</t>
  </si>
  <si>
    <t>DOMAIN::omnifinsolutions.com</t>
  </si>
  <si>
    <t>Smruti Kshirsagar</t>
  </si>
  <si>
    <t>INH000011237</t>
  </si>
  <si>
    <t>2nd Floor, Ashish, 10 Akshay Society, Shahu College Rd, Parvati</t>
  </si>
  <si>
    <t>smruti@acumenn.io</t>
  </si>
  <si>
    <t>Jan 16, 2023</t>
  </si>
  <si>
    <t>acumenn.io</t>
  </si>
  <si>
    <t>DOMAIN::acumenn.io</t>
  </si>
  <si>
    <t>Rusmik Oza Sole Proprietor of 9 Rays EquiResearch</t>
  </si>
  <si>
    <t>INH000012412</t>
  </si>
  <si>
    <t>Rusmik Oza</t>
  </si>
  <si>
    <t>F92, First Floor, Profit Center,, Breezy Corner CHSL, Mahavir Nagar, Kandivali (W)</t>
  </si>
  <si>
    <t>rusmik@9rays.in</t>
  </si>
  <si>
    <t>F92, First Floor, Profit Center, Breezy Corner CHSL, Mahavir Nagar, Kandivali (W)</t>
  </si>
  <si>
    <t>Jun 08, 2028</t>
  </si>
  <si>
    <t>9rays.in</t>
  </si>
  <si>
    <t>DOMAIN::9rays.in</t>
  </si>
  <si>
    <t>ATHARVA VINAYAK SHIRGAONKAR</t>
  </si>
  <si>
    <t>INH000013040</t>
  </si>
  <si>
    <t>ATHARVA SHIRGAONKAR</t>
  </si>
  <si>
    <t>12/502, TULSIDHAM KALYANI, OFF GHODBUNDER ROAD, NEAR D.A.V. SCHOOL, THANE WEST</t>
  </si>
  <si>
    <t>atharva@asfswealth.co.in</t>
  </si>
  <si>
    <t>SHOP NO F-01, FIRST FLOOR, ANANDRAM COMPLEX, NEAR GARDEN ENCLAVE THANE WEST</t>
  </si>
  <si>
    <t>Sep 15, 2023</t>
  </si>
  <si>
    <t>asfswealth.co.in</t>
  </si>
  <si>
    <t>DOMAIN::asfswealth.co.in</t>
  </si>
  <si>
    <t>STATLANE</t>
  </si>
  <si>
    <t>INH000013156</t>
  </si>
  <si>
    <t>Kunal Valia</t>
  </si>
  <si>
    <t>Bellwether Heights, 1001, 10F, K.A Subramaniam Road, Matunga,</t>
  </si>
  <si>
    <t>kunal.valia@statlane.in</t>
  </si>
  <si>
    <t>Oct 09, 2023</t>
  </si>
  <si>
    <t>statlane.in</t>
  </si>
  <si>
    <t>DOMAIN::statlane.in</t>
  </si>
  <si>
    <t>Pranali Prasad Choughule Proprietor Dealwise Pro Research Analyst</t>
  </si>
  <si>
    <t>INH000013846</t>
  </si>
  <si>
    <t>Pranali Choughule</t>
  </si>
  <si>
    <t>Unit No304, Rupa Solitaire Building, Sector1, MBP, Mahape, Navi Mumbai</t>
  </si>
  <si>
    <t>pranali@dealwisepro.com</t>
  </si>
  <si>
    <t>dealwisepro.com</t>
  </si>
  <si>
    <t>DOMAIN::dealwisepro.com</t>
  </si>
  <si>
    <t>Vina Ramnikbhai Dobariya</t>
  </si>
  <si>
    <t>INH000017189</t>
  </si>
  <si>
    <t>VINA DOBARIYA</t>
  </si>
  <si>
    <t>PLOT-7 SHREE OM BUNGALOWS, VELANJA</t>
  </si>
  <si>
    <t>INFO@AASTHAFINTECH.COM</t>
  </si>
  <si>
    <t>394150</t>
  </si>
  <si>
    <t>Jul 01, 2024</t>
  </si>
  <si>
    <t>Ashish Malik</t>
  </si>
  <si>
    <t>INH000017772</t>
  </si>
  <si>
    <t>A 122, Sector 40</t>
  </si>
  <si>
    <t>ashish@malikz.com</t>
  </si>
  <si>
    <t>201303</t>
  </si>
  <si>
    <t>malikz.com</t>
  </si>
  <si>
    <t>DOMAIN::malikz.com</t>
  </si>
  <si>
    <t>VINIT GUPTA</t>
  </si>
  <si>
    <t>INH100005446</t>
  </si>
  <si>
    <t>1-B-417 , Buddhi Vihar, Near Aryans International School , C/O InvestorsPride.Com</t>
  </si>
  <si>
    <t>vinitgupta@investorspride.com</t>
  </si>
  <si>
    <t>MORADABAD</t>
  </si>
  <si>
    <t>244001</t>
  </si>
  <si>
    <t>957 , Shanti Sadan , Durga Colony , Meerpur , Chamunda Road , Near InvestorsPride Building</t>
  </si>
  <si>
    <t>Nov 20, 2017</t>
  </si>
  <si>
    <t>investorspride.com</t>
  </si>
  <si>
    <t>DOMAIN::investorspride.com</t>
  </si>
  <si>
    <t>BINOY JOY</t>
  </si>
  <si>
    <t>INH200006451</t>
  </si>
  <si>
    <t>Kattadiyil No 1, Skyline ROYALE, Panampilly Nagar</t>
  </si>
  <si>
    <t>bjk@3ccapitals.com</t>
  </si>
  <si>
    <t>Oct 21, 2018</t>
  </si>
  <si>
    <t>3ccapitals.com</t>
  </si>
  <si>
    <t>DOMAIN::3ccapitals.com</t>
  </si>
  <si>
    <t>Suryansh Singh Chandel</t>
  </si>
  <si>
    <t>INH000010821</t>
  </si>
  <si>
    <t>Suryansh Chandel</t>
  </si>
  <si>
    <t>1719 - Milano, Mahagun Mascot, Crossings Republik</t>
  </si>
  <si>
    <t>suryanshsingh@mail.com</t>
  </si>
  <si>
    <t>201016</t>
  </si>
  <si>
    <t>mail.com</t>
  </si>
  <si>
    <t>DOMAIN::mail.com</t>
  </si>
  <si>
    <t>NIRMAL KUMAR SARDA</t>
  </si>
  <si>
    <t>INH000012519</t>
  </si>
  <si>
    <t>NIRMAL SARDA</t>
  </si>
  <si>
    <t>Behind State Bank of India, Gangashahar Road</t>
  </si>
  <si>
    <t>nirmal@nsarda.in</t>
  </si>
  <si>
    <t>BIKANER</t>
  </si>
  <si>
    <t>334001</t>
  </si>
  <si>
    <t>Jul 07, 2023</t>
  </si>
  <si>
    <t>nsarda.in</t>
  </si>
  <si>
    <t>DOMAIN::nsarda.in</t>
  </si>
  <si>
    <t>CA Rahul Chhabadia</t>
  </si>
  <si>
    <t>INH000016047</t>
  </si>
  <si>
    <t>Rahul Chhabadia</t>
  </si>
  <si>
    <t>CA Rahul Chhabadia, 31, Brahma Shakti Nagar, Burhanpur</t>
  </si>
  <si>
    <t>rahul.chhabadia@mail.ca.in</t>
  </si>
  <si>
    <t>KHANDWA</t>
  </si>
  <si>
    <t>450331</t>
  </si>
  <si>
    <t>mail.ca.in</t>
  </si>
  <si>
    <t>DOMAIN::mail.ca.in</t>
  </si>
  <si>
    <t>MANISH KUMAR SARRAF PROP MS IBN SERVICES</t>
  </si>
  <si>
    <t>INH100001948</t>
  </si>
  <si>
    <t>MANISH KUMAR SAARAF</t>
  </si>
  <si>
    <t>K-7, IIND FLOOR, BAL UDHAYAN ROAD, UTTAM NAGAR</t>
  </si>
  <si>
    <t>info@ibnservices.in, manishsarraf@gmail.com</t>
  </si>
  <si>
    <t>1128565999</t>
  </si>
  <si>
    <t>K-7, IInd Floor, Bal Udhayan Road, Uttam Nagar</t>
  </si>
  <si>
    <t>gmail.com</t>
  </si>
  <si>
    <t>invalid_email</t>
  </si>
  <si>
    <t>D - Ignore</t>
  </si>
  <si>
    <t>NAME::MANISH KUMAR SARRAF PROP MS IBN SERVICES</t>
  </si>
  <si>
    <t>Do not prioritize</t>
  </si>
  <si>
    <t>Ujvin Nevatia Proprietor Nevat Investments</t>
  </si>
  <si>
    <t>INA000020217</t>
  </si>
  <si>
    <t>Ujvin  Nevatia</t>
  </si>
  <si>
    <t>270, Phase 2, Street No 1 A 3, , Vishal Nagar, Bhatinda</t>
  </si>
  <si>
    <t>ujvinnevatia@gmail.com</t>
  </si>
  <si>
    <t>917307973993</t>
  </si>
  <si>
    <t>BATHINDA</t>
  </si>
  <si>
    <t>151001</t>
  </si>
  <si>
    <t>May 29, 2025</t>
  </si>
  <si>
    <t>free_personal_email</t>
  </si>
  <si>
    <t>NAME::UJVIN NEVATIA PROPRIETOR NEVAT INVESTMENTS</t>
  </si>
  <si>
    <t>SHRI AKHILESH CHAWDA PROPRIETOR M/S CAPITAL COW RESEARCH</t>
  </si>
  <si>
    <t>INA000001126</t>
  </si>
  <si>
    <t>SHRI AKHILESH CHAWDA</t>
  </si>
  <si>
    <t>411 SHAGUN TOWER, VIJAY NAGAR</t>
  </si>
  <si>
    <t>akhilesh.chawda@gmail.com</t>
  </si>
  <si>
    <t>07316007000</t>
  </si>
  <si>
    <t>GF 31, 2nd Floor, Above Allahabad Bank, Opposite Sayaji Hotel, Vijay Nagar</t>
  </si>
  <si>
    <t>Feb 17, 2014</t>
  </si>
  <si>
    <t>NAME::SHRI AKHILESH CHAWDA PROPRIETOR M S CAPITAL COW RESEARCH</t>
  </si>
  <si>
    <t>RAJIV SHARMA PROPRIETOR M/S CAPITAL LIFE MARKET RESEARCH</t>
  </si>
  <si>
    <t>INA000001365</t>
  </si>
  <si>
    <t>RAJIV SHARMA</t>
  </si>
  <si>
    <t>403,404,405,Trade House, South Tukoganj,Dhakkan Wala Kuan</t>
  </si>
  <si>
    <t>capital.life1708@gmail.com</t>
  </si>
  <si>
    <t>07310000000</t>
  </si>
  <si>
    <t>G-2, Khan Building, 2/2 Old Palasia, Near K College</t>
  </si>
  <si>
    <t>Mar 27, 2014</t>
  </si>
  <si>
    <t>NAME::RAJIV SHARMA PROPRIETOR M S CAPITAL LIFE MARKET RESEARCH</t>
  </si>
  <si>
    <t>STEVEN NELSON FERNANDES Proprietor of PROFICIENT FINANCIAL PLANNERS</t>
  </si>
  <si>
    <t>INA000001597</t>
  </si>
  <si>
    <t>STEVEN NELSON FERNANDES Proprietor of PROFICIEN FINANCIAL PLANNERS</t>
  </si>
  <si>
    <t>620 OMEGA BUSINESS PARK ROAD NO 33, MIDC WAGLE INDUSTRIAL ESTATE THANE WEST</t>
  </si>
  <si>
    <t>stevenfernandes32@gmail.com</t>
  </si>
  <si>
    <t>009821465874</t>
  </si>
  <si>
    <t>Apr 17, 2014</t>
  </si>
  <si>
    <t>NAME::STEVEN NELSON FERNANDES PROPRIETOR OF PROFICIENT FINANCIAL PLANNERS</t>
  </si>
  <si>
    <t>LOKENDRA SAHU PROPRIETOR AURUM FINANCIAL SERVICES</t>
  </si>
  <si>
    <t>INA000002520</t>
  </si>
  <si>
    <t>LOKENDRA  SAHU</t>
  </si>
  <si>
    <t>340 D/AD, SCHEME NO. 74-C, VIJAY NAGAR INDORE</t>
  </si>
  <si>
    <t>aurum.service4u@gmail.com</t>
  </si>
  <si>
    <t>919009955997</t>
  </si>
  <si>
    <t>203, Sanchit Apartment, Scheme No. 78</t>
  </si>
  <si>
    <t>Dec 30, 2014</t>
  </si>
  <si>
    <t>NAME::LOKENDRA SAHU PROPRIETOR AURUM FINANCIAL SERVICES</t>
  </si>
  <si>
    <t>GAURAV AGRAWAL PROPRIETOR PROFIT VISTA FINANCIAL RESEARCH</t>
  </si>
  <si>
    <t>INA000002678</t>
  </si>
  <si>
    <t>GAURAV AGRAWAL</t>
  </si>
  <si>
    <t>401 SHAGUN ARCADE, VIJAY NAGAR SQUARE</t>
  </si>
  <si>
    <t>profitvista.info@gmail.com</t>
  </si>
  <si>
    <t>731000000</t>
  </si>
  <si>
    <t>301, Sapphire House, 319 Tower Chouraha</t>
  </si>
  <si>
    <t>NAME::GAURAV AGRAWAL PROPRIETOR PROFIT VISTA FINANCIAL RESEARCH</t>
  </si>
  <si>
    <t>AKANSHA JAIN PROPRIETOR DYNAMIC MONEY RESEARCH ADVISORY SERVICES</t>
  </si>
  <si>
    <t>INA000003254</t>
  </si>
  <si>
    <t>AKANSHA JAIN</t>
  </si>
  <si>
    <t>OFFICE NO 405 RAFAEL TOWER, 8/2 OLD PALASIA</t>
  </si>
  <si>
    <t>akanshajain.soe@gmail.com</t>
  </si>
  <si>
    <t>0731000000</t>
  </si>
  <si>
    <t>414, Trade House, 14/3 South Tukoganj</t>
  </si>
  <si>
    <t>NAME::AKANSHA JAIN PROPRIETOR DYNAMIC MONEY RESEARCH ADVISORY SERVICES</t>
  </si>
  <si>
    <t>AKHILESH JAIN PROPRIETOR EH RESEARCH</t>
  </si>
  <si>
    <t>INA000003767</t>
  </si>
  <si>
    <t>AKHILESH JAIN</t>
  </si>
  <si>
    <t>ENERGY HOUSE 51, MAHADEV TOTLA NAGAR, NEAR BANK OF BARODA, BENGALI SQUARE</t>
  </si>
  <si>
    <t>akhileshjai@gmail.com</t>
  </si>
  <si>
    <t>07314064462</t>
  </si>
  <si>
    <t>Energy House 51, Mahadev Totla Nagar, Near Bank of Baroda, Bengali Square</t>
  </si>
  <si>
    <t>NAME::AKHILESH JAIN PROPRIETOR EH RESEARCH</t>
  </si>
  <si>
    <t>NIMISH DEHARIYA PROPRIETOR IR24</t>
  </si>
  <si>
    <t>INA000004187</t>
  </si>
  <si>
    <t>NIMISH DEHARIYA</t>
  </si>
  <si>
    <t>14/7, BLOCK NO. 301, 3RD FLOOR, GYAN MANGALAM, NEW PALASIA</t>
  </si>
  <si>
    <t>nimishd03@gmail.com</t>
  </si>
  <si>
    <t>07314224275</t>
  </si>
  <si>
    <t>14/7, Block No. 301, 3rd Floor, Gyan Mangalam, New Palasia</t>
  </si>
  <si>
    <t>NAME::NIMISH DEHARIYA PROPRIETOR IR24</t>
  </si>
  <si>
    <t>Amit Malviya Proprietor of Moneyplant Investment Advisory</t>
  </si>
  <si>
    <t>INA000007924</t>
  </si>
  <si>
    <t>AMIT MALVIYA. Proprieter MONEYPLANT INVESTMENT ADVISORY</t>
  </si>
  <si>
    <t>326-A ,3RD FLOOR,, PU-4 COMMERCIAL, SCHEME NO 54, VIJAYNAGAR,</t>
  </si>
  <si>
    <t>amitmalviya1987@gmail.com</t>
  </si>
  <si>
    <t>919039574540</t>
  </si>
  <si>
    <t>326-A ,3RD FLOOR, PU-4 COMMERCIAL, SCHEME NO 54, VIJAYNAGAR,</t>
  </si>
  <si>
    <t>Jun 28, 2017</t>
  </si>
  <si>
    <t>NAME::AMIT MALVIYA PROPRIETOR OF MONEYPLANT INVESTMENT ADVISORY</t>
  </si>
  <si>
    <t>Sanjay Roy (Proprietor of InvestEdge Consulting)</t>
  </si>
  <si>
    <t>INA300000984</t>
  </si>
  <si>
    <t>SANJAY ROY</t>
  </si>
  <si>
    <t>79, LENIN SARANI, ?COMMERCIAL POINT?, UNIT 509, 5TH FLOOR</t>
  </si>
  <si>
    <t>sanjayroy.cfp@gmail.com</t>
  </si>
  <si>
    <t>033 22267743</t>
  </si>
  <si>
    <t>79, Lenin Sarani, ?Commercial Point?, Unit 509, 5th Floor</t>
  </si>
  <si>
    <t>NAME::SANJAY ROY PROPRIETOR OF INVESTEDGE CONSULTING</t>
  </si>
  <si>
    <t>Vinny Arora (Prop. Money vs Me)</t>
  </si>
  <si>
    <t>INA100016327</t>
  </si>
  <si>
    <t>Vinny Arora</t>
  </si>
  <si>
    <t>BF 27 1st Floor, Janakpuri</t>
  </si>
  <si>
    <t>vinnyaro@gmail.com</t>
  </si>
  <si>
    <t>09810726952</t>
  </si>
  <si>
    <t>NAME::VINNY ARORA PROP MONEY VS ME</t>
  </si>
  <si>
    <t>Shruti Agrawal Proprietor of CAGRWEALTH</t>
  </si>
  <si>
    <t>INA100016406</t>
  </si>
  <si>
    <t>Shruti Agrawal</t>
  </si>
  <si>
    <t>Office No A 1903 Lodha Altia T8 Wadala Truck Terminal, Road New Cuffe Parade Mumbai</t>
  </si>
  <si>
    <t>shrutiagrawal761@gmail.com</t>
  </si>
  <si>
    <t>919867095324</t>
  </si>
  <si>
    <t>NAME::SHRUTI AGRAWAL PROPRIETOR OF CAGRWEALTH</t>
  </si>
  <si>
    <t>Ashish Khetan- Proprietor of Meeraj Advisors</t>
  </si>
  <si>
    <t>INA000017763</t>
  </si>
  <si>
    <t>Ashish Khetan</t>
  </si>
  <si>
    <t>B-2103-2104 , Oberoi Exquisite, Goregaon East, Mumbai - 400063</t>
  </si>
  <si>
    <t>ashishkhetan72@gmail.com</t>
  </si>
  <si>
    <t>919833706244</t>
  </si>
  <si>
    <t>NAME::ASHISH KHETAN PROPRIETOR OF MEERAJ ADVISORS</t>
  </si>
  <si>
    <t>Viren Sameer Deshpande Proprietor of Alphapeak Investments</t>
  </si>
  <si>
    <t>INA000017967</t>
  </si>
  <si>
    <t>Viren Deshpande</t>
  </si>
  <si>
    <t>B,202, CTS 4662, Plot no. 481, Urban Life Ventures Aapli,, Near Shivdarshan Chowk, Pune</t>
  </si>
  <si>
    <t>alphapeakinvestments@gmail.com</t>
  </si>
  <si>
    <t>08551006206</t>
  </si>
  <si>
    <t>B,202, CTS 4662, Plot no. 481, Urban Life Ventures Aapli, Near Shivdarshan Chowk, Pune</t>
  </si>
  <si>
    <t>NAME::VIREN SAMEER DESHPANDE PROPRIETOR OF ALPHAPEAK INVESTMENTS</t>
  </si>
  <si>
    <t>Kaitav Shailesh Shah Proprietor Labdhi Advisory</t>
  </si>
  <si>
    <t>INA000018522</t>
  </si>
  <si>
    <t>Kaitav  Shah</t>
  </si>
  <si>
    <t>B-41, Harmony, Derasar Lane, Near Jain Temple,, Ram Nagar, Borivali West</t>
  </si>
  <si>
    <t>advisory.labdhi@gmail.com</t>
  </si>
  <si>
    <t>919029332002</t>
  </si>
  <si>
    <t>B-41, Harmony, Derasar Lane, Near Jain Temple, Ram Nagar, Borivali West</t>
  </si>
  <si>
    <t>NAME::KAITAV SHAILESH SHAH PROPRIETOR LABDHI ADVISORY</t>
  </si>
  <si>
    <t>Vishal Borasi Proprietor Muhurat Investing - Investment Advisor</t>
  </si>
  <si>
    <t>INA000018692</t>
  </si>
  <si>
    <t>Vishal Borasi</t>
  </si>
  <si>
    <t>13-14 Mukharji Nagar, Gali No 07 Panch Mori,</t>
  </si>
  <si>
    <t>vishuborasi@gmail.com</t>
  </si>
  <si>
    <t>91009584096836</t>
  </si>
  <si>
    <t>452015</t>
  </si>
  <si>
    <t>NAME::VISHAL BORASI PROPRIETOR MUHURAT INVESTING INVESTMENT ADVISOR</t>
  </si>
  <si>
    <t>Ajeet Kumar Pandey- Proprietor of Investment Climb Advisory</t>
  </si>
  <si>
    <t>INA000018726</t>
  </si>
  <si>
    <t>Ajeet Kumar Pandey</t>
  </si>
  <si>
    <t>Second Floor, No. 43, Wilson Garden Housing Society,, JP Nagar 7th Phase</t>
  </si>
  <si>
    <t>ajeet05052007@gmail.com</t>
  </si>
  <si>
    <t>00919742543604</t>
  </si>
  <si>
    <t>Second Floor, No. 43, Wilson Garden Housing Society, JP Nagar 7th Phase</t>
  </si>
  <si>
    <t>Dec 20, 2023</t>
  </si>
  <si>
    <t>NAME::AJEET KUMAR PANDEY PROPRIETOR OF INVESTMENT CLIMB ADVISORY</t>
  </si>
  <si>
    <t>Pavan Kumar Manchiraju Proprietor of Hubridge Investment Advisers</t>
  </si>
  <si>
    <t>INA000018975</t>
  </si>
  <si>
    <t>Pavan Kumar Manchiraju</t>
  </si>
  <si>
    <t>KOTHARI CENTRUM BUILDING, 4TH FLOOR, REGUS, MURPHY ROAD BUSINESS CENTRE, KONDAPUR,</t>
  </si>
  <si>
    <t>pavanm.mail@gmail.com</t>
  </si>
  <si>
    <t>918297006446</t>
  </si>
  <si>
    <t>NAME::PAVAN KUMAR MANCHIRAJU PROPRIETOR OF HUBRIDGE INVESTMENT ADVISERS</t>
  </si>
  <si>
    <t>Akshay Sunil Deora Proprietor DEORA INVESTMENT ADVISORY</t>
  </si>
  <si>
    <t>INA000018993</t>
  </si>
  <si>
    <t>Akshay Deora</t>
  </si>
  <si>
    <t>Sr No 46, Office No 202, Insignia, Second Floor,, Wadiya</t>
  </si>
  <si>
    <t>akshaydeora1@gmail.com</t>
  </si>
  <si>
    <t>00009423106094</t>
  </si>
  <si>
    <t>Sr No 46, Office No 202, Insignia, Second Floor, Wadiya</t>
  </si>
  <si>
    <t>NAME::AKSHAY SUNIL DEORA PROPRIETOR DEORA INVESTMENT ADVISORY</t>
  </si>
  <si>
    <t>Dhilip Krishna SS Proprietor of Apta Investment Advisors</t>
  </si>
  <si>
    <t>INA000019071</t>
  </si>
  <si>
    <t>Dhilip Krishna SS</t>
  </si>
  <si>
    <t>Apartment No S2, 2nd Floor, Sri Venkadam, Plot No 889, Munusamy Salai, KK Nagar</t>
  </si>
  <si>
    <t>dhilipkrishna@gmail.com</t>
  </si>
  <si>
    <t>919769497239</t>
  </si>
  <si>
    <t>600078</t>
  </si>
  <si>
    <t>NAME::DHILIP KRISHNA SS PROPRIETOR OF APTA INVESTMENT ADVISORS</t>
  </si>
  <si>
    <t>RAVI KABRA Proprietor MONEYSAAR INVESTMENT ADVISORS</t>
  </si>
  <si>
    <t>INA000019187</t>
  </si>
  <si>
    <t>Ravi Kabra</t>
  </si>
  <si>
    <t>B-67, Flat No 702, Moreshwar Shantinagar Chs, Sector No 1, Opp TMT Bus Stop,, Near Mira Road Station, Mira Road East, Thane</t>
  </si>
  <si>
    <t>caravikabra01@gmail.com</t>
  </si>
  <si>
    <t>918291494160</t>
  </si>
  <si>
    <t>D -1207, SAMRIDDHI TOWER, BESIDE MEENABAI THACKERAY, INDRALOK PHASE 8, Thane</t>
  </si>
  <si>
    <t>401105</t>
  </si>
  <si>
    <t>NAME::RAVI KABRA PROPRIETOR MONEYSAAR INVESTMENT ADVISORS</t>
  </si>
  <si>
    <t>Challa Surya Teja - Proprietor of Empirai Research and Advisory</t>
  </si>
  <si>
    <t>INA000019266</t>
  </si>
  <si>
    <t>Challa Teja</t>
  </si>
  <si>
    <t>109 3rd Floor 3rd Cross Singasandra Kudlu Bangalore</t>
  </si>
  <si>
    <t>challa.suryateja@gmail.com</t>
  </si>
  <si>
    <t>919032971920</t>
  </si>
  <si>
    <t>NAME::CHALLA SURYA TEJA PROPRIETOR OF EMPIRAI RESEARCH AND ADVISORY</t>
  </si>
  <si>
    <t>Mahesh Thangaraju -Proprietor EquityStreet Investment Advisor</t>
  </si>
  <si>
    <t>INA000019363</t>
  </si>
  <si>
    <t>Mahesh  Thangaraju</t>
  </si>
  <si>
    <t>504, Brigade Exotica Apartment, Old Madras Road, Before Budigere Cross, Avalahalli, Virgonagar</t>
  </si>
  <si>
    <t>mahesh.thangaraju@gmail.com</t>
  </si>
  <si>
    <t>919629484649</t>
  </si>
  <si>
    <t>NAME::MAHESH THANGARAJU PROPRIETOR EQUITYSTREET INVESTMENT ADVISOR</t>
  </si>
  <si>
    <t>Abraham Cherian Proprietor 360 wealth advice</t>
  </si>
  <si>
    <t>INA000019594</t>
  </si>
  <si>
    <t>ABRAHAM CHERIAN</t>
  </si>
  <si>
    <t>D705, Kumaradhara Block,, National Games Village Koramangala,</t>
  </si>
  <si>
    <t>abraham.cherian.ria@gmail.com</t>
  </si>
  <si>
    <t>916282316509</t>
  </si>
  <si>
    <t>D705, Kumaradhara Block, National Games Village Koramangala,</t>
  </si>
  <si>
    <t>Oct 04, 2024</t>
  </si>
  <si>
    <t>NAME::ABRAHAM CHERIAN PROPRIETOR 360 WEALTH ADVICE</t>
  </si>
  <si>
    <t>G KANNAN PROPRIETOR HAWKEYE TRADING FINANCE ACADEMY</t>
  </si>
  <si>
    <t>INA000019628</t>
  </si>
  <si>
    <t>GOPALAKRISHNAN KANNAN</t>
  </si>
  <si>
    <t>RAVILLA TOWERS, SENATE SPACE, W BLOCK,, W-32/117, PLOT C-10, 3 RD AVENUE, ANNA NAGAR</t>
  </si>
  <si>
    <t>GKANNAN93232@REDIFFMAIL.COM</t>
  </si>
  <si>
    <t>919176094128</t>
  </si>
  <si>
    <t>600040</t>
  </si>
  <si>
    <t>RAVILLA TOWERS, SENATE SPACE, W BLOCK, W-32/117, PLOT C-10, 3 RD AVENUE, ANNA NAGAR</t>
  </si>
  <si>
    <t>Oct 21, 2024</t>
  </si>
  <si>
    <t>rediffmail.com</t>
  </si>
  <si>
    <t>NAME::G KANNAN PROPRIETOR HAWKEYE TRADING FINANCE ACADEMY</t>
  </si>
  <si>
    <t>RISHU GOYAL - Proprietor of RURR ADVISORS</t>
  </si>
  <si>
    <t>INA000019673</t>
  </si>
  <si>
    <t>RISHU GOYAL</t>
  </si>
  <si>
    <t>603 TOWER 1  PARSVNATH SRISTHI SOCIETY SECTOR 93A</t>
  </si>
  <si>
    <t>RURRADVISORS@GMAIL.COM</t>
  </si>
  <si>
    <t>917715826136</t>
  </si>
  <si>
    <t>Nov 08, 2024</t>
  </si>
  <si>
    <t>NAME::RISHU GOYAL PROPRIETOR OF RURR ADVISORS</t>
  </si>
  <si>
    <t>Ankur Vipul Shah Proprietor Quasar Capital Investment Advisors</t>
  </si>
  <si>
    <t>INA000019813</t>
  </si>
  <si>
    <t>Ankur Shah</t>
  </si>
  <si>
    <t>505, Rotunda Towers, BSE Building, Bombay, Samachar Marg, Mumbai</t>
  </si>
  <si>
    <t>ankurshah1989@gmail.com</t>
  </si>
  <si>
    <t>919819370084</t>
  </si>
  <si>
    <t>Jan 22, 2025</t>
  </si>
  <si>
    <t>NAME::ANKUR VIPUL SHAH PROPRIETOR QUASAR CAPITAL INVESTMENT ADVISORS</t>
  </si>
  <si>
    <t>Rohit Gupta Proprietor Algolytical</t>
  </si>
  <si>
    <t>INA000020138</t>
  </si>
  <si>
    <t>ROHIT GUPTA</t>
  </si>
  <si>
    <t>AG 5, FIRST FLOOR, SHALIMAR BAGH, DELHI</t>
  </si>
  <si>
    <t>rohit.gr84@gmail.com</t>
  </si>
  <si>
    <t>919871231113</t>
  </si>
  <si>
    <t>NAME::ROHIT GUPTA PROPRIETOR ALGOLYTICAL</t>
  </si>
  <si>
    <t>Arjun K A Proprietor Sukruthi</t>
  </si>
  <si>
    <t>INA000020493</t>
  </si>
  <si>
    <t>ARJUN K A</t>
  </si>
  <si>
    <t>006 1st floor cubics apartment, 1st main coffee board layout Kempapura</t>
  </si>
  <si>
    <t>sukruthifincap@gmail.com</t>
  </si>
  <si>
    <t>910808123426999</t>
  </si>
  <si>
    <t>167/12, SUKRUTHI, 2nd floor, 12th cross, , Mahalakshmi layout,</t>
  </si>
  <si>
    <t>560086</t>
  </si>
  <si>
    <t>NAME::ARJUN K A PROPRIETOR SUKRUTHI</t>
  </si>
  <si>
    <t>Krishna Goyal Proprietor Fynvestor Investment Advisory</t>
  </si>
  <si>
    <t>INA000020563</t>
  </si>
  <si>
    <t>Krishna Goyal</t>
  </si>
  <si>
    <t>Fynvestor Investment Advisory, 4th Floor,, BPTP Centra One, Sector 61, Gurgaon,</t>
  </si>
  <si>
    <t>krishnagoyal.ece@gmail.com</t>
  </si>
  <si>
    <t>917610025853</t>
  </si>
  <si>
    <t>122102</t>
  </si>
  <si>
    <t>Fynvestor Investment Advisory, 4th Floor, BPTP Centra One, Sector 61, Gurgaon,</t>
  </si>
  <si>
    <t>Jul 11, 2025</t>
  </si>
  <si>
    <t>NAME::KRISHNA GOYAL PROPRIETOR FYNVESTOR INVESTMENT ADVISORY</t>
  </si>
  <si>
    <t>Shivam Kumar Aggarwal Proprietor ASKCA Investment Advisors</t>
  </si>
  <si>
    <t>INA000020916</t>
  </si>
  <si>
    <t>SHIVAM AGGARWAL</t>
  </si>
  <si>
    <t>W-101,Homes 121, Sector 121,</t>
  </si>
  <si>
    <t>cashivam1799@gmail.com</t>
  </si>
  <si>
    <t>00918130414919</t>
  </si>
  <si>
    <t>NAME::SHIVAM KUMAR AGGARWAL PROPRIETOR ASKCA INVESTMENT ADVISORS</t>
  </si>
  <si>
    <t>SAGAR PUJARI PROPRIETOR FINCLIFF CAPITAL</t>
  </si>
  <si>
    <t>INA000020989</t>
  </si>
  <si>
    <t>SAGAR PUJARI</t>
  </si>
  <si>
    <t>B 127 B-Block, SECTOR 19 NOIDA</t>
  </si>
  <si>
    <t>sagarpujari.work@gmail.com</t>
  </si>
  <si>
    <t>919540250101</t>
  </si>
  <si>
    <t>NAME::SAGAR PUJARI PROPRIETOR FINCLIFF CAPITAL</t>
  </si>
  <si>
    <t>Ajay Jajam Proprietor Chanakya Investment</t>
  </si>
  <si>
    <t>INA000021049</t>
  </si>
  <si>
    <t>Ajay Jajam</t>
  </si>
  <si>
    <t>Office no' R-3/106 First Floor,, M3M, Urbana, Sector 67,</t>
  </si>
  <si>
    <t>chanakyainvestment75@gmail.com</t>
  </si>
  <si>
    <t>00919718774422</t>
  </si>
  <si>
    <t>122101</t>
  </si>
  <si>
    <t>Office no' R-3/106 First Floor, M3M, Urbana, Sector 67,</t>
  </si>
  <si>
    <t>Sep 24, 2025</t>
  </si>
  <si>
    <t>NAME::AJAY JAJAM PROPRIETOR CHANAKYA INVESTMENT</t>
  </si>
  <si>
    <t>S Roshan Valiathan Proprietor Investantra</t>
  </si>
  <si>
    <t>INA000021128</t>
  </si>
  <si>
    <t>S Roshan Valiathan</t>
  </si>
  <si>
    <t>137 Ferns meadows,Near SSR College, Off hennur main road, Bilishivale, Dr sivaramakaranth Nagar Post</t>
  </si>
  <si>
    <t>roshan.valiathan@gmail.com</t>
  </si>
  <si>
    <t>918088530587</t>
  </si>
  <si>
    <t>560077</t>
  </si>
  <si>
    <t>Oct 08, 2025</t>
  </si>
  <si>
    <t>NAME::S ROSHAN VALIATHAN PROPRIETOR INVESTANTRA</t>
  </si>
  <si>
    <t>Aryan Singhal Proprietor Ethos Investment Adviser</t>
  </si>
  <si>
    <t>INA000021182</t>
  </si>
  <si>
    <t>Aryan Singhal</t>
  </si>
  <si>
    <t>Villa No 7/3, Land 2, Jaypee Greens, , Greater Noida,</t>
  </si>
  <si>
    <t>ethosadviser@gmail.com</t>
  </si>
  <si>
    <t>919953491149</t>
  </si>
  <si>
    <t>Oct 20, 2025</t>
  </si>
  <si>
    <t>NAME::ARYAN SINGHAL PROPRIETOR ETHOS INVESTMENT ADVISER</t>
  </si>
  <si>
    <t>Panchagnula Venkateswara Rama Prasad Proprietor RP Investment Advisor</t>
  </si>
  <si>
    <t>INA000021191</t>
  </si>
  <si>
    <t>Panchagnula Rama Prasad</t>
  </si>
  <si>
    <t>2-1-565/3/A/1,, Nallakunta</t>
  </si>
  <si>
    <t>ramaprasadpv.31@gmail.com</t>
  </si>
  <si>
    <t>919820735720</t>
  </si>
  <si>
    <t>500044</t>
  </si>
  <si>
    <t>2-1-565/3/A/1, Nallakunta</t>
  </si>
  <si>
    <t>NAME::PANCHAGNULA VENKATESWARA RAMA PRASAD PROPRIETOR RP INVESTMENT ADVISOR</t>
  </si>
  <si>
    <t>Chandrachuda Sarma Yemmanuru Proprietor Finwiser</t>
  </si>
  <si>
    <t>INA000021331</t>
  </si>
  <si>
    <t>Chandrachuda Yemmanuru</t>
  </si>
  <si>
    <t>H.No. 181, 14th Cross, Bluejay Atmosphere Phase II, , Andhrahalli Main Road, Nagasandra Post,</t>
  </si>
  <si>
    <t>chandrachudasarma@gmail.com</t>
  </si>
  <si>
    <t>00918801294657</t>
  </si>
  <si>
    <t>560073</t>
  </si>
  <si>
    <t>NAME::CHANDRACHUDA SARMA YEMMANURU PROPRIETOR FINWISER</t>
  </si>
  <si>
    <t>Arpita Harshavardhan Kulkarni Proprietor of Fin Neeti</t>
  </si>
  <si>
    <t>INA000021483</t>
  </si>
  <si>
    <t>Arpita Kulkarni</t>
  </si>
  <si>
    <t>S N 40, Flat No. 3, Deep Vishwa Housing Society,, Narayandas Gandhi Road, Erandwane, Pune</t>
  </si>
  <si>
    <t>ca.arpitakulkarni@gmail.com</t>
  </si>
  <si>
    <t>00919881331616</t>
  </si>
  <si>
    <t>S N 40, Flat No. 3, Deep Vishwa Housing Society, Narayandas Gandhi Road, Erandwane, Pune</t>
  </si>
  <si>
    <t>NAME::ARPITA HARSHAVARDHAN KULKARNI PROPRIETOR OF FIN NEETI</t>
  </si>
  <si>
    <t>Harendra P Zatakia Proprietor Wealth Aligned Financial Advisory</t>
  </si>
  <si>
    <t>INA000021988</t>
  </si>
  <si>
    <t>Harendra   Zatakia</t>
  </si>
  <si>
    <t>K-502, Rosewoods Society, Pimple Saudagar</t>
  </si>
  <si>
    <t>Harendrazatakiya@gmail.com</t>
  </si>
  <si>
    <t>009869009957</t>
  </si>
  <si>
    <t>411027</t>
  </si>
  <si>
    <t>Mar 04, 2026</t>
  </si>
  <si>
    <t>NAME::HARENDRA P ZATAKIA PROPRIETOR WEALTH ALIGNED FINANCIAL ADVISORY</t>
  </si>
  <si>
    <t>ABHISHEK GUPTA Proprietor Qligence Capital</t>
  </si>
  <si>
    <t>INA000022002</t>
  </si>
  <si>
    <t>ABHISHEK GUPTA</t>
  </si>
  <si>
    <t>F 304, Hawelia Valenova Park,Greater Noida West</t>
  </si>
  <si>
    <t>abhi555shek@gmail.com</t>
  </si>
  <si>
    <t>000919868206688</t>
  </si>
  <si>
    <t>201318</t>
  </si>
  <si>
    <t>Mar 11, 2026</t>
  </si>
  <si>
    <t>NAME::ABHISHEK GUPTA PROPRIETOR QLIGENCE CAPITAL</t>
  </si>
  <si>
    <t>Pooja Mahesh Proprietor IRA CONSULTING SERVICES</t>
  </si>
  <si>
    <t>INA000022561</t>
  </si>
  <si>
    <t>Pooja Mahesh</t>
  </si>
  <si>
    <t>235, Binnamangala, 2nd Floor, 13th Cross Road, 2nd Stage, Indira Nagar</t>
  </si>
  <si>
    <t>poojamahesh06@gmail.com</t>
  </si>
  <si>
    <t>May 21, 2026</t>
  </si>
  <si>
    <t>NAME::POOJA MAHESH PROPRIETOR IRA CONSULTING SERVICES</t>
  </si>
  <si>
    <t>Kartik Iyer proprietor of Finsenz Wealth Advisory</t>
  </si>
  <si>
    <t>INA000022598</t>
  </si>
  <si>
    <t>Kartik Iyer</t>
  </si>
  <si>
    <t>Penrith Building A wing, Flat no 204, Wood street Hiranandani Estate</t>
  </si>
  <si>
    <t>kartikiyerk@gmail.com</t>
  </si>
  <si>
    <t>00919833385305</t>
  </si>
  <si>
    <t>NAME::KARTIK IYER PROPRIETOR OF FINSENZ WEALTH ADVISORY</t>
  </si>
  <si>
    <t>Niranjan Sridharan Kumar Proprietor Artha Jnana Investment Advisors</t>
  </si>
  <si>
    <t>INA000022826</t>
  </si>
  <si>
    <t>Niranjan Kumar</t>
  </si>
  <si>
    <t>N5 1003, Hills and Dales Ph 3 Undri</t>
  </si>
  <si>
    <t>kumarsniranjan@gmail.com</t>
  </si>
  <si>
    <t>411060</t>
  </si>
  <si>
    <t>NAME::NIRANJAN SRIDHARAN KUMAR PROPRIETOR ARTHA JNANA INVESTMENT ADVISORS</t>
  </si>
  <si>
    <t>Kailasanathan Subramaniam Proprietor Tattvam Investment  Advisors</t>
  </si>
  <si>
    <t>INA000022871</t>
  </si>
  <si>
    <t>Kailasanathan Subramaniam</t>
  </si>
  <si>
    <t>2014, Rosabell Vasant Oasis, Makwana Road, Marol, Andheri East,</t>
  </si>
  <si>
    <t>kailasanathans@gmail.com</t>
  </si>
  <si>
    <t>00919819065177</t>
  </si>
  <si>
    <t>NAME::KAILASANATHAN SUBRAMANIAM PROPRIETOR TATTVAM INVESTMENT ADVISORS</t>
  </si>
  <si>
    <t>NEHAL MAYANK JOSHIPURA (PROPRIETOR OF INVESTMENTWAVES)</t>
  </si>
  <si>
    <t>INA000005184</t>
  </si>
  <si>
    <t>C 201, KALADEEP APARTMENT, BEHIND SACHIN TOWER, NEAR SHYAMAL CROSS ROADS, SATELLITE</t>
  </si>
  <si>
    <t>nehal.joshipura@gmail.com</t>
  </si>
  <si>
    <t>9594365074</t>
  </si>
  <si>
    <t>501, Parimal Heights, Off Juhu Lane, Behind Gazebo House, Gulmohar Cross Road No. 7, Andheri W</t>
  </si>
  <si>
    <t>Jul 20, 2016</t>
  </si>
  <si>
    <t>NAME::NEHAL MAYANK JOSHIPURA PROPRIETOR OF INVESTMENTWAVES</t>
  </si>
  <si>
    <t>BADAL BHARTI PROPRIETOR RESEARCH PANEL INVESTMENT ADVISERS</t>
  </si>
  <si>
    <t>INA000005390</t>
  </si>
  <si>
    <t>A-322, SINGAPORE NEST, NEAR PANCHWATI COLONY</t>
  </si>
  <si>
    <t>badalbharti19871@gmail.com</t>
  </si>
  <si>
    <t>07316550005</t>
  </si>
  <si>
    <t>A-322, Singapore Nest, Near Panchwati Colony</t>
  </si>
  <si>
    <t>NAME::BADAL BHARTI PROPRIETOR RESEARCH PANEL INVESTMENT ADVISERS</t>
  </si>
  <si>
    <t>MANISH KUMAR GOUR PROP. STAR WORLD RESEARCH</t>
  </si>
  <si>
    <t>INA000005499</t>
  </si>
  <si>
    <t>PLOT NO. 42, FLAT 201, MR-3</t>
  </si>
  <si>
    <t>infoworldsrs@gmail.com</t>
  </si>
  <si>
    <t>07316544487</t>
  </si>
  <si>
    <t>Aug 31, 2016</t>
  </si>
  <si>
    <t>NAME::MANISH KUMAR GOUR PROP STAR WORLD RESEARCH</t>
  </si>
  <si>
    <t>VEENA SHARMA PROP. RESEARCH GURU</t>
  </si>
  <si>
    <t>INA000005507</t>
  </si>
  <si>
    <t>79, Scheme No. 53, Indore</t>
  </si>
  <si>
    <t>researchguruinfo@gmail.com</t>
  </si>
  <si>
    <t>07314282244</t>
  </si>
  <si>
    <t>NAME::VEENA SHARMA PROP RESEARCH GURU</t>
  </si>
  <si>
    <t>ADARSH AGRAWAL PROP. REGROW INVESTMENT</t>
  </si>
  <si>
    <t>INA000005515</t>
  </si>
  <si>
    <t>Office no 103-104 sneha nagar scheme no 31 navrang plaza sapna sangeeta</t>
  </si>
  <si>
    <t>adi.agrawal9@gmail.com</t>
  </si>
  <si>
    <t>07313319509</t>
  </si>
  <si>
    <t>Apollo Square 232, Plot No. 7/2, Race Course Road</t>
  </si>
  <si>
    <t>NAME::ADARSH AGRAWAL PROP REGROW INVESTMENT</t>
  </si>
  <si>
    <t>UMESH KUMAR PANDEY PROP. AUROSTAR INVESTMENT ADVISORY SERVICES</t>
  </si>
  <si>
    <t>INA000003296</t>
  </si>
  <si>
    <t>UMESH KUMAR PANDEY</t>
  </si>
  <si>
    <t>5B/1 Colvin Road, Civil Line</t>
  </si>
  <si>
    <t>pandeyurewa@gmail.com</t>
  </si>
  <si>
    <t>073100000</t>
  </si>
  <si>
    <t>25/1, Macchi Bazar</t>
  </si>
  <si>
    <t>Jul 29, 2015</t>
  </si>
  <si>
    <t>NAME::UMESH KUMAR PANDEY PROP AUROSTAR INVESTMENT ADVISORY SERVICES</t>
  </si>
  <si>
    <t>VIKAS KUMAR PANDEY PROP. PARAMOUNT RESEARCH SERVICES</t>
  </si>
  <si>
    <t>INA000005606</t>
  </si>
  <si>
    <t>VIKAS KUMAR PANDEY</t>
  </si>
  <si>
    <t>JAMUI BARAYAN KALA,, BARYA KALAN, REWA,</t>
  </si>
  <si>
    <t>vikas.pandey41@yahoo.in</t>
  </si>
  <si>
    <t>07312572247</t>
  </si>
  <si>
    <t>REWA</t>
  </si>
  <si>
    <t>486331</t>
  </si>
  <si>
    <t>Plot No. 26, Scheme 54, PU-4, Behind C-21 Mall</t>
  </si>
  <si>
    <t>yahoo.in</t>
  </si>
  <si>
    <t>NAME::VIKAS KUMAR PANDEY PROP PARAMOUNT RESEARCH SERVICES</t>
  </si>
  <si>
    <t>HIRENSINH P BHATTI (PROPRIETOR OF SANCHI CONSULTANCY)</t>
  </si>
  <si>
    <t>INA000005713</t>
  </si>
  <si>
    <t>HIRENSINH P BHATTI</t>
  </si>
  <si>
    <t>SF/10, SAMRUDDHI BHAVAN, 4TH FLOOR, GONDAL ROAD</t>
  </si>
  <si>
    <t>hiren_20045@yahoo.co.in</t>
  </si>
  <si>
    <t>9898373719</t>
  </si>
  <si>
    <t>360002</t>
  </si>
  <si>
    <t>SF/10, Samruddhi Bhavan, 4th Floor, Gondal Road</t>
  </si>
  <si>
    <t>Nov 18, 2016</t>
  </si>
  <si>
    <t>yahoo.co.in</t>
  </si>
  <si>
    <t>NAME::HIRENSINH P BHATTI PROPRIETOR OF SANCHI CONSULTANCY</t>
  </si>
  <si>
    <t>Chander P Chellani - Proprietor IDA Wealth</t>
  </si>
  <si>
    <t>INA000017851</t>
  </si>
  <si>
    <t>Chander P Chellani</t>
  </si>
  <si>
    <t>PP- 168, EMAAR Mohali Hills, , Sector 108, Mohali, Tricity of Chandigarh</t>
  </si>
  <si>
    <t>cchellani@yahoo.co.in</t>
  </si>
  <si>
    <t>919811210001</t>
  </si>
  <si>
    <t>NAME::CHANDER P CHELLANI PROPRIETOR IDA WEALTH</t>
  </si>
  <si>
    <t>Hardik Jain- Proprietor of Eternal Research Investment Advisor</t>
  </si>
  <si>
    <t>INA000017879</t>
  </si>
  <si>
    <t>Hardik  Jain</t>
  </si>
  <si>
    <t>Office Near Akansha Apparment Patel Nagar City Center Village, Thatipur Gwalior</t>
  </si>
  <si>
    <t>dearhardik25@gmail.com</t>
  </si>
  <si>
    <t>917771997647</t>
  </si>
  <si>
    <t>NAME::HARDIK JAIN PROPRIETOR OF ETERNAL RESEARCH INVESTMENT ADVISOR</t>
  </si>
  <si>
    <t>DEVENDRA KUMAR CHAUDHARY-Proprietor-TRADE MANIACS INVESTMENT ADVISOR</t>
  </si>
  <si>
    <t>INA000018601</t>
  </si>
  <si>
    <t>DEVENDRA KUMAR  CHAUDHARY</t>
  </si>
  <si>
    <t>Office No 603, 6th Floor, Shree RMI City Centre, 56 Shastri Marg, Ashok Nagar Road</t>
  </si>
  <si>
    <t>tmaniacs07@gmail.com</t>
  </si>
  <si>
    <t>000009145888499</t>
  </si>
  <si>
    <t>UDAIPUR</t>
  </si>
  <si>
    <t>313001</t>
  </si>
  <si>
    <t>Nov 28, 2023</t>
  </si>
  <si>
    <t>NAME::DEVENDRA KUMAR CHAUDHARY PROPRIETOR TRADE MANIACS INVESTMENT ADVISOR</t>
  </si>
  <si>
    <t>Sivamurugan Sankaralingam Proprietor Maxima Wealth Advisors</t>
  </si>
  <si>
    <t>INA000018212</t>
  </si>
  <si>
    <t>Sivamurugan  Sankaralingam</t>
  </si>
  <si>
    <t>1st Floor, No.6 -3, New 162, Balasundaram Street, , Kamadhenu Nagar, Avarampalayam</t>
  </si>
  <si>
    <t>maximawealthadvisors@gmail.com</t>
  </si>
  <si>
    <t>917200254956</t>
  </si>
  <si>
    <t>641006</t>
  </si>
  <si>
    <t>Jul 14, 2023</t>
  </si>
  <si>
    <t>NAME::SIVAMURUGAN SANKARALINGAM PROPRIETOR MAXIMA WEALTH ADVISORS</t>
  </si>
  <si>
    <t>Chintan Shantilal Madhvani Proprietor Be Wealth Wise</t>
  </si>
  <si>
    <t>INA000018221</t>
  </si>
  <si>
    <t>Chintan Madhvani</t>
  </si>
  <si>
    <t>2, Siddhivainyak Apartment, 6 Milpara Kanta Stree, Vikas Gruh Main Road</t>
  </si>
  <si>
    <t>chintanmadhvani@gmail.com</t>
  </si>
  <si>
    <t>918401889797</t>
  </si>
  <si>
    <t>NAME::CHINTAN SHANTILAL MADHVANI PROPRIETOR BE WEALTH WISE</t>
  </si>
  <si>
    <t>Rajan Nileshbhai Gajariya Proprietor Truenorth Capital</t>
  </si>
  <si>
    <t>INA000020040</t>
  </si>
  <si>
    <t>RAJAN GAJARIYA</t>
  </si>
  <si>
    <t>212, The Spire, 150 ft ring road, Rajkot</t>
  </si>
  <si>
    <t>rajangajariya11@gmail.com</t>
  </si>
  <si>
    <t>919408270249</t>
  </si>
  <si>
    <t>NAME::RAJAN NILESHBHAI GAJARIYA PROPRIETOR TRUENORTH CAPITAL</t>
  </si>
  <si>
    <t>Mohammed Shoaib Dayma Proprietor FiSC Capital</t>
  </si>
  <si>
    <t>INA000020457</t>
  </si>
  <si>
    <t>Mohammed Shoaib Dayma</t>
  </si>
  <si>
    <t>13/14 Ved Vyas Colony,, Behind Krishna Dharmshala, RATLAM,</t>
  </si>
  <si>
    <t>shoaibdayma96@gmail.com</t>
  </si>
  <si>
    <t>00919039184797</t>
  </si>
  <si>
    <t>RATLAM</t>
  </si>
  <si>
    <t>457001</t>
  </si>
  <si>
    <t>13/14 Ved Vyas Colony, Behind Krishna Dharmshala, RATLAM,</t>
  </si>
  <si>
    <t>Jul 08, 2025</t>
  </si>
  <si>
    <t>NAME::MOHAMMED SHOAIB DAYMA PROPRIETOR FISC CAPITAL</t>
  </si>
  <si>
    <t>Vishal Pramod Rotwadkar Proprietor Heritage City Ventures</t>
  </si>
  <si>
    <t>INA000020970</t>
  </si>
  <si>
    <t>Vishal Rotwadkar</t>
  </si>
  <si>
    <t>Mohata Devi Chowk, RL-174 A, First floor, Shop no. 2, Bajajnagar, Chhatrapati Sambhajinagar</t>
  </si>
  <si>
    <t>heritagecityservices@gmail.com</t>
  </si>
  <si>
    <t>00917888139878</t>
  </si>
  <si>
    <t>AURANGABAD</t>
  </si>
  <si>
    <t>431136</t>
  </si>
  <si>
    <t>NAME::VISHAL PRAMOD ROTWADKAR PROPRIETOR HERITAGE CITY VENTURES</t>
  </si>
  <si>
    <t>Parekh Rutviz Bharatkumar Proprietor Tanviz Capital</t>
  </si>
  <si>
    <t>INA000021243</t>
  </si>
  <si>
    <t>Rutviz Parekh</t>
  </si>
  <si>
    <t>Plot No. 19/A Paulomi, , Hariyala Plots, Manekwadi Station Street</t>
  </si>
  <si>
    <t>rutviz.parekh@gmail.com</t>
  </si>
  <si>
    <t>00919428221591</t>
  </si>
  <si>
    <t>NAME::PAREKH RUTVIZ BHARATKUMAR PROPRIETOR TANVIZ CAPITAL</t>
  </si>
  <si>
    <t>Sugam Rathi Proprietor Opening Bell Investment Advisors</t>
  </si>
  <si>
    <t>INA000021739</t>
  </si>
  <si>
    <t>Sugam Rathi</t>
  </si>
  <si>
    <t>A 4,New Anaj Mandi, Bhagat Ki Kothi, Basni, Jodhpur</t>
  </si>
  <si>
    <t>openingbelladvisors@gmail.com</t>
  </si>
  <si>
    <t>00918905593034</t>
  </si>
  <si>
    <t>342001</t>
  </si>
  <si>
    <t>NAME::SUGAM RATHI PROPRIETOR OPENING BELL INVESTMENT ADVISORS</t>
  </si>
  <si>
    <t>KOWSIKA DEVI PROPRIETOR EXPLICIT</t>
  </si>
  <si>
    <t>INA000021960</t>
  </si>
  <si>
    <t>KOWSIKA DEVI</t>
  </si>
  <si>
    <t>13,F1, Trishaank domicile, Yogiram nagar, Ganapathy,</t>
  </si>
  <si>
    <t>explicitfin@gmail.com</t>
  </si>
  <si>
    <t>00916379490247</t>
  </si>
  <si>
    <t>NAME::KOWSIKA DEVI PROPRIETOR EXPLICIT</t>
  </si>
  <si>
    <t>NIKITA RAJKUMAR GEHANI PROPRIETOR OF TRADEMINT</t>
  </si>
  <si>
    <t>INA000022233</t>
  </si>
  <si>
    <t>NIKITA GEHANI</t>
  </si>
  <si>
    <t>105, Bhagwan Palace Near Sadhubella Girls School Opp. Mahesh Society</t>
  </si>
  <si>
    <t>gehaninikita11@gmail.com</t>
  </si>
  <si>
    <t>00918407950040</t>
  </si>
  <si>
    <t>ULHASNAGAR</t>
  </si>
  <si>
    <t>421001</t>
  </si>
  <si>
    <t>NAME::NIKITA RAJKUMAR GEHANI PROPRIETOR OF TRADEMINT</t>
  </si>
  <si>
    <t>Mangesh Sagane Proprietor TRUSTEDGE ADVISORY</t>
  </si>
  <si>
    <t>INA000022604</t>
  </si>
  <si>
    <t>Mangesh Sagane</t>
  </si>
  <si>
    <t>Subhashrao Sagane Kejaji Cycle Line, Gadge Nagar, Shivaji Nagar Near MLA Sulbhatai Khodke House</t>
  </si>
  <si>
    <t>mangesh_sagane@yahoo.in</t>
  </si>
  <si>
    <t>AMRAVATI</t>
  </si>
  <si>
    <t>444603</t>
  </si>
  <si>
    <t>NAME::MANGESH SAGANE PROPRIETOR TRUSTEDGE ADVISORY</t>
  </si>
  <si>
    <t>Yatindra Agrawal Proprietor Yellowsand</t>
  </si>
  <si>
    <t>INA000022622</t>
  </si>
  <si>
    <t>Yatindra Agrawal</t>
  </si>
  <si>
    <t>P  No. 121, Shiv Colony, Tonk Road</t>
  </si>
  <si>
    <t>ia.yellowsand@gmail.com</t>
  </si>
  <si>
    <t>00918209899551</t>
  </si>
  <si>
    <t>302015</t>
  </si>
  <si>
    <t>NAME::YATINDRA AGRAWAL PROPRIETOR YELLOWSAND</t>
  </si>
  <si>
    <t>Gautam Khemka Proprietor Sampatti Planning</t>
  </si>
  <si>
    <t>INA000022686</t>
  </si>
  <si>
    <t>Gautam Khemka</t>
  </si>
  <si>
    <t>404, Satya Ganga Arcade, Lalji Hirji Road</t>
  </si>
  <si>
    <t>gautamkhemka153@gmail.com</t>
  </si>
  <si>
    <t>RANCHI</t>
  </si>
  <si>
    <t>JHARKHAND</t>
  </si>
  <si>
    <t>834001</t>
  </si>
  <si>
    <t>NAME::GAUTAM KHEMKA PROPRIETOR SAMPATTI PLANNING</t>
  </si>
  <si>
    <t>Anushri Shukla Proprietor Mrigashira Consultancy</t>
  </si>
  <si>
    <t>INA000022817</t>
  </si>
  <si>
    <t>Anushree Shukla</t>
  </si>
  <si>
    <t>Office Number 514, Saffron Corporate, Near Telibandha Chowk</t>
  </si>
  <si>
    <t>anushrisshukla@gmail.com</t>
  </si>
  <si>
    <t>NAME::ANUSHRI SHUKLA PROPRIETOR MRIGASHIRA CONSULTANCY</t>
  </si>
  <si>
    <t>DINESH DA COSTA (PROPRIETOR ZARA INVESTMENT ADVISORY)</t>
  </si>
  <si>
    <t>INA000003395</t>
  </si>
  <si>
    <t>MR. DINESH DA COSTA</t>
  </si>
  <si>
    <t>HOUSE NO. 214, MAZALWADDO,, NEAR TO PALLOTTI HOUSE,ASSAGAO, BARDEZ,</t>
  </si>
  <si>
    <t>dineshdacosta@gmail.com</t>
  </si>
  <si>
    <t>000 00000000</t>
  </si>
  <si>
    <t>GOA</t>
  </si>
  <si>
    <t>403507</t>
  </si>
  <si>
    <t>House No. 214, MazalWaddo, Near to Pallotti House,Assagao, Bardez,</t>
  </si>
  <si>
    <t>NAME::DINESH DA COSTA PROPRIETOR ZARA INVESTMENT ADVISORY</t>
  </si>
  <si>
    <t>PRASHANT S. VAISHAMPAYAN (PROPRIETOR OF TRIVIKRAM CONSULTANTS)</t>
  </si>
  <si>
    <t>INH000002608</t>
  </si>
  <si>
    <t>PRASHANT S. VAISHAMPAYAN</t>
  </si>
  <si>
    <t>204 BHOOMI VELOCITY, ABOVE ICICI BANK, ROAD NUMBER 21, WAGLE ESTATE</t>
  </si>
  <si>
    <t>pvaishampayan@gmail.com</t>
  </si>
  <si>
    <t>2225802136</t>
  </si>
  <si>
    <t>204 Bhoomi Velocity, Above ICICI Bank, Road Number 21, Wagle Estate</t>
  </si>
  <si>
    <t>NAME::PRASHANT S VAISHAMPAYAN PROPRIETOR OF TRIVIKRAM CONSULTANTS</t>
  </si>
  <si>
    <t>Dinesh Ranglal Somani Proprietor of Pro Intellitrade Services</t>
  </si>
  <si>
    <t>INH000005430</t>
  </si>
  <si>
    <t>Dinesh Ranglal Somani</t>
  </si>
  <si>
    <t>Office no 306, 3rd floor , Palm Beach Galleria Mall, Plot No.17,  Palm Beach Rd, Sector 19D,  Vashi,</t>
  </si>
  <si>
    <t>dsomani53@gmail.com</t>
  </si>
  <si>
    <t>919892844042</t>
  </si>
  <si>
    <t>NAME::DINESH RANGLAL SOMANI PROPRIETOR OF PRO INTELLITRADE SERVICES</t>
  </si>
  <si>
    <t>Sudarshan Sukhani - Proprietor : Technical Trends</t>
  </si>
  <si>
    <t>INH100000726</t>
  </si>
  <si>
    <t>SUDARSHAN  SUKHANI</t>
  </si>
  <si>
    <t>E -364, LOWER GROUND FLOOR,, GREATER KAILASH PART 2</t>
  </si>
  <si>
    <t>sudarshansukhani@gmail.com</t>
  </si>
  <si>
    <t>919220939331</t>
  </si>
  <si>
    <t>E -364, LOWER GROUND FLOOR, GREATER KAILASH PART 2</t>
  </si>
  <si>
    <t>Jun 19, 2015</t>
  </si>
  <si>
    <t>NAME::SUDARSHAN SUKHANI PROPRIETOR TECHNICAL TRENDS</t>
  </si>
  <si>
    <t>Somnath Dey Proprietor of White Horse Research</t>
  </si>
  <si>
    <t>INH300006616</t>
  </si>
  <si>
    <t>SOMNATH DEY</t>
  </si>
  <si>
    <t>PLOT NO 691 KBM POST CHAKDAHA, PLOT NO 691 KBM POST CHAKDAHA</t>
  </si>
  <si>
    <t>somnath.dey80@gmail.com</t>
  </si>
  <si>
    <t>917001830042</t>
  </si>
  <si>
    <t>741222</t>
  </si>
  <si>
    <t>PLOT NO 691 KBM CHAKDAHA</t>
  </si>
  <si>
    <t>Nov 16, 2018</t>
  </si>
  <si>
    <t>NAME::SOMNATH DEY PROPRIETOR OF WHITE HORSE RESEARCH</t>
  </si>
  <si>
    <t>Abhijit Chokshi (Proprietor: Stockifi)</t>
  </si>
  <si>
    <t>INH000008376</t>
  </si>
  <si>
    <t>Abhijit Chokshi</t>
  </si>
  <si>
    <t>C 102, Yashkrupa C Wing, , Shimpoli Road, Chikoowadi, Borivali W</t>
  </si>
  <si>
    <t>chokshiabhijit@gmail.com</t>
  </si>
  <si>
    <t>09321230520</t>
  </si>
  <si>
    <t>May 03, 2021</t>
  </si>
  <si>
    <t>NAME::ABHIJIT CHOKSHI PROPRIETOR STOCKIFI</t>
  </si>
  <si>
    <t>Rajnikant Bhalani Proprietorship of The Chartians</t>
  </si>
  <si>
    <t>INH000010405</t>
  </si>
  <si>
    <t>RAJNIKANT BHALANI</t>
  </si>
  <si>
    <t>509, Laxmi Enclave-2, Opposite Gajera School, Katargam</t>
  </si>
  <si>
    <t>rajnibhalani@gmail.com</t>
  </si>
  <si>
    <t>0000000000</t>
  </si>
  <si>
    <t>395004</t>
  </si>
  <si>
    <t>Oct 27, 2022</t>
  </si>
  <si>
    <t>NAME::RAJNIKANT BHALANI PROPRIETORSHIP OF THE CHARTIANS</t>
  </si>
  <si>
    <t>Love Sharma Proprietor of Amaradarsh Research And Analytics</t>
  </si>
  <si>
    <t>INH000011893</t>
  </si>
  <si>
    <t>Love Sharma</t>
  </si>
  <si>
    <t>WZ1729, Multani Mohalla, Rani Bagh, Basti, Delhi, National Capital Territory of Delhi</t>
  </si>
  <si>
    <t>stocksloveinfo@gmail.com</t>
  </si>
  <si>
    <t>918929295429</t>
  </si>
  <si>
    <t>NAME::LOVE SHARMA PROPRIETOR OF AMARADARSH RESEARCH AND ANALYTICS</t>
  </si>
  <si>
    <t>RAJESHWARA PANDIAN PROPRIETOR OF EASY SHARE SERVICES</t>
  </si>
  <si>
    <t>INH000013590</t>
  </si>
  <si>
    <t>Rajeshwara pandian</t>
  </si>
  <si>
    <t>I TPremises Bearing Unit No813, 8th Floor, Rupa Solitaire Building, Sector1, MBP, Mahape, Navi Mumbai</t>
  </si>
  <si>
    <t>rajeshshines1411@gmail.com</t>
  </si>
  <si>
    <t>919082303629</t>
  </si>
  <si>
    <t>NAME::RAJESHWARA PANDIAN PROPRIETOR OF EASY SHARE SERVICES</t>
  </si>
  <si>
    <t>Sugandha Sachdeva, Proprietor, SS WealthStreet</t>
  </si>
  <si>
    <t>INH000015048</t>
  </si>
  <si>
    <t>Sugandha Sachdeva</t>
  </si>
  <si>
    <t>House No. 2, Block A-1, , Prashant Vihar, Rohini</t>
  </si>
  <si>
    <t>sugandha19@gmail.com</t>
  </si>
  <si>
    <t>919654862707</t>
  </si>
  <si>
    <t>110085</t>
  </si>
  <si>
    <t>NAME::SUGANDHA SACHDEVA PROPRIETOR SS WEALTHSTREET</t>
  </si>
  <si>
    <t>Surbhi Ashok Chandak Proprietor of Quantus Wealth</t>
  </si>
  <si>
    <t>INH000015738</t>
  </si>
  <si>
    <t>Surbhi  Chandak</t>
  </si>
  <si>
    <t>Flat No 4 Bldg G Parmar Nagar Phase III, Fatima Nagar Wanwadi</t>
  </si>
  <si>
    <t>thequantuswealth@gmail.com</t>
  </si>
  <si>
    <t>919975413543</t>
  </si>
  <si>
    <t>411013</t>
  </si>
  <si>
    <t>NAME::SURBHI ASHOK CHANDAK PROPRIETOR OF QUANTUS WEALTH</t>
  </si>
  <si>
    <t>Pradeep Sagore Proprietor of Smartgoal Research</t>
  </si>
  <si>
    <t>INH000015765</t>
  </si>
  <si>
    <t>Pradeep Sagore</t>
  </si>
  <si>
    <t>302 VIDYAPATI BUILDING, 3RD FLOOR, 17, RACE COURSE ROAD,, OPPBASKETBALL COMPLEX,</t>
  </si>
  <si>
    <t>sagoreroyal822@gmail.com</t>
  </si>
  <si>
    <t>917000400740</t>
  </si>
  <si>
    <t>302 VIDYAPATI BUILDING, 3RD FLOOR, 17, RACE COURSE ROAD, OPPBASKETBALL COMPLEX,</t>
  </si>
  <si>
    <t>NAME::PRADEEP SAGORE PROPRIETOR OF SMARTGOAL RESEARCH</t>
  </si>
  <si>
    <t>Vanshadeep Proprietor of capitalseva Research Analyst</t>
  </si>
  <si>
    <t>INH000015914</t>
  </si>
  <si>
    <t>Vansha Deep</t>
  </si>
  <si>
    <t>No 2, 10 Anjali Plaza 1st Main Road, 6th Cross NS Paliya, BTM Layout</t>
  </si>
  <si>
    <t>vanshdeep.bansu@gmail.com</t>
  </si>
  <si>
    <t>918800414739</t>
  </si>
  <si>
    <t>Apr 23, 2024</t>
  </si>
  <si>
    <t>NAME::VANSHADEEP PROPRIETOR OF CAPITALSEVA RESEARCH ANALYST</t>
  </si>
  <si>
    <t>Himanshu Madhukar, Proprietor, Equisense Research</t>
  </si>
  <si>
    <t>INH000016056</t>
  </si>
  <si>
    <t>Himanshu Madhukar</t>
  </si>
  <si>
    <t>Prakosht No. 510, Krishna Business Center,, Plot No. 11, Scheme No. 54, PU 4 Commercial,</t>
  </si>
  <si>
    <t>h.madhukar24@gmail.com</t>
  </si>
  <si>
    <t>919977529907</t>
  </si>
  <si>
    <t>Prakosht No. 510, Krishna Business Center, Plot No. 11, Scheme No. 54, PU 4 Commercial,</t>
  </si>
  <si>
    <t>NAME::HIMANSHU MADHUKAR PROPRIETOR EQUISENSE RESEARCH</t>
  </si>
  <si>
    <t>NEHA GUPTA PROPRIETOR WEALTH MAGNET</t>
  </si>
  <si>
    <t>INH000016542</t>
  </si>
  <si>
    <t>Neha Gupta</t>
  </si>
  <si>
    <t>C101 Maharana Pratap Enclave, Pitam Pura New Delhi</t>
  </si>
  <si>
    <t>neha5060new@gmail.com</t>
  </si>
  <si>
    <t>918448956276</t>
  </si>
  <si>
    <t>NAME::NEHA GUPTA PROPRIETOR WEALTH MAGNET</t>
  </si>
  <si>
    <t>Akhilesh Jat, Proprietor of Akar Market Research</t>
  </si>
  <si>
    <t>INH000016649</t>
  </si>
  <si>
    <t>Akhilesh Jat</t>
  </si>
  <si>
    <t>E 296 Kalindi Gold City Indore</t>
  </si>
  <si>
    <t>akhileshjatpimr1012@gmail.com</t>
  </si>
  <si>
    <t>919009588139</t>
  </si>
  <si>
    <t>453555</t>
  </si>
  <si>
    <t>NAME::AKHILESH JAT PROPRIETOR OF AKAR MARKET RESEARCH</t>
  </si>
  <si>
    <t>Hariom Rathor Proprietor of Capital Investo Research</t>
  </si>
  <si>
    <t>INH000016755</t>
  </si>
  <si>
    <t>Hariom Rathor</t>
  </si>
  <si>
    <t>Office No. 109, Western Business Centre, 1 6 New Palasia,</t>
  </si>
  <si>
    <t>hariomrathor966@gmail.com</t>
  </si>
  <si>
    <t>918878879671</t>
  </si>
  <si>
    <t>NAME::HARIOM RATHOR PROPRIETOR OF CAPITAL INVESTO RESEARCH</t>
  </si>
  <si>
    <t>Kapil Aggarwal proprietor of Investkaps</t>
  </si>
  <si>
    <t>INH000016834</t>
  </si>
  <si>
    <t>A 144, Vivek Vihar Phase 1</t>
  </si>
  <si>
    <t>investkaps@gmail.com</t>
  </si>
  <si>
    <t>8076283540</t>
  </si>
  <si>
    <t>NAME::KAPIL AGGARWAL PROPRIETOR OF INVESTKAPS</t>
  </si>
  <si>
    <t>Pawan Porwal proprietor of Capital Craft Research</t>
  </si>
  <si>
    <t>INH000016870</t>
  </si>
  <si>
    <t>Pawan Porwal</t>
  </si>
  <si>
    <t>175 Shantinath Puri, Gumasta Nagar, Indore</t>
  </si>
  <si>
    <t>capitalcraftresearchs@gmail.com</t>
  </si>
  <si>
    <t>919399882304</t>
  </si>
  <si>
    <t>104, Phalashri Plazza 140, Phadnis Colony ,A.B. Road ,Indore</t>
  </si>
  <si>
    <t>NAME::PAWAN PORWAL PROPRIETOR OF CAPITAL CRAFT RESEARCH</t>
  </si>
  <si>
    <t>Shubham Shirkar Proprietor of Shubinvests</t>
  </si>
  <si>
    <t>INH000016913</t>
  </si>
  <si>
    <t>SHUBHAM SHIRKAR</t>
  </si>
  <si>
    <t>B/306, Maruti Prakuti Dham, Opp Gauri Hall, Manjarli , Badlapur West , Badlapur</t>
  </si>
  <si>
    <t>shuubham121@gmail.com</t>
  </si>
  <si>
    <t>918422990105</t>
  </si>
  <si>
    <t>421503</t>
  </si>
  <si>
    <t>NAME::SHUBHAM SHIRKAR PROPRIETOR OF SHUBINVESTS</t>
  </si>
  <si>
    <t>Lalit Mundhra Proprietor of Financial Sarthis</t>
  </si>
  <si>
    <t>INH000017091</t>
  </si>
  <si>
    <t>LALIT MUNDHRA</t>
  </si>
  <si>
    <t>19, 2nd Floor, , RN Mukherjee Road</t>
  </si>
  <si>
    <t>Sarthisfinancial@gmail.com</t>
  </si>
  <si>
    <t>919903160274</t>
  </si>
  <si>
    <t>NAME::LALIT MUNDHRA PROPRIETOR OF FINANCIAL SARTHIS</t>
  </si>
  <si>
    <t>PATIL PRAMOD ANIL PROPRIETOR  K P RESEARCH ANALYSIS SERVICES</t>
  </si>
  <si>
    <t>INH000017286</t>
  </si>
  <si>
    <t>Pramod Patil</t>
  </si>
  <si>
    <t>100 Ruskshmani Nagar Near Nilgiri Railway Crossing Udhna</t>
  </si>
  <si>
    <t>patilpramod13999@gmail.com</t>
  </si>
  <si>
    <t>917984516778</t>
  </si>
  <si>
    <t>NAME::PATIL PRAMOD ANIL PROPRIETOR K P RESEARCH ANALYSIS SERVICES</t>
  </si>
  <si>
    <t>Nandita Rai Proprietor of Bhakti Wealth</t>
  </si>
  <si>
    <t>INH000018054</t>
  </si>
  <si>
    <t>Nandita Rai Properitor of Bhakti Wealth</t>
  </si>
  <si>
    <t>HE 42 B , Supercity Colony, Gyansila Dhabali</t>
  </si>
  <si>
    <t>nanditarai04@yahoo.com</t>
  </si>
  <si>
    <t>918448443542</t>
  </si>
  <si>
    <t>453771</t>
  </si>
  <si>
    <t>HE 42 B, Supercity Colony, Gyansila Dhabali,</t>
  </si>
  <si>
    <t>yahoo.com</t>
  </si>
  <si>
    <t>NAME::NANDITA RAI PROPRIETOR OF BHAKTI WEALTH</t>
  </si>
  <si>
    <t>SHUBHAM SHARMA PROPRIETOR OF THE RAPID INVESTORS</t>
  </si>
  <si>
    <t>INH000018559</t>
  </si>
  <si>
    <t>SHUBHAM SHARMA</t>
  </si>
  <si>
    <t>OFFICE NO. 108, 1ST FLOOR, PRINCESS BUSINESS SKY PARK,, BLOCK NO 22, SCH  NO 54, PU 3, VIJAY NAGAR,</t>
  </si>
  <si>
    <t>therapidinvestors@gmail.com</t>
  </si>
  <si>
    <t>918269981108</t>
  </si>
  <si>
    <t>OFFICE NO. 108, 1ST FLOOR, PRINCESS BUSINESS SKY PARK, BLOCK NO 22, SCH  NO 54, PU 3, VIJAY NAGAR,</t>
  </si>
  <si>
    <t>NAME::SHUBHAM SHARMA PROPRIETOR OF THE RAPID INVESTORS</t>
  </si>
  <si>
    <t>Nishita Jain Proprietor of Stockbazaari</t>
  </si>
  <si>
    <t>INH000018665</t>
  </si>
  <si>
    <t>NISHITA  JAIN</t>
  </si>
  <si>
    <t>F NO P 705 Metro Tower,Plot no 82, PU 4, SCH 54,</t>
  </si>
  <si>
    <t>ra.nishitajain@gmail.com</t>
  </si>
  <si>
    <t>917000553733</t>
  </si>
  <si>
    <t>NAME::NISHITA JAIN PROPRIETOR OF STOCKBAZAARI</t>
  </si>
  <si>
    <t>KEYUR UMEDMAL SHAH-PROPRIETOR MARKET MAVEN RESEARCH</t>
  </si>
  <si>
    <t>INH000018683</t>
  </si>
  <si>
    <t>KEYUR UMEDMAL  Shah</t>
  </si>
  <si>
    <t>256 RAJ VICTORIA, OPP. RAJ ARCADE, PAL GAM CIRCLE, PAL, ADAJAN,</t>
  </si>
  <si>
    <t>marketmaven09@gmail.com</t>
  </si>
  <si>
    <t>919925346566</t>
  </si>
  <si>
    <t>NAME::KEYUR UMEDMAL SHAH PROPRIETOR MARKET MAVEN RESEARCH</t>
  </si>
  <si>
    <t>Ravi I Shetti Proprietor of Income Source Stock Research Services</t>
  </si>
  <si>
    <t>INH000018805</t>
  </si>
  <si>
    <t>Ravi Shetti</t>
  </si>
  <si>
    <t>No 56,G3, Keerthi Apartment, Ground floor, 8th cross, 2nd main Prashanth Nagar Vijaynagar</t>
  </si>
  <si>
    <t>ravi.shetty101@gmail.com</t>
  </si>
  <si>
    <t>919665425161</t>
  </si>
  <si>
    <t>560079</t>
  </si>
  <si>
    <t>NAME::RAVI I SHETTI PROPRIETOR OF INCOME SOURCE STOCK RESEARCH SERVICES</t>
  </si>
  <si>
    <t>Chetan Sharma Proprietor of Morning Bell Research</t>
  </si>
  <si>
    <t>INH000018850</t>
  </si>
  <si>
    <t>Chetan Sharma</t>
  </si>
  <si>
    <t>252, Shree Nagar Extension,</t>
  </si>
  <si>
    <t>chetan9218@gmail.com</t>
  </si>
  <si>
    <t>918109888590</t>
  </si>
  <si>
    <t>Nov 11, 2024</t>
  </si>
  <si>
    <t>NAME::CHETAN SHARMA PROPRIETOR OF MORNING BELL RESEARCH</t>
  </si>
  <si>
    <t>Neha Vijay Sondhi Proprietor of Stock Wise IQ</t>
  </si>
  <si>
    <t>INH000018920</t>
  </si>
  <si>
    <t>Neha Sondhi</t>
  </si>
  <si>
    <t>B,3,1, Bachani Nagar CHS Ltd, Off Daftary Road,, Bachani Nagar, Near Muncipal School, Malad E,</t>
  </si>
  <si>
    <t>Nehasondhi24@gmail.com</t>
  </si>
  <si>
    <t>918976025923</t>
  </si>
  <si>
    <t>B,3,1, Bachani Nagar CHS Ltd, Off Daftary Road, Bachani Nagar, Near Muncipal School, Malad E,</t>
  </si>
  <si>
    <t>NAME::NEHA VIJAY SONDHI PROPRIETOR OF STOCK WISE IQ</t>
  </si>
  <si>
    <t>Pooja Singh Patel Proprietor of EquiWealth Research</t>
  </si>
  <si>
    <t>INH000018939</t>
  </si>
  <si>
    <t>Pooja Patel</t>
  </si>
  <si>
    <t>242 1   2 39 Plot No 34, New DP Road Tejaswani2 CHS</t>
  </si>
  <si>
    <t>equiwealthresearch@gmail.com</t>
  </si>
  <si>
    <t>918806339220</t>
  </si>
  <si>
    <t>Nov 29, 2024</t>
  </si>
  <si>
    <t>NAME::POOJA SINGH PATEL PROPRIETOR OF EQUIWEALTH RESEARCH</t>
  </si>
  <si>
    <t>Praveen Kumar Girotra Proprietor of KandleSticks</t>
  </si>
  <si>
    <t>INH000018957</t>
  </si>
  <si>
    <t>Praveen Girotra</t>
  </si>
  <si>
    <t>Tower A, 5th floor,Survey no 51, 3.51 4.51 2 39 5, Devarabisanahalli Village, Banglore, Karnataka</t>
  </si>
  <si>
    <t>unboundnifty@gmail.com</t>
  </si>
  <si>
    <t>919741444994</t>
  </si>
  <si>
    <t>NAME::PRAVEEN KUMAR GIROTRA PROPRIETOR OF KANDLESTICKS</t>
  </si>
  <si>
    <t>MANOJKUMAR P TIWARI PROPRIETOR OF FINKUBER CAPITAL</t>
  </si>
  <si>
    <t>INH000019062</t>
  </si>
  <si>
    <t>MANOJKUMAR TIWARI</t>
  </si>
  <si>
    <t>FLAT NO 303, KASTURI TOWER, NARAYAN NAGAR ROAD, NEAR VIRAT HERITAGE BUILDING, TITWALA EAST</t>
  </si>
  <si>
    <t>finkubercapital@gmail.com</t>
  </si>
  <si>
    <t>917678041498</t>
  </si>
  <si>
    <t>421605</t>
  </si>
  <si>
    <t>NAME::MANOJKUMAR P TIWARI PROPRIETOR OF FINKUBER CAPITAL</t>
  </si>
  <si>
    <t>Mayank Shukla Proprietor of Apex Research Financial Services</t>
  </si>
  <si>
    <t>INH000019114</t>
  </si>
  <si>
    <t>Mayank Shukla</t>
  </si>
  <si>
    <t>106, First Floor Shappire Tower,, Plot No 60 PU 4,</t>
  </si>
  <si>
    <t>apexresearchfin@gmail.com</t>
  </si>
  <si>
    <t>919479895950</t>
  </si>
  <si>
    <t>106, First Floor Shappire Tower, Plot No 60 PU 4,</t>
  </si>
  <si>
    <t>NAME::MAYANK SHUKLA PROPRIETOR OF APEX RESEARCH FINANCIAL SERVICES</t>
  </si>
  <si>
    <t>Shikha Kapur Proprietor of Sprout Research</t>
  </si>
  <si>
    <t>INH000019169</t>
  </si>
  <si>
    <t>SHIKHA KAPUR</t>
  </si>
  <si>
    <t>A 35 FIRST FLOOR, Chittaranjan Park</t>
  </si>
  <si>
    <t>shikhaa.kapur@gmail.com</t>
  </si>
  <si>
    <t>009811744587</t>
  </si>
  <si>
    <t>Dec 23, 2024</t>
  </si>
  <si>
    <t>NAME::SHIKHA KAPUR PROPRIETOR OF SPROUT RESEARCH</t>
  </si>
  <si>
    <t>Deepika Sahu Proprietor of Hitanshi Capital</t>
  </si>
  <si>
    <t>INH000019211</t>
  </si>
  <si>
    <t>Deepika Sahu</t>
  </si>
  <si>
    <t>158, Chhoti Khajrani, Indore GPO,</t>
  </si>
  <si>
    <t>deepikasahu1204@gmail.com</t>
  </si>
  <si>
    <t>919691367811</t>
  </si>
  <si>
    <t>NAME::DEEPIKA SAHU PROPRIETOR OF HITANSHI CAPITAL</t>
  </si>
  <si>
    <t>Mohammed Adil Qureshi Proprietor of StockYard</t>
  </si>
  <si>
    <t>INH000019220</t>
  </si>
  <si>
    <t>Mohammed Adil  Qureshi</t>
  </si>
  <si>
    <t>515/516 Shagun Arcade,, Vijay Nagar,</t>
  </si>
  <si>
    <t>adilq19@gmail.com</t>
  </si>
  <si>
    <t>918955667100</t>
  </si>
  <si>
    <t>515/516 Shagun Arcade, Vijay Nagar,</t>
  </si>
  <si>
    <t>NAME::MOHAMMED ADIL QURESHI PROPRIETOR OF STOCKYARD</t>
  </si>
  <si>
    <t>Radheshyam Dandare Proprietor of Stockedge Research</t>
  </si>
  <si>
    <t>INH000019336</t>
  </si>
  <si>
    <t>Radheshyam Dandare</t>
  </si>
  <si>
    <t>304, 3rd Floor, Royal Ratan Building, M.G.Road</t>
  </si>
  <si>
    <t>rstockedge@gmail.com</t>
  </si>
  <si>
    <t>917509845448</t>
  </si>
  <si>
    <t>NAME::RADHESHYAM DANDARE PROPRIETOR OF STOCKEDGE RESEARCH</t>
  </si>
  <si>
    <t>Nitin Sharma Proprietor of WealthXplore Research Analyst</t>
  </si>
  <si>
    <t>INH000019406</t>
  </si>
  <si>
    <t>Nitin Sharma</t>
  </si>
  <si>
    <t>The Zodiaq Office No. 204, 2nd Floor ,</t>
  </si>
  <si>
    <t>wealthxplore.ra@gmail.com</t>
  </si>
  <si>
    <t>919770737314</t>
  </si>
  <si>
    <t>452016</t>
  </si>
  <si>
    <t>Jan 15, 2025</t>
  </si>
  <si>
    <t>NAME::NITIN SHARMA PROPRIETOR OF WEALTHXPLORE RESEARCH ANALYST</t>
  </si>
  <si>
    <t>Mohd Sharafat Khan Proprietor Of Capsure Research</t>
  </si>
  <si>
    <t>INH000019424</t>
  </si>
  <si>
    <t>Mohammad Khan</t>
  </si>
  <si>
    <t>102 Nargis Apartment 74,75 Nandanvan Colony, Manikh Bagh Road Khatiwala Tank</t>
  </si>
  <si>
    <t>capsureresearch@gmail.com</t>
  </si>
  <si>
    <t>919826627442</t>
  </si>
  <si>
    <t>452014</t>
  </si>
  <si>
    <t>NAME::MOHD SHARAFAT KHAN PROPRIETOR OF CAPSURE RESEARCH</t>
  </si>
  <si>
    <t>Kapil Verma Proprietor of Fusiontech Research</t>
  </si>
  <si>
    <t>INH000019488</t>
  </si>
  <si>
    <t>Kapil Verma</t>
  </si>
  <si>
    <t>Office No 201 MangalCity , Plot No A 1 Scheme no 54 PU4</t>
  </si>
  <si>
    <t>fusiontechresearch@gmail.com</t>
  </si>
  <si>
    <t>919109696201</t>
  </si>
  <si>
    <t>Jan 27, 2025</t>
  </si>
  <si>
    <t>NAME::KAPIL VERMA PROPRIETOR OF FUSIONTECH RESEARCH</t>
  </si>
  <si>
    <t>Shivpal Rajput Proprietor of Sumedha Research</t>
  </si>
  <si>
    <t>INH000019770</t>
  </si>
  <si>
    <t>Shivpal Rajput</t>
  </si>
  <si>
    <t>N 508, Singapore Green View Premium, Vidhut Khedi</t>
  </si>
  <si>
    <t>shivpalrajput748@gmail.com</t>
  </si>
  <si>
    <t>919109862918</t>
  </si>
  <si>
    <t>NAME::SHIVPAL RAJPUT PROPRIETOR OF SUMEDHA RESEARCH</t>
  </si>
  <si>
    <t>Mahaveer Jain Proprietor of Nextedge Research</t>
  </si>
  <si>
    <t>INH000019910</t>
  </si>
  <si>
    <t>Mahaveer Jain</t>
  </si>
  <si>
    <t>Office No. 213, Princes Business Sky, Park Opposite Orbit Mall, Vijay Nagar,</t>
  </si>
  <si>
    <t>mahaveerjain6600@gmail.com</t>
  </si>
  <si>
    <t>918120821543</t>
  </si>
  <si>
    <t>NAME::MAHAVEER JAIN PROPRIETOR OF NEXTEDGE RESEARCH</t>
  </si>
  <si>
    <t>Rohan S Jadhav Proprietor of Oloid Money</t>
  </si>
  <si>
    <t>INH000019956</t>
  </si>
  <si>
    <t>Rohan Jadhav</t>
  </si>
  <si>
    <t>Shop No 1 , 2,Ground Floor, Laxmi Industrial Complex, Near Telco Material Gate, Bhosari M.I.D.C</t>
  </si>
  <si>
    <t>oloidmoney@gmail.com</t>
  </si>
  <si>
    <t>918149581600</t>
  </si>
  <si>
    <t>NAME::ROHAN S JADHAV PROPRIETOR OF OLOID MONEY</t>
  </si>
  <si>
    <t>Yogendra Singh Negi Proprietor of Investing Options</t>
  </si>
  <si>
    <t>INH000019992</t>
  </si>
  <si>
    <t>Yogendra Singh Negi</t>
  </si>
  <si>
    <t>2Dwarkadhish colony, Behind APTC,, Airport road, Indore</t>
  </si>
  <si>
    <t>investoapp247@gmail.com</t>
  </si>
  <si>
    <t>916262620937</t>
  </si>
  <si>
    <t>3rd Floor, 25/3, , Ranka Mansion, YN Road,</t>
  </si>
  <si>
    <t>NAME::YOGENDRA SINGH NEGI PROPRIETOR OF INVESTING OPTIONS</t>
  </si>
  <si>
    <t>Nilesh Kushwah Proprietor Aura Capital Financial Services</t>
  </si>
  <si>
    <t>INH000020013</t>
  </si>
  <si>
    <t>Nilesh Kushwah</t>
  </si>
  <si>
    <t>R73,Kalindi gold city, Jhakhiya, Indore</t>
  </si>
  <si>
    <t>NILESH.KUSHWAH8839@GMAIL.COM</t>
  </si>
  <si>
    <t>073073258966</t>
  </si>
  <si>
    <t>Mar 10, 2025</t>
  </si>
  <si>
    <t>NAME::NILESH KUSHWAH PROPRIETOR AURA CAPITAL FINANCIAL SERVICES</t>
  </si>
  <si>
    <t>Shivam Rane Proprietor of Stock Emphasis</t>
  </si>
  <si>
    <t>INH000020022</t>
  </si>
  <si>
    <t>Shivam Rane</t>
  </si>
  <si>
    <t>25 FA, SCHAME NO94,SECTOR F,201 202, LAKEVIEW1</t>
  </si>
  <si>
    <t>shivamrane0914@gmail.com</t>
  </si>
  <si>
    <t>919993962686</t>
  </si>
  <si>
    <t>NAME::SHIVAM RANE PROPRIETOR OF STOCK EMPHASIS</t>
  </si>
  <si>
    <t>Trillion Stock Research  Prop Prachi Sharma</t>
  </si>
  <si>
    <t>INH000020129</t>
  </si>
  <si>
    <t>Prachi Sharma</t>
  </si>
  <si>
    <t>200 Sector A Suryadev Nagar</t>
  </si>
  <si>
    <t>prachisharma33777@gmail.com</t>
  </si>
  <si>
    <t>919977555378</t>
  </si>
  <si>
    <t>452012</t>
  </si>
  <si>
    <t>NAME::TRILLION STOCK RESEARCH PROP PRACHI SHARMA</t>
  </si>
  <si>
    <t>SHRIKANT ASHOK MADGHE Proprietor Ovam Financial Services</t>
  </si>
  <si>
    <t>INH000020244</t>
  </si>
  <si>
    <t>SHRIKANT MADGHE</t>
  </si>
  <si>
    <t>S NO 18 8 ELEMENT 5 BLD C OPP SUNSHINE VILLA , FL 704  PUNE  411018</t>
  </si>
  <si>
    <t>shrikant.madghe@gmail.com</t>
  </si>
  <si>
    <t>919922924216</t>
  </si>
  <si>
    <t>Apr 11, 2025</t>
  </si>
  <si>
    <t>NAME::SHRIKANT ASHOK MADGHE PROPRIETOR OVAM FINANCIAL SERVICES</t>
  </si>
  <si>
    <t>Kuldeep Hanumant Proprietor of Goodluck Research</t>
  </si>
  <si>
    <t>INH000020253</t>
  </si>
  <si>
    <t>Kuldeep Hanumant</t>
  </si>
  <si>
    <t>50 sundar nagar main, sukhaliya</t>
  </si>
  <si>
    <t>kuldeephanumant82@outlook.in</t>
  </si>
  <si>
    <t>919713849973</t>
  </si>
  <si>
    <t>outlook.in</t>
  </si>
  <si>
    <t>NAME::KULDEEP HANUMANT PROPRIETOR OF GOODLUCK RESEARCH</t>
  </si>
  <si>
    <t>Rupesh Raj Proprietor of NextEra Research</t>
  </si>
  <si>
    <t>INH000020280</t>
  </si>
  <si>
    <t>Rupesh Raj</t>
  </si>
  <si>
    <t>FW 10, British Park, Phase 2,, Singapore Township, Dhabli</t>
  </si>
  <si>
    <t>rupeshraj4rr@gmail.com</t>
  </si>
  <si>
    <t>919891904233</t>
  </si>
  <si>
    <t>FW 10, British Park, Phase 2, Singapore Township, Dhabli</t>
  </si>
  <si>
    <t>Apr 17, 2025</t>
  </si>
  <si>
    <t>NAME::RUPESH RAJ PROPRIETOR OF NEXTERA RESEARCH</t>
  </si>
  <si>
    <t>MONEXAA RESEARCH Prop SATISH KUMAR PANDEY</t>
  </si>
  <si>
    <t>INH000020387</t>
  </si>
  <si>
    <t>SATISH PANDEY</t>
  </si>
  <si>
    <t>261 PU 4 Plot No26 Scheme No54</t>
  </si>
  <si>
    <t>satishpandey250597@gmail.com</t>
  </si>
  <si>
    <t>918982019404</t>
  </si>
  <si>
    <t>NAME::MONEXAA RESEARCH PROP SATISH KUMAR PANDEY</t>
  </si>
  <si>
    <t>Pramod Patidar Proprietor of Equibalance Research</t>
  </si>
  <si>
    <t>INH000020527</t>
  </si>
  <si>
    <t>Pramod Patidar</t>
  </si>
  <si>
    <t>206,OM GURUDEV PLAZA, NEAR MECHANIC NAGAR EXTSCHEMENO54</t>
  </si>
  <si>
    <t>pramodpatidar2000@gmail.com</t>
  </si>
  <si>
    <t>918962403578</t>
  </si>
  <si>
    <t>NAME::PRAMOD PATIDAR PROPRIETOR OF EQUIBALANCE RESEARCH</t>
  </si>
  <si>
    <t>Vikash Kumar Jain Proprietor Virtual Technologies And Financial Services</t>
  </si>
  <si>
    <t>INH000020545</t>
  </si>
  <si>
    <t>Vikash Jain</t>
  </si>
  <si>
    <t>301, 302, 303 Sterling Arcade, , Race Course Road,</t>
  </si>
  <si>
    <t>ravirtualtechnologiesandfinanc@gmail.com</t>
  </si>
  <si>
    <t>918818882025</t>
  </si>
  <si>
    <t>May 26, 2025</t>
  </si>
  <si>
    <t>NAME::VIKASH KUMAR JAIN PROPRIETOR VIRTUAL TECHNOLOGIES AND FINANCIAL SERVICES</t>
  </si>
  <si>
    <t>Nikita Jain Proprietor Balaji Elite Research</t>
  </si>
  <si>
    <t>INH000020606</t>
  </si>
  <si>
    <t>Nikita  Jain</t>
  </si>
  <si>
    <t>3662 E sector, Sudama Nagar</t>
  </si>
  <si>
    <t>balajieliteresearch@gmail.com</t>
  </si>
  <si>
    <t>919713399620</t>
  </si>
  <si>
    <t>Jun 02, 2025</t>
  </si>
  <si>
    <t>NAME::NIKITA JAIN PROPRIETOR BALAJI ELITE RESEARCH</t>
  </si>
  <si>
    <t>Amit Malviya Proprietor of Moneyplant Research</t>
  </si>
  <si>
    <t>INH000020615</t>
  </si>
  <si>
    <t>Amit Malviya</t>
  </si>
  <si>
    <t>326-A, 3RD FLOOR,PU-4, SCHEME NO 54, VIJAYNAGAR, INDORE</t>
  </si>
  <si>
    <t>NAME::AMIT MALVIYA PROPRIETOR OF MONEYPLANT RESEARCH</t>
  </si>
  <si>
    <t>Harshit Kumar Singh Proprietor of Alpha Insiight</t>
  </si>
  <si>
    <t>INH000020660</t>
  </si>
  <si>
    <t>OFFICE NUMBER 205, , KRISHNA  BUSINESS CENTRE, INDORE</t>
  </si>
  <si>
    <t>harshit.singh105@gmail.com</t>
  </si>
  <si>
    <t>918896969806</t>
  </si>
  <si>
    <t>NAME::HARSHIT KUMAR SINGH PROPRIETOR OF ALPHA INSIIGHT</t>
  </si>
  <si>
    <t>Abhinav Singla Proprietor Abhinav Singla &amp; Associates</t>
  </si>
  <si>
    <t>INH000020688</t>
  </si>
  <si>
    <t>Abhinav Singla</t>
  </si>
  <si>
    <t>3rd Floor A25 , Panchwati Colony Delhi</t>
  </si>
  <si>
    <t>asingla.qs@gmail.com</t>
  </si>
  <si>
    <t>919910615544</t>
  </si>
  <si>
    <t>110033</t>
  </si>
  <si>
    <t>NAME::ABHINAV SINGLA PROPRIETOR ABHINAV SINGLA ASSOCIATES</t>
  </si>
  <si>
    <t>Ajay Kumar Meena Proprietor of  Triumphbulls Research Services</t>
  </si>
  <si>
    <t>INH000020758</t>
  </si>
  <si>
    <t>Ajay Meena</t>
  </si>
  <si>
    <t>G 21 76 77 Second Floor Sector 7, , Rohini Delhi</t>
  </si>
  <si>
    <t>everythingaboutstock@gmail.com</t>
  </si>
  <si>
    <t>919873028077</t>
  </si>
  <si>
    <t>NAME::AJAY KUMAR MEENA PROPRIETOR OF TRIUMPHBULLS RESEARCH SERVICES</t>
  </si>
  <si>
    <t>PRAKASH YADAV PROPRIETOR OF INVESTEDGE SOLUTION</t>
  </si>
  <si>
    <t>INH000020767</t>
  </si>
  <si>
    <t>Prakash  Yadav</t>
  </si>
  <si>
    <t>S.S, INFINITUS,MIDRISE,TOWER A , FLAT NO. 901, MR 11 ROAD, LASUDIYA MORI , INDORE</t>
  </si>
  <si>
    <t>investedgesolution1@gmail.com</t>
  </si>
  <si>
    <t>918989697077</t>
  </si>
  <si>
    <t>NAME::PRAKASH YADAV PROPRIETOR OF INVESTEDGE SOLUTION</t>
  </si>
  <si>
    <t>ATIN AGRRAWAL PROPRIETOR OF SRK RESEARCH</t>
  </si>
  <si>
    <t>INH000020785</t>
  </si>
  <si>
    <t>ATIN AGRRAWAL</t>
  </si>
  <si>
    <t>102 A Block Cabin No. 21, Prakrati Corporate YN road Indore M.P.</t>
  </si>
  <si>
    <t>atinagrrawal@gmail.com</t>
  </si>
  <si>
    <t>917313561788</t>
  </si>
  <si>
    <t>Jun 11, 2025</t>
  </si>
  <si>
    <t>NAME::ATIN AGRRAWAL PROPRIETOR OF SRK RESEARCH</t>
  </si>
  <si>
    <t>Aditya Subhash Patil proprietor of Whitestone Capital</t>
  </si>
  <si>
    <t>INH000020794</t>
  </si>
  <si>
    <t>Aditya Patil</t>
  </si>
  <si>
    <t>Office No62 50 52 53A Gurukrupa Tower, Sahakar Nagar</t>
  </si>
  <si>
    <t>adityap.ca@gmail.com</t>
  </si>
  <si>
    <t>919850815546</t>
  </si>
  <si>
    <t>NAME::ADITYA SUBHASH PATIL PROPRIETOR OF WHITESTONE CAPITAL</t>
  </si>
  <si>
    <t>Komal Yadav Proprietor of Wealth Waves Research</t>
  </si>
  <si>
    <t>INH000020837</t>
  </si>
  <si>
    <t>Komal Yadav</t>
  </si>
  <si>
    <t>B Wing, 1004, Asian Galaxy, Plot No. 217, Sector 10, Kharghar, Kharghar, Kharghar, Panvel, Raigad, Maharashtra 410210</t>
  </si>
  <si>
    <t>komalyadav813@gmail.com</t>
  </si>
  <si>
    <t>919754823341</t>
  </si>
  <si>
    <t>NAME::KOMAL YADAV PROPRIETOR OF WEALTH WAVES RESEARCH</t>
  </si>
  <si>
    <t>PANKAJ PAWAR Proprietor of CapitalLyft</t>
  </si>
  <si>
    <t>INH000020934</t>
  </si>
  <si>
    <t>PANKAJ PAWAR</t>
  </si>
  <si>
    <t>218219,RafaelTower, Old Palasia,SaketSquare</t>
  </si>
  <si>
    <t>email2pankajpawar@gmail.com</t>
  </si>
  <si>
    <t>919826027565</t>
  </si>
  <si>
    <t>NAME::PANKAJ PAWAR PROPRIETOR OF CAPITALLYFT</t>
  </si>
  <si>
    <t>Anand Sharadchandra Pathak proprietor of Shrinidhi Capital</t>
  </si>
  <si>
    <t>INH000020970</t>
  </si>
  <si>
    <t>Anand Pathak</t>
  </si>
  <si>
    <t>LG 29, Synergy office space,, East Court, Viman Nagar</t>
  </si>
  <si>
    <t>anandpathakra@gmail.com</t>
  </si>
  <si>
    <t>09527313923</t>
  </si>
  <si>
    <t>LG 29, Synergy office space, East Court, Viman Nagar</t>
  </si>
  <si>
    <t>NAME::ANAND SHARADCHANDRA PATHAK PROPRIETOR OF SHRINIDHI CAPITAL</t>
  </si>
  <si>
    <t>Vinay Kumar Singh Proprietor of Vpack Capital Research</t>
  </si>
  <si>
    <t>INH000021100</t>
  </si>
  <si>
    <t>VINAY SINGH</t>
  </si>
  <si>
    <t>155 Bhagya Shri Colony</t>
  </si>
  <si>
    <t>vpacktechnicalresearch@gmail.com</t>
  </si>
  <si>
    <t>919425390416</t>
  </si>
  <si>
    <t>NAME::VINAY KUMAR SINGH PROPRIETOR OF VPACK CAPITAL RESEARCH</t>
  </si>
  <si>
    <t>Ankush Sanodiya Proprietor of Delight Financial Services</t>
  </si>
  <si>
    <t>INH000021234</t>
  </si>
  <si>
    <t>Ankush Sanodiya</t>
  </si>
  <si>
    <t>201 2nd Floor Plot No 356 357 358 Scheme No 54, Vijay Nagar</t>
  </si>
  <si>
    <t>delightfinancial@gmail.com</t>
  </si>
  <si>
    <t>919713959453</t>
  </si>
  <si>
    <t>NAME::ANKUSH SANODIYA PROPRIETOR OF DELIGHT FINANCIAL SERVICES</t>
  </si>
  <si>
    <t>Patel Jignesh Kanubhai Proprietor of Omkar Research Analyst</t>
  </si>
  <si>
    <t>INH000021359</t>
  </si>
  <si>
    <t>Jignesh K Patel</t>
  </si>
  <si>
    <t>5/2, CHITRA-AMI APARTMENT,, OPP. OLD R.B.I, ASHRAM ROAD,</t>
  </si>
  <si>
    <t>jigneshkpatel77777@gmail.com</t>
  </si>
  <si>
    <t>919824091979</t>
  </si>
  <si>
    <t>5/2, CHITRA-AMI APARTMENT, OPP. OLD R.B.I, ASHRAM ROAD,</t>
  </si>
  <si>
    <t>NAME::PATEL JIGNESH KANUBHAI PROPRIETOR OF OMKAR RESEARCH ANALYST</t>
  </si>
  <si>
    <t>Ranvir Pratap Singh Proprietor Redwood Financial</t>
  </si>
  <si>
    <t>INH000021465</t>
  </si>
  <si>
    <t>Ranvir Singh</t>
  </si>
  <si>
    <t>Flat No302 Gulmohar Enclave Block C Plot No323 IN, Old 251 B Sch No.94 Sector E</t>
  </si>
  <si>
    <t>redwoodfinan@gmail.com</t>
  </si>
  <si>
    <t>919691536857</t>
  </si>
  <si>
    <t>NAME::RANVIR PRATAP SINGH PROPRIETOR REDWOOD FINANCIAL</t>
  </si>
  <si>
    <t>Shailesh Singh Proprietor Assent Advisory</t>
  </si>
  <si>
    <t>INH000021474</t>
  </si>
  <si>
    <t>Shailesh Singh</t>
  </si>
  <si>
    <t>1STFLOOR,340DADSCHEMENO74C, VIJAY NAGAR</t>
  </si>
  <si>
    <t>shaileshsingh26@gmail.com</t>
  </si>
  <si>
    <t>919826462695</t>
  </si>
  <si>
    <t>NAME::SHAILESH SINGH PROPRIETOR ASSENT ADVISORY</t>
  </si>
  <si>
    <t>Thobani Saif Shabbir Proprietor Of Vantage Research</t>
  </si>
  <si>
    <t>INH000021517</t>
  </si>
  <si>
    <t>Thobani Shabbir</t>
  </si>
  <si>
    <t>705, A-Wing Gora Co-op Hsg Society, Peter Apartment,  Bandra (West)</t>
  </si>
  <si>
    <t>saift10@gmail.com</t>
  </si>
  <si>
    <t>919820668088</t>
  </si>
  <si>
    <t>Jul 03, 2025</t>
  </si>
  <si>
    <t>NAME::THOBANI SAIF SHABBIR PROPRIETOR OF VANTAGE RESEARCH</t>
  </si>
  <si>
    <t>Nitesh Jain Proprietor of One Nivesh</t>
  </si>
  <si>
    <t>INH000021614</t>
  </si>
  <si>
    <t>Nitesh Jain</t>
  </si>
  <si>
    <t>3662E Sudama Nagar, Sudama Nagar Indore</t>
  </si>
  <si>
    <t>jain.nitesh0702@gmail.com</t>
  </si>
  <si>
    <t>919300035352</t>
  </si>
  <si>
    <t>NAME::NITESH JAIN PROPRIETOR OF ONE NIVESH</t>
  </si>
  <si>
    <t>Neha Soni Proprietor of RK Research Solutions</t>
  </si>
  <si>
    <t>INH000022002</t>
  </si>
  <si>
    <t>Neha Soni</t>
  </si>
  <si>
    <t>Office No 203, 06, New Anjani Nagar, Badi Bhamori</t>
  </si>
  <si>
    <t>rkresearchsolutions@gmail.com</t>
  </si>
  <si>
    <t>918349491940</t>
  </si>
  <si>
    <t>Jul 23, 2025</t>
  </si>
  <si>
    <t>NAME::NEHA SONI PROPRIETOR OF RK RESEARCH SOLUTIONS</t>
  </si>
  <si>
    <t>Divya Roy Proprietor Master Research</t>
  </si>
  <si>
    <t>INH000022011</t>
  </si>
  <si>
    <t>Divya Roy</t>
  </si>
  <si>
    <t>Office No. 308, 15/2, Sterling Arcade Race Course Road</t>
  </si>
  <si>
    <t>divyaroy19990@gmail.com</t>
  </si>
  <si>
    <t>919202867365</t>
  </si>
  <si>
    <t>NAME::DIVYA ROY PROPRIETOR MASTER RESEARCH</t>
  </si>
  <si>
    <t>Rajiv Sharma Proprietor Capital Life Research</t>
  </si>
  <si>
    <t>INH000022163</t>
  </si>
  <si>
    <t>Rajiv Sharma</t>
  </si>
  <si>
    <t>465, Sai Kripa , Colony,</t>
  </si>
  <si>
    <t>rajivylrsharma89@gmail.com</t>
  </si>
  <si>
    <t>919926634525</t>
  </si>
  <si>
    <t>NAME::RAJIV SHARMA PROPRIETOR CAPITAL LIFE RESEARCH</t>
  </si>
  <si>
    <t>Gaurav Kumar Sharma Proprietor of Level One Research</t>
  </si>
  <si>
    <t>INH000022233</t>
  </si>
  <si>
    <t>GAURAV SHARMA</t>
  </si>
  <si>
    <t>1644, UMC Building, Block B, 4th Floor, , Kudlu Gate, near kudlu metro station, Kudlu gate,</t>
  </si>
  <si>
    <t>gauravks221010@gmail.com</t>
  </si>
  <si>
    <t>918431145114</t>
  </si>
  <si>
    <t>NAME::GAURAV KUMAR SHARMA PROPRIETOR OF LEVEL ONE RESEARCH</t>
  </si>
  <si>
    <t>Amit Kumar Singh Proprietor of Optiwealth Research</t>
  </si>
  <si>
    <t>INH000022455</t>
  </si>
  <si>
    <t>Amit Singh</t>
  </si>
  <si>
    <t>Site No 717, 24th Main Road Situated At Sarakki, JP Nagar Phase 6</t>
  </si>
  <si>
    <t>ra.amitsingh432@gmail.com</t>
  </si>
  <si>
    <t>919035212202</t>
  </si>
  <si>
    <t>NAME::AMIT KUMAR SINGH PROPRIETOR OF OPTIWEALTH RESEARCH</t>
  </si>
  <si>
    <t>Purvang Navinkumar Patel Proprietor of Nandi Capital</t>
  </si>
  <si>
    <t>INH000022622</t>
  </si>
  <si>
    <t>Purvang Patel</t>
  </si>
  <si>
    <t>D-602, SG Business Hub, Near Gota Bridge , SG Highway, Gota</t>
  </si>
  <si>
    <t>purvang777@gmail.com</t>
  </si>
  <si>
    <t>919033500995</t>
  </si>
  <si>
    <t>380081</t>
  </si>
  <si>
    <t>NAME::PURVANG NAVINKUMAR PATEL PROPRIETOR OF NANDI CAPITAL</t>
  </si>
  <si>
    <t>Vikas Bhatt Proprietor The Wealth Navigator</t>
  </si>
  <si>
    <t>INH000022808</t>
  </si>
  <si>
    <t>Vikas Bhatt</t>
  </si>
  <si>
    <t>N 211 Shubhangan Omaxe city 1, BaliyaKheda</t>
  </si>
  <si>
    <t>vikasbhatt718@gmail.com</t>
  </si>
  <si>
    <t>917000380050</t>
  </si>
  <si>
    <t>Aug 20, 2025</t>
  </si>
  <si>
    <t>NAME::VIKAS BHATT PROPRIETOR THE WEALTH NAVIGATOR</t>
  </si>
  <si>
    <t>Vijay Mahendra Thakkar proprietor of Vijay Thakkar</t>
  </si>
  <si>
    <t>INH000022844</t>
  </si>
  <si>
    <t>Vijay Thakkar</t>
  </si>
  <si>
    <t>Shree Sainath chs ltd, Flat No. 1802, 18th Floor, Parsi Panchayat Road, Andheri Eas, Next to Kaatyani Heights</t>
  </si>
  <si>
    <t>Vijaythkk@gmail.com</t>
  </si>
  <si>
    <t>919097870870</t>
  </si>
  <si>
    <t>NAME::VIJAY MAHENDRA THAKKAR PROPRIETOR OF VIJAY THAKKAR</t>
  </si>
  <si>
    <t>AMIT CHATTERJEE PROPRIETOR AMC FINANCIAL SERVICES</t>
  </si>
  <si>
    <t>INH000023366</t>
  </si>
  <si>
    <t>AMIT CHATTERJEE</t>
  </si>
  <si>
    <t>246, Diamond Harbour Road, 3rd Floor, Flat No 3B, Thakurpukur</t>
  </si>
  <si>
    <t>amcfinancial500@gmail.com</t>
  </si>
  <si>
    <t>919051973177</t>
  </si>
  <si>
    <t>700063</t>
  </si>
  <si>
    <t>NAME::AMIT CHATTERJEE PROPRIETOR AMC FINANCIAL SERVICES</t>
  </si>
  <si>
    <t>Priyanshi Garg Proprietor of Equycom Research</t>
  </si>
  <si>
    <t>INH000023409</t>
  </si>
  <si>
    <t>Priyanshi Garg</t>
  </si>
  <si>
    <t>308, B Block, Kanak Malay Building, Gulmarg Avenue, Manavta Nagar</t>
  </si>
  <si>
    <t>priyanshigarg23@gmail.com</t>
  </si>
  <si>
    <t>918818878621</t>
  </si>
  <si>
    <t>NAME::PRIYANSHI GARG PROPRIETOR OF EQUYCOM RESEARCH</t>
  </si>
  <si>
    <t>Ajay Jajam  Proprietor of Chanakya Investment</t>
  </si>
  <si>
    <t>INH000023418</t>
  </si>
  <si>
    <t>R-3/106 First Floor, M3M, Urbana, Sector 67, Gurgaon, Haryana India</t>
  </si>
  <si>
    <t>NAME::AJAY JAJAM PROPRIETOR OF CHANAKYA INVESTMENT</t>
  </si>
  <si>
    <t>Rahul Rai Proprietor of Sindhuja Research Services</t>
  </si>
  <si>
    <t>INH000023445</t>
  </si>
  <si>
    <t>Rahul Rai</t>
  </si>
  <si>
    <t>E11, Shankeshwar City, Aurobindo Hospital Jakhya, Hanuman Mandir Jakhiya</t>
  </si>
  <si>
    <t>rahulroy781vibha@gmail.com</t>
  </si>
  <si>
    <t>919575505700</t>
  </si>
  <si>
    <t>NAME::RAHUL RAI PROPRIETOR OF SINDHUJA RESEARCH SERVICES</t>
  </si>
  <si>
    <t>Shubham Sewarik Proprietor of Fundtrack Research</t>
  </si>
  <si>
    <t>INH000023658</t>
  </si>
  <si>
    <t>Shubham Sewarik</t>
  </si>
  <si>
    <t>Flat No 205, 14 1 North Harsiddhi</t>
  </si>
  <si>
    <t>sewarikshubham25@gmail.com</t>
  </si>
  <si>
    <t>917566655478</t>
  </si>
  <si>
    <t>Oct 15, 2025</t>
  </si>
  <si>
    <t>NAME::SHUBHAM SEWARIK PROPRIETOR OF FUNDTRACK RESEARCH</t>
  </si>
  <si>
    <t>ARUN EKANT CHANDRA SHAW PROPRIETOR OF INDEX NAV RESEARCH INR TRADING</t>
  </si>
  <si>
    <t>INH000023737</t>
  </si>
  <si>
    <t>ARUN EKANT CHANDRA SHAW</t>
  </si>
  <si>
    <t>24 16 1 Rabindrapally, Khardah,  Gitanjali III,</t>
  </si>
  <si>
    <t>inrtradingofficial@gmail.com</t>
  </si>
  <si>
    <t>918240217162</t>
  </si>
  <si>
    <t>700117</t>
  </si>
  <si>
    <t>NAME::ARUN EKANT CHANDRA SHAW PROPRIETOR OF INDEX NAV RESEARCH INR TRADING</t>
  </si>
  <si>
    <t>Kapil Rathod Proprietor of The Kuber Group</t>
  </si>
  <si>
    <t>INH000023940</t>
  </si>
  <si>
    <t>Kapil Rathod</t>
  </si>
  <si>
    <t>334, Prakoshtha KR Veda Complex, Bhawarkua</t>
  </si>
  <si>
    <t>kapilrathodgrp47@gmail.com</t>
  </si>
  <si>
    <t>919754373843</t>
  </si>
  <si>
    <t>NAME::KAPIL RATHOD PROPRIETOR OF THE KUBER GROUP</t>
  </si>
  <si>
    <t>Sanjay Krishna Lad Proprietor of Murlix Easy Invest</t>
  </si>
  <si>
    <t>INH000024037</t>
  </si>
  <si>
    <t>Sanjay Lad</t>
  </si>
  <si>
    <t>Room No. A/202, Pawan Putra CHS, Charkop Sector 5, , Opp. Dena Bank, Kandivali West,Mumba</t>
  </si>
  <si>
    <t>murlixeasyinvest@gmail.com</t>
  </si>
  <si>
    <t>919820920530</t>
  </si>
  <si>
    <t>Dec 10, 2025</t>
  </si>
  <si>
    <t>NAME::SANJAY KRISHNA LAD PROPRIETOR OF MURLIX EASY INVEST</t>
  </si>
  <si>
    <t>Siddharth Sharma Proprietor Equi Pulse</t>
  </si>
  <si>
    <t>INH000024046</t>
  </si>
  <si>
    <t>Siddharth Sharma</t>
  </si>
  <si>
    <t>RE 54 Gyanshila City, Dhabli Indore</t>
  </si>
  <si>
    <t>info.equipulse@gmail.com</t>
  </si>
  <si>
    <t>918982892301</t>
  </si>
  <si>
    <t>NAME::SIDDHARTH SHARMA PROPRIETOR EQUI PULSE</t>
  </si>
  <si>
    <t>Shashank Gupta Proprietor of MarketMatrix Research</t>
  </si>
  <si>
    <t>INH000024134</t>
  </si>
  <si>
    <t>Shashank Gupta</t>
  </si>
  <si>
    <t>A-66, 2nd Floor, Ashok Vihar,, Phase 3, Wazirpur,</t>
  </si>
  <si>
    <t>shashankumargupta2@live.com</t>
  </si>
  <si>
    <t>110052</t>
  </si>
  <si>
    <t>live.com</t>
  </si>
  <si>
    <t>NAME::SHASHANK GUPTA PROPRIETOR OF MARKETMATRIX RESEARCH</t>
  </si>
  <si>
    <t>Kaila Akshaykumar Jagjivanbhai proprietor of AK Investment</t>
  </si>
  <si>
    <t>INH000024338</t>
  </si>
  <si>
    <t>Akshaykumar Kaila</t>
  </si>
  <si>
    <t>13TH F - 1309, ONE WORLD WEST,, NR. AMBALI BRTS BUS STOP, AHMEDABAD</t>
  </si>
  <si>
    <t>akshay.akinvestment@gmail.com</t>
  </si>
  <si>
    <t>919726767838</t>
  </si>
  <si>
    <t>380059</t>
  </si>
  <si>
    <t>NAME::KAILA AKSHAYKUMAR JAGJIVANBHAI PROPRIETOR OF AK INVESTMENT</t>
  </si>
  <si>
    <t>Akansha Jain Proprietor of Dynamic Money Research Advisory Services</t>
  </si>
  <si>
    <t>INH000024408</t>
  </si>
  <si>
    <t>Akansha Jain</t>
  </si>
  <si>
    <t>08 Aranya Nagar, , Sector - E, Slice - 3, Scheme No 78</t>
  </si>
  <si>
    <t>919827690593</t>
  </si>
  <si>
    <t>NAME::AKANSHA JAIN PROPRIETOR OF DYNAMIC MONEY RESEARCH ADVISORY SERVICES</t>
  </si>
  <si>
    <t>Sumit Namdev Kadam Proprietor of Finquant Edge</t>
  </si>
  <si>
    <t>INH000024462</t>
  </si>
  <si>
    <t>Sumit Kadam</t>
  </si>
  <si>
    <t>Flat No. 203, 2nd Floor, D Wing, Mahalaxmi Garden, Survey No. 36, Usarli Khurd, Tal. Panvel</t>
  </si>
  <si>
    <t>skresearch1111@gmail.com</t>
  </si>
  <si>
    <t>919769377769</t>
  </si>
  <si>
    <t>Dec 24, 2025</t>
  </si>
  <si>
    <t>NAME::SUMIT NAMDEV KADAM PROPRIETOR OF FINQUANT EDGE</t>
  </si>
  <si>
    <t>Vivek Singh Rajpoot Proprietor of Dhansetu Research</t>
  </si>
  <si>
    <t>INH000024550</t>
  </si>
  <si>
    <t>Vivek Rajpoot</t>
  </si>
  <si>
    <t>Flat No. 601, Block H2 Belmont Park, Niranjanpur</t>
  </si>
  <si>
    <t>galaxyvivek4@gmail.com</t>
  </si>
  <si>
    <t>917697722464</t>
  </si>
  <si>
    <t>NAME::VIVEK SINGH RAJPOOT PROPRIETOR OF DHANSETU RESEARCH</t>
  </si>
  <si>
    <t>Lokendra Sahu Proprietor of Finomint Financial Services</t>
  </si>
  <si>
    <t>INH000024648</t>
  </si>
  <si>
    <t>Lokendra Sahu</t>
  </si>
  <si>
    <t>14DF, Scheme Karamanak 74C, Main Road, Indore, Madhya Pradesh</t>
  </si>
  <si>
    <t>finomintservices@gmail.com</t>
  </si>
  <si>
    <t>NAME::LOKENDRA SAHU PROPRIETOR OF FINOMINT FINANCIAL SERVICES</t>
  </si>
  <si>
    <t>Shivansu Jaiswal Proprietor Investment Multiplier Research</t>
  </si>
  <si>
    <t>INH000024718</t>
  </si>
  <si>
    <t>Shivansu Jaiswal</t>
  </si>
  <si>
    <t>302 Navratan Paradise, B22, Sampat Hills, Bicholi Mardana</t>
  </si>
  <si>
    <t>shivansu.jaiswal001@gmail.com</t>
  </si>
  <si>
    <t>918602645972</t>
  </si>
  <si>
    <t>NAME::SHIVANSU JAISWAL PROPRIETOR INVESTMENT MULTIPLIER RESEARCH</t>
  </si>
  <si>
    <t>Shailendra Proprietor of The Wealth Gain</t>
  </si>
  <si>
    <t>INH000024745</t>
  </si>
  <si>
    <t>Shailendra Nirapure</t>
  </si>
  <si>
    <t>05-A, Mitra Bandhu Nagar, Kanadia Road, Indore,  Madhya Pradesh, 452016</t>
  </si>
  <si>
    <t>thewealthgain11@gmail.com</t>
  </si>
  <si>
    <t>918305862243</t>
  </si>
  <si>
    <t>NAME::SHAILENDRA PROPRIETOR OF THE WEALTH GAIN</t>
  </si>
  <si>
    <t>ROHIT SHARMA Proprietor of Nextrade Research Analyst.</t>
  </si>
  <si>
    <t>INH000024754</t>
  </si>
  <si>
    <t>ROHIT SHARMA</t>
  </si>
  <si>
    <t>MANHATTAN-2101, 21st Floor, SAI WORLD CITY, PALASPA , JNPT ROAD, KOLKHE, RAIGAD, PANVEL,</t>
  </si>
  <si>
    <t>nextrade.ra@gmail.com</t>
  </si>
  <si>
    <t>919930788355</t>
  </si>
  <si>
    <t>NAME::ROHIT SHARMA PROPRIETOR OF NEXTRADE RESEARCH ANALYST</t>
  </si>
  <si>
    <t>SHUBHAM MOHAN SHITOLE PROPRIETOR STOXPLEX RESEARCH</t>
  </si>
  <si>
    <t>INH000024921</t>
  </si>
  <si>
    <t>SHUBHAM SHITOLE</t>
  </si>
  <si>
    <t>Pitru Chhaya Nivas, Shitole Vasti, Deulgaon Gada, Daund</t>
  </si>
  <si>
    <t>stoxplexresearch@gmail.com</t>
  </si>
  <si>
    <t>918208331248</t>
  </si>
  <si>
    <t>412203</t>
  </si>
  <si>
    <t>NAME::SHUBHAM MOHAN SHITOLE PROPRIETOR STOXPLEX RESEARCH</t>
  </si>
  <si>
    <t>Rohit Soni Proprietor of Tradeline Research</t>
  </si>
  <si>
    <t>INH000025054</t>
  </si>
  <si>
    <t>Rohit  Soni</t>
  </si>
  <si>
    <t>109 ED Scheme no 94, Near Lotus Hospital, , Between Khajrana &amp; Robot square Indore</t>
  </si>
  <si>
    <t>tradelineresearch@gmail.com</t>
  </si>
  <si>
    <t>009479500764</t>
  </si>
  <si>
    <t>NAME::ROHIT SONI PROPRIETOR OF TRADELINE RESEARCH</t>
  </si>
  <si>
    <t>Ritesh Agarwal Proprietor of Fortunekraft Consultancy</t>
  </si>
  <si>
    <t>INH000025221</t>
  </si>
  <si>
    <t>Ritesh Agarwal</t>
  </si>
  <si>
    <t>FLAT NO B-1106, URBAN SPACE PHASE 1, SURVEY NO 25,, NIBM ROAD, MOHAMMADWADI, HAVELI, PUNE, 411060</t>
  </si>
  <si>
    <t>fortunekraftconsultancy@gmail.com</t>
  </si>
  <si>
    <t>917666823695</t>
  </si>
  <si>
    <t>NAME::RITESH AGARWAL PROPRIETOR OF FORTUNEKRAFT CONSULTANCY</t>
  </si>
  <si>
    <t>Richa Agrawal Proprietor of Ariesindia Research</t>
  </si>
  <si>
    <t>INH000025328</t>
  </si>
  <si>
    <t>Richa Agrawal</t>
  </si>
  <si>
    <t>Flat no. 614, Block-M, Anand green, Golden Palm, Niranjanpur, Dewas Naka</t>
  </si>
  <si>
    <t>richaaagrawal369@gmail.com</t>
  </si>
  <si>
    <t>NAME::RICHA AGRAWAL PROPRIETOR OF ARIESINDIA RESEARCH</t>
  </si>
  <si>
    <t>Vinay Kumar Proprietor of Overnight Traders</t>
  </si>
  <si>
    <t>INH000025717</t>
  </si>
  <si>
    <t>Vinay Kumar</t>
  </si>
  <si>
    <t>1/64, U/G/F, Street No.3, Vishwas Nagar, Shahdara</t>
  </si>
  <si>
    <t>cavinaykumar88@gmail.com</t>
  </si>
  <si>
    <t>110032</t>
  </si>
  <si>
    <t>NAME::VINAY KUMAR PROPRIETOR OF OVERNIGHT TRADERS</t>
  </si>
  <si>
    <t>Abhishek S Proprietor of ClearView Research</t>
  </si>
  <si>
    <t>INH000025744</t>
  </si>
  <si>
    <t>Abhishek SATYANARAYAN</t>
  </si>
  <si>
    <t>No. 63 A, 3rd cross, Nanjareddy Colony, Murugeshpalya, Vimanapura, HAL,</t>
  </si>
  <si>
    <t>nabhishek1569@gmail.com</t>
  </si>
  <si>
    <t>0919513313311</t>
  </si>
  <si>
    <t>560017</t>
  </si>
  <si>
    <t>NAME::ABHISHEK S PROPRIETOR OF CLEARVIEW RESEARCH</t>
  </si>
  <si>
    <t>SOURAV KUSHWAH PROPRIETOR OF AONE RESEARCH</t>
  </si>
  <si>
    <t>INH000025823</t>
  </si>
  <si>
    <t>SOURAV KUSHWAH</t>
  </si>
  <si>
    <t>21-B Nagin Nagar</t>
  </si>
  <si>
    <t>aoneresearch1@gmail.com</t>
  </si>
  <si>
    <t>918305846730</t>
  </si>
  <si>
    <t>NAME::SOURAV KUSHWAH PROPRIETOR OF AONE RESEARCH</t>
  </si>
  <si>
    <t>Ayusman Das Proprietor of Worth Market Research</t>
  </si>
  <si>
    <t>INH000025841</t>
  </si>
  <si>
    <t>Ayusman Das</t>
  </si>
  <si>
    <t>614-MR-3 Mahalaxmi Nagar</t>
  </si>
  <si>
    <t>Worthmarketresearch.ra@gmail.com</t>
  </si>
  <si>
    <t>917089789789</t>
  </si>
  <si>
    <t>NAME::AYUSMAN DAS PROPRIETOR OF WORTH MARKET RESEARCH</t>
  </si>
  <si>
    <t>SAGAR MADHUSUDAN DHAWAN Proprietor of SAGAR DHAWAN</t>
  </si>
  <si>
    <t>INH000025911</t>
  </si>
  <si>
    <t>SAGAR DHAWAN</t>
  </si>
  <si>
    <t>910, JAI HANUMAN CHS, KHOT KUWA ROAD, MALAD EAST</t>
  </si>
  <si>
    <t>cooldhawansagar@gmail.com</t>
  </si>
  <si>
    <t>919359903158</t>
  </si>
  <si>
    <t>NAME::SAGAR MADHUSUDAN DHAWAN PROPRIETOR OF SAGAR DHAWAN</t>
  </si>
  <si>
    <t>Pavan Kumar Rawat proprietor of Rudra Research</t>
  </si>
  <si>
    <t>INH000025966</t>
  </si>
  <si>
    <t>Pavan Kumar  Rawat</t>
  </si>
  <si>
    <t>Plot No. N-122 Shubhangan,, Omaxe City 1, Balya Kheda</t>
  </si>
  <si>
    <t>ra.rudraresearch@gmail.com</t>
  </si>
  <si>
    <t>009199937533</t>
  </si>
  <si>
    <t>NAME::PAVAN KUMAR RAWAT PROPRIETOR OF RUDRA RESEARCH</t>
  </si>
  <si>
    <t>Divya Sharma Proprietor of Intake Research</t>
  </si>
  <si>
    <t>INH000026099</t>
  </si>
  <si>
    <t>Divya  Sharma</t>
  </si>
  <si>
    <t>1 Manpasand Colony, Kalani Nagar</t>
  </si>
  <si>
    <t>intakeresearch1717@gmail.com</t>
  </si>
  <si>
    <t>0009109313068</t>
  </si>
  <si>
    <t>NAME::DIVYA SHARMA PROPRIETOR OF INTAKE RESEARCH</t>
  </si>
  <si>
    <t>Rohit Kumar Proprietor Of Moneyventure Research</t>
  </si>
  <si>
    <t>INH000026114</t>
  </si>
  <si>
    <t>Rohit  Kumar</t>
  </si>
  <si>
    <t>S 23 Sai City Mangliya, Dhabli Mangliya</t>
  </si>
  <si>
    <t>moneyventure2025@gmail.com</t>
  </si>
  <si>
    <t>0009098668268</t>
  </si>
  <si>
    <t>NAME::ROHIT KUMAR PROPRIETOR OF MONEYVENTURE RESEARCH</t>
  </si>
  <si>
    <t>Raghu L Proprietor of Financial Markets Research and Analysis Services</t>
  </si>
  <si>
    <t>INH000026123</t>
  </si>
  <si>
    <t>RAGHU LAKSHMANA</t>
  </si>
  <si>
    <t>NO. 17, Sriramnagar, Uttarhalli, near Gundu Toopu, Bengaluru South, Subramanyapura Post.</t>
  </si>
  <si>
    <t>lraghu057@gmail.com</t>
  </si>
  <si>
    <t>917975447592</t>
  </si>
  <si>
    <t>NAME::RAGHU L PROPRIETOR OF FINANCIAL MARKETS RESEARCH AND ANALYSIS SERVICES</t>
  </si>
  <si>
    <t>FARIDA SHAIK proprietor of Alphaquest research</t>
  </si>
  <si>
    <t>INH000026132</t>
  </si>
  <si>
    <t>Farida Shaik</t>
  </si>
  <si>
    <t>AlphaQuest Research, ShyamNiwas,  Plot No 222&amp;223, office No 4, Sarsole Gaon, Sector 6, Nerul</t>
  </si>
  <si>
    <t>alphaquestresearch@gmail.com</t>
  </si>
  <si>
    <t>009591978886</t>
  </si>
  <si>
    <t>NAME::FARIDA SHAIK PROPRIETOR OF ALPHAQUEST RESEARCH</t>
  </si>
  <si>
    <t>Sanjay Harilal Satra proprietor of Sanjay Harilal Satra</t>
  </si>
  <si>
    <t>INH000026275</t>
  </si>
  <si>
    <t>Sanjay Satra</t>
  </si>
  <si>
    <t>F 401-402, Building No. 3, Gulmohar Kukreja Complex, LBS Marg, Bhandup West</t>
  </si>
  <si>
    <t>sanjaysatra@yahoo.com</t>
  </si>
  <si>
    <t>NAME::SANJAY HARILAL SATRA PROPRIETOR OF SANJAY HARILAL SATRA</t>
  </si>
  <si>
    <t>Khusboo Vatsa Proprietor of Techfin Research Analyst</t>
  </si>
  <si>
    <t>INH000026318</t>
  </si>
  <si>
    <t>Khushboo Vatsa</t>
  </si>
  <si>
    <t>119 B VAIBHAV NAGAR EXTENSION</t>
  </si>
  <si>
    <t>ra.techfin@gmail.com</t>
  </si>
  <si>
    <t>009039261333</t>
  </si>
  <si>
    <t>NAME::KHUSBOO VATSA PROPRIETOR OF TECHFIN RESEARCH ANALYST</t>
  </si>
  <si>
    <t>AAKANKSHA PRASHANT THAKKAR Proprietor of PORTFOLIO MANTRA</t>
  </si>
  <si>
    <t>INH000026372</t>
  </si>
  <si>
    <t>AAKANKSHA THAKKAR</t>
  </si>
  <si>
    <t>THAKKAR HOUSE OFFICE NO. 1, A WING, OPP K VILLA</t>
  </si>
  <si>
    <t>aakankshapthakkar@gmail.com</t>
  </si>
  <si>
    <t>009928992864</t>
  </si>
  <si>
    <t>400601</t>
  </si>
  <si>
    <t>NAME::AAKANKSHA PRASHANT THAKKAR PROPRIETOR OF PORTFOLIO MANTRA</t>
  </si>
  <si>
    <t>Tapas Chandra Baskey Proprietor of Makemyinvest Financial Services</t>
  </si>
  <si>
    <t>INH000026381</t>
  </si>
  <si>
    <t>Tapas Baskey</t>
  </si>
  <si>
    <t>D 458 (D2 Block), SLS Signature, Vidya Vikas School Road, New Kaverappa Layout, Kadubeesanahalli, Panathur</t>
  </si>
  <si>
    <t>tapaschandraofficial@gmail.com</t>
  </si>
  <si>
    <t>0009632318551</t>
  </si>
  <si>
    <t>NAME::TAPAS CHANDRA BASKEY PROPRIETOR OF MAKEMYINVEST FINANCIAL SERVICES</t>
  </si>
  <si>
    <t>Sushant Sharad Dighe Proprietor of House of trade</t>
  </si>
  <si>
    <t>INH000026433</t>
  </si>
  <si>
    <t>Sushant  Dighe</t>
  </si>
  <si>
    <t>Office No. 23, Mahavir Bhakti Apt., Mini Market,Sector -15, Koparkhairane</t>
  </si>
  <si>
    <t>sushant.dighe01@gmail.com</t>
  </si>
  <si>
    <t>400709</t>
  </si>
  <si>
    <t>Apr 22, 2026</t>
  </si>
  <si>
    <t>NAME::SUSHANT SHARAD DIGHE PROPRIETOR OF HOUSE OF TRADE</t>
  </si>
  <si>
    <t>DARSHANA NITIN TEJE Proprietor of D Success Point</t>
  </si>
  <si>
    <t>INH000026442</t>
  </si>
  <si>
    <t>DARSHANA   TEJE</t>
  </si>
  <si>
    <t>Nana karawale marg, ali ambivali, mohopada</t>
  </si>
  <si>
    <t>darshanateje4606@gmail.com</t>
  </si>
  <si>
    <t>0009130110092</t>
  </si>
  <si>
    <t>410222</t>
  </si>
  <si>
    <t>NAME::DARSHANA NITIN TEJE PROPRIETOR OF D SUCCESS POINT</t>
  </si>
  <si>
    <t>Anish Rai Proprietor of Nivesh Research</t>
  </si>
  <si>
    <t>INH000026460</t>
  </si>
  <si>
    <t>Anish  Rai</t>
  </si>
  <si>
    <t>D 74 Shopping Complex, A.B. Road</t>
  </si>
  <si>
    <t>anishrai143@gmail.com</t>
  </si>
  <si>
    <t>NAME::ANISH RAI PROPRIETOR OF NIVESH RESEARCH</t>
  </si>
  <si>
    <t>Pallav Parag Sharma Proprietor of Fourth Capital Research</t>
  </si>
  <si>
    <t>INH000026479</t>
  </si>
  <si>
    <t>Pallav Parag Sharma</t>
  </si>
  <si>
    <t>A-84B Upper Second floor Gali No 4 Asha Park</t>
  </si>
  <si>
    <t>pallavparag@gmail.com</t>
  </si>
  <si>
    <t>NAME::PALLAV PARAG SHARMA PROPRIETOR OF FOURTH CAPITAL RESEARCH</t>
  </si>
  <si>
    <t>Dr. Subhransu Sekhar Jena Proprietor of Smart Disha Academy</t>
  </si>
  <si>
    <t>INH000026600</t>
  </si>
  <si>
    <t>Subhransu Jena</t>
  </si>
  <si>
    <t>8th Floor, BH 804 &amp; BH 806, Business Hub, Arved Transcube Plaza Mall, Near Ranip GSRTC Bus Stand, Ranip</t>
  </si>
  <si>
    <t>smartdisha.2@gmail.com</t>
  </si>
  <si>
    <t>008511956780</t>
  </si>
  <si>
    <t>NAME::DR SUBHRANSU SEKHAR JENA PROPRIETOR OF SMART DISHA ACADEMY</t>
  </si>
  <si>
    <t>SANTOSH B NIKAM PROPRIETOR OF UNIVERSAL FINANCIAL LABS</t>
  </si>
  <si>
    <t>INH000026761</t>
  </si>
  <si>
    <t>SANTOSH NIKAM</t>
  </si>
  <si>
    <t>H No 2831, Chatrapati, Ajinkyatara Society, Girme Wasti, Koregao Mul, TA Haveli</t>
  </si>
  <si>
    <t>universalfinanciallabs@gmail.com</t>
  </si>
  <si>
    <t>00007998231231</t>
  </si>
  <si>
    <t>412202</t>
  </si>
  <si>
    <t>NAME::SANTOSH B NIKAM PROPRIETOR OF UNIVERSAL FINANCIAL LABS</t>
  </si>
  <si>
    <t>Darpan Aggarwal Proprietor of Uncover Markets Capital Analytics</t>
  </si>
  <si>
    <t>INH000026859</t>
  </si>
  <si>
    <t>Darpan Aggarwal</t>
  </si>
  <si>
    <t>F-25/57, Greenview Appartments, Sector-3, Rohini</t>
  </si>
  <si>
    <t>darpan.iit@gmail.com</t>
  </si>
  <si>
    <t>00001147005874</t>
  </si>
  <si>
    <t>NAME::DARPAN AGGARWAL PROPRIETOR OF UNCOVER MARKETS CAPITAL ANALYTICS</t>
  </si>
  <si>
    <t>SAMKIT KIRANBHAI MEHTA PROPRIETOR OF MANSAM CAPITAL</t>
  </si>
  <si>
    <t>INH000026938</t>
  </si>
  <si>
    <t>Samkit Mehta</t>
  </si>
  <si>
    <t>Flat No 705 7th Floor Diamond Apartment, Co op H Society Haththupura Char Rasta Saiyedpura</t>
  </si>
  <si>
    <t>samkitkm.idfc@gmail.com</t>
  </si>
  <si>
    <t>919033131373</t>
  </si>
  <si>
    <t>395003</t>
  </si>
  <si>
    <t>NAME::SAMKIT KIRANBHAI MEHTA PROPRIETOR OF MANSAM CAPITAL</t>
  </si>
  <si>
    <t>ANAND DAS PROPRIETOR OF STOCK INDIA</t>
  </si>
  <si>
    <t>INH000027061</t>
  </si>
  <si>
    <t>ANAND DAS</t>
  </si>
  <si>
    <t>201-A, Highway Tower, Navlakaha</t>
  </si>
  <si>
    <t>stockindia59@gmail.com</t>
  </si>
  <si>
    <t>009479973425</t>
  </si>
  <si>
    <t>May 14, 2026</t>
  </si>
  <si>
    <t>NAME::ANAND DAS PROPRIETOR OF STOCK INDIA</t>
  </si>
  <si>
    <t>R HARINI PROPRIETOR OF TREASURE CAPITAL</t>
  </si>
  <si>
    <t>INH000027186</t>
  </si>
  <si>
    <t>Ravichandran HARINI</t>
  </si>
  <si>
    <t>23/11, Neeli Veerasamy street, Near Ragavendra School, Triolicane</t>
  </si>
  <si>
    <t>harini.r2009@gmail.com</t>
  </si>
  <si>
    <t>0009199626175</t>
  </si>
  <si>
    <t>NAME::R HARINI PROPRIETOR OF TREASURE CAPITAL</t>
  </si>
  <si>
    <t>VAIBHAV KHARE PROPRIETOR OF KNOVA WEALTH FINANCIAL SERVICES</t>
  </si>
  <si>
    <t>INH000027210</t>
  </si>
  <si>
    <t>VAIBHAV KHARE</t>
  </si>
  <si>
    <t>WeWork Lightbridge, 6th Floor, Hirannandani Business Park, Saki Vihar Road, Tunga Village, Chandivali, Powai</t>
  </si>
  <si>
    <t>vkhare.iiitm@gmail.com</t>
  </si>
  <si>
    <t>NAME::VAIBHAV KHARE PROPRIETOR OF KNOVA WEALTH FINANCIAL SERVICES</t>
  </si>
  <si>
    <t>Vinoth Kumar S Proprietor of Potoos Research Services</t>
  </si>
  <si>
    <t>INH000027380</t>
  </si>
  <si>
    <t>Vinoth Kumar S</t>
  </si>
  <si>
    <t>16 24, Kambar Street, New Perungalathur,, Srinivasanagar, Tambaram</t>
  </si>
  <si>
    <t>vinothops@gmail.com</t>
  </si>
  <si>
    <t>0009841741234</t>
  </si>
  <si>
    <t>600063</t>
  </si>
  <si>
    <t>16 24, Kambar Street, New Perungalathur, Srinivasanagar, Tambaram</t>
  </si>
  <si>
    <t>NAME::VINOTH KUMAR S PROPRIETOR OF POTOOS RESEARCH SERVICES</t>
  </si>
  <si>
    <t>Vijay Gupta Proprietor of Egrow Capital Services</t>
  </si>
  <si>
    <t>INH000027441</t>
  </si>
  <si>
    <t>Vijay Gupta</t>
  </si>
  <si>
    <t>245, Krishna Vatika, Chota Bangarda, Bijasan Road</t>
  </si>
  <si>
    <t>vijaygagorni@gmail.com</t>
  </si>
  <si>
    <t>NAME::VIJAY GUPTA PROPRIETOR OF EGROW CAPITAL SERVICES</t>
  </si>
  <si>
    <t>KIRAN NANDKISHOR JAGDALE PROPRIETOR OF MH TRADE HUB</t>
  </si>
  <si>
    <t>INH000027609</t>
  </si>
  <si>
    <t>KIRAN JAGDALE</t>
  </si>
  <si>
    <t>S.No. 177/1, Narayan chamber, Namdev Rukari Baug, Shop No. 306, Near HP Petrol Pump, Fursungi, Ta HAVELI, Di</t>
  </si>
  <si>
    <t>mhtradehub@gmail.com</t>
  </si>
  <si>
    <t>00008421808585</t>
  </si>
  <si>
    <t>412308</t>
  </si>
  <si>
    <t>NAME::KIRAN NANDKISHOR JAGDALE PROPRIETOR OF MH TRADE HUB</t>
  </si>
  <si>
    <t>Satish Manavare Proprietor of Sterling Research</t>
  </si>
  <si>
    <t>INH000027751</t>
  </si>
  <si>
    <t>Satish Manavare</t>
  </si>
  <si>
    <t>House No. 432, Dhar Road, Nandan Nagar</t>
  </si>
  <si>
    <t>ra.sterlingresearch@gmail.com</t>
  </si>
  <si>
    <t>917415152600</t>
  </si>
  <si>
    <t>452002</t>
  </si>
  <si>
    <t>NAME::SATISH MANAVARE PROPRIETOR OF STERLING RESEARCH</t>
  </si>
  <si>
    <t>Nameeta Priyadarshnee Panda Proprietor of Research Bull</t>
  </si>
  <si>
    <t>INH000027760</t>
  </si>
  <si>
    <t>Nameeta Panda</t>
  </si>
  <si>
    <t>Om Chambers, 648/A, 4th Floor, Binnamangala 1st Stage, Indiranagar</t>
  </si>
  <si>
    <t>nameeta.researchbull@gmail.com</t>
  </si>
  <si>
    <t>009217514551</t>
  </si>
  <si>
    <t>NAME::NAMEETA PRIYADARSHNEE PANDA PROPRIETOR OF RESEARCH BULL</t>
  </si>
  <si>
    <t>Chakrapaani Mishra Proprietor of SigmaOne Capital</t>
  </si>
  <si>
    <t>INH000027812</t>
  </si>
  <si>
    <t>Chakrapaani Mishra</t>
  </si>
  <si>
    <t>903, A 1, Scheme No 136, Niranjan Pur</t>
  </si>
  <si>
    <t>sigmaonecapital.info@gmail.com</t>
  </si>
  <si>
    <t>009875590601</t>
  </si>
  <si>
    <t>NAME::CHAKRAPAANI MISHRA PROPRIETOR OF SIGMAONE CAPITAL</t>
  </si>
  <si>
    <t>Hemant Vishwakarma Proprietor of Market cube Research</t>
  </si>
  <si>
    <t>INH000027849</t>
  </si>
  <si>
    <t>Hemant Vishwakarma</t>
  </si>
  <si>
    <t>160 Tirumala, green nipania</t>
  </si>
  <si>
    <t>Marketcuberesearch@gmail.com</t>
  </si>
  <si>
    <t>0009589710510</t>
  </si>
  <si>
    <t>NAME::HEMANT VISHWAKARMA PROPRIETOR OF MARKET CUBE RESEARCH</t>
  </si>
  <si>
    <t>Ramanaiah Illuri Proprietor of ArthiQ Research</t>
  </si>
  <si>
    <t>INH000027928</t>
  </si>
  <si>
    <t>Ramanaiah Illuri</t>
  </si>
  <si>
    <t>D 5 2nd Floor, No466, Nisarga Layout, Anekal Tlauk, Harapanhalli</t>
  </si>
  <si>
    <t>arthiqresearch@gmail.com</t>
  </si>
  <si>
    <t>007411247143</t>
  </si>
  <si>
    <t>560100</t>
  </si>
  <si>
    <t>Jun 08, 2026</t>
  </si>
  <si>
    <t>NAME::RAMANAIAH ILLURI PROPRIETOR OF ARTHIQ RESEARCH</t>
  </si>
  <si>
    <t>Rohan Swar Proprietor of Quantimental Capital Research</t>
  </si>
  <si>
    <t>INH000027964</t>
  </si>
  <si>
    <t>Rohan Swar</t>
  </si>
  <si>
    <t>E1-502, SNN Raj Greenbay Apartment, 1st Main Road, Electronic City Phase 2</t>
  </si>
  <si>
    <t>rohan.swar@gmail.com</t>
  </si>
  <si>
    <t>NAME::ROHAN SWAR PROPRIETOR OF QUANTIMENTAL CAPITAL RESEARCH</t>
  </si>
  <si>
    <t>HARISH PRATHAP M PROPRIETOR OF MY COREX RESEARCH &amp; FINANCIAL SERVICES</t>
  </si>
  <si>
    <t>INH000028015</t>
  </si>
  <si>
    <t>HARISH  PRATHAP</t>
  </si>
  <si>
    <t>SRathnamma D. No. 106/2, Hongasandra, Bengaluru, Karnataka, India</t>
  </si>
  <si>
    <t>Harishprathap5@gmail.com</t>
  </si>
  <si>
    <t>00008123994146</t>
  </si>
  <si>
    <t>NAME::HARISH PRATHAP M PROPRIETOR OF MY COREX RESEARCH FINANCIAL SERVICES</t>
  </si>
  <si>
    <t>Arvind Maruti Desai Proprietor of Samarth Trade</t>
  </si>
  <si>
    <t>INH000028060</t>
  </si>
  <si>
    <t>ARVIND DESAI</t>
  </si>
  <si>
    <t>Office No. 406, City Space, S.No, 198/1A, Nagar Road</t>
  </si>
  <si>
    <t>samarthtraderesearch@gmail.com</t>
  </si>
  <si>
    <t>00007588775228</t>
  </si>
  <si>
    <t>NAME::ARVIND MARUTI DESAI PROPRIETOR OF SAMARTH TRADE</t>
  </si>
  <si>
    <t>Shikha Verma Proprietor of Dhanvriddhi Research</t>
  </si>
  <si>
    <t>INH000028121</t>
  </si>
  <si>
    <t>Shikha Verma</t>
  </si>
  <si>
    <t>19 D GURUKRIPA NAGAR , 60 FEET A</t>
  </si>
  <si>
    <t>sshikha22may@gmail.com</t>
  </si>
  <si>
    <t>00009399168615</t>
  </si>
  <si>
    <t>NAME::SHIKHA VERMA PROPRIETOR OF DHANVRIDDHI RESEARCH</t>
  </si>
  <si>
    <t>Sumit Vyas Proprietor of Skyline Financial Services</t>
  </si>
  <si>
    <t>INH000028370</t>
  </si>
  <si>
    <t>Sumit  Vyas</t>
  </si>
  <si>
    <t>13, Shantipath Road, Newr Shiksha Mandal, Sabnish Bag, Indore,</t>
  </si>
  <si>
    <t>Sumitvyas2506@gmail.com</t>
  </si>
  <si>
    <t>00009424502130</t>
  </si>
  <si>
    <t>452007</t>
  </si>
  <si>
    <t>Jun 22, 2026</t>
  </si>
  <si>
    <t>NAME::SUMIT VYAS PROPRIETOR OF SKYLINE FINANCIAL SERVICES</t>
  </si>
  <si>
    <t>Abhishek Venkatesh Gujrathi Proprietor of Shrinidhi Fintech</t>
  </si>
  <si>
    <t>INH000028404</t>
  </si>
  <si>
    <t>Abhishek Gujrathi</t>
  </si>
  <si>
    <t>F15, Soba Savera, Bibwewadi</t>
  </si>
  <si>
    <t>avgujrathi@gmail.com</t>
  </si>
  <si>
    <t>00009284568817</t>
  </si>
  <si>
    <t>NAME::ABHISHEK VENKATESH GUJRATHI PROPRIETOR OF SHRINIDHI FINTECH</t>
  </si>
  <si>
    <t>Ankur Jain Proprietor Winway Research</t>
  </si>
  <si>
    <t>INA000007492</t>
  </si>
  <si>
    <t>ANKUR  JAIN</t>
  </si>
  <si>
    <t>M-27 Starling tower, 2 MG Road</t>
  </si>
  <si>
    <t>ANKURJAINS84@GMAIL.COM</t>
  </si>
  <si>
    <t>Apr 11, 2017</t>
  </si>
  <si>
    <t>NAME::ANKUR JAIN PROPRIETOR WINWAY RESEARCH</t>
  </si>
  <si>
    <t>Ankit Shah - Proprietor of White Equity</t>
  </si>
  <si>
    <t>INA000007757</t>
  </si>
  <si>
    <t>Ankit Shah</t>
  </si>
  <si>
    <t>B/203, UMANG CHS, MATHURADAS ROAD EXT, KANDIVALI WEST</t>
  </si>
  <si>
    <t>shahankit86@gmail.com</t>
  </si>
  <si>
    <t>May 29, 2017</t>
  </si>
  <si>
    <t>NAME::ANKIT SHAH PROPRIETOR OF WHITE EQUITY</t>
  </si>
  <si>
    <t>RAJIV SHAH (PROPRIETOR: RMS INVESTMENTS)</t>
  </si>
  <si>
    <t>INA000007933</t>
  </si>
  <si>
    <t>rajiv shah</t>
  </si>
  <si>
    <t>R no. k1 4th floor 67/69 dada manzil, mohammad ali road</t>
  </si>
  <si>
    <t>rmsinvestments@outlook.com</t>
  </si>
  <si>
    <t>400003</t>
  </si>
  <si>
    <t>r. no. k1 4th floor 67/69 dada manzil, mohammad ali road</t>
  </si>
  <si>
    <t>outlook.com</t>
  </si>
  <si>
    <t>NAME::RAJIV SHAH PROPRIETOR RMS INVESTMENTS</t>
  </si>
  <si>
    <t>JHANAVIKA SINGH PROPRIETOR FINTHERP WEALTH MANAGEMENT</t>
  </si>
  <si>
    <t>INA000007997</t>
  </si>
  <si>
    <t>JHANAVIKA SINGH</t>
  </si>
  <si>
    <t>House no. 843, A-33,, Scheme no. 114, part 1</t>
  </si>
  <si>
    <t>chhavi1391@gmail.com</t>
  </si>
  <si>
    <t>House no. 843, A-33, Scheme no. 114, part 1</t>
  </si>
  <si>
    <t>Jul 04, 2017</t>
  </si>
  <si>
    <t>NAME::JHANAVIKA SINGH PROPRIETOR FINTHERP WEALTH MANAGEMENT</t>
  </si>
  <si>
    <t>SHEIKH AZHAR UDDIN PROPRIETOR of IDEAL STOCK INVESTMENT ADVISOR</t>
  </si>
  <si>
    <t>INA000008747</t>
  </si>
  <si>
    <t>SHEIKH AZHAR SHEIKH</t>
  </si>
  <si>
    <t>Ground Floor Plot No 204, Swami Dayanand Nagar Manik Bagh Road</t>
  </si>
  <si>
    <t>sheikh.azharuddin60@gmail.com</t>
  </si>
  <si>
    <t>205, SWAMI DAYANAND NAGAR, MANIK BAGH ROAD</t>
  </si>
  <si>
    <t>Oct 31, 2017</t>
  </si>
  <si>
    <t>NAME::SHEIKH AZHAR UDDIN PROPRIETOR OF IDEAL STOCK INVESTMENT ADVISOR</t>
  </si>
  <si>
    <t>DEEPAK OSTWAL PROPRIETOR OF  CAPITAL WAYS INVESTMENT ADVISER</t>
  </si>
  <si>
    <t>INA000008862</t>
  </si>
  <si>
    <t>DEEPAK OSTWAL</t>
  </si>
  <si>
    <t>236, Hi Link City Chhota Bangarda</t>
  </si>
  <si>
    <t>deepakostwal@gmail.com</t>
  </si>
  <si>
    <t>453112</t>
  </si>
  <si>
    <t>Nov 08, 2017</t>
  </si>
  <si>
    <t>NAME::DEEPAK OSTWAL PROPRIETOR OF CAPITAL WAYS INVESTMENT ADVISER</t>
  </si>
  <si>
    <t>SHIVANSU JAISWAL PROPRIETOR of INVESTMENT MULTIPLIER FINANCIAL SERVICES</t>
  </si>
  <si>
    <t>INA000009427</t>
  </si>
  <si>
    <t>SHIVANSU JAISWAL</t>
  </si>
  <si>
    <t>301-A, 3RD FLOOR NEW-18 OLD-16,, KANCHAN SAGAR BHAWAN OLD PALASIA</t>
  </si>
  <si>
    <t>301-A, 3RD FLOOR NEW-18 OLD-16, KANCHAN SAGAR BHAWAN OLD PALASIA</t>
  </si>
  <si>
    <t>Dec 29, 2017</t>
  </si>
  <si>
    <t>NAME::SHIVANSU JAISWAL PROPRIETOR OF INVESTMENT MULTIPLIER FINANCIAL SERVICES</t>
  </si>
  <si>
    <t>Networth Research And Investment Advisor, Proprietor Neha Saluja</t>
  </si>
  <si>
    <t>INA000010159</t>
  </si>
  <si>
    <t>Neha Saluja</t>
  </si>
  <si>
    <t>206 2nd Floor Aditya Pratap Building , 85 Shree Nagar Main Road</t>
  </si>
  <si>
    <t>salujaneha25@gmail.com</t>
  </si>
  <si>
    <t>Apr 02, 2018</t>
  </si>
  <si>
    <t>NAME::NETWORTH RESEARCH AND INVESTMENT ADVISOR PROPRIETOR NEHA SALUJA</t>
  </si>
  <si>
    <t>Neha Porwal Proprietor Real Time Financial Services</t>
  </si>
  <si>
    <t>INA000010177</t>
  </si>
  <si>
    <t>Neha Pareta</t>
  </si>
  <si>
    <t>Office No. 520 5th Floor Onam Plaza , 18 Palasia AB Road</t>
  </si>
  <si>
    <t>excellence_india@hotmail.com</t>
  </si>
  <si>
    <t>hotmail.com</t>
  </si>
  <si>
    <t>NAME::NEHA PORWAL PROPRIETOR REAL TIME FINANCIAL SERVICES</t>
  </si>
  <si>
    <t>KUSHAL BHATEJA PROPRIETOR OF FINCLIN INVESTMENT ADVISORS</t>
  </si>
  <si>
    <t>INA100010305</t>
  </si>
  <si>
    <t>KUSHAL BHATEJA</t>
  </si>
  <si>
    <t>512, Suneja Tower - 1, District Centre,, Janak Puri</t>
  </si>
  <si>
    <t>KUSHALBHATEJA@GMAIL.COM</t>
  </si>
  <si>
    <t>512, Suneja Tower - 1, District Centre, Janak Puri</t>
  </si>
  <si>
    <t>Apr 12, 2018</t>
  </si>
  <si>
    <t>NAME::KUSHAL BHATEJA PROPRIETOR OF FINCLIN INVESTMENT ADVISORS</t>
  </si>
  <si>
    <t>Nidhi Tripathi Proprietor of The Tradebond</t>
  </si>
  <si>
    <t>INA100012570</t>
  </si>
  <si>
    <t>NIDHI  SAXENA</t>
  </si>
  <si>
    <t>205, Apollo Avenue avenue,, greater Kailash Road, old Palasia,</t>
  </si>
  <si>
    <t>thetradebond@gmail.com</t>
  </si>
  <si>
    <t>205, Apollo Avenue avenue, greater Kailash Road, old Palasia,</t>
  </si>
  <si>
    <t>Mar 01, 2019</t>
  </si>
  <si>
    <t>NAME::NIDHI TRIPATHI PROPRIETOR OF THE TRADEBOND</t>
  </si>
  <si>
    <t>DIPEN DEEPAK DOSHI (SOLE PROPRIETOR OF FOCUS INVESTING)</t>
  </si>
  <si>
    <t>INA000013855</t>
  </si>
  <si>
    <t>DIPEN DOSHI</t>
  </si>
  <si>
    <t>108/A Walkeshwar Road, 5 Pushpanjali Bldg, 4th Floor</t>
  </si>
  <si>
    <t>dipendoshi@hotmail.com</t>
  </si>
  <si>
    <t>Aug 21, 2019</t>
  </si>
  <si>
    <t>NAME::DIPEN DEEPAK DOSHI SOLE PROPRIETOR OF FOCUS INVESTING</t>
  </si>
  <si>
    <t>Sundeep B Parmar (Proprietor of Fortuplier Investment Advisors)</t>
  </si>
  <si>
    <t>INA000014845</t>
  </si>
  <si>
    <t>SUNDEEP  PARMAR</t>
  </si>
  <si>
    <t>C/o Sundeep Textiles 23 Navi Wadi , Dadi Seth Agiyari Lane Chira Bazar</t>
  </si>
  <si>
    <t>sbparmar1981@gmail.com</t>
  </si>
  <si>
    <t>NAME::SUNDEEP B PARMAR PROPRIETOR OF FORTUPLIER INVESTMENT ADVISORS</t>
  </si>
  <si>
    <t>Sahil Ahmed Chotalia (Proprietor Mount Bliss Capital)</t>
  </si>
  <si>
    <t>INA000015145</t>
  </si>
  <si>
    <t>Sahil Chotalia</t>
  </si>
  <si>
    <t>A-1904, Vastu Tower, Evershine Naga, Opp. Ryan International School, Malad (W),</t>
  </si>
  <si>
    <t>Sahu_111@yahoo.co.in</t>
  </si>
  <si>
    <t>Sep 21, 2020</t>
  </si>
  <si>
    <t>NAME::SAHIL AHMED CHOTALIA PROPRIETOR MOUNT BLISS CAPITAL</t>
  </si>
  <si>
    <t>VIPUL P SHAH(PROPRIETOR: INPACT WEALTH ADVISORS)</t>
  </si>
  <si>
    <t>INA000015552</t>
  </si>
  <si>
    <t>VIPUL SHAH</t>
  </si>
  <si>
    <t>B-1102, TRIDEV APT, BHAKTI MARG, MULUND W</t>
  </si>
  <si>
    <t>vipool@hotmail.com</t>
  </si>
  <si>
    <t>Dec 08, 2020</t>
  </si>
  <si>
    <t>NAME::VIPUL P SHAH PROPRIETOR INPACT WEALTH ADVISORS</t>
  </si>
  <si>
    <t>Aarti Mohan (Proprietor : Aurion Advisors)</t>
  </si>
  <si>
    <t>INA000016454</t>
  </si>
  <si>
    <t>AARTI MOHAN</t>
  </si>
  <si>
    <t>Flat No. 5 Friendship Apartment, 23rd Rd, Bandra West</t>
  </si>
  <si>
    <t>AARTIM159@GMAIL.COM</t>
  </si>
  <si>
    <t>Dec 07, 2021</t>
  </si>
  <si>
    <t>NAME::AARTI MOHAN PROPRIETOR AURION ADVISORS</t>
  </si>
  <si>
    <t>Manish Gupta, proprietor of M/s Equinox Investment Advisors</t>
  </si>
  <si>
    <t>INA100017186</t>
  </si>
  <si>
    <t>Manish Gupta</t>
  </si>
  <si>
    <t>B-102, Sector 50</t>
  </si>
  <si>
    <t>equinoxindiaria@gmail.com</t>
  </si>
  <si>
    <t>NAME::MANISH GUPTA PROPRIETOR OF M S EQUINOX INVESTMENT ADVISORS</t>
  </si>
  <si>
    <t>ANIL KUMAR ASNANI PROP. SMART VERC</t>
  </si>
  <si>
    <t>INH000000420</t>
  </si>
  <si>
    <t>ANIL KUMAR  ASNANI</t>
  </si>
  <si>
    <t>28, SECTOR 9-B, SAKET NAGAR</t>
  </si>
  <si>
    <t>smartasn@gmail.com</t>
  </si>
  <si>
    <t>919893512098</t>
  </si>
  <si>
    <t>462024</t>
  </si>
  <si>
    <t>28, Sector 9-B, Saket Nagar</t>
  </si>
  <si>
    <t>May 06, 2015</t>
  </si>
  <si>
    <t>NAME::ANIL KUMAR ASNANI PROP SMART VERC</t>
  </si>
  <si>
    <t>GOUTAM SHARMA (PROPRIETOR GROW WITH STOCKS)</t>
  </si>
  <si>
    <t>INH000001212</t>
  </si>
  <si>
    <t>GOUTAM SHARMA</t>
  </si>
  <si>
    <t>120, SHASTRI NAGAR, BEHIND RAM MANDIR</t>
  </si>
  <si>
    <t>0goutam0@gmail.com</t>
  </si>
  <si>
    <t>2032407833</t>
  </si>
  <si>
    <t>JAMMU</t>
  </si>
  <si>
    <t>JAMMU AND KASHMIR</t>
  </si>
  <si>
    <t>502, Maple Wood, Opposite Aga Khan Palace, Behind Rushabh TVS Showroom, Kalyani nagar,</t>
  </si>
  <si>
    <t>Aug 03, 2015</t>
  </si>
  <si>
    <t>NAME::GOUTAM SHARMA PROPRIETOR GROW WITH STOCKS</t>
  </si>
  <si>
    <t>EKANSH MITTAL PROPRIETOR M/S MITTAL CONSULTING</t>
  </si>
  <si>
    <t>INH100001690</t>
  </si>
  <si>
    <t>Ekansh Mittal ProprietorMsMittalConsulting</t>
  </si>
  <si>
    <t>7/128, FLAT NO -7, PANCHRATAN APARTMENTS, SWAROOP NAGAR</t>
  </si>
  <si>
    <t>ekansh.mit@gmail.com</t>
  </si>
  <si>
    <t>919818866676</t>
  </si>
  <si>
    <t>7/128, Flat No -7, Panchratan Apartments, Swaroop Nagar</t>
  </si>
  <si>
    <t>Sep 14, 2015</t>
  </si>
  <si>
    <t>NAME::EKANSH MITTAL PROPRIETOR M S MITTAL CONSULTING</t>
  </si>
  <si>
    <t>HITESH TULSIBHAI CHAUHAN PROPRIETOR OF H2 INVESTMENT MANAGERS</t>
  </si>
  <si>
    <t>INH000007030</t>
  </si>
  <si>
    <t>HITESH TULSIBHAI  CHAUHAN</t>
  </si>
  <si>
    <t>FLAT 11, MUNISUVRAT APARTMENTPANCHESHWAR TOWER ROAD, OPP, TRISHALI PAV BHAJI, JAMNAGAR,</t>
  </si>
  <si>
    <t>hiteshchauhan_ca@yahoo.com</t>
  </si>
  <si>
    <t>919879593296</t>
  </si>
  <si>
    <t>JAMNAGAR</t>
  </si>
  <si>
    <t>361001</t>
  </si>
  <si>
    <t>NAME::HITESH TULSIBHAI CHAUHAN PROPRIETOR OF H2 INVESTMENT MANAGERS</t>
  </si>
  <si>
    <t>Somnath Patil Proprietor of Optionsmaster Research Advisory Services</t>
  </si>
  <si>
    <t>INH000008622</t>
  </si>
  <si>
    <t>SOMNATH PATIL</t>
  </si>
  <si>
    <t>Shop No F16, First Floor S K Open Mall, Near Shraddha Petrol Pump, College Road</t>
  </si>
  <si>
    <t>optionsmaster.som@gmail.com</t>
  </si>
  <si>
    <t>917057255777</t>
  </si>
  <si>
    <t>422005</t>
  </si>
  <si>
    <t>F-16, SK Open Mall, Nr Shradha Petroleum, HPT Collage,</t>
  </si>
  <si>
    <t>NAME::SOMNATH PATIL PROPRIETOR OF OPTIONSMASTER RESEARCH ADVISORY SERVICES</t>
  </si>
  <si>
    <t>Sandeep Gome proprietor of Assure Market Research</t>
  </si>
  <si>
    <t>INH000011802</t>
  </si>
  <si>
    <t>SANDEEP GOME</t>
  </si>
  <si>
    <t>HALL NO 3, PLOT NO 1, AMAN COMPLEX GOVIND GARDEN GOVINDPURA</t>
  </si>
  <si>
    <t>gomesandeep18@gmail.com</t>
  </si>
  <si>
    <t>919993031147</t>
  </si>
  <si>
    <t>462023</t>
  </si>
  <si>
    <t>NAME::SANDEEP GOME PROPRIETOR OF ASSURE MARKET RESEARCH</t>
  </si>
  <si>
    <t>AKHIL KUMAR RAI PROPRIETOR 3i RESEARCH</t>
  </si>
  <si>
    <t>INH000012689</t>
  </si>
  <si>
    <t>AKHIL RAI</t>
  </si>
  <si>
    <t>Plot No 54 Patrakar colony, 1st Lane beside Sudama Hardware Ranital Chowk Jabalpur</t>
  </si>
  <si>
    <t>akhilkumar.r@outlook.com</t>
  </si>
  <si>
    <t>918818830633</t>
  </si>
  <si>
    <t>JABALPUR</t>
  </si>
  <si>
    <t>482001</t>
  </si>
  <si>
    <t>NAME::AKHIL KUMAR RAI PROPRIETOR 3I RESEARCH</t>
  </si>
  <si>
    <t>Navodit Tiwari Proprietor Stockvaani Research</t>
  </si>
  <si>
    <t>INH000014331</t>
  </si>
  <si>
    <t>BUS STAND, G.E ROAD, POLE C -17, BHILAI 3</t>
  </si>
  <si>
    <t>tiwarinavodit@gmail.com</t>
  </si>
  <si>
    <t>490021</t>
  </si>
  <si>
    <t>Jan 05, 2024</t>
  </si>
  <si>
    <t>NAME::NAVODIT TIWARI PROPRIETOR STOCKVAANI RESEARCH</t>
  </si>
  <si>
    <t>VARUN BHARGAV Proprietor of Profit X Research</t>
  </si>
  <si>
    <t>INH000014508</t>
  </si>
  <si>
    <t>VARUN  BHARGAV</t>
  </si>
  <si>
    <t>A 230 BALAJI PARADISE VIDISHA MP</t>
  </si>
  <si>
    <t>Profitxresearch@gmail.com</t>
  </si>
  <si>
    <t>919329587840</t>
  </si>
  <si>
    <t>464001</t>
  </si>
  <si>
    <t>A 230 BALAJI PARADISE, VIDISHA MP</t>
  </si>
  <si>
    <t>NAME::VARUN BHARGAV PROPRIETOR OF PROFIT X RESEARCH</t>
  </si>
  <si>
    <t>Manish Salvi Proprietor of Momentum Mantra</t>
  </si>
  <si>
    <t>INH000015598</t>
  </si>
  <si>
    <t>Manish Salvi</t>
  </si>
  <si>
    <t>G-127, Hatkeshwar Vihar, Daudkhedi</t>
  </si>
  <si>
    <t>9752881626m@gmail.com</t>
  </si>
  <si>
    <t>919752626768</t>
  </si>
  <si>
    <t>456006</t>
  </si>
  <si>
    <t>Mar 19, 2024</t>
  </si>
  <si>
    <t>NAME::MANISH SALVI PROPRIETOR OF MOMENTUM MANTRA</t>
  </si>
  <si>
    <t>Ghansham Joshi Prop of GJ's Techno Funda</t>
  </si>
  <si>
    <t>INH000016375</t>
  </si>
  <si>
    <t>Ghansham Joshi</t>
  </si>
  <si>
    <t>11, ABHISHEK, SHRAMIK SOCIETY UNITNO. 2,, NEAR BAGUL HOSPITAL, OFF. GANGAPUR ROAD,</t>
  </si>
  <si>
    <t>gjstechnofunda@gmail.com</t>
  </si>
  <si>
    <t>917020385397</t>
  </si>
  <si>
    <t>422013</t>
  </si>
  <si>
    <t>11, ABHISHEK, SHRAMIK SOCIETY UNITNO. 2, NEAR BAGUL HOSPITAL, OFF. GANGAPUR ROAD,</t>
  </si>
  <si>
    <t>NAME::GHANSHAM JOSHI PROP OF GJS TECHNO FUNDA</t>
  </si>
  <si>
    <t>Sanju Patel Proprietor of Beginning Research</t>
  </si>
  <si>
    <t>INH000016825</t>
  </si>
  <si>
    <t>Sanju Patel</t>
  </si>
  <si>
    <t>Nai Basti Bada Karila , Sant Ravidas Ward</t>
  </si>
  <si>
    <t>patelsanju9893@gmail.com</t>
  </si>
  <si>
    <t>917509343696</t>
  </si>
  <si>
    <t>SAGAR</t>
  </si>
  <si>
    <t>470002</t>
  </si>
  <si>
    <t>305, Princess Business Skyline, Block No 32 and 33, PU3 Commercial Scheme No 54, A B Road,</t>
  </si>
  <si>
    <t>NAME::SANJU PATEL PROPRIETOR OF BEGINNING RESEARCH</t>
  </si>
  <si>
    <t>Piyush Sanjaykumar Heda Proprietor of Mr. P Investments</t>
  </si>
  <si>
    <t>INH000017471</t>
  </si>
  <si>
    <t>Piyush Heda</t>
  </si>
  <si>
    <t>16 by 1563, Mahesh Nagar, Ichalkaranji</t>
  </si>
  <si>
    <t>piyushheda.ph@gmail.com</t>
  </si>
  <si>
    <t>917021806798</t>
  </si>
  <si>
    <t>ICHALKARANJI</t>
  </si>
  <si>
    <t>416115</t>
  </si>
  <si>
    <t>Jul 10, 2024</t>
  </si>
  <si>
    <t>NAME::PIYUSH SANJAYKUMAR HEDA PROPRIETOR OF MR P INVESTMENTS</t>
  </si>
  <si>
    <t>Gurvinder Malhotra, Proprietor of Contra Investing Research Services</t>
  </si>
  <si>
    <t>INH000017480</t>
  </si>
  <si>
    <t>Gurvinder  Malhotra</t>
  </si>
  <si>
    <t>H NO-7, AADARSH COLONY,NEAR BAINS FARM, ABLOWAL</t>
  </si>
  <si>
    <t>gurvinder.malhotra82@gmail.com</t>
  </si>
  <si>
    <t>917589301441</t>
  </si>
  <si>
    <t>PATIALA</t>
  </si>
  <si>
    <t>147001</t>
  </si>
  <si>
    <t>NAME::GURVINDER MALHOTRA PROPRIETOR OF CONTRA INVESTING RESEARCH SERVICES</t>
  </si>
  <si>
    <t>JATIN NARENDRA SHAH PROPRIETOR OF JATIN N SHAH AND ASSOCIATES</t>
  </si>
  <si>
    <t>INH000017912</t>
  </si>
  <si>
    <t>JATIN SHAH</t>
  </si>
  <si>
    <t>301, A2 Adinath Complex, Near Rina Park, Bhagdawada</t>
  </si>
  <si>
    <t>jatinshah2505@gmail.com</t>
  </si>
  <si>
    <t>919574598800</t>
  </si>
  <si>
    <t>396001</t>
  </si>
  <si>
    <t>NAME::JATIN NARENDRA SHAH PROPRIETOR OF JATIN N SHAH AND ASSOCIATES</t>
  </si>
  <si>
    <t>Adarsh Dey Proprietor or Wealthy Ways</t>
  </si>
  <si>
    <t>INH000018373</t>
  </si>
  <si>
    <t>ADARSH  DEYPROPRIETOR OR WEALTHY WAYS</t>
  </si>
  <si>
    <t>First Floor, EWS 40, Shriram Ram Nagar, Near Central School, Talabania, Puri</t>
  </si>
  <si>
    <t>wealthyways.adarsh@gmail.com</t>
  </si>
  <si>
    <t>917608849948</t>
  </si>
  <si>
    <t>752002</t>
  </si>
  <si>
    <t>NAME::ADARSH DEY PROPRIETOR OR WEALTHY WAYS</t>
  </si>
  <si>
    <t>Mahesh Sharma Proprietor of Pinkcity Research Analyst</t>
  </si>
  <si>
    <t>INH000018470</t>
  </si>
  <si>
    <t>MAHESH SHARMA</t>
  </si>
  <si>
    <t>Plot No. 7, Agra Road Ganeshpuri 1st, Jamdoli</t>
  </si>
  <si>
    <t>fcamaheshsharma@gmail.com</t>
  </si>
  <si>
    <t>918949871877</t>
  </si>
  <si>
    <t>302031</t>
  </si>
  <si>
    <t>NAME::MAHESH SHARMA PROPRIETOR OF PINKCITY RESEARCH ANALYST</t>
  </si>
  <si>
    <t>Taha Rahi Proprietor of Finarts Research</t>
  </si>
  <si>
    <t>INH000018780</t>
  </si>
  <si>
    <t>TAHA RAHI</t>
  </si>
  <si>
    <t>163, Officer Colony,, Bhagat Singh Ward Khurai</t>
  </si>
  <si>
    <t>taharahi1920@gmail.com</t>
  </si>
  <si>
    <t>0007489108446</t>
  </si>
  <si>
    <t>470117</t>
  </si>
  <si>
    <t>163, Officer Colony, Bhagat Singh Ward Khurai</t>
  </si>
  <si>
    <t>NAME::TAHA RAHI PROPRIETOR OF FINARTS RESEARCH</t>
  </si>
  <si>
    <t>Nishant Gupta Proprietor of Minerva Capital Research Solutions</t>
  </si>
  <si>
    <t>INH000018896</t>
  </si>
  <si>
    <t>Nishant Gupta</t>
  </si>
  <si>
    <t>87,29</t>
  </si>
  <si>
    <t>guptanishant.iimi@gmail.com</t>
  </si>
  <si>
    <t>918171433387</t>
  </si>
  <si>
    <t>121008</t>
  </si>
  <si>
    <t>Nov 19, 2024</t>
  </si>
  <si>
    <t>NAME::NISHANT GUPTA PROPRIETOR OF MINERVA CAPITAL RESEARCH SOLUTIONS</t>
  </si>
  <si>
    <t>Priyam Mehta Proprietor of Gapup Equity</t>
  </si>
  <si>
    <t>INH000019239</t>
  </si>
  <si>
    <t>Priyam  Mehta proprietor Gapup Equity</t>
  </si>
  <si>
    <t>Plot No 37, 38, Maa Kripa II Floor, Kalpatru Shopping Centre,</t>
  </si>
  <si>
    <t>Gapupequity@gmail.com</t>
  </si>
  <si>
    <t>918118853399</t>
  </si>
  <si>
    <t>Jan 02, 2025</t>
  </si>
  <si>
    <t>NAME::PRIYAM MEHTA PROPRIETOR OF GAPUP EQUITY</t>
  </si>
  <si>
    <t>Yogesh Nirwan Proprietor of Wealth Guru</t>
  </si>
  <si>
    <t>INH000019248</t>
  </si>
  <si>
    <t>Yogesh Nirwan</t>
  </si>
  <si>
    <t>Tower A 15 06 Himalaya Pride Socirty Noida Extension, Techzone4,Greater NoidaWest,Gautambudh nagar</t>
  </si>
  <si>
    <t>yogesh.yc33@gmail.com</t>
  </si>
  <si>
    <t>919899555396</t>
  </si>
  <si>
    <t>NAME::YOGESH NIRWAN PROPRIETOR OF WEALTH GURU</t>
  </si>
  <si>
    <t>G KALYANI PROPRIETOR OF FUSION X TECHNOLOGY</t>
  </si>
  <si>
    <t>INH000019293</t>
  </si>
  <si>
    <t>GKALYANI Kalyani</t>
  </si>
  <si>
    <t>Plot No 75, Sundar Nagar, West Kohka, Supela Bhilai</t>
  </si>
  <si>
    <t>g.kalyani2904@gmail.com</t>
  </si>
  <si>
    <t>919826729201</t>
  </si>
  <si>
    <t>490023</t>
  </si>
  <si>
    <t>NAME::G KALYANI PROPRIETOR OF FUSION X TECHNOLOGY</t>
  </si>
  <si>
    <t>Vivek Rana Proprietor of Investment Mirrors Research</t>
  </si>
  <si>
    <t>INH000019363</t>
  </si>
  <si>
    <t>Vivek Rana  Proprietor of Investment Mirrors Resear</t>
  </si>
  <si>
    <t>Shop No 01, New Bus Stand, Sharda Puram</t>
  </si>
  <si>
    <t>infoinvestmentmirrors@gmail.com</t>
  </si>
  <si>
    <t>919220363146</t>
  </si>
  <si>
    <t>486001</t>
  </si>
  <si>
    <t>Jan 14, 2025</t>
  </si>
  <si>
    <t>NAME::VIVEK RANA PROPRIETOR OF INVESTMENT MIRRORS RESEARCH</t>
  </si>
  <si>
    <t>Rahul Porwal Proprietor The Reliable Research</t>
  </si>
  <si>
    <t>INH000019372</t>
  </si>
  <si>
    <t>Rahul Porwal  Proprietor The Reliable Research</t>
  </si>
  <si>
    <t>58, Parvana Nagar, Sanwer Road,</t>
  </si>
  <si>
    <t>ra.rahulporwal88@gmail.com</t>
  </si>
  <si>
    <t>919179738143</t>
  </si>
  <si>
    <t>NAME::RAHUL PORWAL PROPRIETOR THE RELIABLE RESEARCH</t>
  </si>
  <si>
    <t>Rukhsar Tajmulwasik Pathan Proprietor of Trade Research Academy</t>
  </si>
  <si>
    <t>INH000019479</t>
  </si>
  <si>
    <t>Rukhsar Pathan</t>
  </si>
  <si>
    <t>HouseNo286,Musalman Galli, Pimplegao Baswant</t>
  </si>
  <si>
    <t>traderesearch07@gmail.com</t>
  </si>
  <si>
    <t>919096767161</t>
  </si>
  <si>
    <t>422209</t>
  </si>
  <si>
    <t>Jan 24, 2025</t>
  </si>
  <si>
    <t>NAME::RUKHSAR TAJMULWASIK PATHAN PROPRIETOR OF TRADE RESEARCH ACADEMY</t>
  </si>
  <si>
    <t>Idrees Doulatganj Wala Proprietor of MI Grow Wealth</t>
  </si>
  <si>
    <t>INH000019840</t>
  </si>
  <si>
    <t>IDREES WALA</t>
  </si>
  <si>
    <t>2, Kalidas Marg, behind A.K. Building, Freeganj</t>
  </si>
  <si>
    <t>migrowwealth@gmail.com</t>
  </si>
  <si>
    <t>919589940847</t>
  </si>
  <si>
    <t>NAME::IDREES DOULATGANJ WALA PROPRIETOR OF MI GROW WEALTH</t>
  </si>
  <si>
    <t>Vaibhav Sandipan Mote Proprietor of Profit Booster Analysis</t>
  </si>
  <si>
    <t>INH000019895</t>
  </si>
  <si>
    <t>VAIBHAV MOTE</t>
  </si>
  <si>
    <t>Mote galli, Near D.N. Dada Pargaon, TQ. Washi Pargaon</t>
  </si>
  <si>
    <t>cavaibhavmote@gmail.com</t>
  </si>
  <si>
    <t>919209648922</t>
  </si>
  <si>
    <t>LATUR</t>
  </si>
  <si>
    <t>413501</t>
  </si>
  <si>
    <t>NAME::VAIBHAV SANDIPAN MOTE PROPRIETOR OF PROFIT BOOSTER ANALYSIS</t>
  </si>
  <si>
    <t>Vivek Kumar Singh Proprietor of Systematic Trader Vivek</t>
  </si>
  <si>
    <t>INH000020156</t>
  </si>
  <si>
    <t>Vivek Singh</t>
  </si>
  <si>
    <t>Shop No.3 , White House, Road No. 4 , Hari Om Nagar, Adityapur 1</t>
  </si>
  <si>
    <t>viveksinghtrader@gmail.com</t>
  </si>
  <si>
    <t>918210687231</t>
  </si>
  <si>
    <t>JAMSHEDPUR</t>
  </si>
  <si>
    <t>831013</t>
  </si>
  <si>
    <t>NAME::VIVEK KUMAR SINGH PROPRIETOR OF SYSTEMATIC TRADER VIVEK</t>
  </si>
  <si>
    <t>Ankita Ashwin Jain Proprietor of Sanchitam Wealth</t>
  </si>
  <si>
    <t>INH000020271</t>
  </si>
  <si>
    <t>Ankita Jain</t>
  </si>
  <si>
    <t>52,3.3, Ujwaldeep, Shrawgi Plot, Tower Chowk, Next to Dr. Sarlatai Deshmukh Memorial Hosp.</t>
  </si>
  <si>
    <t>ra.ankita.jain@gmail.com</t>
  </si>
  <si>
    <t>919673997742</t>
  </si>
  <si>
    <t>AKOLA</t>
  </si>
  <si>
    <t>444001</t>
  </si>
  <si>
    <t>NAME::ANKITA ASHWIN JAIN PROPRIETOR OF SANCHITAM WEALTH</t>
  </si>
  <si>
    <t>Saurabh Saha Proprietor of Mark Research</t>
  </si>
  <si>
    <t>INH000020314</t>
  </si>
  <si>
    <t>Saurabh Saha</t>
  </si>
  <si>
    <t>44 Bangali colony</t>
  </si>
  <si>
    <t>themarkresearch@gmail.com</t>
  </si>
  <si>
    <t>918770094893</t>
  </si>
  <si>
    <t>NAME::SAURABH SAHA PROPRIETOR OF MARK RESEARCH</t>
  </si>
  <si>
    <t>Nikhil Kumar Sahu of Proprietor of Raistocks.com</t>
  </si>
  <si>
    <t>INH000020396</t>
  </si>
  <si>
    <t>NIKHIL SAHU</t>
  </si>
  <si>
    <t>H NO 236 WARD NO 12 PALAUD, NAYA RAIPUR RAIPUR</t>
  </si>
  <si>
    <t>nikhil4aug@gmail.com</t>
  </si>
  <si>
    <t>919985160343</t>
  </si>
  <si>
    <t>492101</t>
  </si>
  <si>
    <t>May 13, 2025</t>
  </si>
  <si>
    <t>NAME::NIKHIL KUMAR SAHU OF PROPRIETOR OF RAISTOCKS COM</t>
  </si>
  <si>
    <t>Shubham Agrawal proprietor of Shubh Technical Research</t>
  </si>
  <si>
    <t>INH000020411</t>
  </si>
  <si>
    <t>Shubham Agrawal</t>
  </si>
  <si>
    <t>Ward No. 24, Behind Hariram Mandir Natho Talab,, Sujangarh, Churu, Rajasthan</t>
  </si>
  <si>
    <t>shubhammiranka@gmail.com</t>
  </si>
  <si>
    <t>917976791992</t>
  </si>
  <si>
    <t>Churu</t>
  </si>
  <si>
    <t>331057</t>
  </si>
  <si>
    <t>Ward No. 24, Behind Hariram Mandir Natho Talab, Sujangarh, Churu, Rajasthan</t>
  </si>
  <si>
    <t>NAME::SHUBHAM AGRAWAL PROPRIETOR OF SHUBH TECHNICAL RESEARCH</t>
  </si>
  <si>
    <t>VIPUL NANDAN PROPRIETOR NANDAN WEALTH</t>
  </si>
  <si>
    <t>INH000020518</t>
  </si>
  <si>
    <t>Vipul  Nandan</t>
  </si>
  <si>
    <t>HOUSE NO 11, OLANDGANJ</t>
  </si>
  <si>
    <t>vipnandan@gmail.com</t>
  </si>
  <si>
    <t>919911562044</t>
  </si>
  <si>
    <t>VARANASI</t>
  </si>
  <si>
    <t>222002</t>
  </si>
  <si>
    <t>NAME::VIPUL NANDAN PROPRIETOR NANDAN WEALTH</t>
  </si>
  <si>
    <t>Akash Dilip Bacha Proprietor of  Wealth Origin Financial Service</t>
  </si>
  <si>
    <t>INH000020572</t>
  </si>
  <si>
    <t>Akash Bacha</t>
  </si>
  <si>
    <t>S No 07, Lower Ground Asian Mall Behind KBN Hospital, Kalaburagi, Karnataka</t>
  </si>
  <si>
    <t>akashbacha46@gmail.com</t>
  </si>
  <si>
    <t>919880886714</t>
  </si>
  <si>
    <t>GULBARGA</t>
  </si>
  <si>
    <t>585102</t>
  </si>
  <si>
    <t>NAME::AKASH DILIP BACHA PROPRIETOR OF WEALTH ORIGIN FINANCIAL SERVICE</t>
  </si>
  <si>
    <t>DR. SANDESH KEDIA Proprietor of KEDIA RESEARCH &amp; LEARNING HUB</t>
  </si>
  <si>
    <t>INH000020882</t>
  </si>
  <si>
    <t>SANDESH KEDIA</t>
  </si>
  <si>
    <t>PLOT NO 69 PRAVIN NAGAR, NEAR SHRI VITTHAL RUKMINI MANDIR VMV</t>
  </si>
  <si>
    <t>kedia.sandesh@gmail.com</t>
  </si>
  <si>
    <t>919881124026</t>
  </si>
  <si>
    <t>444604</t>
  </si>
  <si>
    <t>NAME::DR SANDESH KEDIA PROPRIETOR OF KEDIA RESEARCH LEARNING HUB</t>
  </si>
  <si>
    <t>Hardeep Singh Proprietor of HS Fintech</t>
  </si>
  <si>
    <t>INH000020952</t>
  </si>
  <si>
    <t>Hardeep Singh</t>
  </si>
  <si>
    <t>FA 68 SF Signature Global , sector 28</t>
  </si>
  <si>
    <t>investaru30@gmail.com</t>
  </si>
  <si>
    <t>917428862939</t>
  </si>
  <si>
    <t>KARNAL</t>
  </si>
  <si>
    <t>132001</t>
  </si>
  <si>
    <t>NAME::HARDEEP SINGH PROPRIETOR OF HS FINTECH</t>
  </si>
  <si>
    <t>Sachin Ramchandra Naik Proprietor of Intliri Academy</t>
  </si>
  <si>
    <t>INH000021119</t>
  </si>
  <si>
    <t>Sachin Naik</t>
  </si>
  <si>
    <t>28, Jyotiba Colony, By Pass Road Near Shantinagar,, Rukhmini Nagar S.o Amravati Maaharsahtra</t>
  </si>
  <si>
    <t>sachinnaik2882@gmail.com</t>
  </si>
  <si>
    <t>919985828882</t>
  </si>
  <si>
    <t>444606</t>
  </si>
  <si>
    <t>28, Jyotiba Colony, By Pass Road Near Shantinagar, Rukhmini Nagar S.o Amravati Maaharsahtra</t>
  </si>
  <si>
    <t>NAME::SACHIN RAMCHANDRA NAIK PROPRIETOR OF INTLIRI ACADEMY</t>
  </si>
  <si>
    <t>Manoj Rathore Proprietor Market Mentor Research &amp; Academy</t>
  </si>
  <si>
    <t>INH000021492</t>
  </si>
  <si>
    <t>Manoj Rathore</t>
  </si>
  <si>
    <t>71 Balaji Tower Sector C, Indrapuri</t>
  </si>
  <si>
    <t>marketmentorresearch45@gmail.com</t>
  </si>
  <si>
    <t>919111666608</t>
  </si>
  <si>
    <t>462001</t>
  </si>
  <si>
    <t>NAME::MANOJ RATHORE PROPRIETOR MARKET MENTOR RESEARCH ACADEMY</t>
  </si>
  <si>
    <t>HEMLATA SOMANI Proprietor of STOCKAXIS VENTURES</t>
  </si>
  <si>
    <t>INH000021711</t>
  </si>
  <si>
    <t>Hemlata  Somani</t>
  </si>
  <si>
    <t>Parakhet, Near RICCO industrial Chouraha, Kaladwas</t>
  </si>
  <si>
    <t>hemlata.somani46@gmail.com</t>
  </si>
  <si>
    <t>0919460362385</t>
  </si>
  <si>
    <t>NAME::HEMLATA SOMANI PROPRIETOR OF STOCKAXIS VENTURES</t>
  </si>
  <si>
    <t>Penagaluru Venkata Raviteja Proprietor OF  PVR Advisory</t>
  </si>
  <si>
    <t>INH000021890</t>
  </si>
  <si>
    <t>Penagaluru Raviteja</t>
  </si>
  <si>
    <t>6/133-C Sankarapuram, Kadapa</t>
  </si>
  <si>
    <t>pvradvisory9@gmail.com</t>
  </si>
  <si>
    <t>916303341576</t>
  </si>
  <si>
    <t>NAME::PENAGALURU VENKATA RAVITEJA PROPRIETOR OF PVR ADVISORY</t>
  </si>
  <si>
    <t>Joshi Nirav Bharatkumar Proprietor of Kutch Capital Research</t>
  </si>
  <si>
    <t>INH000021924</t>
  </si>
  <si>
    <t>JOSHI NIRAV BHARATKUMAR Proprietor of Kutch Capital Research</t>
  </si>
  <si>
    <t>Jay Ambe, C-193, Raghuvanshi Nagar, New Ravalvadi,, Bhuj, Kutch</t>
  </si>
  <si>
    <t>Kutchcapitalresearch@gmail.com</t>
  </si>
  <si>
    <t>919624456457</t>
  </si>
  <si>
    <t>BHUJ</t>
  </si>
  <si>
    <t>370001</t>
  </si>
  <si>
    <t>Flat No 6/702, Balaji Garden Society, New Ayre Road, Near Kopar Railway Station, Dombivli (E)</t>
  </si>
  <si>
    <t>421201</t>
  </si>
  <si>
    <t>Jul 16, 2025</t>
  </si>
  <si>
    <t>NAME::JOSHI NIRAV BHARATKUMAR PROPRIETOR OF KUTCH CAPITAL RESEARCH</t>
  </si>
  <si>
    <t>Jitendra Parmar Proprietor of Galaxy Research</t>
  </si>
  <si>
    <t>INH000022084</t>
  </si>
  <si>
    <t>Jitendra Parmar</t>
  </si>
  <si>
    <t>1 LIG II Atirikat Vishv Bank Colony, Agar Road</t>
  </si>
  <si>
    <t>galaxyresearch05@gmail.com</t>
  </si>
  <si>
    <t>919826265656</t>
  </si>
  <si>
    <t>NAME::JITENDRA PARMAR PROPRIETOR OF GALAXY RESEARCH</t>
  </si>
  <si>
    <t>Inzamamul Haque Proprietor of The Indicators</t>
  </si>
  <si>
    <t>INH000022206</t>
  </si>
  <si>
    <t>Inzamamul  Haque</t>
  </si>
  <si>
    <t>S-18,19,20 , SECOND FLOOR , GURU KRIPA PLAZA ,, PLOT NO. 48-A , ZONE-2 , MP NAGAR ,</t>
  </si>
  <si>
    <t>inzamamul786@gmail.com</t>
  </si>
  <si>
    <t>916261619885</t>
  </si>
  <si>
    <t>462011</t>
  </si>
  <si>
    <t>S-18,19,20 , SECOND FLOOR , GURU KRIPA PLAZA , PLOT NO. 48-A , ZONE-2 , MP NAGAR ,</t>
  </si>
  <si>
    <t>NAME::INZAMAMUL HAQUE PROPRIETOR OF THE INDICATORS</t>
  </si>
  <si>
    <t>Javed Nasim Shaikh Proprietor of Stockvix</t>
  </si>
  <si>
    <t>INH000022473</t>
  </si>
  <si>
    <t>Javed Shaikh</t>
  </si>
  <si>
    <t>B 106, Mangal Kutir CHS LTD, Ram Mandir Road, Near Old Viva College, Virar West</t>
  </si>
  <si>
    <t>javedshaikh644@gmail.com</t>
  </si>
  <si>
    <t>918080091110</t>
  </si>
  <si>
    <t>VASAI-VIRAR</t>
  </si>
  <si>
    <t>401303</t>
  </si>
  <si>
    <t>NAME::JAVED NASIM SHAIKH PROPRIETOR OF STOCKVIX</t>
  </si>
  <si>
    <t>YASH RAJABHAI HINDUJA PROPRIETOR RUDRASTOX ADVISORY</t>
  </si>
  <si>
    <t>INH000022516</t>
  </si>
  <si>
    <t>YASH HINDUJA</t>
  </si>
  <si>
    <t>INSIDE BEDINAKA, HANUMAN STREET DT-009 C2-002</t>
  </si>
  <si>
    <t>kegifting@gmail.com</t>
  </si>
  <si>
    <t>919428200004</t>
  </si>
  <si>
    <t>NAME::YASH RAJABHAI HINDUJA PROPRIETOR RUDRASTOX ADVISORY</t>
  </si>
  <si>
    <t>Sagar SP proprietor Dravinam</t>
  </si>
  <si>
    <t>INH000022774</t>
  </si>
  <si>
    <t>Sagar S P</t>
  </si>
  <si>
    <t>Khatano 8138,B112,1st Floor,4th Shop, Swami Vivekananda , Badawane, Gopala, Shivamogga,</t>
  </si>
  <si>
    <t>sagarindia10@gmail.com</t>
  </si>
  <si>
    <t>SHIVAMOGGA</t>
  </si>
  <si>
    <t>577205</t>
  </si>
  <si>
    <t>NAME::SAGAR SP PROPRIETOR DRAVINAM</t>
  </si>
  <si>
    <t>ARAVIND B Proprietor of ARAVIND ADVISORY SERVICES</t>
  </si>
  <si>
    <t>INH000022853</t>
  </si>
  <si>
    <t>ARAVIND BALAKRISHNA</t>
  </si>
  <si>
    <t>House No 533 of Ward No III Chirakkadavu Grama, Panchayat,Vadakkumbagom Kara,Ponkunnam PO</t>
  </si>
  <si>
    <t>aravindbpkm@gmail.com</t>
  </si>
  <si>
    <t>917736737678</t>
  </si>
  <si>
    <t>686506</t>
  </si>
  <si>
    <t>NAME::ARAVIND B PROPRIETOR OF ARAVIND ADVISORY SERVICES</t>
  </si>
  <si>
    <t>Mangesh Rajendra Naik Proprietor of Greenwealth Research Services</t>
  </si>
  <si>
    <t>INH000022978</t>
  </si>
  <si>
    <t>Mangesh Naik</t>
  </si>
  <si>
    <t>Office No. 202, 1st floor, city center, kalkai chowk, Shrigonda</t>
  </si>
  <si>
    <t>camangeshnaik@gmail.com</t>
  </si>
  <si>
    <t>918793272762</t>
  </si>
  <si>
    <t>AHMEDNAGAR</t>
  </si>
  <si>
    <t>413701</t>
  </si>
  <si>
    <t>NAME::MANGESH RAJENDRA NAIK PROPRIETOR OF GREENWEALTH RESEARCH SERVICES</t>
  </si>
  <si>
    <t>Ritesh Kumar Proprietor Finskool21</t>
  </si>
  <si>
    <t>INH000022987</t>
  </si>
  <si>
    <t>Ritesh Kumar</t>
  </si>
  <si>
    <t>C9 803 SRS RESIDENCY SECTOR 88</t>
  </si>
  <si>
    <t>riteshkumar1003@gmail.com</t>
  </si>
  <si>
    <t>919810848958</t>
  </si>
  <si>
    <t>NAME::RITESH KUMAR PROPRIETOR FINSKOOL21</t>
  </si>
  <si>
    <t>VIDIT DANGAYACH Proprietor WealthAlpha</t>
  </si>
  <si>
    <t>INH000022996</t>
  </si>
  <si>
    <t>VIDIT DANGAYACH</t>
  </si>
  <si>
    <t>115,burmese colony,, opp sethi colony</t>
  </si>
  <si>
    <t>ca.vidit007@gmail.com</t>
  </si>
  <si>
    <t>917737229270</t>
  </si>
  <si>
    <t>115,burmese colony, opp sethi colony</t>
  </si>
  <si>
    <t>NAME::VIDIT DANGAYACH PROPRIETOR WEALTHALPHA</t>
  </si>
  <si>
    <t>CHINTAN MAHESH BAJAJ PROPRIETOR OF NIRVANA RESEARCH</t>
  </si>
  <si>
    <t>INH000023649</t>
  </si>
  <si>
    <t>CHINTAN BAJAJ</t>
  </si>
  <si>
    <t>SHOP NO 1, ANAND NIWAS APPT, SR.NO 798/3, PL.NO 5 6, GOVIND NAGAR, Nashik M</t>
  </si>
  <si>
    <t>chintanbajaj99@gmail.com</t>
  </si>
  <si>
    <t>918888898007</t>
  </si>
  <si>
    <t>422009</t>
  </si>
  <si>
    <t>NAME::CHINTAN MAHESH BAJAJ PROPRIETOR OF NIRVANA RESEARCH</t>
  </si>
  <si>
    <t>SIDDHARTH JAIN PROPRIETOR MAGICFIN INDIA RESEARCH</t>
  </si>
  <si>
    <t>INH000023694</t>
  </si>
  <si>
    <t>SIDDHARTH JAIN</t>
  </si>
  <si>
    <t>PN D615/OLD DB 175, JAGATPURA, SIDDHARTH NAGAR</t>
  </si>
  <si>
    <t>magicfinindiaresearch@gmail.com</t>
  </si>
  <si>
    <t>918000186844</t>
  </si>
  <si>
    <t>302017</t>
  </si>
  <si>
    <t>Oct 29, 2025</t>
  </si>
  <si>
    <t>NAME::SIDDHARTH JAIN PROPRIETOR MAGICFIN INDIA RESEARCH</t>
  </si>
  <si>
    <t>Namita Rathore Proprietor of Bharat Stock Market Research</t>
  </si>
  <si>
    <t>INH000023728</t>
  </si>
  <si>
    <t>Namita Rathore</t>
  </si>
  <si>
    <t>HOUSE NO 223, QILA CHAWNI NEAR HOLI CHOWK WARD NO 47, RAMPUR ROAD</t>
  </si>
  <si>
    <t>namitarathore05071992@gmail.com</t>
  </si>
  <si>
    <t>919457296893</t>
  </si>
  <si>
    <t>243001</t>
  </si>
  <si>
    <t>NAME::NAMITA RATHORE PROPRIETOR OF BHARAT STOCK MARKET RESEARCH</t>
  </si>
  <si>
    <t>Shubham Manojkumar Jain Proprietor of Turn It Green</t>
  </si>
  <si>
    <t>INH000023782</t>
  </si>
  <si>
    <t>Shubham Jain</t>
  </si>
  <si>
    <t>1919 1972, Bazar Peth, Main Road, Chopda</t>
  </si>
  <si>
    <t>shuubhaamjain@gmail.com</t>
  </si>
  <si>
    <t>917066155732</t>
  </si>
  <si>
    <t>JALGAON</t>
  </si>
  <si>
    <t>425107</t>
  </si>
  <si>
    <t>Nov 11, 2025</t>
  </si>
  <si>
    <t>NAME::SHUBHAM MANOJKUMAR JAIN PROPRIETOR OF TURN IT GREEN</t>
  </si>
  <si>
    <t>Rohit Parmar Proprietor of Unique Research</t>
  </si>
  <si>
    <t>INH000023870</t>
  </si>
  <si>
    <t>Rohit Parmar</t>
  </si>
  <si>
    <t>18/A,, Mahalaxmi Nagar Sector A Dewas</t>
  </si>
  <si>
    <t>adityarohit1432@gmail.com</t>
  </si>
  <si>
    <t>917415391143</t>
  </si>
  <si>
    <t>DEWAS</t>
  </si>
  <si>
    <t>455001</t>
  </si>
  <si>
    <t>NAME::ROHIT PARMAR PROPRIETOR OF UNIQUE RESEARCH</t>
  </si>
  <si>
    <t>Kolhe Roshni Balasaheb Proprietor of Kolhe Advisory and Research</t>
  </si>
  <si>
    <t>INH000024000</t>
  </si>
  <si>
    <t>Roshni Kolhe</t>
  </si>
  <si>
    <t>Ves-Soygaon, Tal-Kopargaon</t>
  </si>
  <si>
    <t>roshanikolhe11@gmail.com</t>
  </si>
  <si>
    <t>917821922950</t>
  </si>
  <si>
    <t>423605</t>
  </si>
  <si>
    <t>Dec 05, 2025</t>
  </si>
  <si>
    <t>NAME::KOLHE ROSHNI BALASAHEB PROPRIETOR OF KOLHE ADVISORY AND RESEARCH</t>
  </si>
  <si>
    <t>Sonu Sharma Proprietor Ms SMP Research Solution</t>
  </si>
  <si>
    <t>INH000024055</t>
  </si>
  <si>
    <t>Sonu Sharma</t>
  </si>
  <si>
    <t>OFFICE NO 9, SARVOTTAM ENCLAVE, ADARSH MILL ROAD, GHOSIPURA, GWALIOR</t>
  </si>
  <si>
    <t>02rahulsharma02@gmail.com</t>
  </si>
  <si>
    <t>919074079011</t>
  </si>
  <si>
    <t>474008</t>
  </si>
  <si>
    <t>NAME::SONU SHARMA PROPRIETOR MS SMP RESEARCH SOLUTION</t>
  </si>
  <si>
    <t>Ayushi Agrawal Proprietor of Agrawal Money Grow</t>
  </si>
  <si>
    <t>INH000024213</t>
  </si>
  <si>
    <t>Ayushi Agrawal</t>
  </si>
  <si>
    <t>Makan No. 04 Ward No. 36, Kavi Kalidas Marg, Dewas,</t>
  </si>
  <si>
    <t>agrawalmoneygrow1628@gmail.com</t>
  </si>
  <si>
    <t>919893324274</t>
  </si>
  <si>
    <t>NAME::AYUSHI AGRAWAL PROPRIETOR OF AGRAWAL MONEY GROW</t>
  </si>
  <si>
    <t>Alok Singh Proprietor Alpha Core Research</t>
  </si>
  <si>
    <t>INH000024301</t>
  </si>
  <si>
    <t>Alok  Singh</t>
  </si>
  <si>
    <t>A-173 Nirupam Royal Palm Jatkhedi Road Bhopal</t>
  </si>
  <si>
    <t>alpha.research2025@gmail.com</t>
  </si>
  <si>
    <t>919111588300</t>
  </si>
  <si>
    <t>462926</t>
  </si>
  <si>
    <t>NAME::ALOK SINGH PROPRIETOR ALPHA CORE RESEARCH</t>
  </si>
  <si>
    <t>Vishnu Shreekar Proprietor of Equitas Research</t>
  </si>
  <si>
    <t>INH000024329</t>
  </si>
  <si>
    <t>Vishnu Shreekar</t>
  </si>
  <si>
    <t>248, Khutpala, Gram Khutpala, Dhar</t>
  </si>
  <si>
    <t>vishnushreekar8@gmail.com</t>
  </si>
  <si>
    <t>919179429815</t>
  </si>
  <si>
    <t>DHAR</t>
  </si>
  <si>
    <t>454111</t>
  </si>
  <si>
    <t>NAME::VISHNU SHREEKAR PROPRIETOR OF EQUITAS RESEARCH</t>
  </si>
  <si>
    <t>GODINA KODANDAPANI PROPRIETOR FACTO RESEARCH</t>
  </si>
  <si>
    <t>INH000024480</t>
  </si>
  <si>
    <t>GODINA KODANDAPANI</t>
  </si>
  <si>
    <t>Door-Shop No. 7, SNO 432/4 Plot No. 6, Opp JNTU College, K M Colony, Anantapur Rural</t>
  </si>
  <si>
    <t>info.factoresearch@gmail.com</t>
  </si>
  <si>
    <t>919959937373</t>
  </si>
  <si>
    <t>ANANTAPUR</t>
  </si>
  <si>
    <t>515002</t>
  </si>
  <si>
    <t>NAME::GODINA KODANDAPANI PROPRIETOR FACTO RESEARCH</t>
  </si>
  <si>
    <t>Ravinder Sharma Proprietor of Trade Verse</t>
  </si>
  <si>
    <t>INH000024578</t>
  </si>
  <si>
    <t>Ravinder Sharma</t>
  </si>
  <si>
    <t>Mho Moti Nagar, Singhana Road, Near BRS Honda</t>
  </si>
  <si>
    <t>trade.verse2407@gmail.com</t>
  </si>
  <si>
    <t>919729008077</t>
  </si>
  <si>
    <t>NARNAUL</t>
  </si>
  <si>
    <t>123001</t>
  </si>
  <si>
    <t>NAME::RAVINDER SHARMA PROPRIETOR OF TRADE VERSE</t>
  </si>
  <si>
    <t>H K RIYAZ SALAM PROPRIETOR OF EQUITY ALFA ANALYTICS</t>
  </si>
  <si>
    <t>INH000024985</t>
  </si>
  <si>
    <t>H K RIYAZ SALAM</t>
  </si>
  <si>
    <t>15 1 117, Buden Bhavi Street, 15th Ward, Rayadurgam</t>
  </si>
  <si>
    <t>riyazsalam.hk@gmail.com</t>
  </si>
  <si>
    <t>919292907841</t>
  </si>
  <si>
    <t>515865</t>
  </si>
  <si>
    <t>NAME::H K RIYAZ SALAM PROPRIETOR OF EQUITY ALFA ANALYTICS</t>
  </si>
  <si>
    <t>Riddhi J Chovatia Proprietor of MarketWiz Capital</t>
  </si>
  <si>
    <t>INH000024994</t>
  </si>
  <si>
    <t>Riddhi  Chovatia</t>
  </si>
  <si>
    <t>411, Varun Arcade, Opp. Panchnath Mahadev Temple, Nr. Limda Chowk</t>
  </si>
  <si>
    <t>marketwizcapital@gmail.com</t>
  </si>
  <si>
    <t>NAME::RIDDHI J CHOVATIA PROPRIETOR OF MARKETWIZ CAPITAL</t>
  </si>
  <si>
    <t>Vishal Jagannath Khapre proprietor of SafeInvex Research</t>
  </si>
  <si>
    <t>INH000025036</t>
  </si>
  <si>
    <t>Vishal  Khapre</t>
  </si>
  <si>
    <t>Serve No 508 Dnyaneshwar Nagar Sakhala Plot Parali Gate</t>
  </si>
  <si>
    <t>vishu.khapre@gmail.com</t>
  </si>
  <si>
    <t>919420809501</t>
  </si>
  <si>
    <t>PARBHANI</t>
  </si>
  <si>
    <t>431401</t>
  </si>
  <si>
    <t>NAME::VISHAL JAGANNATH KHAPRE PROPRIETOR OF SAFEINVEX RESEARCH</t>
  </si>
  <si>
    <t>Shoeb Abdul Rahim Shaikh Proprietor of Winvest Capitals</t>
  </si>
  <si>
    <t>INH000025124</t>
  </si>
  <si>
    <t>Shoeb Shaikh</t>
  </si>
  <si>
    <t>401-A 4TH FLOOR, GURUDATTA  PLAZA, , BESIDE HP PETROL PUMP, GANESH  COLONY  ROAD</t>
  </si>
  <si>
    <t>winvestcapitals25@gmail.com</t>
  </si>
  <si>
    <t>919579557272</t>
  </si>
  <si>
    <t>425001</t>
  </si>
  <si>
    <t>Feb 23, 2026</t>
  </si>
  <si>
    <t>NAME::SHOEB ABDUL RAHIM SHAIKH PROPRIETOR OF WINVEST CAPITALS</t>
  </si>
  <si>
    <t>VASANTH B PROPRIETOR OF VV RESEARCH ANALYST</t>
  </si>
  <si>
    <t>INH000025319</t>
  </si>
  <si>
    <t>Vasanth BASKARAN</t>
  </si>
  <si>
    <t>65 65 Patti street, Sivakasi</t>
  </si>
  <si>
    <t>vvresearchanalyst24@gmail.com</t>
  </si>
  <si>
    <t>626123</t>
  </si>
  <si>
    <t>Mar 10, 2026</t>
  </si>
  <si>
    <t>NAME::VASANTH B PROPRIETOR OF VV RESEARCH ANALYST</t>
  </si>
  <si>
    <t>Priyanshu Mishra Proprietor of Equity Sphere Research Services</t>
  </si>
  <si>
    <t>INH000025373</t>
  </si>
  <si>
    <t>Priyanshu Mishra</t>
  </si>
  <si>
    <t>262 Nauva Baraon ,Karchhana</t>
  </si>
  <si>
    <t>equitysphereservices@gmail.com</t>
  </si>
  <si>
    <t>007905601605</t>
  </si>
  <si>
    <t>PRAYAGRAJ</t>
  </si>
  <si>
    <t>212301</t>
  </si>
  <si>
    <t>NAME::PRIYANSHU MISHRA PROPRIETOR OF EQUITY SPHERE RESEARCH SERVICES</t>
  </si>
  <si>
    <t>PRAVIN PATHUBHAI KATARIYA PROPRIETOR OF RADHE SHYAM CONSULTANCY</t>
  </si>
  <si>
    <t>INH000025504</t>
  </si>
  <si>
    <t>PRAVIN KATARIYA</t>
  </si>
  <si>
    <t>Shop No 506 Rathod Chamber, Gondal Road</t>
  </si>
  <si>
    <t>radheshyamconsultancy7@gmail.com</t>
  </si>
  <si>
    <t>Mar 14, 2026</t>
  </si>
  <si>
    <t>NAME::PRAVIN PATHUBHAI KATARIYA PROPRIETOR OF RADHE SHYAM CONSULTANCY</t>
  </si>
  <si>
    <t>Priyanshu Sharma Proprietor of ResearchAxis.in</t>
  </si>
  <si>
    <t>INH000025638</t>
  </si>
  <si>
    <t>Priyanshu Sharma</t>
  </si>
  <si>
    <t>House no. 582, Phase 2, Sector 54</t>
  </si>
  <si>
    <t>researchaxis@outlook.com</t>
  </si>
  <si>
    <t>Mar 27, 2026</t>
  </si>
  <si>
    <t>NAME::PRIYANSHU SHARMA PROPRIETOR OF RESEARCHAXIS IN</t>
  </si>
  <si>
    <t>Tejas Atulbhai Patel Proprietor of Rey Capitals</t>
  </si>
  <si>
    <t>INH000025920</t>
  </si>
  <si>
    <t>TEJAS  PATEL</t>
  </si>
  <si>
    <t>Rey Capitals, 405  Unity Prime, Opp., Wockhardt Hospital, Kalawad Road</t>
  </si>
  <si>
    <t>reycapitals@gmail.com</t>
  </si>
  <si>
    <t>0009898986187</t>
  </si>
  <si>
    <t>NAME::TEJAS ATULBHAI PATEL PROPRIETOR OF REY CAPITALS</t>
  </si>
  <si>
    <t>Sanchit Chopra Proprietor of TWS Research And Analysts</t>
  </si>
  <si>
    <t>INH000026017</t>
  </si>
  <si>
    <t>Sanchit Chopra</t>
  </si>
  <si>
    <t>230 Dada Colony, Industrial Area, Jalandhar, Punjab</t>
  </si>
  <si>
    <t>tradewithsanchit@gmail.com</t>
  </si>
  <si>
    <t>JALANDHAR</t>
  </si>
  <si>
    <t>144004</t>
  </si>
  <si>
    <t>NAME::SANCHIT CHOPRA PROPRIETOR OF TWS RESEARCH AND ANALYSTS</t>
  </si>
  <si>
    <t>Raghawendra Trivedi Proprietor of Trade Yug Research</t>
  </si>
  <si>
    <t>INH000026309</t>
  </si>
  <si>
    <t>Raghawendra Trivedi</t>
  </si>
  <si>
    <t>Maxi Road, Near Radhaswami Panvasa, Ujjain Dist</t>
  </si>
  <si>
    <t>raghavtrivedi26@gmail.com</t>
  </si>
  <si>
    <t>009827977997</t>
  </si>
  <si>
    <t>NAME::RAGHAWENDRA TRIVEDI PROPRIETOR OF TRADE YUG RESEARCH</t>
  </si>
  <si>
    <t>Sunil Nagar Proprietor of Market Vision Research</t>
  </si>
  <si>
    <t>INH000026363</t>
  </si>
  <si>
    <t>Sunil  Nagar Proprietor of Market Vision Research</t>
  </si>
  <si>
    <t>273 LIG Vikas Naga</t>
  </si>
  <si>
    <t>marketvisionresearch025@gmail.com</t>
  </si>
  <si>
    <t>919669194961</t>
  </si>
  <si>
    <t>NAME::SUNIL NAGAR PROPRIETOR OF MARKET VISION RESEARCH</t>
  </si>
  <si>
    <t>Wasim Shah Proprietor MoneyScals Investment and Research</t>
  </si>
  <si>
    <t>INH000026558</t>
  </si>
  <si>
    <t>Wasim Shah</t>
  </si>
  <si>
    <t>Ward No 15, Pahadiyan Road Jaora Ratlam</t>
  </si>
  <si>
    <t>moneyscals@gmail.com</t>
  </si>
  <si>
    <t>917000651626</t>
  </si>
  <si>
    <t>457226</t>
  </si>
  <si>
    <t>Apr 27, 2026</t>
  </si>
  <si>
    <t>NAME::WASIM SHAH PROPRIETOR MONEYSCALS INVESTMENT AND RESEARCH</t>
  </si>
  <si>
    <t>Kamlesh Dilipbhai Katarmal Proprietor of Infinia Research</t>
  </si>
  <si>
    <t>INH000026585</t>
  </si>
  <si>
    <t>Kamlesh   Katarmal</t>
  </si>
  <si>
    <t>301/01, 3rd Floor, Rudraksh Complex, Near Dr. Takvani Hopital, Valkeshwari Nagari</t>
  </si>
  <si>
    <t>infiniaresearch@gmail.com</t>
  </si>
  <si>
    <t>919727111511</t>
  </si>
  <si>
    <t>361008</t>
  </si>
  <si>
    <t>NAME::KAMLESH DILIPBHAI KATARMAL PROPRIETOR OF INFINIA RESEARCH</t>
  </si>
  <si>
    <t>Kaushal Kumar Sahu Proprietor of Capitalmandi Research Services</t>
  </si>
  <si>
    <t>INH000026637</t>
  </si>
  <si>
    <t>Kaushal Sahu</t>
  </si>
  <si>
    <t>T-4, 3rd Floor, ISBT Bus Stand, Bhatagaon,, Beside Nagar Nigam Zone-6 Office</t>
  </si>
  <si>
    <t>kaushalksahu.krar@gmail.com</t>
  </si>
  <si>
    <t>00009668877561</t>
  </si>
  <si>
    <t>492013</t>
  </si>
  <si>
    <t>NAME::KAUSHAL KUMAR SAHU PROPRIETOR OF CAPITALMANDI RESEARCH SERVICES</t>
  </si>
  <si>
    <t>KRISHNPAL SINGH PROPRIETOR OF RESEARCH SEWA</t>
  </si>
  <si>
    <t>INH000026992</t>
  </si>
  <si>
    <t>KRISHNPAL SINGH</t>
  </si>
  <si>
    <t>Baredi House, Near New Bus Stand and Middle School, Pachore</t>
  </si>
  <si>
    <t>researchsewa07@gmail.com</t>
  </si>
  <si>
    <t>007999735029</t>
  </si>
  <si>
    <t>465683</t>
  </si>
  <si>
    <t>NAME::KRISHNPAL SINGH PROPRIETOR OF RESEARCH SEWA</t>
  </si>
  <si>
    <t>RINKU MEHER proprietor of ARTHNAV FINANCIAL SERVICES &amp; RESEARCH</t>
  </si>
  <si>
    <t>INH000027025</t>
  </si>
  <si>
    <t>RINKU MEHER</t>
  </si>
  <si>
    <t>Shop no 3 Krishna Nagar, Opposite of HP Petrol Pump, Khetrajpur</t>
  </si>
  <si>
    <t>arthnav.research@gmail.com</t>
  </si>
  <si>
    <t>768003</t>
  </si>
  <si>
    <t>NAME::RINKU MEHER PROPRIETOR OF ARTHNAV FINANCIAL SERVICES RESEARCH</t>
  </si>
  <si>
    <t>Neetu Ahirwar Proprietor Of Soham Global Services</t>
  </si>
  <si>
    <t>INH000027104</t>
  </si>
  <si>
    <t>Neetu Ahirwar</t>
  </si>
  <si>
    <t>A3 Shri Krishna Colony, Sikander Kampoo Lashkar</t>
  </si>
  <si>
    <t>neetsingh486@gmail.com</t>
  </si>
  <si>
    <t>919993738054</t>
  </si>
  <si>
    <t>474001</t>
  </si>
  <si>
    <t>NAME::NEETU AHIRWAR PROPRIETOR OF SOHAM GLOBAL SERVICES</t>
  </si>
  <si>
    <t>BOTHIKAR ADITYA UMAKANT PROPRIETOR OF TRADERS LATITUDE</t>
  </si>
  <si>
    <t>INH000027399</t>
  </si>
  <si>
    <t>ADITYA BOTHIKAR</t>
  </si>
  <si>
    <t>Flat no.2, Devi appartment, above TVS showroom, Bidar road, Udgir</t>
  </si>
  <si>
    <t>aditya.bothikar@gmail.com</t>
  </si>
  <si>
    <t>0009823437927</t>
  </si>
  <si>
    <t>413517</t>
  </si>
  <si>
    <t>NAME::BOTHIKAR ADITYA UMAKANT PROPRIETOR OF TRADERS LATITUDE</t>
  </si>
  <si>
    <t>Duge Lollen Proprietor of CDT Research</t>
  </si>
  <si>
    <t>INH000027715</t>
  </si>
  <si>
    <t>Duge Lollen</t>
  </si>
  <si>
    <t>Pertin Building, Opposite Gompa, 0 Point Tinali</t>
  </si>
  <si>
    <t>cdtresearchap@gmail.com</t>
  </si>
  <si>
    <t>0009362866196</t>
  </si>
  <si>
    <t>ITANAGAR</t>
  </si>
  <si>
    <t>ARUNACHAL PRADESH</t>
  </si>
  <si>
    <t>791111</t>
  </si>
  <si>
    <t>NAME::DUGE LOLLEN PROPRIETOR OF CDT RESEARCH</t>
  </si>
  <si>
    <t>Raj Yadav Proprietor of Increnzo Technology</t>
  </si>
  <si>
    <t>INH000027821</t>
  </si>
  <si>
    <t>Raj Yadav</t>
  </si>
  <si>
    <t>129 A kalani Bagh A B. Dewas</t>
  </si>
  <si>
    <t>increnzoresearch@gmail.com</t>
  </si>
  <si>
    <t>918965038388</t>
  </si>
  <si>
    <t>NAME::RAJ YADAV PROPRIETOR OF INCRENZO TECHNOLOGY</t>
  </si>
  <si>
    <t>Santhosh B R Proprietor of First Investment Research</t>
  </si>
  <si>
    <t>INH000027858</t>
  </si>
  <si>
    <t>Santhosh B R</t>
  </si>
  <si>
    <t>No. 100 - 1A, 19-6-17 b1, 6th Room, D R Mahal Road Govindapuram Commercial Area</t>
  </si>
  <si>
    <t>firstinvestmentresearch@gmail.com</t>
  </si>
  <si>
    <t>009113218952</t>
  </si>
  <si>
    <t>517501</t>
  </si>
  <si>
    <t>NAME::SANTHOSH B R PROPRIETOR OF FIRST INVESTMENT RESEARCH</t>
  </si>
  <si>
    <t>Abhinav Siddharth Proprietor of Pravi Wealth</t>
  </si>
  <si>
    <t>INH000027894</t>
  </si>
  <si>
    <t>Abhinav Siddharth</t>
  </si>
  <si>
    <t>B1701, Tower A,Vasundhara Grand, Sector 15, Vasundhara, Ghzaiabad, Uttar Pradesh</t>
  </si>
  <si>
    <t>abhinav.siddharth@hotmail.com</t>
  </si>
  <si>
    <t>009199710058</t>
  </si>
  <si>
    <t>NAME::ABHINAV SIDDHARTH PROPRIETOR OF PRAVI WEALTH</t>
  </si>
  <si>
    <t>Sarthak Jayeshbhai Purohit Proprietor of  THE CONCLUSION MATTERS</t>
  </si>
  <si>
    <t>INH000027973</t>
  </si>
  <si>
    <t>Sarthak Purohit</t>
  </si>
  <si>
    <t>NIRMAL NIVAS, PUNCHHATADI CHOWK,</t>
  </si>
  <si>
    <t>tcm.office.hq@gmail.com</t>
  </si>
  <si>
    <t>0009265303938</t>
  </si>
  <si>
    <t>JUNAGADH</t>
  </si>
  <si>
    <t>362001</t>
  </si>
  <si>
    <t>NAME::SARTHAK JAYESHBHAI PUROHIT PROPRIETOR OF THE CONCLUSION MATTERS</t>
  </si>
  <si>
    <t>ADITYA RAJ PROPRIETOR OF INVESTOGENIE</t>
  </si>
  <si>
    <t>INH000028006</t>
  </si>
  <si>
    <t>ADITYA  RAJ</t>
  </si>
  <si>
    <t>House No. D-A/4, Kankarbagh Colony, Lohianagar, Kankarbagh,</t>
  </si>
  <si>
    <t>investogeniee@gmail.com</t>
  </si>
  <si>
    <t>7079553366</t>
  </si>
  <si>
    <t>800020</t>
  </si>
  <si>
    <t>NAME::ADITYA RAJ PROPRIETOR OF INVESTOGENIE</t>
  </si>
  <si>
    <t>Pankaj Bhargava Proprietor Finocia Technology</t>
  </si>
  <si>
    <t>INH000028167</t>
  </si>
  <si>
    <t>Pankaj  Bhargava</t>
  </si>
  <si>
    <t>B1, 502, Green Park, Dongarpur Road, Near Gulmohar City, New City Center, Gwalior</t>
  </si>
  <si>
    <t>pankajbhargava2025@gmail.com</t>
  </si>
  <si>
    <t>474011</t>
  </si>
  <si>
    <t>NAME::PANKAJ BHARGAVA PROPRIETOR FINOCIA TECHNOLOGY</t>
  </si>
  <si>
    <t>Abhay Kumar Sharma Proprietor of Wealth Grow Research</t>
  </si>
  <si>
    <t>INH000028459</t>
  </si>
  <si>
    <t>Abhay Sharma</t>
  </si>
  <si>
    <t>Diversion Sheet No. 273 Duplex No.4, Behind Sharda Talkes Gorakhpur Dist</t>
  </si>
  <si>
    <t>wealthgrow0891@gmail.com</t>
  </si>
  <si>
    <t>0008962230961</t>
  </si>
  <si>
    <t>482002</t>
  </si>
  <si>
    <t>NAME::ABHAY KUMAR SHARMA PROPRIETOR OF WEALTH GROW RESEARCH</t>
  </si>
  <si>
    <t>HIMANSHU MURALIA PROPRIETOR OF  TRADE GYAN SOLUTIONS</t>
  </si>
  <si>
    <t>INA000008808</t>
  </si>
  <si>
    <t>HIMANSHU MURALIA</t>
  </si>
  <si>
    <t>PLOT NO.9, SECTOR C , GOVINDPURA INDUSTRIAL AREA, J.K.ROAD</t>
  </si>
  <si>
    <t>himanshu.muralia11@gmail.com</t>
  </si>
  <si>
    <t>NAME::HIMANSHU MURALIA PROPRIETOR OF TRADE GYAN SOLUTIONS</t>
  </si>
  <si>
    <t>NITIN KUMAR SINGHAL PROPRIETOR MYMONEYGURU</t>
  </si>
  <si>
    <t>INA100010402</t>
  </si>
  <si>
    <t>NITIN SINGHAL</t>
  </si>
  <si>
    <t>5/399A, B-1, Plot No 399A, Sector 5, VAISHALI</t>
  </si>
  <si>
    <t>NITINSINGHALCFA@GMAIL.COM</t>
  </si>
  <si>
    <t>5/399A, Flat Number G-1, Vaishali, Brahmaputra Lane, Sector-5</t>
  </si>
  <si>
    <t>Apr 23, 2018</t>
  </si>
  <si>
    <t>NAME::NITIN KUMAR SINGHAL PROPRIETOR MYMONEYGURU</t>
  </si>
  <si>
    <t>Devendra Tripathi Sole Proprietor Stock Bull Investment Advisory Services</t>
  </si>
  <si>
    <t>INA000013493</t>
  </si>
  <si>
    <t>DEVENDRA TRIPATHI</t>
  </si>
  <si>
    <t>10th Floor,Levana Cyber Heights , Vibhuti khand Gomati Nagar LUCKNOW 226010 UTTAR PRADESH LUCKNOW</t>
  </si>
  <si>
    <t>devendram2fs@gmail.com</t>
  </si>
  <si>
    <t>Jun 13, 2019</t>
  </si>
  <si>
    <t>NAME::DEVENDRA TRIPATHI SOLE PROPRIETOR STOCK BULL INVESTMENT ADVISORY SERVICES</t>
  </si>
  <si>
    <t>SANTOSH KUMAR SAHU PROPRIETOR SMART MONEY FINANCIAL SERVICES</t>
  </si>
  <si>
    <t>INA000004427</t>
  </si>
  <si>
    <t>PLOT NO. 10/1 ,2nd floor 201-202, RADHA KRISHNA APPARTMENT BLOCK A MANORAMA GANJ  M.G ROAD</t>
  </si>
  <si>
    <t>smartmoneyfinancial@yahoo.com</t>
  </si>
  <si>
    <t>House No. 9, 2nd Floor, Diamond Colony, New Palasia</t>
  </si>
  <si>
    <t>NAME::SANTOSH KUMAR SAHU PROPRIETOR SMART MONEY FINANCIAL SERVICES</t>
  </si>
  <si>
    <t>DEEP KANDPAL PROP. RESEARCH INN INVESTMENT ADVISOR</t>
  </si>
  <si>
    <t>INA000004450</t>
  </si>
  <si>
    <t>B-702, 7th FLOOR, METRO TOWER, VIJAY NAGAR</t>
  </si>
  <si>
    <t>my.researchinn@gmail.com</t>
  </si>
  <si>
    <t>TF-01, Shubham Corporate, 27 Patel Nagar, Sapna Sangeeta Road</t>
  </si>
  <si>
    <t>NAME::DEEP KANDPAL PROP RESEARCH INN INVESTMENT ADVISOR</t>
  </si>
  <si>
    <t>RAJU JHARIYA PROPRIETOR CAPITAL VRADDHI FINANCIAL SERVICES</t>
  </si>
  <si>
    <t>INA000005291</t>
  </si>
  <si>
    <t>Office no 201 Second Floor and 301 Third Floor, Plot No 49-A, Scheme No 53</t>
  </si>
  <si>
    <t>raju.599@rediffmail.com</t>
  </si>
  <si>
    <t>342, PU-4, Scheme No. 54, Vijay Nagar</t>
  </si>
  <si>
    <t>NAME::RAJU JHARIYA PROPRIETOR CAPITAL VRADDHI FINANCIAL SERVICES</t>
  </si>
  <si>
    <t>Neeraj Prakash Marathe (Proprietor: Sentinel Research)</t>
  </si>
  <si>
    <t>INH000004820</t>
  </si>
  <si>
    <t>Neeraj Marathe</t>
  </si>
  <si>
    <t>C/O HU Consultancy Pvt Ltd, 1st Floor, Matruchaya, Mitramandal Colony, Parvati</t>
  </si>
  <si>
    <t>research.neeraj@outlook.com</t>
  </si>
  <si>
    <t>NAME::NEERAJ PRAKASH MARATHE PROPRIETOR SENTINEL RESEARCH</t>
  </si>
  <si>
    <t>Atish Shakergaye Proprietor of Scoutstack Technical Research</t>
  </si>
  <si>
    <t>INH000006086</t>
  </si>
  <si>
    <t>ATISH SHAKERGAYE</t>
  </si>
  <si>
    <t>F-02, Plot No. 83, Zone II, M. P. Nagar</t>
  </si>
  <si>
    <t>scoutstack@hotmail.com</t>
  </si>
  <si>
    <t>NAME::ATISH SHAKERGAYE PROPRIETOR OF SCOUTSTACK TECHNICAL RESEARCH</t>
  </si>
  <si>
    <t>BRV CAPITAL PROP. BHAVESH RAMESHBHAI VASA</t>
  </si>
  <si>
    <t>INH000006101</t>
  </si>
  <si>
    <t>BHAVESH VASA</t>
  </si>
  <si>
    <t>BRV CAPITAL, SHOP NO. 131, J AVENUE,, GLOBAL CITY, NR. RUSTOMJEE INT. SCHOOL, VIRAR (WEST)</t>
  </si>
  <si>
    <t>brvcapital777@gmail.com</t>
  </si>
  <si>
    <t>BRV CAPITAL, SHOP NO. 131, J AVENUE, GLOBAL CITY, NR. RUSTOMJEE INT. SCHOOL, VIRAR (WEST)</t>
  </si>
  <si>
    <t>Jul 04, 2018</t>
  </si>
  <si>
    <t>NAME::BRV CAPITAL PROP BHAVESH RAMESHBHAI VASA</t>
  </si>
  <si>
    <t>Shubham Agarwal (Proprietor of Quantsapp Advisory)</t>
  </si>
  <si>
    <t>INH000006332</t>
  </si>
  <si>
    <t>Shubham Agarwal</t>
  </si>
  <si>
    <t>B1804, Raj Grandeur, Behind LH Hiranandani Hospital, Powai</t>
  </si>
  <si>
    <t>agarwalshubham1@gmail.com</t>
  </si>
  <si>
    <t>Sep 06, 2018</t>
  </si>
  <si>
    <t>NAME::SHUBHAM AGARWAL PROPRIETOR OF QUANTSAPP ADVISORY</t>
  </si>
  <si>
    <t>Parveen Kumar Sharma, Prop.10paisa.com</t>
  </si>
  <si>
    <t>INH100006427</t>
  </si>
  <si>
    <t>Parveen Sharma</t>
  </si>
  <si>
    <t>582, Phase 2, Sector 54</t>
  </si>
  <si>
    <t>tenpaisa@gmail.com</t>
  </si>
  <si>
    <t>Oct 16, 2018</t>
  </si>
  <si>
    <t>NAME::PARVEEN KUMAR SHARMA PROP 10PAISA COM</t>
  </si>
  <si>
    <t>Rajendra Balusu Proprietor of Equidius Research</t>
  </si>
  <si>
    <t>INH200007016</t>
  </si>
  <si>
    <t>RAJENDRA BALUSU</t>
  </si>
  <si>
    <t>FLAT NO E-705 WELKIN PARK, H NO 1-10-32 BEGUMPET</t>
  </si>
  <si>
    <t>rajendrabalusu@gmail.com</t>
  </si>
  <si>
    <t>EQUIDIUS RESEARCH ,Plot No.11-B, 1-63/B/11, 1-63/B/11, Kavuri Hills, Madhapur,</t>
  </si>
  <si>
    <t>NAME::RAJENDRA BALUSU PROPRIETOR OF EQUIDIUS RESEARCH</t>
  </si>
  <si>
    <t>Ankit Agrawal (Proprietor of Yellowstone Equity)</t>
  </si>
  <si>
    <t>INH000007216</t>
  </si>
  <si>
    <t>Ankit Agrawal</t>
  </si>
  <si>
    <t>DOLATGANJ BAJAR, C/O ANKIT HOSPITAL, DAHOD</t>
  </si>
  <si>
    <t>ankitbagrawal@gmail.com</t>
  </si>
  <si>
    <t>389151</t>
  </si>
  <si>
    <t>21 Amrapali Society, Govindnagar</t>
  </si>
  <si>
    <t>Jun 11, 2019</t>
  </si>
  <si>
    <t>NAME::ANKIT AGRAWAL PROPRIETOR OF YELLOWSTONE EQUITY</t>
  </si>
  <si>
    <t>Ankit Gupta Proprietor of Wealth Consultant</t>
  </si>
  <si>
    <t>INH100007231</t>
  </si>
  <si>
    <t>Ankit Gupta</t>
  </si>
  <si>
    <t>House No 414 Ward no 15, Moti Colony palwal</t>
  </si>
  <si>
    <t>ankitgupta251290@gmail.com</t>
  </si>
  <si>
    <t>121102</t>
  </si>
  <si>
    <t>Jul 09, 2019</t>
  </si>
  <si>
    <t>NAME::ANKIT GUPTA PROPRIETOR OF WEALTH CONSULTANT</t>
  </si>
  <si>
    <t>Sathish Kavinchal Proprietor Aferrous Enterprises</t>
  </si>
  <si>
    <t>INH200007539</t>
  </si>
  <si>
    <t>Sathish Kavinchal</t>
  </si>
  <si>
    <t>5A4,Pentaqueen Apartment, Civil Line Road, Padivattom</t>
  </si>
  <si>
    <t>commodityra@gmail.com</t>
  </si>
  <si>
    <t>Feb 03, 2020</t>
  </si>
  <si>
    <t>NAME::SATHISH KAVINCHAL PROPRIETOR AFERROUS ENTERPRISES</t>
  </si>
  <si>
    <t>ASHISH AROLE PROPRIETOR OF EQUITY MIDAS CAPITAL</t>
  </si>
  <si>
    <t>INH000008136</t>
  </si>
  <si>
    <t>Ashish Arole</t>
  </si>
  <si>
    <t>L-604, Balwantpuram Samrajya, Shivtirth Nagar, Paud Road, Kothrud</t>
  </si>
  <si>
    <t>ashish.arole@gmail.com</t>
  </si>
  <si>
    <t>Jan 28, 2021</t>
  </si>
  <si>
    <t>NAME::ASHISH AROLE PROPRIETOR OF EQUITY MIDAS CAPITAL</t>
  </si>
  <si>
    <t>Vipin Kumar Pandey Proprietor of Uttam Financial Services</t>
  </si>
  <si>
    <t>INH100008230</t>
  </si>
  <si>
    <t>Vipin Pandey</t>
  </si>
  <si>
    <t>448,GROUND FLOOR, SAPPHIRE RESIDENCY, KASIMPUR VIRUHA,SULTANPUR ROAD</t>
  </si>
  <si>
    <t>uttamfinancials@gmail.com</t>
  </si>
  <si>
    <t>226501</t>
  </si>
  <si>
    <t>Apr 08, 2021</t>
  </si>
  <si>
    <t>NAME::VIPIN KUMAR PANDEY PROPRIETOR OF UTTAM FINANCIAL SERVICES</t>
  </si>
  <si>
    <t>Pankaj Randad (Proprietor: Equinox Research &amp; Advisors)</t>
  </si>
  <si>
    <t>INH000008288</t>
  </si>
  <si>
    <t>PANKAJ RANDAD</t>
  </si>
  <si>
    <t>EquinoxResearch AndAdvisorsOfficeNo8, 3rd Floor, Himagauri Sunanda Apartment,, Above KFC Outlet, Karishma Chowk, Kothrud</t>
  </si>
  <si>
    <t>PRANDAD@GMAIL.COM</t>
  </si>
  <si>
    <t>EquinoxResearch AndAdvisorsOfficeNo8, 3rd Floor, Himagauri Sunanda Apartment, Above KFC Outlet, Karishma Chowk, Kothrud</t>
  </si>
  <si>
    <t>Apr 16, 2021</t>
  </si>
  <si>
    <t>NAME::PANKAJ RANDAD PROPRIETOR EQUINOX RESEARCH ADVISORS</t>
  </si>
  <si>
    <t>Sitanshu Gala (Proprietor: PowerTrade Equity and Advisory Services)</t>
  </si>
  <si>
    <t>INH000008552</t>
  </si>
  <si>
    <t>Sitanshu Gala</t>
  </si>
  <si>
    <t>A-1106 Bhakti Apartment, Jambli Gali, Near Moksh Plaza, Borivali West</t>
  </si>
  <si>
    <t>sitanshugala@gmail.com</t>
  </si>
  <si>
    <t>Jul 16, 2021</t>
  </si>
  <si>
    <t>NAME::SITANSHU GALA PROPRIETOR POWERTRADE EQUITY AND ADVISORY SERVICES</t>
  </si>
  <si>
    <t>Ashish Kumar Proprietor of Stoxbazar</t>
  </si>
  <si>
    <t>INH100008939</t>
  </si>
  <si>
    <t>ASHISH  KUMAR</t>
  </si>
  <si>
    <t>D 104 Krishna Park, Devli Road Khanpur</t>
  </si>
  <si>
    <t>mr.ashish_kumar@yahoo.co.in</t>
  </si>
  <si>
    <t>110062</t>
  </si>
  <si>
    <t>Dec 06, 2021</t>
  </si>
  <si>
    <t>NAME::ASHISH KUMAR PROPRIETOR OF STOXBAZAR</t>
  </si>
  <si>
    <t>Nikhil Gangil Proprietor, Intrinsic Value Equity Advisors</t>
  </si>
  <si>
    <t>INH000009047</t>
  </si>
  <si>
    <t>NIKHIL GANGIL</t>
  </si>
  <si>
    <t>Office No. 106, Floor No. 3, Montvert Spectra,, Block Sector Opp. Hotel Wadeshwar, Road Baner</t>
  </si>
  <si>
    <t>nikhilgangil333@gmail.com</t>
  </si>
  <si>
    <t>Office No. 106, Floor No. 3, Montvert Spectra, Block Sector Opp. Hotel Wadeshwar, Road Baner</t>
  </si>
  <si>
    <t>NAME::NIKHIL GANGIL PROPRIETOR INTRINSIC VALUE EQUITY ADVISORS</t>
  </si>
  <si>
    <t>RAJENDRA PRASAD MIKKILINENI - Proprietor of KLM INVESTING SCHOOL</t>
  </si>
  <si>
    <t>INH200009218</t>
  </si>
  <si>
    <t>RAJENDRA MIKKILINENI</t>
  </si>
  <si>
    <t>FLAT NO G2 BHARGAVI NILAYAM, RD NO 6 JAWAHAR COLONY CHANDANAGAR</t>
  </si>
  <si>
    <t>RPMIKKILINENI@GMAIL.COM</t>
  </si>
  <si>
    <t>Mar 15, 2022</t>
  </si>
  <si>
    <t>NAME::RAJENDRA PRASAD MIKKILINENI PROPRIETOR OF KLM INVESTING SCHOOL</t>
  </si>
  <si>
    <t>Pavan Raghuvanshi Proprietor of HighRise Research</t>
  </si>
  <si>
    <t>INH000009427</t>
  </si>
  <si>
    <t>Pavan  Raghuvanshi</t>
  </si>
  <si>
    <t>A 172, Kanak Avenue Colony, Lasudia Mori</t>
  </si>
  <si>
    <t>pavanraghuvanshi2014@gmail.com</t>
  </si>
  <si>
    <t>Apr 29, 2022</t>
  </si>
  <si>
    <t>NAME::PAVAN RAGHUVANSHI PROPRIETOR OF HIGHRISE RESEARCH</t>
  </si>
  <si>
    <t>Shashank Verma Proprietor of  Big Bull Research</t>
  </si>
  <si>
    <t>INH000009560</t>
  </si>
  <si>
    <t>Shashank Verma</t>
  </si>
  <si>
    <t>Maujhe Khas Katol Maujhe No-32, P.H.NO-44 Tehsil Katol</t>
  </si>
  <si>
    <t>verma.shashank682@gmail.com</t>
  </si>
  <si>
    <t>441302</t>
  </si>
  <si>
    <t>May 17, 2022</t>
  </si>
  <si>
    <t>NAME::SHASHANK VERMA PROPRIETOR OF BIG BULL RESEARCH</t>
  </si>
  <si>
    <t>Abhishek Sharma Proprietor of Index Research</t>
  </si>
  <si>
    <t>INH000009737</t>
  </si>
  <si>
    <t>Abhishek Sharma</t>
  </si>
  <si>
    <t>S-6, Balaji Vihar B,, Mohanpur, Sanganer,</t>
  </si>
  <si>
    <t>theindexresearch@gmail.com</t>
  </si>
  <si>
    <t>302020</t>
  </si>
  <si>
    <t>S-6, Balaji Vihar B, Mohanpur, Sanganer,</t>
  </si>
  <si>
    <t>NAME::ABHISHEK SHARMA PROPRIETOR OF INDEX RESEARCH</t>
  </si>
  <si>
    <t>AKASH KHATRI PROPRIETOR OF WEALTHY BRAINS</t>
  </si>
  <si>
    <t>INH000009764</t>
  </si>
  <si>
    <t>AKASH KHATRI</t>
  </si>
  <si>
    <t>3rd Floor, Sanghi Residency, Block A, Bank Of Baroda Nr Manas Bhawan Wright Town</t>
  </si>
  <si>
    <t>wealthy.brains1@gmail.com</t>
  </si>
  <si>
    <t>3rd Floor,Naagal Pavilion, In Front of Ashoka Hotel, Wright Town</t>
  </si>
  <si>
    <t>Jun 10, 2022</t>
  </si>
  <si>
    <t>NAME::AKASH KHATRI PROPRIETOR OF WEALTHY BRAINS</t>
  </si>
  <si>
    <t>Mohit Kumar Proprietor of M/s TechoFunda</t>
  </si>
  <si>
    <t>INH100009956</t>
  </si>
  <si>
    <t>Mohit  Kumar</t>
  </si>
  <si>
    <t>9/6361, First floor Netaji Street , Gandhi Nagar Delhi</t>
  </si>
  <si>
    <t>mohitfp@gmail.com</t>
  </si>
  <si>
    <t>110031</t>
  </si>
  <si>
    <t>L29-L34, First Floor Block L, Connaught Place</t>
  </si>
  <si>
    <t>Jul 14, 2022</t>
  </si>
  <si>
    <t>NAME::MOHIT KUMAR PROPRIETOR OF M S TECHOFUNDA</t>
  </si>
  <si>
    <t>Shaifali Sharma Proprietor of Stock Kart</t>
  </si>
  <si>
    <t>INH100009965</t>
  </si>
  <si>
    <t>Shaifali Sharma</t>
  </si>
  <si>
    <t>E 49, Office No. 402, Vijay Block, Laxmi Nagar</t>
  </si>
  <si>
    <t>rashaifalisharma@gmail.com</t>
  </si>
  <si>
    <t>7 C 1ST FLOOR MECHANIC NAGAR, INDORE</t>
  </si>
  <si>
    <t>NAME::SHAIFALI SHARMA PROPRIETOR OF STOCK KART</t>
  </si>
  <si>
    <t>Neeraj Kawadkar Proprietor of Finovoice</t>
  </si>
  <si>
    <t>INH000010089</t>
  </si>
  <si>
    <t>Neeraj  Kawadkar</t>
  </si>
  <si>
    <t>Jp Nagar Phase 3 , 1st Floor Rear Wing, Property No 102 45/B Subham Complex, Mini Forest Road</t>
  </si>
  <si>
    <t>finovoice@gmail.com</t>
  </si>
  <si>
    <t>NAME::NEERAJ KAWADKAR PROPRIETOR OF FINOVOICE</t>
  </si>
  <si>
    <t>AHIR ISHANI PROPRIETOR OF VENTURA RESEARCH</t>
  </si>
  <si>
    <t>INH000010575</t>
  </si>
  <si>
    <t>Ishani Ahir</t>
  </si>
  <si>
    <t>161, Triloknagar Sarvoday Part 3, Near KK Nagar</t>
  </si>
  <si>
    <t>ahirishani100@gmail.com</t>
  </si>
  <si>
    <t>380061</t>
  </si>
  <si>
    <t>NAME::AHIR ISHANI PROPRIETOR OF VENTURA RESEARCH</t>
  </si>
  <si>
    <t>RAVI PRAKASH MISHRA PROPRIETOR OF RA SOLUTION</t>
  </si>
  <si>
    <t>INH000010609</t>
  </si>
  <si>
    <t>RAVI PRAKASH MISHRA</t>
  </si>
  <si>
    <t>Shop No. 10C, Block No. 2A, 2nd Floor,, Bajaj Wing, Mangalwari Complex, Sadar</t>
  </si>
  <si>
    <t>rasolution2021@gmail.com</t>
  </si>
  <si>
    <t>440001</t>
  </si>
  <si>
    <t>Shop No. 10C, Block No. 2A, 2nd Floor, Bajaj Wing, Mangalwari Complex, Sadar</t>
  </si>
  <si>
    <t>NAME::RAVI PRAKASH MISHRA PROPRIETOR OF RA SOLUTION</t>
  </si>
  <si>
    <t>SEED CAPITAL RESEARCH PROPRIETOR : SHASHANK PRATAP SINGH</t>
  </si>
  <si>
    <t>INH000010627</t>
  </si>
  <si>
    <t>SHASHANK SINGH</t>
  </si>
  <si>
    <t>Office No. S 07-80 , 2nd Floor , Haware Centurion Mall ,, Jagatguru Aadi Sankaracharya Marg , Seawoods , Darave East,</t>
  </si>
  <si>
    <t>seedcapital1228@gmail.com</t>
  </si>
  <si>
    <t>Office No. S 07-80 , 2nd Floor , Haware Centurion Mall , Jagatguru Aadi Sankaracharya Marg , Seawoods , Darave East,</t>
  </si>
  <si>
    <t>NAME::SEED CAPITAL RESEARCH PROPRIETOR SHASHANK PRATAP SINGH</t>
  </si>
  <si>
    <t>Ramprasad Omprakash Mundada proprietor of Maxpro capital advisory</t>
  </si>
  <si>
    <t>INH000010690</t>
  </si>
  <si>
    <t>RAMPRASAD MUNDADA</t>
  </si>
  <si>
    <t>House no. 31255, Geeta niwas, Dhoki road, Shivaji chowk, Kallam</t>
  </si>
  <si>
    <t>mundada79@gmail.com</t>
  </si>
  <si>
    <t>413507</t>
  </si>
  <si>
    <t>NAME::RAMPRASAD OMPRAKASH MUNDADA PROPRIETOR OF MAXPRO CAPITAL ADVISORY</t>
  </si>
  <si>
    <t>Suhail Ahmed Proprietor of Yourstock Research</t>
  </si>
  <si>
    <t>INH000010803</t>
  </si>
  <si>
    <t>Suhail Ahmed</t>
  </si>
  <si>
    <t>No.8/1, 32nd E Cross Road,, Jayanagar 4th T Block,</t>
  </si>
  <si>
    <t>suhailmba25@gmail.com</t>
  </si>
  <si>
    <t>No.8/1, 32nd E Cross Road, Jayanagar 4th T Block,</t>
  </si>
  <si>
    <t>Nov 10, 2022</t>
  </si>
  <si>
    <t>NAME::SUHAIL AHMED PROPRIETOR OF YOURSTOCK RESEARCH</t>
  </si>
  <si>
    <t>Bivhav Nayak Proprietor of BN Research Services</t>
  </si>
  <si>
    <t>INH000010849</t>
  </si>
  <si>
    <t>Bivhav Nayak</t>
  </si>
  <si>
    <t>Plot No. 408/13, Pokhariput, Near DAV School and Sai Chakra Apt</t>
  </si>
  <si>
    <t>bibhav.nayak@gmail.com</t>
  </si>
  <si>
    <t>751020</t>
  </si>
  <si>
    <t>Flat No. D2 803, VTP Purvachal Society, Kesnand, Haveli,</t>
  </si>
  <si>
    <t>412207</t>
  </si>
  <si>
    <t>NAME::BIVHAV NAYAK PROPRIETOR OF BN RESEARCH SERVICES</t>
  </si>
  <si>
    <t>Ruhi Chopra proprietor  of Suruhi Research</t>
  </si>
  <si>
    <t>INH000010928</t>
  </si>
  <si>
    <t>Ruhi Chopra</t>
  </si>
  <si>
    <t>B-XXXV-955/R/94 River Dale Colony, Barewal Awana</t>
  </si>
  <si>
    <t>ruhi.chopra04@gmail.com</t>
  </si>
  <si>
    <t>Nov 23, 2022</t>
  </si>
  <si>
    <t>NAME::RUHI CHOPRA PROPRIETOR OF SURUHI RESEARCH</t>
  </si>
  <si>
    <t>PRIYANKA YADAV PROPRIETOR OF TRADE MONEY RESEARCH</t>
  </si>
  <si>
    <t>INH000010991</t>
  </si>
  <si>
    <t>PRIYANKA YADAV</t>
  </si>
  <si>
    <t>KUNDAN VILLA 9A, TILAK NAGAR, NEAR TRIKONI PARK, TILAK NAGAR, SHANKAR NAGAR, NAGPUR MUNICIPAL CORPORATION</t>
  </si>
  <si>
    <t>itstrademoneyresearch@gmail.com</t>
  </si>
  <si>
    <t>Dec 01, 2022</t>
  </si>
  <si>
    <t>NAME::PRIYANKA YADAV PROPRIETOR OF TRADE MONEY RESEARCH</t>
  </si>
  <si>
    <t>HARSH VARDHAN PROPRIETOR OF STOCK OCEAN</t>
  </si>
  <si>
    <t>INH000011006</t>
  </si>
  <si>
    <t>Harsh Vardhan</t>
  </si>
  <si>
    <t>A B 2ND FLOOR, NIRMAL TOWER, 1ST CHOPASNI ROAD,</t>
  </si>
  <si>
    <t>vardhanharsh548@gmail.com</t>
  </si>
  <si>
    <t>NAME::HARSH VARDHAN PROPRIETOR OF STOCK OCEAN</t>
  </si>
  <si>
    <t>Shishant Bhargava Proprietor of Gajnidhi Research</t>
  </si>
  <si>
    <t>INH000011097</t>
  </si>
  <si>
    <t>Shishant  Bhargava</t>
  </si>
  <si>
    <t>46/2 GHATKARPAR MARG, FREEGANJ UJJAIN</t>
  </si>
  <si>
    <t>shishantbha09@rediffmail.com</t>
  </si>
  <si>
    <t>Dec 14, 2022</t>
  </si>
  <si>
    <t>NAME::SHISHANT BHARGAVA PROPRIETOR OF GAJNIDHI RESEARCH</t>
  </si>
  <si>
    <t>Saweety Saharan Proprietor of insight research</t>
  </si>
  <si>
    <t>INH000011343</t>
  </si>
  <si>
    <t>Saweety Saharan</t>
  </si>
  <si>
    <t>T.C Chamber P.U 04 Plot No. 26 Scheme No.54, Opp NRK Bizz Park, Vijay Nagar</t>
  </si>
  <si>
    <t>sweetysaharan92@gmail.com</t>
  </si>
  <si>
    <t>Feb 03, 2023</t>
  </si>
  <si>
    <t>NAME::SAWEETY SAHARAN PROPRIETOR OF INSIGHT RESEARCH</t>
  </si>
  <si>
    <t>SHAIL SHAKUNT APTE PROPRIETOR OF CHEVETOL RESOURCES</t>
  </si>
  <si>
    <t>INH000011361</t>
  </si>
  <si>
    <t>SHAIL APTE</t>
  </si>
  <si>
    <t>10TH FLOOR, A 1009, PRIVILION, BEHIND ISCON TEMPLE, AMBLI BOPAL ROAD, S.G. HIGHWAY</t>
  </si>
  <si>
    <t>shell1991@gmail.com</t>
  </si>
  <si>
    <t>Feb 08, 2023</t>
  </si>
  <si>
    <t>NAME::SHAIL SHAKUNT APTE PROPRIETOR OF CHEVETOL RESOURCES</t>
  </si>
  <si>
    <t>Varun Patel proprietor of Jap Fin Serve</t>
  </si>
  <si>
    <t>INH000011370</t>
  </si>
  <si>
    <t>VARUNKUMAR PATEL</t>
  </si>
  <si>
    <t>275/A, Second floor, Sardar Vyapar Sankul, Urban bank road, Mal godown</t>
  </si>
  <si>
    <t>JAPFINSERVE@GMAIL.COM</t>
  </si>
  <si>
    <t>MEHSANA</t>
  </si>
  <si>
    <t>384002</t>
  </si>
  <si>
    <t>Feb 13, 2023</t>
  </si>
  <si>
    <t>NAME::VARUN PATEL PROPRIETOR OF JAP FIN SERVE</t>
  </si>
  <si>
    <t>Vikas Bagoriya Proprietor of Just Research</t>
  </si>
  <si>
    <t>INH000011459</t>
  </si>
  <si>
    <t>Vikas  Bagoriya</t>
  </si>
  <si>
    <t>Shop No. 01, Ramchandra Nagar,, M.R Road, Dewas,</t>
  </si>
  <si>
    <t>vikasbagoriya001@gmail.com</t>
  </si>
  <si>
    <t>First Floor, Horizon , Building, South Tukoganj,</t>
  </si>
  <si>
    <t>Feb 20, 2023</t>
  </si>
  <si>
    <t>NAME::VIKAS BAGORIYA PROPRIETOR OF JUST RESEARCH</t>
  </si>
  <si>
    <t>Rajendra Singh Chawalkar Proprietor RSC Research</t>
  </si>
  <si>
    <t>INH000011486</t>
  </si>
  <si>
    <t>Rajendra  Chawalkar</t>
  </si>
  <si>
    <t>Hno. 48,  New Rajeev Nagar, Semra Kalan, Huzur, Sikandri Sarai</t>
  </si>
  <si>
    <t>rchawalkar@gmail.com</t>
  </si>
  <si>
    <t>462010</t>
  </si>
  <si>
    <t>438 Ward ColonyOLD A B ROADDistirct RajgarhDistrict,Village,Sub AreaBhalla Colony, Sarangpur Main Road, Block Colony, Sarangpur, Madhya Pradesh 21m fromDeepa Auto Parts</t>
  </si>
  <si>
    <t>465697</t>
  </si>
  <si>
    <t>NAME::RAJENDRA SINGH CHAWALKAR PROPRIETOR RSC RESEARCH</t>
  </si>
  <si>
    <t>Akash Garg Proprietor of AG Analyst</t>
  </si>
  <si>
    <t>INH000011501</t>
  </si>
  <si>
    <t>Akash  Garg</t>
  </si>
  <si>
    <t>Hno. 414, Ward No. 15 , Moti Colony, Near 999 Mobile Shop</t>
  </si>
  <si>
    <t>caakashgarg97@gmail.com</t>
  </si>
  <si>
    <t>Feb 23, 2023</t>
  </si>
  <si>
    <t>NAME::AKASH GARG PROPRIETOR OF AG ANALYST</t>
  </si>
  <si>
    <t>Muskan Wadhwani Proprietor Omni Capital Market Research</t>
  </si>
  <si>
    <t>INH000011848</t>
  </si>
  <si>
    <t>Muskan Wadhwani</t>
  </si>
  <si>
    <t>Plot No 26, 3rd Floor, Scheme No 54, PU 4, Behind C21 Mall, Vijay Nagar</t>
  </si>
  <si>
    <t>omnicapitalms@gmail.com</t>
  </si>
  <si>
    <t>NAME::MUSKAN WADHWANI PROPRIETOR OMNI CAPITAL MARKET RESEARCH</t>
  </si>
  <si>
    <t>ARUNIMA RAI PROPRIETOR SV STOCK RESEARCH</t>
  </si>
  <si>
    <t>INH000011909</t>
  </si>
  <si>
    <t>Arunima Rai</t>
  </si>
  <si>
    <t>OFFICE NO.- 403, 4TH FLOOR, DATTANI PRISM-1, VILLAGE-SANDOR,, PAPADY ROAD, VASAI WEST,</t>
  </si>
  <si>
    <t>arurocketresearch@gmail.com</t>
  </si>
  <si>
    <t>401202</t>
  </si>
  <si>
    <t>OFFICE NO.- 403, 4TH FLOOR, DATTANI PRISM-1, VILLAGE-SANDOR, PAPADY ROAD, VASAI WEST,</t>
  </si>
  <si>
    <t>NAME::ARUNIMA RAI PROPRIETOR SV STOCK RESEARCH</t>
  </si>
  <si>
    <t>Rishav Kasera Proprietor Novel Research House</t>
  </si>
  <si>
    <t>INH000012218</t>
  </si>
  <si>
    <t>Rishav Kasera</t>
  </si>
  <si>
    <t>OLD MANDI ROAD, ARON</t>
  </si>
  <si>
    <t>novelresearchhouse@gmail.com</t>
  </si>
  <si>
    <t>473101</t>
  </si>
  <si>
    <t>NAME::RISHAV KASERA PROPRIETOR NOVEL RESEARCH HOUSE</t>
  </si>
  <si>
    <t>IRSHAD AHMAD PROPRIETOR PHANTOM MARKET RESEARCH</t>
  </si>
  <si>
    <t>INH000012388</t>
  </si>
  <si>
    <t>IRSHAD AHMAD</t>
  </si>
  <si>
    <t>1st Floor Gole Market, Main Chowk Sopore near Venus Zarbaf Shop</t>
  </si>
  <si>
    <t>phantom2research@gmail.com</t>
  </si>
  <si>
    <t>SRINAGAR</t>
  </si>
  <si>
    <t>193201</t>
  </si>
  <si>
    <t>301 302, Rafael Tower, Old Palasia,</t>
  </si>
  <si>
    <t>NAME::IRSHAD AHMAD PROPRIETOR PHANTOM MARKET RESEARCH</t>
  </si>
  <si>
    <t>Abhishek Dave Proprietor Fiscal Solution and Research</t>
  </si>
  <si>
    <t>INH000012634</t>
  </si>
  <si>
    <t>Abhishek Dave</t>
  </si>
  <si>
    <t>23 Banthia Bhawan, Shakti Nagar</t>
  </si>
  <si>
    <t>abhishekharishdave@gmail.com</t>
  </si>
  <si>
    <t>Aug 03, 2023</t>
  </si>
  <si>
    <t>NAME::ABHISHEK DAVE PROPRIETOR FISCAL SOLUTION AND RESEARCH</t>
  </si>
  <si>
    <t>Narendra Singh Rajput Proprietor Finest Capital Research</t>
  </si>
  <si>
    <t>INH000012652</t>
  </si>
  <si>
    <t>Narendra Rajput</t>
  </si>
  <si>
    <t>House No. 46, First Floor, Scheme Number-114</t>
  </si>
  <si>
    <t>finestcapitalresearch@gmail.com</t>
  </si>
  <si>
    <t>Aug 10, 2023</t>
  </si>
  <si>
    <t>NAME::NARENDRA SINGH RAJPUT PROPRIETOR FINEST CAPITAL RESEARCH</t>
  </si>
  <si>
    <t>Ramesh Kumar Pandey Proprietor Money Treasure Research</t>
  </si>
  <si>
    <t>INH000012731</t>
  </si>
  <si>
    <t>Ramesh Pandey</t>
  </si>
  <si>
    <t>Office no 8, 2nd floor, Mangal City,, PU4, Scheme no 54,Vijay Nagar</t>
  </si>
  <si>
    <t>rameshpandey.mtr@gmail.com</t>
  </si>
  <si>
    <t>Office no 8, 2nd floor, Mangal City, PU4, Scheme no 54,Vijay Nagar</t>
  </si>
  <si>
    <t>NAME::RAMESH KUMAR PANDEY PROPRIETOR MONEY TREASURE RESEARCH</t>
  </si>
  <si>
    <t>Palash Kag Proprietor Sarathi Research</t>
  </si>
  <si>
    <t>INH000012740</t>
  </si>
  <si>
    <t>Palash Kag</t>
  </si>
  <si>
    <t>F-88, Yashwant Plaza,, 79 South Tukoganj</t>
  </si>
  <si>
    <t>palashkag@gmail.com</t>
  </si>
  <si>
    <t>F-88, Yashwant Plaza, 79 South Tukoganj</t>
  </si>
  <si>
    <t>NAME::PALASH KAG PROPRIETOR SARATHI RESEARCH</t>
  </si>
  <si>
    <t>Saurab Jain Proprietor Investment Cure Research</t>
  </si>
  <si>
    <t>INH000012838</t>
  </si>
  <si>
    <t>Saurab Jain</t>
  </si>
  <si>
    <t>175 Tilak nagar flat no 201 Indra apartment</t>
  </si>
  <si>
    <t>saurabj08@gmail.com</t>
  </si>
  <si>
    <t>Aug 31, 2023</t>
  </si>
  <si>
    <t>NAME::SAURAB JAIN PROPRIETOR INVESTMENT CURE RESEARCH</t>
  </si>
  <si>
    <t>STOCKBULL RESEARCH PROP. ASHISH CHOCHA</t>
  </si>
  <si>
    <t>INH000012847</t>
  </si>
  <si>
    <t>ASHISH CHOCHA</t>
  </si>
  <si>
    <t>805-806, SHILP TOWER, GODOWN ROAD,, NEAR TAGORE ROAD, RAJKOT</t>
  </si>
  <si>
    <t>ashishchocha4480@gmail.com</t>
  </si>
  <si>
    <t>805-806, SHILP TOWER, GODOWN ROAD, NEAR TAGORE ROAD, RAJKOT</t>
  </si>
  <si>
    <t>NAME::STOCKBULL RESEARCH PROP ASHISH CHOCHA</t>
  </si>
  <si>
    <t>DEEPAK PAL PROPRIETOR INVESTOGAINER RESEARCH</t>
  </si>
  <si>
    <t>INH000012856</t>
  </si>
  <si>
    <t>DEEPAK PAL</t>
  </si>
  <si>
    <t>Plot No. 93-A Setelite Vally, , Mirzapur Road, Tejaji Nagar,</t>
  </si>
  <si>
    <t>DEEPAKPAL6364@GMAIL.COM</t>
  </si>
  <si>
    <t>452020</t>
  </si>
  <si>
    <t>Office No. 207, Capt. C.S Nayudu, Arcade Building, Old Palasia,</t>
  </si>
  <si>
    <t>NAME::DEEPAK PAL PROPRIETOR INVESTOGAINER RESEARCH</t>
  </si>
  <si>
    <t>Deepika Bundela Proprietor of Trade Icon Research Analyst</t>
  </si>
  <si>
    <t>INH000012865</t>
  </si>
  <si>
    <t>DEEPIKA  BUNDELA</t>
  </si>
  <si>
    <t>35/9 SOMNATH KI NAI CHAL</t>
  </si>
  <si>
    <t>bundeladeepika14@gmail.com</t>
  </si>
  <si>
    <t>NAME::DEEPIKA BUNDELA PROPRIETOR OF TRADE ICON RESEARCH ANALYST</t>
  </si>
  <si>
    <t>Vijay Moye Proprietor of Tradespike Research Services</t>
  </si>
  <si>
    <t>INH000012883</t>
  </si>
  <si>
    <t>Vijay Moye</t>
  </si>
  <si>
    <t>607, Krishna Business Center, PU4, Vijay Nagar</t>
  </si>
  <si>
    <t>vijay969191@gmail.com</t>
  </si>
  <si>
    <t>NAME::VIJAY MOYE PROPRIETOR OF TRADESPIKE RESEARCH SERVICES</t>
  </si>
  <si>
    <t>Bikram Gupta, Proprietor, Northpull Capital</t>
  </si>
  <si>
    <t>INH000012962</t>
  </si>
  <si>
    <t>Bikram Gupta</t>
  </si>
  <si>
    <t>108, Second Floor, Pocket 40, Chittaranjan Park</t>
  </si>
  <si>
    <t>bikrm27@gmail.com</t>
  </si>
  <si>
    <t>NAME::BIKRAM GUPTA PROPRIETOR NORTHPULL CAPITAL</t>
  </si>
  <si>
    <t>SARAS JAIN PROPRIETOR OF SHRI BADRI KERDARESHWAR RESEARCH AND INVESTMENT</t>
  </si>
  <si>
    <t>INH000013086</t>
  </si>
  <si>
    <t>SARAS  JAIN</t>
  </si>
  <si>
    <t>8/26, Padmawati Mahal,, Naya Muhalla, Banda</t>
  </si>
  <si>
    <t>sarasbadrikedar@gmail.com</t>
  </si>
  <si>
    <t>470335</t>
  </si>
  <si>
    <t>8/26, Padmawati Mahal, Naya Muhalla, Banda</t>
  </si>
  <si>
    <t>NAME::SARAS JAIN PROPRIETOR OF SHRI BADRI KERDARESHWAR RESEARCH AND INVESTMENT</t>
  </si>
  <si>
    <t>Vikesh Sundar Bangera Proprietor of Options Money Research Analyst</t>
  </si>
  <si>
    <t>INH000013138</t>
  </si>
  <si>
    <t>VIKESH BANGERA</t>
  </si>
  <si>
    <t>Unit No. 1017, 10th Floor, C Wing,, Empire Tower, Airoli, Navi Mumbai</t>
  </si>
  <si>
    <t>Vikesh.analyst2402@hotmail.com</t>
  </si>
  <si>
    <t>400708</t>
  </si>
  <si>
    <t>Unit No. 1017, 10th Floor, C Wing, Empire Tower, Airoli, Navi Mumbai</t>
  </si>
  <si>
    <t>NAME::VIKESH SUNDAR BANGERA PROPRIETOR OF OPTIONS MONEY RESEARCH ANALYST</t>
  </si>
  <si>
    <t>Arpit Kothari Proprietor Wealth Trade Research</t>
  </si>
  <si>
    <t>INH000013165</t>
  </si>
  <si>
    <t>Arpit Kothari</t>
  </si>
  <si>
    <t>912 Sureshwari Techno IT Park Premises CHSL, CTS Number 1564, Link Road, Borivali West</t>
  </si>
  <si>
    <t>akothari6@gmail.com</t>
  </si>
  <si>
    <t>NAME::ARPIT KOTHARI PROPRIETOR WEALTH TRADE RESEARCH</t>
  </si>
  <si>
    <t>Dr Ravi Prakash Singh Proprietor DRSFINVEST</t>
  </si>
  <si>
    <t>INH000013217</t>
  </si>
  <si>
    <t>Ravi Singh</t>
  </si>
  <si>
    <t>9/24, First Floor, East Patel Nagar</t>
  </si>
  <si>
    <t>pinsravi@gmail.com</t>
  </si>
  <si>
    <t>NAME::DR RAVI PRAKASH SINGH PROPRIETOR DRSFINVEST</t>
  </si>
  <si>
    <t>Mayank Singh Chandel Proprietor of Chandel Street Capital</t>
  </si>
  <si>
    <t>INH000013350</t>
  </si>
  <si>
    <t>Mayank Chandel</t>
  </si>
  <si>
    <t>C/O Pratima Singh, Kamra no.3, Ward No.11, Managanj, Jaithari, Post Jaithari</t>
  </si>
  <si>
    <t>mayankchandel90@gmail.com</t>
  </si>
  <si>
    <t>ANUPPUR</t>
  </si>
  <si>
    <t>484330</t>
  </si>
  <si>
    <t>NAME::MAYANK SINGH CHANDEL PROPRIETOR OF CHANDEL STREET CAPITAL</t>
  </si>
  <si>
    <t>Bhupesh Sharma Proprietor of L&amp;P Advisory Services</t>
  </si>
  <si>
    <t>INH000013545</t>
  </si>
  <si>
    <t>Bhupesh  Sharma</t>
  </si>
  <si>
    <t>C-3 mata Ji Mandir Ke Pass Surajpura,, K.K Colony</t>
  </si>
  <si>
    <t>sharma1.bhupesh@gmail.com</t>
  </si>
  <si>
    <t>C-3 mata Ji Mandir Ke Pass Surajpura, K.K Colony</t>
  </si>
  <si>
    <t>Nov 01, 2023</t>
  </si>
  <si>
    <t>NAME::BHUPESH SHARMA PROPRIETOR OF L P ADVISORY SERVICES</t>
  </si>
  <si>
    <t>Anuj Rakheja Proprietor of The Momentum Investing Co.</t>
  </si>
  <si>
    <t>INH000013581</t>
  </si>
  <si>
    <t>ANUJ RAKHEJA</t>
  </si>
  <si>
    <t>1766/6 Govindpuri Extension, Kalkaji</t>
  </si>
  <si>
    <t>ANUJ0908@GMAIL.COM</t>
  </si>
  <si>
    <t>Nov 15, 2023</t>
  </si>
  <si>
    <t>NAME::ANUJ RAKHEJA PROPRIETOR OF THE MOMENTUM INVESTING CO</t>
  </si>
  <si>
    <t>SANJEEV KUMAR KASHYAP PROPRIETOR OF MONEYCURE RESEARCH SERVICES</t>
  </si>
  <si>
    <t>INH000013606</t>
  </si>
  <si>
    <t>Sanjeev Kashyap</t>
  </si>
  <si>
    <t>103, Block A, Prakriti Corporate Building, Above Mocha Cafe</t>
  </si>
  <si>
    <t>ra.sanjeev2023@gmail.com</t>
  </si>
  <si>
    <t>NAME::SANJEEV KUMAR KASHYAP PROPRIETOR OF MONEYCURE RESEARCH SERVICES</t>
  </si>
  <si>
    <t>Tarun Kumar Patidar Proprietor of Equifin Research</t>
  </si>
  <si>
    <t>INH000013624</t>
  </si>
  <si>
    <t>Tarun Patidar</t>
  </si>
  <si>
    <t>Plot no. 18 301 A Third Floor, Kanchan Sagar, Old Palasiya, Indore, Madhya Pradesh, 452001</t>
  </si>
  <si>
    <t>tarunpatidar0108@gmail.com</t>
  </si>
  <si>
    <t>NAME::TARUN KUMAR PATIDAR PROPRIETOR OF EQUIFIN RESEARCH</t>
  </si>
  <si>
    <t>Aakash Rathore Proprietor of Kuber Alpha Research</t>
  </si>
  <si>
    <t>INH000013642</t>
  </si>
  <si>
    <t>Aakash  Rathore</t>
  </si>
  <si>
    <t>151/6, Samajwad Nagar,, Indore</t>
  </si>
  <si>
    <t>aakashrathore6008@gmail.com</t>
  </si>
  <si>
    <t>151/6, Samajwad Nagar, Indore</t>
  </si>
  <si>
    <t>Nov 29, 2023</t>
  </si>
  <si>
    <t>NAME::AAKASH RATHORE PROPRIETOR OF KUBER ALPHA RESEARCH</t>
  </si>
  <si>
    <t>Tarun Garg Proprietor of Stocklution Research Analytics</t>
  </si>
  <si>
    <t>INH000013660</t>
  </si>
  <si>
    <t>Tarun Garg</t>
  </si>
  <si>
    <t>13, Durga Mandir, , Hanumangarh Junction,</t>
  </si>
  <si>
    <t>garg.tarun1206@gmail.com</t>
  </si>
  <si>
    <t>SRI GANGANAGAR</t>
  </si>
  <si>
    <t>335512</t>
  </si>
  <si>
    <t>NAME::TARUN GARG PROPRIETOR OF STOCKLUTION RESEARCH ANALYTICS</t>
  </si>
  <si>
    <t>Niraj Kumar Jain Proprietor Star Wealth Research</t>
  </si>
  <si>
    <t>INH000013730</t>
  </si>
  <si>
    <t>Niraj Jain</t>
  </si>
  <si>
    <t>Plot No 351, P.U.4, Scheme No 54, Vijay Nagar</t>
  </si>
  <si>
    <t>starwealthresearch@gmail.com</t>
  </si>
  <si>
    <t>NAME::NIRAJ KUMAR JAIN PROPRIETOR STAR WEALTH RESEARCH</t>
  </si>
  <si>
    <t>Gaurav Pathak Proprietor of Ruddraksh Research</t>
  </si>
  <si>
    <t>INH000013749</t>
  </si>
  <si>
    <t>Gaurav Pathak</t>
  </si>
  <si>
    <t>317 SHAGUN ARCAD , VIJAY NAGAR AB ROAD INDORE</t>
  </si>
  <si>
    <t>gaurav3335@gmail.com</t>
  </si>
  <si>
    <t>NAME::GAURAV PATHAK PROPRIETOR OF RUDDRAKSH RESEARCH</t>
  </si>
  <si>
    <t>Abhishek Panwar Proprietor of The Horizon Research Service</t>
  </si>
  <si>
    <t>INH000013785</t>
  </si>
  <si>
    <t>Abhishek Panwar</t>
  </si>
  <si>
    <t>106, Swadesh Bhawan society 2 Press complex,, A.B road</t>
  </si>
  <si>
    <t>abhishekpanwar172@gmail.com</t>
  </si>
  <si>
    <t>106, Swadesh Bhawan society 2 Press complex, A.B road</t>
  </si>
  <si>
    <t>NAME::ABHISHEK PANWAR PROPRIETOR OF THE HORIZON RESEARCH SERVICE</t>
  </si>
  <si>
    <t>ADITYA THUKRAL, PROPRIETOR, AT RESEARCH AND RISK MANAGERS</t>
  </si>
  <si>
    <t>INH000013794</t>
  </si>
  <si>
    <t>ADITYA THUKRAL</t>
  </si>
  <si>
    <t>5588 ANAND NAGAR RAGHUBIR PARK STREET NO 5, HAIBOWAL KALAN, BEHIND ST. PATRIC SCHOOL</t>
  </si>
  <si>
    <t>aditya.thukral423@gmail.com</t>
  </si>
  <si>
    <t>NAME::ADITYA THUKRAL PROPRIETOR AT RESEARCH AND RISK MANAGERS</t>
  </si>
  <si>
    <t>Sheetal Sanjeev Kunder Proprietor of Envision Research Associates</t>
  </si>
  <si>
    <t>INH000013800</t>
  </si>
  <si>
    <t>Sheetal Kunder</t>
  </si>
  <si>
    <t>Bunglow No 25, Mohan Water Edge, Eranjad Road, Badlapur West</t>
  </si>
  <si>
    <t>skunder2727@gmail.com</t>
  </si>
  <si>
    <t>NAME::SHEETAL SANJEEV KUNDER PROPRIETOR OF ENVISION RESEARCH ASSOCIATES</t>
  </si>
  <si>
    <t>Nihal Binjwa Proprietor Money Magicians Research</t>
  </si>
  <si>
    <t>INH000013891</t>
  </si>
  <si>
    <t>NIhal Binjwa</t>
  </si>
  <si>
    <t>1st Floor, 21 Bhoj Marg, Freeganj</t>
  </si>
  <si>
    <t>moneymagiciansresearch@gmail.com</t>
  </si>
  <si>
    <t>NAME::NIHAL BINJWA PROPRIETOR MONEY MAGICIANS RESEARCH</t>
  </si>
  <si>
    <t>SATANAND SAWRAN PROPRIETOR OF FINMARK RESEARCH</t>
  </si>
  <si>
    <t>INH000013943</t>
  </si>
  <si>
    <t>Satanand Sawran</t>
  </si>
  <si>
    <t>402, Silver Mall, R.N.T Marg, Indore</t>
  </si>
  <si>
    <t>sawransatanand@gmail.com</t>
  </si>
  <si>
    <t>NAME::SATANAND SAWRAN PROPRIETOR OF FINMARK RESEARCH</t>
  </si>
  <si>
    <t>Vedant Aditya Wanchoo, Proprietor of CGI</t>
  </si>
  <si>
    <t>INH000013970</t>
  </si>
  <si>
    <t>Vedant Wanchoo</t>
  </si>
  <si>
    <t>2nd Floor, F-8, F Wing, Chand Society , Alfred Creado Road</t>
  </si>
  <si>
    <t>vedantwannchoo@gmail.com</t>
  </si>
  <si>
    <t>NAME::VEDANT ADITYA WANCHOO PROPRIETOR OF CGI</t>
  </si>
  <si>
    <t>Vasu Shankar Gupta Proprietor of Auspicious Portfolio &amp; Research</t>
  </si>
  <si>
    <t>INH000014030</t>
  </si>
  <si>
    <t>Vasu Gupta</t>
  </si>
  <si>
    <t>C-54, 2nd Floor, Ashok Vihar, Phase-1</t>
  </si>
  <si>
    <t>auspiciousportfolio@gmail.com</t>
  </si>
  <si>
    <t>NAME::VASU SHANKAR GUPTA PROPRIETOR OF AUSPICIOUS PORTFOLIO RESEARCH</t>
  </si>
  <si>
    <t>Sneha Rai Proprietor of Invest Inn Research</t>
  </si>
  <si>
    <t>INH000014164</t>
  </si>
  <si>
    <t>Sneha Rai</t>
  </si>
  <si>
    <t>GAT NO. 1174 and 1175 1, E Wing, 3 Floor, Office No. 301,, Sai Arcade, Agarwal Gupta Haveli, Wagholi, Haveli,</t>
  </si>
  <si>
    <t>sneha.raimonty@gmail.com</t>
  </si>
  <si>
    <t>GAT NO. 1174 and 1175 1, E Wing, 3 Floor, Office No. 301, Sai Arcade, Agarwal Gupta Haveli, Wagholi, Haveli,</t>
  </si>
  <si>
    <t>Dec 22, 2023</t>
  </si>
  <si>
    <t>NAME::SNEHA RAI PROPRIETOR OF INVEST INN RESEARCH</t>
  </si>
  <si>
    <t>Subhash Singh Tomar Proprietor Confluence Research Service</t>
  </si>
  <si>
    <t>INH000014207</t>
  </si>
  <si>
    <t>Subhash  Tomar</t>
  </si>
  <si>
    <t>424 Goyal Avenue, Nipania</t>
  </si>
  <si>
    <t>Tomar.subhash07@gmail.com</t>
  </si>
  <si>
    <t>OfficeNo1312 1313,SkyeCorporatePark, Scheme no,78,VijayNagar</t>
  </si>
  <si>
    <t>Dec 26, 2023</t>
  </si>
  <si>
    <t>NAME::SUBHASH SINGH TOMAR PROPRIETOR CONFLUENCE RESEARCH SERVICE</t>
  </si>
  <si>
    <t>SANTOSH P, PROPRIETOR OF VN INVESTMENTS</t>
  </si>
  <si>
    <t>INH000014225</t>
  </si>
  <si>
    <t>SANTOSH P</t>
  </si>
  <si>
    <t>NO. 16, 108-2, 3RD B CROSS, DOMLUR 2ND STAGE</t>
  </si>
  <si>
    <t>santoshpesit@gmail.com</t>
  </si>
  <si>
    <t>NAME::SANTOSH P PROPRIETOR OF VN INVESTMENTS</t>
  </si>
  <si>
    <t>Saurabh Sahu Proprietor of Asset Financial Solution</t>
  </si>
  <si>
    <t>INH000014322</t>
  </si>
  <si>
    <t>Saurabh Sahu</t>
  </si>
  <si>
    <t>Shop No 02 1st Floor, Regal Civic Centre , Awadhpuri, Bhel</t>
  </si>
  <si>
    <t>sahusaurabh.ce@gmail.com</t>
  </si>
  <si>
    <t>462022</t>
  </si>
  <si>
    <t>NAME::SAURABH SAHU PROPRIETOR OF ASSET FINANCIAL SOLUTION</t>
  </si>
  <si>
    <t>Sreekanth Vaddem Proprietor of Trading Parivar</t>
  </si>
  <si>
    <t>INH000014359</t>
  </si>
  <si>
    <t>Sreekanth Vaddem</t>
  </si>
  <si>
    <t>5-9-165, Bapuji Nagar, Yapral, Beside Saibaba Temple, Near Yapral Water tank</t>
  </si>
  <si>
    <t>sreetechnical@gmail.com</t>
  </si>
  <si>
    <t>500087</t>
  </si>
  <si>
    <t>NAME::SREEKANTH VADDEM PROPRIETOR OF TRADING PARIVAR</t>
  </si>
  <si>
    <t>Ritu Chouhan Proprietor of The Money Mint Research and Trading Academy</t>
  </si>
  <si>
    <t>INH000014456</t>
  </si>
  <si>
    <t>Ritu Chouhan</t>
  </si>
  <si>
    <t>16, Shiv Nagar Colony  , Dharnaka, Mhow, Indore</t>
  </si>
  <si>
    <t>rit.sengar@gmail.com</t>
  </si>
  <si>
    <t>453441</t>
  </si>
  <si>
    <t>Jan 11, 2024</t>
  </si>
  <si>
    <t>NAME::RITU CHOUHAN PROPRIETOR OF THE MONEY MINT RESEARCH AND TRADING ACADEMY</t>
  </si>
  <si>
    <t>Varun Agarwal Proprietor of Networthy Financial Services</t>
  </si>
  <si>
    <t>INH000014474</t>
  </si>
  <si>
    <t>Varun Agarwal</t>
  </si>
  <si>
    <t>5 9 58/304, GUPTA ESTATE, BASHERBAGH, CIRCLE</t>
  </si>
  <si>
    <t>cavarunagl@gmail.com</t>
  </si>
  <si>
    <t>Jan 12, 2024</t>
  </si>
  <si>
    <t>NAME::VARUN AGARWAL PROPRIETOR OF NETWORTHY FINANCIAL SERVICES</t>
  </si>
  <si>
    <t>Krushnakant Sudhirkumar Rathi  Proprietor of Rathi Equity Research</t>
  </si>
  <si>
    <t>INH000014492</t>
  </si>
  <si>
    <t>Krushnakant Rathi</t>
  </si>
  <si>
    <t>Rajurwadi dist Amravati Rajurwadi</t>
  </si>
  <si>
    <t>rathiequity6031@gmail.com</t>
  </si>
  <si>
    <t>444905</t>
  </si>
  <si>
    <t>NAME::KRUSHNAKANT SUDHIRKUMAR RATHI PROPRIETOR OF RATHI EQUITY RESEARCH</t>
  </si>
  <si>
    <t>Apurva Anil Sharma Proprietor of RAAS Capital Research Analysts</t>
  </si>
  <si>
    <t>INH000014526</t>
  </si>
  <si>
    <t>Apurva Sharma</t>
  </si>
  <si>
    <t>A 302 Teakwood, Vasant Garden Near Swapna Nagri, Mulund (W), Mumbai - 400080</t>
  </si>
  <si>
    <t>raascapital14@gmail.com</t>
  </si>
  <si>
    <t>NAME::APURVA ANIL SHARMA PROPRIETOR OF RAAS CAPITAL RESEARCH ANALYSTS</t>
  </si>
  <si>
    <t>MIKAL KEYUR SHAH PROPRIETOR OF NEXUS RESEARCH</t>
  </si>
  <si>
    <t>INH000014553</t>
  </si>
  <si>
    <t>MIKAL SHAH</t>
  </si>
  <si>
    <t>Shop No. 303-304, 2nd Floor, Wing A, Shree Padama Arked,, Nr Handloom House, Nanpura Main Road, Surat</t>
  </si>
  <si>
    <t>mikalshahra@gmail.com</t>
  </si>
  <si>
    <t>395001</t>
  </si>
  <si>
    <t>Shop No. 303-304, 2nd Floor, Wing A, Shree Padama Arked, Nr Handloom House, Nanpura Main Road, Surat</t>
  </si>
  <si>
    <t>NAME::MIKAL KEYUR SHAH PROPRIETOR OF NEXUS RESEARCH</t>
  </si>
  <si>
    <t>Muruppel Kuruvila James Proprietor of Ideal Research</t>
  </si>
  <si>
    <t>INH000014580</t>
  </si>
  <si>
    <t>Muruppel James</t>
  </si>
  <si>
    <t>703-704, CLIFFTON CORPORATE PARK, 11/6, AB ROAD, SECTOR A, SLICE 6, ARANYA NAGAR,  VIJAY NAGAR</t>
  </si>
  <si>
    <t>idealresearch09@gmail.com</t>
  </si>
  <si>
    <t>NAME::MURUPPEL KURUVILA JAMES PROPRIETOR OF IDEAL RESEARCH</t>
  </si>
  <si>
    <t>Syed Haris Ali Proprietor of Alpha Wealth Research</t>
  </si>
  <si>
    <t>INH000014650</t>
  </si>
  <si>
    <t>Syed Ali</t>
  </si>
  <si>
    <t>4-DA, Slice-4, , Scheme No.78, Arranya Nagar</t>
  </si>
  <si>
    <t>haariss932@gmail.com</t>
  </si>
  <si>
    <t>Jan 31, 2024</t>
  </si>
  <si>
    <t>NAME::SYED HARIS ALI PROPRIETOR OF ALPHA WEALTH RESEARCH</t>
  </si>
  <si>
    <t>Mayuri Chhaparwal Proprietor of Divine Research</t>
  </si>
  <si>
    <t>INH000014720</t>
  </si>
  <si>
    <t>Mayuri Chhaparwal</t>
  </si>
  <si>
    <t>464F ,Raj nagar,Dhar road,Indore</t>
  </si>
  <si>
    <t>mayuriind061@gmail.com</t>
  </si>
  <si>
    <t>NAME::MAYURI CHHAPARWAL PROPRIETOR OF DIVINE RESEARCH</t>
  </si>
  <si>
    <t>Kalim Khan Proprietor of Petrel Capital Research</t>
  </si>
  <si>
    <t>INH000014739</t>
  </si>
  <si>
    <t>Kalim Khan</t>
  </si>
  <si>
    <t>93 , Balkrishna Bapuji Marg, SN Path Badnagar</t>
  </si>
  <si>
    <t>kalimkhanoffice@gmail.com</t>
  </si>
  <si>
    <t>456771</t>
  </si>
  <si>
    <t>NAME::KALIM KHAN PROPRIETOR OF PETREL CAPITAL RESEARCH</t>
  </si>
  <si>
    <t>Ritesh Gupta Proprietor of Worthwhiz Financial Services</t>
  </si>
  <si>
    <t>INH000014775</t>
  </si>
  <si>
    <t>Ritesh Gupta</t>
  </si>
  <si>
    <t>B 1,Office No.356 357,PU4,VijayNagar</t>
  </si>
  <si>
    <t>riteshgupta3202@gmail.com</t>
  </si>
  <si>
    <t>NAME::RITESH GUPTA PROPRIETOR OF WORTHWHIZ FINANCIAL SERVICES</t>
  </si>
  <si>
    <t>Khushbu Jugal Sherdiwala Proprietor Of Bull Magneto</t>
  </si>
  <si>
    <t>INH000014809</t>
  </si>
  <si>
    <t>Khushbu Sherdiwala</t>
  </si>
  <si>
    <t>33 A Shop No. 217 2nd Floor, Raghuveer Symphony Shoppers, Althan Bhimrad Cenal Road</t>
  </si>
  <si>
    <t>khdixit22@gmail.com</t>
  </si>
  <si>
    <t>NAME::KHUSHBU JUGAL SHERDIWALA PROPRIETOR OF BULL MAGNETO</t>
  </si>
  <si>
    <t>Omkar Sunil Kadam Proprietor of Travestingmoney</t>
  </si>
  <si>
    <t>INH000014836</t>
  </si>
  <si>
    <t>Omkar Kadam</t>
  </si>
  <si>
    <t>Office No. 209, 2nd floor, Gandharv, Galaxia Mall, Amanora Park Town, Hadapsar,</t>
  </si>
  <si>
    <t>oskadamofficial@gmail.com</t>
  </si>
  <si>
    <t>411036</t>
  </si>
  <si>
    <t>NAME::OMKAR SUNIL KADAM PROPRIETOR OF TRAVESTINGMONEY</t>
  </si>
  <si>
    <t>Hemant Bajaj Proprietor Krijuna Research and Analytics</t>
  </si>
  <si>
    <t>INH000014881</t>
  </si>
  <si>
    <t>Hemant Bajaj</t>
  </si>
  <si>
    <t>8001 8th Floor World Trade Center, Near Udhna Darwaja Ring Road Surat</t>
  </si>
  <si>
    <t>krijuna01@gmail.com</t>
  </si>
  <si>
    <t>NAME::HEMANT BAJAJ PROPRIETOR KRIJUNA RESEARCH AND ANALYTICS</t>
  </si>
  <si>
    <t>ARTIBA VIJAYSINH RANA PROPRIETOR OF  AR RESEARCH</t>
  </si>
  <si>
    <t>INH000014997</t>
  </si>
  <si>
    <t>ARTIBA RANA</t>
  </si>
  <si>
    <t>10/B, Bhagvati Park, Mahasagar Coplex, Bhagvati Circle</t>
  </si>
  <si>
    <t>ranaarti9122@gmail.com</t>
  </si>
  <si>
    <t>364002</t>
  </si>
  <si>
    <t>NAME::ARTIBA VIJAYSINH RANA PROPRIETOR OF AR RESEARCH</t>
  </si>
  <si>
    <t>Krunal Rajubhai Rajput Proprietor of Money Wealth</t>
  </si>
  <si>
    <t>INH000015002</t>
  </si>
  <si>
    <t>KRUNAL RAJPUT</t>
  </si>
  <si>
    <t>B/303, Dev Samruddh, B/H Alok-4, B/H Mehsul Bhavan , Vastral</t>
  </si>
  <si>
    <t>krunal.rajputr1994@gmail.com</t>
  </si>
  <si>
    <t>382418</t>
  </si>
  <si>
    <t>NAME::KRUNAL RAJUBHAI RAJPUT PROPRIETOR OF MONEY WEALTH</t>
  </si>
  <si>
    <t>Afaque Ali Proprietor Of Misal India</t>
  </si>
  <si>
    <t>INH000015011</t>
  </si>
  <si>
    <t>Afaque Ali</t>
  </si>
  <si>
    <t>7412, Pura Rani, Mubarakpur, Azamgarh</t>
  </si>
  <si>
    <t>afaque4yu@gmail.com</t>
  </si>
  <si>
    <t>MAU</t>
  </si>
  <si>
    <t>276404</t>
  </si>
  <si>
    <t>NAME::AFAQUE ALI PROPRIETOR OF MISAL INDIA</t>
  </si>
  <si>
    <t>Ram Naresh Singh Proprietor Prime Market Research</t>
  </si>
  <si>
    <t>INH000015039</t>
  </si>
  <si>
    <t>Ram Singh</t>
  </si>
  <si>
    <t>22/1, MARUTI NAGAR SUKLIYA</t>
  </si>
  <si>
    <t>prime360research@gmail.com</t>
  </si>
  <si>
    <t>401 402, Rafael Tower, 8 2 Old Palasia, Indore, Madhya Pradesh</t>
  </si>
  <si>
    <t>NAME::RAM NARESH SINGH PROPRIETOR PRIME MARKET RESEARCH</t>
  </si>
  <si>
    <t>N Bhavitha Proprietor of Sri Lakshmi Trade Research</t>
  </si>
  <si>
    <t>INH000015127</t>
  </si>
  <si>
    <t>NAGIREDDYGARI BHAVITHA</t>
  </si>
  <si>
    <t>Enumulapalli 02 , Puttaparthy u , Sri Sathya Sai</t>
  </si>
  <si>
    <t>Nagireddybhavyareddy@gmail.com</t>
  </si>
  <si>
    <t>515134</t>
  </si>
  <si>
    <t>NAME::N BHAVITHA PROPRIETOR OF SRI LAKSHMI TRADE RESEARCH</t>
  </si>
  <si>
    <t>Amarjeet Kumar, PROPRIETOR AT THE WISE STOCK</t>
  </si>
  <si>
    <t>INH000015190</t>
  </si>
  <si>
    <t>AMARJEET KUMAR</t>
  </si>
  <si>
    <t>NO. 102, SMD BEVERLY HILLS AECS LAYOUT,, SINGASANDRA,</t>
  </si>
  <si>
    <t>amarjeet07807@gmail.com</t>
  </si>
  <si>
    <t>NO. 102, SMD BEVERLY HILLS AECS LAYOUT, SINGASANDRA,</t>
  </si>
  <si>
    <t>NAME::AMARJEET KUMAR PROPRIETOR AT THE WISE STOCK</t>
  </si>
  <si>
    <t>Vibhu Jain Proprietor of Market Beast</t>
  </si>
  <si>
    <t>INH000015233</t>
  </si>
  <si>
    <t>Vibhu Jain</t>
  </si>
  <si>
    <t>H. No. 3814/6, Kanhaiya Nagar,, Tri Nagar, Delhi</t>
  </si>
  <si>
    <t>VBUJN.007@GMAIL.COM</t>
  </si>
  <si>
    <t>H. No. 3814/6, Kanhaiya Nagar, Tri Nagar, Delhi</t>
  </si>
  <si>
    <t>NAME::VIBHU JAIN PROPRIETOR OF MARKET BEAST</t>
  </si>
  <si>
    <t>Ankush Paul proprietor of Blackace Research</t>
  </si>
  <si>
    <t>INH000015251</t>
  </si>
  <si>
    <t>Ankush Paul</t>
  </si>
  <si>
    <t>No 20, 2nd Floor, Alfa Center, Venugopal Swamy Layout, 100 feet Road,, Egipura Ring Road, KC Valley</t>
  </si>
  <si>
    <t>ankushpaul1994@outlook.com</t>
  </si>
  <si>
    <t>No 20, 2nd Floor, Alfa Center, Venugopal Swamy Layout, 100 feet Road, Egipura Ring Road, KC Valley</t>
  </si>
  <si>
    <t>NAME::ANKUSH PAUL PROPRIETOR OF BLACKACE RESEARCH</t>
  </si>
  <si>
    <t>VIKRAM SINGH THAKUR PROPRIETOR OF VENTURE FINCORP</t>
  </si>
  <si>
    <t>INH000015288</t>
  </si>
  <si>
    <t>Vikram Thakur</t>
  </si>
  <si>
    <t>407,KRISHNA BUSINESS CENTRE 4TH FLOOR, PLOT NO 11 PU-4 SCHEME NO 54,VIJAY NAGAR,</t>
  </si>
  <si>
    <t>fincorpventure@gmail.com</t>
  </si>
  <si>
    <t>NAME::VIKRAM SINGH THAKUR PROPRIETOR OF VENTURE FINCORP</t>
  </si>
  <si>
    <t>ANJALI TIWARI PROPRIETOR OF STOCK OPTION RESEARCH</t>
  </si>
  <si>
    <t>INH000015321</t>
  </si>
  <si>
    <t>Anjali Tiwari</t>
  </si>
  <si>
    <t>Office No. 401, New Techno City,, Above HDFC Bank, MBP, Mahape, Navi Mumbai</t>
  </si>
  <si>
    <t>anjalitiwari763@gmail.com</t>
  </si>
  <si>
    <t>Office No. 401, New Techno City, Above HDFC Bank, MBP, Mahape, Navi Mumbai</t>
  </si>
  <si>
    <t>NAME::ANJALI TIWARI PROPRIETOR OF STOCK OPTION RESEARCH</t>
  </si>
  <si>
    <t>Mohd Sohrab Shaikh Proprietor of M J Research Services</t>
  </si>
  <si>
    <t>INH000015376</t>
  </si>
  <si>
    <t>Mohd  Shaikh</t>
  </si>
  <si>
    <t>136/2/2, Social welfare Asso, Shaikh Missri Dargah Road, Antophill, Wadala East</t>
  </si>
  <si>
    <t>mjresearchservices@gmail.com</t>
  </si>
  <si>
    <t>NAME::MOHD SOHRAB SHAIKH PROPRIETOR OF M J RESEARCH SERVICES</t>
  </si>
  <si>
    <t>Amit Kumar Singh Proprietor of Amit Kumar Singh Research Analyst</t>
  </si>
  <si>
    <t>INH000015428</t>
  </si>
  <si>
    <t>OFFICE NUMBER 203 , 2ND FLOOR , APOLLO AVENUE , , 30-B, ABOVE NAFEES RESTURANT,OLD PALASIA,</t>
  </si>
  <si>
    <t>ra.amitkumarsingh@gmail.com</t>
  </si>
  <si>
    <t>Mar 13, 2024</t>
  </si>
  <si>
    <t>NAME::AMIT KUMAR SINGH PROPRIETOR OF AMIT KUMAR SINGH RESEARCH ANALYST</t>
  </si>
  <si>
    <t>Mohammed Shoaib Dayma Proprietor of FiSC Capital</t>
  </si>
  <si>
    <t>INH000015525</t>
  </si>
  <si>
    <t>13/14 Ved Vyas Colony, Behind Krishna Dharmshala</t>
  </si>
  <si>
    <t>NAME::MOHAMMED SHOAIB DAYMA PROPRIETOR OF FISC CAPITAL</t>
  </si>
  <si>
    <t>Shivam Dugaya Proprietor of Wealth compounder</t>
  </si>
  <si>
    <t>INH000015631</t>
  </si>
  <si>
    <t>Shivam Dugaya</t>
  </si>
  <si>
    <t>C608 Sanskriti Society , kaspate wasti Road Wakad Pune</t>
  </si>
  <si>
    <t>Shivamdugaya997@gmail.com</t>
  </si>
  <si>
    <t>NAME::SHIVAM DUGAYA PROPRIETOR OF WEALTH COMPOUNDER</t>
  </si>
  <si>
    <t>Abhishek Gupta Proprietor of Graassp Equity Research Services</t>
  </si>
  <si>
    <t>INH000015668</t>
  </si>
  <si>
    <t>Abhishek  Gupta</t>
  </si>
  <si>
    <t>C 83B Jitar Nagar near Gurudwara</t>
  </si>
  <si>
    <t>abhishek.graassp.inv@gmail.com</t>
  </si>
  <si>
    <t>110051</t>
  </si>
  <si>
    <t>NAME::ABHISHEK GUPTA PROPRIETOR OF GRAASSP EQUITY RESEARCH SERVICES</t>
  </si>
  <si>
    <t>Aneela Killedar Proprietor of Global Vision Research</t>
  </si>
  <si>
    <t>INH000015853</t>
  </si>
  <si>
    <t>Aneela Killedar</t>
  </si>
  <si>
    <t>NO. 316, PLOT NO. 1, PU 4, SCHEME NO. 54, COMMERCIAL, , SHAGUN ARCADE, THIRD FLOOR</t>
  </si>
  <si>
    <t>Globalvresearch@gmail.com</t>
  </si>
  <si>
    <t>NAME::ANEELA KILLEDAR PROPRIETOR OF GLOBAL VISION RESEARCH</t>
  </si>
  <si>
    <t>Ajay Kumar Jharbade proprietor of Dream Wealth Research Financial Services</t>
  </si>
  <si>
    <t>INH000016083</t>
  </si>
  <si>
    <t>Ajay Jharbade</t>
  </si>
  <si>
    <t>419, Onam Plaza ,4th Floor, 18, Palasia, AB Road</t>
  </si>
  <si>
    <t>ra.ajayjharbade@gmail.com</t>
  </si>
  <si>
    <t>NAME::AJAY KUMAR JHARBADE PROPRIETOR OF DREAM WEALTH RESEARCH FINANCIAL SERVICES</t>
  </si>
  <si>
    <t>Inderjeet Singh proprietor of Param Nivesh</t>
  </si>
  <si>
    <t>INH000016144</t>
  </si>
  <si>
    <t>inderjeet bhinder</t>
  </si>
  <si>
    <t>102, Press House, 22 press Complex, A.B. Road</t>
  </si>
  <si>
    <t>inderjeet1191@yahoo.in</t>
  </si>
  <si>
    <t>452008</t>
  </si>
  <si>
    <t>NAME::INDERJEET SINGH PROPRIETOR OF PARAM NIVESH</t>
  </si>
  <si>
    <t>Vikash Sharma Proprietor Stock Market Research &amp; Services</t>
  </si>
  <si>
    <t>INH000016153</t>
  </si>
  <si>
    <t>Vikash Sharma</t>
  </si>
  <si>
    <t>H.No. B-1, New Royal Residency, Shukla Colony</t>
  </si>
  <si>
    <t>stockmarketresearchservices@gmail.com</t>
  </si>
  <si>
    <t>GUNA</t>
  </si>
  <si>
    <t>473001</t>
  </si>
  <si>
    <t>Jun 11, 2024</t>
  </si>
  <si>
    <t>NAME::VIKASH SHARMA PROPRIETOR STOCK MARKET RESEARCH SERVICES</t>
  </si>
  <si>
    <t>Shivaji Phadke Proprietor of Investstocks Official</t>
  </si>
  <si>
    <t>INH000016214</t>
  </si>
  <si>
    <t>Shivaji Phadke</t>
  </si>
  <si>
    <t>Kangaon Daund Road,Phadke Wasti, Daund</t>
  </si>
  <si>
    <t>shivaji.phadke@gmail.com</t>
  </si>
  <si>
    <t>412219</t>
  </si>
  <si>
    <t>NAME::SHIVAJI PHADKE PROPRIETOR OF INVESTSTOCKS OFFICIAL</t>
  </si>
  <si>
    <t>LATESH NARULA PROPRIETOR EQUITY DYNAMO</t>
  </si>
  <si>
    <t>INH000016269</t>
  </si>
  <si>
    <t>LATESH  NARULA</t>
  </si>
  <si>
    <t>313 , 3RD FLOOR, WONDER MALL</t>
  </si>
  <si>
    <t>lnarula90@gmail.com</t>
  </si>
  <si>
    <t>ALWAR</t>
  </si>
  <si>
    <t>301001</t>
  </si>
  <si>
    <t>NAME::LATESH NARULA PROPRIETOR EQUITY DYNAMO</t>
  </si>
  <si>
    <t>Rampal Singh Narwariya Prop. Value Maker Research</t>
  </si>
  <si>
    <t>INH000016311</t>
  </si>
  <si>
    <t>Rampal  Narwariya</t>
  </si>
  <si>
    <t>EW 21, Singapore British Park, Phase 2, Dhabali</t>
  </si>
  <si>
    <t>valuemakerresearch@gmail.com</t>
  </si>
  <si>
    <t>NAME::RAMPAL SINGH NARWARIYA PROP VALUE MAKER RESEARCH</t>
  </si>
  <si>
    <t>KIRAN BALA PROPRIETOR K B TRADING CONSULTANCY</t>
  </si>
  <si>
    <t>INH000016445</t>
  </si>
  <si>
    <t>Kiran Bala</t>
  </si>
  <si>
    <t>40 C, 2nd Floor Kalkaji Extension, Pocket A-13 Fortview Apartment, Kalkaji New Delhi</t>
  </si>
  <si>
    <t>learntradingwithkb@gmail.com</t>
  </si>
  <si>
    <t>NAME::KIRAN BALA PROPRIETOR K B TRADING CONSULTANCY</t>
  </si>
  <si>
    <t>Manoj Kumar Sahu Proprietor of Worth Vision Research</t>
  </si>
  <si>
    <t>INH000016524</t>
  </si>
  <si>
    <t>Manoj Sahu</t>
  </si>
  <si>
    <t>203 Vishal Astra, SchemeNo54, Satya Sai Square, A B Road</t>
  </si>
  <si>
    <t>maxxcapitalresearchs@gmail.com</t>
  </si>
  <si>
    <t>NAME::MANOJ KUMAR SAHU PROPRIETOR OF WORTH VISION RESEARCH</t>
  </si>
  <si>
    <t>Sidharth Singh Dau Singh Rajput Proprietor The Stock Savvy</t>
  </si>
  <si>
    <t>INH000016612</t>
  </si>
  <si>
    <t>Sidharth Singh Rajput</t>
  </si>
  <si>
    <t>10 A FRIENDS CHS ADVANCE, BUILDER COMP SAKINAKA KHERANI RD</t>
  </si>
  <si>
    <t>Sidharthrajput91@gmail.com</t>
  </si>
  <si>
    <t>NAME::SIDHARTH SINGH DAU SINGH RAJPUT PROPRIETOR THE STOCK SAVVY</t>
  </si>
  <si>
    <t>Anuj Paharia Proprietor of Trade Opulence</t>
  </si>
  <si>
    <t>INH000016658</t>
  </si>
  <si>
    <t>Anuj  Paharia</t>
  </si>
  <si>
    <t>849 B, Second Floor, Manas Nandini Manas Bhawan,, Wright Town,</t>
  </si>
  <si>
    <t>raanuj2024@gmail.com</t>
  </si>
  <si>
    <t>849 B, Second Floor, Manas Nandini Manas Bhawan, Wright Town,</t>
  </si>
  <si>
    <t>NAME::ANUJ PAHARIA PROPRIETOR OF TRADE OPULENCE</t>
  </si>
  <si>
    <t>Raj Rishi Proprietor of Equity Research Mart</t>
  </si>
  <si>
    <t>INH000016700</t>
  </si>
  <si>
    <t>RAJ  RISHI</t>
  </si>
  <si>
    <t>Avantika Cinema Road, Bari Dariyapur Jamalpur</t>
  </si>
  <si>
    <t>rajrishi2007@yahoo.com</t>
  </si>
  <si>
    <t>BIHAR SHARIF</t>
  </si>
  <si>
    <t>811214</t>
  </si>
  <si>
    <t>OFFICE NO.503A, PATLIPUTRA MALL, BLOCK-B, EXHIBITION ROAD, PATNA,  NEAR SMART BAZAR</t>
  </si>
  <si>
    <t>800001</t>
  </si>
  <si>
    <t>NAME::RAJ RISHI PROPRIETOR OF EQUITY RESEARCH MART</t>
  </si>
  <si>
    <t>Jitendra Singh Bhadouria proprietor of Trade Mantra Advance Research</t>
  </si>
  <si>
    <t>INH000016889</t>
  </si>
  <si>
    <t>Jitendra Bhadouria</t>
  </si>
  <si>
    <t>3rd Floor, 7/119 Nakul Street, Vishwas Nagar, SBI Bank, Shahdara, North East Delhi</t>
  </si>
  <si>
    <t>jitendrabhadouria057@gmail.com</t>
  </si>
  <si>
    <t>NAME::JITENDRA SINGH BHADOURIA PROPRIETOR OF TRADE MANTRA ADVANCE RESEARCH</t>
  </si>
  <si>
    <t>Rakesh Pandeet Proprietor of Research Factory</t>
  </si>
  <si>
    <t>INH000017028</t>
  </si>
  <si>
    <t>Rakesh Pandeet</t>
  </si>
  <si>
    <t>112/113, C Sector Gali No. 21, First Choice Enterprise, Nandbag Colony</t>
  </si>
  <si>
    <t>rakesh.pandit7765@gmail.com</t>
  </si>
  <si>
    <t>452006</t>
  </si>
  <si>
    <t>NAME::RAKESH PANDEET PROPRIETOR OF RESEARCH FACTORY</t>
  </si>
  <si>
    <t>Preetam Mewada Proprietor of Apex Solution Research</t>
  </si>
  <si>
    <t>INH000017116</t>
  </si>
  <si>
    <t>Preetam Mewada</t>
  </si>
  <si>
    <t>Office No 202,Orbit Mall Plot No 305-306, Pu-4 Scheme No 54 Ab Road,</t>
  </si>
  <si>
    <t>Preetam.singh.sp@gmail.com</t>
  </si>
  <si>
    <t>NAME::PREETAM MEWADA PROPRIETOR OF APEX SOLUTION RESEARCH</t>
  </si>
  <si>
    <t>ANJALI GUPTA PROPRIETOR OF EQUITRADE RESEARCH</t>
  </si>
  <si>
    <t>INH000017170</t>
  </si>
  <si>
    <t>Anjali Gupta</t>
  </si>
  <si>
    <t>31 Everest Apartment, Flat No. 5, Saket Nagar</t>
  </si>
  <si>
    <t>anjalimimrot11@gmail.com</t>
  </si>
  <si>
    <t>NAME::ANJALI GUPTA PROPRIETOR OF EQUITRADE RESEARCH</t>
  </si>
  <si>
    <t>Nishit Bipin Doshi  Proprietor Of Vidyasagar Investments</t>
  </si>
  <si>
    <t>INH000017198</t>
  </si>
  <si>
    <t>Nishit Doshi</t>
  </si>
  <si>
    <t>A 1402, Nandanvan CHS, LT Road, Near ST. Anees School</t>
  </si>
  <si>
    <t>nishit189@gmail.com</t>
  </si>
  <si>
    <t>NAME::NISHIT BIPIN DOSHI PROPRIETOR OF VIDYASAGAR INVESTMENTS</t>
  </si>
  <si>
    <t>Archana Tiwari Proprietor of Grow Research Analyst</t>
  </si>
  <si>
    <t>INH000017222</t>
  </si>
  <si>
    <t>Archana Tiwari</t>
  </si>
  <si>
    <t>R 22, Hindustan Times Buiding, Zone I, M.P. Nagar</t>
  </si>
  <si>
    <t>archana.tiwari3737@gmail.com</t>
  </si>
  <si>
    <t>NAME::ARCHANA TIWARI PROPRIETOR OF GROW RESEARCH ANALYST</t>
  </si>
  <si>
    <t>Kashish Joshi Proprietor of Apex Capital Research</t>
  </si>
  <si>
    <t>INH000017240</t>
  </si>
  <si>
    <t>Kashish Joshi</t>
  </si>
  <si>
    <t>Co Habitus Co-working Space desk no. H05, Rajlaxmi Prime Building, 5a,, Nakoda Complex Hiran Magri, Sector 4, Main Road Near HDFC Bank,</t>
  </si>
  <si>
    <t>kashishjoshi49@gmail.com</t>
  </si>
  <si>
    <t>313002</t>
  </si>
  <si>
    <t>Co Habitus Co-working Space desk no. H05, Rajlaxmi Prime Building, 5a, Nakoda Complex Hiran Magri, Sector 4, Main Road Near HDFC Bank,</t>
  </si>
  <si>
    <t>NAME::KASHISH JOSHI PROPRIETOR OF APEX CAPITAL RESEARCH</t>
  </si>
  <si>
    <t>Ashok Kumar Aggarwal Proprietor of equitycharcha.com</t>
  </si>
  <si>
    <t>INH000017301</t>
  </si>
  <si>
    <t>Ashok Aggarwal</t>
  </si>
  <si>
    <t>Q-1703, Paramount Emotions, , Greater Noida West, Bishrakh</t>
  </si>
  <si>
    <t>akaresearchanalyst@gmail.com</t>
  </si>
  <si>
    <t>Q-1703, Paramount Emotions, Greater Noida West, Bishrakh</t>
  </si>
  <si>
    <t>NAME::ASHOK KUMAR AGGARWAL PROPRIETOR OF EQUITYCHARCHA COM</t>
  </si>
  <si>
    <t>J V V SATYANARAYANA PROPRIETOR GROWUP RESEARCH</t>
  </si>
  <si>
    <t>INH000017365</t>
  </si>
  <si>
    <t>SATYANARAYANA  J</t>
  </si>
  <si>
    <t>917,4th Floor,5th Main Road, Sector 7,Hsr Layout</t>
  </si>
  <si>
    <t>growupresarch@gmail.com</t>
  </si>
  <si>
    <t>Jul 05, 2024</t>
  </si>
  <si>
    <t>NAME::J V V SATYANARAYANA PROPRIETOR GROWUP RESEARCH</t>
  </si>
  <si>
    <t>Deepti Sarkar Proprietor of Option Bricks</t>
  </si>
  <si>
    <t>INH000017408</t>
  </si>
  <si>
    <t>DEEPTI SARKAR</t>
  </si>
  <si>
    <t>Flat No. D08/4, Siddhivinayak Chs Ltd, Sector-08, Sanpada</t>
  </si>
  <si>
    <t>deeptisarkar7@gmail.com</t>
  </si>
  <si>
    <t>NAME::DEEPTI SARKAR PROPRIETOR OF OPTION BRICKS</t>
  </si>
  <si>
    <t>Urvashi Barod Proprietor of Versatile Research Venture</t>
  </si>
  <si>
    <t>INH000017444</t>
  </si>
  <si>
    <t>Urvashi  Barod</t>
  </si>
  <si>
    <t>49 A, Ratna Lok Colony,</t>
  </si>
  <si>
    <t>barodurvashi2@gmail.com</t>
  </si>
  <si>
    <t>Jul 09, 2024</t>
  </si>
  <si>
    <t>NAME::URVASHI BAROD PROPRIETOR OF VERSATILE RESEARCH VENTURE</t>
  </si>
  <si>
    <t>Sruthy Sreenadh proprietor of Ski Capital Research attached as Annexure B</t>
  </si>
  <si>
    <t>INH000017578</t>
  </si>
  <si>
    <t>Sruthy Sreenadh</t>
  </si>
  <si>
    <t>17 APOORVA BUILDING 4TH FLOOR BTM 1ST STAGE PILLOR NO 127 RELIANCE FRESHOPP</t>
  </si>
  <si>
    <t>sruthysreenadh1@gmail.com</t>
  </si>
  <si>
    <t>NAME::SRUTHY SREENADH PROPRIETOR OF SKI CAPITAL RESEARCH ATTACHED AS ANNEXURE B</t>
  </si>
  <si>
    <t>Ishan Tiwari Proprietor of Stock Yantra</t>
  </si>
  <si>
    <t>INH000017639</t>
  </si>
  <si>
    <t>ISHAN  TIWARI</t>
  </si>
  <si>
    <t>Flat No 301 Suryansh Exotica B, 91 Alok Nagar Indore</t>
  </si>
  <si>
    <t>RAISHANTIWARI09@GMAIL.COM</t>
  </si>
  <si>
    <t>NAME::ISHAN TIWARI PROPRIETOR OF STOCK YANTRA</t>
  </si>
  <si>
    <t>Vijaykumar Basayya Mathad Proprietor of Varada Research</t>
  </si>
  <si>
    <t>INH000017790</t>
  </si>
  <si>
    <t>VIJAYKUMAR MATHAD</t>
  </si>
  <si>
    <t>shop no 234 , 2nd floor , Bhavani Arcade , Near old Bus stand , Hubli - 580029</t>
  </si>
  <si>
    <t>uvjkumarbm@gmail.com</t>
  </si>
  <si>
    <t>HUBBALLI-DHARWAD</t>
  </si>
  <si>
    <t>580029</t>
  </si>
  <si>
    <t>NAME::VIJAYKUMAR BASAYYA MATHAD PROPRIETOR OF VARADA RESEARCH</t>
  </si>
  <si>
    <t>Saurabh Kumar Chaurasia Proprietor of Equimate</t>
  </si>
  <si>
    <t>INH000017806</t>
  </si>
  <si>
    <t>Saurabh Chaurasia</t>
  </si>
  <si>
    <t>H No 51, C Sector, Indrapuri, Piplani Huzur, Bhopal,</t>
  </si>
  <si>
    <t>saurabhchaurasia.ra@gmail.com</t>
  </si>
  <si>
    <t>NAME::SAURABH KUMAR CHAURASIA PROPRIETOR OF EQUIMATE</t>
  </si>
  <si>
    <t>Supriya Dinesh Singh Proprietor of Miracle Research Services</t>
  </si>
  <si>
    <t>INH000017833</t>
  </si>
  <si>
    <t>Supriya  Singh</t>
  </si>
  <si>
    <t>Flat No.1304, Sector 6, Plot No. 3, Ghansoli, Navi Mumbai</t>
  </si>
  <si>
    <t>supriyaresearch193@gmail.com</t>
  </si>
  <si>
    <t>400701</t>
  </si>
  <si>
    <t>Jul 24, 2024</t>
  </si>
  <si>
    <t>NAME::SUPRIYA DINESH SINGH PROPRIETOR OF MIRACLE RESEARCH SERVICES</t>
  </si>
  <si>
    <t>SHOBHIT TANDON PROPRIETOR THE VISION RESEARCH</t>
  </si>
  <si>
    <t>INH000017860</t>
  </si>
  <si>
    <t>SHOBHIT TANDON</t>
  </si>
  <si>
    <t>MANVI COMPLEX, No 28, East End Road, 9th Block</t>
  </si>
  <si>
    <t>thevisionresearch@gmail.com</t>
  </si>
  <si>
    <t>560069</t>
  </si>
  <si>
    <t>NAME::SHOBHIT TANDON PROPRIETOR THE VISION RESEARCH</t>
  </si>
  <si>
    <t>Rajiv Dubey Prop. Trade Stone Research Services</t>
  </si>
  <si>
    <t>INH000017888</t>
  </si>
  <si>
    <t>Rajiv Dubey</t>
  </si>
  <si>
    <t>402 Krishna Business Center, Plot No 11 PU4, Scheme No 54, Near Medanta Hospital</t>
  </si>
  <si>
    <t>hrtradestone@gmail.com</t>
  </si>
  <si>
    <t>NAME::RAJIV DUBEY PROP TRADE STONE RESEARCH SERVICES</t>
  </si>
  <si>
    <t>Shivam Yadav Proprietor of Stox Elite</t>
  </si>
  <si>
    <t>INH000017921</t>
  </si>
  <si>
    <t>Shivam Yadav</t>
  </si>
  <si>
    <t>B 253 Kalindi Gold City, Bhagiya, Jakhiya</t>
  </si>
  <si>
    <t>stoxelite@gmail.com</t>
  </si>
  <si>
    <t>NAME::SHIVAM YADAV PROPRIETOR OF STOX ELITE</t>
  </si>
  <si>
    <t>Manish Sahu Proprietor of Trade Via Research Analyst</t>
  </si>
  <si>
    <t>INH000018009</t>
  </si>
  <si>
    <t>Manish  Sahu</t>
  </si>
  <si>
    <t>Office No. 1308, 13th Floor, Sky Corporate Park,, Vijay Nagar, Indore</t>
  </si>
  <si>
    <t>Tradeviaresearchanalyst@gmail.com</t>
  </si>
  <si>
    <t>Office No. 1308, 13th Floor, Sky Corporate Park, Vijay Nagar, Indore</t>
  </si>
  <si>
    <t>NAME::MANISH SAHU PROPRIETOR OF TRADE VIA RESEARCH ANALYST</t>
  </si>
  <si>
    <t>Aditya Rathi Proprietor of Optitrade Pro Services</t>
  </si>
  <si>
    <t>INH000018063</t>
  </si>
  <si>
    <t>Aditya Rathi</t>
  </si>
  <si>
    <t>RAMGANGA BUILDING, 27 RAMGANGA BUILDING, SURANA NAGAR, NEAR DATTA BHAWAN, 7 HILLS,</t>
  </si>
  <si>
    <t>adityarathi03@gmail.com</t>
  </si>
  <si>
    <t>431001</t>
  </si>
  <si>
    <t>NAME::ADITYA RATHI PROPRIETOR OF OPTITRADE PRO SERVICES</t>
  </si>
  <si>
    <t>Kratika Yadav Proprietor of Ethical Research</t>
  </si>
  <si>
    <t>INH000018179</t>
  </si>
  <si>
    <t>Kratika  Yadav</t>
  </si>
  <si>
    <t>401 413 FOURTH FLOOR, PRINCESS BUSINESS SKYLINE  , OPPOSITE C21 MALL, A B ROAD</t>
  </si>
  <si>
    <t>itsethicalresearch@gmail.com</t>
  </si>
  <si>
    <t>NAME::KRATIKA YADAV PROPRIETOR OF ETHICAL RESEARCH</t>
  </si>
  <si>
    <t>DILEEP KUMAR JAISWAL PROPRIETOR MYINVESTINGMANTRA</t>
  </si>
  <si>
    <t>INH000018355</t>
  </si>
  <si>
    <t>DILEEP  JAISWAL</t>
  </si>
  <si>
    <t>Kailash Bhawan, KHL 638, Hanumat Lane, Kardmeshwar Puram Colony</t>
  </si>
  <si>
    <t>dileepjaiswal33@gmail.com</t>
  </si>
  <si>
    <t>221106</t>
  </si>
  <si>
    <t>Aug 13, 2024</t>
  </si>
  <si>
    <t>NAME::DILEEP KUMAR JAISWAL PROPRIETOR MYINVESTINGMANTRA</t>
  </si>
  <si>
    <t>Spark PWM Private Limited</t>
  </si>
  <si>
    <t>INP200007274</t>
  </si>
  <si>
    <t>Anupam Mohaney</t>
  </si>
  <si>
    <t>No. 1, 3rd Floor, First Crescent Park Road, , Gandhi Nagar, Adyar</t>
  </si>
  <si>
    <t>pwm.compliance@sparkcapital.in</t>
  </si>
  <si>
    <t>Sep 14, 2021</t>
  </si>
  <si>
    <t>possible_duplicate_or_multi_category_entity</t>
  </si>
  <si>
    <t>Manually verify website and contact details before outreach</t>
  </si>
  <si>
    <t>Waterfield Fund Managers Private Limited</t>
  </si>
  <si>
    <t>INP000008288</t>
  </si>
  <si>
    <t>Shivani Sharma</t>
  </si>
  <si>
    <t>142 Maker Chamber VI 220 , Jamnalal Bajaj Marg Nariman Point</t>
  </si>
  <si>
    <t>shivani.sharma@waterfieldadvisors.com</t>
  </si>
  <si>
    <t>00919987358249</t>
  </si>
  <si>
    <t>Unit no 07 7th office level equivalent to the 14th floor Avighna House, 82 Annie Besant Road Worli</t>
  </si>
  <si>
    <t>Sep 07, 2023</t>
  </si>
  <si>
    <t>360 ONE Alternates Asset Management Limited</t>
  </si>
  <si>
    <t>INP000008640</t>
  </si>
  <si>
    <t>Chirag Gandhi</t>
  </si>
  <si>
    <t>360 ONE Centre, Kamala City, Lower Parel West</t>
  </si>
  <si>
    <t>9102248765600</t>
  </si>
  <si>
    <t>Spark Fund Advisors LLP</t>
  </si>
  <si>
    <t>INP000008835</t>
  </si>
  <si>
    <t>Amrita  Pillai</t>
  </si>
  <si>
    <t>No. 1, 3rd Floor, First Crescent Park Road,, Gandhi Nagar, Adyar,</t>
  </si>
  <si>
    <t>compliance@sparkcapital.in</t>
  </si>
  <si>
    <t>No. 1, 3rd Floor, First Crescent Park Road, Gandhi Nagar, Adyar,</t>
  </si>
  <si>
    <t>ASTEYA INVESTMENT MANAGERS LLP</t>
  </si>
  <si>
    <t>INA000000276</t>
  </si>
  <si>
    <t>MR. ARUN BHAL</t>
  </si>
  <si>
    <t>4G/4H, SIDDHIVINAYAK CHAMBERS,, 643, GANDHI NAGAR, OPP. MIG CLUB, BANDRA EAST, MUMBAI</t>
  </si>
  <si>
    <t>arun.bhal@asteyaglobal.com</t>
  </si>
  <si>
    <t>2226514252</t>
  </si>
  <si>
    <t>4G/4H, Siddhivinayak Chambers, 643, Gandhi Nagar, Opp. MIG Club, Bandra East, Mumbai</t>
  </si>
  <si>
    <t>Nov 21, 2013</t>
  </si>
  <si>
    <t>INA000000532</t>
  </si>
  <si>
    <t>Vijay Shah</t>
  </si>
  <si>
    <t>askwa_compliance@askwealthadvisors.com</t>
  </si>
  <si>
    <t>0919930235443</t>
  </si>
  <si>
    <t>28th floor, 2803, 2804 and 2805, One Lodha Place, Senapati Bapat Marg, Lower Parel</t>
  </si>
  <si>
    <t>Mar 31, 2023</t>
  </si>
  <si>
    <t>INA000000672</t>
  </si>
  <si>
    <t>Chandani  Saruparia</t>
  </si>
  <si>
    <t>Rachna Bunglow,Near Dr.Shyamrao Kalmadi HighSchool,, Dr.Ketkar Road, Off Karve Road, Erandwane</t>
  </si>
  <si>
    <t>chandani.s@purnartha.com</t>
  </si>
  <si>
    <t>919993969339</t>
  </si>
  <si>
    <t>Rachna Bunglow,Near Dr.Shyamrao Kalmadi HighSchool, Dr.Ketkar Road, Off Karve Road, Erandwane</t>
  </si>
  <si>
    <t>360 ONE Investment Adviser and Trustee Services Limited</t>
  </si>
  <si>
    <t>INA000000888</t>
  </si>
  <si>
    <t>Jatin Sanghani</t>
  </si>
  <si>
    <t>IIFL Centre, Kamala Mills, Senapati Bapat Marg, Lower Parel</t>
  </si>
  <si>
    <t>360.compliance@360.one</t>
  </si>
  <si>
    <t>0919769974254</t>
  </si>
  <si>
    <t>7th Floor,IIFL Centre, Kamala Mills Compound,Senapati Bapat Marg,Lower Parel (West),</t>
  </si>
  <si>
    <t>Jan 22, 2014</t>
  </si>
  <si>
    <t>WATERFIELD FINANCIAL AND INVESTMENT ADVISORS PRIVATE LIMITED</t>
  </si>
  <si>
    <t>INA000001811</t>
  </si>
  <si>
    <t>Vivek Rajaraman</t>
  </si>
  <si>
    <t>142, 14TH FLOOR, MAKER CHAMBERS, VI, 220, JAMNALAL BAJAJ MARG, NARIMAN POINT</t>
  </si>
  <si>
    <t>principal.officer@waterfieldadvisors.com</t>
  </si>
  <si>
    <t>919987538394</t>
  </si>
  <si>
    <t>7 Avighna House 82 Dr Annie Besant Road, Worli Naka Siddharth Nagar Worli Mumbai</t>
  </si>
  <si>
    <t>Jun 02, 2014</t>
  </si>
  <si>
    <t>Julius Baer Wealth Advisors (India) Private Limited</t>
  </si>
  <si>
    <t>INA000003130</t>
  </si>
  <si>
    <t>Naynesh Sampat</t>
  </si>
  <si>
    <t>Altimus, 2501, 25th Level, Pandurang Budhkar Marg, Worli</t>
  </si>
  <si>
    <t>naynesh.sampat@juliusbaer.com</t>
  </si>
  <si>
    <t>91009823420785</t>
  </si>
  <si>
    <t>Jun 30, 2015</t>
  </si>
  <si>
    <t>EQUENTIS WEALTH ADVISORY SERVICES LIMITED</t>
  </si>
  <si>
    <t>INA000003874</t>
  </si>
  <si>
    <t>A-603, Marathon Futurex, Mafatlal Mills Compound,, N. M. Joshi Marg, Lower Parel,</t>
  </si>
  <si>
    <t>compliance@equentis.com</t>
  </si>
  <si>
    <t>919152000163</t>
  </si>
  <si>
    <t>A-603, Marathon Futurex, Mafatlal Mills Compound, N. M. Joshi Marg, Lower Parel,</t>
  </si>
  <si>
    <t>Dec 08, 2015</t>
  </si>
  <si>
    <t>WEALTH FIRST INVESTMENT ADVISERS PVT. LTD.</t>
  </si>
  <si>
    <t>INA000005812</t>
  </si>
  <si>
    <t>MR. NISHIL PANDYA</t>
  </si>
  <si>
    <t>CAPITOL HOUSE, 10, PARAS BUNGLOW II, NEAR CAMPUS CORNER, PRAHLADNAGAR, ANAND NAGAR</t>
  </si>
  <si>
    <t>nishil@wealthfirst.biz</t>
  </si>
  <si>
    <t>07940240000</t>
  </si>
  <si>
    <t>Capitol House, 10, Paras Bunglow II, Near Campus Corner, Prahladnagar, Anand Nagar</t>
  </si>
  <si>
    <t>Jan 07, 2017</t>
  </si>
  <si>
    <t>White Oak Capital Management Consultants LLP</t>
  </si>
  <si>
    <t>INA000008659</t>
  </si>
  <si>
    <t>Riddhi Gohel</t>
  </si>
  <si>
    <t>Unit 6 2B, 6th Floor, Cnergy Building, Appasaheb Marathe Marg, Prabhadevi</t>
  </si>
  <si>
    <t>riddhi.gohel@whiteoakinvestors.com</t>
  </si>
  <si>
    <t>91008976840036</t>
  </si>
  <si>
    <t>shweta.subramanian@whiteoakindia.com</t>
  </si>
  <si>
    <t>91-00-9819155184</t>
  </si>
  <si>
    <t>INA000009834</t>
  </si>
  <si>
    <t>Amit Khandelwal</t>
  </si>
  <si>
    <t>102, first floor, Pharma Search House,, B.G. Kher Marg, Worli</t>
  </si>
  <si>
    <t>amit.khandelwal@sicomoro.in</t>
  </si>
  <si>
    <t>912249636131</t>
  </si>
  <si>
    <t>102, first floor, Pharma Search House, B.G. Kher Marg, Worli</t>
  </si>
  <si>
    <t>Feb 15, 2018</t>
  </si>
  <si>
    <t>SWASTIKA INVESTMART LTD.</t>
  </si>
  <si>
    <t>INA000009843</t>
  </si>
  <si>
    <t>SUNIL NYATI</t>
  </si>
  <si>
    <t>Office No. 104, 1st Floor, KESHAVA Commercial Building, Plot No.C 5, E Block, Bandra Kurla Complex, Opp GST Bhavan, Bandra East,</t>
  </si>
  <si>
    <t>COMPLIANCE@SWASTIKA.CO.IN</t>
  </si>
  <si>
    <t>917310736644221</t>
  </si>
  <si>
    <t>48, JAORA COMPOUND, MYH ROAD</t>
  </si>
  <si>
    <t>Feb 16, 2018</t>
  </si>
  <si>
    <t>Pioneer Client Associates Pvt Ltd</t>
  </si>
  <si>
    <t>INA100010660</t>
  </si>
  <si>
    <t>2nd floor block B vatika Towers , Golf course road sector 54</t>
  </si>
  <si>
    <t>911244995400</t>
  </si>
  <si>
    <t>May 23, 2018</t>
  </si>
  <si>
    <t>VIVEKAM FINANCIAL SERVICES PRIVATE LIMITED</t>
  </si>
  <si>
    <t>INA200000316</t>
  </si>
  <si>
    <t>Vemuru VenkataKrishna Prasad</t>
  </si>
  <si>
    <t>Plot No.57, Road No.71, Jubilee Hills, Hyderabad</t>
  </si>
  <si>
    <t>vvkprasad@vivekam.co.in</t>
  </si>
  <si>
    <t>0919848040548</t>
  </si>
  <si>
    <t>H.no.8-2-293/82/A/68, Road No.1, Jubilee Hills</t>
  </si>
  <si>
    <t>Nov 22, 2013</t>
  </si>
  <si>
    <t>CASPIAN IMPACT INVESTMENT ADVISER PRIVATE LIMITED</t>
  </si>
  <si>
    <t>INA200000753</t>
  </si>
  <si>
    <t>VISWANATHA PRASAD</t>
  </si>
  <si>
    <t>3RD FLOOR, 8-2-595/5/B/1, ROAD NO.10, BANJARA HILLS</t>
  </si>
  <si>
    <t>prasad@caspian.in</t>
  </si>
  <si>
    <t>04066297100</t>
  </si>
  <si>
    <t>3rd floor, 8-2-595/5/B/1, Road No.10, Banjara Hills</t>
  </si>
  <si>
    <t>Dec 31, 2013</t>
  </si>
  <si>
    <t>RIGHT HORIZONS INVESTMENT ADVISORY SERVICES PRIVATE LTD</t>
  </si>
  <si>
    <t>INA200002601</t>
  </si>
  <si>
    <t>Apoorva Patil</t>
  </si>
  <si>
    <t>6, AREKERE VILLAGE,, OPP, BIRTISH BIOLOGICALS, BANNAERGHATTA ROAD,</t>
  </si>
  <si>
    <t>complianceofficer@righthorizons.com</t>
  </si>
  <si>
    <t>0919545238236</t>
  </si>
  <si>
    <t>6, AREKERE VILLAGE, OPP, BIRTISH BIOLOGICALS, BANNAERGHATTA ROAD,</t>
  </si>
  <si>
    <t>Jan 27, 2015</t>
  </si>
  <si>
    <t>ENTRUST FAMILY OFFICE INVESTMENT ADVISORS PVT. LTD.</t>
  </si>
  <si>
    <t>INA200004201</t>
  </si>
  <si>
    <t>N0.24, 4th floor,1st Cross, Magrath Road</t>
  </si>
  <si>
    <t>910228041479777</t>
  </si>
  <si>
    <t>NO.24, 4TH FLOOR, 1ST CROSS, MAGRATH ROAD, BEHIND GARUDA MALL</t>
  </si>
  <si>
    <t>Feb 16, 2016</t>
  </si>
  <si>
    <t>PHI CAPITAL SERVICES LLP</t>
  </si>
  <si>
    <t>INA200004284</t>
  </si>
  <si>
    <t>MR. P SIVARAM</t>
  </si>
  <si>
    <t>LG 1A, Siddhartha Chambers, Near IIT Gate, Kalu Sarai, Hauz Khas</t>
  </si>
  <si>
    <t>04428286556</t>
  </si>
  <si>
    <t>3rd Floor, Jayalakshmi Estates, No. 29, Haddows Road, Nungambakkam</t>
  </si>
  <si>
    <t>NARNOLIA INVESTMENT ADVISORS PRIVATE LIMITED</t>
  </si>
  <si>
    <t>INA300005439</t>
  </si>
  <si>
    <t>Anchal Narnolia</t>
  </si>
  <si>
    <t>Marble Arch, 236B A.J.C. Bose Road, 2nd Floor, Room No. 201</t>
  </si>
  <si>
    <t>compliance@narnolia.com</t>
  </si>
  <si>
    <t>0919163750006</t>
  </si>
  <si>
    <t>GreenEdge Wealth Services LLP</t>
  </si>
  <si>
    <t>INA000011574</t>
  </si>
  <si>
    <t>RESHA DHAVAL HARIA</t>
  </si>
  <si>
    <t>The Summit Business Bay Unit No. 1123, 11th Floor, Opp. Movie Max Cinema,, Next to the Western Express Highway Metro Station,Off. Andheri Kurla Road, Gundavali, Andheri East</t>
  </si>
  <si>
    <t>info@greenedgewealth.com</t>
  </si>
  <si>
    <t>0917400241555</t>
  </si>
  <si>
    <t>The Summit Business Bay Unit No. 1123, 11th Floor, Opp. Movie Max Cinema, Next to the Western Express Highway Metro Station,Off. Andheri Kurla Road, Gundavali, Andheri East</t>
  </si>
  <si>
    <t>BUGLEROCK BHUVI INVESTMENT ADVISERS PRIVATE LIMITED</t>
  </si>
  <si>
    <t>INA200012674</t>
  </si>
  <si>
    <t>Neha Sharma</t>
  </si>
  <si>
    <t>Prestige Takt, 1st Floor, No. 23,, Kasturba Road Cross,</t>
  </si>
  <si>
    <t>compliance.ria@buglerock.asia</t>
  </si>
  <si>
    <t>918069029000</t>
  </si>
  <si>
    <t>Prestige Takt, 1st Floor, No. 23, Kasturba Road Cross,</t>
  </si>
  <si>
    <t>Emkay Wealth Advisory Limited</t>
  </si>
  <si>
    <t>INA000013961</t>
  </si>
  <si>
    <t>Sonal Jadhav</t>
  </si>
  <si>
    <t>7th Floor, The Ruby,, Senapati Bapat Marg, Dadar West,</t>
  </si>
  <si>
    <t>Paragon Center, C-06, Ground Floor, Pandurang Budhkar Marg, Worli,</t>
  </si>
  <si>
    <t>Sep 16, 2019</t>
  </si>
  <si>
    <t>Altinvest Capital Advisors Private Limited</t>
  </si>
  <si>
    <t>INA200014706</t>
  </si>
  <si>
    <t>Kunal Moktan</t>
  </si>
  <si>
    <t>10th Floor,SKAV Seethalakshmi, 21/22, Kasturba Road, Banglore</t>
  </si>
  <si>
    <t>kunal.moktan@propsharecapital.com</t>
  </si>
  <si>
    <t>9108042283385</t>
  </si>
  <si>
    <t>10th Floor, SKAV, Seethalakshmi, Kasturba Road 21/22</t>
  </si>
  <si>
    <t>May 29, 2020</t>
  </si>
  <si>
    <t>Abakkus Asset Manager Private Limited</t>
  </si>
  <si>
    <t>INA000015729</t>
  </si>
  <si>
    <t>Merlin Nadar</t>
  </si>
  <si>
    <t>6th Floor,Param House,Shanti Nagar,Santacruz Chembur Link Road, Santacruz East</t>
  </si>
  <si>
    <t>merlin.nadar@abakkusinvest.com</t>
  </si>
  <si>
    <t>0917039820098</t>
  </si>
  <si>
    <t>Feb 03, 2021</t>
  </si>
  <si>
    <t>RENAISSANCE SMART TECH PRIVATE LIMITED</t>
  </si>
  <si>
    <t>INA000016436</t>
  </si>
  <si>
    <t>Nidhi Kamani</t>
  </si>
  <si>
    <t>Office No. 508, B Wing, 5th Floor,, Mittal Commercia Premises Co-op Ltd., Off. M.V. Road. Near Mittal Estate, Marol, Andheri East</t>
  </si>
  <si>
    <t>nidhi.kamani@renaissanceinvest.in</t>
  </si>
  <si>
    <t>0919920980102</t>
  </si>
  <si>
    <t>Office No. 508, B Wing, 5th Floor, Mittal Commercia Premises Co-op Ltd., Off. M.V. Road. Near Mittal Estate, Marol, Andheri East</t>
  </si>
  <si>
    <t>Nov 30, 2021</t>
  </si>
  <si>
    <t>Compound Everyday Capital Management LLP</t>
  </si>
  <si>
    <t>INA000017198</t>
  </si>
  <si>
    <t>Surbhi Sarda</t>
  </si>
  <si>
    <t>Sakar Bhawan 2nd floor, ATM side,, 21/4 Ratlam Kothi Main Road, Above Federal Bank</t>
  </si>
  <si>
    <t>surbhi@cedcapital.in</t>
  </si>
  <si>
    <t>Sakar Bhawan 2nd floor, ATM side, 21/4 Ratlam Kothi Main Road, Above Federal Bank</t>
  </si>
  <si>
    <t>INA000017453</t>
  </si>
  <si>
    <t>Sivaramakrishnan Raghavan</t>
  </si>
  <si>
    <t>Adwave Towers, 3rd Floor, Block A, No. 9, South Boag Rd, T Nagar</t>
  </si>
  <si>
    <t>siva@sinceresyndication.com</t>
  </si>
  <si>
    <t>0919884058398</t>
  </si>
  <si>
    <t>INA000017657</t>
  </si>
  <si>
    <t>Vikrant Gupta</t>
  </si>
  <si>
    <t>F3/16 Model Town-2, Delhi - 110009</t>
  </si>
  <si>
    <t>vikrant@apricuswealth.in</t>
  </si>
  <si>
    <t>022919810302008</t>
  </si>
  <si>
    <t>INA000017842</t>
  </si>
  <si>
    <t>1402, Peninsula Park, Off Veera Desai Road, Andheri West,</t>
  </si>
  <si>
    <t>1402, Peninsula Park, , Off Veera Desai Road, Andheri West, Mumbai</t>
  </si>
  <si>
    <t>0-0-00000000</t>
  </si>
  <si>
    <t>INA000017903</t>
  </si>
  <si>
    <t>Maulik  Trivedi</t>
  </si>
  <si>
    <t>C-5/6, 5th Floor, Abhishek Building, Behind Monginis Cake Factory, Off New Link Road,, Andheri West,</t>
  </si>
  <si>
    <t>compliance@devenchoksey.com</t>
  </si>
  <si>
    <t>918104482640</t>
  </si>
  <si>
    <t>C-5/6, 5th Floor, Abhishek Building, Behind Monginis Cake Factory, Off New Link Road, Andheri West,</t>
  </si>
  <si>
    <t>Concept Investwell Private Limited</t>
  </si>
  <si>
    <t>INA000018337</t>
  </si>
  <si>
    <t>Hemantkumar Desai</t>
  </si>
  <si>
    <t>10/A, Union Heights, Maharana Pratap Road,, Rahul Raj Mall Lane, Dumas Road, Surat, Gujarat</t>
  </si>
  <si>
    <t>hemant@conceptinvestwell.com</t>
  </si>
  <si>
    <t>026102206001</t>
  </si>
  <si>
    <t>10/A, Union Heights, Maharana Pratap Road, Rahul Raj Mall Lane, Dumas Road, Surat, Gujarat</t>
  </si>
  <si>
    <t>CENTRICITY ADVISORY SERVICES PRIVATE LIMITED</t>
  </si>
  <si>
    <t>INA000018559</t>
  </si>
  <si>
    <t>Arpita Hegde</t>
  </si>
  <si>
    <t>203B, 2nd Floor, Tower B, Global Business Park, Mehrauli Gurgaon Road</t>
  </si>
  <si>
    <t>ah@centricity.co.in</t>
  </si>
  <si>
    <t>00919619623465</t>
  </si>
  <si>
    <t>Unit No. 203-B, 2nd Floor, Tower B, Global Business Park, MG Road, Gurugram</t>
  </si>
  <si>
    <t>JVT Investment Adviser LLP</t>
  </si>
  <si>
    <t>INA000019132</t>
  </si>
  <si>
    <t>Nishant Mangla</t>
  </si>
  <si>
    <t>Atelier Level 1, Suite No. 3, Worldmark 2,, Aerocity, IGI Airport, South West Delhi, New Delhi,</t>
  </si>
  <si>
    <t>Nishant@cxpartners.in</t>
  </si>
  <si>
    <t>911147640000</t>
  </si>
  <si>
    <t>Atelier Level 1, Suite No. 3, Worldmark 2, Aerocity, IGI Airport, South West Delhi, New Delhi,</t>
  </si>
  <si>
    <t>LGT Securities India Private Limited</t>
  </si>
  <si>
    <t>INA000019716</t>
  </si>
  <si>
    <t>Nimish Shah</t>
  </si>
  <si>
    <t>7TH Floor, A Block, Shiv Sagar Estate, Dr Annie Besant Road,, Near Nehru Transit Camp Centre, Worli,</t>
  </si>
  <si>
    <t>nimish.shah@lgtindia.in</t>
  </si>
  <si>
    <t>91009821046488</t>
  </si>
  <si>
    <t>7TH Floor, A Block, Shiv Sagar Estate, Dr Annie Besant Road, Near Nehru Transit Camp Centre, Worli,</t>
  </si>
  <si>
    <t>Ardeko Asset Management Private Limited</t>
  </si>
  <si>
    <t>INA000019831</t>
  </si>
  <si>
    <t>Dwaitin Dave</t>
  </si>
  <si>
    <t>705, 7th Floor, The Ridge, Opp. Novotel,, Nr Iscon Cross Road,  SG Highway</t>
  </si>
  <si>
    <t>info@ardeko.in</t>
  </si>
  <si>
    <t>00917859980782</t>
  </si>
  <si>
    <t>705, 7th Floor, The Ridge, Opp. Novotel, Nr Iscon Cross Road,  SG Highway</t>
  </si>
  <si>
    <t>Jan 28, 2025</t>
  </si>
  <si>
    <t>INA000019859</t>
  </si>
  <si>
    <t>Harshal Gosarani</t>
  </si>
  <si>
    <t>Unit No. 609, 6th Floor, C-Wing, One BKC, G Block, Bandra Kurla, Complex, Bandra East, Mumbai City, Mumbai</t>
  </si>
  <si>
    <t>harshal@credentglobal.com</t>
  </si>
  <si>
    <t>00918657032041</t>
  </si>
  <si>
    <t>Jan 30, 2025</t>
  </si>
  <si>
    <t>INA000020846</t>
  </si>
  <si>
    <t>Prakashkumar Mavani</t>
  </si>
  <si>
    <t>901,902 &amp; 903, , International Wealth Center, VIP Road, Vesu,</t>
  </si>
  <si>
    <t>prakash.mavani@ckredencewealth.com</t>
  </si>
  <si>
    <t>912612614084406</t>
  </si>
  <si>
    <t>Crest Capital Management Private Limited</t>
  </si>
  <si>
    <t>INA000020907</t>
  </si>
  <si>
    <t>Zuhaib Khan</t>
  </si>
  <si>
    <t>B/601, Lantane Mahindra S, LBS Marg, Bhandup West, Mumbai</t>
  </si>
  <si>
    <t>B Wing, 6th Floor, Supreme Business Park, Cliff Avenue, Unit No. B, 501/A, Hiranandani Gardens, Powai</t>
  </si>
  <si>
    <t>SPARK PWM PRIVATE LIMITED</t>
  </si>
  <si>
    <t>INA000021067</t>
  </si>
  <si>
    <t>Saurav Lugria</t>
  </si>
  <si>
    <t>No.1,3rd Floor, First Crescent Park Road, Gandhi Nagar, Adyar, Chennai</t>
  </si>
  <si>
    <t>saurav.l@sparkcapital.in</t>
  </si>
  <si>
    <t>00919819146237</t>
  </si>
  <si>
    <t>No. 1252, 5th Floor,Building No. 12, Solitaire Corporate Park, Andheri Kurla Road, Chakala, Andheri East, Mumbai</t>
  </si>
  <si>
    <t>EUREKA STOCK &amp; SHARE BROKING SERVICES LIMITED</t>
  </si>
  <si>
    <t>INA000021137</t>
  </si>
  <si>
    <t>Debomita Maity</t>
  </si>
  <si>
    <t>1101, Merlin Infinite, DN 51, 11th Floor, Salt Lake, Sector 5, Kolkata,West Bengal</t>
  </si>
  <si>
    <t>debomita@eurekasec.com</t>
  </si>
  <si>
    <t>0091983600908</t>
  </si>
  <si>
    <t>Dezerv Investments Private Limited</t>
  </si>
  <si>
    <t>INA000022914</t>
  </si>
  <si>
    <t>Meetali Gandhi</t>
  </si>
  <si>
    <t>Unit No. 301, Trade Centre, Kanzul Iman Road, Bandra East</t>
  </si>
  <si>
    <t>meetali@dezerv.in</t>
  </si>
  <si>
    <t>Jun 25, 2026</t>
  </si>
  <si>
    <t>INP000006059</t>
  </si>
  <si>
    <t>Diksha Jha</t>
  </si>
  <si>
    <t>Unit No 803 804A 8th Floor X Change Plaza Block No 53 Zone 5 Road 5E Gift City Gandhinagar</t>
  </si>
  <si>
    <t>diksha.jha@mnclgroup.com</t>
  </si>
  <si>
    <t>910228767902851</t>
  </si>
  <si>
    <t>301 302 3rd Floor Arunachal Building Barakhamba Road New Delhi</t>
  </si>
  <si>
    <t>Jul 11, 2018</t>
  </si>
  <si>
    <t>Dolat Capital Market Private Limited</t>
  </si>
  <si>
    <t>INP000009603</t>
  </si>
  <si>
    <t>Arush Chaturvedi</t>
  </si>
  <si>
    <t>1401 1410, Dolat Capital, 14th Floor,, DSCCL, Block 53, Road 5E, GIFT DTA, GIFT City</t>
  </si>
  <si>
    <t>arushc@dolatcapital.com</t>
  </si>
  <si>
    <t>000917977030733</t>
  </si>
  <si>
    <t>1005, 10th Floor, Sunshine Tower, Senapati Bapat Marg, Prabhadevi.</t>
  </si>
  <si>
    <t>Aug 26, 2025</t>
  </si>
  <si>
    <t>INA200002817</t>
  </si>
  <si>
    <t>JEEVAN K C</t>
  </si>
  <si>
    <t>34/659-P, CIVIL LINE ROAD, PADIVATTOM,</t>
  </si>
  <si>
    <t>jeevan@geojit.com</t>
  </si>
  <si>
    <t>04842901000</t>
  </si>
  <si>
    <t>34/659-P, Civil Line Road, Padivattom,</t>
  </si>
  <si>
    <t>Mar 20, 2015</t>
  </si>
  <si>
    <t>Aavishkaar Investment Advisers IFSC Private Limited</t>
  </si>
  <si>
    <t>INAIFSC10001</t>
  </si>
  <si>
    <t>Unit 608, Signature, 6th Floor, Bldg No 13B, Block No 13, Zone 1, Road 1C, Gift SEZ, Gift City</t>
  </si>
  <si>
    <t>shyam@aavishkaar.in</t>
  </si>
  <si>
    <t>912261248915</t>
  </si>
  <si>
    <t>13B, 6th Floor, Techniplex II, Off. Veer Savarkar Flyover, Goregaon West</t>
  </si>
  <si>
    <t>Aug 28, 2020</t>
  </si>
  <si>
    <t>Samvitti Capital Private Limited</t>
  </si>
  <si>
    <t>INA000019169</t>
  </si>
  <si>
    <t>Voderbettu  Kamath</t>
  </si>
  <si>
    <t>Kalasha Nivasa, D. No. 16/100/2, Harihara Nagara, Karnad, Dakshina Kannada, Mulki,</t>
  </si>
  <si>
    <t>svkamath@samvitticapital.com</t>
  </si>
  <si>
    <t>91008242983541</t>
  </si>
  <si>
    <t>QICAP Management LLP</t>
  </si>
  <si>
    <t>INA000019239</t>
  </si>
  <si>
    <t>Block-51 (301A-301B),WTCROAD 5E,, ZONE-5, GIFTCITY, Dabhoda, Gandhi Nagar,</t>
  </si>
  <si>
    <t>ia@qi-cap.com</t>
  </si>
  <si>
    <t>918799539901</t>
  </si>
  <si>
    <t>Block-51 (301A-301B),WTCROAD 5E, ZONE-5, GIFTCITY, Dabhoda, Gandhi Nagar,</t>
  </si>
  <si>
    <t>INA000019637</t>
  </si>
  <si>
    <t>Nitin Shahi</t>
  </si>
  <si>
    <t>1210 1211 1212 1213,1213A,  Exchange Plaza, Near Mercury Hotel,, Opposite WTC Tower, Gift City</t>
  </si>
  <si>
    <t>ns@myfindoc.com</t>
  </si>
  <si>
    <t>00919781848000</t>
  </si>
  <si>
    <t>4th Floor, Kartar Bhawan,  Near PAU Gate No.01, Ferozepur Road</t>
  </si>
  <si>
    <t>GEPL CAPITAL PRIVATE LIMITED</t>
  </si>
  <si>
    <t>INH000000081</t>
  </si>
  <si>
    <t>Vidnyan Sawant Sawant</t>
  </si>
  <si>
    <t>D-21, DHANRAJ MAHAL,, C.S.M. MARG, COLABA,</t>
  </si>
  <si>
    <t>vidnyan@geplcapital.com</t>
  </si>
  <si>
    <t>919820030597</t>
  </si>
  <si>
    <t>D-21, Dhanraj Mahal, C.S.M. Marg, Colaba,</t>
  </si>
  <si>
    <t>Feb 10, 2015</t>
  </si>
  <si>
    <t>EMKAY GLOBAL FINANCIAL SERVICES LIMITED</t>
  </si>
  <si>
    <t>INH000000354</t>
  </si>
  <si>
    <t>MR. VAIBHAV PUROHIT</t>
  </si>
  <si>
    <t>THE RUBY, 7TH FLOOR,, SENAPATI BAPAT MARG, DADAR (WEST),</t>
  </si>
  <si>
    <t>022 66299257</t>
  </si>
  <si>
    <t>Paragon Centre, C-06, Ground Floor, Pandurang Budhkar Marg, Opp- Century Mills, Worli</t>
  </si>
  <si>
    <t>Apr 21, 2015</t>
  </si>
  <si>
    <t>PROGRESSIVE SHARE BROKERS PVT LTD</t>
  </si>
  <si>
    <t>INH000000859</t>
  </si>
  <si>
    <t>122-124,LAXMI PLAZA, LAXMI INDUSTRIAL ESTATE,, NEW LINK ROAD ANDHERI WEST</t>
  </si>
  <si>
    <t>neha.oza@progressiveshares.com</t>
  </si>
  <si>
    <t>0919220876368</t>
  </si>
  <si>
    <t>122-124,Laxmi Plaza, Laxmi Industrial Estate, New Link Road Andheri West</t>
  </si>
  <si>
    <t>EQUIRUS SECURITIES PRIVATE LIMITED</t>
  </si>
  <si>
    <t>INH000001154</t>
  </si>
  <si>
    <t>Naman Shah</t>
  </si>
  <si>
    <t>A 2102 B 21st Floor A Wing Marathon Futurex, N M JOSHI MARG LOWER PAREL</t>
  </si>
  <si>
    <t>esplcompliance@equirus.com</t>
  </si>
  <si>
    <t>09107961909561</t>
  </si>
  <si>
    <t>House No.9, 03rd Floor, Magnet Corporate Park, behind Intas, S.G. Highway,</t>
  </si>
  <si>
    <t>SYKES &amp; RAY EQUITIES (I) LTD</t>
  </si>
  <si>
    <t>INH000001337</t>
  </si>
  <si>
    <t>MR. ANIL C JAGTAP</t>
  </si>
  <si>
    <t>DAULATRAM MANSION, KITRIDGE ROAD,,  OPP. SASSON DOCK, COLABA,</t>
  </si>
  <si>
    <t>anilj@sre.co.in</t>
  </si>
  <si>
    <t>2222797300</t>
  </si>
  <si>
    <t>Daulatram Mansion, Kitridge Road,  Opp. Sasson Dock, Colaba,</t>
  </si>
  <si>
    <t>DARASHAW &amp; COMPANY PRIVATE LIMITED</t>
  </si>
  <si>
    <t>INH000001360</t>
  </si>
  <si>
    <t>Maulik Hasmukh Trivedi</t>
  </si>
  <si>
    <t>REGENT CHAMBERS, 12TH FLOOR,, 208, NARIMAN POINT</t>
  </si>
  <si>
    <t>REGENT CHAMBERS, 12TH FLOOR, 208, NARIMAN POINT</t>
  </si>
  <si>
    <t>TRUST FINANCIAL CONSULTANCY SERVICES PRIVATE LIMITED</t>
  </si>
  <si>
    <t>INH000001543</t>
  </si>
  <si>
    <t>RAJESH NAG</t>
  </si>
  <si>
    <t>109/110, BALARAMA, 1ST FLOOR,, VILLAGE PARIGKHARI, BANDRA KURLA COMPLEX, BANDRA (E),</t>
  </si>
  <si>
    <t>rajesh.nag@trustgroup.in</t>
  </si>
  <si>
    <t>9102240845072</t>
  </si>
  <si>
    <t>109/110, Balarama, 1st Floor, Village Parigkhari, bandra kurla Complex, Bandra (E),</t>
  </si>
  <si>
    <t>LKP SECURITIES LIMITED</t>
  </si>
  <si>
    <t>INH000001758</t>
  </si>
  <si>
    <t>Ayushi Jain</t>
  </si>
  <si>
    <t>203, EMBASSY CENTRE,, NARIMAN POINT,</t>
  </si>
  <si>
    <t>9102266351250</t>
  </si>
  <si>
    <t>Gala Impecca  2nd Floor  , Near Hotel Courtyard Marriot Chakala Andheri East</t>
  </si>
  <si>
    <t>JULIUS BAER WEALTH ADVISORS (INDIA) PRIVATE LIMITED</t>
  </si>
  <si>
    <t>INH000002541</t>
  </si>
  <si>
    <t>NAYNESH SAMPAT</t>
  </si>
  <si>
    <t>Altimus, 2501, 25th floor,, Pandurang Budhkar Marg, Worli, Mumbai</t>
  </si>
  <si>
    <t>919823420785</t>
  </si>
  <si>
    <t>8th Floor, Mafatlal  Centre, Nariman  Point</t>
  </si>
  <si>
    <t>Jan 12, 2016</t>
  </si>
  <si>
    <t>GLOBE CAPITAL MARKET LTD</t>
  </si>
  <si>
    <t>INH100001187</t>
  </si>
  <si>
    <t>KAPIL MARWAH</t>
  </si>
  <si>
    <t>609, ANSAL BHAWAN, 16, K.G. MARG,</t>
  </si>
  <si>
    <t>kapilmarwah@globecapital.com</t>
  </si>
  <si>
    <t>1130412345</t>
  </si>
  <si>
    <t>609, Ansal Bhawan, 16, K.G. Marg,</t>
  </si>
  <si>
    <t>SYSTEMATIX SHARES &amp; STOCKS (I) LTD</t>
  </si>
  <si>
    <t>INH200000840</t>
  </si>
  <si>
    <t>Nipa Savla</t>
  </si>
  <si>
    <t>The Capital, A-wing, No. 603 – 606, 6th Floor,, Plot No. C-70, G Block, Bandra Kurla Complex, Bandra (East)</t>
  </si>
  <si>
    <t>compliance@systematixgroup.in</t>
  </si>
  <si>
    <t>0919619230815</t>
  </si>
  <si>
    <t>The Capital, A-wing, No. 603 – 606, 6th Floor, Plot No. C-70, G Block, Bandra Kurla Complex, Bandra (East)</t>
  </si>
  <si>
    <t>NARNOLIA FINANCIAL SERVICES LIMITED</t>
  </si>
  <si>
    <t>INH300006500</t>
  </si>
  <si>
    <t>RANA DEBNATH</t>
  </si>
  <si>
    <t>201, 2ND FLOOR, MARBLE ARCH, 236B, AJC BOSE ROAD</t>
  </si>
  <si>
    <t>02262701200</t>
  </si>
  <si>
    <t>ARCH WATERFRONT, 5TH FLOOR, Plot F4, Block GP, Sector V, Saltlake</t>
  </si>
  <si>
    <t>Bharat Bhushan Equity Traders Ltd</t>
  </si>
  <si>
    <t>INH100007310</t>
  </si>
  <si>
    <t>Madhav Bhushan</t>
  </si>
  <si>
    <t>503 &amp; 304 Rohit House, 3 Tolstoy Marg</t>
  </si>
  <si>
    <t>madhav.bhushan@bharatbhushan.com</t>
  </si>
  <si>
    <t>01149800935</t>
  </si>
  <si>
    <t>Jul 16, 2019</t>
  </si>
  <si>
    <t>Stockedge Fintech Private Limited</t>
  </si>
  <si>
    <t>INH300007493</t>
  </si>
  <si>
    <t>4 BRABOURNE ROAD, 4th FLOOR</t>
  </si>
  <si>
    <t>919903048099</t>
  </si>
  <si>
    <t>Jan 03, 2020</t>
  </si>
  <si>
    <t>OMKARA CAPITAL PRIVATE LIMITED</t>
  </si>
  <si>
    <t>INH000008206</t>
  </si>
  <si>
    <t>Drasti Gandhi</t>
  </si>
  <si>
    <t>917897891192</t>
  </si>
  <si>
    <t>505, 5th Floor, Amit Industrial Estate, Parel</t>
  </si>
  <si>
    <t>YADNYA ACADEMY PRIVATE LIMITED</t>
  </si>
  <si>
    <t>INH000008349</t>
  </si>
  <si>
    <t>G-703, BALWANTPURAM SAMRAJYA, SHIVTIRTHNAGAR, KOTHRUD, PAUD ROAD</t>
  </si>
  <si>
    <t>WAY2WEALTH BROKERS PRIVATE LIMITED</t>
  </si>
  <si>
    <t>INH200008705</t>
  </si>
  <si>
    <t>Sandhya Vadiraj</t>
  </si>
  <si>
    <t>RUKMINI TOWERS, 3RD &amp; 4TH FLOOR, , NO.3/1, PLATFORM ROAD, SHESHADRIPURAM,</t>
  </si>
  <si>
    <t>compliance@way2wealth.com</t>
  </si>
  <si>
    <t>08008043676869</t>
  </si>
  <si>
    <t>Sep 03, 2021</t>
  </si>
  <si>
    <t>TM INVESTMENT TECHNOLOGIES PRIVATE LIMITED</t>
  </si>
  <si>
    <t>INH000009445</t>
  </si>
  <si>
    <t>Pooja Chavan</t>
  </si>
  <si>
    <t>MOTILAL OSWAL TOWER,RAHIMTULLA SAYANI RD, OPP PAREL ST DEPOT, PRABHADEVI</t>
  </si>
  <si>
    <t>pooja.chavan@motilaloswal.com</t>
  </si>
  <si>
    <t>919167558140</t>
  </si>
  <si>
    <t>Liquide Solutions Private Limited</t>
  </si>
  <si>
    <t>INH000009816</t>
  </si>
  <si>
    <t>T12 H No 2407 AMNORA PARK TOWN, KHARDI BY PASS RO HADAPSAR PUNE</t>
  </si>
  <si>
    <t>9108077189570</t>
  </si>
  <si>
    <t>411028</t>
  </si>
  <si>
    <t>Ground Floor, 13 1, Embassy Signet Wing A, Embassy Tech Square, Kadubeesanhalli, Varthur Hobli</t>
  </si>
  <si>
    <t>INH000010052</t>
  </si>
  <si>
    <t>0229166186639</t>
  </si>
  <si>
    <t>1218 Maker Chamber V, Nariman Point</t>
  </si>
  <si>
    <t>Oct 13, 2022</t>
  </si>
  <si>
    <t>INH000010876</t>
  </si>
  <si>
    <t>AMIT VORA</t>
  </si>
  <si>
    <t>3602, A WING, RUSTOMJEE ELANZA CTS 1070, OFF LINK ROAD, MALAD WEST, BANDRA SUBURBAN</t>
  </si>
  <si>
    <t>amit.vora@thewaya.com</t>
  </si>
  <si>
    <t>009619826963</t>
  </si>
  <si>
    <t>DLH Park, Unit No. 805, S. V Road, Goregaon West</t>
  </si>
  <si>
    <t>INH000011246</t>
  </si>
  <si>
    <t>Varsha Shinde</t>
  </si>
  <si>
    <t>5TH FLOOR ABHISHEK BUILDING BEHIND MONGINIS CAKE FACTORY , OFF NEW LINK ROAD, ANDHERI WEST</t>
  </si>
  <si>
    <t>riacompliance@devenchoksey.com</t>
  </si>
  <si>
    <t>918181044826</t>
  </si>
  <si>
    <t>INH000012467</t>
  </si>
  <si>
    <t>Ved Anil Gawkar</t>
  </si>
  <si>
    <t>F 33/3 Okhla Industrial Area, Phase-II</t>
  </si>
  <si>
    <t>researchanalyst@almondz.com</t>
  </si>
  <si>
    <t>918882472824</t>
  </si>
  <si>
    <t>Level 5, Grand Palladium, 175, CST Road, Off BKC, Kalina, Santacruz (East)</t>
  </si>
  <si>
    <t>Jun 26, 2023</t>
  </si>
  <si>
    <t>WILLIAM ONEIL INDIA PRIVATE LIMITED</t>
  </si>
  <si>
    <t>INH000015543</t>
  </si>
  <si>
    <t>Shalini Bose</t>
  </si>
  <si>
    <t>3rd Floor,72,73, Akshay Tech Park, 3rd Cross Road, Good Works Cowork, Whitefield, Bengaluru</t>
  </si>
  <si>
    <t>compliance@williamoneilindia.com</t>
  </si>
  <si>
    <t>08067453807</t>
  </si>
  <si>
    <t>INH000015640</t>
  </si>
  <si>
    <t>Neeraj  Gugnani</t>
  </si>
  <si>
    <t>360 ONE Centre, Kamala City, Senapati , Bapat Marg,  Lower Parel (West), Delisle Road</t>
  </si>
  <si>
    <t>919871396095</t>
  </si>
  <si>
    <t>Plot No. 391, Udhyog Vihar, Phase-III, Gurgaon, Haryana, India,</t>
  </si>
  <si>
    <t>INH000016940</t>
  </si>
  <si>
    <t>MEGHANA S SANSARE</t>
  </si>
  <si>
    <t>Pantomath Nucleus House, Saki Vihar Road, Andheri East</t>
  </si>
  <si>
    <t>09191677337</t>
  </si>
  <si>
    <t>INH000017949</t>
  </si>
  <si>
    <t>Office No. 701, 7th Floor, Plot-211, Dalamal Tower, Free Press Journal Marg, Nariman Point</t>
  </si>
  <si>
    <t>9102249707226</t>
  </si>
  <si>
    <t>Unifi Capital Private Limited</t>
  </si>
  <si>
    <t>INH000018629</t>
  </si>
  <si>
    <t>Anu R Kaimal</t>
  </si>
  <si>
    <t>11 KAKANI TOWERS, 15, KHADER NAWAZ KHAN ROAD, NUNGAMBAKKAM, CHENNAI, TAMIL NADU</t>
  </si>
  <si>
    <t>anukaimal@unificap.com</t>
  </si>
  <si>
    <t>09196335124</t>
  </si>
  <si>
    <t>CANDOUR ASSET MANAGEMENT LLP</t>
  </si>
  <si>
    <t>INH000019798</t>
  </si>
  <si>
    <t>Sarvesh  Shenai</t>
  </si>
  <si>
    <t>CTS NO 155  156 SAMRUDHHI HEIGHT, 1 ST FLOOR, Parvati</t>
  </si>
  <si>
    <t>sarvesh@candorinvesting.com</t>
  </si>
  <si>
    <t>918446797761</t>
  </si>
  <si>
    <t>Office 302 CTS No 681 SNo 15 1A, Dattakrupa Soc, Kothrud</t>
  </si>
  <si>
    <t>Turtle Wealth Management  Pvt. Ltd.</t>
  </si>
  <si>
    <t>INH000019868</t>
  </si>
  <si>
    <t>Vibhati Gandhi</t>
  </si>
  <si>
    <t>1001, Rajhans Montessa Dumas Road, magdalla, Surat</t>
  </si>
  <si>
    <t>910099252388</t>
  </si>
  <si>
    <t>INH000020077</t>
  </si>
  <si>
    <t>Varun Sood</t>
  </si>
  <si>
    <t>Awfis, 1st Floor, B Wing, Parinee Crescenzo, G Block, BKC</t>
  </si>
  <si>
    <t>varun.sood@omnisciencecapital.com</t>
  </si>
  <si>
    <t>918879055519</t>
  </si>
  <si>
    <t>INH000020262</t>
  </si>
  <si>
    <t>Unit18,19,20, Technoplis Knowlegde Park, Mahakali Caves Road, NR Udyog Bhavan, Chakala, Andheri East</t>
  </si>
  <si>
    <t>919356261682</t>
  </si>
  <si>
    <t>Quantum Information Services Private Limited</t>
  </si>
  <si>
    <t>INH000021128</t>
  </si>
  <si>
    <t>Trupti David</t>
  </si>
  <si>
    <t>103, Regent Chambers, Nariman Point</t>
  </si>
  <si>
    <t>eqtmonline@equitymaster.com</t>
  </si>
  <si>
    <t>919136499315</t>
  </si>
  <si>
    <t>Renaissance Smart Tech Private Limited</t>
  </si>
  <si>
    <t>INH000021818</t>
  </si>
  <si>
    <t>Nipun  Jalan</t>
  </si>
  <si>
    <t>Office No508,BWing,5th Floor,MittalCommercia PremisesCoop Ltd, Off M V Road Near Mittal Estate, Marol, Andheri East</t>
  </si>
  <si>
    <t>nipun.j@renaissanceinvest.in</t>
  </si>
  <si>
    <t>008511010459</t>
  </si>
  <si>
    <t>Eastern Financiers Limited</t>
  </si>
  <si>
    <t>INH000022756</t>
  </si>
  <si>
    <t>Lords Building, 1st Floor, Suite No. 102 &amp; 104, 7/1 Lord Sinha Road</t>
  </si>
  <si>
    <t>919830355996</t>
  </si>
  <si>
    <t>Aug 14, 2025</t>
  </si>
  <si>
    <t>INH000023223</t>
  </si>
  <si>
    <t>Biharilal Deora</t>
  </si>
  <si>
    <t>601 6TH FLR,PARAM HOUSE, SHANTI NAGAR, NR GR HYATT,, SANTACRUZ EAST, MUMBAI</t>
  </si>
  <si>
    <t>biharilal.deora@abakkusinvest.com</t>
  </si>
  <si>
    <t>9102268846604</t>
  </si>
  <si>
    <t>601 6TH FLR,PARAM HOUSE, SHANTI NAGAR, NR GR HYATT, SANTACRUZ EAST, MUMBAI</t>
  </si>
  <si>
    <t>Sep 10, 2025</t>
  </si>
  <si>
    <t>Indira Securities Pvt Ltd</t>
  </si>
  <si>
    <t>INH000023269</t>
  </si>
  <si>
    <t>Kishor  Nagar</t>
  </si>
  <si>
    <t>Indira House, 3rd Floor, 5 Topiwala Lane, Lamington Road,, Mumbai</t>
  </si>
  <si>
    <t>compliance@indiratrade.com</t>
  </si>
  <si>
    <t>204,205 Amardarshan, 28/2 Old Palasia, lndore (MP)</t>
  </si>
  <si>
    <t>Sep 15, 2025</t>
  </si>
  <si>
    <t>InCred Capital Wealth Portfolio Managers Private Limited</t>
  </si>
  <si>
    <t>INH000023922</t>
  </si>
  <si>
    <t>Unit No 1203, 12th floor, B Wing, The Capital, Plot No C  70, G Block, Bandra Kurla Complex, Bandra East</t>
  </si>
  <si>
    <t>002269041596</t>
  </si>
  <si>
    <t>Laxmi Towers, Office No 3, B Wing, 5th Floor, Plot No C 25, G Block, Bandra Kurla Complex, Bandra East</t>
  </si>
  <si>
    <t>INH000023968</t>
  </si>
  <si>
    <t>Sagar  Dave</t>
  </si>
  <si>
    <t>sagar@onecenturion.in</t>
  </si>
  <si>
    <t>601/604, 6th floor, Lotus Signature,off Veer Desai Road, Andheri West</t>
  </si>
  <si>
    <t>INH000024073</t>
  </si>
  <si>
    <t>Santosh Meena</t>
  </si>
  <si>
    <t>Office No 104, 1st Floor, KESHAVA Commercial Building, Plot No.C 5, E Block, Bandra Kurla Complex, Opp GST Bhavan, Bandra East</t>
  </si>
  <si>
    <t>santosh.meena@swastika.co.in</t>
  </si>
  <si>
    <t>007314840117</t>
  </si>
  <si>
    <t>INH000024426</t>
  </si>
  <si>
    <t>KONDURI CHAKRADHARA  NAIDU</t>
  </si>
  <si>
    <t>No. 311, Tower A, Signature Altius, , Kollur Road, Kollur, Medak, Patancheru,</t>
  </si>
  <si>
    <t>CHAKRADHAR@NBHAVA.COM</t>
  </si>
  <si>
    <t>Dec 23, 2025</t>
  </si>
  <si>
    <t>FORT CAPITAL INVESTMENT ADVISORY PRIVATE LIMITED</t>
  </si>
  <si>
    <t>INH000024851</t>
  </si>
  <si>
    <t>Swapnil Shah</t>
  </si>
  <si>
    <t>304,3rd Floor, Hubtown Solaris, N.S. Phadke Marg, Near Flyover Bridge, Andheri East</t>
  </si>
  <si>
    <t>INH000025197</t>
  </si>
  <si>
    <t>Shubham Sarjine</t>
  </si>
  <si>
    <t>Parinee Crescenzo, Unit No. I406, 14th Floor, G Block. Bandra Kurla Complex, Bandra East</t>
  </si>
  <si>
    <t>RAagadvisors@alphagrepadvisors.com</t>
  </si>
  <si>
    <t>917710993310</t>
  </si>
  <si>
    <t>CHASEALPHA GLOBAL RESEARCH PRIVATE LIMITED</t>
  </si>
  <si>
    <t>INH000025531</t>
  </si>
  <si>
    <t>Vishvesh Harilal</t>
  </si>
  <si>
    <t>SH 17 P1 LEVEL COMMERCIAL OFFICE SHOPS MAKWANA ROAD VASANT OASIS JB NAGAR MAROL  ANDHERI EAST</t>
  </si>
  <si>
    <t>vishvesh@chasealpha.in</t>
  </si>
  <si>
    <t>008779174997</t>
  </si>
  <si>
    <t>INH000025674</t>
  </si>
  <si>
    <t>Dhirendra Rautela</t>
  </si>
  <si>
    <t>903 B Wing, Marathon Futurex, NM Joshi Marg, Lower Parel</t>
  </si>
  <si>
    <t>INH000026822</t>
  </si>
  <si>
    <t>1018, Millenium Business Hub, Sarthana, Varachha Road</t>
  </si>
  <si>
    <t>009825145217</t>
  </si>
  <si>
    <t>Office No-2001, The Junomonta Tower, Opp. Pal RTO, Near Rajhans Cinema, Pal - Adajan</t>
  </si>
  <si>
    <t>INH000026965</t>
  </si>
  <si>
    <t>Vaishnavi  Pande</t>
  </si>
  <si>
    <t>7th Floor Flat No. 708, Asian Suncity, Forest Department, Serilingampally Kondapur,</t>
  </si>
  <si>
    <t>vaishnavi.p@where2invest.com</t>
  </si>
  <si>
    <t>0008977729398</t>
  </si>
  <si>
    <t>NIVESHAAY INVESTMENT ADVISORS PRIVATE LIMITED</t>
  </si>
  <si>
    <t>INH000027830</t>
  </si>
  <si>
    <t>Vikram Sharma</t>
  </si>
  <si>
    <t>Office no. 508, 5th Floor, SNS Platina, Vesu</t>
  </si>
  <si>
    <t>vikram@niveshaay.com</t>
  </si>
  <si>
    <t>918690635092</t>
  </si>
  <si>
    <t>MOJO MARKETS PRIVATE LIMITED</t>
  </si>
  <si>
    <t>INA000012528</t>
  </si>
  <si>
    <t>MOHIT BATRA</t>
  </si>
  <si>
    <t>Benefice Business House, Office No. 3B, 3rd Floor,, C.S. 242, Mathuradas Mills Estate, N.M. Joshi Marg, Tulsi Pipe Road, Lower Parel West,</t>
  </si>
  <si>
    <t>mohit@MARKETSMOJO.COM</t>
  </si>
  <si>
    <t>Benefice Business House, Office No. 3B, 3rd Floor, C.S. 242, Mathuradas Mills Estate, N.M. Joshi Marg, Tulsi Pipe Road, Lower Parel West,</t>
  </si>
  <si>
    <t>Feb 25, 2019</t>
  </si>
  <si>
    <t>INA000013217</t>
  </si>
  <si>
    <t>JEENA HOUSE , PLOT NO 170, OM NAGAR , OFF PIPELINE ROAD , ANDHERI EAST</t>
  </si>
  <si>
    <t>FINNOVATE FINANCIAL SERVICES PVT LTD</t>
  </si>
  <si>
    <t>INA000013518</t>
  </si>
  <si>
    <t>NEHAL MOTA</t>
  </si>
  <si>
    <t>UNIT NO. 703, 7th FLOOR, THE SUMMIT BUSINESS BAY, OFF ANDHERI KURLA ROAD, PVR CINEMAS ANDHERI EAST</t>
  </si>
  <si>
    <t>nehal.mota@finnovate.in</t>
  </si>
  <si>
    <t>INA200013770</t>
  </si>
  <si>
    <t>cabin 3 4th Floor 1A and 1B Jyoti Imperial, Gachibowli Rd Janardana Hills Lumbini Avenue</t>
  </si>
  <si>
    <t>3 Eurospace, 4th Floor, Jyothi Imperial, Vamsiram Building, Gachibowli</t>
  </si>
  <si>
    <t>Aug 13, 2019</t>
  </si>
  <si>
    <t>Samco Ventures Pvt. Ltd.</t>
  </si>
  <si>
    <t>INA000013828</t>
  </si>
  <si>
    <t>Umesh Mehta</t>
  </si>
  <si>
    <t>1004 A 10th Floor, Naman Midtown, Senapati Bapat Marg, Elphinstone Road</t>
  </si>
  <si>
    <t>umesh@samco.in</t>
  </si>
  <si>
    <t>ARTHYA WEALTH AND INVESTMENTS PRIVATE LIMITED</t>
  </si>
  <si>
    <t>INA000015279</t>
  </si>
  <si>
    <t>GAURAV ARORA</t>
  </si>
  <si>
    <t>Flat No. 12, Jumbo Co operative Housing Society, TPS IV, Road No. 1, Bandra West</t>
  </si>
  <si>
    <t>gaurav@arthyawealth.com</t>
  </si>
  <si>
    <t>Oct 07, 2020</t>
  </si>
  <si>
    <t>ALFACCURATE ADVISORS PVT LTD</t>
  </si>
  <si>
    <t>INA000015701</t>
  </si>
  <si>
    <t>BHUSHAN KOLI</t>
  </si>
  <si>
    <t>503 B WING NAMAN MIDTOWN, SENAPATI BAPAT MARG ELPHINSTON ROAD</t>
  </si>
  <si>
    <t>InvesQ Investment Advisors Private Limited</t>
  </si>
  <si>
    <t>INA000015808</t>
  </si>
  <si>
    <t>Aashish Upganlawar</t>
  </si>
  <si>
    <t>SR NO 270/1/20, FLAT NO 101, HARMONY, BANER ROAD,, OPP MAULI PETROL PUMP, BANER, PUNE</t>
  </si>
  <si>
    <t>aashish@invesq.in</t>
  </si>
  <si>
    <t>SR NO 270/1/20, FLAT NO 101, HARMONY, BANER ROAD, OPP MAULI PETROL PUMP, BANER, PUNE</t>
  </si>
  <si>
    <t>Mar 24, 2021</t>
  </si>
  <si>
    <t>INA000016348</t>
  </si>
  <si>
    <t>Jeni Chaudhary</t>
  </si>
  <si>
    <t>2B, 2, Neptune Apartments CHS,, Juhu Tara Road, Santacruz West</t>
  </si>
  <si>
    <t>jeni.shukla@citrusadvisors.com</t>
  </si>
  <si>
    <t>Plot No. 116, Sector 21, Near Iskcon Temple, Opp Bhagwati Gardens, Kharghar,</t>
  </si>
  <si>
    <t>Oct 28, 2021</t>
  </si>
  <si>
    <t>DAYCO SECURITIES PVT LTD</t>
  </si>
  <si>
    <t>INA300016701</t>
  </si>
  <si>
    <t>Aditi Nundy</t>
  </si>
  <si>
    <t>113 Park Street, Poddar Point B Block 7th Floor</t>
  </si>
  <si>
    <t>Feb 18, 2022</t>
  </si>
  <si>
    <t>HEM SECURITIES LIMITED</t>
  </si>
  <si>
    <t>INH100002250</t>
  </si>
  <si>
    <t>Rohit sharma</t>
  </si>
  <si>
    <t>203, JAIPUR TOWER, M.I. ROAD</t>
  </si>
  <si>
    <t>compliance@hemsecurities.com</t>
  </si>
  <si>
    <t>1414051000</t>
  </si>
  <si>
    <t>SHARE INDIA SECURITIES LIMITED</t>
  </si>
  <si>
    <t>INH100005011</t>
  </si>
  <si>
    <t>Unit No. 615 and 616, 6th Floor, X-Change Plaza, Dalal Street Commercial Co-operative Society Limite, Road 5 E, Block 53, Zone 5, Gift City, Gandhi Nagar,</t>
  </si>
  <si>
    <t>918058301483</t>
  </si>
  <si>
    <t>A 15, Sector 64, Noida, Gautam Buddha Nagar</t>
  </si>
  <si>
    <t>Jul 14, 2017</t>
  </si>
  <si>
    <t>ZEBU SHARE AND WEALTH MANAGEMENTS PRIVATE LIMITED</t>
  </si>
  <si>
    <t>INH200006044</t>
  </si>
  <si>
    <t>VIJAYAKUMAR VELLAIYAN</t>
  </si>
  <si>
    <t>36, KRISHNA COMPLEX, VCTV MAIN ROAD</t>
  </si>
  <si>
    <t>914448557991</t>
  </si>
  <si>
    <t>No301,4th Main Road, Burma Colony, Perungudi</t>
  </si>
  <si>
    <t>Jun 21, 2018</t>
  </si>
  <si>
    <t>FINVASIA SECURITIES PRIVATE LIMITED</t>
  </si>
  <si>
    <t>INH000011927</t>
  </si>
  <si>
    <t>Ramanjeet Kaur</t>
  </si>
  <si>
    <t>1108, Sector 21 B</t>
  </si>
  <si>
    <t>ccofspl@shoonya.com</t>
  </si>
  <si>
    <t>9101726670000</t>
  </si>
  <si>
    <t>Finvasia Tower, C-214, 4th Floor, Phase 8 B, Sector 74, Industrial Focal Point, SAS Nagar</t>
  </si>
  <si>
    <t>Mar 16, 2023</t>
  </si>
  <si>
    <t>dolat capital mkt pvt ltd</t>
  </si>
  <si>
    <t>INH000014012</t>
  </si>
  <si>
    <t>SANDEEP BHOWAD</t>
  </si>
  <si>
    <t>1401-1409, Dalal Street Commercial Co-op Soc Ltd,, Block 53 (Bldg. No.53E) Zone-5, Road-5E, Gift City</t>
  </si>
  <si>
    <t>ops@dolatcapital.com</t>
  </si>
  <si>
    <t>912240969717</t>
  </si>
  <si>
    <t>A WING ,1203 NAMAN MIDTOWN,SENAPATI BAPAT MARG,PRABHADEVI, SENAPATI BAPAT MARG</t>
  </si>
  <si>
    <t>INH000019503</t>
  </si>
  <si>
    <t>Preeti Joshi Mundeja</t>
  </si>
  <si>
    <t>5th Flr Tower A PO5 01A PO5 01B, PO5 01C, GiftCity Complex, Block 51, Zone5, Road 5E, Gift City, Gandhinagar, Gandhinagar</t>
  </si>
  <si>
    <t>preeti.joshi@esteeadvisors.com</t>
  </si>
  <si>
    <t>919646294265</t>
  </si>
  <si>
    <t>GEOJIT INVESTMENTS LIMITED</t>
  </si>
  <si>
    <t>INH000019567</t>
  </si>
  <si>
    <t>ANAND JAMES</t>
  </si>
  <si>
    <t>7th Floor, 34 659 P,Civil Line Road, Padivattom Edapally,Ernakulam</t>
  </si>
  <si>
    <t>anand_james@geojit.com</t>
  </si>
  <si>
    <t>919995800123</t>
  </si>
  <si>
    <t>INH000024107</t>
  </si>
  <si>
    <t>Yamank  Kumar</t>
  </si>
  <si>
    <t>1210/1211/1212/1213,1213A, Exchange Plaza, Near Mercury Hotel, opp. WTC Tower, Gift City,</t>
  </si>
  <si>
    <t>yamank.kumar@myfindoc.com</t>
  </si>
  <si>
    <t>917982047064</t>
  </si>
  <si>
    <t>INH000024277</t>
  </si>
  <si>
    <t>Antra Mahto</t>
  </si>
  <si>
    <t>4th Floor, Avinash One, Opposite to Magneto Mall</t>
  </si>
  <si>
    <t>compliance@finology.in</t>
  </si>
  <si>
    <t>009981691620</t>
  </si>
  <si>
    <t>Dec 16, 2025</t>
  </si>
  <si>
    <t>INH000024763</t>
  </si>
  <si>
    <t>Sandeep  Ahuja</t>
  </si>
  <si>
    <t>Block-51 (301A-301B),WTCROAD 5E, ZONE-5, GIFTCITY,Dabhoda, Gandhi Nagar, Gandhinagar</t>
  </si>
  <si>
    <t>sandeep.ahuja@qi-cap.com</t>
  </si>
  <si>
    <t>0919880252699</t>
  </si>
  <si>
    <t>INH000024897</t>
  </si>
  <si>
    <t>Abhishek Misra</t>
  </si>
  <si>
    <t>SAKET 59, Aishwarya Residency, Telibandha</t>
  </si>
  <si>
    <t>009867728579</t>
  </si>
  <si>
    <t>EQUITY99</t>
  </si>
  <si>
    <t>INA000005358</t>
  </si>
  <si>
    <t>A wing, 912 Dalamal Tower, 9th Floor,, Free Press Journal Marg, Nariman Point</t>
  </si>
  <si>
    <t>profittrack@rediff.com</t>
  </si>
  <si>
    <t>07554204534</t>
  </si>
  <si>
    <t>301, Sahyog Towers, E-8 Extension, Trilanga</t>
  </si>
  <si>
    <t>rediff.com</t>
  </si>
  <si>
    <t>unclear</t>
  </si>
  <si>
    <t>DOMAIN::rediff.com</t>
  </si>
  <si>
    <t>possible_brand_needs_verification</t>
  </si>
  <si>
    <t>SMC GLOBAL SECURITIES LTD</t>
  </si>
  <si>
    <t>INH100001849</t>
  </si>
  <si>
    <t>11/6B, SHANTI CHAMBERS, MAIN PUSA ROAD</t>
  </si>
  <si>
    <t>ajay@smcindiaonline.com</t>
  </si>
  <si>
    <t>1130111000</t>
  </si>
  <si>
    <t>11/6B, Shanti Chambers, Main Pusa Road</t>
  </si>
  <si>
    <t>INA000016463</t>
  </si>
  <si>
    <t>Keshav Kumar</t>
  </si>
  <si>
    <t>PO5-01A, PO5-01B, PO5-01C, 5th Floor, Tower A,, WTC, Block 51, Road 5E, Zone 5,Gift City</t>
  </si>
  <si>
    <t>ebo@esteeadvisors.com</t>
  </si>
  <si>
    <t>PO5-01A, PO5-01B, PO5-01C, 5th Floor, Tower A, WTC, Block 51, Road 5E, Zone 5,Gift City</t>
  </si>
  <si>
    <t>Dec 17, 2021</t>
  </si>
  <si>
    <t>VANSH CAPITAL PRIVATE LIMITED</t>
  </si>
  <si>
    <t>INP000009579</t>
  </si>
  <si>
    <t>Shrawani Salunke</t>
  </si>
  <si>
    <t>795, Bhandarkar Road, Mini Apartment, Near Metro Police Lab, Deccan Gymkhana</t>
  </si>
  <si>
    <t>vanshcapitalpmscompliance@gmail.com</t>
  </si>
  <si>
    <t>0919075976318</t>
  </si>
  <si>
    <t>NAME::VANSH CAPITAL PRIVATE LIMITED</t>
  </si>
  <si>
    <t>firm_with_free_email_needs_website_search</t>
  </si>
  <si>
    <t>FIRST GLOBAL FINANCE PRIVATE LIMITED</t>
  </si>
  <si>
    <t>INH000004635</t>
  </si>
  <si>
    <t>NEERAJ KHANNA</t>
  </si>
  <si>
    <t>Ratnam Square, First Floor, Plot No. 38 39,, Sector 19A, Vashi, Navi Mumbai</t>
  </si>
  <si>
    <t>neeraj.khanna@firstglobal.in</t>
  </si>
  <si>
    <t>Ratnam Square, Plot No. 38/39, Sector 19A, Vashi</t>
  </si>
  <si>
    <t>Mar 10, 2017</t>
  </si>
  <si>
    <t>Profitmart Securities Pvt Ltd</t>
  </si>
  <si>
    <t>INH000005582</t>
  </si>
  <si>
    <t>Gaurav Kothari</t>
  </si>
  <si>
    <t>Unit No 213. Opal Square, Plot No C 1, Thane East</t>
  </si>
  <si>
    <t>gaurav.k@profitmart.in</t>
  </si>
  <si>
    <t>Office No.3, 1st floor, B3, Cerebrum IT Park, Above DMART, Kalyani Nagar</t>
  </si>
  <si>
    <t>Jan 10, 2018</t>
  </si>
  <si>
    <t>INH000006396</t>
  </si>
  <si>
    <t>RAJESH  PADODE</t>
  </si>
  <si>
    <t>419-A ARUN CHAMBERS 4TH FLOOR, NEXT TO AIR CONDITION MARKET TARDEO</t>
  </si>
  <si>
    <t>OFFICE NO.-305, 3RD FLOOR, C-WING, TRADE CENTER, NORTH MAIN ROAD, NEAR AXIS BANK, OPPOSITE LANE NO 6, KOREGAON PARK</t>
  </si>
  <si>
    <t>INH000006448</t>
  </si>
  <si>
    <t>SAURABH SHAH</t>
  </si>
  <si>
    <t>PLOT 42, JAINAM HOUSE,, NEW PASSPORT OFFICE ROAD, PIPLOD,</t>
  </si>
  <si>
    <t>compliance@jainam.in</t>
  </si>
  <si>
    <t>PLOT 42, JAINAM HOUSE, NEW PASSPORT OFFICE ROAD, PIPLOD,</t>
  </si>
  <si>
    <t>Oct 19, 2018</t>
  </si>
  <si>
    <t>INH100008513</t>
  </si>
  <si>
    <t>DIVAM SHARMA</t>
  </si>
  <si>
    <t>7/7, Ground Floor, Ansari Road, Daryaganj</t>
  </si>
  <si>
    <t>divam@greenportfolio.co</t>
  </si>
  <si>
    <t>Jun 21, 2021</t>
  </si>
  <si>
    <t>INH200008653</t>
  </si>
  <si>
    <t>Vidya Bala</t>
  </si>
  <si>
    <t>659, 1st Floor, Flat No 1, Alakananda, 4th Avenue,, D Sector, Anna Nagar Western Extn,</t>
  </si>
  <si>
    <t>vidyabala@primeinvestor.in</t>
  </si>
  <si>
    <t>659, 1st Floor, Flat No 1, Alakananda, 4th Avenue, D Sector, Anna Nagar Western Extn,</t>
  </si>
  <si>
    <t>Aug 19, 2021</t>
  </si>
  <si>
    <t>FINWIZARD TECHNOLOGY PRIVATE LIMITED</t>
  </si>
  <si>
    <t>INH000010238</t>
  </si>
  <si>
    <t>KRISHNA JAKKULA</t>
  </si>
  <si>
    <t>2nd Floor 73 1 Indiqube, Sapphire St Marks Road,</t>
  </si>
  <si>
    <t>broking.compliance@fisdom.com</t>
  </si>
  <si>
    <t>17th Floor, VIOS Tower, Off Eastern Express Highway, NearAnikNagarBusDepot,SewriChemburRoad</t>
  </si>
  <si>
    <t>360 ONE Distribution Services Limited</t>
  </si>
  <si>
    <t>INH000011431</t>
  </si>
  <si>
    <t>Dinesh Tanwar</t>
  </si>
  <si>
    <t>360 ONE Centre, Kamla City, Senapati Bapat Marg Lower Parel</t>
  </si>
  <si>
    <t>Dinesh.Tanwar@iiflw.com</t>
  </si>
  <si>
    <t>Feb 16, 2023</t>
  </si>
  <si>
    <t>INH000012449</t>
  </si>
  <si>
    <t>Abhinav Nayar</t>
  </si>
  <si>
    <t>H N 4066 SECT B PKT 5/6 VASANT KUNJ, NEW DELHI, South Delhi</t>
  </si>
  <si>
    <t>abhinav@mool.one</t>
  </si>
  <si>
    <t>5th Floor, 463, Woxa IT Park Tower, Rao Gajraj Singh Marg, Phase V, Udyog Vihar, Sector 19</t>
  </si>
  <si>
    <t>Jun 19, 2023</t>
  </si>
  <si>
    <t>B N RATHI SECURITIES LIMITED</t>
  </si>
  <si>
    <t>INH000014687</t>
  </si>
  <si>
    <t>CHETAN RATHI</t>
  </si>
  <si>
    <t>6-3-652, IV FLOOR, KAUTILYA, AMRUTHA ESTATES</t>
  </si>
  <si>
    <t>crathi@bnrsecurities.com</t>
  </si>
  <si>
    <t>INH000014915</t>
  </si>
  <si>
    <t>legal-compliance@dezerv.in</t>
  </si>
  <si>
    <t>WEALTH INDIA FINANCIAL SERVICES PVT LTD</t>
  </si>
  <si>
    <t>INH000015570</t>
  </si>
  <si>
    <t>Srinivas Subudhi</t>
  </si>
  <si>
    <t>NO 38 &amp; 39, UTTAM BUILDING,3RD FLOOR, WHITES ROAD,ROYAPETTAH,CHENNAI</t>
  </si>
  <si>
    <t>compliance@fundsindia.com</t>
  </si>
  <si>
    <t>Niveshaay Investment Advisors</t>
  </si>
  <si>
    <t>INH000017338</t>
  </si>
  <si>
    <t>508, 5th Floor, SNS Platina, Somesh Enclave, Near Reliance Mart, vesu</t>
  </si>
  <si>
    <t>Prudent Corporate Advisory Services Limited</t>
  </si>
  <si>
    <t>INH000018115</t>
  </si>
  <si>
    <t>Archana Kapadiya</t>
  </si>
  <si>
    <t>Prudent House Panjrapole Cross Road, Nr Polytechnic Ambawadi</t>
  </si>
  <si>
    <t>cmp@prudentcorporate.com</t>
  </si>
  <si>
    <t>MANGAL KESHAV FINANCIAL SERVICES LLP</t>
  </si>
  <si>
    <t>INH000018319</t>
  </si>
  <si>
    <t>GYAN  PRAKASH</t>
  </si>
  <si>
    <t>501, HERITAGE PLAZA, JP ROAD, OPP INDIAN OIL COLONY, ANDHERI WEST</t>
  </si>
  <si>
    <t>Ayushi Chauksey Adviser Private Limited</t>
  </si>
  <si>
    <t>INA000019707</t>
  </si>
  <si>
    <t>AYUSHI CHAUKSEY</t>
  </si>
  <si>
    <t>801 SAHKARWADI SAHAKAR SOC BHD VIRWANI INDL ESTATE MULUND GOREGAON LK RD, GOREGAON EAST</t>
  </si>
  <si>
    <t>ayushichaukseyadviser2024@gmail.com</t>
  </si>
  <si>
    <t>91007777024549</t>
  </si>
  <si>
    <t>NAME::AYUSHI CHAUKSEY ADVISER PRIVATE LIMITED</t>
  </si>
  <si>
    <t>INVESTGOAL CAPITAL ADVISORS PRIVATE LIMITED</t>
  </si>
  <si>
    <t>INA000021623</t>
  </si>
  <si>
    <t>Kekin Nandu</t>
  </si>
  <si>
    <t>D-317, Dheeraj Valley Bldg. No. 2, Gokhale Road, Near, Saibaba Complex, Goregaon East, Mumbai</t>
  </si>
  <si>
    <t>kekinnandu25@gmail.com</t>
  </si>
  <si>
    <t>00919820464524</t>
  </si>
  <si>
    <t>NAME::INVESTGOAL CAPITAL ADVISORS PRIVATE LIMITED</t>
  </si>
  <si>
    <t>INH000012209</t>
  </si>
  <si>
    <t>7 BHAGAT KI KOTHI EXTENSION NH-65,, PALI ROAD,</t>
  </si>
  <si>
    <t>securities@hensex.com</t>
  </si>
  <si>
    <t>7 BHAGAT KI KOTHI EXTENSION NH-65, PALI ROAD,</t>
  </si>
  <si>
    <t>Apr 10, 2023</t>
  </si>
  <si>
    <t>INH000017295</t>
  </si>
  <si>
    <t>Shivam Agarwal</t>
  </si>
  <si>
    <t>shivam@wrightresearch.in</t>
  </si>
  <si>
    <t>815A B wing, The Capital, Plot No C70, opp. ICICI Bank, G Block BKC, Bandra Kurla Complex, Bandra East,</t>
  </si>
  <si>
    <t>Samar Wealth Advisors</t>
  </si>
  <si>
    <t>INA000019345</t>
  </si>
  <si>
    <t>Raghav Wadhwa</t>
  </si>
  <si>
    <t>31-A Race Course Road, Amritsar,</t>
  </si>
  <si>
    <t>wadhwa.raghav@yahoo.com</t>
  </si>
  <si>
    <t>91009888013123</t>
  </si>
  <si>
    <t>AMRITSAR</t>
  </si>
  <si>
    <t>143001</t>
  </si>
  <si>
    <t>NAME::SAMAR WEALTH ADVISORS</t>
  </si>
  <si>
    <t>SR ALPHA INVESTMENT ADVISERS</t>
  </si>
  <si>
    <t>INA000020758</t>
  </si>
  <si>
    <t>SUYASH SINGHANIYA</t>
  </si>
  <si>
    <t>39/363, 2nd Floor, Shop 3, , Shreeji Complex, Gondiya</t>
  </si>
  <si>
    <t>sralphainvestmentadvisers@gmail.com</t>
  </si>
  <si>
    <t>00009579001565</t>
  </si>
  <si>
    <t>441601</t>
  </si>
  <si>
    <t>NAME::SR ALPHA INVESTMENT ADVISERS</t>
  </si>
  <si>
    <t>FIVE RIVERS PORTFOLIO MANAGERS PRIVATE LIMITED</t>
  </si>
  <si>
    <t>INP000004474</t>
  </si>
  <si>
    <t>Anita Chopra</t>
  </si>
  <si>
    <t>1001, Floor 10, Electra, , Planet Godrej,30, Kk Marg,</t>
  </si>
  <si>
    <t>anitachopra14@gmail.com</t>
  </si>
  <si>
    <t>9109819284603</t>
  </si>
  <si>
    <t>BCCI, 4th Floor, The Ruby, Senapati Bapat Marg, Dadar East</t>
  </si>
  <si>
    <t>NAME::FIVE RIVERS PORTFOLIO MANAGERS PRIVATE LIMITED</t>
  </si>
  <si>
    <t>Marathon Trends Advisory Private Limited</t>
  </si>
  <si>
    <t>INP000005722</t>
  </si>
  <si>
    <t>Atul Suri</t>
  </si>
  <si>
    <t>2/2 Hill View No 1,, 241 Hill Road, Bandra West</t>
  </si>
  <si>
    <t>suriatul@hotmail.com</t>
  </si>
  <si>
    <t>9102264551999</t>
  </si>
  <si>
    <t>Jul 07, 2017</t>
  </si>
  <si>
    <t>NAME::MARATHON TRENDS ADVISORY PRIVATE LIMITED</t>
  </si>
  <si>
    <t>INP000005883</t>
  </si>
  <si>
    <t>SAJID BIJNORI</t>
  </si>
  <si>
    <t>sajid_bijnori@yahoo.com</t>
  </si>
  <si>
    <t>9102266186633</t>
  </si>
  <si>
    <t>Dec 26, 2017</t>
  </si>
  <si>
    <t>NAME::PIONEER WEALTH MANAGEMENT SERVICES LIMITED</t>
  </si>
  <si>
    <t>KSEMA WEALTH PVT LTD</t>
  </si>
  <si>
    <t>INP000006299</t>
  </si>
  <si>
    <t>Swetha Kumar</t>
  </si>
  <si>
    <t>New No 2 Old No20 Manikkam Street, off Jubilee Road, West Mambalam</t>
  </si>
  <si>
    <t>Swesan2005@gmail.com</t>
  </si>
  <si>
    <t>9104448533461</t>
  </si>
  <si>
    <t>600033</t>
  </si>
  <si>
    <t>204, Prince Center, 248 Pathari road, Thousand Lights</t>
  </si>
  <si>
    <t>Nov 30, 2018</t>
  </si>
  <si>
    <t>NAME::KSEMA WEALTH PVT LTD</t>
  </si>
  <si>
    <t>Atman Capital Management Private Limited</t>
  </si>
  <si>
    <t>INP000006615</t>
  </si>
  <si>
    <t>Shreyas Attavar</t>
  </si>
  <si>
    <t>C301,Temple Meadows 3, 27th Cross, BSK 2nd Stage</t>
  </si>
  <si>
    <t>shreyas.attavar@gmail.com</t>
  </si>
  <si>
    <t>0008061852070</t>
  </si>
  <si>
    <t>560070</t>
  </si>
  <si>
    <t>Regus, Jayanagar, 7th Block, K R Road</t>
  </si>
  <si>
    <t>NAME::ATMAN CAPITAL MANAGEMENT PRIVATE LIMITED</t>
  </si>
  <si>
    <t>lakewater advisors private limited</t>
  </si>
  <si>
    <t>INP000006767</t>
  </si>
  <si>
    <t>priyanka Sancheti</t>
  </si>
  <si>
    <t>604, Martin Business Park, Block BP 3, Salt Lake, Sector V, Kolkata</t>
  </si>
  <si>
    <t>runwithpankaj@gmail.com</t>
  </si>
  <si>
    <t>9103346026554</t>
  </si>
  <si>
    <t>May 11, 2019</t>
  </si>
  <si>
    <t>NAME::LAKEWATER ADVISORS PRIVATE LIMITED</t>
  </si>
  <si>
    <t>UNIQUE ASSET MANAGEMENT LLP</t>
  </si>
  <si>
    <t>INP000006855</t>
  </si>
  <si>
    <t>Nirali Gopani</t>
  </si>
  <si>
    <t>710/711 Skyline Wealth Space, , Premier Road, Near SBI, Vidyavihar West. Mumbai</t>
  </si>
  <si>
    <t>niraligopani@gmail.com</t>
  </si>
  <si>
    <t>0912225100447</t>
  </si>
  <si>
    <t>Aug 05, 2019</t>
  </si>
  <si>
    <t>NAME::UNIQUE ASSET MANAGEMENT LLP</t>
  </si>
  <si>
    <t>Awriga Capital Advisors LLP</t>
  </si>
  <si>
    <t>INP000006934</t>
  </si>
  <si>
    <t>Deepak Bangera</t>
  </si>
  <si>
    <t>C-501, Ashok Gardens,, T.J.Road, Sewri,</t>
  </si>
  <si>
    <t>DSBANGERA08@GMAIL.COM</t>
  </si>
  <si>
    <t>910229833056572</t>
  </si>
  <si>
    <t>56-C, 5th Floor , Mittal Court</t>
  </si>
  <si>
    <t>Nov 19, 2019</t>
  </si>
  <si>
    <t>NAME::AWRIGA CAPITAL ADVISORS LLP</t>
  </si>
  <si>
    <t>East Lane Capital LLP</t>
  </si>
  <si>
    <t>INP000007058</t>
  </si>
  <si>
    <t>Atul Vaid</t>
  </si>
  <si>
    <t>2804 PRESTIGE TURF TOWER SHAKTI MILL LANE DR E MOSES ROAD, MAHALAXMI</t>
  </si>
  <si>
    <t>atulvaid13@yahoo.com</t>
  </si>
  <si>
    <t>91009833829434</t>
  </si>
  <si>
    <t>NAME::EAST LANE CAPITAL LLP</t>
  </si>
  <si>
    <t>NNM Securities Private Limited</t>
  </si>
  <si>
    <t>INP000007100</t>
  </si>
  <si>
    <t>Piyush  Dwivedi</t>
  </si>
  <si>
    <t>1111, Stock Exchange Tower, 11th Floor,, Dalal Street, Fort</t>
  </si>
  <si>
    <t>piyushnnm@gmail.com</t>
  </si>
  <si>
    <t>9102240790011</t>
  </si>
  <si>
    <t>B-6/7, 2nd Floor, Shri Siddhivinayak Plaza, B-31, Oshiwara, Off Link Road, Andheri-West</t>
  </si>
  <si>
    <t>Nov 25, 2020</t>
  </si>
  <si>
    <t>NAME::NNM SECURITIES PRIVATE LIMITED</t>
  </si>
  <si>
    <t>Valcreate Investment Managers LLP</t>
  </si>
  <si>
    <t>INP000007599</t>
  </si>
  <si>
    <t>Deepak Jayakumar</t>
  </si>
  <si>
    <t>203 Sunder Bhavan 16th Road Khar W</t>
  </si>
  <si>
    <t>dpk.jkumar@outlook.com</t>
  </si>
  <si>
    <t>91809739112869</t>
  </si>
  <si>
    <t>NAME::VALCREATE INVESTMENT MANAGERS LLP</t>
  </si>
  <si>
    <t>Ayan Analytics Private Limited</t>
  </si>
  <si>
    <t>INP000007614</t>
  </si>
  <si>
    <t>Girish Lad</t>
  </si>
  <si>
    <t>Flat No. 23, Wing C, Floor 2, Shreerang Unit11, Shreerang society, N G Marg</t>
  </si>
  <si>
    <t>girishlad1988@gmail.com</t>
  </si>
  <si>
    <t>9102200000000</t>
  </si>
  <si>
    <t>301, Wing A, Devi Darshan, Tembi Naka</t>
  </si>
  <si>
    <t>NAME::AYAN ANALYTICS PRIVATE LIMITED</t>
  </si>
  <si>
    <t>Integrow Asset Management Private Limited</t>
  </si>
  <si>
    <t>INP000008039</t>
  </si>
  <si>
    <t>Kiran Loke</t>
  </si>
  <si>
    <t>Unit No 102,1st Floor, First International Financial Centre, Plot Nos.C-54andC-55 G-Block,Bandra-Kurla Complex, Bandra East</t>
  </si>
  <si>
    <t>kiranloke22@gmail.com</t>
  </si>
  <si>
    <t>9102224108547</t>
  </si>
  <si>
    <t>Apr 19, 2023</t>
  </si>
  <si>
    <t>NAME::INTEGROW ASSET MANAGEMENT PRIVATE LIMITED</t>
  </si>
  <si>
    <t>DWAITH ADVISORY PRIVATE LIMITED</t>
  </si>
  <si>
    <t>INP000008561</t>
  </si>
  <si>
    <t>VenkateshaMurthy</t>
  </si>
  <si>
    <t>Ground Floor, Brigade MLR Center c/o Zepco Technologies Private Limited, , No. 50, Vanivilas Road, Basavanagudi</t>
  </si>
  <si>
    <t>harsha.venkatesh@gmail.com</t>
  </si>
  <si>
    <t>0919108992346</t>
  </si>
  <si>
    <t>Feb 05, 2024</t>
  </si>
  <si>
    <t>NAME::DWAITH ADVISORY PRIVATE LIMITED</t>
  </si>
  <si>
    <t>PAVESTONE ADVISORS AND CONSULTANTS LLP</t>
  </si>
  <si>
    <t>INP000008631</t>
  </si>
  <si>
    <t>Sai Manohar Cheekoti</t>
  </si>
  <si>
    <t>804 Sy No 50 and 51 Pegasus Meenakshi Sky Lounge, Khanamet Village Serilingampally</t>
  </si>
  <si>
    <t>saimanoharca@gmail.com</t>
  </si>
  <si>
    <t>0919000005511</t>
  </si>
  <si>
    <t>Block D 8th Floor i Labs Centre, Opposite Inorbit Mall</t>
  </si>
  <si>
    <t>Mar 18, 2024</t>
  </si>
  <si>
    <t>NAME::PAVESTONE ADVISORS AND CONSULTANTS LLP</t>
  </si>
  <si>
    <t>Atishay Stock Broking Private Limited</t>
  </si>
  <si>
    <t>INP000009320</t>
  </si>
  <si>
    <t>Subhendu Sarkar</t>
  </si>
  <si>
    <t>6 Jawahar Lal Nehru Road, Siddha Esplanade 13th Floor Room No 1507</t>
  </si>
  <si>
    <t>atishaystockbroking@gmail.com</t>
  </si>
  <si>
    <t>0913366748822</t>
  </si>
  <si>
    <t>NAME::ATISHAY STOCK BROKING PRIVATE LIMITED</t>
  </si>
  <si>
    <t>WHITE STONE FINANCIAL ADVISORS PRIVATE LIMITED</t>
  </si>
  <si>
    <t>INP000009533</t>
  </si>
  <si>
    <t>VINAY ROKADIA</t>
  </si>
  <si>
    <t>Office no 407 , 4th FLOOR, P J Towers, Dalal Street , Mumbai City</t>
  </si>
  <si>
    <t>vinayrokadia@yahoo.com</t>
  </si>
  <si>
    <t>9102240155431</t>
  </si>
  <si>
    <t>NAME::WHITE STONE FINANCIAL ADVISORS PRIVATE LIMITED</t>
  </si>
  <si>
    <t>Clearmind Consultancy Private Limited</t>
  </si>
  <si>
    <t>INP000009816</t>
  </si>
  <si>
    <t>Sandeep Meher</t>
  </si>
  <si>
    <t>PL 396 to 398, FL 15, Goldfield Enclave,, Koregaon Park</t>
  </si>
  <si>
    <t>pkucheria@gmail.com</t>
  </si>
  <si>
    <t>9109372810916</t>
  </si>
  <si>
    <t>PL 396 to 398, FL 15, Goldfield Enclave, Koregaon Park</t>
  </si>
  <si>
    <t>NAME::CLEARMIND CONSULTANCY PRIVATE LIMITED</t>
  </si>
  <si>
    <t>GAUVIK WEALTH MANAGEMENT LLP</t>
  </si>
  <si>
    <t>INP000009931</t>
  </si>
  <si>
    <t>V MALLESHAM</t>
  </si>
  <si>
    <t>Plot No 5 and 6 Kharkhana, Surya nagar Secunderabad</t>
  </si>
  <si>
    <t>veerupakshimallesham12@gmail.com</t>
  </si>
  <si>
    <t>0910409949218475</t>
  </si>
  <si>
    <t>500002</t>
  </si>
  <si>
    <t>NAME::GAUVIK WEALTH MANAGEMENT LLP</t>
  </si>
  <si>
    <t>Upachaya Wealth Advisors LLP</t>
  </si>
  <si>
    <t>INP000009986</t>
  </si>
  <si>
    <t>Vandana Agarwal</t>
  </si>
  <si>
    <t>Unit No 535 part, H Wing, Kanakia Zillion, Junction KF LBS Marg and CST Road, Kurla West</t>
  </si>
  <si>
    <t>agarwalvandana1978@gmail.com</t>
  </si>
  <si>
    <t>091009833084533</t>
  </si>
  <si>
    <t>NAME::UPACHAYA WEALTH ADVISORS LLP</t>
  </si>
  <si>
    <t>Alphaoptimus Portfolio Management LLP</t>
  </si>
  <si>
    <t>INP000010098</t>
  </si>
  <si>
    <t>Shruti  Mehta</t>
  </si>
  <si>
    <t>503, Express Chamber, Andheri Kurla Road, Andheri East, Mumbai - 400069</t>
  </si>
  <si>
    <t>shrutimehta0910@gmail.com</t>
  </si>
  <si>
    <t>910229321517859</t>
  </si>
  <si>
    <t>NAME::ALPHAOPTIMUS PORTFOLIO MANAGEMENT LLP</t>
  </si>
  <si>
    <t>AYUSHI CHAUKSEY ADVISER PRIVATE LIMITED</t>
  </si>
  <si>
    <t>INH000021687</t>
  </si>
  <si>
    <t>AYUSHI  CHAUKSEY</t>
  </si>
  <si>
    <t>801, Sahkarwadi sahakar, BHD VIRWANI INDL ESTATE</t>
  </si>
  <si>
    <t>0917777024549</t>
  </si>
  <si>
    <t>firm_with_free_email_needs_website_search; possible_duplicate_or_multi_category_entity</t>
  </si>
  <si>
    <t>Pawandeep Singh Pabla Proprietor of Laurel Financial Services</t>
  </si>
  <si>
    <t>INH000023904</t>
  </si>
  <si>
    <t>Pawandeep Pabla</t>
  </si>
  <si>
    <t>48/6, Pipliya Rao</t>
  </si>
  <si>
    <t>pm17pawandeeps@iimidr.ac.in</t>
  </si>
  <si>
    <t>918225000076</t>
  </si>
  <si>
    <t>INH000024790</t>
  </si>
  <si>
    <t>Kekin  Nandu</t>
  </si>
  <si>
    <t>D-317, Dheeraj Valley Bldg. No. 2, Gokhale Road, Near Saibaba Complex, Goregaon East</t>
  </si>
  <si>
    <t>0919820464524</t>
  </si>
  <si>
    <t>Amit Kumar Upadhyay</t>
  </si>
  <si>
    <t>INH000025540</t>
  </si>
  <si>
    <t>Amit Upadhyay</t>
  </si>
  <si>
    <t>M-614 Anand Green, Golden palm, Niranjanpur</t>
  </si>
  <si>
    <t>Adv.AmitUpadhyay@zohomail.in</t>
  </si>
  <si>
    <t>STAKEHOLDERS EMPOWERMENT SERVICES</t>
  </si>
  <si>
    <t>INH000000016</t>
  </si>
  <si>
    <t>MR. DEVENDRA BHANDARI</t>
  </si>
  <si>
    <t>A202, MUKTANGAN COMPLEX,, UPPER GOVIND NAGAR, MALAD (EAST),</t>
  </si>
  <si>
    <t>devendra.bhandari@sesgovernance.com</t>
  </si>
  <si>
    <t>2240220322</t>
  </si>
  <si>
    <t>A202, Muktangan Complex, Upper Govind Nagar, Malad (East),</t>
  </si>
  <si>
    <t>Jan 20, 2015</t>
  </si>
  <si>
    <t>sesgovernance.com</t>
  </si>
  <si>
    <t>DOMAIN::sesgovernance.com</t>
  </si>
  <si>
    <t>NVS WEALTH MANAGERS PVT. LTD.</t>
  </si>
  <si>
    <t>INA000003205</t>
  </si>
  <si>
    <t>SALONI JAIN</t>
  </si>
  <si>
    <t>1 &amp; 1A, BIRLA MANSION, 134 N.M. ROAD, FORT</t>
  </si>
  <si>
    <t>saloni.nvswealthmanagers@gmail.com</t>
  </si>
  <si>
    <t>2266315511</t>
  </si>
  <si>
    <t>702, Embassy Centre, Nariman Point</t>
  </si>
  <si>
    <t>Jul 14, 2015</t>
  </si>
  <si>
    <t>NAME::NVS WEALTH MANAGERS PVT LTD</t>
  </si>
  <si>
    <t>BIA INVESTMENT ADVISORS</t>
  </si>
  <si>
    <t>INA000005564</t>
  </si>
  <si>
    <t>Mansi Bhambhani</t>
  </si>
  <si>
    <t>904 SATKAR BUILDING, NR. LAL BUNGALOW, C G ROAD, MITHAKALI</t>
  </si>
  <si>
    <t>mansi.bhambhani@gmail.com</t>
  </si>
  <si>
    <t>0919879559519</t>
  </si>
  <si>
    <t>904 Satkar Building, C G road</t>
  </si>
  <si>
    <t>anil.bhambhani@gmail.com</t>
  </si>
  <si>
    <t>7940328998</t>
  </si>
  <si>
    <t>Sep 17, 2016</t>
  </si>
  <si>
    <t>NAME::BIA INVESTMENT ADVISORS</t>
  </si>
  <si>
    <t>ANKUSH SANODIYA  PROPRIE TOR  of DELIGHT FINANCIAL SERVICES</t>
  </si>
  <si>
    <t>INA000009278</t>
  </si>
  <si>
    <t>ANKUSH SANODIYA Proprietor DELIGHT FINANCIAL SERVICES</t>
  </si>
  <si>
    <t>Delight Financial Services, G1 BLK B SCHNO114 PART 2 PRIME QUEENS APPT KANCHAN VIHAR COLONY NIRANJANPUR INDORE</t>
  </si>
  <si>
    <t>Dec 14, 2017</t>
  </si>
  <si>
    <t>NAME::ANKUSH SANODIYA PROPRIE TOR OF DELIGHT FINANCIAL SERVICES</t>
  </si>
  <si>
    <t>ENSURE WEALTH INVESTMENT ADVISER</t>
  </si>
  <si>
    <t>INA100007718</t>
  </si>
  <si>
    <t>Bimal Jha</t>
  </si>
  <si>
    <t>Flat No-1003, Tower-A, The View, Sector-37D,, Ramprastha City, Gurugram</t>
  </si>
  <si>
    <t>bimalcjha@yahoo.co.in</t>
  </si>
  <si>
    <t>919811832802</t>
  </si>
  <si>
    <t>Flat No-1003, Tower-A, The View, Sector-37D, Ramprastha City, Gurugram</t>
  </si>
  <si>
    <t>May 23, 2017</t>
  </si>
  <si>
    <t>NAME::ENSURE WEALTH INVESTMENT ADVISER</t>
  </si>
  <si>
    <t>DILZER CONSULTANTS PRIVATE LTD</t>
  </si>
  <si>
    <t>INA200002239</t>
  </si>
  <si>
    <t>DILSHAD  BILLIMORIA</t>
  </si>
  <si>
    <t>NO.404, 4th Floor, Embassy Centre, No. 11, Crescent Road</t>
  </si>
  <si>
    <t>dilzerconsultants@gmail.com</t>
  </si>
  <si>
    <t>919845023746</t>
  </si>
  <si>
    <t>NO.307, EMBASSY CENTER, 11, CRESCENT ROAD,</t>
  </si>
  <si>
    <t>Sep 19, 2014</t>
  </si>
  <si>
    <t>NAME::DILZER CONSULTANTS PRIVATE LTD</t>
  </si>
  <si>
    <t>OPULENT INVESTMENT ADVISER PRIVATE LIMITED</t>
  </si>
  <si>
    <t>INA000011644</t>
  </si>
  <si>
    <t>Ajita Udeshi</t>
  </si>
  <si>
    <t>61, Floor 6, Plot No-85, Maker Tower E, G D Somani Marg, , World Trade Centre, Cuffe Parade,</t>
  </si>
  <si>
    <t>opulentw@gmail.com</t>
  </si>
  <si>
    <t>91009619855094</t>
  </si>
  <si>
    <t>NAME::OPULENT INVESTMENT ADVISER PRIVATE LIMITED</t>
  </si>
  <si>
    <t>Shree Sidvin Investment Advisors Pvt Ltd</t>
  </si>
  <si>
    <t>INA200012425</t>
  </si>
  <si>
    <t>Balagovindan Srinivasan</t>
  </si>
  <si>
    <t>55/7 1st Floor S V Complex, K R Road Basavanagudi</t>
  </si>
  <si>
    <t>shreesidvinia@gmail.com</t>
  </si>
  <si>
    <t>00919972524166</t>
  </si>
  <si>
    <t>Feb 01, 2019</t>
  </si>
  <si>
    <t>NAME::SHREE SIDVIN INVESTMENT ADVISORS PVT LTD</t>
  </si>
  <si>
    <t>Rio Capital Investment Advisor</t>
  </si>
  <si>
    <t>INA000013402</t>
  </si>
  <si>
    <t>Bhini Chauhan</t>
  </si>
  <si>
    <t>PRAKOSHT NO. 207, KRISHNA BUSINESS CENTER,, PLOT NO. 11,SCHEME NO. 54, PU-4 COMMERCIAL,</t>
  </si>
  <si>
    <t>riocapitalinvestmentadvisor@gmail.com</t>
  </si>
  <si>
    <t>917974433001</t>
  </si>
  <si>
    <t>PRAKOSHT NO. 207, KRISHNA BUSINESS CENTER, PLOT NO. 11,SCHEME NO. 54, PU-4 COMMERCIAL,</t>
  </si>
  <si>
    <t>May 31, 2019</t>
  </si>
  <si>
    <t>NAME::RIO CAPITAL INVESTMENT ADVISOR</t>
  </si>
  <si>
    <t>MRA INVESTMENT ADVISORS PRIVATE LIMITED</t>
  </si>
  <si>
    <t>INA100016956</t>
  </si>
  <si>
    <t>Pankaj Rastogi</t>
  </si>
  <si>
    <t>Flat No. 805, 8th floor, Indra Prakash Building, Plot No.21, Brakhamba Road</t>
  </si>
  <si>
    <t>prastogi73@gmail.com</t>
  </si>
  <si>
    <t>0009953508820</t>
  </si>
  <si>
    <t>NAME::MRA INVESTMENT ADVISORS PRIVATE LIMITED</t>
  </si>
  <si>
    <t>Safejar Advisers Private Limited</t>
  </si>
  <si>
    <t>INA000017648</t>
  </si>
  <si>
    <t>Nishchay Babu Gowrishankar</t>
  </si>
  <si>
    <t>No.752, Vasantham,18th Main,, 6th Block, Koramangala, Bengaluru</t>
  </si>
  <si>
    <t>ag.nishchay@gmail.com</t>
  </si>
  <si>
    <t>91919986843412</t>
  </si>
  <si>
    <t>560095</t>
  </si>
  <si>
    <t>No.752, Vasantham,18th Main, 6th Block, Koramangala, Bengaluru</t>
  </si>
  <si>
    <t>Jan 30, 2023</t>
  </si>
  <si>
    <t>NAME::SAFEJAR ADVISERS PRIVATE LIMITED</t>
  </si>
  <si>
    <t>MOONBOW INVESTMENT ADVISORS PRIVATE LIMITED</t>
  </si>
  <si>
    <t>INA000017921</t>
  </si>
  <si>
    <t>Mayank Binod  Dugar</t>
  </si>
  <si>
    <t>Office No. 206 Bramha Garden Bund Garden Road</t>
  </si>
  <si>
    <t>mayankbdugar@gmail.com</t>
  </si>
  <si>
    <t>022918956373963</t>
  </si>
  <si>
    <t>NAME::MOONBOW INVESTMENT ADVISORS PRIVATE LIMITED</t>
  </si>
  <si>
    <t>FINOME TECHNOLOGIES PRIVATE LIMITED</t>
  </si>
  <si>
    <t>INA000018373</t>
  </si>
  <si>
    <t>Chanpreet Singh</t>
  </si>
  <si>
    <t>12 THIRD FLOOR, LAD WORKSPACES, , OUTER RING ROAD BELLANDUR</t>
  </si>
  <si>
    <t>chanpreet515@gmail.com</t>
  </si>
  <si>
    <t>051010965651</t>
  </si>
  <si>
    <t>Aug 17, 2023</t>
  </si>
  <si>
    <t>NAME::FINOME TECHNOLOGIES PRIVATE LIMITED</t>
  </si>
  <si>
    <t>Moneyvesta Capital Services Private Limited</t>
  </si>
  <si>
    <t>INA000018407</t>
  </si>
  <si>
    <t>Manasvi Garg</t>
  </si>
  <si>
    <t>514-B, Unitech Arcadia, Unitech Arcadia,South City-II,South City</t>
  </si>
  <si>
    <t>gargmanasv@gmail.com</t>
  </si>
  <si>
    <t>0000009999272055</t>
  </si>
  <si>
    <t>Aug 24, 2023</t>
  </si>
  <si>
    <t>NAME::MONEYVESTA CAPITAL SERVICES PRIVATE LIMITED</t>
  </si>
  <si>
    <t>FIN2RESEARCH INVESTMENT ADVISOR PRIVATE LIMITED</t>
  </si>
  <si>
    <t>INA000018425</t>
  </si>
  <si>
    <t>Raushan Kumar</t>
  </si>
  <si>
    <t>PLOT NO A 2ND FLOOR STREET NO BUNGLOW ROAD, Malka Ganj Delhi North Delhi</t>
  </si>
  <si>
    <t>raushanstar02@gmail.com</t>
  </si>
  <si>
    <t>91009999173613</t>
  </si>
  <si>
    <t>NAME::FIN2RESEARCH INVESTMENT ADVISOR PRIVATE LIMITED</t>
  </si>
  <si>
    <t>SKYRIDGE WEALTH MANAGEMENT PRIVATE LIMITED</t>
  </si>
  <si>
    <t>INA000018586</t>
  </si>
  <si>
    <t>Abhishek Maheshwari</t>
  </si>
  <si>
    <t>805, Plot 5, B-Jeevan Vihar,, Manav Mandir Road, Malabar Hill</t>
  </si>
  <si>
    <t>skyrwmpl@gmail.com</t>
  </si>
  <si>
    <t>00918928404251</t>
  </si>
  <si>
    <t>805, Plot 5, B-Jeevan Vihar, Manav Mandir Road, Malabar Hill</t>
  </si>
  <si>
    <t>NAME::SKYRIDGE WEALTH MANAGEMENT PRIVATE LIMITED</t>
  </si>
  <si>
    <t>Llama Research LLP</t>
  </si>
  <si>
    <t>INA000018780</t>
  </si>
  <si>
    <t>Karan Shah</t>
  </si>
  <si>
    <t>Plot no,106, Mulberry Homes,, Veluk, Olpad, Narthan,</t>
  </si>
  <si>
    <t>karan5987@gmail.com</t>
  </si>
  <si>
    <t>912618800395987</t>
  </si>
  <si>
    <t>395005</t>
  </si>
  <si>
    <t>Plot no,106, Mulberry Homes, Veluk, Olpad, Narthan,</t>
  </si>
  <si>
    <t>Jan 18, 2024</t>
  </si>
  <si>
    <t>NAME::LLAMA RESEARCH LLP</t>
  </si>
  <si>
    <t>PLNR INVESTMENT ADVISORS</t>
  </si>
  <si>
    <t>INA000018966</t>
  </si>
  <si>
    <t>Ajay Pruthi</t>
  </si>
  <si>
    <t>Shop No. 2, 1st Floor, Tulip Plaza, Plot No. 114, Sector 13, Kharghar,</t>
  </si>
  <si>
    <t>ajaypruthi@gmail.com</t>
  </si>
  <si>
    <t>91008860000332</t>
  </si>
  <si>
    <t>NAME::PLNR INVESTMENT ADVISORS</t>
  </si>
  <si>
    <t>BasuNivesh Fee Only Financial Planners</t>
  </si>
  <si>
    <t>INA000019053</t>
  </si>
  <si>
    <t>Basavaraj Tonagatti</t>
  </si>
  <si>
    <t>Ground Floor, No. 1446, Aastha, Ullal Main Road,, 5th Block, Sir M V Layout, Bengaluru</t>
  </si>
  <si>
    <t>basunivesh@gmail.com</t>
  </si>
  <si>
    <t>91006361835871</t>
  </si>
  <si>
    <t>560110</t>
  </si>
  <si>
    <t>Ground Floor, No. 1446, Aastha, Ullal Main Road, 5th Block, Sir M V Layout, Bengaluru</t>
  </si>
  <si>
    <t>Apr 18, 2024</t>
  </si>
  <si>
    <t>NAME::BASUNIVESH FEE ONLY FINANCIAL PLANNERS</t>
  </si>
  <si>
    <t>SFI INVESTMENT ADVISORS LLP</t>
  </si>
  <si>
    <t>INA000019114</t>
  </si>
  <si>
    <t>Raghuveer  Nath</t>
  </si>
  <si>
    <t>W1C101, DLF Wellington Estate, DLF City 5, Gurugram</t>
  </si>
  <si>
    <t>raghuveer.nath@gmail.com</t>
  </si>
  <si>
    <t>91009711144960</t>
  </si>
  <si>
    <t>NAME::SFI INVESTMENT ADVISORS LLP</t>
  </si>
  <si>
    <t>BIGMANS CONSULTANT &amp; MARKETING PVT. LTD.</t>
  </si>
  <si>
    <t>INA000019123</t>
  </si>
  <si>
    <t>SUMAN KUMAR</t>
  </si>
  <si>
    <t>House No.-1050, Main 25 Foota Road, B Block, Kh. No.- 135/1/1/2, , pp. Gali  No.-71, Sant Nagar, Burari, New Delhi</t>
  </si>
  <si>
    <t>advdrsuman@gmail.com</t>
  </si>
  <si>
    <t>91007992372875</t>
  </si>
  <si>
    <t>110084</t>
  </si>
  <si>
    <t>Chandeshwari Bhawan, Taregana Gola Road, , Beside Bada Mill, Patna</t>
  </si>
  <si>
    <t>804452</t>
  </si>
  <si>
    <t>NAME::BIGMANS CONSULTANT MARKETING PVT LTD</t>
  </si>
  <si>
    <t>Winwize Research and Advisory Private Limited</t>
  </si>
  <si>
    <t>INA000019178</t>
  </si>
  <si>
    <t>Jeevan Dominic</t>
  </si>
  <si>
    <t>9 CHANDRAMMA ARCHED GANIGARAPALYA BSK 6TH ST THALAGHATTAPURA</t>
  </si>
  <si>
    <t>alternatetrading11@gmail.com</t>
  </si>
  <si>
    <t>91007483056572</t>
  </si>
  <si>
    <t>560109</t>
  </si>
  <si>
    <t>NAME::WINWIZE RESEARCH AND ADVISORY PRIVATE LIMITED</t>
  </si>
  <si>
    <t>U-Klickkit Enterprises Private Limited</t>
  </si>
  <si>
    <t>INA000019309</t>
  </si>
  <si>
    <t>Kanattummal  Rithwin Siva</t>
  </si>
  <si>
    <t>No195 Kutchery Road Mylapore, Chennai Tamil Nadu</t>
  </si>
  <si>
    <t>rithwinsiva@gmail.com</t>
  </si>
  <si>
    <t>000009043645475</t>
  </si>
  <si>
    <t>NAME::U KLICKKIT ENTERPRISES PRIVATE LIMITED</t>
  </si>
  <si>
    <t>ArthaVidhi Investment Advisors LLP</t>
  </si>
  <si>
    <t>INA000019451</t>
  </si>
  <si>
    <t>Krishnan Venkatachalam</t>
  </si>
  <si>
    <t>Flat No 5513, Propulsive Pinnacle, Kumbena, Kadugodi, Hosakote, Bengaluru</t>
  </si>
  <si>
    <t>vkrg.cfp@gmail.com</t>
  </si>
  <si>
    <t>91009833388992</t>
  </si>
  <si>
    <t>560067</t>
  </si>
  <si>
    <t>NAME::ARTHAVIDHI INVESTMENT ADVISORS LLP</t>
  </si>
  <si>
    <t>Equisense Advisors Private Limited</t>
  </si>
  <si>
    <t>INA000019840</t>
  </si>
  <si>
    <t>Nishant Joshi</t>
  </si>
  <si>
    <t>140, Sai Kripa Colony, Opp Mahalaxmi Nagar, Vijay Nagar</t>
  </si>
  <si>
    <t>india.nishant@gmail.com</t>
  </si>
  <si>
    <t>00919926855365</t>
  </si>
  <si>
    <t>NAME::EQUISENSE ADVISORS PRIVATE LIMITED</t>
  </si>
  <si>
    <t>Tygo Investment Advisers LLP</t>
  </si>
  <si>
    <t>INA000019868</t>
  </si>
  <si>
    <t>DINESH KUMAR</t>
  </si>
  <si>
    <t>34, 2nd street, Gopalapuram</t>
  </si>
  <si>
    <t>dineshkumarm93@gmail.com</t>
  </si>
  <si>
    <t>00918015323699</t>
  </si>
  <si>
    <t>600086</t>
  </si>
  <si>
    <t>Feb 03, 2025</t>
  </si>
  <si>
    <t>NAME::TYGO INVESTMENT ADVISERS LLP</t>
  </si>
  <si>
    <t>ZEN NIVESH ADVISORS PRIVATE LIMITED</t>
  </si>
  <si>
    <t>INA000020323</t>
  </si>
  <si>
    <t>Ankit  Kanodia</t>
  </si>
  <si>
    <t>B202 STONE OAKS APPARTMENT, HOSA ROAD GAL JUNCTION, ELECTRONICS CITY,</t>
  </si>
  <si>
    <t>kanodia.ankit12@gmail.com</t>
  </si>
  <si>
    <t>00919978988562</t>
  </si>
  <si>
    <t>NAME::ZEN NIVESH ADVISORS PRIVATE LIMITED</t>
  </si>
  <si>
    <t>LN FINTECH ADVISORY PRIVATE LIMITED</t>
  </si>
  <si>
    <t>INA000020545</t>
  </si>
  <si>
    <t>KRISHNA NAGPAL</t>
  </si>
  <si>
    <t>201, Swan View Chs Ltd, 14th Road, Plot No 396, Khar Colony,</t>
  </si>
  <si>
    <t>krishna.nagpal0409@gmail.com</t>
  </si>
  <si>
    <t>00919930158116</t>
  </si>
  <si>
    <t>NAME::LN FINTECH ADVISORY PRIVATE LIMITED</t>
  </si>
  <si>
    <t>Invsify Technologies Private Limited</t>
  </si>
  <si>
    <t>INA000020572</t>
  </si>
  <si>
    <t>Shlok Sobti</t>
  </si>
  <si>
    <t>F-33/3, Okhla Industrial Area, Phase-II</t>
  </si>
  <si>
    <t>shlok.sobti@gmail.com</t>
  </si>
  <si>
    <t>01101143500700</t>
  </si>
  <si>
    <t>Module No. 409, 4th Floor, , NSIC Business Park Building Okhla</t>
  </si>
  <si>
    <t>NAME::INVSIFY TECHNOLOGIES PRIVATE LIMITED</t>
  </si>
  <si>
    <t>INVESTORAI INVESTMENT MANAGEMENT SERVICES PRIVATE LIMITED</t>
  </si>
  <si>
    <t>INA000020606</t>
  </si>
  <si>
    <t>Lakshit Maheshwari</t>
  </si>
  <si>
    <t>INNOV8 Mantri Commercio, Tower A, 5th Floor, Dever,, Bellandur</t>
  </si>
  <si>
    <t>lakshit.maheshwari3@gmail.com</t>
  </si>
  <si>
    <t>00919637281073</t>
  </si>
  <si>
    <t>INNOV8 Mantri Commercio, Tower A, 5th Floor, Dever, Bellandur</t>
  </si>
  <si>
    <t>NAME::INVESTORAI INVESTMENT MANAGEMENT SERVICES PRIVATE LIMITED</t>
  </si>
  <si>
    <t>Arthvruksh Capital Management LLP</t>
  </si>
  <si>
    <t>INA000020712</t>
  </si>
  <si>
    <t>Himanjal Brahmbhatt</t>
  </si>
  <si>
    <t>705B, Iscon Elegance, BS Shapath V, Prahladnagar, SG Highway, Ahmedabad</t>
  </si>
  <si>
    <t>himanjal@gmail.com</t>
  </si>
  <si>
    <t>00919638283312</t>
  </si>
  <si>
    <t>Jul 25, 2025</t>
  </si>
  <si>
    <t>NAME::ARTHVRUKSH CAPITAL MANAGEMENT LLP</t>
  </si>
  <si>
    <t>Everest Creators Pvt Ltd</t>
  </si>
  <si>
    <t>INA000020855</t>
  </si>
  <si>
    <t>Tapan Jani</t>
  </si>
  <si>
    <t>2nd Floor, N.B.C.C House, Opp. Ambawadi, Ahemdabad</t>
  </si>
  <si>
    <t>tapy17@gmail.com</t>
  </si>
  <si>
    <t>00919898098600</t>
  </si>
  <si>
    <t>NAME::EVEREST CREATORS PVT LTD</t>
  </si>
  <si>
    <t>GOELA FINANCIAL SERVICES LLP</t>
  </si>
  <si>
    <t>INA000020952</t>
  </si>
  <si>
    <t>Aditya Goela</t>
  </si>
  <si>
    <t>A-197, 3rd Floor, Sector-92, Maharishi Nagar, Gautam Buddha Nagar</t>
  </si>
  <si>
    <t>adityagoela@gmail.com</t>
  </si>
  <si>
    <t>00919999455868</t>
  </si>
  <si>
    <t>NAME::GOELA FINANCIAL SERVICES LLP</t>
  </si>
  <si>
    <t>Jaima Scientific Ventures LLP</t>
  </si>
  <si>
    <t>INA000021030</t>
  </si>
  <si>
    <t>Kumar Saurabh</t>
  </si>
  <si>
    <t>4 A Street, Ground Floor, Musneshwara Temple, Frazer Town, Bengaluru,</t>
  </si>
  <si>
    <t>saurabhscientificventures@gmail.com</t>
  </si>
  <si>
    <t>00918884550110</t>
  </si>
  <si>
    <t>NAME::JAIMA SCIENTIFIC VENTURES LLP</t>
  </si>
  <si>
    <t>Value Ethics Private Limited</t>
  </si>
  <si>
    <t>INA000021155</t>
  </si>
  <si>
    <t>Teena Mundada</t>
  </si>
  <si>
    <t>6/1B, Office No.305 Shree Ganesh ACE, Arcade, Pune City,Pune</t>
  </si>
  <si>
    <t>tina.mundada@gmail.com</t>
  </si>
  <si>
    <t>00919168692727</t>
  </si>
  <si>
    <t>411017</t>
  </si>
  <si>
    <t>NAME::VALUE ETHICS PRIVATE LIMITED</t>
  </si>
  <si>
    <t>Investrite Fintech LLP</t>
  </si>
  <si>
    <t>INA000021164</t>
  </si>
  <si>
    <t>Sohesh Shah</t>
  </si>
  <si>
    <t>3rd Floor, Plot No 26, Hatkesh Society Scheme, 5th Road JVPD, Vile Parle West Mumbai,</t>
  </si>
  <si>
    <t>investrite_advisory@yahoo.com</t>
  </si>
  <si>
    <t>00919820099842</t>
  </si>
  <si>
    <t>Mitali Trust 8-B Shirin Shorab Palace, Nariman Road Vile Parle East</t>
  </si>
  <si>
    <t>Oct 13, 2025</t>
  </si>
  <si>
    <t>NAME::INVESTRITE FINTECH LLP</t>
  </si>
  <si>
    <t>Mehak Wealth Management Private Limited</t>
  </si>
  <si>
    <t>INA000021401</t>
  </si>
  <si>
    <t>Rajan Malhotra</t>
  </si>
  <si>
    <t>245 2ND FLOOR , JAGRITI ENCLAVE VIKAS MARG EXTENSION</t>
  </si>
  <si>
    <t>malhotra245@gmail.com</t>
  </si>
  <si>
    <t>00918799796119</t>
  </si>
  <si>
    <t>NAME::MEHAK WEALTH MANAGEMENT PRIVATE LIMITED</t>
  </si>
  <si>
    <t>Primew Financial Services Private Limited</t>
  </si>
  <si>
    <t>INA000021438</t>
  </si>
  <si>
    <t>Alok Dubey</t>
  </si>
  <si>
    <t>S.no.164, Shop No.311, Commercial, Pune City Pune</t>
  </si>
  <si>
    <t>aloksdubey@gmail.com</t>
  </si>
  <si>
    <t>00919069382525</t>
  </si>
  <si>
    <t>NAME::PRIMEW FINANCIAL SERVICES PRIVATE LIMITED</t>
  </si>
  <si>
    <t>Plus91 Asset Management LLP</t>
  </si>
  <si>
    <t>INA000021526</t>
  </si>
  <si>
    <t>Parth Kotak</t>
  </si>
  <si>
    <t>703 Woodland Plot no-145 To 149 Upper Govind Nagar, Malad East</t>
  </si>
  <si>
    <t>parthkotak7.pk@gmail.com</t>
  </si>
  <si>
    <t>00919930795667</t>
  </si>
  <si>
    <t>NAME::PLUS91 ASSET MANAGEMENT LLP</t>
  </si>
  <si>
    <t>Hijli Investment Advisors Private Limited</t>
  </si>
  <si>
    <t>INA000021793</t>
  </si>
  <si>
    <t>Vikas Bansal</t>
  </si>
  <si>
    <t>Om Chambers 648/A, 4th Floor,Binnamangala, 1st Stage Indiranagar</t>
  </si>
  <si>
    <t>vikas.bansal2812@gmail.com</t>
  </si>
  <si>
    <t>00919899373377</t>
  </si>
  <si>
    <t>NAME::HIJLI INVESTMENT ADVISORS PRIVATE LIMITED</t>
  </si>
  <si>
    <t>Pravin Ratilal Investment Advisors Private Limited</t>
  </si>
  <si>
    <t>INA000021845</t>
  </si>
  <si>
    <t>Rushabh Sharedalal</t>
  </si>
  <si>
    <t>A-908, Unicus Shyamal, Shyamal cross road, Satellite, Ahmedabad</t>
  </si>
  <si>
    <t>rushabh47@gmail.com</t>
  </si>
  <si>
    <t>0007926553804</t>
  </si>
  <si>
    <t>NAME::PRAVIN RATILAL INVESTMENT ADVISORS PRIVATE LIMITED</t>
  </si>
  <si>
    <t>Dakshamm Capital Services Private Limited</t>
  </si>
  <si>
    <t>INA000022011</t>
  </si>
  <si>
    <t>Chirag Bhatia</t>
  </si>
  <si>
    <t>A 342 F F Sushant Lok 2,</t>
  </si>
  <si>
    <t>cbhatia297@gmail.com</t>
  </si>
  <si>
    <t>00919702064667</t>
  </si>
  <si>
    <t>NAME::DAKSHAMM CAPITAL SERVICES PRIVATE LIMITED</t>
  </si>
  <si>
    <t>Potofwealth Nurturing LLP</t>
  </si>
  <si>
    <t>INA000022084</t>
  </si>
  <si>
    <t>Jayesh Dahad</t>
  </si>
  <si>
    <t>AA 602, Piccadilly, Shiv Sai Paradise,, Majiwada</t>
  </si>
  <si>
    <t>dahadjayesh999@gmail.com</t>
  </si>
  <si>
    <t>000918806247360</t>
  </si>
  <si>
    <t>AA 602, Piccadilly, Shiv Sai Paradise, Majiwada</t>
  </si>
  <si>
    <t>NAME::POTOFWEALTH NURTURING LLP</t>
  </si>
  <si>
    <t>FIRSTCOREADVISERS LLP</t>
  </si>
  <si>
    <t>INA000022288</t>
  </si>
  <si>
    <t>Subbiah Somasundaram</t>
  </si>
  <si>
    <t>7 4, Krishnamachari Avenue,, Baktavatsalam Nagar, Adyar</t>
  </si>
  <si>
    <t>reachsubbu.s@gmail.com</t>
  </si>
  <si>
    <t>000919940098918</t>
  </si>
  <si>
    <t>NAME::FIRSTCOREADVISERS LLP</t>
  </si>
  <si>
    <t>ACUITY INSIGHTS PRIVATE LIMITED</t>
  </si>
  <si>
    <t>INA000022358</t>
  </si>
  <si>
    <t>Navneet Daga</t>
  </si>
  <si>
    <t>Flat - 701, 7th Floor, Shivalaya Heights,, Azad Ngr 2, Veera Desai Road,</t>
  </si>
  <si>
    <t>navneetd.917@gmail.com</t>
  </si>
  <si>
    <t>912235570753</t>
  </si>
  <si>
    <t>1806, Chandak Paloma, Vishweshwar Nagar, Behind Udipi Hotel,</t>
  </si>
  <si>
    <t>NAME::ACUITY INSIGHTS PRIVATE LIMITED</t>
  </si>
  <si>
    <t>CLARITAS INSIGHTS LLP</t>
  </si>
  <si>
    <t>INA000022376</t>
  </si>
  <si>
    <t>Charu Sharma</t>
  </si>
  <si>
    <t>Flat No. 2404, 24th Floor, A Wing, CTS No. 3 &amp; 4, 590/A/A/1, Oberoi Exquisite, Village Dindoshi, , Oberoi Garden City, Goregaon (E),</t>
  </si>
  <si>
    <t>charu.sharma008@gmail.com</t>
  </si>
  <si>
    <t>00919819766910</t>
  </si>
  <si>
    <t>2006, One World, S V Road, Near N L School, Malad West,</t>
  </si>
  <si>
    <t>NAME::CLARITAS INSIGHTS LLP</t>
  </si>
  <si>
    <t>Persevera Wealth Advisors LLP</t>
  </si>
  <si>
    <t>INA000022394</t>
  </si>
  <si>
    <t>Janaki Bhuta</t>
  </si>
  <si>
    <t>604, 6th Floor, D Wing, Neelkanth,, Business Park, Vidyavihar (W)</t>
  </si>
  <si>
    <t>janaki.bhuta@gmail.com</t>
  </si>
  <si>
    <t>00919702003548</t>
  </si>
  <si>
    <t>604, 6th Floor, D Wing, Neelkanth, Business Park, Vidyavihar (W)</t>
  </si>
  <si>
    <t>NAME::PERSEVERA WEALTH ADVISORS LLP</t>
  </si>
  <si>
    <t>WORTHOS TECHNOLOGIES PRIVATE LIMITED</t>
  </si>
  <si>
    <t>INA000022695</t>
  </si>
  <si>
    <t>TANISH SADH</t>
  </si>
  <si>
    <t>A-85 SECTOR -5 NOIDA,GAUTAM BUDDHA NAGAR, UTTAR PRADESH</t>
  </si>
  <si>
    <t>sadtanish@gmail.com</t>
  </si>
  <si>
    <t>00919818241900</t>
  </si>
  <si>
    <t>NAME::WORTHOS TECHNOLOGIES PRIVATE LIMITED</t>
  </si>
  <si>
    <t>Affirma Capital Investment Adviser India Private Limited</t>
  </si>
  <si>
    <t>INA000013262</t>
  </si>
  <si>
    <t>Udai Dhawan</t>
  </si>
  <si>
    <t>9th Floor, Avighna House, 82,, Dr.Annie Besant Road, Worli Naka, Worli,</t>
  </si>
  <si>
    <t>udai.dhawan@gmail.com</t>
  </si>
  <si>
    <t>9th Floor, Avighna House, 82, Dr.Annie Besant Road, Worli Naka, Worli,</t>
  </si>
  <si>
    <t>NAME::AFFIRMA CAPITAL INVESTMENT ADVISER INDIA PRIVATE LIMITED</t>
  </si>
  <si>
    <t>INA000014818</t>
  </si>
  <si>
    <t>RAHUL JAJU</t>
  </si>
  <si>
    <t>795, Bhandarkar Road, Mini Apartment  , Near Metro Police Lab, Deccan Gymkhana</t>
  </si>
  <si>
    <t>vanshcapitaladvisors@gmail.com</t>
  </si>
  <si>
    <t>Prosperity Wealth Adviser</t>
  </si>
  <si>
    <t>INA000016773</t>
  </si>
  <si>
    <t>Samraat Jadhav</t>
  </si>
  <si>
    <t>FLAT NO 4, INDRALOK APARTMENTS, SIHAGAD ROAD, S NO. 14/5/2/1, NEAR PRAGATI PARK, WADGAON BK, ANANDNAGAR</t>
  </si>
  <si>
    <t>samraat.jadhav@gmail.com</t>
  </si>
  <si>
    <t>411051</t>
  </si>
  <si>
    <t>A80 3rd Floor Srinath Plaza, Dyaneshwar Paduka Chowk Shivajinagar</t>
  </si>
  <si>
    <t>NAME::PROSPERITY WEALTH ADVISER</t>
  </si>
  <si>
    <t>MRG INVESTMENT PARTNERS PRIVATE LIMITED</t>
  </si>
  <si>
    <t>INP000006253</t>
  </si>
  <si>
    <t>KEERTHANA SAKALA</t>
  </si>
  <si>
    <t>H NO 1139, SEC 21 B</t>
  </si>
  <si>
    <t>keerthana261095@gmail.com</t>
  </si>
  <si>
    <t>91808904522240</t>
  </si>
  <si>
    <t>T3, NO 872, HA ARCADE, 17E MAIN, KORAMANGALA 6TH BLOCK</t>
  </si>
  <si>
    <t>NAME::MRG INVESTMENT PARTNERS PRIVATE LIMITED</t>
  </si>
  <si>
    <t>PROFITGATE CAPITAL SERVICES LLP</t>
  </si>
  <si>
    <t>INP000008233</t>
  </si>
  <si>
    <t>Kalyani Takarkhede</t>
  </si>
  <si>
    <t>HOUSE NO 345/95 AVG LAYOUT LAKADGANJ, CHAPRU NGR</t>
  </si>
  <si>
    <t>KALYANITAKADKHEDE@GMAIL.COM</t>
  </si>
  <si>
    <t>00917972483190</t>
  </si>
  <si>
    <t>440008</t>
  </si>
  <si>
    <t>2ND FLOOR SARDA TRANSPORT BUILDING, CENTRAL AVENUE BAGADGANJ</t>
  </si>
  <si>
    <t>NAME::PROFITGATE CAPITAL SERVICES LLP</t>
  </si>
  <si>
    <t>Arham Wealth Management Private Limited</t>
  </si>
  <si>
    <t>INP000008853</t>
  </si>
  <si>
    <t>UNIT NO. 418, 419, 419A, 4TH FLOOR, DSCCSL TOWER, BLOCK NO. 53, ROAD 5C, GIFT CITY, GANDHINAGAR, GUJARAT</t>
  </si>
  <si>
    <t>arhamwealthsurat@gmail.com</t>
  </si>
  <si>
    <t>9102614245955</t>
  </si>
  <si>
    <t>GROUND FLOOR,B 2 INTERNATIONAL TRADE CENTRE MAJURA GATE, RING ROAD SURAT</t>
  </si>
  <si>
    <t>NAME::ARHAM WEALTH MANAGEMENT PRIVATE LIMITED</t>
  </si>
  <si>
    <t>Matterhorn Investment Advisors LLP</t>
  </si>
  <si>
    <t>INP000009588</t>
  </si>
  <si>
    <t>Vikas Jain</t>
  </si>
  <si>
    <t>P No. 90, Shri Gopal Nagar, Gopal Pura Bypass</t>
  </si>
  <si>
    <t>jainvikas1982@gmail.com</t>
  </si>
  <si>
    <t>910229950985555</t>
  </si>
  <si>
    <t>302018</t>
  </si>
  <si>
    <t>Office 307, 3rd Floor, Horizon Tower, Jewel Of India, JLN Marg, Opposite Jaipur Stock Exchange</t>
  </si>
  <si>
    <t>NAME::MATTERHORN INVESTMENT ADVISORS LLP</t>
  </si>
  <si>
    <t>Uttam Kumar</t>
  </si>
  <si>
    <t>INH000013989</t>
  </si>
  <si>
    <t>Maya Sadan, Sri Ram Path, 126-Anandpuri, West Boring Canal Road</t>
  </si>
  <si>
    <t>kumar_uttamin@rediff.com</t>
  </si>
  <si>
    <t>917763069439</t>
  </si>
  <si>
    <t>Balachandran Raman Viswanathan</t>
  </si>
  <si>
    <t>INH000025045</t>
  </si>
  <si>
    <t>MADHURIMA, PARITHELIL PALAM, EDAPALLY, KOCHI</t>
  </si>
  <si>
    <t>INH000025975</t>
  </si>
  <si>
    <t>Suyash Ashokkumar  Singhaniya</t>
  </si>
  <si>
    <t>39 363, 2nd Floor, Shop 3, Shreeji Complex, Gondia</t>
  </si>
  <si>
    <t>suyashsinghaniya200@gmail.com</t>
  </si>
  <si>
    <t>Finchemist Solutions</t>
  </si>
  <si>
    <t>INH000023117</t>
  </si>
  <si>
    <t>Vinay Kulkarni</t>
  </si>
  <si>
    <t>Flat no 8 4th Floor Samruddhi Namrta Apt, Plot no 4 New Pandit Colony Nashik</t>
  </si>
  <si>
    <t>partners@finchemist.com</t>
  </si>
  <si>
    <t>918788501023</t>
  </si>
  <si>
    <t>422002</t>
  </si>
  <si>
    <t>Aasavari Chambers, Office No 214, Second Floor, College Road,</t>
  </si>
  <si>
    <t>finchemist.com</t>
  </si>
  <si>
    <t>DOMAIN::finchemist.com</t>
  </si>
  <si>
    <t>TRADING2GROW</t>
  </si>
  <si>
    <t>INH000027636</t>
  </si>
  <si>
    <t>Vibhu Goel</t>
  </si>
  <si>
    <t>109/155, Model House,, Naya Gaon,</t>
  </si>
  <si>
    <t>vibhu.goel@trading2grow.com</t>
  </si>
  <si>
    <t>0006393336009</t>
  </si>
  <si>
    <t>trading2grow.com</t>
  </si>
  <si>
    <t>DOMAIN::trading2grow.com</t>
  </si>
  <si>
    <t>MODULOR ADVISORY SERVICES</t>
  </si>
  <si>
    <t>INA100015115</t>
  </si>
  <si>
    <t>Sanjit Singh Paul</t>
  </si>
  <si>
    <t>Plot No. 139, Industrial Area, Phase 2,</t>
  </si>
  <si>
    <t>modulor.capital@gmail.com</t>
  </si>
  <si>
    <t>91009814016978</t>
  </si>
  <si>
    <t>160002</t>
  </si>
  <si>
    <t>NAME::MODULOR ADVISORY SERVICES</t>
  </si>
  <si>
    <t>Aurostarinvestment Advisory Private Limited</t>
  </si>
  <si>
    <t>INA000018434</t>
  </si>
  <si>
    <t>Nikhil Kabra</t>
  </si>
  <si>
    <t>5 B/1, Calvin Road, Civil Lines</t>
  </si>
  <si>
    <t>aurostarpvtltd@gmail.com</t>
  </si>
  <si>
    <t>00919554688112</t>
  </si>
  <si>
    <t>Sep 14, 2023</t>
  </si>
  <si>
    <t>NAME::AUROSTARINVESTMENT ADVISORY PRIVATE LIMITED</t>
  </si>
  <si>
    <t>ROKAD APP PRIVATE LIMITED</t>
  </si>
  <si>
    <t>INA000018285</t>
  </si>
  <si>
    <t>Gaurav Agrawal</t>
  </si>
  <si>
    <t>SHOP NO 306, 3RD FLOOR SAMTA SHOPPING COMPLEX,, SAMTA COLONY RAIPUR</t>
  </si>
  <si>
    <t>gauravagr91@gmail.com</t>
  </si>
  <si>
    <t>00919425508667</t>
  </si>
  <si>
    <t>SHOP NO 306, 3RD FLOOR SAMTA SHOPPING COMPLEX, SAMTA COLONY RAIPUR</t>
  </si>
  <si>
    <t>NAME::ROKAD APP PRIVATE LIMITED</t>
  </si>
  <si>
    <t>Sanket Awate Fintech Private Limited</t>
  </si>
  <si>
    <t>INA000019381</t>
  </si>
  <si>
    <t>Sanket  Awate</t>
  </si>
  <si>
    <t>1786/A, Ameya Empire, Fl. No. Tf-4, 1st Lane, Rajarampuri,</t>
  </si>
  <si>
    <t>sanketawate111@gmail.com</t>
  </si>
  <si>
    <t>91007385107220</t>
  </si>
  <si>
    <t>416008</t>
  </si>
  <si>
    <t>NAME::SANKET AWATE FINTECH PRIVATE LIMITED</t>
  </si>
  <si>
    <t>Arigamoney India Pvt. Ltd.</t>
  </si>
  <si>
    <t>INA000020776</t>
  </si>
  <si>
    <t>AJITKUMAR SINGH CHAUHAN</t>
  </si>
  <si>
    <t>WARD NO 03, H.N. 11, CANTT, Bareilly Cantt, Bareilly, Uttar Pradesh</t>
  </si>
  <si>
    <t>manav42224@gmail.com</t>
  </si>
  <si>
    <t>00919627077899</t>
  </si>
  <si>
    <t>NAME::ARIGAMONEY INDIA PVT LTD</t>
  </si>
  <si>
    <t>VINSMART WEALTH MANAGEMENT LLP</t>
  </si>
  <si>
    <t>INA000021492</t>
  </si>
  <si>
    <t>Viljo George</t>
  </si>
  <si>
    <t>VIVIN Avenue, Palachuvadu Road, Vennala P.O., Ernakulam Kochi</t>
  </si>
  <si>
    <t>viljogeorge@gmail.com</t>
  </si>
  <si>
    <t>00919567121626</t>
  </si>
  <si>
    <t>682028</t>
  </si>
  <si>
    <t>NAME::VINSMART WEALTH MANAGEMENT LLP</t>
  </si>
  <si>
    <t>ARTHOS FINSERV LLP</t>
  </si>
  <si>
    <t>INA000021632</t>
  </si>
  <si>
    <t>Aakash Jajoo</t>
  </si>
  <si>
    <t>C-1B/150/B/GIDC, Makarpura, Vadsar, Vadodara, Gujarat</t>
  </si>
  <si>
    <t>aakashashokjajoo@gmail.com</t>
  </si>
  <si>
    <t>00919924248934</t>
  </si>
  <si>
    <t>390010</t>
  </si>
  <si>
    <t>NAME::ARTHOS FINSERV LLP</t>
  </si>
  <si>
    <t>ARTHA ADVISORY</t>
  </si>
  <si>
    <t>INA000022251</t>
  </si>
  <si>
    <t>SUBHALAXMI  RAUL</t>
  </si>
  <si>
    <t>Plot no. 604/2205/6799 &amp;  603/2208/6800, At- Amalapada,, Old Bus Stand, Angul</t>
  </si>
  <si>
    <t>artha.contacts@gmail.com</t>
  </si>
  <si>
    <t>00917735736380</t>
  </si>
  <si>
    <t>759122</t>
  </si>
  <si>
    <t>NAME::ARTHA ADVISORY</t>
  </si>
  <si>
    <t>VITTUS WEALTH PRIVATE LIMITED</t>
  </si>
  <si>
    <t>INA000022330</t>
  </si>
  <si>
    <t>Chandraprakash Bhutada</t>
  </si>
  <si>
    <t>2nd Floor, Block B, Plot No 377, Nakshatra, Shankar Nagar, Nagpur</t>
  </si>
  <si>
    <t>cpbhutadaca@gmail.com</t>
  </si>
  <si>
    <t>00919730013997</t>
  </si>
  <si>
    <t>NAME::VITTUS WEALTH PRIVATE LIMITED</t>
  </si>
  <si>
    <t>Nemtara Investment Advisors OPC Private Limited</t>
  </si>
  <si>
    <t>INA000022446</t>
  </si>
  <si>
    <t>Rohit Tated</t>
  </si>
  <si>
    <t>Neelams Bldg, Cement Road,, Gandhi Chowk, Kothi Bazar,</t>
  </si>
  <si>
    <t>carntassociates@gmail.com</t>
  </si>
  <si>
    <t>00918551067760</t>
  </si>
  <si>
    <t>BETUL</t>
  </si>
  <si>
    <t>460001</t>
  </si>
  <si>
    <t>NAME::NEMTARA INVESTMENT ADVISORS OPC PRIVATE LIMITED</t>
  </si>
  <si>
    <t>ARTHAZEYRO TECHNOLOGIES PRIVATE LIMITED</t>
  </si>
  <si>
    <t>INA000022862</t>
  </si>
  <si>
    <t>Swaraj Chouriwar</t>
  </si>
  <si>
    <t>Plot No. 254/A Nandniwas, New Ramdaspeth</t>
  </si>
  <si>
    <t>swaraj872024@gmail.com</t>
  </si>
  <si>
    <t>00917709917532</t>
  </si>
  <si>
    <t>Jun 17, 2026</t>
  </si>
  <si>
    <t>NAME::ARTHAZEYRO TECHNOLOGIES PRIVATE LIMITED</t>
  </si>
  <si>
    <t>J.P. MORGAN INDIA PRIVATE LIMITED</t>
  </si>
  <si>
    <t>INH000001873</t>
  </si>
  <si>
    <t>BHARAT IYER</t>
  </si>
  <si>
    <t>J.P. MORGAN TOWER, OFF C.S.T ROAD, KALINA, SANTACRUZ,</t>
  </si>
  <si>
    <t>bharat.x.iyer@gmail.com</t>
  </si>
  <si>
    <t>2261573600</t>
  </si>
  <si>
    <t>J.P. Morgan Tower, Off C.S.T Road, Kalina, Santacruz,</t>
  </si>
  <si>
    <t>Oct 05, 2015</t>
  </si>
  <si>
    <t>NAME::J P MORGAN INDIA PRIVATE LIMITED</t>
  </si>
  <si>
    <t>NIVEZA INDIA PRIVATE LIMITED</t>
  </si>
  <si>
    <t>INH000002558</t>
  </si>
  <si>
    <t>SAYALI VALIM KEDAR</t>
  </si>
  <si>
    <t>3, KIMAYA BUNGALOW,, DHANASHREE CO-OPERATIVE SOCEITY,GANESH NAGAR,</t>
  </si>
  <si>
    <t>sayali.kedar@gmail.com</t>
  </si>
  <si>
    <t>7774078672</t>
  </si>
  <si>
    <t>A-203, Teerth Technospace,Behind Mercedes Showroom, Mumbai-Bangalore Highway,Baner,</t>
  </si>
  <si>
    <t>Jan 14, 2016</t>
  </si>
  <si>
    <t>NAME::NIVEZA INDIA PRIVATE LIMITED</t>
  </si>
  <si>
    <t>SOUTH GUJARAT SHARES &amp; SHAREBROKERS LIMITED</t>
  </si>
  <si>
    <t>INH000002665</t>
  </si>
  <si>
    <t>MR. AIYUB MOHAMED YACOOBALI</t>
  </si>
  <si>
    <t>3RD FLOOR, BELGIUM CHAMBERS, OPP. LINEAR BUS STOP, RING ROAD, DELHI GATE</t>
  </si>
  <si>
    <t>yacoobali_venture@hotmail.com</t>
  </si>
  <si>
    <t>0261 2601297</t>
  </si>
  <si>
    <t>3rd Floor, Belgium Chambers, Opp. Linear Bus Stop, Ring Road, Delhi Gate</t>
  </si>
  <si>
    <t>Feb 19, 2016</t>
  </si>
  <si>
    <t>NAME::SOUTH GUJARAT SHARES SHAREBROKERS LIMITED</t>
  </si>
  <si>
    <t>JAVERI FISCAL SERVICES LTD</t>
  </si>
  <si>
    <t>INH000005537</t>
  </si>
  <si>
    <t>PS-17, STOCK EXCHANGE, 2ND FLOOR, MUMBAI SAMACHAR MARG,</t>
  </si>
  <si>
    <t>javerifiscal@gmail.com</t>
  </si>
  <si>
    <t>9102266333467</t>
  </si>
  <si>
    <t>Dec 20, 2017</t>
  </si>
  <si>
    <t>NAME::JAVERI FISCAL SERVICES LTD</t>
  </si>
  <si>
    <t>Damani  Financial Services Pvt Ltd</t>
  </si>
  <si>
    <t>INH000006712</t>
  </si>
  <si>
    <t>Abhinav  Damani</t>
  </si>
  <si>
    <t>7 TH FLOOR MOTI MAHAL ,195 J TATA ROAD,CHURCHGATE</t>
  </si>
  <si>
    <t>damanifinancial@hotmail.com</t>
  </si>
  <si>
    <t>919004192288</t>
  </si>
  <si>
    <t>Jan 10, 2019</t>
  </si>
  <si>
    <t>NAME::DAMANI FINANCIAL SERVICES PVT LTD</t>
  </si>
  <si>
    <t>Eqwires Research Analyst</t>
  </si>
  <si>
    <t>INH000007465</t>
  </si>
  <si>
    <t>Pranay Morakhiya</t>
  </si>
  <si>
    <t>A 804, Dev Aurum Commercial, Near Shell Petrol pump,, Prahlad nagar road</t>
  </si>
  <si>
    <t>eqwires@gmail.com</t>
  </si>
  <si>
    <t>917999999999</t>
  </si>
  <si>
    <t>A 804, Dev Aurum Commercial, Near Shell Petrol pump, Prahlad nagar road</t>
  </si>
  <si>
    <t>Nov 11, 2019</t>
  </si>
  <si>
    <t>NAME::EQWIRES RESEARCH ANALYST</t>
  </si>
  <si>
    <t>WEEKENDINVESTING ANALYTICS PRIVATE LIMITED</t>
  </si>
  <si>
    <t>INH100008717</t>
  </si>
  <si>
    <t>B-6/102 SFJ Dev Area, South West Delhi</t>
  </si>
  <si>
    <t>niftytrader@gmail.com</t>
  </si>
  <si>
    <t>0917011702875</t>
  </si>
  <si>
    <t>625A Tower 6, DLF Magnolias Sector 42</t>
  </si>
  <si>
    <t>Sep 07, 2021</t>
  </si>
  <si>
    <t>NAME::WEEKENDINVESTING ANALYTICS PRIVATE LIMITED</t>
  </si>
  <si>
    <t>UNLISTEDKART LLP</t>
  </si>
  <si>
    <t>INH200008769</t>
  </si>
  <si>
    <t>Prachi Doshi</t>
  </si>
  <si>
    <t>1206 - 1207, 12th Floor, A Wing, , Mittal Towers, MG Road, Bangalore - 560001</t>
  </si>
  <si>
    <t>prachishahacs@gmail.com</t>
  </si>
  <si>
    <t>04404442179705</t>
  </si>
  <si>
    <t>Sep 30, 2021</t>
  </si>
  <si>
    <t>NAME::UNLISTEDKART LLP</t>
  </si>
  <si>
    <t>Freedom Investors Research Academy Private Limited</t>
  </si>
  <si>
    <t>INH300008863</t>
  </si>
  <si>
    <t>Manvi Massey</t>
  </si>
  <si>
    <t>The Chambers, Unit No.0507, Floor 5th 1865, , Rajdanga Main Road, Kasba Kolkata, Parganas,</t>
  </si>
  <si>
    <t>manvimehra@gmail.com</t>
  </si>
  <si>
    <t>919958006785</t>
  </si>
  <si>
    <t>Mar 13, 2031</t>
  </si>
  <si>
    <t>NAME::FREEDOM INVESTORS RESEARCH ACADEMY PRIVATE LIMITED</t>
  </si>
  <si>
    <t>GOLDILOCKS PREMIUM RESEARCH PVT LTD</t>
  </si>
  <si>
    <t>INH300009233</t>
  </si>
  <si>
    <t>MEGHA SHAH</t>
  </si>
  <si>
    <t>UNIT-203, 2ND FLOOR, PS CONTINENTAL, 83/2/1 TOPSIA ROAD SOUTH KOLKATA</t>
  </si>
  <si>
    <t>gpresearchservices@gmail.com</t>
  </si>
  <si>
    <t>919830087001</t>
  </si>
  <si>
    <t>Mar 16, 2022</t>
  </si>
  <si>
    <t>NAME::GOLDILOCKS PREMIUM RESEARCH PVT LTD</t>
  </si>
  <si>
    <t>INVESTOBAZAR WEALTH NIVESH PRIVATE LIMITED</t>
  </si>
  <si>
    <t>INH000009861</t>
  </si>
  <si>
    <t>Mahendra Moury</t>
  </si>
  <si>
    <t>E309, Crystal Plaza Premises, 3rd floor Link Road, Opp. Infinity Mall, Andheri west</t>
  </si>
  <si>
    <t>mahendrasinghmourya@gmail.com</t>
  </si>
  <si>
    <t>0917999117020</t>
  </si>
  <si>
    <t>Unit No.610, 6th Floor, Princess Business Skypark, Opp. Orbitto Mall, PU 3, Vijay Nagar</t>
  </si>
  <si>
    <t>NAME::INVESTOBAZAR WEALTH NIVESH PRIVATE LIMITED</t>
  </si>
  <si>
    <t>Plutus Advisors</t>
  </si>
  <si>
    <t>INH000010229</t>
  </si>
  <si>
    <t>Prakash  Pandey</t>
  </si>
  <si>
    <t>Office No. 913, 9th Floor, Sunshine Tower, Senapati Bapat Marg, Dadar West</t>
  </si>
  <si>
    <t>prakash.chandra21@gmail.com</t>
  </si>
  <si>
    <t>919818067922</t>
  </si>
  <si>
    <t>NAME::PLUTUS ADVISORS</t>
  </si>
  <si>
    <t>HARJIVANDAS NEMIDAS SECURITIES PRIVATE LIMITED</t>
  </si>
  <si>
    <t>INH000010584</t>
  </si>
  <si>
    <t>KARTIK BROKER</t>
  </si>
  <si>
    <t>G12/13 Ground Floor,Hi Life Mall,, P.M. Road Santacruz West,</t>
  </si>
  <si>
    <t>KARTIK.BROKER1234@GMAIL.COM</t>
  </si>
  <si>
    <t>919820081141</t>
  </si>
  <si>
    <t>1201,12th Floor,Stock Exchange Tower, Dalal Street ,</t>
  </si>
  <si>
    <t>NAME::HARJIVANDAS NEMIDAS SECURITIES PRIVATE LIMITED</t>
  </si>
  <si>
    <t>SOIC Intelligent Research LLP</t>
  </si>
  <si>
    <t>INH000012582</t>
  </si>
  <si>
    <t>Shubham Ajmera</t>
  </si>
  <si>
    <t>C 40 Rajouri Garden, Ground Floor, New Delhi, Tagore Garden, Police Station Rajouri Garden, New Delhi, West Delhi</t>
  </si>
  <si>
    <t>soicintelligentresearch@gmail.com</t>
  </si>
  <si>
    <t>918989526219</t>
  </si>
  <si>
    <t>110027</t>
  </si>
  <si>
    <t>NAME::SOIC INTELLIGENT RESEARCH LLP</t>
  </si>
  <si>
    <t>Finnalysis Research Analyst</t>
  </si>
  <si>
    <t>INH000012759</t>
  </si>
  <si>
    <t>KISHWER KHAN</t>
  </si>
  <si>
    <t>82 BH Scheme No. 74 C, Vijay Nagar</t>
  </si>
  <si>
    <t>finnalysis.research@gmail.com</t>
  </si>
  <si>
    <t>006262213141</t>
  </si>
  <si>
    <t>Aug 28, 2023</t>
  </si>
  <si>
    <t>NAME::FINNALYSIS RESEARCH ANALYST</t>
  </si>
  <si>
    <t>ACME Wealth Private Limited</t>
  </si>
  <si>
    <t>INH000013095</t>
  </si>
  <si>
    <t>Anand Prakash</t>
  </si>
  <si>
    <t>F-23/1, Krishna Nagar, Gandhi Nagar, Delhi, 110051</t>
  </si>
  <si>
    <t>csanand.prakash@outlook.com</t>
  </si>
  <si>
    <t>911179678480</t>
  </si>
  <si>
    <t>208, Ocean Complex, P- Block, Sector-18</t>
  </si>
  <si>
    <t>Oct 06, 2023</t>
  </si>
  <si>
    <t>NAME::ACME WEALTH PRIVATE LIMITED</t>
  </si>
  <si>
    <t>BOTALPHA TECHNOLOGIES PRIVATE LIMITED</t>
  </si>
  <si>
    <t>INH000013475</t>
  </si>
  <si>
    <t>RACHIT CHAWLA</t>
  </si>
  <si>
    <t>Basement, House no.-56, Sector 31B, Noida Gautam Buddha Nagar UP 201301</t>
  </si>
  <si>
    <t>botalpha.ra@gmail.com</t>
  </si>
  <si>
    <t>919310542314</t>
  </si>
  <si>
    <t>12th Floor,9B,DLFCyberCity, Cyber HubPhase2,Sector24</t>
  </si>
  <si>
    <t>Oct 17, 2023</t>
  </si>
  <si>
    <t>NAME::BOTALPHA TECHNOLOGIES PRIVATE LIMITED</t>
  </si>
  <si>
    <t>FINLIGHT RESEARCH INDIA PRIVATE LIMITED</t>
  </si>
  <si>
    <t>INH000013518</t>
  </si>
  <si>
    <t>ARPAN MALU</t>
  </si>
  <si>
    <t>No 19/14, 6th Main Road Chikka Audugodi New extension,, Near Health India Hospital, Tavarekere Bangalore South Bangalore,</t>
  </si>
  <si>
    <t>finlightresearchindia@gmail.com</t>
  </si>
  <si>
    <t>9108999274130</t>
  </si>
  <si>
    <t>No 19/14, 6th Main Road Chikka Audugodi New extension, Near Health India Hospital, Tavarekere Bangalore South Bangalore,</t>
  </si>
  <si>
    <t>NAME::FINLIGHT RESEARCH INDIA PRIVATE LIMITED</t>
  </si>
  <si>
    <t>Khushal Growwealth Research Private Limited</t>
  </si>
  <si>
    <t>INH000014182</t>
  </si>
  <si>
    <t>LAXMAN PATIL</t>
  </si>
  <si>
    <t>T-16, Silicon Shoppers, Udhna Main Road, Udhna</t>
  </si>
  <si>
    <t>khushalgrowwealth@gmail.com</t>
  </si>
  <si>
    <t>918347817623</t>
  </si>
  <si>
    <t>76, Sanskrithi Signet, 4TH Floor, 1ST  Cross Road, , KAS Officers Colony, BTM  Layout 2ND Stage,</t>
  </si>
  <si>
    <t>NAME::KHUSHAL GROWWEALTH RESEARCH PRIVATE LIMITED</t>
  </si>
  <si>
    <t>Okane Capital</t>
  </si>
  <si>
    <t>INH000015932</t>
  </si>
  <si>
    <t>Mudit Chopra</t>
  </si>
  <si>
    <t>611, THE LENORA, OPP ST T, NEW CITYLITE RD, SURAT</t>
  </si>
  <si>
    <t>Okanecapitalresearch@gmail.com</t>
  </si>
  <si>
    <t>919998540225</t>
  </si>
  <si>
    <t>Apr 25, 2024</t>
  </si>
  <si>
    <t>NAME::OKANE CAPITAL</t>
  </si>
  <si>
    <t>DHOKIYAS RESEARCH ANALYST PRIVATE LIMITED</t>
  </si>
  <si>
    <t>INH000015941</t>
  </si>
  <si>
    <t>Chetan Dhokiya</t>
  </si>
  <si>
    <t>401, BLUE STONE COMPLEX,, NEAR SHYAMDHAM MANDIR, VARACHHA ROAD,</t>
  </si>
  <si>
    <t>cdhokiya@gmail.com</t>
  </si>
  <si>
    <t>09198985939</t>
  </si>
  <si>
    <t>401, BLUE STONE COMPLEX, NEAR SHYAMDHAM MANDIR, VARACHHA ROAD,</t>
  </si>
  <si>
    <t>NAME::DHOKIYAS RESEARCH ANALYST PRIVATE LIMITED</t>
  </si>
  <si>
    <t>Finspiin Research &amp; Iinvestments</t>
  </si>
  <si>
    <t>INH000016296</t>
  </si>
  <si>
    <t>Vinay Bhurat</t>
  </si>
  <si>
    <t>3-6-131/1, Flat No. 101, Srinivasa Towers,, Himayathnagar</t>
  </si>
  <si>
    <t>svbhurat555@gmail.com</t>
  </si>
  <si>
    <t>919916177955</t>
  </si>
  <si>
    <t>3-6-131/1, Flat No. 101, Srinivasa Towers, Himayathnagar</t>
  </si>
  <si>
    <t>NAME::FINSPIIN RESEARCH IINVESTMENTS</t>
  </si>
  <si>
    <t>S A Artha Securities Private Limited</t>
  </si>
  <si>
    <t>INH000016667</t>
  </si>
  <si>
    <t>Sushmita Bana</t>
  </si>
  <si>
    <t>Flat No 202A  LA POLAMA CAVES, Road no 12  Banjara hills</t>
  </si>
  <si>
    <t>s.a.arthasecurities@gmail.com</t>
  </si>
  <si>
    <t>9104048444546</t>
  </si>
  <si>
    <t>PLOT NO 27 JAYABHERI ENCLAVE 2nd FLOOR , SRI VISHNU ELITE GACHIBOWLI</t>
  </si>
  <si>
    <t>NAME::S A ARTHA SECURITIES PRIVATE LIMITED</t>
  </si>
  <si>
    <t>SAM FINTECH</t>
  </si>
  <si>
    <t>INH000016791</t>
  </si>
  <si>
    <t>SAMIR PATEL</t>
  </si>
  <si>
    <t>Bldg no 12. Flat no   1.  Gr. Floor, Shakti Nagar,, C.S.Cross Road no 3, Dahisar East</t>
  </si>
  <si>
    <t>samirsir.sebi.certified.ra@gmail.com</t>
  </si>
  <si>
    <t>07400364633</t>
  </si>
  <si>
    <t>400068</t>
  </si>
  <si>
    <t>Bldg no 12. Flat no   1.  Gr. Floor, Shakti Nagar, C.S.Cross Road no 3, Dahisar East</t>
  </si>
  <si>
    <t>NAME::SAM FINTECH</t>
  </si>
  <si>
    <t>Stocksence Research Private Limited</t>
  </si>
  <si>
    <t>INH000017019</t>
  </si>
  <si>
    <t>Nilima  Bagul</t>
  </si>
  <si>
    <t>116 FORTUNE MALL , PAL ADAJAN ROAD SURAT CITY</t>
  </si>
  <si>
    <t>stocksence23@gmail.com</t>
  </si>
  <si>
    <t>NAME::STOCKSENCE RESEARCH PRIVATE LIMITED</t>
  </si>
  <si>
    <t>Fintesa Research Services Private Limited</t>
  </si>
  <si>
    <t>INH000017569</t>
  </si>
  <si>
    <t>Imran Khan</t>
  </si>
  <si>
    <t>74/II, C Cross Road, Opp Gate No 2, Seepz, Andheri East, Chakala Midc</t>
  </si>
  <si>
    <t>fintesaresearch@gmail.com</t>
  </si>
  <si>
    <t>09174406666</t>
  </si>
  <si>
    <t>NAME::FINTESA RESEARCH SERVICES PRIVATE LIMITED</t>
  </si>
  <si>
    <t>Stockizen Research</t>
  </si>
  <si>
    <t>INH000017675</t>
  </si>
  <si>
    <t>Vivek Khatri</t>
  </si>
  <si>
    <t>B 414, Sumel Business Park 11, , Indian textile Plaza, Shahibaug</t>
  </si>
  <si>
    <t>STOCKIZEN2601@gmail.com</t>
  </si>
  <si>
    <t>919714542095</t>
  </si>
  <si>
    <t>NAME::STOCKIZEN RESEARCH</t>
  </si>
  <si>
    <t>CLIMB CAPITAL SERVICES  PRIVATE LIMITED</t>
  </si>
  <si>
    <t>INH000018151</t>
  </si>
  <si>
    <t>SAHIL SOLANKI</t>
  </si>
  <si>
    <t>Plot 140, Flat 15 Asha, Garodia Nagar Ghatkoper</t>
  </si>
  <si>
    <t>climbcapital9@gmail.com</t>
  </si>
  <si>
    <t>919372273366</t>
  </si>
  <si>
    <t>NAME::CLIMB CAPITAL SERVICES PRIVATE LIMITED</t>
  </si>
  <si>
    <t>ALDERLEAF STOCKMANTRA PRIVATE LIMITED</t>
  </si>
  <si>
    <t>INH000019099</t>
  </si>
  <si>
    <t>Aditya  Pandey</t>
  </si>
  <si>
    <t>Flat NoA 304,Sonigara Laurel, Sr No 257, Near Mankar Chowk, Wakad</t>
  </si>
  <si>
    <t>saditya21p@gmail.com</t>
  </si>
  <si>
    <t>0919205917977</t>
  </si>
  <si>
    <t>NAME::ALDERLEAF STOCKMANTRA PRIVATE LIMITED</t>
  </si>
  <si>
    <t>Growthvista Research Services Private Limited</t>
  </si>
  <si>
    <t>INH000019105</t>
  </si>
  <si>
    <t>Paramjeet  Singh</t>
  </si>
  <si>
    <t>B 6, Plot No. 6F F Ganesh Nagar, Pandav Nagar Complex</t>
  </si>
  <si>
    <t>growthvistaa@gmail.com</t>
  </si>
  <si>
    <t>919109154378</t>
  </si>
  <si>
    <t>OfficeNo303,Gold Stone,Plot No57, LaneNo05,New Palasia</t>
  </si>
  <si>
    <t>NAME::GROWTHVISTA RESEARCH SERVICES PRIVATE LIMITED</t>
  </si>
  <si>
    <t>SNM Value Educator Research Services LLP</t>
  </si>
  <si>
    <t>INH000019789</t>
  </si>
  <si>
    <t>Shashank Mahajan</t>
  </si>
  <si>
    <t>Flat 403, wing A 5, Ritu Enclave A5, Anand Nagar, Ritu Enclave CHSL, G.B. Road, Sandozbaugh</t>
  </si>
  <si>
    <t>value.educator@gmail.com</t>
  </si>
  <si>
    <t>0918779064899</t>
  </si>
  <si>
    <t>NAME::SNM VALUE EDUCATOR RESEARCH SERVICES LLP</t>
  </si>
  <si>
    <t>5 CIRCLES PRIVATE LIMITED</t>
  </si>
  <si>
    <t>INH000020004</t>
  </si>
  <si>
    <t>Rahul Sarawagi</t>
  </si>
  <si>
    <t>G 22, EXPRESS ZONE MALL, A WING,, NEXT TO PATEL VANIKA, W E HIGHWAY, Malad East,</t>
  </si>
  <si>
    <t>5circlespvtltd@gmail.com</t>
  </si>
  <si>
    <t>009163874972</t>
  </si>
  <si>
    <t>First Floor Premises No 124 244 C Block, Plot No 245, Govind Nagar Kanpur, Govind Nagar, Kanpur Nagar,</t>
  </si>
  <si>
    <t>208006</t>
  </si>
  <si>
    <t>NAME::5 CIRCLES PRIVATE LIMITED</t>
  </si>
  <si>
    <t>VP Capital Research Private Limited</t>
  </si>
  <si>
    <t>INH000020217</t>
  </si>
  <si>
    <t>Birendra Kumar Pandey</t>
  </si>
  <si>
    <t>T16, Silicon Shoppers, Udhna Main Road, Mangrol,Udhna, Surat City,</t>
  </si>
  <si>
    <t>armando.bhw@gmail.com</t>
  </si>
  <si>
    <t>917080342666</t>
  </si>
  <si>
    <t>E 3652, Rajajipuram, Lucknow, Uttar Pradesh</t>
  </si>
  <si>
    <t>226017</t>
  </si>
  <si>
    <t>NAME::VP CAPITAL RESEARCH PRIVATE LIMITED</t>
  </si>
  <si>
    <t>Unite Technologies Financial Service</t>
  </si>
  <si>
    <t>INH000020350</t>
  </si>
  <si>
    <t>Saurav Singh</t>
  </si>
  <si>
    <t>Shop No. 219, Sai Vittoria, Opp. Atlanta , Shopping Centre, Althan Canal Road</t>
  </si>
  <si>
    <t>singhsaurabh92244@gmail.com</t>
  </si>
  <si>
    <t>0917984971743</t>
  </si>
  <si>
    <t>395017</t>
  </si>
  <si>
    <t>Apr 29, 2025</t>
  </si>
  <si>
    <t>NAME::UNITE TECHNOLOGIES FINANCIAL SERVICE</t>
  </si>
  <si>
    <t>Equiboost Finserv private limited</t>
  </si>
  <si>
    <t>INH000020457</t>
  </si>
  <si>
    <t>Ankit Gangar</t>
  </si>
  <si>
    <t>1410 CTS NO 328 329 SURVEY NO 340 1 TO 3, DWARKADHISH MARG MALAD EAST OFF PODDAR ROAD</t>
  </si>
  <si>
    <t>ankgang@gmail.com</t>
  </si>
  <si>
    <t>919869417256</t>
  </si>
  <si>
    <t>NAME::EQUIBOOST FINSERV PRIVATE LIMITED</t>
  </si>
  <si>
    <t>Pyrifera Investment Advisors</t>
  </si>
  <si>
    <t>INH000020466</t>
  </si>
  <si>
    <t>Srujana Oruganti</t>
  </si>
  <si>
    <t>3 4 63 B 26 Road No 10, TV Colony Ramanthapur</t>
  </si>
  <si>
    <t>srujana.oruganti.85@gmail.com</t>
  </si>
  <si>
    <t>9104035900772</t>
  </si>
  <si>
    <t>500013</t>
  </si>
  <si>
    <t>NAME::PYRIFERA INVESTMENT ADVISORS</t>
  </si>
  <si>
    <t>Altinvestor Research LLP</t>
  </si>
  <si>
    <t>INH000020475</t>
  </si>
  <si>
    <t>Vivek Gulati</t>
  </si>
  <si>
    <t>H 106, 2nd Floor, New Asiatic Building, H Block,</t>
  </si>
  <si>
    <t>vivekgulati9772@gmail.com</t>
  </si>
  <si>
    <t>009195290952</t>
  </si>
  <si>
    <t>Plot No. 3, 6th Floor, Veritas Building, Golf Course Road, Sector 53,</t>
  </si>
  <si>
    <t>NAME::ALTINVESTOR RESEARCH LLP</t>
  </si>
  <si>
    <t>Checkpost Capital Private Limited</t>
  </si>
  <si>
    <t>INH000020563</t>
  </si>
  <si>
    <t>Rithvik Thammareddy</t>
  </si>
  <si>
    <t>WeWorkRMZSpire, SilpaGramCraftVillage,HITECCity,Madhapur</t>
  </si>
  <si>
    <t>rithvikthammareddy@gmail.com</t>
  </si>
  <si>
    <t>009100046789</t>
  </si>
  <si>
    <t>NAME::CHECKPOST CAPITAL PRIVATE LIMITED</t>
  </si>
  <si>
    <t>SR Wealth Research</t>
  </si>
  <si>
    <t>INH000020846</t>
  </si>
  <si>
    <t>Lokesh Sethia</t>
  </si>
  <si>
    <t>Plus Offices 1st Floor, Landmark Cyber Park Sector 67</t>
  </si>
  <si>
    <t>srwealthelite@gmail.com</t>
  </si>
  <si>
    <t>007050251251</t>
  </si>
  <si>
    <t>NAME::SR WEALTH RESEARCH</t>
  </si>
  <si>
    <t>CD RESEARCH PRIVATE LIMITED</t>
  </si>
  <si>
    <t>INH000020943</t>
  </si>
  <si>
    <t>KISHAN GUPTA</t>
  </si>
  <si>
    <t>37, SHAKESPEARE SARANI, S.B. TOWER, 3RD FLOOR</t>
  </si>
  <si>
    <t>cdresearch25@gmail.com</t>
  </si>
  <si>
    <t>9103344880010</t>
  </si>
  <si>
    <t>NAME::CD RESEARCH PRIVATE LIMITED</t>
  </si>
  <si>
    <t>Angel Research Analysis LLP</t>
  </si>
  <si>
    <t>INH000020961</t>
  </si>
  <si>
    <t>Jaydeep Kapuriya</t>
  </si>
  <si>
    <t>301 3rd Floor Sky View Opp Dreamland Party Plot, Sarthana Kamrej Main Road Varachha Road</t>
  </si>
  <si>
    <t>jaydeepkapuriya99@gmail.com</t>
  </si>
  <si>
    <t>009624366550</t>
  </si>
  <si>
    <t>NAME::ANGEL RESEARCH ANALYSIS LLP</t>
  </si>
  <si>
    <t>Arthasiddhi Equity Advisory Services</t>
  </si>
  <si>
    <t>INH000021012</t>
  </si>
  <si>
    <t>Ankit Porwal</t>
  </si>
  <si>
    <t>18/A/2 FT 16 BOPODI, BOMBAY, , PUNE ROAD, PUNE</t>
  </si>
  <si>
    <t>arthasiddhiadvisory@gmail.com</t>
  </si>
  <si>
    <t>0919881463839</t>
  </si>
  <si>
    <t>NAME::ARTHASIDDHI EQUITY ADVISORY SERVICES</t>
  </si>
  <si>
    <t>Financial Independence Services</t>
  </si>
  <si>
    <t>INH000021058</t>
  </si>
  <si>
    <t>Ankit  Chaudhary</t>
  </si>
  <si>
    <t>1, 239, Ground floor, Subhash Nagar</t>
  </si>
  <si>
    <t>ankit71187@gmail.com</t>
  </si>
  <si>
    <t>919711059997</t>
  </si>
  <si>
    <t>NAME::FINANCIAL INDEPENDENCE SERVICES</t>
  </si>
  <si>
    <t>M/s. Nexttech Securities Private Limited</t>
  </si>
  <si>
    <t>INH000021067</t>
  </si>
  <si>
    <t>Sathiyaraj Kumar</t>
  </si>
  <si>
    <t>RF 410 Purva Riviera Munnekolala, Marathahalli Bengaluru Bengaluru Urban</t>
  </si>
  <si>
    <t>nexttechsecurities@gmail.com</t>
  </si>
  <si>
    <t>0008000000000</t>
  </si>
  <si>
    <t>NAME::M S NEXTTECH SECURITIES PRIVATE LIMITED</t>
  </si>
  <si>
    <t>TI RESEARCH PARTNERS</t>
  </si>
  <si>
    <t>INH000021182</t>
  </si>
  <si>
    <t>Shyam Prakash</t>
  </si>
  <si>
    <t>Flat 602 C Wing Graden, Lodha Casa Royal Saket Road Thane West</t>
  </si>
  <si>
    <t>sprakash33@gmail.com</t>
  </si>
  <si>
    <t>919594706677</t>
  </si>
  <si>
    <t>NAME::TI RESEARCH PARTNERS</t>
  </si>
  <si>
    <t>BEACON CAPITAL ADVISORS PRIVATE LIMITED</t>
  </si>
  <si>
    <t>INH000021377</t>
  </si>
  <si>
    <t>Divyanshu Verma</t>
  </si>
  <si>
    <t>5W,5th Floor, The Metropolitan, Block E, , Bandra Kurla Complex,Bandra east</t>
  </si>
  <si>
    <t>divyanshuverma.global@gmail.com</t>
  </si>
  <si>
    <t>09197021790</t>
  </si>
  <si>
    <t>Jun 27, 2025</t>
  </si>
  <si>
    <t>NAME::BEACON CAPITAL ADVISORS PRIVATE LIMITED</t>
  </si>
  <si>
    <t>EB CAPITAL SERVICES PRIVATE LIMITED</t>
  </si>
  <si>
    <t>INH000021447</t>
  </si>
  <si>
    <t>RASHMI BHANDARI</t>
  </si>
  <si>
    <t>46/4,K No437/424/414/661, /3/1114/3,4,5 G B Palya, , Bommanahalli (Bangalore), Karnataka, India</t>
  </si>
  <si>
    <t>shantalaminazigy@gmail.com</t>
  </si>
  <si>
    <t>0919663997538</t>
  </si>
  <si>
    <t>NAME::EB CAPITAL SERVICES PRIVATE LIMITED</t>
  </si>
  <si>
    <t>TRANS SCAN SECURITIES PRIVATE LIMITED</t>
  </si>
  <si>
    <t>INH000021605</t>
  </si>
  <si>
    <t>SANDEEP JAIN</t>
  </si>
  <si>
    <t>3A AUCKLAND PLACE, 2ND FLOOR</t>
  </si>
  <si>
    <t>transdp@rediffmail.com</t>
  </si>
  <si>
    <t>9103340161642</t>
  </si>
  <si>
    <t>Jul 07, 2025</t>
  </si>
  <si>
    <t>NAME::TRANS SCAN SECURITIES PRIVATE LIMITED</t>
  </si>
  <si>
    <t>FALCONPHASE RESEARCH PRIVATE LIMITED</t>
  </si>
  <si>
    <t>INH000022020</t>
  </si>
  <si>
    <t>Sonu Kushwah</t>
  </si>
  <si>
    <t>S-118 Sungapore Township, Anex Cly, Talawali Chanda,, Lasudia, Indore, Madhya Pradesh</t>
  </si>
  <si>
    <t>sonu.kushwah7879@yahoo.com</t>
  </si>
  <si>
    <t>919755035326</t>
  </si>
  <si>
    <t>15-A, Electronics Complex, Pardeshipura, Vijay Nagar</t>
  </si>
  <si>
    <t>Jul 24, 2025</t>
  </si>
  <si>
    <t>NAME::FALCONPHASE RESEARCH PRIVATE LIMITED</t>
  </si>
  <si>
    <t>SADHA RESEARCH</t>
  </si>
  <si>
    <t>INH000022154</t>
  </si>
  <si>
    <t>ADITYA MISHRA</t>
  </si>
  <si>
    <t>Building No 15, Ground Floor, BMR Layout, 2nd Phase, Lake View Apartment, Medaha</t>
  </si>
  <si>
    <t>sadharesearch@gmail.com</t>
  </si>
  <si>
    <t>NAME::SADHA RESEARCH</t>
  </si>
  <si>
    <t>Stoic Wealth</t>
  </si>
  <si>
    <t>INH000022224</t>
  </si>
  <si>
    <t>Saurabh Mahajan</t>
  </si>
  <si>
    <t>A-101, 45 Parmount,, Lalit estate, Baner</t>
  </si>
  <si>
    <t>saurabhmahajan96@yahoo.com</t>
  </si>
  <si>
    <t>0919175998222</t>
  </si>
  <si>
    <t>A-101, 45 Parmount, Lalit estate, Baner</t>
  </si>
  <si>
    <t>NAME::STOIC WEALTH</t>
  </si>
  <si>
    <t>Research Samrat Insights Pvt Ltd</t>
  </si>
  <si>
    <t>INH000022428</t>
  </si>
  <si>
    <t>Shaikh Abdullah Latif</t>
  </si>
  <si>
    <t>Office No - 238, Floor No - 2nd, Rainbow Business, Park, Sector - 24, Plot No -33, Vashi, Thane</t>
  </si>
  <si>
    <t>researchsamrat5@gmail.com</t>
  </si>
  <si>
    <t>0229136785971</t>
  </si>
  <si>
    <t>NAME::RESEARCH SAMRAT INSIGHTS PVT LTD</t>
  </si>
  <si>
    <t>MYMONEYGURU CAPITAL &amp; RESEARCH PRIVATE LIMITED</t>
  </si>
  <si>
    <t>INH000022437</t>
  </si>
  <si>
    <t>Nitin Singhal</t>
  </si>
  <si>
    <t>Supremework Coworking, Plot A-61/B4 And 4A, 2 Floor , Spring Meadows Business Park, Sector 63, Noida</t>
  </si>
  <si>
    <t>mymoneyguru.in@gmail.com</t>
  </si>
  <si>
    <t>NAME::MYMONEYGURU CAPITAL RESEARCH PRIVATE LIMITED</t>
  </si>
  <si>
    <t>OLEANDER FINANCIAL TECHNOLOGIES PRIVATE LIMITED</t>
  </si>
  <si>
    <t>INH000022491</t>
  </si>
  <si>
    <t>Harshit Goel</t>
  </si>
  <si>
    <t>VISHWA RESIDENCY,FLAT NO 301, PLOT NO.19,ASHOK NAGAR, Ganeshkhind, Haveli</t>
  </si>
  <si>
    <t>harshit.1989@gmail.com</t>
  </si>
  <si>
    <t>008960304948</t>
  </si>
  <si>
    <t>NAME::OLEANDER FINANCIAL TECHNOLOGIES PRIVATE LIMITED</t>
  </si>
  <si>
    <t>RANGAONE FINWALA PRIVATE LIMITED</t>
  </si>
  <si>
    <t>INH000022552</t>
  </si>
  <si>
    <t>Sanika Karnik</t>
  </si>
  <si>
    <t>004 Ambika  Darshan, Shivaji Nagar, Sahargaon, Mumbai Suburban, Maharashtra,</t>
  </si>
  <si>
    <t>Sanika.official11@gmail.com</t>
  </si>
  <si>
    <t>NAME::RANGAONE FINWALA PRIVATE LIMITED</t>
  </si>
  <si>
    <t>Indistock Securities Limited</t>
  </si>
  <si>
    <t>INH000022817</t>
  </si>
  <si>
    <t>Dharmen Mehta</t>
  </si>
  <si>
    <t>91 A Mittal Court , Nariman Point</t>
  </si>
  <si>
    <t>indistock@yahoo.co.in</t>
  </si>
  <si>
    <t>9102240029770</t>
  </si>
  <si>
    <t>NAME::INDISTOCK SECURITIES LIMITED</t>
  </si>
  <si>
    <t>INVESIA RESEARCH PRIVATE LIMITED</t>
  </si>
  <si>
    <t>INH000022941</t>
  </si>
  <si>
    <t>Himanshu Vyas</t>
  </si>
  <si>
    <t>6th Floor, WTP RED Square, in Front of C21 Mall, Vijay Nagar,</t>
  </si>
  <si>
    <t>invesiafinance@gmail.com</t>
  </si>
  <si>
    <t>916265843701</t>
  </si>
  <si>
    <t>NAME::INVESIA RESEARCH PRIVATE LIMITED</t>
  </si>
  <si>
    <t>Mohitcorp Multitrade LLP</t>
  </si>
  <si>
    <t>INH000022969</t>
  </si>
  <si>
    <t>Sambhav Jain</t>
  </si>
  <si>
    <t>A-909, Swastik Universal 9 floor, Besides Valentine cinema, Dumas Road</t>
  </si>
  <si>
    <t>sambhav20jain@gmail.com</t>
  </si>
  <si>
    <t>NAME::MOHITCORP MULTITRADE LLP</t>
  </si>
  <si>
    <t>Finclave Consultancy Private Limited</t>
  </si>
  <si>
    <t>INH000023010</t>
  </si>
  <si>
    <t>Mohsin Hanif</t>
  </si>
  <si>
    <t>Building No - 1139, Maruti Complex, 3RD Stage Layout, Rajarajeshwari Nagar, Kengeri, Hobli</t>
  </si>
  <si>
    <t>finclaveco@gmail.com</t>
  </si>
  <si>
    <t>9901579567</t>
  </si>
  <si>
    <t>Office No-1001, 10th Floor, G square Park, Sec - 30A, Plot No - 25/26, Opp - Sanpada Station, Vashi MUMBAI,MAHARASHTRA</t>
  </si>
  <si>
    <t>Aug 29, 2025</t>
  </si>
  <si>
    <t>NAME::FINCLAVE CONSULTANCY PRIVATE LIMITED</t>
  </si>
  <si>
    <t>Sheetal Sokhiya Porprietor of Shree Siddhi Investment</t>
  </si>
  <si>
    <t>INH000023074</t>
  </si>
  <si>
    <t>Sheetal Sokhiya</t>
  </si>
  <si>
    <t>Flat 202, Block Number C1, Shubh Labh Residency,, Khajrana Squre,</t>
  </si>
  <si>
    <t>shreesiddhiinvest@gmail.com</t>
  </si>
  <si>
    <t>919827544841</t>
  </si>
  <si>
    <t>Flat 202, Block Number C1, Shubh Labh Residency, Khajrana Squre,</t>
  </si>
  <si>
    <t>NAME::SHEETAL SOKHIYA PORPRIETOR OF SHREE SIDDHI INVESTMENT</t>
  </si>
  <si>
    <t>LAAVA FINANCIAL TECHNOLOGIES PRIVATE LIMITED</t>
  </si>
  <si>
    <t>INH000023171</t>
  </si>
  <si>
    <t>Mangesh Lathe</t>
  </si>
  <si>
    <t>74 C WING ROOM NO 701 RIDDHI SIDDHI APT, NR HANUMAN MANDIR TILAK NAGAR MUMBAI</t>
  </si>
  <si>
    <t>laavaconnect.compliance@gmail.com</t>
  </si>
  <si>
    <t>919136622620</t>
  </si>
  <si>
    <t>400089</t>
  </si>
  <si>
    <t>NAME::LAAVA FINANCIAL TECHNOLOGIES PRIVATE LIMITED</t>
  </si>
  <si>
    <t>Divitiaeanalytics Private Limited</t>
  </si>
  <si>
    <t>INH000023597</t>
  </si>
  <si>
    <t>Agrim Verma</t>
  </si>
  <si>
    <t>26 B, Nibbana CHS LTD, Nargis Dutt Road, Pali Hill , Nargis dutt Bungalow, Bandra W,</t>
  </si>
  <si>
    <t>divitiaeanalytics@gmail.com</t>
  </si>
  <si>
    <t>007977084156</t>
  </si>
  <si>
    <t>NAME::DIVITIAEANALYTICS PRIVATE LIMITED</t>
  </si>
  <si>
    <t>TRUE TURTLES LLP</t>
  </si>
  <si>
    <t>INH000023621</t>
  </si>
  <si>
    <t>RAHUL CHAUHAN</t>
  </si>
  <si>
    <t>Tower E Flat No. 404, Emerald Estate, Sector 65, Badshahpur,</t>
  </si>
  <si>
    <t>rahul.india2602@gmail.com</t>
  </si>
  <si>
    <t>919899513190</t>
  </si>
  <si>
    <t>NAME::TRUE TURTLES LLP</t>
  </si>
  <si>
    <t>MARKETMIND RESEARCH PRIVATE LIMITED</t>
  </si>
  <si>
    <t>INH000023746</t>
  </si>
  <si>
    <t>ASHUTOSH KUMAR</t>
  </si>
  <si>
    <t>Plot Number 3, Office No P 0051, AKSHAR BUSINESS PARK, , VASHI, NAVI MUMBAI</t>
  </si>
  <si>
    <t>marketmindresearchpvtltd@gmail.com</t>
  </si>
  <si>
    <t>007304275981</t>
  </si>
  <si>
    <t>NAME::MARKETMIND RESEARCH PRIVATE LIMITED</t>
  </si>
  <si>
    <t>EBULLIENT CONSULTANCY LLP</t>
  </si>
  <si>
    <t>INH000023755</t>
  </si>
  <si>
    <t>Utkarsh Bhadauria</t>
  </si>
  <si>
    <t>3001 A WING,IMPERIAL HEIGHTS,BEST NGR,GOREGAON WEST, OSHIWARA DEPOT</t>
  </si>
  <si>
    <t>Utkarsh.bhadauria1@gmail.com</t>
  </si>
  <si>
    <t>918879729349</t>
  </si>
  <si>
    <t>NAME::EBULLIENT CONSULTANCY LLP</t>
  </si>
  <si>
    <t>WEALTH WAVE RESEARCH</t>
  </si>
  <si>
    <t>INH000023764</t>
  </si>
  <si>
    <t>Aabid Amin Rather</t>
  </si>
  <si>
    <t>No.599,8th Main,, 12th A Cross, 2nd Phase,JP Nagar</t>
  </si>
  <si>
    <t>aabidamin85@gmail.com</t>
  </si>
  <si>
    <t>919916625142</t>
  </si>
  <si>
    <t>NAME::WEALTH WAVE RESEARCH</t>
  </si>
  <si>
    <t>QUANTX FINTECH</t>
  </si>
  <si>
    <t>INH000023898</t>
  </si>
  <si>
    <t>Rushirajsinh Parmar</t>
  </si>
  <si>
    <t>D-101, Sagun Classic, Nr. Sujal Bunglow, B/h. Mann Party Plot</t>
  </si>
  <si>
    <t>rushiraj2303@gmail.com</t>
  </si>
  <si>
    <t>917016434428</t>
  </si>
  <si>
    <t>NAME::QUANTX FINTECH</t>
  </si>
  <si>
    <t>Yieldx Research Private Limited</t>
  </si>
  <si>
    <t>INH000024161</t>
  </si>
  <si>
    <t>Parth Mehta</t>
  </si>
  <si>
    <t>Om Chambers, 648/A, 4th, Floor, Binnamangala 1st, Indiranagar</t>
  </si>
  <si>
    <t>yieldx2025@gmail.com</t>
  </si>
  <si>
    <t>917977300720</t>
  </si>
  <si>
    <t>NAME::YIELDX RESEARCH PRIVATE LIMITED</t>
  </si>
  <si>
    <t>Coreten Wealth Advisors LLP</t>
  </si>
  <si>
    <t>INH000024170</t>
  </si>
  <si>
    <t>Alireza Azar</t>
  </si>
  <si>
    <t>Aspire Coworks, No. 472/7 Balaji Arcade, 2nd &amp; 3rd Floor, A.V.S. Compound,, 20th L Cross Road, AVS Layout, Ejipura, Koramangala 4th Block,</t>
  </si>
  <si>
    <t>ali_azar@live.com</t>
  </si>
  <si>
    <t>Aspire Coworks, No. 472/7 Balaji Arcade, 2nd &amp; 3rd Floor, A.V.S. Compound, 20th L Cross Road, AVS Layout, Ejipura, Koramangala 4th Block,</t>
  </si>
  <si>
    <t>NAME::CORETEN WEALTH ADVISORS LLP</t>
  </si>
  <si>
    <t>CHARTIANS MARKET RESEARCH PRIVATE LIMITED</t>
  </si>
  <si>
    <t>INH000024231</t>
  </si>
  <si>
    <t>Rajnikant Bhalani</t>
  </si>
  <si>
    <t>Office No 509,5th Floor, Laxmi Enclave 2, Near Gajera School</t>
  </si>
  <si>
    <t>chartiansresearch@gmail.com</t>
  </si>
  <si>
    <t>919371719197</t>
  </si>
  <si>
    <t>NAME::CHARTIANS MARKET RESEARCH PRIVATE LIMITED</t>
  </si>
  <si>
    <t>Trend Master Research Analyst</t>
  </si>
  <si>
    <t>INH000024240</t>
  </si>
  <si>
    <t>Bhagirathi Bhalani</t>
  </si>
  <si>
    <t>1201, 12th Floor, Laxmi Residensy Bldg D, Gajera School Road, Katargam</t>
  </si>
  <si>
    <t>thetreandmaster@gmail.com</t>
  </si>
  <si>
    <t>919825374103</t>
  </si>
  <si>
    <t>NAME::TREND MASTER RESEARCH ANALYST</t>
  </si>
  <si>
    <t>Equamatrix Advisors Private Limited</t>
  </si>
  <si>
    <t>INH000024781</t>
  </si>
  <si>
    <t>Milan Patadia</t>
  </si>
  <si>
    <t>142 ISCON EMPORIO B/S, STAR INDIA BAZAR , Jodhpur Char Rasta, Satellite.</t>
  </si>
  <si>
    <t>equamatrixadvisors@gmail.com</t>
  </si>
  <si>
    <t>NAME::EQUAMATRIX ADVISORS PRIVATE LIMITED</t>
  </si>
  <si>
    <t>Alphanomy Solutions Private Limited</t>
  </si>
  <si>
    <t>INH000024806</t>
  </si>
  <si>
    <t>Fazil Ahmed</t>
  </si>
  <si>
    <t>No.19, Mosque Road, Fraser Town</t>
  </si>
  <si>
    <t>fazilahmed51@gmail.com</t>
  </si>
  <si>
    <t>919611841122</t>
  </si>
  <si>
    <t>NAME::ALPHANOMY SOLUTIONS PRIVATE LIMITED</t>
  </si>
  <si>
    <t>Indeqnet Private Limited</t>
  </si>
  <si>
    <t>INH000024930</t>
  </si>
  <si>
    <t>Ramachandran Chithambaran</t>
  </si>
  <si>
    <t>201, RadhaKrishna, Radha Residency, Siddharth Nagar, Borivali East</t>
  </si>
  <si>
    <t>ram.iyer572@gmail.com</t>
  </si>
  <si>
    <t>919819600113</t>
  </si>
  <si>
    <t>NAME::INDEQNET PRIVATE LIMITED</t>
  </si>
  <si>
    <t>TIQWICK SECURITIES PRIVATE LIMITED</t>
  </si>
  <si>
    <t>INH000025018</t>
  </si>
  <si>
    <t>Pradnya  Poojary</t>
  </si>
  <si>
    <t>404,OLYMPIA B PREMISES LTD SR NO36 1 1,BANER HIGHWAY,</t>
  </si>
  <si>
    <t>poojarypradnya31@gmail.com</t>
  </si>
  <si>
    <t>919923134560</t>
  </si>
  <si>
    <t>NAME::TIQWICK SECURITIES PRIVATE LIMITED</t>
  </si>
  <si>
    <t>UNICORN RESEARCH FIRM</t>
  </si>
  <si>
    <t>INH000025337</t>
  </si>
  <si>
    <t>Kartik       Prajapat</t>
  </si>
  <si>
    <t>26, Agrasen Nagar, Airport Road,Indore</t>
  </si>
  <si>
    <t>Kartikprajapat1199@gmail.com</t>
  </si>
  <si>
    <t>009199310199</t>
  </si>
  <si>
    <t>NAME::UNICORN RESEARCH FIRM</t>
  </si>
  <si>
    <t>Moneyman Investment Services Private Limited</t>
  </si>
  <si>
    <t>INH000025382</t>
  </si>
  <si>
    <t>Balachandran Srinivasan</t>
  </si>
  <si>
    <t>E 21 Shree Dattaguru Cooperative Housing Society, Deonar Village Road Deonar Village Road, Mumbai,</t>
  </si>
  <si>
    <t>moneyman.bala@gmail.com</t>
  </si>
  <si>
    <t>NAME::MONEYMAN INVESTMENT SERVICES PRIVATE LIMITED</t>
  </si>
  <si>
    <t>RE2P Capital Partners</t>
  </si>
  <si>
    <t>INH000025498</t>
  </si>
  <si>
    <t>Phanindra Pappu</t>
  </si>
  <si>
    <t>Unit 837A, Tower A, Spaze I Tech Park, Sector 49</t>
  </si>
  <si>
    <t>3phanindra@gmail.com</t>
  </si>
  <si>
    <t>0009491410303</t>
  </si>
  <si>
    <t>NAME::RE2P CAPITAL PARTNERS</t>
  </si>
  <si>
    <t>SKILLINTELLECT LLP</t>
  </si>
  <si>
    <t>INH000025568</t>
  </si>
  <si>
    <t>JATAN SHAH</t>
  </si>
  <si>
    <t>Shop No. 17, B Wing, Ground Floor, Grace Plaza Shopping Premises CHS Ltd,, SV Road Jogeshwari West</t>
  </si>
  <si>
    <t>jatanshah45@gmail.com</t>
  </si>
  <si>
    <t>919082083538</t>
  </si>
  <si>
    <t>Shop No. 17, B Wing, Ground Floor, Grace Plaza Shopping Premises CHS Ltd, SV Road Jogeshwari West</t>
  </si>
  <si>
    <t>Mar 17, 2026</t>
  </si>
  <si>
    <t>NAME::SKILLINTELLECT LLP</t>
  </si>
  <si>
    <t>Alfaview Trading Research Private Limited</t>
  </si>
  <si>
    <t>INH000025683</t>
  </si>
  <si>
    <t>Vivek Prashant</t>
  </si>
  <si>
    <t>M M Fabrication, Survey No. 93, Plot No. 52, Deonar Gala No. 1, B.D. Hygenic Foods Pvt Ltd</t>
  </si>
  <si>
    <t>alfaviewtradingresearch@gmail.com</t>
  </si>
  <si>
    <t>919167799966</t>
  </si>
  <si>
    <t>NAME::ALFAVIEW TRADING RESEARCH PRIVATE LIMITED</t>
  </si>
  <si>
    <t>WEALTHCULTURE ADVISORY SERVICES PRIVATE LIMITED</t>
  </si>
  <si>
    <t>INH000025805</t>
  </si>
  <si>
    <t>Sumesh  Guleria</t>
  </si>
  <si>
    <t>203-2nd floor, Ujagar Cha, VN Purav Mang, Deonar,</t>
  </si>
  <si>
    <t>sumesh39@gmail.com</t>
  </si>
  <si>
    <t>918904351388</t>
  </si>
  <si>
    <t>NAME::WEALTHCULTURE ADVISORY SERVICES PRIVATE LIMITED</t>
  </si>
  <si>
    <t>TG Levels Private Limited</t>
  </si>
  <si>
    <t>INH000026071</t>
  </si>
  <si>
    <t>Tushar Ghone</t>
  </si>
  <si>
    <t>Flat No.502, Plot No.96, Sector-8A, Airoli</t>
  </si>
  <si>
    <t>tglevels25@gmail.com</t>
  </si>
  <si>
    <t>NAME::TG LEVELS PRIVATE LIMITED</t>
  </si>
  <si>
    <t>ChartingHQ Technologies Private Limited</t>
  </si>
  <si>
    <t>INH000026150</t>
  </si>
  <si>
    <t>Jasnek Singh</t>
  </si>
  <si>
    <t>Plot No. 448A/4F, Enkay Centre, Wing -A,Udyog Vihar,, Phase 5, Industrial Complex, S Dhundadera,</t>
  </si>
  <si>
    <t>reykleindia@gmail.com</t>
  </si>
  <si>
    <t>919729808362</t>
  </si>
  <si>
    <t>Plot No. 448A/4F, Enkay Centre, Wing -A,Udyog Vihar, Phase 5, Industrial Complex, S Dhundadera,</t>
  </si>
  <si>
    <t>NAME::CHARTINGHQ TECHNOLOGIES PRIVATE LIMITED</t>
  </si>
  <si>
    <t>NECTAR KOTI RESEARCH AND EDUCATION PRIVATE LIMITED</t>
  </si>
  <si>
    <t>INH000026178</t>
  </si>
  <si>
    <t>Sweety Kumari</t>
  </si>
  <si>
    <t>AKRA Krishna Nagar Brahamin para, Bata Nagar, Bishnupur I, South 24 Paraganas</t>
  </si>
  <si>
    <t>singhsweeti984@gmail.com</t>
  </si>
  <si>
    <t>008670653217</t>
  </si>
  <si>
    <t>700140</t>
  </si>
  <si>
    <t>NAME::NECTAR KOTI RESEARCH AND EDUCATION PRIVATE LIMITED</t>
  </si>
  <si>
    <t>Alphamojo Financial Services Private Limited</t>
  </si>
  <si>
    <t>INH000026202</t>
  </si>
  <si>
    <t>Sunil Gurjar</t>
  </si>
  <si>
    <t>Office No. 713, 7th Floor, Vihan CTS No. 544-544 1 to 42, Village Pahadi, Walbhat Road, Opp. Nutan Chemical Compound, Goregaon East</t>
  </si>
  <si>
    <t>alphamojofinserv@gmail.com</t>
  </si>
  <si>
    <t>0009136647653</t>
  </si>
  <si>
    <t>Apr 16, 2026</t>
  </si>
  <si>
    <t>NAME::ALPHAMOJO FINANCIAL SERVICES PRIVATE LIMITED</t>
  </si>
  <si>
    <t>Jayalakshmi Gurukula Private Limited</t>
  </si>
  <si>
    <t>INH000026451</t>
  </si>
  <si>
    <t>Shivakumar Kumar</t>
  </si>
  <si>
    <t>No 602/12, Lakshmipura Road, Bhimeshwaranagar, Madanaiyakanahalli Water Tank, Makali</t>
  </si>
  <si>
    <t>jayalakshmigurukula@gmail.com</t>
  </si>
  <si>
    <t>009110205994</t>
  </si>
  <si>
    <t>562162</t>
  </si>
  <si>
    <t>NAME::JAYALAKSHMI GURUKULA PRIVATE LIMITED</t>
  </si>
  <si>
    <t>Stratus Selyn Enterprises Private Limited</t>
  </si>
  <si>
    <t>INH000026567</t>
  </si>
  <si>
    <t>Suraj  Shanbhag</t>
  </si>
  <si>
    <t>15 2, Janak Villa, 2nd Main, 13TH Cross,, Vyalikaval, Vyalikaval Extn, Bangalore, Bangalore North</t>
  </si>
  <si>
    <t>suraj.shanbhag@gmail.com</t>
  </si>
  <si>
    <t>0009987500460</t>
  </si>
  <si>
    <t>15 2, Janak Villa, 2nd Main, 13TH Cross, Vyalikaval, Vyalikaval Extn, Bangalore, Bangalore North</t>
  </si>
  <si>
    <t>NAME::STRATUS SELYN ENTERPRISES PRIVATE LIMITED</t>
  </si>
  <si>
    <t>NAYAN POKHARKAR PRIVATE LIMITED</t>
  </si>
  <si>
    <t>INH000026691</t>
  </si>
  <si>
    <t>NAYAN POKHARKAR</t>
  </si>
  <si>
    <t>SR 19/2 GANESH NGR, Bhosarigoan</t>
  </si>
  <si>
    <t>nayanpokharkar.ra@gmail.com</t>
  </si>
  <si>
    <t>411039</t>
  </si>
  <si>
    <t>NAME::NAYAN POKHARKAR PRIVATE LIMITED</t>
  </si>
  <si>
    <t>Dhanishti Research Private Limited</t>
  </si>
  <si>
    <t>INH000026734</t>
  </si>
  <si>
    <t>Shubham Shrivastava</t>
  </si>
  <si>
    <t>273, Satra Plaza, Sector 19 D, Palm Beach Road, Vashi</t>
  </si>
  <si>
    <t>Shubham_061991@yahoo.co.in</t>
  </si>
  <si>
    <t>0007887293316</t>
  </si>
  <si>
    <t>NAME::DHANISHTI RESEARCH PRIVATE LIMITED</t>
  </si>
  <si>
    <t>Trade Nova Technologies Private Limited</t>
  </si>
  <si>
    <t>INH000026789</t>
  </si>
  <si>
    <t>Pardeep Kumar</t>
  </si>
  <si>
    <t>H No B 4, Gali No 4 1, Rama Gardan,Karawal Nagar, North East</t>
  </si>
  <si>
    <t>help.tradenova@gmail.com</t>
  </si>
  <si>
    <t>919070484950</t>
  </si>
  <si>
    <t>110094</t>
  </si>
  <si>
    <t>NAME::TRADE NOVA TECHNOLOGIES PRIVATE LIMITED</t>
  </si>
  <si>
    <t>NEEV ADVISORS</t>
  </si>
  <si>
    <t>INH000026868</t>
  </si>
  <si>
    <t>Krishna Agarwal</t>
  </si>
  <si>
    <t>E 612, Shreepal Residency, Near Corner Point, Citylight</t>
  </si>
  <si>
    <t>agarwal.r.krishna@gmail.com</t>
  </si>
  <si>
    <t>00009662755778</t>
  </si>
  <si>
    <t>May 08, 2026</t>
  </si>
  <si>
    <t>NAME::NEEV ADVISORS</t>
  </si>
  <si>
    <t>ALPHAWEALTH AVENUES LLP</t>
  </si>
  <si>
    <t>INH000027140</t>
  </si>
  <si>
    <t>KAUSTUBH ROPLEKAR</t>
  </si>
  <si>
    <t>1001, SALVA VIDA, FORTALEZA CHS, KALYANI NAGAR,</t>
  </si>
  <si>
    <t>kaustubhroplekar@yahoo.co.in</t>
  </si>
  <si>
    <t>918554084004</t>
  </si>
  <si>
    <t>NAME::ALPHAWEALTH AVENUES LLP</t>
  </si>
  <si>
    <t>THE MARKET MOOD RESEARCH AND ANALYTICS</t>
  </si>
  <si>
    <t>INH000027256</t>
  </si>
  <si>
    <t>Nandam  Arun Babu</t>
  </si>
  <si>
    <t>FLAT NO 322, B BLOCK, THE ART BY GIRIDHARI HOMES, ABHYUDAYA NAGAR, BHARAT NAGAR COLONY, KISMATPUR, BANDALAGUDA JAGIR, RANGAREDDY</t>
  </si>
  <si>
    <t>arunbau.sebi@gmail.com</t>
  </si>
  <si>
    <t>0008919068483</t>
  </si>
  <si>
    <t>NAME::THE MARKET MOOD RESEARCH AND ANALYTICS</t>
  </si>
  <si>
    <t>MW STUUDIO PRIVATE LIMITED</t>
  </si>
  <si>
    <t>INH000027362</t>
  </si>
  <si>
    <t>Hemant Shah</t>
  </si>
  <si>
    <t>1404 CTS 615, Goldcrest Business Center, L T Road, Borivali, Borivali West</t>
  </si>
  <si>
    <t>backoffmaitrifincon@gmail.com</t>
  </si>
  <si>
    <t>00009768660234</t>
  </si>
  <si>
    <t>NAME::MW STUUDIO PRIVATE LIMITED</t>
  </si>
  <si>
    <t>EQUI TREND FINANCIAL RESEARCH PRIVATE LIMITED</t>
  </si>
  <si>
    <t>INH000027432</t>
  </si>
  <si>
    <t>Rohit Puvati</t>
  </si>
  <si>
    <t>Unit 407, 4th Floor, Jain Sadguru, Images Capital Park,, Madhapur, Shaikpet</t>
  </si>
  <si>
    <t>puvatirohith@gmail.com</t>
  </si>
  <si>
    <t>0008885417635</t>
  </si>
  <si>
    <t>Unit 407, 4th Floor, Jain Sadguru, Images Capital Park, Madhapur, Shaikpet</t>
  </si>
  <si>
    <t>NAME::EQUI TREND FINANCIAL RESEARCH PRIVATE LIMITED</t>
  </si>
  <si>
    <t>FINTRICS CAPITAL PRIVATE LIMITED</t>
  </si>
  <si>
    <t>INH000027919</t>
  </si>
  <si>
    <t>PARTH NADIYADRA</t>
  </si>
  <si>
    <t>South SH 83, Veena Mall, Sweet Land Layout,, Near Saibaba Mandir, Kandivali East</t>
  </si>
  <si>
    <t>fintricscapital@gmail.com</t>
  </si>
  <si>
    <t>0007977849292</t>
  </si>
  <si>
    <t>South SH 83, Veena Mall, Sweet Land Layout, Near Saibaba Mandir, Kandivali East</t>
  </si>
  <si>
    <t>NAME::FINTRICS CAPITAL PRIVATE LIMITED</t>
  </si>
  <si>
    <t>Equitypack Private Limited</t>
  </si>
  <si>
    <t>INH000027991</t>
  </si>
  <si>
    <t>Manas Hariyani</t>
  </si>
  <si>
    <t>901,Interstellar Juggernaut to Baghban Cross Road Off Sindhu Bhavan, Thaltej</t>
  </si>
  <si>
    <t>manashariyani@gmail.com</t>
  </si>
  <si>
    <t>26460403</t>
  </si>
  <si>
    <t>NAME::EQUITYPACK PRIVATE LIMITED</t>
  </si>
  <si>
    <t>FIVE POINT RESEARCH INSIGHTS PRIVATE LIMITED</t>
  </si>
  <si>
    <t>INH000028413</t>
  </si>
  <si>
    <t>Katepogu Praveen</t>
  </si>
  <si>
    <t>Nagananda Commercial Complex, No. 07/3, 15/1, 185/2, 185/a., 18th Main Road, Jayanagar 9th Blok, Bengaluru , Karnataka</t>
  </si>
  <si>
    <t>fivepointresearchinsights@gmail.com</t>
  </si>
  <si>
    <t>00007349158852</t>
  </si>
  <si>
    <t>NAME::FIVE POINT RESEARCH INSIGHTS PRIVATE LIMITED</t>
  </si>
  <si>
    <t>SNS STOCK ADVISORY SERVICES</t>
  </si>
  <si>
    <t>INH000028501</t>
  </si>
  <si>
    <t>CHINTHAMREDDY SREENIVASULA REDDY</t>
  </si>
  <si>
    <t>Flat No 304, SAI RANGA ENCLAVE, 15TH Cross, Electronic</t>
  </si>
  <si>
    <t>sreenivas070@gmail.com</t>
  </si>
  <si>
    <t>NAME::SNS STOCK ADVISORY SERVICES</t>
  </si>
  <si>
    <t>Sampadha</t>
  </si>
  <si>
    <t>INH200008006</t>
  </si>
  <si>
    <t>Mangu Narasinga Rao</t>
  </si>
  <si>
    <t>Cabin A, 3rd Floor, Dr 4-4-4-2, , Lalamma Gardens, Main Road, Manikonda</t>
  </si>
  <si>
    <t>compliance@sampadha.com</t>
  </si>
  <si>
    <t>Dec 22, 2020</t>
  </si>
  <si>
    <t>INH000009074</t>
  </si>
  <si>
    <t>SAMRAAT JADHAV</t>
  </si>
  <si>
    <t>FLAT NO. 4, INDRALOK APARTMENTS, SIHAGAD ROAD, , S NO. 14/5/2/1, NEAR PRAGATI PARK, WADGAON BK, ANAND NAGAR</t>
  </si>
  <si>
    <t>prosperitywealthindia@gmail.com</t>
  </si>
  <si>
    <t>A-80 SRINATH PLAZA , DYANESHWAR PADUKA CHOWK SHIVAJINAGAR</t>
  </si>
  <si>
    <t>Options king research analyst</t>
  </si>
  <si>
    <t>INH000003325</t>
  </si>
  <si>
    <t>Shop no 404, Kamdhenu commerz, sector 14,, Near,Raghunath vihar,Kharghar</t>
  </si>
  <si>
    <t>rasunilpawar@gmail.com</t>
  </si>
  <si>
    <t>9890812070</t>
  </si>
  <si>
    <t>Row House No. 14, Happy Home, Phase 2, Anand Vihar, Opposite Dhoot Bungalow, Paithan Road</t>
  </si>
  <si>
    <t>Aug 01, 2016</t>
  </si>
  <si>
    <t>NAME::OPTIONS KING RESEARCH ANALYST</t>
  </si>
  <si>
    <t>Streetgains Research Services</t>
  </si>
  <si>
    <t>INH200003208</t>
  </si>
  <si>
    <t>No. 2, 4th Main Road, Basaweshwara, HBCS II ND Stage, Chandra Layout</t>
  </si>
  <si>
    <t>sanbanbalu5@gmail.com</t>
  </si>
  <si>
    <t>9036129902</t>
  </si>
  <si>
    <t>NAME::STREETGAINS RESEARCH SERVICES</t>
  </si>
  <si>
    <t>Nivesh Research</t>
  </si>
  <si>
    <t>INA000007951</t>
  </si>
  <si>
    <t>D-74 Shopping Complex, A.B. Road Indore</t>
  </si>
  <si>
    <t>NAME::NIVESH RESEARCH</t>
  </si>
  <si>
    <t>Multi Act Trade and Investments Private Limited</t>
  </si>
  <si>
    <t>INA000008589</t>
  </si>
  <si>
    <t>SanjeevKumar Karkamkar</t>
  </si>
  <si>
    <t>Ground Floor  ICC Chambers I, Powai Saki Vihar Road Opp Santogen Mills</t>
  </si>
  <si>
    <t>s_karkamkar@yahoo.co.in</t>
  </si>
  <si>
    <t>Oct 13, 2017</t>
  </si>
  <si>
    <t>NAME::MULTI ACT TRADE AND INVESTMENTS PRIVATE LIMITED</t>
  </si>
  <si>
    <t>Trade Nexa Research Investment Advisor</t>
  </si>
  <si>
    <t>INA000009083</t>
  </si>
  <si>
    <t>Minakshi Asavani</t>
  </si>
  <si>
    <t>J Gopal, 1st floor, 352 PU4, Scheme No 54</t>
  </si>
  <si>
    <t>tradenexaresearch@gmail.com</t>
  </si>
  <si>
    <t>NAME::TRADE NEXA RESEARCH INVESTMENT ADVISOR</t>
  </si>
  <si>
    <t>INA000011219</t>
  </si>
  <si>
    <t>Rakesh Pujara</t>
  </si>
  <si>
    <t>1203, One World, S. V. Road,, Near N. L. High School, Malad West</t>
  </si>
  <si>
    <t>rakeshkpujara@gmail.com</t>
  </si>
  <si>
    <t>1203, One World, S. V. Road, Near N. L. High School, Malad West</t>
  </si>
  <si>
    <t>NAME::COMPOUNDING WEALTH ADVISORS LLP</t>
  </si>
  <si>
    <t>Multibagger Securities Research &amp; Advisory Private Limited</t>
  </si>
  <si>
    <t>INA100007736</t>
  </si>
  <si>
    <t>Shailesh Goyal</t>
  </si>
  <si>
    <t>410, Pearl Best Heights-I, Netaji Subhash Place, Pitampura</t>
  </si>
  <si>
    <t>shailesh483@yahoo.com</t>
  </si>
  <si>
    <t>NAME::MULTIBAGGER SECURITIES RESEARCH ADVISORY PRIVATE LIMITED</t>
  </si>
  <si>
    <t>WSIM Investment Advisors</t>
  </si>
  <si>
    <t>INA200007159</t>
  </si>
  <si>
    <t>SUBRAMANIAN N</t>
  </si>
  <si>
    <t>A-21, GULMOHAR APARTMENTS, 15-B, SOUTH BOAG ROAD, T. NAGAR</t>
  </si>
  <si>
    <t>wsimadvisors@gmail.com</t>
  </si>
  <si>
    <t>Feb 28, 2017</t>
  </si>
  <si>
    <t>NAME::WSIM INVESTMENT ADVISORS</t>
  </si>
  <si>
    <t>Zvest Financial Services LLP</t>
  </si>
  <si>
    <t>INA200007450</t>
  </si>
  <si>
    <t>Harsh Kumar</t>
  </si>
  <si>
    <t>No 204 E2, , LIGOURY COURT, PALMGROVE ROAD, VICTORIA LAYOUT</t>
  </si>
  <si>
    <t>aroraharshkumar@gmail.com</t>
  </si>
  <si>
    <t>Apr 05, 2017</t>
  </si>
  <si>
    <t>NAME::ZVEST FINANCIAL SERVICES LLP</t>
  </si>
  <si>
    <t>D C INVESTMENT ADVISORS</t>
  </si>
  <si>
    <t>INA200008006</t>
  </si>
  <si>
    <t>MRUNMAY DAS</t>
  </si>
  <si>
    <t>17 HEERACHAND ROAD, 4TH CROSS, CHARLES CAMPBELL ROAD, COX TOWN</t>
  </si>
  <si>
    <t>das.mrunmay@gmail.com</t>
  </si>
  <si>
    <t>NAME::D C INVESTMENT ADVISORS</t>
  </si>
  <si>
    <t>REDDITO CAPITAL INVESTMENT ADVISORS PRIVATE LIMITED</t>
  </si>
  <si>
    <t>INA000013040</t>
  </si>
  <si>
    <t>Pankaj  Solanki</t>
  </si>
  <si>
    <t>c/o Subhash Parsram Awtani,, 152/8, Sardarnagar,</t>
  </si>
  <si>
    <t>radditoinvestment@gmail.com</t>
  </si>
  <si>
    <t>382475</t>
  </si>
  <si>
    <t>c/o Subhash Parsram Awtani, 152/8, Sardarnagar,</t>
  </si>
  <si>
    <t>NAME::REDDITO CAPITAL INVESTMENT ADVISORS PRIVATE LIMITED</t>
  </si>
  <si>
    <t>SriNivesh Advisors</t>
  </si>
  <si>
    <t>INA200013132</t>
  </si>
  <si>
    <t>S R Srinivasan</t>
  </si>
  <si>
    <t>319, 18 G Main, 6 Block, Koramangala</t>
  </si>
  <si>
    <t>srinivesh.advisors@gmail.com</t>
  </si>
  <si>
    <t>Apr 30, 2019</t>
  </si>
  <si>
    <t>NAME::SRINIVESH ADVISORS</t>
  </si>
  <si>
    <t>Growthlift Investment Advisories Pvt Ltd</t>
  </si>
  <si>
    <t>INA200014283</t>
  </si>
  <si>
    <t>Sandeep Pai</t>
  </si>
  <si>
    <t>No 3 Educational Insitution, Jayadeva</t>
  </si>
  <si>
    <t>growthlift@gmail.com</t>
  </si>
  <si>
    <t>Dec 09, 2019</t>
  </si>
  <si>
    <t>NAME::GROWTHLIFT INVESTMENT ADVISORIES PVT LTD</t>
  </si>
  <si>
    <t>RS Capfin Investment and Finance</t>
  </si>
  <si>
    <t>INA200014557</t>
  </si>
  <si>
    <t>Swaminathan  R</t>
  </si>
  <si>
    <t>Ground Floor, Abirami Primera, No.19, 3rd Avenue, Indiranagar, Adyar</t>
  </si>
  <si>
    <t>ramaswamy.swaminathan@gmail.com</t>
  </si>
  <si>
    <t>Mar 06, 2020</t>
  </si>
  <si>
    <t>NAME::RS CAPFIN INVESTMENT AND FINANCE</t>
  </si>
  <si>
    <t>KARAT CAPITAL ADVISORS PRIVATE LIMITED</t>
  </si>
  <si>
    <t>INA200015219</t>
  </si>
  <si>
    <t>RAMESH BUKKA</t>
  </si>
  <si>
    <t>Karat Capital Advisors Private Ltd . Villa 43B, Sobha Malachite Phase 1, Jakkur Plantation Road, Jakkur</t>
  </si>
  <si>
    <t>ramesh.bukka@hotmail.com</t>
  </si>
  <si>
    <t>Sep 25, 2020</t>
  </si>
  <si>
    <t>NAME::KARAT CAPITAL ADVISORS PRIVATE LIMITED</t>
  </si>
  <si>
    <t>FINCORE ADVISORY SERVICES PVT LTD</t>
  </si>
  <si>
    <t>INA000015914</t>
  </si>
  <si>
    <t>JYOTIBA BORATE</t>
  </si>
  <si>
    <t>101 B, FARRO ABODE,, LAZRUS ROAD, CHARAI,</t>
  </si>
  <si>
    <t>jyotibaborate@gmail.com</t>
  </si>
  <si>
    <t>Office No. 310, Bhairaav Milestone, 3rd Floor, Road No. 16, Wagle Estate, MIDC,</t>
  </si>
  <si>
    <t>Jul 02, 2021</t>
  </si>
  <si>
    <t>NAME::FINCORE ADVISORY SERVICES PVT LTD</t>
  </si>
  <si>
    <t>Ladder7 Wealth Planners Pvt. Ltd.</t>
  </si>
  <si>
    <t>INA000016001</t>
  </si>
  <si>
    <t>Suresh Sadagopan</t>
  </si>
  <si>
    <t>B-404, Kaveri CHS, 5th Road, Near RBI Quarters, Diamond Garden, Chembur (East)</t>
  </si>
  <si>
    <t>ladder7@gmail.com</t>
  </si>
  <si>
    <t>Jul 27, 2021</t>
  </si>
  <si>
    <t>NAME::LADDER7 WEALTH PLANNERS PVT LTD</t>
  </si>
  <si>
    <t>ETHINVEST ADVISORS PRIVATE LIMITED</t>
  </si>
  <si>
    <t>INA000016010</t>
  </si>
  <si>
    <t>Owais Gore</t>
  </si>
  <si>
    <t>03 turner road, 6th floor, CST No. F1, Above Rel. Office,, Bandra West,</t>
  </si>
  <si>
    <t>owaisgore@gmail.com</t>
  </si>
  <si>
    <t>03 turner road, 6th floor, CST No. F1, Above Rel. Office, Bandra West,</t>
  </si>
  <si>
    <t>NAME::ETHINVEST ADVISORS PRIVATE LIMITED</t>
  </si>
  <si>
    <t>IMPERIAL RESEARCH INVESTMENT ADVISORS PRIVATE LIMITED</t>
  </si>
  <si>
    <t>INA000016205</t>
  </si>
  <si>
    <t>SHASHANK JAIN</t>
  </si>
  <si>
    <t>Fl No. B-303, Vanashree Soc SNo. 179/1 A, Magarpatta, Hadapsar</t>
  </si>
  <si>
    <t>vin.biz91@gmail.com</t>
  </si>
  <si>
    <t>Oct 01, 2021</t>
  </si>
  <si>
    <t>NAME::IMPERIAL RESEARCH INVESTMENT ADVISORS PRIVATE LIMITED</t>
  </si>
  <si>
    <t>Midas Wealth Advisory Private Ltd</t>
  </si>
  <si>
    <t>INA000016223</t>
  </si>
  <si>
    <t>Ramkumar Agrawal</t>
  </si>
  <si>
    <t>A-8, Shri Mangal Palace, , Manik Bag,Sinhagad Road</t>
  </si>
  <si>
    <t>ramkumar.agrawal@gmail.com</t>
  </si>
  <si>
    <t>Oct 07, 2021</t>
  </si>
  <si>
    <t>NAME::MIDAS WEALTH ADVISORY PRIVATE LTD</t>
  </si>
  <si>
    <t>BRIGHTER MIND EQUITY ADVISOR PRIVATE LIMITED</t>
  </si>
  <si>
    <t>INA100016363</t>
  </si>
  <si>
    <t>RAJEEV  RANJAN</t>
  </si>
  <si>
    <t>53 B, Upper Ground Floor Vijay Block Laxmi Nagar, Near Nathu Sweets</t>
  </si>
  <si>
    <t>brightermindadvisor@gmail.com</t>
  </si>
  <si>
    <t>305, Tower-4, Assotech Business Cresterra Sector-135</t>
  </si>
  <si>
    <t>Nov 08, 2021</t>
  </si>
  <si>
    <t>NAME::BRIGHTER MIND EQUITY ADVISOR PRIVATE LIMITED</t>
  </si>
  <si>
    <t>Neuron Wealth Advisors LLP</t>
  </si>
  <si>
    <t>INA000016481</t>
  </si>
  <si>
    <t>Jigar Patel</t>
  </si>
  <si>
    <t>803, Mauryansh Elanza, B/s Parekhs Hospital, Nr Shyamal Cross Road, Satellite</t>
  </si>
  <si>
    <t>neuronwealth@gmail.com</t>
  </si>
  <si>
    <t>Dec 20, 2021</t>
  </si>
  <si>
    <t>NAME::NEURON WEALTH ADVISORS LLP</t>
  </si>
  <si>
    <t>Sixth Element Capital</t>
  </si>
  <si>
    <t>INA000016621</t>
  </si>
  <si>
    <t>Suresh Sharma</t>
  </si>
  <si>
    <t>D202, Sai Sthan, Plot no. 4,5,6, Sector 29, Nerul East,</t>
  </si>
  <si>
    <t>sureshsharma27@gmail.com</t>
  </si>
  <si>
    <t>Office No. 305, 3rd Floor, The Corporate Park, Sector 18, Vashi,</t>
  </si>
  <si>
    <t>NAME::SIXTH ELEMENT CAPITAL</t>
  </si>
  <si>
    <t>EVAREAP INVESTMENT ADVISORS LLP</t>
  </si>
  <si>
    <t>INA000017383</t>
  </si>
  <si>
    <t>Arvind Bharadwaj</t>
  </si>
  <si>
    <t>1 FOURTH STREET, GOPALAPURAM</t>
  </si>
  <si>
    <t>infoevareap@gmail.com</t>
  </si>
  <si>
    <t>Nov 22, 2022</t>
  </si>
  <si>
    <t>NAME::EVAREAP INVESTMENT ADVISORS LLP</t>
  </si>
  <si>
    <t>ValueArk Advisors LLP</t>
  </si>
  <si>
    <t>INA000017426</t>
  </si>
  <si>
    <t>508, Gateway Plaza, Central Avenue Road, Hiranandani Gardens, Powai</t>
  </si>
  <si>
    <t>valuearkadvisors@gmail.com</t>
  </si>
  <si>
    <t>NAME::VALUEARK ADVISORS LLP</t>
  </si>
  <si>
    <t>Nag Munagapati wealth advisors</t>
  </si>
  <si>
    <t>INA000017435</t>
  </si>
  <si>
    <t>Hemambara Srinivasa  Munagapati</t>
  </si>
  <si>
    <t>B5 1407 My Home Avatar Narsingi, Puppalaguda Hyderabad</t>
  </si>
  <si>
    <t>Nagaraj.Munagapati@gmail.com</t>
  </si>
  <si>
    <t>500075</t>
  </si>
  <si>
    <t>NAME::NAG MUNAGAPATI WEALTH ADVISORS</t>
  </si>
  <si>
    <t>Credcap Consultants LLP</t>
  </si>
  <si>
    <t>INA000017480</t>
  </si>
  <si>
    <t>Pratibha Jain</t>
  </si>
  <si>
    <t>T1, 15B, SNN, Clermont, , Opp. Nagawara Lake, Nagawara,</t>
  </si>
  <si>
    <t>jainpratibha2021@gmail.com</t>
  </si>
  <si>
    <t>NAME::CREDCAP CONSULTANTS LLP</t>
  </si>
  <si>
    <t>UFICS Investment Advisory LLP</t>
  </si>
  <si>
    <t>INA000017587</t>
  </si>
  <si>
    <t>Rushabh Shah</t>
  </si>
  <si>
    <t>705 International Business Center, Nr. Sunshine Global Hospital,, Dumas Road,</t>
  </si>
  <si>
    <t>rushabhshah87@gmail.com</t>
  </si>
  <si>
    <t>705 International Business Center, Nr. Sunshine Global Hospital, Dumas Road,</t>
  </si>
  <si>
    <t>Jan 12, 2023</t>
  </si>
  <si>
    <t>NAME::UFICS INVESTMENT ADVISORY LLP</t>
  </si>
  <si>
    <t>PRUDENO WEALTH ADVISORS PRIVATE LIMITED</t>
  </si>
  <si>
    <t>INA000017806</t>
  </si>
  <si>
    <t>VINIT IYER</t>
  </si>
  <si>
    <t>Nirmal Township II SNO 42, Hadapsar</t>
  </si>
  <si>
    <t>vinitciyer@gmail.com</t>
  </si>
  <si>
    <t>Office No. SW/SB/805 806, 8th Floor, South Block, Sacred World, Sacred Heart Town Co.op Premises Society Ltd. S No. 75, CTS No. 1498, Wanowarie</t>
  </si>
  <si>
    <t>NAME::PRUDENO WEALTH ADVISORS PRIVATE LIMITED</t>
  </si>
  <si>
    <t>CANDURA INVESTMENT ADVISORS</t>
  </si>
  <si>
    <t>INA100015151</t>
  </si>
  <si>
    <t>Brijesh Dheman</t>
  </si>
  <si>
    <t>BRIJESH.DHEMAN@GMAIL.COM</t>
  </si>
  <si>
    <t>919891007517</t>
  </si>
  <si>
    <t>NAME::CANDURA INVESTMENT ADVISORS</t>
  </si>
  <si>
    <t>AAA PROFIT ANALYTICS PRIVATE LIMITED</t>
  </si>
  <si>
    <t>INH200009193</t>
  </si>
  <si>
    <t>SAJEESH  KARIANGATTIL</t>
  </si>
  <si>
    <t>10/826 Alma Complex,, Lions Club Road, Poly Junction, Triprayar</t>
  </si>
  <si>
    <t>kksajeesh@gmail.com</t>
  </si>
  <si>
    <t>0009995972222</t>
  </si>
  <si>
    <t>THRISSUR</t>
  </si>
  <si>
    <t>680567</t>
  </si>
  <si>
    <t>10/826 Alma Complex, Lions Club Road, Poly Junction, Triprayar</t>
  </si>
  <si>
    <t>Mar 10, 2022</t>
  </si>
  <si>
    <t>NAME::AAA PROFIT ANALYTICS PRIVATE LIMITED</t>
  </si>
  <si>
    <t>WEALTHVIEW ANALYTICS PRIVATE LIMITED</t>
  </si>
  <si>
    <t>INH000009676</t>
  </si>
  <si>
    <t>Rohi Kathal</t>
  </si>
  <si>
    <t>Office No. 1303 &amp; 1305, Anandam, World Centre, Model Mill,</t>
  </si>
  <si>
    <t>rohirkathal@gmail.com</t>
  </si>
  <si>
    <t>009096442666</t>
  </si>
  <si>
    <t>440018</t>
  </si>
  <si>
    <t>NAME::WEALTHVIEW ANALYTICS PRIVATE LIMITED</t>
  </si>
  <si>
    <t>VISION ONLY RESEARCH SERVICES PRIVATE LIMITED</t>
  </si>
  <si>
    <t>INH000009773</t>
  </si>
  <si>
    <t>Vinay Agnihotri</t>
  </si>
  <si>
    <t>Office No.101,Shubhashish Square, CTS. No. 2273, House No. 311/A/73, Shraddhanand Peth, Ambajhari Village</t>
  </si>
  <si>
    <t>vinay1992agnihotri@gmail.com</t>
  </si>
  <si>
    <t>0008109534141</t>
  </si>
  <si>
    <t>403, 4RTH FLOOR GRAVITY TOWER, 6 1 , ROSHAN SINGH BHANDARI MARG, RACE COURSE ROAD</t>
  </si>
  <si>
    <t>NAME::VISION ONLY RESEARCH SERVICES PRIVATE LIMITED</t>
  </si>
  <si>
    <t>GREENCURVE SECURITIES</t>
  </si>
  <si>
    <t>INH000010308</t>
  </si>
  <si>
    <t>Shop no 3, Tulsi apartment, Agashi road</t>
  </si>
  <si>
    <t>SHARMA18.02.1996@GMAIL.COM</t>
  </si>
  <si>
    <t>918452852626</t>
  </si>
  <si>
    <t>NAME::GREENCURVE SECURITIES</t>
  </si>
  <si>
    <t>Stockace Financial Services</t>
  </si>
  <si>
    <t>INH000010326</t>
  </si>
  <si>
    <t>Piyush  Rathi</t>
  </si>
  <si>
    <t>31-1 SHANTI SADAN ARYA SAMAJ, CHOURAHA PALI BAZAR, BEAWAR,</t>
  </si>
  <si>
    <t>stockacefinancialservices@gmail.com</t>
  </si>
  <si>
    <t>09341443464</t>
  </si>
  <si>
    <t>305901</t>
  </si>
  <si>
    <t>Oct 19, 2022</t>
  </si>
  <si>
    <t>NAME::STOCKACE FINANCIAL SERVICES</t>
  </si>
  <si>
    <t>Krest Research</t>
  </si>
  <si>
    <t>INH000012476</t>
  </si>
  <si>
    <t>Vinod Singh</t>
  </si>
  <si>
    <t>FLAT NO.618,6TH FLOOR,ESPLANADE ONE,RASHULGARH,PURI ROAD,BHUBANESWAR,KHORDHA</t>
  </si>
  <si>
    <t>vinsinghspcl@gmail.com</t>
  </si>
  <si>
    <t>918839535022</t>
  </si>
  <si>
    <t>751010</t>
  </si>
  <si>
    <t>NAME::KREST RESEARCH</t>
  </si>
  <si>
    <t>STOCKSOVET RESEARCH SERVICES PRIVATE LIMITED</t>
  </si>
  <si>
    <t>INH000016366</t>
  </si>
  <si>
    <t>Mohammad Arham Aqbani</t>
  </si>
  <si>
    <t>HOUSE NO 191/A FIRST FLOOR, SADAR, , Sadar Bazar (Nagpur), Nagpur,</t>
  </si>
  <si>
    <t>stocksovetresearch@gmail.com</t>
  </si>
  <si>
    <t>919970370070</t>
  </si>
  <si>
    <t>NAME::STOCKSOVET RESEARCH SERVICES PRIVATE LIMITED</t>
  </si>
  <si>
    <t>G K RESEARCH SERVICES LLP</t>
  </si>
  <si>
    <t>INH000018568</t>
  </si>
  <si>
    <t>GANESH KOMMA</t>
  </si>
  <si>
    <t>Door No 6 52,19 of1, Srinivasa Nagar, Old Gajuwaka, , Visakhapatnam</t>
  </si>
  <si>
    <t>ganeshkomma07@gmail.com</t>
  </si>
  <si>
    <t>910079950860</t>
  </si>
  <si>
    <t>530026</t>
  </si>
  <si>
    <t>NAME::G K RESEARCH SERVICES LLP</t>
  </si>
  <si>
    <t>GTF Institute Private Limited</t>
  </si>
  <si>
    <t>INH000018692</t>
  </si>
  <si>
    <t>Nand Kishor</t>
  </si>
  <si>
    <t>2nd and 3rd Floor, Plot No 178, Nemi, Sagar Colony, Vaishali Nagar</t>
  </si>
  <si>
    <t>gtfinstitute@gmail.com</t>
  </si>
  <si>
    <t>919784749552</t>
  </si>
  <si>
    <t>Plot No. 159, 3rd Floor, Rathore Nagar, Vaishali Nagar,</t>
  </si>
  <si>
    <t>NAME::GTF INSTITUTE PRIVATE LIMITED</t>
  </si>
  <si>
    <t>Goldy TyagiProprietor ROBOTECHPRO Algo Research</t>
  </si>
  <si>
    <t>INH000018708</t>
  </si>
  <si>
    <t>Goldy Tyagi</t>
  </si>
  <si>
    <t>9, 392 A, New Karhera colony, Ghaziabad</t>
  </si>
  <si>
    <t>goldytyagi455@gmail.com</t>
  </si>
  <si>
    <t>919354118400</t>
  </si>
  <si>
    <t>201007</t>
  </si>
  <si>
    <t>Oct 29, 2024</t>
  </si>
  <si>
    <t>NAME::GOLDY TYAGIPROPRIETOR ROBOTECHPRO ALGO RESEARCH</t>
  </si>
  <si>
    <t>INTRATRADE RESEARCH AND TECHNOLOGY PRIVATE LIMITED</t>
  </si>
  <si>
    <t>INH000018744</t>
  </si>
  <si>
    <t>Deepika Patil</t>
  </si>
  <si>
    <t>F 16 A, First Floor, S K Open, Mall, Near Bassein Catholic Co Operative Bank, College road</t>
  </si>
  <si>
    <t>intratraderesearch@gmail.com</t>
  </si>
  <si>
    <t>007776034196</t>
  </si>
  <si>
    <t>NAME::INTRATRADE RESEARCH AND TECHNOLOGY PRIVATE LIMITED</t>
  </si>
  <si>
    <t>Bullsstrategy Advisory Private Limited</t>
  </si>
  <si>
    <t>INH000019558</t>
  </si>
  <si>
    <t>Tanishka Joshi</t>
  </si>
  <si>
    <t>Office No. TF55, Shreesiddheshwar Hallmark, Ajwa Road, Vadodar</t>
  </si>
  <si>
    <t>bullsstrategyadvisorypvt@gmail.com</t>
  </si>
  <si>
    <t>918511116948</t>
  </si>
  <si>
    <t>390019</t>
  </si>
  <si>
    <t>NAME::BULLSSTRATEGY ADVISORY PRIVATE LIMITED</t>
  </si>
  <si>
    <t>FINBONG FINANCIAL TECHNOLOGIES</t>
  </si>
  <si>
    <t>INH000021483</t>
  </si>
  <si>
    <t>ADITYA PAL</t>
  </si>
  <si>
    <t>1490 SAULI BATTALA 2ND LANE, CHANDANNAGAR HOOGHLY</t>
  </si>
  <si>
    <t>aditforron@gmail.com</t>
  </si>
  <si>
    <t>9103335746014</t>
  </si>
  <si>
    <t>HOOGHLY</t>
  </si>
  <si>
    <t>712136</t>
  </si>
  <si>
    <t>NAME::FINBONG FINANCIAL TECHNOLOGIES</t>
  </si>
  <si>
    <t>MARKET MAESTROO PRIVATE LIMITED</t>
  </si>
  <si>
    <t>INH000021757</t>
  </si>
  <si>
    <t>ANKIT YADAV</t>
  </si>
  <si>
    <t>SHOP NO 38 FIRST FLOOR COMMERCIAL COMPLEX , NEHRU NAGAR EAST</t>
  </si>
  <si>
    <t>ankityadav111995@gmail.com</t>
  </si>
  <si>
    <t>007883592976</t>
  </si>
  <si>
    <t>NAME::MARKET MAESTROO PRIVATE LIMITED</t>
  </si>
  <si>
    <t>LK PRIME TECHNICAL PRIVATE LIMITED</t>
  </si>
  <si>
    <t>INH000021793</t>
  </si>
  <si>
    <t>Kushal Varshney</t>
  </si>
  <si>
    <t>15 A AKANSHA ENCLAVE COLONY PADIYA, AAKANSHA ENCLAV ALIGARH</t>
  </si>
  <si>
    <t>mr.kushalvarshney@gmail.com</t>
  </si>
  <si>
    <t>ALIGARH</t>
  </si>
  <si>
    <t>202001</t>
  </si>
  <si>
    <t>NAME::LK PRIME TECHNICAL PRIVATE LIMITED</t>
  </si>
  <si>
    <t>BULLGAINS RESEARCH</t>
  </si>
  <si>
    <t>INH000022190</t>
  </si>
  <si>
    <t>NAVLESH HAPPY</t>
  </si>
  <si>
    <t>631, BRAHMPUR, P.O-NEW JAGANPURA, P.S-RAMKRISHNA NAGAR PATNA</t>
  </si>
  <si>
    <t>navleshkumarhappy@gmail.com</t>
  </si>
  <si>
    <t>917903908955</t>
  </si>
  <si>
    <t>NAME::BULLGAINS RESEARCH</t>
  </si>
  <si>
    <t>Luminorix Financial Services Private Limited</t>
  </si>
  <si>
    <t>INH000022385</t>
  </si>
  <si>
    <t>Venkata Ram Harsha Kuncham</t>
  </si>
  <si>
    <t>Flat No 1 E, GF, Ocenia Apt 4 21 31, 1 GF 1ELB, Colony Vishakhapatnam,</t>
  </si>
  <si>
    <t>kunchamharsha@gmail.com</t>
  </si>
  <si>
    <t>919985570972</t>
  </si>
  <si>
    <t>NAME::LUMINORIX FINANCIAL SERVICES PRIVATE LIMITED</t>
  </si>
  <si>
    <t>M/S MAM AND KAV SECURITIES</t>
  </si>
  <si>
    <t>INH000022561</t>
  </si>
  <si>
    <t>Rakesh Kumar</t>
  </si>
  <si>
    <t>C/o Raj Kumar Sah, Ward No. 24, Gola Road, Pethiya Gachhi</t>
  </si>
  <si>
    <t>mamandkavsecurities@gmail.com</t>
  </si>
  <si>
    <t>917209475454</t>
  </si>
  <si>
    <t>SAMASTIPUR</t>
  </si>
  <si>
    <t>848101</t>
  </si>
  <si>
    <t>NAME::M S MAM AND KAV SECURITIES</t>
  </si>
  <si>
    <t>ARNAB MYBINIYOG VENTURES PRIVATE LIMITED</t>
  </si>
  <si>
    <t>INH000022598</t>
  </si>
  <si>
    <t>Arnab Sarkar</t>
  </si>
  <si>
    <t>175 A.C. ROAD (SOUTH) INDRAPRASTHA,, P.O-KHAGRA, BERHAMPORE,</t>
  </si>
  <si>
    <t>mybiniyog@gmail.com</t>
  </si>
  <si>
    <t>917810987650</t>
  </si>
  <si>
    <t>BERHAMPORE</t>
  </si>
  <si>
    <t>742103</t>
  </si>
  <si>
    <t>175 A.C. ROAD (SOUTH) INDRAPRASTHA, P.O-KHAGRA, BERHAMPORE,</t>
  </si>
  <si>
    <t>NAME::ARNAB MYBINIYOG VENTURES PRIVATE LIMITED</t>
  </si>
  <si>
    <t>THREETREND RESEARCH AND ALGOTECH PRIVATE LIMITED</t>
  </si>
  <si>
    <t>INH000022729</t>
  </si>
  <si>
    <t>Ameet Vijay  Kumar Gundecha</t>
  </si>
  <si>
    <t>Plot No 8, Market Yard, Cotton Market</t>
  </si>
  <si>
    <t>threetrendofficial@gmail.com</t>
  </si>
  <si>
    <t>919422221776</t>
  </si>
  <si>
    <t>414001</t>
  </si>
  <si>
    <t>Aug 13, 2025</t>
  </si>
  <si>
    <t>NAME::THREETREND RESEARCH AND ALGOTECH PRIVATE LIMITED</t>
  </si>
  <si>
    <t>SEIRI INVESTMENT PRIVATE LIMITED</t>
  </si>
  <si>
    <t>INH000022765</t>
  </si>
  <si>
    <t>Nitendra Jhariya</t>
  </si>
  <si>
    <t>K S21, Kachnar City Gate, Kachnar Road, Shiv Park, Vijay Nagar, Jabalpur</t>
  </si>
  <si>
    <t>nitendrajhariya999@gmail.com</t>
  </si>
  <si>
    <t>919340410010</t>
  </si>
  <si>
    <t>NAME::SEIRI INVESTMENT PRIVATE LIMITED</t>
  </si>
  <si>
    <t>NK STOCKTALK RESEARCH PRIVATE LIMITED</t>
  </si>
  <si>
    <t>INH000023038</t>
  </si>
  <si>
    <t>Samar Singh</t>
  </si>
  <si>
    <t>Plot No. 193, Mangalam Vihar Colony, Near Guinea, Motors,  B.V. College, Ara Garden Bailey Road</t>
  </si>
  <si>
    <t>nkstocktalkresearch@gmail.com</t>
  </si>
  <si>
    <t>916205734392</t>
  </si>
  <si>
    <t>NAME::NK STOCKTALK RESEARCH PRIVATE LIMITED</t>
  </si>
  <si>
    <t>CITYINDEX RESEARCH AND ADVISORY PRIVATE LIMITED</t>
  </si>
  <si>
    <t>INH000023135</t>
  </si>
  <si>
    <t>Riya Kasturi</t>
  </si>
  <si>
    <t>SHRILAXMI NARAYAN ALIAS BALAJI DEVASTANCTS, NO 5695/B3  MAHATMA FULE ROAD</t>
  </si>
  <si>
    <t>riakasturi468@gmail.com</t>
  </si>
  <si>
    <t>009196638214</t>
  </si>
  <si>
    <t>BELGAUM</t>
  </si>
  <si>
    <t>590003</t>
  </si>
  <si>
    <t>NAME::CITYINDEX RESEARCH AND ADVISORY PRIVATE LIMITED</t>
  </si>
  <si>
    <t>TREDIFY RESEARCH AND FINANCE PRIVATE LIMITED</t>
  </si>
  <si>
    <t>INH000023791</t>
  </si>
  <si>
    <t>Aashish Suresh</t>
  </si>
  <si>
    <t>Block A Third Floor 45, Ratlam Plaza New Road, Ratlam City</t>
  </si>
  <si>
    <t>aayushtak116@gmail.com</t>
  </si>
  <si>
    <t>0918770588941</t>
  </si>
  <si>
    <t>NAME::TREDIFY RESEARCH AND FINANCE PRIVATE LIMITED</t>
  </si>
  <si>
    <t>WSG VENTURES PRIVATE LIMITED</t>
  </si>
  <si>
    <t>INH000023825</t>
  </si>
  <si>
    <t>Pratibha Dwivedi</t>
  </si>
  <si>
    <t>I 59 MIG, WORLD BANK, WB BARRA,</t>
  </si>
  <si>
    <t>wealthsagaofficial@gmail.com</t>
  </si>
  <si>
    <t>919454146158</t>
  </si>
  <si>
    <t>208027</t>
  </si>
  <si>
    <t>NAME::WSG VENTURES PRIVATE LIMITED</t>
  </si>
  <si>
    <t>SPARK LOOM PRIVATE LIMITED</t>
  </si>
  <si>
    <t>INH000023843</t>
  </si>
  <si>
    <t>Jose Mathew</t>
  </si>
  <si>
    <t>No.55/1823A, K.P Vallon Road, , Kadavanthara, Ernakulam</t>
  </si>
  <si>
    <t>jtm11101966@gmail.com</t>
  </si>
  <si>
    <t>917736433353</t>
  </si>
  <si>
    <t>682020</t>
  </si>
  <si>
    <t>Nov 20, 2025</t>
  </si>
  <si>
    <t>NAME::SPARK LOOM PRIVATE LIMITED</t>
  </si>
  <si>
    <t>HC JAIN EQUITY ADVISORY</t>
  </si>
  <si>
    <t>INH000024189</t>
  </si>
  <si>
    <t>RAJAT JAIN</t>
  </si>
  <si>
    <t>13 1034, Sector 13, Girdhar Marg, Malviya Nagar</t>
  </si>
  <si>
    <t>hcjainequityadvisory@gmail.com</t>
  </si>
  <si>
    <t>919116100266</t>
  </si>
  <si>
    <t>NAME::HC JAIN EQUITY ADVISORY</t>
  </si>
  <si>
    <t>Veritas Research and Advisors</t>
  </si>
  <si>
    <t>INH000024569</t>
  </si>
  <si>
    <t>Kunal Sharma</t>
  </si>
  <si>
    <t>95, Guru Jambeshwar Nagar-B,, Gandhi Path, Queens Road, Vaishali Nagar,</t>
  </si>
  <si>
    <t>sharmakunal8900@gmail.com</t>
  </si>
  <si>
    <t>918849190171</t>
  </si>
  <si>
    <t>95, Guru Jambeshwar Nagar-B, Gandhi Path, Queens Road, Vaishali Nagar,</t>
  </si>
  <si>
    <t>NAME::VERITAS RESEARCH AND ADVISORS</t>
  </si>
  <si>
    <t>STOCKVISTA RESEARCH PRIVATE LIMITED</t>
  </si>
  <si>
    <t>INH000025072</t>
  </si>
  <si>
    <t>GHANSHYAM RAWAT</t>
  </si>
  <si>
    <t>D E 202, Shat Tarka Flats, Surendra Nagar</t>
  </si>
  <si>
    <t>stockvistaresearch@gmail.com</t>
  </si>
  <si>
    <t>440015</t>
  </si>
  <si>
    <t>NAME::STOCKVISTA RESEARCH PRIVATE LIMITED</t>
  </si>
  <si>
    <t>DOJI RESEARCH ANALYST LLP</t>
  </si>
  <si>
    <t>INH000025586</t>
  </si>
  <si>
    <t>Manish Nanwani</t>
  </si>
  <si>
    <t>G1, Konark Laxmi Apartment, Katol Road, KT Nagar</t>
  </si>
  <si>
    <t>doji.analyst@gmail.com</t>
  </si>
  <si>
    <t>NAME::DOJI RESEARCH ANALYST LLP</t>
  </si>
  <si>
    <t>BULL MIND RESEARCH ANALYST PRIVATE LIMITED</t>
  </si>
  <si>
    <t>INH000025595</t>
  </si>
  <si>
    <t>Maniram Prajapati</t>
  </si>
  <si>
    <t>5/3, Colvin Road,Civil Lines</t>
  </si>
  <si>
    <t>bullmindanalyst@gmail.com</t>
  </si>
  <si>
    <t>Mar 20, 2026</t>
  </si>
  <si>
    <t>NAME::BULL MIND RESEARCH ANALYST PRIVATE LIMITED</t>
  </si>
  <si>
    <t>Just Imagine Mind Transformers Private Limited</t>
  </si>
  <si>
    <t>INH000025629</t>
  </si>
  <si>
    <t>Shloke Toshniwal</t>
  </si>
  <si>
    <t>Unit No 10ES3, 10th Floor, East Block, Plot No IIF 04, Action Area IIF, New Town, Kolkata,, Mani Casadona, North 24 Paraganas</t>
  </si>
  <si>
    <t>justimagineshloke@gmail.com</t>
  </si>
  <si>
    <t>700161</t>
  </si>
  <si>
    <t>Unit No 10ES3, 10th Floor, East Block, Plot No IIF 04, Action Area IIF, New Town, Kolkata, Mani Casadona, North 24 Paraganas</t>
  </si>
  <si>
    <t>NAME::JUST IMAGINE MIND TRANSFORMERS PRIVATE LIMITED</t>
  </si>
  <si>
    <t>TRADE2ACHIEVE SERVICES PRIVATE LIMITED</t>
  </si>
  <si>
    <t>INH000026424</t>
  </si>
  <si>
    <t>SAROJ NAYAK</t>
  </si>
  <si>
    <t>Bhubaneswar Unit 32,Govinda Prasad,Khata No. 1057/1906,Plot No. 1149/2604, 3rd Floor (North-West Corner),PO - Rasulgarh,PS - Laxmi Sagar,Bhubaneswar,District - Khurda</t>
  </si>
  <si>
    <t>nsarojkumar2@gmail.com</t>
  </si>
  <si>
    <t>008249273758</t>
  </si>
  <si>
    <t>NAME::TRADE2ACHIEVE SERVICES PRIVATE LIMITED</t>
  </si>
  <si>
    <t>BERIJ FINANCIAL SERVICES PRIVATE LIMITED</t>
  </si>
  <si>
    <t>INH000026503</t>
  </si>
  <si>
    <t>Sushant Dhere</t>
  </si>
  <si>
    <t>Shop No.9, First Floor, Elixa Park, Kolhapur, Kolhapur, Karvir</t>
  </si>
  <si>
    <t>berijfinancialservices@gmail.com</t>
  </si>
  <si>
    <t>009209765239</t>
  </si>
  <si>
    <t>416003</t>
  </si>
  <si>
    <t>NAME::BERIJ FINANCIAL SERVICES PRIVATE LIMITED</t>
  </si>
  <si>
    <t>Rishabh K Sharma Private Limited</t>
  </si>
  <si>
    <t>INH000026831</t>
  </si>
  <si>
    <t>Rishabh  Sharma</t>
  </si>
  <si>
    <t>206 Khetan Tower, Central Spine,, Vidhya Dhar Nagar</t>
  </si>
  <si>
    <t>rishabhksharma09@gmail.com</t>
  </si>
  <si>
    <t>00009785851043</t>
  </si>
  <si>
    <t>302039</t>
  </si>
  <si>
    <t>206 Khetan Tower, Central Spine, Vidhya Dhar Nagar</t>
  </si>
  <si>
    <t>NAME::RISHABH K SHARMA PRIVATE LIMITED</t>
  </si>
  <si>
    <t>LTP Calculator Financial Technology Private Limited</t>
  </si>
  <si>
    <t>INH000026901</t>
  </si>
  <si>
    <t>Ashish Ovhal</t>
  </si>
  <si>
    <t>H N 385 Lot No  2 Hanumanp, Mughalsarai Chandauli, Mugalsarai</t>
  </si>
  <si>
    <t>ovhalashish2805@gmail.com</t>
  </si>
  <si>
    <t>009356668457</t>
  </si>
  <si>
    <t>232101</t>
  </si>
  <si>
    <t>NAME::LTP CALCULATOR FINANCIAL TECHNOLOGY PRIVATE LIMITED</t>
  </si>
  <si>
    <t>Trademonk Capital</t>
  </si>
  <si>
    <t>INH000027043</t>
  </si>
  <si>
    <t>Vinod Gupta</t>
  </si>
  <si>
    <t>Flat No-101, Akshat Meadows, Sirsi, Road, Hathij Mod</t>
  </si>
  <si>
    <t>trademonkcapital@gmail.com</t>
  </si>
  <si>
    <t>919969221995</t>
  </si>
  <si>
    <t>302012</t>
  </si>
  <si>
    <t>NAME::TRADEMONK CAPITAL</t>
  </si>
  <si>
    <t>TRENDING TRAINING AND TRADING PRIVATE LIMITED</t>
  </si>
  <si>
    <t>INH000027122</t>
  </si>
  <si>
    <t>Krishnakumar Malu</t>
  </si>
  <si>
    <t>54, Manak Ratan Nagar</t>
  </si>
  <si>
    <t>ra.t3compliance@gmail.com</t>
  </si>
  <si>
    <t>917385251342</t>
  </si>
  <si>
    <t>JALNA</t>
  </si>
  <si>
    <t>431213</t>
  </si>
  <si>
    <t>NAME::TRENDING TRAINING AND TRADING PRIVATE LIMITED</t>
  </si>
  <si>
    <t>SUCCINCT LEARNING PLATFORMS PRIVATE LIMITED</t>
  </si>
  <si>
    <t>INH000027557</t>
  </si>
  <si>
    <t>Vicky Mehta</t>
  </si>
  <si>
    <t>182, First Floor, Ashok Vihar, Railway Road, Kapurthala</t>
  </si>
  <si>
    <t>succinctlearning@gmail.com</t>
  </si>
  <si>
    <t>006284066557</t>
  </si>
  <si>
    <t>144601</t>
  </si>
  <si>
    <t>SCS No 37 Chotti Baradari, Part 2 Jalandhar</t>
  </si>
  <si>
    <t>144001</t>
  </si>
  <si>
    <t>NAME::SUCCINCT LEARNING PLATFORMS PRIVATE LIMITED</t>
  </si>
  <si>
    <t>Sentinel Research Private limited</t>
  </si>
  <si>
    <t>INH000027867</t>
  </si>
  <si>
    <t>Nitesh Agarwala</t>
  </si>
  <si>
    <t>House No-521/C 53, Civil Lines, Roorkee City, Haridwar, Roorkee</t>
  </si>
  <si>
    <t>akshatagarwal1may@gmail.com</t>
  </si>
  <si>
    <t>HARIDWAR</t>
  </si>
  <si>
    <t>UTTARAKHAND</t>
  </si>
  <si>
    <t>247667</t>
  </si>
  <si>
    <t>NAME::SENTINEL RESEARCH PRIVATE LIMITED</t>
  </si>
  <si>
    <t>Value Straight Investment Advisor Private Limited</t>
  </si>
  <si>
    <t>INH000027982</t>
  </si>
  <si>
    <t>Ajay Kumar</t>
  </si>
  <si>
    <t>Second Floor, M Square Building, Cantt. Road, Lekha Nagar., Near Bihari Marriege Hall, Danapur, Khagaul, Patna Ward No 7, Holding No 530, Patna, Bihar.</t>
  </si>
  <si>
    <t>valuestraightra@gmail.com</t>
  </si>
  <si>
    <t>00007667499889</t>
  </si>
  <si>
    <t>801503</t>
  </si>
  <si>
    <t>NAME::VALUE STRAIGHT INVESTMENT ADVISOR PRIVATE LIMITED</t>
  </si>
  <si>
    <t>WASUGROW FINTECH SERVICES</t>
  </si>
  <si>
    <t>INH000028051</t>
  </si>
  <si>
    <t>SUDHIR BORKAR</t>
  </si>
  <si>
    <t>House No. 735, Tudka, Tumsar Road, Behind Church,Tumsar, Bhandara</t>
  </si>
  <si>
    <t>wasugrowrfs@gmail.com</t>
  </si>
  <si>
    <t>00008485801155</t>
  </si>
  <si>
    <t>441913</t>
  </si>
  <si>
    <t>NAME::WASUGROW FINTECH SERVICES</t>
  </si>
  <si>
    <t>PRATIK CHANDRA</t>
  </si>
  <si>
    <t>INH000012245</t>
  </si>
  <si>
    <t>CHANDRA BHUVAN, 10 DIGVIJAY PLOT</t>
  </si>
  <si>
    <t>pratik_chandra@icai.org</t>
  </si>
  <si>
    <t>361005</t>
  </si>
  <si>
    <t>SAMAR WEALTH ADVISORS</t>
  </si>
  <si>
    <t>INH000018036</t>
  </si>
  <si>
    <t>RAGHAV WADHWA</t>
  </si>
  <si>
    <t>31A, Race Course Road</t>
  </si>
  <si>
    <t>SAMARWEALTH@GMAIL.COM</t>
  </si>
  <si>
    <t>ALPHA INVESTMENT ADVISER</t>
  </si>
  <si>
    <t>INA000007580</t>
  </si>
  <si>
    <t>YOGESH PATEL</t>
  </si>
  <si>
    <t>Gurunanak ward Katanga Colony Near Praska kids Zone, Panagar Dist Jabalpur</t>
  </si>
  <si>
    <t>adviseralpha@gmail.com</t>
  </si>
  <si>
    <t>483220</t>
  </si>
  <si>
    <t>Apr 28, 2017</t>
  </si>
  <si>
    <t>NAME::ALPHA INVESTMENT ADVISER</t>
  </si>
  <si>
    <t>Eminent Investments</t>
  </si>
  <si>
    <t>INA000013697</t>
  </si>
  <si>
    <t>RAMESH KHATUWALA</t>
  </si>
  <si>
    <t>90-B, New Grain Mandi</t>
  </si>
  <si>
    <t>eminent.investments@yahoo.com</t>
  </si>
  <si>
    <t>KOTA</t>
  </si>
  <si>
    <t>324007</t>
  </si>
  <si>
    <t>Aug 02, 2019</t>
  </si>
  <si>
    <t>NAME::EMINENT INVESTMENTS</t>
  </si>
  <si>
    <t>Mintbox Advisory LLP</t>
  </si>
  <si>
    <t>INA300015641</t>
  </si>
  <si>
    <t>Arun Sahoo</t>
  </si>
  <si>
    <t>10 Deen Dayal Bhawan , Janpath Ashok Nagar</t>
  </si>
  <si>
    <t>mintbox.advisory@gmail.com</t>
  </si>
  <si>
    <t>751009</t>
  </si>
  <si>
    <t>Dec 29, 2020</t>
  </si>
  <si>
    <t>NAME::MINTBOX ADVISORY LLP</t>
  </si>
  <si>
    <t>Fort Investments</t>
  </si>
  <si>
    <t>INA000017532</t>
  </si>
  <si>
    <t>Ketul Sakhpara</t>
  </si>
  <si>
    <t>D 226/227, Kalvibid, Near Water Tank, Bhavnagar, Gujarat, 364002</t>
  </si>
  <si>
    <t>ketuls@gmail.com</t>
  </si>
  <si>
    <t>NAME::FORT INVESTMENTS</t>
  </si>
  <si>
    <t>BOX WEALTH PLANNERS AND INVESTMENT ADVISORS</t>
  </si>
  <si>
    <t>INA100004871</t>
  </si>
  <si>
    <t>Ground Floor, D-33, SECTOR-2, NOIDA</t>
  </si>
  <si>
    <t>arunwealthmanagement@gmail.com</t>
  </si>
  <si>
    <t>1ST FLOOR, C-16, SECTOR-2, NOIDA</t>
  </si>
  <si>
    <t>NAME::BOX WEALTH PLANNERS AND INVESTMENT ADVISORS</t>
  </si>
  <si>
    <t>PI DELTA ENTERPRISES</t>
  </si>
  <si>
    <t>INA000020721</t>
  </si>
  <si>
    <t>PRAKHAR SONI</t>
  </si>
  <si>
    <t>D-41, Sector 3, Ansal Sushant City, Meerut, Uttar Pradesh</t>
  </si>
  <si>
    <t>pideltaenterprises@gmail.com</t>
  </si>
  <si>
    <t>00917060246633</t>
  </si>
  <si>
    <t>250005</t>
  </si>
  <si>
    <t>NAME::PI DELTA ENTERPRISES</t>
  </si>
  <si>
    <t>SPARK SECURITIES PRIVATE LIMITED</t>
  </si>
  <si>
    <t>INH300006731</t>
  </si>
  <si>
    <t>SANJEEV  BUBNA</t>
  </si>
  <si>
    <t>10/4B LALA LAJPAT RAI SARANI, 3RD FLOOR</t>
  </si>
  <si>
    <t>SANJEEVBUBNA@HOTMAIL.COM</t>
  </si>
  <si>
    <t>Jan 14, 2019</t>
  </si>
  <si>
    <t>NAME::SPARK SECURITIES PRIVATE LIMITED</t>
  </si>
  <si>
    <t>IPLUS Research Analyst</t>
  </si>
  <si>
    <t>INH200007247</t>
  </si>
  <si>
    <t>Anil Thomas</t>
  </si>
  <si>
    <t>30 44 9,1st floor, Vittasandra, Begur hobliEcity Phase1, Opposite Vibgyor High School Electronic city, Vittasandra, Bommanahalli</t>
  </si>
  <si>
    <t>anilbthomas0412@gmail.com</t>
  </si>
  <si>
    <t>NAME::IPLUS RESEARCH ANALYST</t>
  </si>
  <si>
    <t>FINNOVEST RESEARCH</t>
  </si>
  <si>
    <t>INH200008024</t>
  </si>
  <si>
    <t>SHANAWAZ  PASHA</t>
  </si>
  <si>
    <t>No. 90, 2nd Floor, 8th Main, 2nd Cross, J.P.Nagar, 3rd Phase</t>
  </si>
  <si>
    <t>shanwaz.pasha@gmail.com</t>
  </si>
  <si>
    <t>Dec 24, 2020</t>
  </si>
  <si>
    <t>NAME::FINNOVEST RESEARCH</t>
  </si>
  <si>
    <t>Investopher Research Services Private Limited</t>
  </si>
  <si>
    <t>INH000008561</t>
  </si>
  <si>
    <t>Mahesh Yadav</t>
  </si>
  <si>
    <t>Unit No. 611, Reliables Pride, Anand Nagar, Opp. Heera Panna, Jogeshwari (W)</t>
  </si>
  <si>
    <t>investopherresearch@gmail.com</t>
  </si>
  <si>
    <t>First Floor, Red Square, 6 by 4, and 19 Pu3 Commercial Scheme No 54, Opposite C21 Mall, A.B. Road</t>
  </si>
  <si>
    <t>Jul 19, 2021</t>
  </si>
  <si>
    <t>NAME::INVESTOPHER RESEARCH SERVICES PRIVATE LIMITED</t>
  </si>
  <si>
    <t>Vishwas wealth Advisors</t>
  </si>
  <si>
    <t>INH000009223</t>
  </si>
  <si>
    <t>Vishwas Soman</t>
  </si>
  <si>
    <t>G - 404, Yuthika Apartments, Veerabhadranagar, Baner</t>
  </si>
  <si>
    <t>vishwas.j.soman@gmail.com</t>
  </si>
  <si>
    <t>NAME::VISHWAS WEALTH ADVISORS</t>
  </si>
  <si>
    <t>InveStellar Equity Research and Consulting</t>
  </si>
  <si>
    <t>INH000009603</t>
  </si>
  <si>
    <t>Madhura Karekar</t>
  </si>
  <si>
    <t>A 1004, Rohan Madhuban 2, PVPIT College Road, , Opp. Paranjape Athashree, Off Paud Road, Bavdhan (Khurd)</t>
  </si>
  <si>
    <t>madhurapk2016@gmail.com</t>
  </si>
  <si>
    <t>May 19, 2022</t>
  </si>
  <si>
    <t>NAME::INVESTELLAR EQUITY RESEARCH AND CONSULTING</t>
  </si>
  <si>
    <t>Research Mart Services Private Limited</t>
  </si>
  <si>
    <t>INH000009694</t>
  </si>
  <si>
    <t>Prakhar  Bagora</t>
  </si>
  <si>
    <t>1003,Bhoomi Gardenia 2, Plot No.10,Sector 20</t>
  </si>
  <si>
    <t>bagoraprakhar99@gmail.com</t>
  </si>
  <si>
    <t>410218</t>
  </si>
  <si>
    <t>410-415, 4th Floor, Shree Krishna Divine, Mari Mata Square</t>
  </si>
  <si>
    <t>Jun 01, 2022</t>
  </si>
  <si>
    <t>NAME::RESEARCH MART SERVICES PRIVATE LIMITED</t>
  </si>
  <si>
    <t>INTENSIFY RESEARCH SERVICES PRIVATE LIMITED</t>
  </si>
  <si>
    <t>INH000009834</t>
  </si>
  <si>
    <t>SHOEB  PATHAN</t>
  </si>
  <si>
    <t>A 1508, Mantri Serene, Opp Mhada Bunglows, Off Film City Road Dindoshi Goregaon East</t>
  </si>
  <si>
    <t>shoeb.pathan@yahoo.com</t>
  </si>
  <si>
    <t>400065</t>
  </si>
  <si>
    <t>1st Floor 609, Khatiwala Tank</t>
  </si>
  <si>
    <t>NAME::INTENSIFY RESEARCH SERVICES PRIVATE LIMITED</t>
  </si>
  <si>
    <t>PROFIT BELL RESEARCH</t>
  </si>
  <si>
    <t>INH000009852</t>
  </si>
  <si>
    <t>GAJANAND MISHRA</t>
  </si>
  <si>
    <t>S.NO 25/26 P, FLAT NO. 108, YASH 101, SUSGAON,, SUSGAON PUNE, PUNE MUNICIPAL CORPORATION, PUNE CITY</t>
  </si>
  <si>
    <t>profitbellresearch@gmail.com</t>
  </si>
  <si>
    <t>S.NO 25/26 P, FLAT NO. 108, YASH 101, SUSGAON, SUSGAON PUNE, PUNE MUNICIPAL CORPORATION, PUNE CITY</t>
  </si>
  <si>
    <t>NAME::PROFIT BELL RESEARCH</t>
  </si>
  <si>
    <t>MONEY BELLS GLOBAL RESEARCH SERVICES PRIVATE LIMITED</t>
  </si>
  <si>
    <t>INH100009901</t>
  </si>
  <si>
    <t>Sagar Goel</t>
  </si>
  <si>
    <t>Shop No-4A Gali No.-1 A D-Block KH No., 2685/1336, , Sangam Vihar</t>
  </si>
  <si>
    <t>sagargoel191991@gmail.com</t>
  </si>
  <si>
    <t>148/A, Hari Nagar Ashram</t>
  </si>
  <si>
    <t>110014</t>
  </si>
  <si>
    <t>Jun 21, 2022</t>
  </si>
  <si>
    <t>NAME::MONEY BELLS GLOBAL RESEARCH SERVICES PRIVATE LIMITED</t>
  </si>
  <si>
    <t>Shree Bahubali Stock Broking Limited</t>
  </si>
  <si>
    <t>INH300010026</t>
  </si>
  <si>
    <t>Surendra  Jain</t>
  </si>
  <si>
    <t>12 India Exchange Place, Jute House Building</t>
  </si>
  <si>
    <t>bahubali10@yahoo.com</t>
  </si>
  <si>
    <t>12 india exchange place, Jute House Building 3rd floor</t>
  </si>
  <si>
    <t>NAME::SHREE BAHUBALI STOCK BROKING LIMITED</t>
  </si>
  <si>
    <t>NIVESHARTHA PRIVATE LIMITED</t>
  </si>
  <si>
    <t>INH000010919</t>
  </si>
  <si>
    <t>ANIL FERNANDES</t>
  </si>
  <si>
    <t>1184, 5th Main,, Sector 7,HSR Layout,</t>
  </si>
  <si>
    <t>niveshartha@gmail.com</t>
  </si>
  <si>
    <t>2nd floor of L152, 14th Cross, 5th Main Road, , 6th Sector,HSR layout</t>
  </si>
  <si>
    <t>NAME::NIVESHARTHA PRIVATE LIMITED</t>
  </si>
  <si>
    <t>s&amp;ta equity research</t>
  </si>
  <si>
    <t>INH000011167</t>
  </si>
  <si>
    <t>CHETAN BHASIN</t>
  </si>
  <si>
    <t>S14, 503, Smondoville Appartment, New Town, Electronic City Phase 1</t>
  </si>
  <si>
    <t>sandtaequityresearch@gmail.com</t>
  </si>
  <si>
    <t>S-14, 503, SMONDOVILLE APPT, , NEO TOWN ELECTRONIC CITY, PHASE 1</t>
  </si>
  <si>
    <t>Dec 26, 2022</t>
  </si>
  <si>
    <t>NAME::S TA EQUITY RESEARCH</t>
  </si>
  <si>
    <t>J G Shah Financial Consultants Private Limited</t>
  </si>
  <si>
    <t>INH000011219</t>
  </si>
  <si>
    <t>Kamlesh Shah</t>
  </si>
  <si>
    <t>418, PJ Tower, Fort</t>
  </si>
  <si>
    <t>shahknv@rediffmail.com</t>
  </si>
  <si>
    <t>NAME::J G SHAH FINANCIAL CONSULTANTS PRIVATE LIMITED</t>
  </si>
  <si>
    <t>RAHEJA STOCK BROKERS PRIVATE LIMITED</t>
  </si>
  <si>
    <t>INH000011228</t>
  </si>
  <si>
    <t>TARUN RAHEJA</t>
  </si>
  <si>
    <t>521 ROTUNDA STOCK EXCHG BLDG, DALAL STREET FORT</t>
  </si>
  <si>
    <t>tarun.rsbpl@gmail.com</t>
  </si>
  <si>
    <t>NAME::RAHEJA STOCK BROKERS PRIVATE LIMITED</t>
  </si>
  <si>
    <t>Wealth Tree Research and Advisory Services</t>
  </si>
  <si>
    <t>INH000011352</t>
  </si>
  <si>
    <t>Vamsi Kona</t>
  </si>
  <si>
    <t>Wealth Tree Research and Advisory Services, 8-2-596/F/44/a, Flat G01, Farhat Afza, Road 10, Banjara Hills, Khairatabad</t>
  </si>
  <si>
    <t>vamsi.wtg@gmail.com</t>
  </si>
  <si>
    <t>NAME::WEALTH TREE RESEARCH AND ADVISORY SERVICES</t>
  </si>
  <si>
    <t>M/s Adira Securities Research</t>
  </si>
  <si>
    <t>INH000011495</t>
  </si>
  <si>
    <t>Sampat Jare</t>
  </si>
  <si>
    <t>H 1105, Amorapolis, ADJ to Porwal Road,, Bharat Mata Road, Dhanori, Pune</t>
  </si>
  <si>
    <t>sampat.icwa@gmail.com</t>
  </si>
  <si>
    <t>411015</t>
  </si>
  <si>
    <t>H 1105, Amorapolis, ADJ to Porwal Road, Bharat Mata Road, Dhanori, Pune</t>
  </si>
  <si>
    <t>Feb 21, 2023</t>
  </si>
  <si>
    <t>NAME::M S ADIRA SECURITIES RESEARCH</t>
  </si>
  <si>
    <t>INVESTOWRYGHT RESEARCH ANALYTICS PRIVATE LIMITED</t>
  </si>
  <si>
    <t>INH000012157</t>
  </si>
  <si>
    <t>Prashant Chhaparwal</t>
  </si>
  <si>
    <t>FLAT A304, SHREE RAM ARCADE CHS LTD PLOT 18A, SECTOR 7, KAMOTHE</t>
  </si>
  <si>
    <t>Prashantchhaparwal14@gmail.com</t>
  </si>
  <si>
    <t>Mar 29, 2023</t>
  </si>
  <si>
    <t>NAME::INVESTOWRYGHT RESEARCH ANALYTICS PRIVATE LIMITED</t>
  </si>
  <si>
    <t>PROFIDESKK RESEARCH</t>
  </si>
  <si>
    <t>INH000012227</t>
  </si>
  <si>
    <t>Likhith  Shekhar</t>
  </si>
  <si>
    <t>No. 117, Second Floor, East End , D Main, Jayanagar, 9th Block,</t>
  </si>
  <si>
    <t>profideskkresearch@gmail.com</t>
  </si>
  <si>
    <t>NAME::PROFIDESKK RESEARCH</t>
  </si>
  <si>
    <t>TechnoFunda Ventures Private Limited</t>
  </si>
  <si>
    <t>INH000012272</t>
  </si>
  <si>
    <t>VIVEK MASHRANI</t>
  </si>
  <si>
    <t>F/203, Park View Club-07, Road Off. SP, Ring Road, B/H Maher Homes-02, Shela, Bopal, Ahmdbd, Gujrat</t>
  </si>
  <si>
    <t>vivek.mashrani@gmail.com</t>
  </si>
  <si>
    <t>Apr 18, 2023</t>
  </si>
  <si>
    <t>NAME::TECHNOFUNDA VENTURES PRIVATE LIMITED</t>
  </si>
  <si>
    <t>ARJUNA RESEARCH AND FINANCIAL SERVICES PRIVATE LIMITED</t>
  </si>
  <si>
    <t>INH000012290</t>
  </si>
  <si>
    <t>Mithlesh Kumar</t>
  </si>
  <si>
    <t>No.11, Navs Arcade, 1st Block Bangalore</t>
  </si>
  <si>
    <t>mithlesharfs@gmail.com</t>
  </si>
  <si>
    <t>NAME::ARJUNA RESEARCH AND FINANCIAL SERVICES PRIVATE LIMITED</t>
  </si>
  <si>
    <t>INH000012546</t>
  </si>
  <si>
    <t>VIVEK SINGHAL</t>
  </si>
  <si>
    <t>346 Basement,, Sector 38</t>
  </si>
  <si>
    <t>nvagrawal@gmail.com</t>
  </si>
  <si>
    <t>346 Basement, Sector 38</t>
  </si>
  <si>
    <t>Jul 13, 2023</t>
  </si>
  <si>
    <t>NAME::VSPARTANS CONSULTANTS PRIVATE LIMITED</t>
  </si>
  <si>
    <t>Visual Research</t>
  </si>
  <si>
    <t>INH000012786</t>
  </si>
  <si>
    <t>Satish Pandey</t>
  </si>
  <si>
    <t>House No. 68, Shrinath Township, Village Dhabali, Indore</t>
  </si>
  <si>
    <t>RAVISUALRESEARCH@GMAIL.COM</t>
  </si>
  <si>
    <t>First Floor Madhav Corporate Scheme No. 78, , Plot No. 04, Atal Khel Parisar Main Road,</t>
  </si>
  <si>
    <t>NAME::VISUAL RESEARCH</t>
  </si>
  <si>
    <t>LNPR CAPITAL</t>
  </si>
  <si>
    <t>INH000012953</t>
  </si>
  <si>
    <t>RAKESH  DAS</t>
  </si>
  <si>
    <t>17, Subhas Nagar, 1st Bye Lane, P.O. Rabindra Nagar, P.S. Dum Dum</t>
  </si>
  <si>
    <t>lnprcapital@gmail.com</t>
  </si>
  <si>
    <t>700065</t>
  </si>
  <si>
    <t>NAME::LNPR CAPITAL</t>
  </si>
  <si>
    <t>INNER CIRCLE WIZARDS RESEARCH ANALYST PRIVATE LIMITED</t>
  </si>
  <si>
    <t>INH000013934</t>
  </si>
  <si>
    <t>Ashwani Kumar</t>
  </si>
  <si>
    <t>Office No. 17, Stellar Business Park, Plot No. 3, Techzone 3,, P.O. Gautam Budh University, Greater Noida,</t>
  </si>
  <si>
    <t>innercirclefirm@gmail.com</t>
  </si>
  <si>
    <t>201312</t>
  </si>
  <si>
    <t>Office No. 17, Stellar Business Park, Plot No. 3, Techzone 3, P.O. Gautam Budh University, Greater Noida,</t>
  </si>
  <si>
    <t>NAME::INNER CIRCLE WIZARDS RESEARCH ANALYST PRIVATE LIMITED</t>
  </si>
  <si>
    <t>Jupiter Stock Brokers Limited</t>
  </si>
  <si>
    <t>INH000013961</t>
  </si>
  <si>
    <t>Dhanesh Raheja</t>
  </si>
  <si>
    <t>506 SIMRAN PLAZA, 4TH ROAD</t>
  </si>
  <si>
    <t>jsbltd@yahoo.com</t>
  </si>
  <si>
    <t>NAME::JUPITER STOCK BROKERS LIMITED</t>
  </si>
  <si>
    <t>DIVINE WISDOM FINANCIAL INDIA PRIVATE LIMITED</t>
  </si>
  <si>
    <t>INH000014818</t>
  </si>
  <si>
    <t>RAJESH  M D</t>
  </si>
  <si>
    <t>No.93/04,Shanthi Parvath, South End Road, , South End Circle, Basavanagudi,</t>
  </si>
  <si>
    <t>divinewisdom.info@gmail.com</t>
  </si>
  <si>
    <t>NAME::DIVINE WISDOM FINANCIAL INDIA PRIVATE LIMITED</t>
  </si>
  <si>
    <t>Groen Research Solutions LLP</t>
  </si>
  <si>
    <t>INH000015075</t>
  </si>
  <si>
    <t>Sudipto Ghosh</t>
  </si>
  <si>
    <t>B-806, S.V.Heights,Opp. Maithri layout,, kadugodi,kadugodi P.S,Hosakote</t>
  </si>
  <si>
    <t>sp.research26@gmail.com</t>
  </si>
  <si>
    <t>No. 304,5th Floor,1st Main,1st block, Koramangala, Jakkasandra</t>
  </si>
  <si>
    <t>NAME::GROEN RESEARCH SOLUTIONS LLP</t>
  </si>
  <si>
    <t>EIEVU FINANCIAL ANALISERS PRIVATE LIMITED</t>
  </si>
  <si>
    <t>INH000015154</t>
  </si>
  <si>
    <t>MURALI  KOTTE</t>
  </si>
  <si>
    <t>6-3-650/210, MAHESHWARI CHAMBERS SOMAJIGUDA</t>
  </si>
  <si>
    <t>muralikrishnakotte@yahoo.co.in</t>
  </si>
  <si>
    <t>Feb 21, 2024</t>
  </si>
  <si>
    <t>NAME::EIEVU FINANCIAL ANALISERS PRIVATE LIMITED</t>
  </si>
  <si>
    <t>A&amp;Y MARKET RESEARCH</t>
  </si>
  <si>
    <t>INH000015419</t>
  </si>
  <si>
    <t>JAGRUTI PRADEEP</t>
  </si>
  <si>
    <t>512 , SUN AVENUE ONE, MANEKBAUG SHYAMAL ROAD, AMBAWADI</t>
  </si>
  <si>
    <t>aandymarketresearch@gmail.com</t>
  </si>
  <si>
    <t>NAME::A Y MARKET RESEARCH</t>
  </si>
  <si>
    <t>Satya Sridhar Stock Research</t>
  </si>
  <si>
    <t>INH000015507</t>
  </si>
  <si>
    <t>Satya Sridhar Garimella</t>
  </si>
  <si>
    <t>No. 42, Third floor, United Arcade Commercial Complex, Rambagh Road, Attapur</t>
  </si>
  <si>
    <t>satya.sridhar.garimella@gmail.com</t>
  </si>
  <si>
    <t>NAME::SATYA SRIDHAR STOCK RESEARCH</t>
  </si>
  <si>
    <t>DG SHARE MARKET RESEARCH PVT LTD.</t>
  </si>
  <si>
    <t>INH000015534</t>
  </si>
  <si>
    <t>CHANDRA  DUBEY</t>
  </si>
  <si>
    <t>Renuka Shobha Fl 604 Sno., Chinchwad, Chindhwadgaon, Mulshi</t>
  </si>
  <si>
    <t>dgsharemarketresearch@gmail.com</t>
  </si>
  <si>
    <t>411033</t>
  </si>
  <si>
    <t>NAME::DG SHARE MARKET RESEARCH PVT LTD</t>
  </si>
  <si>
    <t>RISING RESEARCH ANALYST</t>
  </si>
  <si>
    <t>INH000015686</t>
  </si>
  <si>
    <t>RUSHIKESH VED</t>
  </si>
  <si>
    <t>CELLER A-2 BASEMENT, SHAJANAND COMPLEX, ADARSH SOCIETY,, NR MYMY SHOWROOM, SWASTIK CROSSROAD, NAVARANGPURA</t>
  </si>
  <si>
    <t>vedrushikesh7@gmail.com</t>
  </si>
  <si>
    <t>CELLER A-2 BASEMENT, SHAJANAND COMPLEX, ADARSH SOCIETY, NR MYMY SHOWROOM, SWASTIK CROSSROAD, NAVARANGPURA</t>
  </si>
  <si>
    <t>NAME::RISING RESEARCH ANALYST</t>
  </si>
  <si>
    <t>TRINETRA CAPITAL</t>
  </si>
  <si>
    <t>INH000015783</t>
  </si>
  <si>
    <t>Priyam  Shah</t>
  </si>
  <si>
    <t>2, 20th main Road, 19th Cross SMS Layout, JP Nagar 5th Phase,</t>
  </si>
  <si>
    <t>ra.trinetracapital@gmail.com</t>
  </si>
  <si>
    <t>NAME::TRINETRA CAPITAL</t>
  </si>
  <si>
    <t>Shubh Consultancy</t>
  </si>
  <si>
    <t>INH000015826</t>
  </si>
  <si>
    <t>Sunil Kotak</t>
  </si>
  <si>
    <t>Flat No. 102, Mutual Benefit, Co Op Hsg Society, Chandan Baug Lane, Near Union Bank</t>
  </si>
  <si>
    <t>sunilkotak2001@gmail.com</t>
  </si>
  <si>
    <t>NAME::SHUBH CONSULTANCY</t>
  </si>
  <si>
    <t>Premal Parekh Advisory Services LLP</t>
  </si>
  <si>
    <t>INH000015899</t>
  </si>
  <si>
    <t>Premal Parekh</t>
  </si>
  <si>
    <t>65, Chitralay Co. Op. H Soc, Near Law Garden, Chinabag, Ellisbridge, Navrangpura</t>
  </si>
  <si>
    <t>premalrsstudy@gmail.com</t>
  </si>
  <si>
    <t>NAME::PREMAL PAREKH ADVISORY SERVICES LLP</t>
  </si>
  <si>
    <t>CRAFTERS FINANCIAL RESEARCH PRIVATE LIMITED</t>
  </si>
  <si>
    <t>INH000016117</t>
  </si>
  <si>
    <t>RAGHU  SRINIVASAN</t>
  </si>
  <si>
    <t>A303, 2ND FLORR, IGV APARTMENTS, IDEAL HOME TOWNSHIP, , RAJARAJESHWARI NAGAR</t>
  </si>
  <si>
    <t>CFORAGS@GMAIL.COM</t>
  </si>
  <si>
    <t>NAME::CRAFTERS FINANCIAL RESEARCH PRIVATE LIMITED</t>
  </si>
  <si>
    <t>S R RESEARCH ANALYTICS</t>
  </si>
  <si>
    <t>INH000016232</t>
  </si>
  <si>
    <t>GOPAL MAJUMDAR</t>
  </si>
  <si>
    <t>No 177, AECS B Block, 60 feet Road Singasandra Post</t>
  </si>
  <si>
    <t>srresearchanalytics13@gmail.com</t>
  </si>
  <si>
    <t>NAME::S R RESEARCH ANALYTICS</t>
  </si>
  <si>
    <t>Prime Investment Consultants</t>
  </si>
  <si>
    <t>INH000016603</t>
  </si>
  <si>
    <t>Amardeep Batra</t>
  </si>
  <si>
    <t>TS-909, Plot number C-03 Greater Noida</t>
  </si>
  <si>
    <t>finprime.investments@gmail.com</t>
  </si>
  <si>
    <t>NAME::PRIME INVESTMENT CONSULTANTS</t>
  </si>
  <si>
    <t>WISE GLOBAL RESEARCH SERVICES PRIVATE LIMITED</t>
  </si>
  <si>
    <t>INH000016719</t>
  </si>
  <si>
    <t>Hemraj Sikarwar</t>
  </si>
  <si>
    <t>18 AB Road Onam Plaza, Office No 602, Old Palasiya, Indore Tukoganj</t>
  </si>
  <si>
    <t>ra.wiseglobal@gmail.com</t>
  </si>
  <si>
    <t>18 Ab Road Onam Plaza, Office No 501, Old Palasiya, Indore Tukoganj</t>
  </si>
  <si>
    <t>NAME::WISE GLOBAL RESEARCH SERVICES PRIVATE LIMITED</t>
  </si>
  <si>
    <t>Sree Capital</t>
  </si>
  <si>
    <t>INH000016861</t>
  </si>
  <si>
    <t>Sreemant Dudhoria</t>
  </si>
  <si>
    <t>No 1, Barnaby Road, Dev Darshan Apt, Flat No 214, Kilpauk</t>
  </si>
  <si>
    <t>sreemantd@gmail.com</t>
  </si>
  <si>
    <t>NAME::SREE CAPITAL</t>
  </si>
  <si>
    <t>Shree Dhan-Raksha Securites Research</t>
  </si>
  <si>
    <t>INH000017152</t>
  </si>
  <si>
    <t>Satish Sonawane</t>
  </si>
  <si>
    <t>Shetphalgadhe, Limboni mala</t>
  </si>
  <si>
    <t>shreedhanraksha.official51@gmail.com</t>
  </si>
  <si>
    <t>413130</t>
  </si>
  <si>
    <t>NAME::SHREE DHAN RAKSHA SECURITES RESEARCH</t>
  </si>
  <si>
    <t>EQUITY EDGE RESEARCH ANALYST</t>
  </si>
  <si>
    <t>INH000017259</t>
  </si>
  <si>
    <t>VISHAL BORSE</t>
  </si>
  <si>
    <t>OFFICE NO 20, B - BUILDING 8TH FLOOR , CITY VISTA DOWNTOWN EON IT PARK ROAD KHARADI PUNE</t>
  </si>
  <si>
    <t>EQUITYEDGERESEARCHANALYST@GMAIL.COM</t>
  </si>
  <si>
    <t>NAME::EQUITY EDGE RESEARCH ANALYST</t>
  </si>
  <si>
    <t>Grow Infinity capital</t>
  </si>
  <si>
    <t>INH000017453</t>
  </si>
  <si>
    <t>Kiran  Giriyappa</t>
  </si>
  <si>
    <t>170/B 4th Main Next To Post Office 3rd Phase JP Nagar , Bangalore South Karnataka</t>
  </si>
  <si>
    <t>giriyappakiran@gmail.com</t>
  </si>
  <si>
    <t>NAME::GROW INFINITY CAPITAL</t>
  </si>
  <si>
    <t>SM Research Services Private Limited</t>
  </si>
  <si>
    <t>INH000017736</t>
  </si>
  <si>
    <t>Siddhesh Pednekar</t>
  </si>
  <si>
    <t>A G Shed, Floor GRD, 38, Krishna Kripa, Dadar West , Gokhale Road</t>
  </si>
  <si>
    <t>siddheshpednekar405@gmail.com</t>
  </si>
  <si>
    <t>NAME::SM RESEARCH SERVICES PRIVATE LIMITED</t>
  </si>
  <si>
    <t>Na Supreme Research Private Limited</t>
  </si>
  <si>
    <t>INH000017745</t>
  </si>
  <si>
    <t>Neeraj Sen</t>
  </si>
  <si>
    <t>206,Yukti Shivdham ,Kailashpuri ,Bangali  Square,indore</t>
  </si>
  <si>
    <t>nsen1525@gmail.com</t>
  </si>
  <si>
    <t>NAME::NA SUPREME RESEARCH PRIVATE LIMITED</t>
  </si>
  <si>
    <t>Thakkar Finserv</t>
  </si>
  <si>
    <t>INH000017763</t>
  </si>
  <si>
    <t>Rajan  Palan</t>
  </si>
  <si>
    <t>BLDG B 3 A 102 OPT , LBS MARG MULUND</t>
  </si>
  <si>
    <t>Thakkarfinserv@gmail.com</t>
  </si>
  <si>
    <t>NAME::THAKKAR FINSERV</t>
  </si>
  <si>
    <t>INVESMATE INSIGHTS PRIVATE LIMITED</t>
  </si>
  <si>
    <t>INH000017985</t>
  </si>
  <si>
    <t>ARUNAVA CHATTERJEE</t>
  </si>
  <si>
    <t>5, NARENDRA NAGAR , NR RLY BOOKING OFC, PO-BELGHORIA, KOLKATA</t>
  </si>
  <si>
    <t>arunavachatterjee05@gmail.com</t>
  </si>
  <si>
    <t>NAME::INVESMATE INSIGHTS PRIVATE LIMITED</t>
  </si>
  <si>
    <t>INVESTEDGE RESEARCH ADVISORY PRIVATE LIMITED</t>
  </si>
  <si>
    <t>INH000018212</t>
  </si>
  <si>
    <t>Anant Agrawal</t>
  </si>
  <si>
    <t>336/B, Clerk Colony,, IT Road, Pardeshipura</t>
  </si>
  <si>
    <t>investedgeadvisory.ra@gmail.com</t>
  </si>
  <si>
    <t>336/B, Clerk Colony, IT Road, Pardeshipura</t>
  </si>
  <si>
    <t>NAME::INVESTEDGE RESEARCH ADVISORY PRIVATE LIMITED</t>
  </si>
  <si>
    <t>SHREEJI RESEARCH</t>
  </si>
  <si>
    <t>INH000018267</t>
  </si>
  <si>
    <t>JATIN PAREKH</t>
  </si>
  <si>
    <t>No 194 Ground Floor 12th main, 3rd Block Rajajinagar</t>
  </si>
  <si>
    <t>shreejiresearch@gmail.com</t>
  </si>
  <si>
    <t>560010</t>
  </si>
  <si>
    <t>NAME::SHREEJI RESEARCH</t>
  </si>
  <si>
    <t>INVESTMENTLY RESEARCH</t>
  </si>
  <si>
    <t>INH000018294</t>
  </si>
  <si>
    <t>KRUPALI MAKAR</t>
  </si>
  <si>
    <t>B5, Ram Niketan CHS LTD, Koldongri Sahar Road, Below Durga Nursing Home, Andheri East</t>
  </si>
  <si>
    <t>krupali106@gmail.com</t>
  </si>
  <si>
    <t>NAME::INVESTMENTLY RESEARCH</t>
  </si>
  <si>
    <t>THE OMNISCIENT SECURITIES PVT. LTD.</t>
  </si>
  <si>
    <t>INH000018531</t>
  </si>
  <si>
    <t>KAMLESH SHROFF</t>
  </si>
  <si>
    <t>1003, 10th Floor, P. J. Towers, Dalal Street, Fort</t>
  </si>
  <si>
    <t>kamleshshroff3@gmail.com</t>
  </si>
  <si>
    <t>1002, 10th Floor, P. J. Towers, Dalal Street, Fort</t>
  </si>
  <si>
    <t>NAME::THE OMNISCIENT SECURITIES PVT LTD</t>
  </si>
  <si>
    <t>Smart Sync Services</t>
  </si>
  <si>
    <t>INA000007881</t>
  </si>
  <si>
    <t>ANKIT KANODIA</t>
  </si>
  <si>
    <t>A-404, Titanium Heights, Near Vodafone House, Makarba., Corporate Road</t>
  </si>
  <si>
    <t>SMARTSYNCSERVICES@GMAIL.COM</t>
  </si>
  <si>
    <t>Jun 20, 2017</t>
  </si>
  <si>
    <t>NAME::SMART SYNC SERVICES</t>
  </si>
  <si>
    <t>stockbox technologies private limited</t>
  </si>
  <si>
    <t>INH100008799</t>
  </si>
  <si>
    <t>radhey  chauhan</t>
  </si>
  <si>
    <t>House No 9 LANE NO 3, DOON ENCLAVE EXTENSION</t>
  </si>
  <si>
    <t>stockboxtech@gmail.com</t>
  </si>
  <si>
    <t>DEHRADUN</t>
  </si>
  <si>
    <t>248171</t>
  </si>
  <si>
    <t>Oct 08, 2021</t>
  </si>
  <si>
    <t>NAME::STOCKBOX TECHNOLOGIES PRIVATE LIMITED</t>
  </si>
  <si>
    <t>NAZARETH WEALTH PRIVATE LIMITED</t>
  </si>
  <si>
    <t>INH200008802</t>
  </si>
  <si>
    <t>ALBERT ANTONY</t>
  </si>
  <si>
    <t>27/459, SOUBHAGYA SHOPPING COMPLEX, ARAYIDATHUPALAM, PUTHIYARA P.O.</t>
  </si>
  <si>
    <t>nazarethwealthpvtltd@gmail.com</t>
  </si>
  <si>
    <t>KOZHIKODE</t>
  </si>
  <si>
    <t>673004</t>
  </si>
  <si>
    <t>Oct 11, 2021</t>
  </si>
  <si>
    <t>NAME::NAZARETH WEALTH PRIVATE LIMITED</t>
  </si>
  <si>
    <t>PRIDE TRADING CONSULTANCY PRIVATE LIMITED</t>
  </si>
  <si>
    <t>INH000010362</t>
  </si>
  <si>
    <t>APEKSHA BANSAL</t>
  </si>
  <si>
    <t>410-411, 4th Floor, Serene Centrum, Near Gangotri Exotica, Gotri- Sevasi Road</t>
  </si>
  <si>
    <t>info.prideconsultancy@gmail.com</t>
  </si>
  <si>
    <t>390021</t>
  </si>
  <si>
    <t>NAME::PRIDE TRADING CONSULTANCY PRIVATE LIMITED</t>
  </si>
  <si>
    <t>FINKNIT RESEARCH ANALYSIS PRIVATE LIMITED</t>
  </si>
  <si>
    <t>INH000012166</t>
  </si>
  <si>
    <t>Pranav Vaidya</t>
  </si>
  <si>
    <t>F NO. 101, MEGHRANJANI APTTILAK NAGAR</t>
  </si>
  <si>
    <t>Vpranav015@gmail.com</t>
  </si>
  <si>
    <t>NAME::FINKNIT RESEARCH ANALYSIS PRIVATE LIMITED</t>
  </si>
  <si>
    <t>EQUITY4LIFE IH ANALYTICS PRIVATE LIMITED</t>
  </si>
  <si>
    <t>INH000012351</t>
  </si>
  <si>
    <t>Udit Sharma</t>
  </si>
  <si>
    <t>705 708 7TH FLOOR GRFEEN HOUSE APARTMENT, PLOT NO 15 ASHOK MARG C SCHEME, Ashok Nagar</t>
  </si>
  <si>
    <t>uditsharma271115@gmail.com</t>
  </si>
  <si>
    <t>NAME::EQUITY4LIFE IH ANALYTICS PRIVATE LIMITED</t>
  </si>
  <si>
    <t>Richesse Consultants LLP</t>
  </si>
  <si>
    <t>INH000012704</t>
  </si>
  <si>
    <t>Hasif Parayamparambil</t>
  </si>
  <si>
    <t>Manamkandath,Ward 11, 32 G Punnayurkulam Post,</t>
  </si>
  <si>
    <t>hasiff@gmail.com</t>
  </si>
  <si>
    <t>679561</t>
  </si>
  <si>
    <t>NAME::RICHESSE CONSULTANTS LLP</t>
  </si>
  <si>
    <t>City Equity Research</t>
  </si>
  <si>
    <t>INH000012874</t>
  </si>
  <si>
    <t>SOURAV SINGHAL</t>
  </si>
  <si>
    <t>House No. 25, Avanti Vihar, Near Vijay Nagar, Chowk</t>
  </si>
  <si>
    <t>cityinvestwisely@gmail.com</t>
  </si>
  <si>
    <t>NAME::CITY EQUITY RESEARCH</t>
  </si>
  <si>
    <t>EQUISCAN RESEARCH</t>
  </si>
  <si>
    <t>INH000013183</t>
  </si>
  <si>
    <t>MDMOIN ULHASSAN NIZAMI</t>
  </si>
  <si>
    <t>Mohammed Ibrahim, 116/B 20,, Anjali Nagar, Ring Road,</t>
  </si>
  <si>
    <t>ra.hassannizami@gmail.com</t>
  </si>
  <si>
    <t>413512</t>
  </si>
  <si>
    <t>Mohammed Ibrahim, 116/B 20, Anjali Nagar, Ring Road,</t>
  </si>
  <si>
    <t>NAME::EQUISCAN RESEARCH</t>
  </si>
  <si>
    <t>ACE Research &amp; Advisory</t>
  </si>
  <si>
    <t>INH000013280</t>
  </si>
  <si>
    <t>Amit Singla</t>
  </si>
  <si>
    <t>Shop no. 29, Ground Floor, , Citi Plaza Near Aggarsain Chowk,</t>
  </si>
  <si>
    <t>amitsingla.cpa@gmail.com</t>
  </si>
  <si>
    <t>AMBALA</t>
  </si>
  <si>
    <t>134003</t>
  </si>
  <si>
    <t>NAME::ACE RESEARCH ADVISORY</t>
  </si>
  <si>
    <t>VEETRADE RESEARCH ADVISORS PRIVATE LIMITED</t>
  </si>
  <si>
    <t>INH000013420</t>
  </si>
  <si>
    <t>SHUBHAM GEDAM</t>
  </si>
  <si>
    <t>Plot no.17, Giripeth opp RTO Office, , JB Thakkar Marg</t>
  </si>
  <si>
    <t>Veetraderesearchadvisors@gmail.com</t>
  </si>
  <si>
    <t>NAME::VEETRADE RESEARCH ADVISORS PRIVATE LIMITED</t>
  </si>
  <si>
    <t>GAAMA RESEARCH PRIVATE LIMITED</t>
  </si>
  <si>
    <t>INH000013509</t>
  </si>
  <si>
    <t>Shashikant  Nagar</t>
  </si>
  <si>
    <t>Shop 3 ,AKVN Complex,Madhumilan Square, Dewas</t>
  </si>
  <si>
    <t>researcher2337@gmail.com</t>
  </si>
  <si>
    <t>OFFICE NO 417. 4TH FLOOR SHEKHAR CENTRAL, AB Rd, Manorama Ganj</t>
  </si>
  <si>
    <t>NAME::GAAMA RESEARCH PRIVATE LIMITED</t>
  </si>
  <si>
    <t>Intrinsic Capital Advisors</t>
  </si>
  <si>
    <t>INH000013527</t>
  </si>
  <si>
    <t>Prateek Rathi</t>
  </si>
  <si>
    <t>FR-2, Parmeshwari Building 4th Floor,, Chatribari</t>
  </si>
  <si>
    <t>pratheiek@gmail.com</t>
  </si>
  <si>
    <t>GUWAHATI</t>
  </si>
  <si>
    <t>ASSAM</t>
  </si>
  <si>
    <t>781001</t>
  </si>
  <si>
    <t>FR-2, Parmeshwari Building 4th Floor, Chatribari</t>
  </si>
  <si>
    <t>NAME::INTRINSIC CAPITAL ADVISORS</t>
  </si>
  <si>
    <t>STOCKWIZ TECHNOLOGIES LLP</t>
  </si>
  <si>
    <t>INH000013925</t>
  </si>
  <si>
    <t>Parang Mehta</t>
  </si>
  <si>
    <t>C/O SUNIL MEHTA, Nr. DEEPAK X RAY CLINIC UMAID HPTL</t>
  </si>
  <si>
    <t>pmtrades2020@gmail.com</t>
  </si>
  <si>
    <t>NAME::STOCKWIZ TECHNOLOGIES LLP</t>
  </si>
  <si>
    <t>SUNGROW RESEARCH AND FINANCIAL SERVICES PRIVATE LIMITED</t>
  </si>
  <si>
    <t>INH000014067</t>
  </si>
  <si>
    <t>DIWAKAR GUPTA</t>
  </si>
  <si>
    <t>H. No. 465/15C, Dadiyapura, Near Bapu ka Tapu Medical</t>
  </si>
  <si>
    <t>sungrowresearch@gmail.com</t>
  </si>
  <si>
    <t>JHANSI</t>
  </si>
  <si>
    <t>284001</t>
  </si>
  <si>
    <t>NAME::SUNGROW RESEARCH AND FINANCIAL SERVICES PRIVATE LIMITED</t>
  </si>
  <si>
    <t>KRISHNA STREETBULLS PRIVATE LIMITED</t>
  </si>
  <si>
    <t>INH000014304</t>
  </si>
  <si>
    <t>MUKESHKUMAR CHAUDHARY</t>
  </si>
  <si>
    <t>MILKAT NO.- 137 PAIKI, SURVEY NO.- 79 PAIKI 2,, KRUSHNA NAGAR SOCIETY, AT- VAJEGADH, THARAD,</t>
  </si>
  <si>
    <t>MUKESHCHAUDHARY367@GMAIL.COM</t>
  </si>
  <si>
    <t>PALANPUR</t>
  </si>
  <si>
    <t>385565</t>
  </si>
  <si>
    <t>214, SECOND FLOOR, S 9 COMPLEX, OPP. BIHARI BAG,</t>
  </si>
  <si>
    <t>385001</t>
  </si>
  <si>
    <t>NAME::KRISHNA STREETBULLS PRIVATE LIMITED</t>
  </si>
  <si>
    <t>BS Investment</t>
  </si>
  <si>
    <t>INH000014386</t>
  </si>
  <si>
    <t>BHAVEN SHAH</t>
  </si>
  <si>
    <t>94/95 ,Somwar Ward, Gujrathi Panchayati Wada, Kapad Bazaar</t>
  </si>
  <si>
    <t>bsinvestmentadvisory@gmail.com</t>
  </si>
  <si>
    <t>MALEGAON</t>
  </si>
  <si>
    <t>423203</t>
  </si>
  <si>
    <t>NAME::BS INVESTMENT</t>
  </si>
  <si>
    <t>Supreme Research</t>
  </si>
  <si>
    <t>INH000015215</t>
  </si>
  <si>
    <t>316 LIG ,VIKAS NAGAR</t>
  </si>
  <si>
    <t>NAME::SUPREME RESEARCH</t>
  </si>
  <si>
    <t>INSIGHT RESEARCH ANALYTICS</t>
  </si>
  <si>
    <t>INH000015330</t>
  </si>
  <si>
    <t>Sujith S</t>
  </si>
  <si>
    <t>Door No 19 by 178C 4th Floor, Abhiman Tower, Chanthakunnu Junction, Irinjalakuda</t>
  </si>
  <si>
    <t>Sujithsuji109@gmail.com</t>
  </si>
  <si>
    <t>680121</t>
  </si>
  <si>
    <t>NAME::INSIGHT RESEARCH ANALYTICS</t>
  </si>
  <si>
    <t>Tycoon Research Analyst</t>
  </si>
  <si>
    <t>INH000015561</t>
  </si>
  <si>
    <t>Pallavi Raghuvanshi</t>
  </si>
  <si>
    <t>24 Jawahar nagar,Near AU bank, Opp. Dlstr1ct court AB Road</t>
  </si>
  <si>
    <t>raghuwanshirp66@gmail.com</t>
  </si>
  <si>
    <t>NAME::TYCOON RESEARCH ANALYST</t>
  </si>
  <si>
    <t>The Manifesto Research</t>
  </si>
  <si>
    <t>INH000015677</t>
  </si>
  <si>
    <t>Akshay  Jain</t>
  </si>
  <si>
    <t>GULATI BUILDING B-26/13, 3RD FLOOR, VED NAGAR, NEAR BANK OF INDIA, SANVER ROAD</t>
  </si>
  <si>
    <t>akshay.jain0410@gmail.com</t>
  </si>
  <si>
    <t>NAME::THE MANIFESTO RESEARCH</t>
  </si>
  <si>
    <t>SP RESEARCHVIA PRIVATE LIMITED</t>
  </si>
  <si>
    <t>INH000015808</t>
  </si>
  <si>
    <t>Praveen  Dubey</t>
  </si>
  <si>
    <t>129 A,Kalani Bagh, Above SBI bank,dewas</t>
  </si>
  <si>
    <t>researchvia28@gmail.com</t>
  </si>
  <si>
    <t>Apr 02, 2024</t>
  </si>
  <si>
    <t>NAME::SP RESEARCHVIA PRIVATE LIMITED</t>
  </si>
  <si>
    <t>MONKVESTOR RESEARCH ANALYST</t>
  </si>
  <si>
    <t>INH000015950</t>
  </si>
  <si>
    <t>Rahul  Gupta</t>
  </si>
  <si>
    <t>210, SARASWATI TOWER, CENTRAL SPINE OPP. AGRASEN HOSPITAL, VIDHYADHAR NAGAR</t>
  </si>
  <si>
    <t>01rahulgupta13@gmail.com</t>
  </si>
  <si>
    <t>302023</t>
  </si>
  <si>
    <t>NAME::MONKVESTOR RESEARCH ANALYST</t>
  </si>
  <si>
    <t>demystify capital markets</t>
  </si>
  <si>
    <t>INH000016065</t>
  </si>
  <si>
    <t>satish jat</t>
  </si>
  <si>
    <t>180/7, shastri nagar, gali no. 7, shastri nagar ujjain</t>
  </si>
  <si>
    <t>satish.jat0123@gmail.com</t>
  </si>
  <si>
    <t>NAME::DEMYSTIFY CAPITAL MARKETS</t>
  </si>
  <si>
    <t>BLUEMOON RESEARCH &amp; FINANCIAL SERVICES</t>
  </si>
  <si>
    <t>INH000016135</t>
  </si>
  <si>
    <t>SUDHANSU PANDA</t>
  </si>
  <si>
    <t>Baulachauka, Post- Jopan, Sata sankha, Via-Balanga, Pipli, Rupadeipur, Puri</t>
  </si>
  <si>
    <t>ma94noj@gmail.com</t>
  </si>
  <si>
    <t>752105</t>
  </si>
  <si>
    <t>NAME::BLUEMOON RESEARCH FINANCIAL SERVICES</t>
  </si>
  <si>
    <t>Katariya Research Analyst Group</t>
  </si>
  <si>
    <t>INH000016782</t>
  </si>
  <si>
    <t>MUKESH  KATARIYA</t>
  </si>
  <si>
    <t>Office No 45, First Floor, Shree Jay Khodiyar, Commercial Centre, Rajputpara Main Road,</t>
  </si>
  <si>
    <t>katariyaresearchgroup@gmail.com</t>
  </si>
  <si>
    <t>NAME::KATARIYA RESEARCH ANALYST GROUP</t>
  </si>
  <si>
    <t>Ethics Research</t>
  </si>
  <si>
    <t>INH000017754</t>
  </si>
  <si>
    <t>Ganesh Singh</t>
  </si>
  <si>
    <t>63 mayur vihar colony pandhana knandwa</t>
  </si>
  <si>
    <t>ethicsresearch8@gmail.com</t>
  </si>
  <si>
    <t>450661</t>
  </si>
  <si>
    <t>NAME::ETHICS RESEARCH</t>
  </si>
  <si>
    <t>SFP Research</t>
  </si>
  <si>
    <t>INH000018124</t>
  </si>
  <si>
    <t>KRISHNA SHARMA</t>
  </si>
  <si>
    <t>Shop No. 3 and 4 , Sunshine Comlex</t>
  </si>
  <si>
    <t>sfpresearch24@gmail.com</t>
  </si>
  <si>
    <t>SIKAR</t>
  </si>
  <si>
    <t>332001</t>
  </si>
  <si>
    <t>NAME::SFP RESEARCH</t>
  </si>
  <si>
    <t>ENAM ASSET MANAGEMENT CO.PVT.LTD</t>
  </si>
  <si>
    <t>INP000000225</t>
  </si>
  <si>
    <t>RASHMIKANT SHAH</t>
  </si>
  <si>
    <t>810, RAHEJA CHAMBERS, FPJ ROAD,, NARIMAN POINT,</t>
  </si>
  <si>
    <t>66291209</t>
  </si>
  <si>
    <t>810, RAHEJA CHAMBERS, FPJ ROAD, NARIMAN POINT,</t>
  </si>
  <si>
    <t>Jul 01, 2016</t>
  </si>
  <si>
    <t>missing_email</t>
  </si>
  <si>
    <t>NAME::ENAM ASSET MANAGEMENT CO PVT LTD</t>
  </si>
  <si>
    <t>firm_missing_email_needs_enrichment</t>
  </si>
  <si>
    <t>ANAND RATHI ADVISORS LIMITED</t>
  </si>
  <si>
    <t>INP000000282</t>
  </si>
  <si>
    <t>DEEPAK KEDIA</t>
  </si>
  <si>
    <t>EXPRESS ZONE  A- WING, 10TH FLOOR,, WESTERN EXPRESS HIGHWAY, GOREGAON (EAST)</t>
  </si>
  <si>
    <t>40013700</t>
  </si>
  <si>
    <t>4 th Floor, SILVER METRO POLIS, JAY COACH COMPOUND,OPP BIMBISAR NAGAR,GOREAGAON EAST</t>
  </si>
  <si>
    <t>Jul 01, 2014</t>
  </si>
  <si>
    <t>NAME::ANAND RATHI ADVISORS LIMITED</t>
  </si>
  <si>
    <t>KHANDWALA SECURITIES LTD</t>
  </si>
  <si>
    <t>INP000000340</t>
  </si>
  <si>
    <t>MR. JAGDISH MODI</t>
  </si>
  <si>
    <t>VIKAS BUILDING, GROUND FLOOR, GREEN STREET, FORT</t>
  </si>
  <si>
    <t>4076 7373</t>
  </si>
  <si>
    <t>VIKAS BUILDING, GROUND FLOOR, GREEN STREET, FORT,</t>
  </si>
  <si>
    <t>400 023</t>
  </si>
  <si>
    <t>NAME::KHANDWALA SECURITIES LTD</t>
  </si>
  <si>
    <t>DARASHAW &amp; COMPANY LTD</t>
  </si>
  <si>
    <t>INP000000431</t>
  </si>
  <si>
    <t>M.Bina Shah</t>
  </si>
  <si>
    <t>3,Rajesh Mansion, D.Vachha Road,Churchgate</t>
  </si>
  <si>
    <t>66306612/22652835</t>
  </si>
  <si>
    <t>1205/06, REGENT CHAMBER, NARIMAN POINT,</t>
  </si>
  <si>
    <t>Oct 16, 2015</t>
  </si>
  <si>
    <t>NAME::DARASHAW COMPANY LTD</t>
  </si>
  <si>
    <t>ATLAS INTEGRATED FINANCE LTD</t>
  </si>
  <si>
    <t>INP000000530</t>
  </si>
  <si>
    <t>Niesh Shah</t>
  </si>
  <si>
    <t>Office No.19 , Gopal Bhavan Bldg ,1st Floor, 199 Shamaldas Gandhi Marg,</t>
  </si>
  <si>
    <t>40600501</t>
  </si>
  <si>
    <t>403, Prospects Chambers, 317, Dr. D.N. Road, Fort, Mumbai</t>
  </si>
  <si>
    <t>NAME::ATLAS INTEGRATED FINANCE LTD</t>
  </si>
  <si>
    <t>ZEN WEALTH MANAGEMENT SERVICES LIMITED</t>
  </si>
  <si>
    <t>INP000000936</t>
  </si>
  <si>
    <t>ANASUYA SAHU</t>
  </si>
  <si>
    <t>6-3-788/32, 3RD FLOOR, VAMSEE ESTATE, OPP. CHANDANA BROS, AMEERPET</t>
  </si>
  <si>
    <t>914044232215</t>
  </si>
  <si>
    <t>Apr 01, 2016</t>
  </si>
  <si>
    <t>NAME::ZEN WEALTH MANAGEMENT SERVICES LIMITED</t>
  </si>
  <si>
    <t>BONANZA PORTFOLIO LIMITED</t>
  </si>
  <si>
    <t>INP000000985</t>
  </si>
  <si>
    <t>Mr. Manoj Kumar Goel</t>
  </si>
  <si>
    <t>4353/4C,MADAN MOHAN STREET, ANSARI ROAD, DARYAGANJ,</t>
  </si>
  <si>
    <t>02230863700</t>
  </si>
  <si>
    <t>Bonanza House, Plot No.M-2, Cama Indl. Estate,Walbhat Road,Goregoan (East),</t>
  </si>
  <si>
    <t>Jun 01, 2016</t>
  </si>
  <si>
    <t>NAME::BONANZA PORTFOLIO LIMITED</t>
  </si>
  <si>
    <t>BANYAN TREE ADVISORS PRIVATE LIMITED</t>
  </si>
  <si>
    <t>INP000001173</t>
  </si>
  <si>
    <t>RAMANAN VENKATESWARAN</t>
  </si>
  <si>
    <t>1155,12th Main,4th Cross, HAL 2nd Stage,Indira Nagar</t>
  </si>
  <si>
    <t>080 65686867</t>
  </si>
  <si>
    <t>2966, 12th Main, 4th Cross, HAL 2nd Stage, Indiranagar</t>
  </si>
  <si>
    <t>May 31, 2017</t>
  </si>
  <si>
    <t>NAME::BANYAN TREE ADVISORS PRIVATE LIMITED</t>
  </si>
  <si>
    <t>CHONA FINANCIAL SERVICES LTD</t>
  </si>
  <si>
    <t>INP000001199</t>
  </si>
  <si>
    <t>M.MURUGANANDAM</t>
  </si>
  <si>
    <t>46, PRAKASAM STREET, T NAGAR</t>
  </si>
  <si>
    <t>04442042222</t>
  </si>
  <si>
    <t>600 017</t>
  </si>
  <si>
    <t>NAME::CHONA FINANCIAL SERVICES LTD</t>
  </si>
  <si>
    <t>MILLENNIUM FINANCE LTD.</t>
  </si>
  <si>
    <t>INP000001447</t>
  </si>
  <si>
    <t>A V Koteshwara Rao</t>
  </si>
  <si>
    <t>402, MGR ESTATES,, BEHIND MODEL HOUSE, PANJAGUTTA,</t>
  </si>
  <si>
    <t>04066668679</t>
  </si>
  <si>
    <t>500 082</t>
  </si>
  <si>
    <t>402, MGR ESTATES, BEHIND MODEL HOUSE, PANJAGUTTA,</t>
  </si>
  <si>
    <t>Nov 01, 2014</t>
  </si>
  <si>
    <t>NAME::MILLENNIUM FINANCE LTD</t>
  </si>
  <si>
    <t>MASTER PORTFOLIO SERVICES LTD</t>
  </si>
  <si>
    <t>INP000001637</t>
  </si>
  <si>
    <t>RINKOO SAHOO</t>
  </si>
  <si>
    <t>704, 7th FLOOR, SEARS TOWER,, OPP. JUST DIAL TOWER, PANCHVATI TO GULBAI TEKRA ROAD</t>
  </si>
  <si>
    <t>911724848000</t>
  </si>
  <si>
    <t>SCO 22-23, SEC 9D</t>
  </si>
  <si>
    <t>NAME::MASTER PORTFOLIO SERVICES LTD</t>
  </si>
  <si>
    <t>INDSEC SECURITIES AND FINANCE LTD.</t>
  </si>
  <si>
    <t>INP000001892</t>
  </si>
  <si>
    <t>Mr. DIAMOND DAND</t>
  </si>
  <si>
    <t>301/302, "215 Atrium", A Wing, Andheri Kurla Road, Chakala, Andheri (East)</t>
  </si>
  <si>
    <t>61146107</t>
  </si>
  <si>
    <t>31/302, 215 ATRIUM, A WING, ANDHERI KURLA ROAD, CHAKALA, ANDHERI - EAST</t>
  </si>
  <si>
    <t>Dec 01, 2015</t>
  </si>
  <si>
    <t>NAME::INDSEC SECURITIES AND FINANCE LTD</t>
  </si>
  <si>
    <t>MONEYBEE SECURITIES PRIVATE LIMITED</t>
  </si>
  <si>
    <t>INP000001959</t>
  </si>
  <si>
    <t>Akshay Vora</t>
  </si>
  <si>
    <t>212 VEENA CHAMBERS, 21, DALAL STREET, FORT</t>
  </si>
  <si>
    <t>02240302010</t>
  </si>
  <si>
    <t>NAME::MONEYBEE SECURITIES PRIVATE LIMITED</t>
  </si>
  <si>
    <t>DALAL &amp; BROACHA STOCK BROKING PVT. LTD.</t>
  </si>
  <si>
    <t>INP000001975</t>
  </si>
  <si>
    <t>Chetan Mehta</t>
  </si>
  <si>
    <t>506 Maker Chambers V, 221 Nariman Point</t>
  </si>
  <si>
    <t>22822992</t>
  </si>
  <si>
    <t>506, Maker Chambers V, 221 Nariman Point</t>
  </si>
  <si>
    <t>Mar 15, 2016</t>
  </si>
  <si>
    <t>NAME::DALAL BROACHA STOCK BROKING PVT LTD</t>
  </si>
  <si>
    <t>IMPETUS ARTHASUTRA PRIVATE LIMITED</t>
  </si>
  <si>
    <t>INP000002130</t>
  </si>
  <si>
    <t>Shubankar Das</t>
  </si>
  <si>
    <t>Office No. 206, 2nd Floor, Atlanta Estate, Off. Goregoan-Mulund Link Road, GOREGOAN EAST</t>
  </si>
  <si>
    <t>02228491221</t>
  </si>
  <si>
    <t>5,YASHODHAM COMPLEX, FILMCITY ROAD, GOREGAON (E), MUMBAI</t>
  </si>
  <si>
    <t>May 01, 2016</t>
  </si>
  <si>
    <t>NAME::IMPETUS ARTHASUTRA PRIVATE LIMITED</t>
  </si>
  <si>
    <t>ELIXIR EQUITIES PVT. LTD.</t>
  </si>
  <si>
    <t>INP000002163</t>
  </si>
  <si>
    <t>Dipan Mehta</t>
  </si>
  <si>
    <t>508  APEEJAY HOUSE,  130  Mumbai  Samachar Marg , Fort</t>
  </si>
  <si>
    <t>61151919</t>
  </si>
  <si>
    <t>58, Mittal Chambers, 228, Nariman Point</t>
  </si>
  <si>
    <t>NAME::ELIXIR EQUITIES PVT LTD</t>
  </si>
  <si>
    <t>ALLEGRO SECURITIES PRIVATE LIMITED</t>
  </si>
  <si>
    <t>INP000002437</t>
  </si>
  <si>
    <t>Madhusudhan T R</t>
  </si>
  <si>
    <t>9th Floor, The Residency, No.2, Residency Road</t>
  </si>
  <si>
    <t>08060607888</t>
  </si>
  <si>
    <t>9th floor no 2 The Residency , Residency road</t>
  </si>
  <si>
    <t>Dec 05, 2016</t>
  </si>
  <si>
    <t>NAME::ALLEGRO SECURITIES PRIVATE LIMITED</t>
  </si>
  <si>
    <t>ASTUTE INVESTMENT MANAGEMENT PRIVATE LIMITED</t>
  </si>
  <si>
    <t>INP000002536</t>
  </si>
  <si>
    <t>Ramesh Purohit</t>
  </si>
  <si>
    <t>79, Nariman Bhavan, Nariman Point</t>
  </si>
  <si>
    <t>22872646 / 47</t>
  </si>
  <si>
    <t>NAME::ASTUTE INVESTMENT MANAGEMENT PRIVATE LIMITED</t>
  </si>
  <si>
    <t>SYSTEMATIX SHARES AND STOCKS (INDIA) LIMITED</t>
  </si>
  <si>
    <t>INP000002692</t>
  </si>
  <si>
    <t>The Capital  A wing  No  603  606, 6th Floor  Plot C 70 G Block Bandra Kurla Complex Bandra East</t>
  </si>
  <si>
    <t>02230298000</t>
  </si>
  <si>
    <t>J K SOMANI BUILDING, BRITISH HOTEL LANE, BOMBAY SAMACHAR MARG, FORT</t>
  </si>
  <si>
    <t>May 13, 2017</t>
  </si>
  <si>
    <t>NAME::SYSTEMATIX SHARES AND STOCKS INDIA LIMITED</t>
  </si>
  <si>
    <t>SECURITIES INVESTMENT MANAGEMENT PRIVATE LIMITED</t>
  </si>
  <si>
    <t>INP000002940</t>
  </si>
  <si>
    <t>Nirali Shah</t>
  </si>
  <si>
    <t>112/B, Andheri Industrial Estate, Off Veera Desai Road, Andheri West</t>
  </si>
  <si>
    <t>32650139, 26731567</t>
  </si>
  <si>
    <t>NAME::SECURITIES INVESTMENT MANAGEMENT PRIVATE LIMITED</t>
  </si>
  <si>
    <t>INP000002981</t>
  </si>
  <si>
    <t>Samir P Kamdar</t>
  </si>
  <si>
    <t>B2 302 Marathon Innova, Ganpatrao Kadam Marg Peninsula Corporate Park Lower Parel West</t>
  </si>
  <si>
    <t>30272324</t>
  </si>
  <si>
    <t>B2, 301&amp;302, Marathon Innova, Lower Parel</t>
  </si>
  <si>
    <t>400016</t>
  </si>
  <si>
    <t>Oct 21, 2014</t>
  </si>
  <si>
    <t>NAME::NIRMAL BANG SECURITIES PRIVATE LIMITED</t>
  </si>
  <si>
    <t>DYNAMIC EQUITIES PRIVATE LIMITED</t>
  </si>
  <si>
    <t>INP000003468</t>
  </si>
  <si>
    <t>MS. DOLLY DHAVLE</t>
  </si>
  <si>
    <t>"Technopolis" 14th floor, Plot No. BP4, Sector-V, Saltlake</t>
  </si>
  <si>
    <t>033  30010000</t>
  </si>
  <si>
    <t>Technopolis 14th Floor, Plot No.BP4, Sector-V, Saltlake</t>
  </si>
  <si>
    <t>Nov 16, 2015</t>
  </si>
  <si>
    <t>NAME::DYNAMIC EQUITIES PRIVATE LIMITED</t>
  </si>
  <si>
    <t>INP000003476</t>
  </si>
  <si>
    <t>SINI RALPH</t>
  </si>
  <si>
    <t>1205, Dalamal Tower, NARIMAN POINT</t>
  </si>
  <si>
    <t>04843040400</t>
  </si>
  <si>
    <t>Nov 26, 2015</t>
  </si>
  <si>
    <t>NAME::HEDGE EQUITIES LTD</t>
  </si>
  <si>
    <t>NJ ASSET MANAGEMENT PRIVATE LIMITED</t>
  </si>
  <si>
    <t>INP000003518</t>
  </si>
  <si>
    <t>VARSHA SARAF</t>
  </si>
  <si>
    <t>BLOCK NO. 601, 3RD FLOOR, C TOWER, UDHNAUDYOGNAGAR SANGH COMMERCIAL COMPLEXCENTRAL ROAD N0, .10, UDHNA</t>
  </si>
  <si>
    <t>91222613985965</t>
  </si>
  <si>
    <t>BLOCK NO.901,6TH FLOOR, B TOWER, UDHNA UDYOGNAGAR SANGH COMMERCIAL COMPLEX, CENTRAL ROAD NO.10, UDHNA</t>
  </si>
  <si>
    <t>Dec 22, 2015</t>
  </si>
  <si>
    <t>NAME::NJ ASSET MANAGEMENT PRIVATE LIMITED</t>
  </si>
  <si>
    <t>HARMONEY FINSERV INDIA PRIVATE LIMITED</t>
  </si>
  <si>
    <t>INP000003898</t>
  </si>
  <si>
    <t>Kannan Ramadass</t>
  </si>
  <si>
    <t>78 2ND FLOOR RIGHT WING 11TH MAIN 14TH CROSS, 6TH SECTOR HSR LAYOUT</t>
  </si>
  <si>
    <t>08025725820</t>
  </si>
  <si>
    <t>R/A, 180, UNIT II, GROUND FLOOR, 8TH MAIN, 14TH B CROSS, 6TH SECTOR HSR LAYOUT</t>
  </si>
  <si>
    <t>Oct 20, 2016</t>
  </si>
  <si>
    <t>NAME::HARMONEY FINSERV INDIA PRIVATE LIMITED</t>
  </si>
  <si>
    <t>REVELATION PORTFOLIO MANAGEMENT PVT. LTD.</t>
  </si>
  <si>
    <t>INP000004003</t>
  </si>
  <si>
    <t>MANISH B. SHAH</t>
  </si>
  <si>
    <t>60, WARDEN COURT,, 79/81, AUGUST KRANTI MARG,</t>
  </si>
  <si>
    <t>02222840094</t>
  </si>
  <si>
    <t>302, DALAMAL TOWER, 211, FREE PRESS JOURNAL MARG, NARIMAN POINT,</t>
  </si>
  <si>
    <t>Mar 23, 2017</t>
  </si>
  <si>
    <t>NAME::REVELATION PORTFOLIO MANAGEMENT PVT LTD</t>
  </si>
  <si>
    <t>INP000004094</t>
  </si>
  <si>
    <t>DWARIKA PRASAD SINGH</t>
  </si>
  <si>
    <t>E DHANUR, 15, SIR P.M. ROAD, , FORT,</t>
  </si>
  <si>
    <t>02228264297</t>
  </si>
  <si>
    <t>Jan 05, 2017</t>
  </si>
  <si>
    <t>NAME::VENTURA SECURITIES LIMITED</t>
  </si>
  <si>
    <t>CARE PORTFOLIO MANAGERS PRIVATE LIMITED</t>
  </si>
  <si>
    <t>INP000004128</t>
  </si>
  <si>
    <t>Arpit Shah</t>
  </si>
  <si>
    <t>201, SILVER HEIGHTS, 51ST ROAD,T.P.S. III,, NEAR VIR SAVARKAR UDYAN, BORIVALI WEST,</t>
  </si>
  <si>
    <t>28081218</t>
  </si>
  <si>
    <t>Jun 30, 2014</t>
  </si>
  <si>
    <t>NAME::CARE PORTFOLIO MANAGERS PRIVATE LIMITED</t>
  </si>
  <si>
    <t>Piramal Fund Management Private Limited</t>
  </si>
  <si>
    <t>INP000004136</t>
  </si>
  <si>
    <t>Sachin Deodhar</t>
  </si>
  <si>
    <t>Ground Floor Piramal Tower A , Peninsula Corporate Park, Lower Parel</t>
  </si>
  <si>
    <t>02261513404</t>
  </si>
  <si>
    <t>Ground Floor Piramal Tower A , Peninsula Corporate Park Lower Parel</t>
  </si>
  <si>
    <t>Sep 15, 2014</t>
  </si>
  <si>
    <t>NAME::PIRAMAL FUND MANAGEMENT PRIVATE LIMITED</t>
  </si>
  <si>
    <t>SHADE CAPITAL PRIVATE LIMITED</t>
  </si>
  <si>
    <t>INP000004185</t>
  </si>
  <si>
    <t>Umapati</t>
  </si>
  <si>
    <t>S68 GROUND FLOOR, PANCHSHEEL PARK MALVIYA NAGAR</t>
  </si>
  <si>
    <t>+91 11 26932901</t>
  </si>
  <si>
    <t>154, Tribhuvan Complex,Ishwar Nagar,Mathura Road</t>
  </si>
  <si>
    <t>Jan 02, 2015</t>
  </si>
  <si>
    <t>NAME::SHADE CAPITAL PRIVATE LIMITED</t>
  </si>
  <si>
    <t>BANYAN CAPITAL ADVISORS LLP</t>
  </si>
  <si>
    <t>INP000004243</t>
  </si>
  <si>
    <t>Anoop Kumar</t>
  </si>
  <si>
    <t>D-51, Gulmohar Park</t>
  </si>
  <si>
    <t>01204216200</t>
  </si>
  <si>
    <t>B-1, 2nd Floor, Sector - 57</t>
  </si>
  <si>
    <t>Feb 08, 2015</t>
  </si>
  <si>
    <t>NAME::BANYAN CAPITAL ADVISORS LLP</t>
  </si>
  <si>
    <t>TRUSTLINE SECURITIES LIMITED</t>
  </si>
  <si>
    <t>INP000004268</t>
  </si>
  <si>
    <t>AMIT GOEL</t>
  </si>
  <si>
    <t>01204663333</t>
  </si>
  <si>
    <t>TRUSTLINE TOWER, B-3, , SECTOR-3</t>
  </si>
  <si>
    <t>0120</t>
  </si>
  <si>
    <t>Feb 28, 2015</t>
  </si>
  <si>
    <t>NAME::TRUSTLINE SECURITIES LIMITED</t>
  </si>
  <si>
    <t>GHALLA BHANSALI STOCK BROKERS PRIVATE LIMITED</t>
  </si>
  <si>
    <t>INP000004334</t>
  </si>
  <si>
    <t>SWATI RAJAPKAR</t>
  </si>
  <si>
    <t>DEVANSH, 133, D.S.P. ROAD, NEAR RANJIT STUDIOS, DADAR (E)</t>
  </si>
  <si>
    <t>40497000</t>
  </si>
  <si>
    <t>400014</t>
  </si>
  <si>
    <t>DEVANSH, 133, D.S.P. ROAD, , NEAR RANJIT STUDIOS, DADAR (E)</t>
  </si>
  <si>
    <t>Jul 04, 2015</t>
  </si>
  <si>
    <t>NAME::GHALLA BHANSALI STOCK BROKERS PRIVATE LIMITED</t>
  </si>
  <si>
    <t>PHILLIPCAPITAL (INDIA) PRIVATE LIMITED</t>
  </si>
  <si>
    <t>INP000004433</t>
  </si>
  <si>
    <t>Sandeep Gupta</t>
  </si>
  <si>
    <t>2nd Floor, C Block, Modern Centre, Jacob Circle, 101 K K Marg, Mahalaxmi</t>
  </si>
  <si>
    <t>23002999</t>
  </si>
  <si>
    <t>Jan 29, 2016</t>
  </si>
  <si>
    <t>NAME::PHILLIPCAPITAL INDIA PRIVATE LIMITED</t>
  </si>
  <si>
    <t>TAURUS TREASURY MANAGEMENT SERVICES PRIVATE LIMITED</t>
  </si>
  <si>
    <t>INP000004490</t>
  </si>
  <si>
    <t>Mrs. Deepali Vaidya</t>
  </si>
  <si>
    <t>202, Cosmos Court, Opp. IOCL Petrol Pump, S. V. Road, Vile Parle West</t>
  </si>
  <si>
    <t>61471177</t>
  </si>
  <si>
    <t>201, Cosmos Court, Opp. IOCL Petrol Pump, S. V. Road, Vile Parle West</t>
  </si>
  <si>
    <t>Sep 11, 2016</t>
  </si>
  <si>
    <t>NAME::TAURUS TREASURY MANAGEMENT SERVICES PRIVATE LIMITED</t>
  </si>
  <si>
    <t>KUNVARJI FINSTOCK PRIVATE LIMITED</t>
  </si>
  <si>
    <t>INP000004540</t>
  </si>
  <si>
    <t>HIMANJAL BRAHMBHATT</t>
  </si>
  <si>
    <t>BLOCK B, FIRST FLOOR, SIDDHIVINAYAK TOWERS, OFF S.G.HIGHWAY ROAD, MAKARBA</t>
  </si>
  <si>
    <t>Aug 21, 2014</t>
  </si>
  <si>
    <t>NAME::KUNVARJI FINSTOCK PRIVATE LIMITED</t>
  </si>
  <si>
    <t>VAL-Q INVESTMENT ADVISORY PRIVATE LIMITED</t>
  </si>
  <si>
    <t>INP000004581</t>
  </si>
  <si>
    <t>Yesha Shah</t>
  </si>
  <si>
    <t>603 , Balarama , Bandra Kurla Complex , Bandra EAST</t>
  </si>
  <si>
    <t>9870404494</t>
  </si>
  <si>
    <t>301, Madhava, Bandra Kurla Complex, Bandra (E)</t>
  </si>
  <si>
    <t>Dec 05, 2014</t>
  </si>
  <si>
    <t>NAME::VAL Q INVESTMENT ADVISORY PRIVATE LIMITED</t>
  </si>
  <si>
    <t>SIRIUS ADVISORS PRIVATE LIMITED</t>
  </si>
  <si>
    <t>INP000004615</t>
  </si>
  <si>
    <t>Chirag Y Shah</t>
  </si>
  <si>
    <t>Office No.401, 4th Floor, Maker Chamber V, Plot No.221,, Backbay Reclamation, Nariman Point,</t>
  </si>
  <si>
    <t>912222840216/17</t>
  </si>
  <si>
    <t>Office No.401, 4th Floor, Maker Chamber V, Plot No.221, Backbay Reclamation, Nariman Point</t>
  </si>
  <si>
    <t>NAME::SIRIUS ADVISORS PRIVATE LIMITED</t>
  </si>
  <si>
    <t>INP000004623</t>
  </si>
  <si>
    <t>Mr. Sudipto Datta</t>
  </si>
  <si>
    <t>VAIBHAV, 5TH FLOOR, 4, LEE ROAD</t>
  </si>
  <si>
    <t>033 3051 5401</t>
  </si>
  <si>
    <t>Vaibhav, 5th Floor, 4, Lee Road</t>
  </si>
  <si>
    <t>Jan 14, 2015</t>
  </si>
  <si>
    <t>NAME::SMIFS LIMITED</t>
  </si>
  <si>
    <t>TRIVANTAGE CAPITAL MANAGMENT INDIA PRIVATE LIMITED</t>
  </si>
  <si>
    <t>INP000004656</t>
  </si>
  <si>
    <t>Shridhar Iyer</t>
  </si>
  <si>
    <t>Flat No. 2005, The Imperial Tower North, B B Nakashe Marg,, M P Hill Compound, Tardeo</t>
  </si>
  <si>
    <t>9820410421</t>
  </si>
  <si>
    <t>Office No. 1135, Regus Midtown Business Centre, , Level 11, Tower B, Peninsula Business Park, S B Road, Lower Parel</t>
  </si>
  <si>
    <t>Jan 29, 2015</t>
  </si>
  <si>
    <t>NAME::TRIVANTAGE CAPITAL MANAGMENT INDIA PRIVATE LIMITED</t>
  </si>
  <si>
    <t>INP000004680</t>
  </si>
  <si>
    <t>Chetan Karia</t>
  </si>
  <si>
    <t>1/2 Athena House,Rajnigandha Complex,Gen A.K.Vaidya Marg, Gokuldham,Filmcity Road,Goregaon east</t>
  </si>
  <si>
    <t>02242173030</t>
  </si>
  <si>
    <t>NAME::ASIAN MARKETS SECURITIES PRIVATE LIMITED</t>
  </si>
  <si>
    <t>A C CHOKSI SHARE BROKERS PRIVATE LIMITED</t>
  </si>
  <si>
    <t>INP000004730</t>
  </si>
  <si>
    <t>ASHVIN C CHOKSI</t>
  </si>
  <si>
    <t>II ITTS HOUSE, 33 SRI SAI BABA MARG,, KALAGHODA, FORT.</t>
  </si>
  <si>
    <t>02261595100</t>
  </si>
  <si>
    <t>II ITTS HOUSE, 33 SRI SAI BABA MARG, KALAGHODA, FORT.</t>
  </si>
  <si>
    <t>NAME::A C CHOKSI SHARE BROKERS PRIVATE LIMITED</t>
  </si>
  <si>
    <t>ALDER CAPITAL ADVISORS LLP</t>
  </si>
  <si>
    <t>INP000004771</t>
  </si>
  <si>
    <t>Hemant Bhaskar Patel</t>
  </si>
  <si>
    <t>503 Morya Blue Moon, New Link Road, , Andheri West</t>
  </si>
  <si>
    <t>40127009</t>
  </si>
  <si>
    <t>503 Morya Blue Moon, New Link Road, `, Andheri West</t>
  </si>
  <si>
    <t>NAME::ALDER CAPITAL ADVISORS LLP</t>
  </si>
  <si>
    <t>ACEPRO ADVISORS PRIVATE LIMITED</t>
  </si>
  <si>
    <t>INP000004854</t>
  </si>
  <si>
    <t>Nikhil Arya</t>
  </si>
  <si>
    <t>401 4th Floor Manek Plaza , 167 Vidyanagari Marg Kalina Santacruz E</t>
  </si>
  <si>
    <t>26528671</t>
  </si>
  <si>
    <t>159/11, Amar Brass Compound, Vidya Nagri Marg, Kalina, Santacruz (East)</t>
  </si>
  <si>
    <t>NAME::ACEPRO ADVISORS PRIVATE LIMITED</t>
  </si>
  <si>
    <t>Oaks Asset Management Private Limited</t>
  </si>
  <si>
    <t>INP000004888</t>
  </si>
  <si>
    <t>SANDEEP SOMANI</t>
  </si>
  <si>
    <t>56, MAKER CHAMBER VI, NARIMAN POINT</t>
  </si>
  <si>
    <t>29666869</t>
  </si>
  <si>
    <t>8, FLOOR-3,PLOT-6, 2 BRADY HOUSE,SORAB BARUCHA ROAD</t>
  </si>
  <si>
    <t>Oct 06, 2015</t>
  </si>
  <si>
    <t>NAME::OAKS ASSET MANAGEMENT PRIVATE LIMITED</t>
  </si>
  <si>
    <t>BASANT MAHESHWARI WEALTH ADVISERS LLP</t>
  </si>
  <si>
    <t>INP000004946</t>
  </si>
  <si>
    <t>Shalu Mehra</t>
  </si>
  <si>
    <t>+91(33) 66252088</t>
  </si>
  <si>
    <t>Raikva 3rd Floor Office 3B 3A Ram Mohan Mullick, Garden Lane, On EM Bypass, Beliaghata</t>
  </si>
  <si>
    <t>700010</t>
  </si>
  <si>
    <t>NAME::BASANT MAHESHWARI WEALTH ADVISERS LLP</t>
  </si>
  <si>
    <t>M/S JHP SECURITIES PRIVATE LIMITED</t>
  </si>
  <si>
    <t>INP000004953</t>
  </si>
  <si>
    <t>Shubhangi Balkrishna Nevase</t>
  </si>
  <si>
    <t>201 by B DEV NEO VIKRAM SAHAKAR NAGAR ABOVE AUDI SHOWROOM, NEW LINK ROAD ANDHERI W</t>
  </si>
  <si>
    <t>912240824242</t>
  </si>
  <si>
    <t>Gokul Emerald 2nd Floor Next to Videocon Tower, Thakur Complex Kandivali E</t>
  </si>
  <si>
    <t>NAME::M S JHP SECURITIES PRIVATE LIMITED</t>
  </si>
  <si>
    <t>JAIN INVESTMENT ADVISORS PVT. LTD</t>
  </si>
  <si>
    <t>INP000004979</t>
  </si>
  <si>
    <t>HUSEAIN KAIZER BHARUCHWALA</t>
  </si>
  <si>
    <t>01 &amp; 02,Andheri Anurag,, Bhardawadi,Near ICICI Colony, Andheri West,Mumbai</t>
  </si>
  <si>
    <t>02266898307</t>
  </si>
  <si>
    <t>01 &amp; 02,Andheri Anurag,Bhardawadi , Near ICICI Colony,Andheri West</t>
  </si>
  <si>
    <t>Jan 05, 2016</t>
  </si>
  <si>
    <t>NAME::JAIN INVESTMENT ADVISORS PVT LTD</t>
  </si>
  <si>
    <t>QUANT PORTFOLIO MANAGERS PRIVATE LIMITED</t>
  </si>
  <si>
    <t>INP000005042</t>
  </si>
  <si>
    <t>02240880100</t>
  </si>
  <si>
    <t>612-617, 6th Floor, Maker Chambers IV, Nariman Point Mumbai</t>
  </si>
  <si>
    <t>Mar 29, 2016</t>
  </si>
  <si>
    <t>NAME::QUANT PORTFOLIO MANAGERS PRIVATE LIMITED</t>
  </si>
  <si>
    <t>QED CAPITAL ADVISORS LLP</t>
  </si>
  <si>
    <t>INP000005075</t>
  </si>
  <si>
    <t>Benny Gupta</t>
  </si>
  <si>
    <t>104, RAJAN HOUSE, APPASAHEB MARATHE MARG, Prabhadevi</t>
  </si>
  <si>
    <t>24228497</t>
  </si>
  <si>
    <t>23, Mamta D, Appasaheb Marathe Marg, Prabhadevi</t>
  </si>
  <si>
    <t>NAME::QED CAPITAL ADVISORS LLP</t>
  </si>
  <si>
    <t>Finvest Solutions</t>
  </si>
  <si>
    <t>INH000021906</t>
  </si>
  <si>
    <t>Manisha Verma</t>
  </si>
  <si>
    <t>H No 27 First Floor, Sarandhra Nagar Hansari</t>
  </si>
  <si>
    <t>finvestresearch@gmail.com</t>
  </si>
  <si>
    <t>008858534674</t>
  </si>
  <si>
    <t>284135</t>
  </si>
  <si>
    <t>NAME::FINVEST SOLUTIONS</t>
  </si>
  <si>
    <t>LOGIC TRADE ENTERPRISES</t>
  </si>
  <si>
    <t>INH000023524</t>
  </si>
  <si>
    <t>SHUBHAM GOYAL</t>
  </si>
  <si>
    <t>54-219, Heera Path Mansarovar</t>
  </si>
  <si>
    <t>logictradenew@gmail.com</t>
  </si>
  <si>
    <t>917611888219</t>
  </si>
  <si>
    <t>Oct 01, 2025</t>
  </si>
  <si>
    <t>NAME::LOGIC TRADE ENTERPRISES</t>
  </si>
  <si>
    <t>CAPSTOCKS AND SECURITIES (INDIA) PRIVATE</t>
  </si>
  <si>
    <t>INP000001066</t>
  </si>
  <si>
    <t>Amjad Hydari M</t>
  </si>
  <si>
    <t>T.C.28/2023 , CAPSTOCKS TOWERS,, THAKARAPARAMBU ROAD,FORT</t>
  </si>
  <si>
    <t>9847232322</t>
  </si>
  <si>
    <t>T.C 28/1520(2), First Floor, Opp IOB Bank, Thakaraparambu Road, Fort P.O,</t>
  </si>
  <si>
    <t>Sep 16, 2016</t>
  </si>
  <si>
    <t>NAME::CAPSTOCKS AND SECURITIES INDIA PRIVATE</t>
  </si>
  <si>
    <t>TRADING BRAIN 4U</t>
  </si>
  <si>
    <t>INH000009418</t>
  </si>
  <si>
    <t>NAVED AHMED ANSARI</t>
  </si>
  <si>
    <t>Office No. 124, B Wing, 12th Floor, Mittal Tower, Nariman Point, Fort,</t>
  </si>
  <si>
    <t>ansarinaved86@gmail.com</t>
  </si>
  <si>
    <t>NAME::TRADING BRAIN 4U</t>
  </si>
  <si>
    <t>FINSTOCK SOLUTIONS</t>
  </si>
  <si>
    <t>INH000018364</t>
  </si>
  <si>
    <t>RAGHAVENDRA T</t>
  </si>
  <si>
    <t>No.5, 1st Floor, 1st Cross, Industrial Area,, Nayanappa Shetty Palya (N.S Palya)</t>
  </si>
  <si>
    <t>rmainak70@gmail.com</t>
  </si>
  <si>
    <t>No.5, 1st Floor, 1st Cross, Industrial Area, Nayanappa Shetty Palya (N.S Palya)</t>
  </si>
  <si>
    <t>NAME::FINSTOCK SOLUTIONS</t>
  </si>
  <si>
    <t>EQUITY INTELLIGENCE INDIA PVT. LTD.</t>
  </si>
  <si>
    <t>INP000000787</t>
  </si>
  <si>
    <t>MR.ABHILASH VARGHESE</t>
  </si>
  <si>
    <t>5th Floor, Areekal Mansion, Manorama Jn. Main Avenue, Panampilly Nagar</t>
  </si>
  <si>
    <t>04842323232</t>
  </si>
  <si>
    <t>5th Floor, Areekal Mansion, Manorama Jn., Main Avenue, Panampilly Nagar</t>
  </si>
  <si>
    <t>NAME::EQUITY INTELLIGENCE INDIA PVT LTD</t>
  </si>
  <si>
    <t>NKD AND ASSOCIATES</t>
  </si>
  <si>
    <t>INH000010593</t>
  </si>
  <si>
    <t>NEWTON DHAR</t>
  </si>
  <si>
    <t>Khiroda Manhattan mahanam brata sarani, RAMNAGAR</t>
  </si>
  <si>
    <t>csnewtondhar@gmail.com</t>
  </si>
  <si>
    <t>788003</t>
  </si>
  <si>
    <t>NAME::NKD AND ASSOCIATES</t>
  </si>
  <si>
    <t>THE CHARTERED SOLUTIONS</t>
  </si>
  <si>
    <t>INH000013703</t>
  </si>
  <si>
    <t>Anubhav Sharma</t>
  </si>
  <si>
    <t>Office No G-01, Bhairav Tower, Near Choudhary MRF Tyre showroom, Jaipur Road, CHOMU, JAIPUR</t>
  </si>
  <si>
    <t>Anubhavdaluka@gmail.com</t>
  </si>
  <si>
    <t>303702</t>
  </si>
  <si>
    <t>NAME::THE CHARTERED SOLUTIONS</t>
  </si>
  <si>
    <t>Candor Consulting Services</t>
  </si>
  <si>
    <t>INH000017000</t>
  </si>
  <si>
    <t>Deepak Wadhwa</t>
  </si>
  <si>
    <t>T 3 23, MCC Signature Homes, Raj Nagar Extension</t>
  </si>
  <si>
    <t>ccs.candor@gmail.com</t>
  </si>
  <si>
    <t>201001</t>
  </si>
  <si>
    <t>NAME::CANDOR CONSULTING SERVICES</t>
  </si>
  <si>
    <t>VK Wealthwise &amp; Associates</t>
  </si>
  <si>
    <t>INH000017620</t>
  </si>
  <si>
    <t>Vatsal Khemka</t>
  </si>
  <si>
    <t>SU 1 Riddhi Siddhi Enclave 1st</t>
  </si>
  <si>
    <t>vatsalkhemka2001@gmail.com</t>
  </si>
  <si>
    <t>335001</t>
  </si>
  <si>
    <t>NAME::VK WEALTHWISE ASSOCIATES</t>
  </si>
  <si>
    <t>VARAAHI WEALTH ACADEMY &amp; RESEARCH ANALYST PRIVATE LIMITED</t>
  </si>
  <si>
    <t>INH000023603</t>
  </si>
  <si>
    <t>SEKAR  RAHINI</t>
  </si>
  <si>
    <t>No. 2&amp;3, R T Nagar, Alagpuram,, Salem,</t>
  </si>
  <si>
    <t>636004</t>
  </si>
  <si>
    <t>NAME::VARAAHI WEALTH ACADEMY RESEARCH ANALYST PRIVATE LIMITED</t>
  </si>
  <si>
    <t>UJVIN NEVATIA (PROPRIETOR: NEVAT INVESTMENTS)</t>
  </si>
  <si>
    <t>INH100009628</t>
  </si>
  <si>
    <t>Ujvin Nevatia</t>
  </si>
  <si>
    <t>HOUSE NUMBER 270, VISHAL NAGAR, PHASE 2, STREET 1(A/3), NEAR MITTAL CITY MALL, BATHINDA</t>
  </si>
  <si>
    <t>May 20, 2022</t>
  </si>
  <si>
    <t>INP000008950</t>
  </si>
  <si>
    <t>Krishna Jakkula</t>
  </si>
  <si>
    <t>IndiQube Sapphire,2nd Floor,No73,1,StMarks Road,Bangalore</t>
  </si>
  <si>
    <t>krishna@fisdom.com</t>
  </si>
  <si>
    <t>910229820178911</t>
  </si>
  <si>
    <t>17th Floor VIOS Tower Off Eastern Express Highway, Near Anik Nagar Bus Depot Sewri Chembur Road</t>
  </si>
  <si>
    <t>May 26, 2026</t>
  </si>
  <si>
    <t>inactive_or_expired_registration</t>
  </si>
  <si>
    <t>Do not target in first campaign</t>
  </si>
  <si>
    <t>NARNOLIA  FINANCIAL SERVICES LTD</t>
  </si>
  <si>
    <t>INP000006420</t>
  </si>
  <si>
    <t>NAME::NARNOLIA FINANCIAL SERVICES LTD</t>
  </si>
  <si>
    <t>inactive_or_expired_registration; no_contact_channel</t>
  </si>
  <si>
    <t>AAKANKSHA GUPTA</t>
  </si>
  <si>
    <t>INH000013457</t>
  </si>
  <si>
    <t>D 116, Crystal Plaza, New Link Road, opposite Infiniti Mall, Andheri West</t>
  </si>
  <si>
    <t>aakanshauptti@gmail.com</t>
  </si>
  <si>
    <t>NAME::AAKANKSHA GUPTA</t>
  </si>
  <si>
    <t>individual_free_email_low_priority</t>
  </si>
  <si>
    <t>ABHIJIT DHAR</t>
  </si>
  <si>
    <t>INH000028228</t>
  </si>
  <si>
    <t>PLOT-DF-157,PRE-15-0352 AA-ID,NEW, TOWN,KOLKATA, NORTH 24 PARGANAS</t>
  </si>
  <si>
    <t>ca.abhijitdhar1@gmail.com</t>
  </si>
  <si>
    <t>919748176461</t>
  </si>
  <si>
    <t>NAME::ABHIJIT DHAR</t>
  </si>
  <si>
    <t>ABHIJIT PANDURANG PATIL</t>
  </si>
  <si>
    <t>INH000021304</t>
  </si>
  <si>
    <t>ABHIJIT PATIL</t>
  </si>
  <si>
    <t>Office No B4 5 Omkar Plaza, Rajaram Road Bagal Chowk Kolhapur</t>
  </si>
  <si>
    <t>abhipatilca@hotmail.com</t>
  </si>
  <si>
    <t>919970101402</t>
  </si>
  <si>
    <t>416001</t>
  </si>
  <si>
    <t>NAME::ABHIJIT PANDURANG PATIL</t>
  </si>
  <si>
    <t>ABHISHEK NANDAN</t>
  </si>
  <si>
    <t>INH000009463</t>
  </si>
  <si>
    <t>Abhishek Nandan</t>
  </si>
  <si>
    <t>132 Gayatri Nagar -A, Maharani Farm, Durgapura</t>
  </si>
  <si>
    <t>analystabhishek7@gmail.com</t>
  </si>
  <si>
    <t>919503018865</t>
  </si>
  <si>
    <t>May 09, 2022</t>
  </si>
  <si>
    <t>NAME::ABHISHEK NANDAN</t>
  </si>
  <si>
    <t>ADARSH NIMBORKAR</t>
  </si>
  <si>
    <t>INA000019789</t>
  </si>
  <si>
    <t>49, PRASAD NAGAR, JAITALA ROAD, NAGPUR CITY, MAHARASHTRA</t>
  </si>
  <si>
    <t>ADARSHMNIMBORKAR99@GMAIL.COM</t>
  </si>
  <si>
    <t>919130997271</t>
  </si>
  <si>
    <t>440022</t>
  </si>
  <si>
    <t>NAME::ADARSH NIMBORKAR</t>
  </si>
  <si>
    <t>ADITYA BATTU</t>
  </si>
  <si>
    <t>INH000027946</t>
  </si>
  <si>
    <t>H No- 67, Pleasant Ville, Krcr Harithavanam Colony,, Bachupally, Hyderabad, Medchal Malkajgiri</t>
  </si>
  <si>
    <t>adityabattu24@gmail.com</t>
  </si>
  <si>
    <t>00008861161132</t>
  </si>
  <si>
    <t>500090</t>
  </si>
  <si>
    <t>H No- 67, Pleasant Ville, Krcr Harithavanam Colony, Bachupally, Hyderabad, Medchal Malkajgiri</t>
  </si>
  <si>
    <t>NAME::ADITYA BATTU</t>
  </si>
  <si>
    <t>ADITYA PRADIP NAGORI</t>
  </si>
  <si>
    <t>INH000027131</t>
  </si>
  <si>
    <t>ADITYA  NAGORI</t>
  </si>
  <si>
    <t>Plot No. 350, Ward 5A, Near Vinayak Hospital, Adipur</t>
  </si>
  <si>
    <t>championtradersindia@gmail.com</t>
  </si>
  <si>
    <t>GANDHIDHAM</t>
  </si>
  <si>
    <t>370205</t>
  </si>
  <si>
    <t>NAME::ADITYA PRADIP NAGORI</t>
  </si>
  <si>
    <t>ADITYA SAKHARAM JADHAV</t>
  </si>
  <si>
    <t>INA000022729</t>
  </si>
  <si>
    <t>ADITYA JADHAV</t>
  </si>
  <si>
    <t>43 Golden Bamboo CHS,, Orchids Complex, Majiwade</t>
  </si>
  <si>
    <t>ADITYAJADHAV@GMAIL.COM</t>
  </si>
  <si>
    <t>000919967013381</t>
  </si>
  <si>
    <t>NAME::ADITYA SAKHARAM JADHAV</t>
  </si>
  <si>
    <t>ADITYA SHIVHARE</t>
  </si>
  <si>
    <t>INH000013873</t>
  </si>
  <si>
    <t>H No. 175, Berasiya Road, , Goya Colony Karond, Huzur</t>
  </si>
  <si>
    <t>ADITYASHIVHARE73@GMAIL.COM</t>
  </si>
  <si>
    <t>462038</t>
  </si>
  <si>
    <t>NAME::ADITYA SHIVHARE</t>
  </si>
  <si>
    <t>ADITYA SINGH</t>
  </si>
  <si>
    <t>INH000025364</t>
  </si>
  <si>
    <t>HOUSE NO. 914 AWAS VIKAS COLONY, MAHADEV JHARKHANDI, KHORABAR URF SOOBABAZAR, KUNRAGHAT</t>
  </si>
  <si>
    <t>ADITYASINGH2000007@GMAIL.COM</t>
  </si>
  <si>
    <t>GORAKHPUR</t>
  </si>
  <si>
    <t>273008</t>
  </si>
  <si>
    <t>NAME::ADITYA SINGH</t>
  </si>
  <si>
    <t>AH FLOURISH TECHS</t>
  </si>
  <si>
    <t>INH000024356</t>
  </si>
  <si>
    <t>HAREESH Mariyappa</t>
  </si>
  <si>
    <t>NO 968, K NO. 101/269/91, JANATHA, COLONY, BOMMASANDRA, JIGANI HOBLI,</t>
  </si>
  <si>
    <t>ahflourishtechs@gmail.com</t>
  </si>
  <si>
    <t>560099</t>
  </si>
  <si>
    <t>Dec 19, 2025</t>
  </si>
  <si>
    <t>NAME::AH FLOURISH TECHS</t>
  </si>
  <si>
    <t>AJAY KURIAN VARGHESE</t>
  </si>
  <si>
    <t>INH000027292</t>
  </si>
  <si>
    <t>AJAY  VARGHESE</t>
  </si>
  <si>
    <t>TC13/1561, Ranjini,, Kumarapuram, MC PO</t>
  </si>
  <si>
    <t>ajayvarghese1177@gmail.com</t>
  </si>
  <si>
    <t>0007012983639</t>
  </si>
  <si>
    <t>695011</t>
  </si>
  <si>
    <t>NAME::AJAY KURIAN VARGHESE</t>
  </si>
  <si>
    <t>AJAY SINGH</t>
  </si>
  <si>
    <t>INH000023454</t>
  </si>
  <si>
    <t>RZ-97/A, Gali No 12, B-Block, Kailash Puri, Palam Village</t>
  </si>
  <si>
    <t>ajaysingh.stock@gmail.com</t>
  </si>
  <si>
    <t>917551199974</t>
  </si>
  <si>
    <t>110045</t>
  </si>
  <si>
    <t>NAME::AJAY SINGH</t>
  </si>
  <si>
    <t>AJIT ROONGTA</t>
  </si>
  <si>
    <t>INA000002611</t>
  </si>
  <si>
    <t>31, GOPAL BHAVAN, 2ND FLOOR,, 199 PRINCESS STREET,</t>
  </si>
  <si>
    <t>ajitroongta@yahoo.com</t>
  </si>
  <si>
    <t>2222035039</t>
  </si>
  <si>
    <t>31, Gopal Bhavan, 2nd Floor, 199 Princess Street,</t>
  </si>
  <si>
    <t>NAME::AJIT ROONGTA</t>
  </si>
  <si>
    <t>AKASH AGARWAL</t>
  </si>
  <si>
    <t>INH000012935</t>
  </si>
  <si>
    <t>H - 87 Sector 63, Gautam Buddha Nagar</t>
  </si>
  <si>
    <t>akashca355@gmail.com</t>
  </si>
  <si>
    <t>919717763937</t>
  </si>
  <si>
    <t>F-21/16, Krishna Nagar, East Delhi</t>
  </si>
  <si>
    <t>NAME::AKASH AGARWAL</t>
  </si>
  <si>
    <t>AKASH GARG</t>
  </si>
  <si>
    <t>INH000027450</t>
  </si>
  <si>
    <t>G-401, Casa Greenville, Lodha Upper Thane Mankoli</t>
  </si>
  <si>
    <t>garg.akash.ga@gmail.com</t>
  </si>
  <si>
    <t>0009217021552</t>
  </si>
  <si>
    <t>421311</t>
  </si>
  <si>
    <t>NAME::AKASH GARG</t>
  </si>
  <si>
    <t>AKHILESH GUPTA</t>
  </si>
  <si>
    <t>INH000013314</t>
  </si>
  <si>
    <t>OFFICE NO 303, SHREENATHJI AVENUE, 158, KIBE COMPOUND</t>
  </si>
  <si>
    <t>Akhileshguptaresearch@gmail.com</t>
  </si>
  <si>
    <t>Oct 10, 2023</t>
  </si>
  <si>
    <t>NAME::AKHILESH GUPTA</t>
  </si>
  <si>
    <t>AKHILESH V GOKARAJU</t>
  </si>
  <si>
    <t>INA000020299</t>
  </si>
  <si>
    <t>House No.7-1-644/48 Plot No. 48,, Sundarnagar, Erragadda,</t>
  </si>
  <si>
    <t>akhileshvarma@yahoo.com</t>
  </si>
  <si>
    <t>919866677897</t>
  </si>
  <si>
    <t>500038</t>
  </si>
  <si>
    <t>House No.7-1-644/48 Plot No. 48, Sundarnagar, Erragadda,</t>
  </si>
  <si>
    <t>NAME::AKHILESH V GOKARAJU</t>
  </si>
  <si>
    <t>AMAM ARUN</t>
  </si>
  <si>
    <t>INH000028422</t>
  </si>
  <si>
    <t>AMAM  ARUN</t>
  </si>
  <si>
    <t>1401 Alpine Viva, A Block, Danube, Seegehahalli, Bangalore</t>
  </si>
  <si>
    <t>amam.arun1@gmail.com</t>
  </si>
  <si>
    <t>00007045343709</t>
  </si>
  <si>
    <t>NAME::AMAM ARUN</t>
  </si>
  <si>
    <t>AMAR KUMAR THAKUR</t>
  </si>
  <si>
    <t>INH000026707</t>
  </si>
  <si>
    <t>AMAR  THAKUR</t>
  </si>
  <si>
    <t>Rania Udyan Pally, 30FT Auto Stand, Sonarpur, Bansdroni, Boral S.O, South 24 Parganas</t>
  </si>
  <si>
    <t>amarfinqor@gmail.com</t>
  </si>
  <si>
    <t>700154</t>
  </si>
  <si>
    <t>NAME::AMAR KUMAR THAKUR</t>
  </si>
  <si>
    <t>AMARTYA MANI</t>
  </si>
  <si>
    <t>INH000027900</t>
  </si>
  <si>
    <t>Amartya Mani</t>
  </si>
  <si>
    <t>CHOUDHARY BHAWAN STREET NO 10, GOURAKSHANI SASARAM</t>
  </si>
  <si>
    <t>amartyadesire@gmail.com</t>
  </si>
  <si>
    <t>06184358447</t>
  </si>
  <si>
    <t>GAYA</t>
  </si>
  <si>
    <t>821115</t>
  </si>
  <si>
    <t>NAME::AMARTYA MANI</t>
  </si>
  <si>
    <t>AMBAREESH BALIGA</t>
  </si>
  <si>
    <t>INH000001139</t>
  </si>
  <si>
    <t>901 ANANT, PLOT 88(2),, SECTOR 29, VASHI,</t>
  </si>
  <si>
    <t>ambareeshbaliga@yahoo.com</t>
  </si>
  <si>
    <t>2265116161</t>
  </si>
  <si>
    <t>901 Anant, Plot 88(2), Sector 29, Vashi,</t>
  </si>
  <si>
    <t>Jul 22, 2015</t>
  </si>
  <si>
    <t>NAME::AMBAREESH BALIGA</t>
  </si>
  <si>
    <t>AMIT BHATTACHARJEE</t>
  </si>
  <si>
    <t>INH000019886</t>
  </si>
  <si>
    <t>3rd Floor, FL 11, 64, 57 Khudiram Bose Sarani, PS Ultadanga</t>
  </si>
  <si>
    <t>algobreaths@gmail.com</t>
  </si>
  <si>
    <t>919051195088</t>
  </si>
  <si>
    <t>NAME::AMIT BHATTACHARJEE</t>
  </si>
  <si>
    <t>AMIT GORISHANKAR  DHANUKA</t>
  </si>
  <si>
    <t>INA000021298</t>
  </si>
  <si>
    <t>AMIT DHANUKA</t>
  </si>
  <si>
    <t>G 601 CASA VYOMA , BEHIND  AHMEDABAD ONE MALL VASTRAPUR</t>
  </si>
  <si>
    <t>ca.dhanukaamit@gmail.com</t>
  </si>
  <si>
    <t>00919924675580</t>
  </si>
  <si>
    <t>NAME::AMIT GORISHANKAR DHANUKA</t>
  </si>
  <si>
    <t>AMIT GOVIND GOENKA</t>
  </si>
  <si>
    <t>INH000017930</t>
  </si>
  <si>
    <t>AMIT GOENKA</t>
  </si>
  <si>
    <t>Plot No. 19 Ghat Road Behind Hotel Century, Chandak Lay Out Mahatma Fule Bazar Nagpur</t>
  </si>
  <si>
    <t>amit.fore@gmail.com</t>
  </si>
  <si>
    <t>NAME::AMIT GOVIND GOENKA</t>
  </si>
  <si>
    <t>AMIT GURUH SACHDEVA</t>
  </si>
  <si>
    <t>INH100005190</t>
  </si>
  <si>
    <t>AMIT SACHDEVA</t>
  </si>
  <si>
    <t>567/10, ANAND NAGAR, JAIL ROAD</t>
  </si>
  <si>
    <t>amitguruhsachdeva@yahoo.com</t>
  </si>
  <si>
    <t>226005</t>
  </si>
  <si>
    <t>NAME::AMIT GURUH SACHDEVA</t>
  </si>
  <si>
    <t>AMIT KUKREJA</t>
  </si>
  <si>
    <t>INA100000051</t>
  </si>
  <si>
    <t>AMIT  KUKREJA</t>
  </si>
  <si>
    <t>DW-260, Nirvana Country, Sector-50</t>
  </si>
  <si>
    <t>akukreja@gmail.com</t>
  </si>
  <si>
    <t>91009810353040</t>
  </si>
  <si>
    <t>405, Tower-C, Nirvana Courtyard, Sector-50,</t>
  </si>
  <si>
    <t>NAME::AMIT KUKREJA</t>
  </si>
  <si>
    <t>AMIT NITIN SHAH</t>
  </si>
  <si>
    <t>INH000011413</t>
  </si>
  <si>
    <t>AMIT  SHAH</t>
  </si>
  <si>
    <t>B-801 , Safal Seventy , Iscon Cross Road, Ambli Road , Nr ISRO Colony</t>
  </si>
  <si>
    <t>amitshah2808@gmail.com</t>
  </si>
  <si>
    <t>NAME::AMIT NITIN SHAH</t>
  </si>
  <si>
    <t>AMIT PASTAGIA</t>
  </si>
  <si>
    <t>INH000013253</t>
  </si>
  <si>
    <t>39 Ankur society, Adajan Road</t>
  </si>
  <si>
    <t>AMT.PST@GMAIL.COM</t>
  </si>
  <si>
    <t>NAME::AMIT PASTAGIA</t>
  </si>
  <si>
    <t>AMIT ROY</t>
  </si>
  <si>
    <t>INH000026211</t>
  </si>
  <si>
    <t>SILPUKHURI, MITONG NAKATANI</t>
  </si>
  <si>
    <t>amitroy6618@gmail.com</t>
  </si>
  <si>
    <t>DIBRUGARH</t>
  </si>
  <si>
    <t>785664</t>
  </si>
  <si>
    <t>NAME::AMIT ROY</t>
  </si>
  <si>
    <t>AMIT SETH</t>
  </si>
  <si>
    <t>INH300009172</t>
  </si>
  <si>
    <t>116/1/1 MAHATMA GANDHI ROAD, FIRST FLOOR</t>
  </si>
  <si>
    <t>amitseth.research@gmail.com</t>
  </si>
  <si>
    <t>918777436040</t>
  </si>
  <si>
    <t>Mar 08, 2022</t>
  </si>
  <si>
    <t>NAME::AMIT SETH</t>
  </si>
  <si>
    <t>ANAND DINESHBHAI NANAVATI</t>
  </si>
  <si>
    <t>INH000021289</t>
  </si>
  <si>
    <t>ANAND NANAVATI</t>
  </si>
  <si>
    <t>321, Vishwamohini Complex, Subhanpura, Vadodara</t>
  </si>
  <si>
    <t>to_anand@yahoo.com</t>
  </si>
  <si>
    <t>919825160807</t>
  </si>
  <si>
    <t>NAME::ANAND DINESHBHAI NANAVATI</t>
  </si>
  <si>
    <t>ANAND KUMAR TANTIA</t>
  </si>
  <si>
    <t>INH100003381</t>
  </si>
  <si>
    <t>TANTIA HOUSE, NEAR SUBHASH CHOWK, KAYAMKHANI MOHALLA</t>
  </si>
  <si>
    <t>at.tantia@gmail.com</t>
  </si>
  <si>
    <t>9549901515</t>
  </si>
  <si>
    <t>335513</t>
  </si>
  <si>
    <t>Aug 30, 2016</t>
  </si>
  <si>
    <t>NAME::ANAND KUMAR TANTIA</t>
  </si>
  <si>
    <t>ANAND SINGH ADHIKARI</t>
  </si>
  <si>
    <t>INH000022048</t>
  </si>
  <si>
    <t>ANAND ADHIKARI</t>
  </si>
  <si>
    <t>1003 B1 Parkwoods Ghodbunder road, Thane</t>
  </si>
  <si>
    <t>anandadhikari@gmail.com</t>
  </si>
  <si>
    <t>009833080134</t>
  </si>
  <si>
    <t>400615</t>
  </si>
  <si>
    <t>NAME::ANAND SINGH ADHIKARI</t>
  </si>
  <si>
    <t>ANCY JACOB</t>
  </si>
  <si>
    <t>INH000020235</t>
  </si>
  <si>
    <t>MUTTATHU, KURISHUMMOOD, , THENGANA</t>
  </si>
  <si>
    <t>ancy.p.jacob@gmail.com</t>
  </si>
  <si>
    <t>918714821606</t>
  </si>
  <si>
    <t>686104</t>
  </si>
  <si>
    <t>NAME::ANCY JACOB</t>
  </si>
  <si>
    <t>ANIL KUMAR RAI</t>
  </si>
  <si>
    <t>INH000017596</t>
  </si>
  <si>
    <t>Anil Rai</t>
  </si>
  <si>
    <t>245 C, Bakshi Kala, Nagvasuki, Prayagraj</t>
  </si>
  <si>
    <t>anilrai.fca@gmail.com</t>
  </si>
  <si>
    <t>919667611275</t>
  </si>
  <si>
    <t>211006</t>
  </si>
  <si>
    <t>NAME::ANIL KUMAR RAI</t>
  </si>
  <si>
    <t>ANKIT AGARWAL</t>
  </si>
  <si>
    <t>INH300008872</t>
  </si>
  <si>
    <t>24/25 Bhairab Dutta Lane, Salkia, Howrah MCorp</t>
  </si>
  <si>
    <t>aankit_agarwal98@yahoo.com</t>
  </si>
  <si>
    <t>HOWRAH</t>
  </si>
  <si>
    <t>711106</t>
  </si>
  <si>
    <t>Nov 23, 2021</t>
  </si>
  <si>
    <t>NAME::ANKIT AGARWAL</t>
  </si>
  <si>
    <t>ANKIT RAJ</t>
  </si>
  <si>
    <t>INH000012810</t>
  </si>
  <si>
    <t>Room No. 305, Capitol Tower, Block B , Fraser Road</t>
  </si>
  <si>
    <t>caankitraj09@gmail.com</t>
  </si>
  <si>
    <t>NAME::ANKIT RAJ</t>
  </si>
  <si>
    <t>ANKITA MUKHERJEE</t>
  </si>
  <si>
    <t>INH000020721</t>
  </si>
  <si>
    <t>4 82, SETH BAGAN ROAD, DUMDUM, Ghugudanga</t>
  </si>
  <si>
    <t>ankitamukherjeesebi.ra@gmail.com</t>
  </si>
  <si>
    <t>917980561156</t>
  </si>
  <si>
    <t>700030</t>
  </si>
  <si>
    <t>Jun 06, 2025</t>
  </si>
  <si>
    <t>NAME::ANKITA MUKHERJEE</t>
  </si>
  <si>
    <t>ANKUR CHOUDHARY</t>
  </si>
  <si>
    <t>INA300004853</t>
  </si>
  <si>
    <t>2-B ANKUR APARTMENT, BANSIKUNJ,, DR R P ROAD</t>
  </si>
  <si>
    <t>ankurc07@gmail.com</t>
  </si>
  <si>
    <t>8069000068</t>
  </si>
  <si>
    <t>BHAGALPUR</t>
  </si>
  <si>
    <t>812002</t>
  </si>
  <si>
    <t>NAME::ANKUR CHOUDHARY</t>
  </si>
  <si>
    <t>ANKUSH PATEL</t>
  </si>
  <si>
    <t>INH000027706</t>
  </si>
  <si>
    <t>Gram Agdal post amiliya</t>
  </si>
  <si>
    <t>ankushpatelra@gmail.com</t>
  </si>
  <si>
    <t>009074590674</t>
  </si>
  <si>
    <t>486115</t>
  </si>
  <si>
    <t>NAME::ANKUSH PATEL</t>
  </si>
  <si>
    <t>ANSHUL PAHWA</t>
  </si>
  <si>
    <t>INH000025771</t>
  </si>
  <si>
    <t>HOUSE NO -28-29 KRISHNA NAGAR REWARI REWARI</t>
  </si>
  <si>
    <t>askniveshguru@gmail.com</t>
  </si>
  <si>
    <t>123401</t>
  </si>
  <si>
    <t>NAME::ANSHUL PAHWA</t>
  </si>
  <si>
    <t>ANSUL KUMAR AGRAWAL</t>
  </si>
  <si>
    <t>INH000016092</t>
  </si>
  <si>
    <t>ANSUL AGRAWAL</t>
  </si>
  <si>
    <t>Vastraganga, Chowk,, Ballia City</t>
  </si>
  <si>
    <t>ansul147@gmail.com</t>
  </si>
  <si>
    <t>917860648645</t>
  </si>
  <si>
    <t>BALLIA</t>
  </si>
  <si>
    <t>277001</t>
  </si>
  <si>
    <t>Vastraganga, Chowk, Ballia City</t>
  </si>
  <si>
    <t>NAME::ANSUL KUMAR AGRAWAL</t>
  </si>
  <si>
    <t>ANUBRATA DAS</t>
  </si>
  <si>
    <t>INH000020998</t>
  </si>
  <si>
    <t>21 Rajani Kanta Sen Sarani Road Hakimpara, Siliguri MCorp</t>
  </si>
  <si>
    <t>ra.anubrata@gmail.com</t>
  </si>
  <si>
    <t>918609608080</t>
  </si>
  <si>
    <t>SILIGURI</t>
  </si>
  <si>
    <t>734001</t>
  </si>
  <si>
    <t>NAME::ANUBRATA DAS</t>
  </si>
  <si>
    <t>ANUGYA SINGH</t>
  </si>
  <si>
    <t>INA000009959</t>
  </si>
  <si>
    <t>Office No. 1309, Skye Corporate Park,, Scheme No. 78, Vijay Nagar,</t>
  </si>
  <si>
    <t>ANUGYASINGH05@GMAIL.COM</t>
  </si>
  <si>
    <t>101 First Floor, 79 Radhika Palace, Tulsi Nagar</t>
  </si>
  <si>
    <t>Mar 01, 2018</t>
  </si>
  <si>
    <t>NAME::ANUGYA SINGH</t>
  </si>
  <si>
    <t>ANUJ GUPTA</t>
  </si>
  <si>
    <t>INH000025656</t>
  </si>
  <si>
    <t>B-2/206, YAMUNA VIHAR</t>
  </si>
  <si>
    <t>ANUJLLB206@GMAIL.COM</t>
  </si>
  <si>
    <t>110053</t>
  </si>
  <si>
    <t>NAME::ANUJ GUPTA</t>
  </si>
  <si>
    <t>ANUJ SHARMA</t>
  </si>
  <si>
    <t>INH000023311</t>
  </si>
  <si>
    <t>HOUSE NO 2343 SECTOR 28, FARIDABAD</t>
  </si>
  <si>
    <t>anuj_2343@hotmail.com</t>
  </si>
  <si>
    <t>918800295778</t>
  </si>
  <si>
    <t>NAME::ANUJ SHARMA</t>
  </si>
  <si>
    <t>ANUJAY CHOUHAN</t>
  </si>
  <si>
    <t>INH000027779</t>
  </si>
  <si>
    <t>C 20/1 MAHANANDA NAGAR , UJJAIN</t>
  </si>
  <si>
    <t>chouhananujay@gmail.com</t>
  </si>
  <si>
    <t>00008602027324</t>
  </si>
  <si>
    <t>NAME::ANUJAY CHOUHAN</t>
  </si>
  <si>
    <t>ANURAG CHAUDHARY</t>
  </si>
  <si>
    <t>INH000026220</t>
  </si>
  <si>
    <t>D - 506, Block D, Near Bank of Baroda, Rajaji Puram</t>
  </si>
  <si>
    <t>anurag4u10@gmail.com</t>
  </si>
  <si>
    <t>NAME::ANURAG CHAUDHARY</t>
  </si>
  <si>
    <t>ANURAG SINGHAL</t>
  </si>
  <si>
    <t>INA000021775</t>
  </si>
  <si>
    <t>ANURAG  SINGHAL</t>
  </si>
  <si>
    <t>FLAT No. D/A/202, SHRI RADHA VALLEY, MATHURA BANGAR, PO, KRISHNA NAGAR</t>
  </si>
  <si>
    <t>rccmathura@gmail.com</t>
  </si>
  <si>
    <t>281004</t>
  </si>
  <si>
    <t>NAME::ANURAG SINGHAL</t>
  </si>
  <si>
    <t>APNARESEARCHPLUS</t>
  </si>
  <si>
    <t>INH000012670</t>
  </si>
  <si>
    <t>OM   PANDEY</t>
  </si>
  <si>
    <t>H. No. B-27/92-6-A, HANUMANPURA, BHADAINI, WARD BHELUPUR</t>
  </si>
  <si>
    <t>OMPRAKASH12APNAPLUS@GMAIL.COM</t>
  </si>
  <si>
    <t>221010</t>
  </si>
  <si>
    <t>NAME::APNARESEARCHPLUS</t>
  </si>
  <si>
    <t>APURVA HARSH VIRA</t>
  </si>
  <si>
    <t>INH000024064</t>
  </si>
  <si>
    <t>APURVA ANNAVI</t>
  </si>
  <si>
    <t>C 207, SHANTI SHOPING CENTRE, MIRA ROAD East</t>
  </si>
  <si>
    <t>WORKWITHAPURVA247@GMAIL.COM</t>
  </si>
  <si>
    <t>918789603462</t>
  </si>
  <si>
    <t>NAME::APURVA HARSH VIRA</t>
  </si>
  <si>
    <t>ARIDAMAN SHARMA</t>
  </si>
  <si>
    <t>INH000027317</t>
  </si>
  <si>
    <t>FLAT 702 J BLOCK VIKRAM VIHAR, AWHO SECTOR 27 PANCHKULA</t>
  </si>
  <si>
    <t>adsharma007@gmail.com</t>
  </si>
  <si>
    <t>00001724640650</t>
  </si>
  <si>
    <t>134116</t>
  </si>
  <si>
    <t>NAME::ARIDAMAN SHARMA</t>
  </si>
  <si>
    <t>ARIJIT BANERJEE</t>
  </si>
  <si>
    <t>INH300006582</t>
  </si>
  <si>
    <t>Ichapur Goalapara Gurudwara</t>
  </si>
  <si>
    <t>goodluckcapital@gmail.com</t>
  </si>
  <si>
    <t>919477838855</t>
  </si>
  <si>
    <t>743144</t>
  </si>
  <si>
    <t>Nov 12, 2018</t>
  </si>
  <si>
    <t>NAME::ARIJIT BANERJEE</t>
  </si>
  <si>
    <t>ARIJIT MAZUMDAR</t>
  </si>
  <si>
    <t>INA300011609</t>
  </si>
  <si>
    <t>HARIDRADANGA,GOALAPARA, PO&amp;PS-CHANDANNAGORE</t>
  </si>
  <si>
    <t>arijit.maz@gmail.com</t>
  </si>
  <si>
    <t>919748805020</t>
  </si>
  <si>
    <t>NAME::ARIJIT MAZUMDAR</t>
  </si>
  <si>
    <t>ARJIT RAJEEV GARG</t>
  </si>
  <si>
    <t>INH000021951</t>
  </si>
  <si>
    <t>ARJIT GARG</t>
  </si>
  <si>
    <t>Flat no 2701, Tower A4, ,Polaris, Runwl Mycity, Diva Mapada Road,Betavade, Dombivali E</t>
  </si>
  <si>
    <t>arjit.r.garg@gmail.com</t>
  </si>
  <si>
    <t>919819890359</t>
  </si>
  <si>
    <t>400612</t>
  </si>
  <si>
    <t>NAME::ARJIT RAJEEV GARG</t>
  </si>
  <si>
    <t>ARNAB CHABIRI</t>
  </si>
  <si>
    <t>INH000027955</t>
  </si>
  <si>
    <t>ARNAB  CHABIRI</t>
  </si>
  <si>
    <t>Flat No. A 207, Khushi Harmony, Near Sapsasti Vihar Palasuni</t>
  </si>
  <si>
    <t>achabiri@outlook.com</t>
  </si>
  <si>
    <t>0006371592224</t>
  </si>
  <si>
    <t>751017</t>
  </si>
  <si>
    <t>NAME::ARNAB CHABIRI</t>
  </si>
  <si>
    <t>ARPAN KUKREJA</t>
  </si>
  <si>
    <t>INH000015358</t>
  </si>
  <si>
    <t>ARPAN  KUKREJA</t>
  </si>
  <si>
    <t>arpan.923kukreja2@gmail.com</t>
  </si>
  <si>
    <t>NAME::ARPAN KUKREJA</t>
  </si>
  <si>
    <t>ARPIT AGARWAL</t>
  </si>
  <si>
    <t>INA000021641</t>
  </si>
  <si>
    <t>B 1206, PRATEEK FEDORA, SECTOR 61, NOIDA</t>
  </si>
  <si>
    <t>arpit2491@gmail.com</t>
  </si>
  <si>
    <t>00919953278236</t>
  </si>
  <si>
    <t>Dec 30, 2025</t>
  </si>
  <si>
    <t>NAME::ARPIT AGARWAL</t>
  </si>
  <si>
    <t>ARPIT KUSHWAHA</t>
  </si>
  <si>
    <t>INH000023241</t>
  </si>
  <si>
    <t>O1,Bhola ka pura,sulem sarai</t>
  </si>
  <si>
    <t>Singharpit2498@gmail.com</t>
  </si>
  <si>
    <t>918920522564</t>
  </si>
  <si>
    <t>211011</t>
  </si>
  <si>
    <t>NAME::ARPIT KUSHWAHA</t>
  </si>
  <si>
    <t>ARPITA VIJAYVARGIYA</t>
  </si>
  <si>
    <t>INH000026983</t>
  </si>
  <si>
    <t>ARPITA  VIJAYVARGIYA</t>
  </si>
  <si>
    <t>B 6 263, Sudarshana Nagar,, Near Rajiv Gandhi Nursing School</t>
  </si>
  <si>
    <t>raarpita.vijay@gmail.com</t>
  </si>
  <si>
    <t>0009587265921</t>
  </si>
  <si>
    <t>334003</t>
  </si>
  <si>
    <t>NAME::ARPITA VIJAYVARGIYA</t>
  </si>
  <si>
    <t>ARTH SADHANA</t>
  </si>
  <si>
    <t>INH000020341</t>
  </si>
  <si>
    <t>CHANDAN KUMAR</t>
  </si>
  <si>
    <t>261 A, MANDIR MARG, NEW A.G. CO OPRATIVE COLONY, Blind School, Kadru, Ranchi</t>
  </si>
  <si>
    <t>arthsadhana.rnc@gmail.com</t>
  </si>
  <si>
    <t>919031656500</t>
  </si>
  <si>
    <t>834002</t>
  </si>
  <si>
    <t>NAME::ARTH SADHANA</t>
  </si>
  <si>
    <t>ARUL MOZHI CHELVAN MURUGAN</t>
  </si>
  <si>
    <t>INH000016287</t>
  </si>
  <si>
    <t>Flat No. G3 Raaj Paradise, Poonga Street ,Opposite to Tirunagar Police Station,Tirunagar</t>
  </si>
  <si>
    <t>arulmozhichelvan.m@gmail.com</t>
  </si>
  <si>
    <t>625006</t>
  </si>
  <si>
    <t>NAME::ARUL MOZHI CHELVAN MURUGAN</t>
  </si>
  <si>
    <t>ARUL SONI</t>
  </si>
  <si>
    <t>INH000025267</t>
  </si>
  <si>
    <t>1 Near SBBJ ATM Station Road, Baran</t>
  </si>
  <si>
    <t>caarulsoni@gmail.com</t>
  </si>
  <si>
    <t>919829977677</t>
  </si>
  <si>
    <t>CHHABRA</t>
  </si>
  <si>
    <t>325220</t>
  </si>
  <si>
    <t>NAME::ARUL SONI</t>
  </si>
  <si>
    <t>ARUN</t>
  </si>
  <si>
    <t>INH200007353</t>
  </si>
  <si>
    <t>ARUN NACHIMUTHU</t>
  </si>
  <si>
    <t>160 2 , VAYALUR , PUSHPATHUR POST , PALANI TALUK</t>
  </si>
  <si>
    <t>arungcteee06@gmail.com</t>
  </si>
  <si>
    <t>624618</t>
  </si>
  <si>
    <t>Aug 28, 2019</t>
  </si>
  <si>
    <t>NAME::ARUN</t>
  </si>
  <si>
    <t>ARUN KUMAR MANTRI</t>
  </si>
  <si>
    <t>INA200016555</t>
  </si>
  <si>
    <t>ARUN MANTRI</t>
  </si>
  <si>
    <t>H NO 16-2-147/16/5  ANAND NAGAR, MALAKPET</t>
  </si>
  <si>
    <t>ca.arunmantri@gmail.com</t>
  </si>
  <si>
    <t>500036</t>
  </si>
  <si>
    <t>NAME::ARUN KUMAR MANTRI</t>
  </si>
  <si>
    <t>ARUNKUMAR DALPATBHAI RANGPARIYA</t>
  </si>
  <si>
    <t>INH000005519</t>
  </si>
  <si>
    <t>Arunkumar Rangpariya</t>
  </si>
  <si>
    <t>2 sanskar tenament, Nikol Naroda Road, Nr, sukan Char Rasta, Opp. Radhika Bunglow, Ghanshyam villa soci., gate</t>
  </si>
  <si>
    <t>arunrangpariya@yahoo.co.in</t>
  </si>
  <si>
    <t>382350</t>
  </si>
  <si>
    <t>Dec 12, 2017</t>
  </si>
  <si>
    <t>NAME::ARUNKUMAR DALPATBHAI RANGPARIYA</t>
  </si>
  <si>
    <t>ARVIND MANGAL</t>
  </si>
  <si>
    <t>INH000010450</t>
  </si>
  <si>
    <t>FIRST FLOOR B.L. JANGID COMPLEX, NEAR BUS STAND PAOTA</t>
  </si>
  <si>
    <t>CAARVINDKNARAYAN@YAHOO.COM</t>
  </si>
  <si>
    <t>303106</t>
  </si>
  <si>
    <t>NAME::ARVIND MANGAL</t>
  </si>
  <si>
    <t>ASHISH BEDI</t>
  </si>
  <si>
    <t>INH000021599</t>
  </si>
  <si>
    <t>D 001, Jaipuria Sunrise Green, VIP Road, Zirakpur, SAS Nagar, Mohali</t>
  </si>
  <si>
    <t>ashishbediresearchanalyst@yahoo.com</t>
  </si>
  <si>
    <t>917988121534</t>
  </si>
  <si>
    <t>140603</t>
  </si>
  <si>
    <t>NAME::ASHISH BEDI</t>
  </si>
  <si>
    <t>ASHISH CHAUDHARY</t>
  </si>
  <si>
    <t>INA000020943</t>
  </si>
  <si>
    <t>ASHISH  CHAUDHARY</t>
  </si>
  <si>
    <t>A-268 , Vikas Puri  New Delhi</t>
  </si>
  <si>
    <t>ashish12.chaudhary@gmail.com</t>
  </si>
  <si>
    <t>00918287647430</t>
  </si>
  <si>
    <t>NAME::ASHISH CHAUDHARY</t>
  </si>
  <si>
    <t>ASHISH KUMAR</t>
  </si>
  <si>
    <t>INH000011866</t>
  </si>
  <si>
    <t>397 A/1 Doctor Bhora wali Gali, Sarkari Tubewell, DeyanandNagar, Shamli</t>
  </si>
  <si>
    <t>gargashish585@gmail.com</t>
  </si>
  <si>
    <t>NAME::ASHISH KUMAR</t>
  </si>
  <si>
    <t>ASHISH KUMAR SHARMA</t>
  </si>
  <si>
    <t>INH000027052</t>
  </si>
  <si>
    <t>ASHISH SHARMA</t>
  </si>
  <si>
    <t>WARD NO 11 HOUSE NO 407 SHARMA COLONY PAOTA TEH. KOTPUTLI</t>
  </si>
  <si>
    <t>ASHISHDALUKA@GMAIL.COM</t>
  </si>
  <si>
    <t>008946926343</t>
  </si>
  <si>
    <t>NAME::ASHISH KUMAR SHARMA</t>
  </si>
  <si>
    <t>ASHISH SINGH</t>
  </si>
  <si>
    <t>INH000014340</t>
  </si>
  <si>
    <t>KH 206/2, Gali No.4, , Raghunathpuri Bagu, Taj Highway</t>
  </si>
  <si>
    <t>ash14val.singh@gmail.com</t>
  </si>
  <si>
    <t>919810828313</t>
  </si>
  <si>
    <t>201009</t>
  </si>
  <si>
    <t>NAME::ASHISH SINGH</t>
  </si>
  <si>
    <t>ASHOK KRISHNARAO</t>
  </si>
  <si>
    <t>INA000022534</t>
  </si>
  <si>
    <t>B4 - 901 , ELITA PROMENADE APARTMENTS, J.P. NAGAR 7TH PHASE</t>
  </si>
  <si>
    <t>KRISHNARAO.ASHOK@GMAIL.COM</t>
  </si>
  <si>
    <t>NAME::ASHOK KRISHNARAO</t>
  </si>
  <si>
    <t>ASHUTOSH SONI</t>
  </si>
  <si>
    <t>INH000025869</t>
  </si>
  <si>
    <t>Badri Complex, 1st Floor, Panchmandir Road, Gaja Chowk, Motihari</t>
  </si>
  <si>
    <t>ashutosh22sony@gmail.com</t>
  </si>
  <si>
    <t>845401</t>
  </si>
  <si>
    <t>NAME::ASHUTOSH SONI</t>
  </si>
  <si>
    <t>ASHWINI S D</t>
  </si>
  <si>
    <t>INH000024453</t>
  </si>
  <si>
    <t>ASHWINI DEVARAJ</t>
  </si>
  <si>
    <t>No. 22, Ground Floor, Anjandri Layout, , Near Krishna Granite, K Channasandra, Horamavu Post</t>
  </si>
  <si>
    <t>ashwini.0605@gmail.com</t>
  </si>
  <si>
    <t>918861756040</t>
  </si>
  <si>
    <t>NAME::ASHWINI S D</t>
  </si>
  <si>
    <t>ATUL SINHA</t>
  </si>
  <si>
    <t>INH000027159</t>
  </si>
  <si>
    <t>875, 8th Floor, jasmine Gaur Saundrayam, Techzone IV, Greater Noida</t>
  </si>
  <si>
    <t>ra.atulsinha@gmail.com</t>
  </si>
  <si>
    <t>201308</t>
  </si>
  <si>
    <t>NAME::ATUL SINHA</t>
  </si>
  <si>
    <t>AVEEK MITRA</t>
  </si>
  <si>
    <t>INA100004814</t>
  </si>
  <si>
    <t>A-4 Rani Debendra Bala Road, Indraloke Estate, Flat No A-4 7 Kolkata</t>
  </si>
  <si>
    <t>mitraaveek1@gmail.com</t>
  </si>
  <si>
    <t>700002</t>
  </si>
  <si>
    <t>Unit NO. 817, 8th Floor, PS Abacus, Plot No. 11E/23, New Town</t>
  </si>
  <si>
    <t>May 25, 2016</t>
  </si>
  <si>
    <t>NAME::AVEEK MITRA</t>
  </si>
  <si>
    <t>AVIJIT METE</t>
  </si>
  <si>
    <t>INH300008401</t>
  </si>
  <si>
    <t>Avijit Mete</t>
  </si>
  <si>
    <t>604/A, Rammohan Sarani, Baidyabati</t>
  </si>
  <si>
    <t>meteavijit@gmail.com</t>
  </si>
  <si>
    <t>712222</t>
  </si>
  <si>
    <t>May 20, 2021</t>
  </si>
  <si>
    <t>NAME::AVIJIT METE</t>
  </si>
  <si>
    <t>AVINASH KHATOO LUTHRIA</t>
  </si>
  <si>
    <t>INA200011125</t>
  </si>
  <si>
    <t>AVINASH LUTHRIA</t>
  </si>
  <si>
    <t>C 1203 The Gardens No 9 Magadi Road, Near Binny Circle</t>
  </si>
  <si>
    <t>avinashluthria@gmail.com</t>
  </si>
  <si>
    <t>9820196205</t>
  </si>
  <si>
    <t>560023</t>
  </si>
  <si>
    <t>C 1203 The Gardens, No 9 Magadi Road Near Binny Mill Circle</t>
  </si>
  <si>
    <t>NAME::AVINASH KHATOO LUTHRIA</t>
  </si>
  <si>
    <t>AYUSH BHARAT BHUTADA</t>
  </si>
  <si>
    <t>INA000021614</t>
  </si>
  <si>
    <t>Ayush Bhutada</t>
  </si>
  <si>
    <t>55/8B SALISBARY PARK FL NO 203 RAISONI PARK, GULTEKADI PUNE</t>
  </si>
  <si>
    <t>Bhutadaayush09@gmail.com</t>
  </si>
  <si>
    <t>00919552977000</t>
  </si>
  <si>
    <t>NAME::AYUSH BHARAT BHUTADA</t>
  </si>
  <si>
    <t>AYUSMAN DAS</t>
  </si>
  <si>
    <t>INA000013651</t>
  </si>
  <si>
    <t>21/476, OM FLAT, NEW IPCL ROAD , OPP BHAILAL MARRIAGE HALL,, GORWA</t>
  </si>
  <si>
    <t>WORTHMARKETRESEARCH@GMAIL.COM</t>
  </si>
  <si>
    <t>390016</t>
  </si>
  <si>
    <t>21/476, OM FLAT, NEW IPCL ROAD , OPP BHAILAL MARRIAGE HALL, GORWA</t>
  </si>
  <si>
    <t>Jul 19, 2019</t>
  </si>
  <si>
    <t>NAME::AYUSMAN DAS</t>
  </si>
  <si>
    <t>Aakash Ashok Jajoo</t>
  </si>
  <si>
    <t>INH000015312</t>
  </si>
  <si>
    <t>Shed No 143 6 GIDC, Makarpura Road</t>
  </si>
  <si>
    <t>aakash999jajoo@gmail.com</t>
  </si>
  <si>
    <t>NAME::AAKASH ASHOK JAJOO</t>
  </si>
  <si>
    <t>Aarohi Palak Shah</t>
  </si>
  <si>
    <t>INH000018832</t>
  </si>
  <si>
    <t>Aarohi Shah</t>
  </si>
  <si>
    <t>1105, Safal Prelude, BH Ashwaraj Bunglows, 100 Ft Road, Prahaladnagar Satellite</t>
  </si>
  <si>
    <t>aarohipalakshah@gmail.com</t>
  </si>
  <si>
    <t>919879208666</t>
  </si>
  <si>
    <t>NAME::AAROHI PALAK SHAH</t>
  </si>
  <si>
    <t>Aashish</t>
  </si>
  <si>
    <t>INH000013174</t>
  </si>
  <si>
    <t>Aashish Rajbir</t>
  </si>
  <si>
    <t>138 Village Hiranki , Hiranki</t>
  </si>
  <si>
    <t>Ashishrajputar93@gmail.com</t>
  </si>
  <si>
    <t>919999563571</t>
  </si>
  <si>
    <t>110036</t>
  </si>
  <si>
    <t>NAME::AASHISH</t>
  </si>
  <si>
    <t>Aashish bansal</t>
  </si>
  <si>
    <t>INH000023533</t>
  </si>
  <si>
    <t>Aashish Bansal</t>
  </si>
  <si>
    <t>Flat no. 202B, GH-10, The Bihta appartments, Sector 24, Panchkula</t>
  </si>
  <si>
    <t>caashishbansal17@gmail.com</t>
  </si>
  <si>
    <t>911723578973</t>
  </si>
  <si>
    <t>Oct 07, 2025</t>
  </si>
  <si>
    <t>NAME::AASHISH BANSAL</t>
  </si>
  <si>
    <t>Aayush Deepak Badade</t>
  </si>
  <si>
    <t>INH000027229</t>
  </si>
  <si>
    <t>Aayush Badade</t>
  </si>
  <si>
    <t>304 Vaity Villa, Gokhale Road Opp. Mulund Railway Station Mulund E, Greater Mumbai M Corp</t>
  </si>
  <si>
    <t>aayush.badade@gmail.com</t>
  </si>
  <si>
    <t>008433657330</t>
  </si>
  <si>
    <t>NAME::AAYUSH DEEPAK BADADE</t>
  </si>
  <si>
    <t>Abdullah Zaman</t>
  </si>
  <si>
    <t>INH000013244</t>
  </si>
  <si>
    <t>Abdullah  Zaman</t>
  </si>
  <si>
    <t>S1, Azim Green Home, New SS Nagar, PS Civil Line</t>
  </si>
  <si>
    <t>ibnfasih@gmail.com</t>
  </si>
  <si>
    <t>NAME::ABDULLAH ZAMAN</t>
  </si>
  <si>
    <t>Abhay Kumar</t>
  </si>
  <si>
    <t>INH300008465</t>
  </si>
  <si>
    <t>ABHAY KUMAR</t>
  </si>
  <si>
    <t>Village- Chari Durg, P.O.- Semra Bazar</t>
  </si>
  <si>
    <t>ABHAYKUMAR7702@GMAIL.COM</t>
  </si>
  <si>
    <t>841503</t>
  </si>
  <si>
    <t>Jun 07, 2021</t>
  </si>
  <si>
    <t>NAME::ABHAY KUMAR</t>
  </si>
  <si>
    <t>Abhijeet Ranganathan Ramachandran</t>
  </si>
  <si>
    <t>INH000018443</t>
  </si>
  <si>
    <t>Abhijeet Ramachandran</t>
  </si>
  <si>
    <t>B4 Shrijiniketan CHS</t>
  </si>
  <si>
    <t>arramachandran37@gmail.com</t>
  </si>
  <si>
    <t>NAME::ABHIJEET RANGANATHAN RAMACHANDRAN</t>
  </si>
  <si>
    <t>Abhishek Gupta</t>
  </si>
  <si>
    <t>INH000028334</t>
  </si>
  <si>
    <t>273 Manicktala Main RD SCH VI 3rd Floor</t>
  </si>
  <si>
    <t>abhishekg.ag@gmail.com</t>
  </si>
  <si>
    <t>0009007049820</t>
  </si>
  <si>
    <t>700054</t>
  </si>
  <si>
    <t>Jun 18, 2026</t>
  </si>
  <si>
    <t>NAME::ABHISHEK GUPTA</t>
  </si>
  <si>
    <t>Abhishek Jain</t>
  </si>
  <si>
    <t>INH000023232</t>
  </si>
  <si>
    <t>ABHISHEK JAIN</t>
  </si>
  <si>
    <t>4A MAHAVIR MARKET, FANCY BAZAR</t>
  </si>
  <si>
    <t>jabhishek926@gmail.com</t>
  </si>
  <si>
    <t>919864780301</t>
  </si>
  <si>
    <t>Sep 11, 2025</t>
  </si>
  <si>
    <t>NAME::ABHISHEK JAIN</t>
  </si>
  <si>
    <t>Abhishek Ummat</t>
  </si>
  <si>
    <t>INH000016302</t>
  </si>
  <si>
    <t>Flat No. 312, 3rd Floor, Block No. B 2, Anmol Heights, Adhartal</t>
  </si>
  <si>
    <t>ummat13abhishek@gmail.com</t>
  </si>
  <si>
    <t>482004</t>
  </si>
  <si>
    <t>NAME::ABHISHEK UMMAT</t>
  </si>
  <si>
    <t>Abinas M</t>
  </si>
  <si>
    <t>INH000019938</t>
  </si>
  <si>
    <t>Abinas Muruthulla</t>
  </si>
  <si>
    <t>Arams Mangalapuram, Thonnakkal PO</t>
  </si>
  <si>
    <t>abinasmurthulla@gmail.com</t>
  </si>
  <si>
    <t>917907108703</t>
  </si>
  <si>
    <t>695317</t>
  </si>
  <si>
    <t>NAME::ABINAS M</t>
  </si>
  <si>
    <t>Abishek Kondagunta Venkatesh</t>
  </si>
  <si>
    <t>INH000022066</t>
  </si>
  <si>
    <t>Abishek Venkatesh</t>
  </si>
  <si>
    <t>H.No. 11-9-173, Ground Floor, Laxminagar,, Kothapet, Saroornagar, Mandal</t>
  </si>
  <si>
    <t>abishekkvenkatesh@outlook.com</t>
  </si>
  <si>
    <t>917416931626</t>
  </si>
  <si>
    <t>500035</t>
  </si>
  <si>
    <t>H.No. 11-9-173, Ground Floor, Laxminagar, Kothapet, Saroornagar, Mandal</t>
  </si>
  <si>
    <t>NAME::ABISHEK KONDAGUNTA VENKATESH</t>
  </si>
  <si>
    <t>Adhish patel</t>
  </si>
  <si>
    <t>INA000013183</t>
  </si>
  <si>
    <t>Adhish Patel</t>
  </si>
  <si>
    <t>3 Royal Kadamb Bungalows, Nr. Silver Square Complex, Thaltej</t>
  </si>
  <si>
    <t>adhishpatel@gmail.com</t>
  </si>
  <si>
    <t>May 06, 2019</t>
  </si>
  <si>
    <t>NAME::ADHISH PATEL</t>
  </si>
  <si>
    <t>Aditya Govindaraj</t>
  </si>
  <si>
    <t>INA200011736</t>
  </si>
  <si>
    <t>New 2 Old 75 2nd Street Karpagam Avenue, R A Puram</t>
  </si>
  <si>
    <t>aditya.invest@outlook.com</t>
  </si>
  <si>
    <t>Sep 24, 2018</t>
  </si>
  <si>
    <t>NAME::ADITYA GOVINDARAJ</t>
  </si>
  <si>
    <t>Aditya Jain</t>
  </si>
  <si>
    <t>INH000009588</t>
  </si>
  <si>
    <t>A-10, SINGH INDUSTRIAL ESTATE NO.1, RAM MANDIR ROAD GOREGAON -WEST</t>
  </si>
  <si>
    <t>aditya.jain24303@gmail.com</t>
  </si>
  <si>
    <t>22/A, RANI SATI NAGAR, S.V. ROAD, NEAR CHINCHOLI HANUMAN MANDIR, MALAD - WEST</t>
  </si>
  <si>
    <t>NAME::ADITYA JAIN</t>
  </si>
  <si>
    <t>Aditya Mishra</t>
  </si>
  <si>
    <t>INH300008535</t>
  </si>
  <si>
    <t>House No 361,Chaitanya Nagar,Kumhrar, Behind NRL Petrol Pump</t>
  </si>
  <si>
    <t>addy3123@gmail.com</t>
  </si>
  <si>
    <t>800026</t>
  </si>
  <si>
    <t>Jul 07, 2021</t>
  </si>
  <si>
    <t>NAME::ADITYA MISHRA</t>
  </si>
  <si>
    <t>Aditya Umesh Hujband</t>
  </si>
  <si>
    <t>INH000011185</t>
  </si>
  <si>
    <t>Aditya Hujband</t>
  </si>
  <si>
    <t>Haresh Niwas, Room No.487,, B.K. No A-82, Near Mahan Apartment,</t>
  </si>
  <si>
    <t>hujbandaditya@gmail.com</t>
  </si>
  <si>
    <t>917507840128</t>
  </si>
  <si>
    <t>Haresh Niwas, Room No.487, B.K. No A-82, Near Mahan Apartment,</t>
  </si>
  <si>
    <t>Jan 03, 2023</t>
  </si>
  <si>
    <t>NAME::ADITYA UMESH HUJBAND</t>
  </si>
  <si>
    <t>Aishani Dhawan</t>
  </si>
  <si>
    <t>INH000020703</t>
  </si>
  <si>
    <t>Aishani  Dhawan</t>
  </si>
  <si>
    <t>3rd Floor ,No 28,3rd Floor, 19th Main Road, 2nd Block Rajajinagar Bengaluru Karnataka</t>
  </si>
  <si>
    <t>aishanidhawanofficial@gmail.com</t>
  </si>
  <si>
    <t>917719415956</t>
  </si>
  <si>
    <t>NAME::AISHANI DHAWAN</t>
  </si>
  <si>
    <t>Aishwarya Agarwal</t>
  </si>
  <si>
    <t>INA000014322</t>
  </si>
  <si>
    <t>3403/3404,34TH FLR,SHREEPATI ARCADE, NANA CHOWK, August kranti Marg</t>
  </si>
  <si>
    <t>aishwaryaagrawal06@gmail.com</t>
  </si>
  <si>
    <t>Dec 17, 2019</t>
  </si>
  <si>
    <t>NAME::AISHWARYA AGARWAL</t>
  </si>
  <si>
    <t>Ajay</t>
  </si>
  <si>
    <t>INH000015066</t>
  </si>
  <si>
    <t>Ajay Gahlot</t>
  </si>
  <si>
    <t>Plot No. 206, F F Right Side, Village Kakrola</t>
  </si>
  <si>
    <t>ajay.gahlot5@gmail.com</t>
  </si>
  <si>
    <t>NAME::AJAY</t>
  </si>
  <si>
    <t>Ajay Kumar Soni</t>
  </si>
  <si>
    <t>INH000026813</t>
  </si>
  <si>
    <t>Ajay Soni</t>
  </si>
  <si>
    <t>Makan-417, Ward- 19,, Adarsh Colony, Salsalai, Shajapur</t>
  </si>
  <si>
    <t>Ajaysoni7599@gmail.com</t>
  </si>
  <si>
    <t>0007566901001</t>
  </si>
  <si>
    <t>465227</t>
  </si>
  <si>
    <t>Makan-417, Ward- 19, Adarsh Colony, Salsalai, Shajapur</t>
  </si>
  <si>
    <t>NAME::AJAY KUMAR SONI</t>
  </si>
  <si>
    <t>Ajay Pradhan</t>
  </si>
  <si>
    <t>INA000018160</t>
  </si>
  <si>
    <t>Millennium Towers, Bldg A4,, 1th Floor, Flat no 2, Sector 9, Sanpada East</t>
  </si>
  <si>
    <t>ajaypradhan@live.in</t>
  </si>
  <si>
    <t>91009619990991</t>
  </si>
  <si>
    <t>Millennium Towers, Bldg A4, 1th Floor, Flat no 2, Sector 9, Sanpada East</t>
  </si>
  <si>
    <t>Jul 03, 2023</t>
  </si>
  <si>
    <t>live.in</t>
  </si>
  <si>
    <t>NAME::AJAY PRADHAN</t>
  </si>
  <si>
    <t>Ajendra</t>
  </si>
  <si>
    <t>INA000009931</t>
  </si>
  <si>
    <t>Ajendra Raikar</t>
  </si>
  <si>
    <t>391-B Narayan Peth, Shop No 2, Vinay Apartment,</t>
  </si>
  <si>
    <t>ajendraikar@gmail.com</t>
  </si>
  <si>
    <t>Feb 26, 2018</t>
  </si>
  <si>
    <t>NAME::AJENDRA</t>
  </si>
  <si>
    <t>Akash Devidas Borkar</t>
  </si>
  <si>
    <t>INH000006341</t>
  </si>
  <si>
    <t>Akash Borkar</t>
  </si>
  <si>
    <t>Somwari Peth Quarter No 126/2, Behind S B City Collage Nagpur</t>
  </si>
  <si>
    <t>akash.borkar23@gmail.com</t>
  </si>
  <si>
    <t>440027</t>
  </si>
  <si>
    <t>Sep 07, 2018</t>
  </si>
  <si>
    <t>NAME::AKASH DEVIDAS BORKAR</t>
  </si>
  <si>
    <t>Akash Jayantibhai Patel</t>
  </si>
  <si>
    <t>INH000027007</t>
  </si>
  <si>
    <t>Akash Patel</t>
  </si>
  <si>
    <t>56, Shakti Vijay Society, Nr. Saru Nagar, Piplod</t>
  </si>
  <si>
    <t>sales.tirtha@gmail.com</t>
  </si>
  <si>
    <t>009537723253</t>
  </si>
  <si>
    <t>NAME::AKASH JAYANTIBHAI PATEL</t>
  </si>
  <si>
    <t>Akshat Agarwala</t>
  </si>
  <si>
    <t>INH000012360</t>
  </si>
  <si>
    <t>265 Siddhartha Enclave</t>
  </si>
  <si>
    <t>agarwala.akshat@gmail.com</t>
  </si>
  <si>
    <t>May 31, 2023</t>
  </si>
  <si>
    <t>NAME::AKSHAT AGARWALA</t>
  </si>
  <si>
    <t>Akshay Bafna</t>
  </si>
  <si>
    <t>INH000013998</t>
  </si>
  <si>
    <t>Flat No. 202, Ruturang Shravan, Wing G, Parvati</t>
  </si>
  <si>
    <t>akshaybafna2108@gmail.com</t>
  </si>
  <si>
    <t>NAME::AKSHAY BAFNA</t>
  </si>
  <si>
    <t>Akshay Bothra</t>
  </si>
  <si>
    <t>INH200007326</t>
  </si>
  <si>
    <t>7/13, Bommulier Street, Sowcarpet</t>
  </si>
  <si>
    <t>akshaymbothra@gmail.com</t>
  </si>
  <si>
    <t>600001</t>
  </si>
  <si>
    <t>Jul 25, 2019</t>
  </si>
  <si>
    <t>NAME::AKSHAY BOTHRA</t>
  </si>
  <si>
    <t>Akshay Patel</t>
  </si>
  <si>
    <t>INH000017231</t>
  </si>
  <si>
    <t>893, Main Road Bagaspur, Gotegaon, Narisnghpur</t>
  </si>
  <si>
    <t>meakshaypatel@gmail.com</t>
  </si>
  <si>
    <t>487118</t>
  </si>
  <si>
    <t>NAME::AKSHAY PATEL</t>
  </si>
  <si>
    <t>Akshay Pawan Kumar Jain</t>
  </si>
  <si>
    <t>INH000027308</t>
  </si>
  <si>
    <t>Akshay Jain</t>
  </si>
  <si>
    <t>Flat No. 519, Wing E, Bhoomi Green,, Kulupwadi, Borivali E,</t>
  </si>
  <si>
    <t>caakshayjain18@gmail.com</t>
  </si>
  <si>
    <t>0009892448046</t>
  </si>
  <si>
    <t>NAME::AKSHAY PAWAN KUMAR JAIN</t>
  </si>
  <si>
    <t>Alok Daiya</t>
  </si>
  <si>
    <t>INH000011468</t>
  </si>
  <si>
    <t>18, Braja Dulal Street, Beadon Street</t>
  </si>
  <si>
    <t>raalokdaiya@gmail.com</t>
  </si>
  <si>
    <t>919331111888</t>
  </si>
  <si>
    <t>700006</t>
  </si>
  <si>
    <t>NAME::ALOK DAIYA</t>
  </si>
  <si>
    <t>Alok Krushnakant Dharia</t>
  </si>
  <si>
    <t>INH000008738</t>
  </si>
  <si>
    <t>Alok Dharia</t>
  </si>
  <si>
    <t>Off No. F-49, 1st Floor, Shree Ashtavinayak CHS Ltd, CTS No. 195, Old D N Nagar, Andheri (W)</t>
  </si>
  <si>
    <t>alkd1976@gmail.com</t>
  </si>
  <si>
    <t>919004333275</t>
  </si>
  <si>
    <t>Sep 08, 2021</t>
  </si>
  <si>
    <t>NAME::ALOK KRUSHNAKANT DHARIA</t>
  </si>
  <si>
    <t>Aman Rakesh Shah</t>
  </si>
  <si>
    <t>INA000020730</t>
  </si>
  <si>
    <t>Aman Shah</t>
  </si>
  <si>
    <t>C 1502, Ashford Royale, S Samuel Marg, Nahur West</t>
  </si>
  <si>
    <t>ca.aman.shah@gmail.com</t>
  </si>
  <si>
    <t>00919867066755</t>
  </si>
  <si>
    <t>NAME::AMAN RAKESH SHAH</t>
  </si>
  <si>
    <t>Aman Singhal</t>
  </si>
  <si>
    <t>INH000020916</t>
  </si>
  <si>
    <t>Sukhi Sansar Apartments, Flat 518, 5th Floor</t>
  </si>
  <si>
    <t>amansinghal200798@gmail.com</t>
  </si>
  <si>
    <t>919874285076</t>
  </si>
  <si>
    <t>NAME::AMAN SINGHAL</t>
  </si>
  <si>
    <t>Amandeep Singh</t>
  </si>
  <si>
    <t>INA000021225</t>
  </si>
  <si>
    <t>108, Tower 8, RPS SAVANA, SEC 88,Faridabad</t>
  </si>
  <si>
    <t>amandeep87singh@gmail.com</t>
  </si>
  <si>
    <t>00918130085570</t>
  </si>
  <si>
    <t>NAME::AMANDEEP SINGH</t>
  </si>
  <si>
    <t>Amarlal Naraindas Bhatia</t>
  </si>
  <si>
    <t>INH000019284</t>
  </si>
  <si>
    <t>Amarlal Bhatia</t>
  </si>
  <si>
    <t>FF, Shop No 18, CS 276, Site 3, Auda Sardarnagar Market,, Opp Shikarpuri Halwai, B H 101, Main Bus Stand, Sardarnagar,</t>
  </si>
  <si>
    <t>amarsir1203@gmail.com</t>
  </si>
  <si>
    <t>919712342616</t>
  </si>
  <si>
    <t>FF, Shop No 18, CS 276, Site 3, Auda Sardarnagar Market, Opp Shikarpuri Halwai, B H 101, Main Bus Stand, Sardarnagar,</t>
  </si>
  <si>
    <t>NAME::AMARLAL NARAINDAS BHATIA</t>
  </si>
  <si>
    <t>Amit Dhamija</t>
  </si>
  <si>
    <t>INH000019804</t>
  </si>
  <si>
    <t>3rd Floor, C 7, Sai Chowk, Madhu Vihar,, Patparganj, Delhi</t>
  </si>
  <si>
    <t>amitdhamija1@gmail.com</t>
  </si>
  <si>
    <t>919811702113</t>
  </si>
  <si>
    <t>3rd Floor, C 7, Sai Chowk, Madhu Vihar, Patparganj, Delhi</t>
  </si>
  <si>
    <t>NAME::AMIT DHAMIJA</t>
  </si>
  <si>
    <t>Amit Kumar Gupta</t>
  </si>
  <si>
    <t>INH100009327</t>
  </si>
  <si>
    <t>D130, Upper ground floor, Preet vihar</t>
  </si>
  <si>
    <t>amitgupta0310@gmail.com</t>
  </si>
  <si>
    <t>Apr 01, 2022</t>
  </si>
  <si>
    <t>NAME::AMIT KUMAR GUPTA</t>
  </si>
  <si>
    <t>Amit Lall</t>
  </si>
  <si>
    <t>INH000018416</t>
  </si>
  <si>
    <t>D2, 74 Bungalows, Swami Dayanand Nagar</t>
  </si>
  <si>
    <t>amitlall.79@gmail.com</t>
  </si>
  <si>
    <t>NAME::AMIT LALL</t>
  </si>
  <si>
    <t>Amit Popli</t>
  </si>
  <si>
    <t>INH000024082</t>
  </si>
  <si>
    <t>D-1, Raj Residency, , Kaushambi</t>
  </si>
  <si>
    <t>amit.popli28@gmail.com</t>
  </si>
  <si>
    <t>919999989141</t>
  </si>
  <si>
    <t>NAME::AMIT POPLI</t>
  </si>
  <si>
    <t>Amit Shreeram Goel</t>
  </si>
  <si>
    <t>INH000008011</t>
  </si>
  <si>
    <t>Amit Goel</t>
  </si>
  <si>
    <t>B 403 Lakshachandi Heights, Krishna Vatika Marg, Gokuldham, Goregaon East</t>
  </si>
  <si>
    <t>amitgoel217@gmail.com</t>
  </si>
  <si>
    <t>Dec 23, 2020</t>
  </si>
  <si>
    <t>NAME::AMIT SHREERAM GOEL</t>
  </si>
  <si>
    <t>Amit Suresh Jain</t>
  </si>
  <si>
    <t>INH000005184</t>
  </si>
  <si>
    <t>Amit Jain</t>
  </si>
  <si>
    <t>Amit Suresh Jain,204,NYATI EMPIRE,ZIRCON FLR,HASDAPSAR BYPASS,  HOSPITAL,, BEHIND COLAMBIA ASIA</t>
  </si>
  <si>
    <t>amitsureshjain@gmail.com</t>
  </si>
  <si>
    <t>9102027003100</t>
  </si>
  <si>
    <t>Amit Suresh Jain,204,NYATI EMPIRE,ZIRCON FLR,HASDAPSAR BYPASS,  HOSPITAL, BEHIND COLAMBIA ASIA</t>
  </si>
  <si>
    <t>Sep 05, 2017</t>
  </si>
  <si>
    <t>NAME::AMIT SURESH JAIN</t>
  </si>
  <si>
    <t>Amit Vinayak Ghag</t>
  </si>
  <si>
    <t>INA000019646</t>
  </si>
  <si>
    <t>Amit Ghag</t>
  </si>
  <si>
    <t>C802, Park Royale Housing Society, Near, Kokane Chowk, Rahatani, Pune</t>
  </si>
  <si>
    <t>amitghag@gmail.com</t>
  </si>
  <si>
    <t>919819513617</t>
  </si>
  <si>
    <t>NAME::AMIT VINAYAK GHAG</t>
  </si>
  <si>
    <t>Amit kori</t>
  </si>
  <si>
    <t>INH000016533</t>
  </si>
  <si>
    <t>Amit Kori</t>
  </si>
  <si>
    <t>ROOM NO 4 BAWKAR CHAWL, TEMBIPADA ROAD BHANDUP WEST</t>
  </si>
  <si>
    <t>amitkkori@gmail.com</t>
  </si>
  <si>
    <t>919137932216</t>
  </si>
  <si>
    <t>B1101 SAI SATHA CRYSTAL, TEMBIPADA ROAD BHANDUP WEST</t>
  </si>
  <si>
    <t>NAME::AMIT KORI</t>
  </si>
  <si>
    <t>Amod Santosh Tirmanwar</t>
  </si>
  <si>
    <t>INH000025230</t>
  </si>
  <si>
    <t>Amod Tirmanwar</t>
  </si>
  <si>
    <t>B 304, Nancy Lake Homes SN 8, Opposite Bharti Vidyapeeth Pune  Satara Road, Katraj</t>
  </si>
  <si>
    <t>work.amod@gmail.com</t>
  </si>
  <si>
    <t>NAME::AMOD SANTOSH TIRMANWAR</t>
  </si>
  <si>
    <t>Amol Ramakant Surwade</t>
  </si>
  <si>
    <t>INH000020749</t>
  </si>
  <si>
    <t>Amol Surwade</t>
  </si>
  <si>
    <t>1008 MIO PALAZZO SOCIETY, KHARADI</t>
  </si>
  <si>
    <t>amol.rs31@gmail.com</t>
  </si>
  <si>
    <t>918149342447</t>
  </si>
  <si>
    <t>NAME::AMOL RAMAKANT SURWADE</t>
  </si>
  <si>
    <t>Anand Biswas</t>
  </si>
  <si>
    <t>INA000022659</t>
  </si>
  <si>
    <t>A501, Aster, Socorro Gardens, Socorro, Porvorim, North Goa</t>
  </si>
  <si>
    <t>biswas.anand@gmail.com</t>
  </si>
  <si>
    <t>00918017817123</t>
  </si>
  <si>
    <t>PANAJI</t>
  </si>
  <si>
    <t>403501</t>
  </si>
  <si>
    <t>NAME::ANAND BISWAS</t>
  </si>
  <si>
    <t>Anand Janardhan Chaudhari</t>
  </si>
  <si>
    <t>INH000025151</t>
  </si>
  <si>
    <t>Anand Chaudhari</t>
  </si>
  <si>
    <t>Hawaldar Pura, Near Lingi Temple, c/o J. T. Chaudhari, ward no 13. wardha</t>
  </si>
  <si>
    <t>tradesbyanand@gmail.com</t>
  </si>
  <si>
    <t>0009270744454</t>
  </si>
  <si>
    <t>442001</t>
  </si>
  <si>
    <t>NAME::ANAND JANARDHAN CHAUDHARI</t>
  </si>
  <si>
    <t>Anand Manish</t>
  </si>
  <si>
    <t>INA000021119</t>
  </si>
  <si>
    <t>1 BL, Sanjeeva Town Duplex, Thakdari, Newtown</t>
  </si>
  <si>
    <t>anand.manish1@gmail.com</t>
  </si>
  <si>
    <t>919775035496</t>
  </si>
  <si>
    <t>NAME::ANAND MANISH</t>
  </si>
  <si>
    <t>Anand Rawani</t>
  </si>
  <si>
    <t>INH000022039</t>
  </si>
  <si>
    <t>C 1105, VVIP Homes, Gaur City  2, Plot No GH03, Sector 16C, Greater Noida West</t>
  </si>
  <si>
    <t>anandrawani@gmail.com</t>
  </si>
  <si>
    <t>919873887775</t>
  </si>
  <si>
    <t>NAME::ANAND RAWANI</t>
  </si>
  <si>
    <t>Angry Traders</t>
  </si>
  <si>
    <t>INH000023506</t>
  </si>
  <si>
    <t>Gandhi Kunal Santosh</t>
  </si>
  <si>
    <t>PL. No. 9, Shakti Ganga Bungalow, Gulmohar , Road, Savedi, Nagar, Mahanagarpalika</t>
  </si>
  <si>
    <t>traderangry@gmail.com</t>
  </si>
  <si>
    <t>918446209309</t>
  </si>
  <si>
    <t>414003</t>
  </si>
  <si>
    <t>NAME::ANGRY TRADERS</t>
  </si>
  <si>
    <t>Anik Mitra</t>
  </si>
  <si>
    <t>INH000023180</t>
  </si>
  <si>
    <t>Vivekananda Pally, PO Khamarchandi, PS Haripal</t>
  </si>
  <si>
    <t>capital10x.ventures@gmail.com</t>
  </si>
  <si>
    <t>918100782007</t>
  </si>
  <si>
    <t>712405</t>
  </si>
  <si>
    <t>NAME::ANIK MITRA</t>
  </si>
  <si>
    <t>Aniket Nerkar</t>
  </si>
  <si>
    <t>INH000009162</t>
  </si>
  <si>
    <t>Shop No. 5, Ground Floor, Shreenath Residency-1 CHS, Jaideep Nagar, Bhandup (East)</t>
  </si>
  <si>
    <t>aniketnerkar11@gmail.com</t>
  </si>
  <si>
    <t>400042</t>
  </si>
  <si>
    <t>A/1203, Sagar Garden CHS, LBS Road, Opposite Vasant Oscar, Mulund (West)</t>
  </si>
  <si>
    <t>Feb 24, 2022</t>
  </si>
  <si>
    <t>NAME::ANIKET NERKAR</t>
  </si>
  <si>
    <t>Aniket Prakashbhai Nemade</t>
  </si>
  <si>
    <t>INH000021933</t>
  </si>
  <si>
    <t>Aniket Nemade</t>
  </si>
  <si>
    <t>Office No.4, GF Gokul Avenue, Opp. Jain Derasar, R V Desai Road Vadodara 390004</t>
  </si>
  <si>
    <t>iamaniketnemade1@gmail.com</t>
  </si>
  <si>
    <t>919638545435</t>
  </si>
  <si>
    <t>390004</t>
  </si>
  <si>
    <t>NAME::ANIKET PRAKASHBHAI NEMADE</t>
  </si>
  <si>
    <t>Anil Kumar Agarwal</t>
  </si>
  <si>
    <t>INH000023542</t>
  </si>
  <si>
    <t>Anil Agarwal</t>
  </si>
  <si>
    <t>7 19, 7th Floor FN 703 Anand Prestige, Tilak Nagar</t>
  </si>
  <si>
    <t>akaiitk1991@gmail.com</t>
  </si>
  <si>
    <t>919794178000</t>
  </si>
  <si>
    <t>NAME::ANIL KUMAR AGARWAL</t>
  </si>
  <si>
    <t>Anil bhaiyalal yadav</t>
  </si>
  <si>
    <t>INH000024657</t>
  </si>
  <si>
    <t>ANIL  YADAV</t>
  </si>
  <si>
    <t>PL NO 55,SR NO 129,, DUTTA MANDIR ROAD SHIVAJI NAGAR SATPUR</t>
  </si>
  <si>
    <t>iamanilyadav025@gmail.com</t>
  </si>
  <si>
    <t>918087570829</t>
  </si>
  <si>
    <t>422012</t>
  </si>
  <si>
    <t>PL NO 55,SR NO 129, DUTTA MANDIR ROAD SHIVAJI NAGAR SATPUR</t>
  </si>
  <si>
    <t>NAME::ANIL BHAIYALAL YADAV</t>
  </si>
  <si>
    <t>Ankit Dinesh Mehta</t>
  </si>
  <si>
    <t>INH000025577</t>
  </si>
  <si>
    <t>Ankit Mehta</t>
  </si>
  <si>
    <t>Shop No S-11 Plot No 9 Sector No 17 SANPADA  400705</t>
  </si>
  <si>
    <t>ankitmehta99@gmail.com</t>
  </si>
  <si>
    <t>919619889777</t>
  </si>
  <si>
    <t>NAME::ANKIT DINESH MEHTA</t>
  </si>
  <si>
    <t>Ankit Singh Solanki</t>
  </si>
  <si>
    <t>INH000026770</t>
  </si>
  <si>
    <t>Ankit Solanki</t>
  </si>
  <si>
    <t>211 Kailashpuri, Kanadia, Near Bangali Square</t>
  </si>
  <si>
    <t>sscapital2255@gmail.com</t>
  </si>
  <si>
    <t>918878555055</t>
  </si>
  <si>
    <t>NAME::ANKIT SINGH SOLANKI</t>
  </si>
  <si>
    <t>Ankur Kapur</t>
  </si>
  <si>
    <t>INH000028398</t>
  </si>
  <si>
    <t>ANKUR  KAPUR</t>
  </si>
  <si>
    <t>9B, Shivalik Apartment, Plot No.32, Sector 6, Dwarka, New Delhi</t>
  </si>
  <si>
    <t>ankur.kapur4@gmail.com</t>
  </si>
  <si>
    <t>00001243548069</t>
  </si>
  <si>
    <t>NAME::ANKUR KAPUR</t>
  </si>
  <si>
    <t>Ankush Bajaj</t>
  </si>
  <si>
    <t>INH000010441</t>
  </si>
  <si>
    <t>Ankush   Bajaj</t>
  </si>
  <si>
    <t>A85C SECTOR 12, KAMAL VIHAR</t>
  </si>
  <si>
    <t>alfafineducon@gmail.com</t>
  </si>
  <si>
    <t>NAME::ANKUSH BAJAJ</t>
  </si>
  <si>
    <t>Ankush Dhanendra Agrawal</t>
  </si>
  <si>
    <t>INH000008941</t>
  </si>
  <si>
    <t>Ankush Agrawal</t>
  </si>
  <si>
    <t>S.o. Dhanendra Agrawal, Charegaonwale complex, Balaghat road Mu Po Gondia, Marartoli, Gondia city</t>
  </si>
  <si>
    <t>ankush12495@outlook.com</t>
  </si>
  <si>
    <t>441614</t>
  </si>
  <si>
    <t>NAME::ANKUSH DHANENDRA AGRAWAL</t>
  </si>
  <si>
    <t>Ankush Suresh Jain</t>
  </si>
  <si>
    <t>INH000008923</t>
  </si>
  <si>
    <t>Ankush  Jain</t>
  </si>
  <si>
    <t>C-902 Pittie Kourtyard, , Near Sunderbai School, Chandan Nagar</t>
  </si>
  <si>
    <t>ankushsureshjain@gmail.com</t>
  </si>
  <si>
    <t>NAME::ANKUSH SURESH JAIN</t>
  </si>
  <si>
    <t>Ansh Bhilwar</t>
  </si>
  <si>
    <t>INH000011839</t>
  </si>
  <si>
    <t>1108, Cress, Building 9,, Regency Anantam, Vicco Naka</t>
  </si>
  <si>
    <t>anshbhilwar@gmail.com</t>
  </si>
  <si>
    <t>421203</t>
  </si>
  <si>
    <t>1108, Cress, Building 9, Regency Anantam, Vicco Naka</t>
  </si>
  <si>
    <t>NAME::ANSH BHILWAR</t>
  </si>
  <si>
    <t>Ansh Hiran</t>
  </si>
  <si>
    <t>INH000025513</t>
  </si>
  <si>
    <t>Devendra Kumar Hiran, Dev Raman, Ward no.6, Near Bus Stand, Gangapur ,Dist. BhilwaraRajasthan</t>
  </si>
  <si>
    <t>anshhiran38@gmail.com</t>
  </si>
  <si>
    <t>009186969336</t>
  </si>
  <si>
    <t>BHILWARA</t>
  </si>
  <si>
    <t>311801</t>
  </si>
  <si>
    <t>NAME::ANSH HIRAN</t>
  </si>
  <si>
    <t>Anshu Nadir</t>
  </si>
  <si>
    <t>INH000025559</t>
  </si>
  <si>
    <t>C-197, second floor, BPTP Astaire Gardens, Sector 70</t>
  </si>
  <si>
    <t>anshu.nadir@gmail.com</t>
  </si>
  <si>
    <t>911244948214</t>
  </si>
  <si>
    <t>NAME::ANSHU NADIR</t>
  </si>
  <si>
    <t>Anshul</t>
  </si>
  <si>
    <t>INA000021748</t>
  </si>
  <si>
    <t>Anshul Anshul</t>
  </si>
  <si>
    <t>973, Sec 19, Part 1, Huda, Sirsa,</t>
  </si>
  <si>
    <t>anshulbishnoi0029@gmail.com</t>
  </si>
  <si>
    <t>00919896698529</t>
  </si>
  <si>
    <t>Hisar</t>
  </si>
  <si>
    <t>125055</t>
  </si>
  <si>
    <t>NAME::ANSHUL</t>
  </si>
  <si>
    <t>Anshul Pathania</t>
  </si>
  <si>
    <t>INH000010751</t>
  </si>
  <si>
    <t>901, Sunset Heights,, Hatiskar Marg, Prabhadevi</t>
  </si>
  <si>
    <t>anshul.pathania@gmail.com</t>
  </si>
  <si>
    <t>901, Sunset Heights, Hatiskar Marg, Prabhadevi</t>
  </si>
  <si>
    <t>NAME::ANSHUL PATHANIA</t>
  </si>
  <si>
    <t>Anshuman Chatterjee</t>
  </si>
  <si>
    <t>INH000006314</t>
  </si>
  <si>
    <t>Flat No. 1123, Kohinoor City Phase I, , Kirol Road, Kurla West</t>
  </si>
  <si>
    <t>chatterjee.anshu@gmail.com</t>
  </si>
  <si>
    <t>NAME::ANSHUMAN CHATTERJEE</t>
  </si>
  <si>
    <t>Anudeep Yadav</t>
  </si>
  <si>
    <t>INA000020961</t>
  </si>
  <si>
    <t>Flat No 122, 2nd Floor , Rose Apptt. Sector 18B, Dwarka NSIT Delhi</t>
  </si>
  <si>
    <t>iawithanudeep@gmail.com</t>
  </si>
  <si>
    <t>00919910109683</t>
  </si>
  <si>
    <t>NAME::ANUDEEP YADAV</t>
  </si>
  <si>
    <t>Anuj Garg</t>
  </si>
  <si>
    <t>INH000018328</t>
  </si>
  <si>
    <t>1A, New Mandi</t>
  </si>
  <si>
    <t>g.anuj11@gmail.com</t>
  </si>
  <si>
    <t>251001</t>
  </si>
  <si>
    <t>NAME::ANUJ GARG</t>
  </si>
  <si>
    <t>Anup Kalra</t>
  </si>
  <si>
    <t>INA100010439</t>
  </si>
  <si>
    <t>28 GF, NRI Complex, Greater Kailash IV</t>
  </si>
  <si>
    <t>anup_kalra@yahoo.com</t>
  </si>
  <si>
    <t>May 07, 2018</t>
  </si>
  <si>
    <t>NAME::ANUP KALRA</t>
  </si>
  <si>
    <t>Anupam Bajpai</t>
  </si>
  <si>
    <t>INH000016339</t>
  </si>
  <si>
    <t>anupam bajpai</t>
  </si>
  <si>
    <t>House no. B- 140 Silicon City, Indore Rajendra Nagar</t>
  </si>
  <si>
    <t>anupamvajpayee0731@gmail.com</t>
  </si>
  <si>
    <t>NAME::ANUPAM BAJPAI</t>
  </si>
  <si>
    <t>Anupam Shrivastava</t>
  </si>
  <si>
    <t>INH000011510</t>
  </si>
  <si>
    <t>336, SBI Colony, Baldeobag, Lehari Baba Ashram, Jabalpur, Madhya Pradesh - 482001</t>
  </si>
  <si>
    <t>alwaysmile4@gmail.com</t>
  </si>
  <si>
    <t>Feb 24, 2023</t>
  </si>
  <si>
    <t>NAME::ANUPAM SHRIVASTAVA</t>
  </si>
  <si>
    <t>Anushree Agarwal</t>
  </si>
  <si>
    <t>INA000020402</t>
  </si>
  <si>
    <t>Flat 31, Dhanushree Complex,, Sigra, Varanasi,</t>
  </si>
  <si>
    <t>anushreeagarwal97@gmail.com</t>
  </si>
  <si>
    <t>00919560426481</t>
  </si>
  <si>
    <t>Flat 31, Dhanushree Complex, Sigra, Varanasi,</t>
  </si>
  <si>
    <t>NAME::ANUSHREE AGARWAL</t>
  </si>
  <si>
    <t>Aparnathi Hiteshgar Mansukhgar</t>
  </si>
  <si>
    <t>INH000027797</t>
  </si>
  <si>
    <t>Aparnathi Mansukhgar</t>
  </si>
  <si>
    <t>B/h, Swaminarayan Gurukul, Ghediya Koli Chhatralay, N.r Krishna Pan Chhaya, Porbandar</t>
  </si>
  <si>
    <t>aparnathihiteshgar@gmail.com</t>
  </si>
  <si>
    <t>360575</t>
  </si>
  <si>
    <t>NAME::APARNATHI HITESHGAR MANSUKHGAR</t>
  </si>
  <si>
    <t>INH000018072</t>
  </si>
  <si>
    <t>HD 260, WeWork Embassy TechVillage, Block L, Outer Ring Road, Bellandur, Devara Beesana Halli</t>
  </si>
  <si>
    <t>anand.arjit@gmail.com</t>
  </si>
  <si>
    <t>NAME::ARJIT ANAND</t>
  </si>
  <si>
    <t>Arjun L</t>
  </si>
  <si>
    <t>INH000021003</t>
  </si>
  <si>
    <t>Arjun Loganathan</t>
  </si>
  <si>
    <t>D No3.190.1 A, Vanvasi,East Vanavasi,Tamil Nadu</t>
  </si>
  <si>
    <t>flyingcalls@gmail.com</t>
  </si>
  <si>
    <t>919865977321</t>
  </si>
  <si>
    <t>636457</t>
  </si>
  <si>
    <t>NAME::ARJUN L</t>
  </si>
  <si>
    <t>Arka Dutta Gupta</t>
  </si>
  <si>
    <t>INH000025063</t>
  </si>
  <si>
    <t>Arka Gupta</t>
  </si>
  <si>
    <t>Suryaa Residency, Flat-4G 115A/1 N.S.C.  Bose RD</t>
  </si>
  <si>
    <t>arkadg7@gmail.com</t>
  </si>
  <si>
    <t>03324815707</t>
  </si>
  <si>
    <t>700040</t>
  </si>
  <si>
    <t>NAME::ARKA DUTTA GUPTA</t>
  </si>
  <si>
    <t>INA100014055</t>
  </si>
  <si>
    <t>309, Ward 5, Vijay Dharamshala Road, Vijay Mandi, Muradnagar</t>
  </si>
  <si>
    <t>arpitgoel075@gmail.com</t>
  </si>
  <si>
    <t>201206</t>
  </si>
  <si>
    <t>Oct 10, 2019</t>
  </si>
  <si>
    <t>NAME::ARPIT GOEL</t>
  </si>
  <si>
    <t>Arpit Goyal</t>
  </si>
  <si>
    <t>INH000013129</t>
  </si>
  <si>
    <t>202, Akanksha Complex, MP nagar Zone-I</t>
  </si>
  <si>
    <t>agbpl2354@gmail.com</t>
  </si>
  <si>
    <t>NAME::ARPIT GOYAL</t>
  </si>
  <si>
    <t>Arun Baijnath Sharma</t>
  </si>
  <si>
    <t>INA000021270</t>
  </si>
  <si>
    <t>Arun Sharma</t>
  </si>
  <si>
    <t>M76, Cactus Corporate Coworking, 173, , 2nd Floor, Block B, Tecci Park, OMR, Sholinganallur</t>
  </si>
  <si>
    <t>abswealthadvisor@gmail.com</t>
  </si>
  <si>
    <t>919962582833</t>
  </si>
  <si>
    <t>NAME::ARUN BAIJNATH SHARMA</t>
  </si>
  <si>
    <t>Arun Kumar Agrawal</t>
  </si>
  <si>
    <t>INH000023861</t>
  </si>
  <si>
    <t>Arun Kumar  Agrawal</t>
  </si>
  <si>
    <t>1st Block 2a singapore, city mobha bazar raipur chhattisgarh</t>
  </si>
  <si>
    <t>akafinance2026@gmail.com</t>
  </si>
  <si>
    <t>917987331143</t>
  </si>
  <si>
    <t>NAME::ARUN KUMAR AGRAWAL</t>
  </si>
  <si>
    <t>Arun Ramabhadran</t>
  </si>
  <si>
    <t>INA000020590</t>
  </si>
  <si>
    <t>Arun  Ramabhadran</t>
  </si>
  <si>
    <t>C-703, Lovely Home Society, Dwarika Sector  5</t>
  </si>
  <si>
    <t>arun_27march@yahoo.com</t>
  </si>
  <si>
    <t>919015532329</t>
  </si>
  <si>
    <t>NAME::ARUN RAMABHADRAN</t>
  </si>
  <si>
    <t>Arunkumar G</t>
  </si>
  <si>
    <t>INH000028486</t>
  </si>
  <si>
    <t>Arun  kumar G</t>
  </si>
  <si>
    <t>Flat No.47 ,Swiss cottage street , VGN Brent park, Shanthi nagar ,Ambattur ,Chennai</t>
  </si>
  <si>
    <t>arung2696@gmail.com</t>
  </si>
  <si>
    <t>0919445655130</t>
  </si>
  <si>
    <t>600058</t>
  </si>
  <si>
    <t>NAME::ARUNKUMAR G</t>
  </si>
  <si>
    <t>Aseem Sen Gupta</t>
  </si>
  <si>
    <t>INA100012279</t>
  </si>
  <si>
    <t>Aseem Gupta</t>
  </si>
  <si>
    <t>406, Cedar Estate, GH 90, Sector 54, Gurgaon sector 56</t>
  </si>
  <si>
    <t>aseemsengupta@gmail.com</t>
  </si>
  <si>
    <t>Dec 27, 2018</t>
  </si>
  <si>
    <t>NAME::ASEEM SEN GUPTA</t>
  </si>
  <si>
    <t>Aseem Singhal</t>
  </si>
  <si>
    <t>INH000024976</t>
  </si>
  <si>
    <t>A-5 , Sector 23, Noida, Gautam Buddha  Nagar</t>
  </si>
  <si>
    <t>aseem12321@gmail.com</t>
  </si>
  <si>
    <t>NAME::ASEEM SINGHAL</t>
  </si>
  <si>
    <t>Ashim Sharma</t>
  </si>
  <si>
    <t>INA100010323</t>
  </si>
  <si>
    <t>Ashim  Sharma</t>
  </si>
  <si>
    <t>3/2 Shanti Niketan, First Floor</t>
  </si>
  <si>
    <t>sharmaashim@hotmail.com</t>
  </si>
  <si>
    <t>Apr 13, 2018</t>
  </si>
  <si>
    <t>NAME::ASHIM SHARMA</t>
  </si>
  <si>
    <t>Ashish Demla</t>
  </si>
  <si>
    <t>INH000028219</t>
  </si>
  <si>
    <t>Ashish  Demla</t>
  </si>
  <si>
    <t>Aggarsain Puram Colony, Behind kirti Hospital Pehowa Chowk</t>
  </si>
  <si>
    <t>ashishdemla321@gmail.com</t>
  </si>
  <si>
    <t>0009729284671</t>
  </si>
  <si>
    <t>136027</t>
  </si>
  <si>
    <t>NAME::ASHISH DEMLA</t>
  </si>
  <si>
    <t>Ashish Gupta</t>
  </si>
  <si>
    <t>INA000022109</t>
  </si>
  <si>
    <t>107A Riverdale Aerovista Apartments, Airport Road, SAS Nagar</t>
  </si>
  <si>
    <t>gashish2307@gmail.com</t>
  </si>
  <si>
    <t>007042970030</t>
  </si>
  <si>
    <t>NAME::ASHISH GUPTA</t>
  </si>
  <si>
    <t>Ashish Prakash Tripathi</t>
  </si>
  <si>
    <t>INH000025009</t>
  </si>
  <si>
    <t>Ashish Tripathi</t>
  </si>
  <si>
    <t>B-2/304, Vishvas Flats, Behind J.G. International School, Gulab Tower Road, Thaltej</t>
  </si>
  <si>
    <t>csaptripathi@gmail.com</t>
  </si>
  <si>
    <t>NAME::ASHISH PRAKASH TRIPATHI</t>
  </si>
  <si>
    <t>Ashok Bhandari</t>
  </si>
  <si>
    <t>INH000019549</t>
  </si>
  <si>
    <t>L2 D, Kanha Complex, Plot No. 6 161, Rajender Nagar, Sector 2, Paswada Pasonda, Garhmukteshwar</t>
  </si>
  <si>
    <t>ashokbhandari74@gmail.com</t>
  </si>
  <si>
    <t>919773578026</t>
  </si>
  <si>
    <t>201005</t>
  </si>
  <si>
    <t>NAME::ASHOK BHANDARI</t>
  </si>
  <si>
    <t>Ashutosh Kumar Gupta</t>
  </si>
  <si>
    <t>INA000019974</t>
  </si>
  <si>
    <t>Ashutosh Gupta</t>
  </si>
  <si>
    <t>Flat No- 202 S/F Front Side Right Side, Dall Mill Road, Uttam nagar, New Delhi</t>
  </si>
  <si>
    <t>gupta.ashutoshh@gmail.com</t>
  </si>
  <si>
    <t>919611879940</t>
  </si>
  <si>
    <t>NAME::ASHUTOSH KUMAR GUPTA</t>
  </si>
  <si>
    <t>INH000020679</t>
  </si>
  <si>
    <t>Flat No.202, Vinayak Apartment, Dall Mill Road,, Uttam Nagar West, Uttam Nagar, West Delhi, Delhi</t>
  </si>
  <si>
    <t>Flat No.202, Vinayak Apartment, Dall Mill Road, Uttam Nagar West, Uttam Nagar, West Delhi, Delhi</t>
  </si>
  <si>
    <t>Ashvin Patidar</t>
  </si>
  <si>
    <t>INH000022181</t>
  </si>
  <si>
    <t>469 A SECTOR PT, DINDHYAL UPADHYAY NAGAR, SUKHLIYA</t>
  </si>
  <si>
    <t>ashvin.patidar0077@gmail.com</t>
  </si>
  <si>
    <t>917312599077</t>
  </si>
  <si>
    <t>NAME::ASHVIN PATIDAR</t>
  </si>
  <si>
    <t>Ashwin Ramakrishnan</t>
  </si>
  <si>
    <t>INA000019150</t>
  </si>
  <si>
    <t>Ashwin  Ramakrishnan</t>
  </si>
  <si>
    <t>C-6, Mohana Apartments, 96, Arcot Road, Virugambakkam</t>
  </si>
  <si>
    <t>ashwinsden@gmail.com</t>
  </si>
  <si>
    <t>918438907369</t>
  </si>
  <si>
    <t>600092</t>
  </si>
  <si>
    <t>NAME::ASHWIN RAMAKRISHNAN</t>
  </si>
  <si>
    <t>Asit Baran Pati</t>
  </si>
  <si>
    <t>INH000012795</t>
  </si>
  <si>
    <t>Asit Pati</t>
  </si>
  <si>
    <t>Tower-7/3801, Tata Primanti, Sector-72, Near Vatika Chowk, Sohna Road</t>
  </si>
  <si>
    <t>asit.pati@gmail.com</t>
  </si>
  <si>
    <t>NAME::ASIT BARAN PATI</t>
  </si>
  <si>
    <t>Atul Bapna</t>
  </si>
  <si>
    <t>INH000021997</t>
  </si>
  <si>
    <t>Atul  Bapna</t>
  </si>
  <si>
    <t>8 6 Jawhar marg gali no 6 Indore</t>
  </si>
  <si>
    <t>atulbapna638@gmail.com</t>
  </si>
  <si>
    <t>917509544840</t>
  </si>
  <si>
    <t>NAME::ATUL BAPNA</t>
  </si>
  <si>
    <t>Atul Gupta</t>
  </si>
  <si>
    <t>INA000016977</t>
  </si>
  <si>
    <t>71 Maker Tower B, Near World Trade Centre Cuffe Parade</t>
  </si>
  <si>
    <t>atulashokgupta@gmail.com</t>
  </si>
  <si>
    <t>919820596208</t>
  </si>
  <si>
    <t>NAME::ATUL GUPTA</t>
  </si>
  <si>
    <t>Autobulls</t>
  </si>
  <si>
    <t>INH000027511</t>
  </si>
  <si>
    <t>Swanubhav  Jain</t>
  </si>
  <si>
    <t>1st Floor, 17-A, Lajpath Nagar, Tilawala, Jagatpura, Jaipur</t>
  </si>
  <si>
    <t>swanubhav@gmail.com</t>
  </si>
  <si>
    <t>00009829799164</t>
  </si>
  <si>
    <t>NAME::AUTOBULLS</t>
  </si>
  <si>
    <t>Avinash Jaiswal</t>
  </si>
  <si>
    <t>INH000018966</t>
  </si>
  <si>
    <t>91,Bajrang NagarnOpp Kesar Hotel,Khandwa</t>
  </si>
  <si>
    <t>a.vedicresearch@gmail.com</t>
  </si>
  <si>
    <t>450001</t>
  </si>
  <si>
    <t>NAME::AVINASH JAISWAL</t>
  </si>
  <si>
    <t>Ayush Lath</t>
  </si>
  <si>
    <t>INA000021368</t>
  </si>
  <si>
    <t>TR-154, Altf Orchid Business Park, Badshahpur, Sohna Road Highway, Central Park-II, Sector-48, Gurugram</t>
  </si>
  <si>
    <t>lathayush1@gmail.com</t>
  </si>
  <si>
    <t>00917813933422</t>
  </si>
  <si>
    <t>122004</t>
  </si>
  <si>
    <t>NAME::AYUSH LATH</t>
  </si>
  <si>
    <t>Ayush Sharma</t>
  </si>
  <si>
    <t>INA000020475</t>
  </si>
  <si>
    <t>A-240 Nehru Nagar Pani Pech, Jaipur, Rajasthan</t>
  </si>
  <si>
    <t>ayushsharma864@gmail.com</t>
  </si>
  <si>
    <t>00919530005226</t>
  </si>
  <si>
    <t>302016</t>
  </si>
  <si>
    <t>NAME::AYUSH SHARMA</t>
  </si>
  <si>
    <t>INH000021429</t>
  </si>
  <si>
    <t>A-240, Neharu nagar, Jaipur, Rajasthan- 302016</t>
  </si>
  <si>
    <t>919530005226</t>
  </si>
  <si>
    <t>Ayush Shrivastav</t>
  </si>
  <si>
    <t>INH000026284</t>
  </si>
  <si>
    <t>Ayush  Shrivastav</t>
  </si>
  <si>
    <t>95, Kishan Ganj, Mhow</t>
  </si>
  <si>
    <t>ayushvas32139@gmail.com</t>
  </si>
  <si>
    <t>NAME::AYUSH SHRIVASTAV</t>
  </si>
  <si>
    <t>B Gopala Krishnan</t>
  </si>
  <si>
    <t>INH000017046</t>
  </si>
  <si>
    <t>B Krishnan</t>
  </si>
  <si>
    <t>Plot no - 116,, 4th Street, Ambal Nagar,</t>
  </si>
  <si>
    <t>gopalcreed@yahoo.com</t>
  </si>
  <si>
    <t>Plot no - 116, 4th Street, Ambal Nagar,</t>
  </si>
  <si>
    <t>NAME::B GOPALA KRISHNAN</t>
  </si>
  <si>
    <t>B KARTHIKEYAN</t>
  </si>
  <si>
    <t>INH000026725</t>
  </si>
  <si>
    <t>KARTHIKEYAN BALASUBRAMANI</t>
  </si>
  <si>
    <t>Old No. 6, New No. 11, Alwarpet 1st Street</t>
  </si>
  <si>
    <t>karthikeyanbalu2002@gmail.com</t>
  </si>
  <si>
    <t>919840591735</t>
  </si>
  <si>
    <t>NAME::B KARTHIKEYAN</t>
  </si>
  <si>
    <t>BHATU KISANBHAI DESALE</t>
  </si>
  <si>
    <t>INH000018647</t>
  </si>
  <si>
    <t>BHATU  DESA</t>
  </si>
  <si>
    <t>391, Rameshwar Nagar, Bamroli Road, Surat City, Surat, Gujarat</t>
  </si>
  <si>
    <t>bk.researchanalyst@gmail.com</t>
  </si>
  <si>
    <t>919327368673</t>
  </si>
  <si>
    <t>394221</t>
  </si>
  <si>
    <t>NAME::BHATU KISANBHAI DESALE</t>
  </si>
  <si>
    <t>BHOLANATH DAS</t>
  </si>
  <si>
    <t>INH000027247</t>
  </si>
  <si>
    <t>Samantar Chak Chhoto Sanko, Akshaynagar, Kakdwip, South 24 Parganas</t>
  </si>
  <si>
    <t>bholanathdas.bd12@gmail.com</t>
  </si>
  <si>
    <t>007001312773</t>
  </si>
  <si>
    <t>743347</t>
  </si>
  <si>
    <t>NAME::BHOLANATH DAS</t>
  </si>
  <si>
    <t>BHUSHAN KANATHE</t>
  </si>
  <si>
    <t>INH000024514</t>
  </si>
  <si>
    <t>Ward No 35 Khadan, H No 532 Hansapuri</t>
  </si>
  <si>
    <t>bhushan.kanathe@gmail.com</t>
  </si>
  <si>
    <t>919511700488</t>
  </si>
  <si>
    <t>NAME::BHUSHAN KANATHE</t>
  </si>
  <si>
    <t>BIBEKANANDA ROY</t>
  </si>
  <si>
    <t>INH000023250</t>
  </si>
  <si>
    <t>North 24 Parganas, Joypur, Chhaygharia, Near GSP primary school, Bongaon</t>
  </si>
  <si>
    <t>royresearchanalyst@gmail.com</t>
  </si>
  <si>
    <t>917047772744</t>
  </si>
  <si>
    <t>743235</t>
  </si>
  <si>
    <t>NAME::BIBEKANANDA ROY</t>
  </si>
  <si>
    <t>BIDYUT BISWAS</t>
  </si>
  <si>
    <t>INH000014368</t>
  </si>
  <si>
    <t>WARD NO 20 RAKHAL DAS SARKAR STREET NEAR DURGA MANDIR, AMLA PARA PURULIA 1 PURULIYA</t>
  </si>
  <si>
    <t>bidbiswasofficial@gmail.com</t>
  </si>
  <si>
    <t>DURGAPUR</t>
  </si>
  <si>
    <t>723101</t>
  </si>
  <si>
    <t>NAME::BIDYUT BISWAS</t>
  </si>
  <si>
    <t>BIJAY KUMAR SHARMA</t>
  </si>
  <si>
    <t>INH000011282</t>
  </si>
  <si>
    <t>BIJAY SHARMA</t>
  </si>
  <si>
    <t>Greenwood Elements Flat -10 C 3, Aria Block -II , Newtown, Rajarhat , Near City Centre 2</t>
  </si>
  <si>
    <t>b2d2002@yahoo.com</t>
  </si>
  <si>
    <t>919830337203</t>
  </si>
  <si>
    <t>700157</t>
  </si>
  <si>
    <t>NAME::BIJAY KUMAR SHARMA</t>
  </si>
  <si>
    <t>BILLA BHARATH</t>
  </si>
  <si>
    <t>INH000021720</t>
  </si>
  <si>
    <t>Billa Bharath</t>
  </si>
  <si>
    <t>E-Block, Flat No.E-204, Giridhar Executive Park,Vill, Peerancheru, Rajendranagar Mandal</t>
  </si>
  <si>
    <t>bharathbillaca@gmail.com</t>
  </si>
  <si>
    <t>919177357607</t>
  </si>
  <si>
    <t>500091</t>
  </si>
  <si>
    <t>NAME::BILLA BHARATH</t>
  </si>
  <si>
    <t>BINDUL N SHAH</t>
  </si>
  <si>
    <t>INH000003663</t>
  </si>
  <si>
    <t>16/A, CHINTAMANI SOC, RAMNAGAR, SABARMATI</t>
  </si>
  <si>
    <t>Bindul.shah@yahoo.com</t>
  </si>
  <si>
    <t>9033001944</t>
  </si>
  <si>
    <t>380005</t>
  </si>
  <si>
    <t>Dec 24, 2016</t>
  </si>
  <si>
    <t>NAME::BINDUL N SHAH</t>
  </si>
  <si>
    <t>BUDDHI PRAKASH KAROL</t>
  </si>
  <si>
    <t>INH000018090</t>
  </si>
  <si>
    <t>BUDDHI  KAROL</t>
  </si>
  <si>
    <t>H No 09, Karol Nagar</t>
  </si>
  <si>
    <t>karol.buddhiprakash@gmail.com</t>
  </si>
  <si>
    <t>NAME::BUDDHI PRAKASH KAROL</t>
  </si>
  <si>
    <t>BUSIREDDY KAUSHIK REDDY</t>
  </si>
  <si>
    <t>INA000021818</t>
  </si>
  <si>
    <t>BUSIREDDY REDDY</t>
  </si>
  <si>
    <t>FLAT NO 103, SHIVA SAI RESIDENCY, PRAKASH NAGAR, KURNOOL,</t>
  </si>
  <si>
    <t>kaushikreddy.min24@gmail.com</t>
  </si>
  <si>
    <t>00919100796669</t>
  </si>
  <si>
    <t>KURNOOL</t>
  </si>
  <si>
    <t>518004</t>
  </si>
  <si>
    <t>Feb 11, 2026</t>
  </si>
  <si>
    <t>NAME::BUSIREDDY KAUSHIK REDDY</t>
  </si>
  <si>
    <t>Balasara Mayur MeramBhai</t>
  </si>
  <si>
    <t>INH000011875</t>
  </si>
  <si>
    <t>Balasara MeramBhai</t>
  </si>
  <si>
    <t>Old Suryodya Society, Street No. 5 , Kothariya main Road</t>
  </si>
  <si>
    <t>balasaramayur5@gmail.com</t>
  </si>
  <si>
    <t>NAME::BALASARA MAYUR MERAMBHAI</t>
  </si>
  <si>
    <t>Banafshe Pashootanizadeh</t>
  </si>
  <si>
    <t>INA000019008</t>
  </si>
  <si>
    <t>F1 Cananught Plaza 5 Cannaught Road , Opp GPO Pune</t>
  </si>
  <si>
    <t>banafshe.pzadeh@gmail.com</t>
  </si>
  <si>
    <t>918552090237</t>
  </si>
  <si>
    <t>NAME::BANAFSHE PASHOOTANIZADEH</t>
  </si>
  <si>
    <t>Barkha Siddharth Kamra</t>
  </si>
  <si>
    <t>INH000021164</t>
  </si>
  <si>
    <t>Barkha Kamra</t>
  </si>
  <si>
    <t>201, Ratan Park, Plot No. 63 64, Nr Charminar Tiles,, Dev Samaj Road, Netaji, Ulhasnagar</t>
  </si>
  <si>
    <t>barkhakamra2025@gmail.com</t>
  </si>
  <si>
    <t>919309084041</t>
  </si>
  <si>
    <t>201, Ratan Park, Plot No. 63 64, Nr Charminar Tiles, Dev Samaj Road, Netaji, Ulhasnagar</t>
  </si>
  <si>
    <t>NAME::BARKHA SIDDHARTH KAMRA</t>
  </si>
  <si>
    <t>Baskaran Nadarajan</t>
  </si>
  <si>
    <t>INA000022570</t>
  </si>
  <si>
    <t>C302 Ohana Apartment, 857 Old Madras Road, Bhatrahalli, KR Pura</t>
  </si>
  <si>
    <t>bskrnbskrn@hotmail.com</t>
  </si>
  <si>
    <t>00919886342802</t>
  </si>
  <si>
    <t>NAME::BASKARAN NADARAJAN</t>
  </si>
  <si>
    <t>Bharat Aggarwal</t>
  </si>
  <si>
    <t>INH000026646</t>
  </si>
  <si>
    <t>D302, Purva Skywood, Silver County Road, Birla Circle</t>
  </si>
  <si>
    <t>BHARATAGGARWAL3091@GMAIL.COM</t>
  </si>
  <si>
    <t>0009582722587</t>
  </si>
  <si>
    <t>NAME::BHARAT AGGARWAL</t>
  </si>
  <si>
    <t>Bhavin kishorbhai sorathiya</t>
  </si>
  <si>
    <t>INH000010955</t>
  </si>
  <si>
    <t>Bhavin sorathiya</t>
  </si>
  <si>
    <t>Office no - 602, Sanskar Heights, , 6th Floor, Near Radhe circle, 150 feet Ring Road</t>
  </si>
  <si>
    <t>bhavin.k.sorathiya@gmail.com</t>
  </si>
  <si>
    <t>360004</t>
  </si>
  <si>
    <t>NAME::BHAVIN KISHORBHAI SORATHIYA</t>
  </si>
  <si>
    <t>Bhupendra Kumar Kushwaha</t>
  </si>
  <si>
    <t>INH000022604</t>
  </si>
  <si>
    <t>Bhupendra Kushwaha</t>
  </si>
  <si>
    <t>Ward No. 19, Koluha</t>
  </si>
  <si>
    <t>bhupendra4694@gmail.com</t>
  </si>
  <si>
    <t>918450835354</t>
  </si>
  <si>
    <t>485446</t>
  </si>
  <si>
    <t>NAME::BHUPENDRA KUMAR KUSHWAHA</t>
  </si>
  <si>
    <t>Bilal Hussain Sadiq hussain Syed</t>
  </si>
  <si>
    <t>INH000015400</t>
  </si>
  <si>
    <t>Bilal Syed</t>
  </si>
  <si>
    <t>A/22,1st Floor, Shiv Sai Co op Housing Society, Kurla West</t>
  </si>
  <si>
    <t>saybilal1@gmail.com</t>
  </si>
  <si>
    <t>Mar 07, 2024</t>
  </si>
  <si>
    <t>NAME::BILAL HUSSAIN SADIQ HUSSAIN SYED</t>
  </si>
  <si>
    <t>Binita Bharti</t>
  </si>
  <si>
    <t>INH000021456</t>
  </si>
  <si>
    <t>Lal Kunj, House No. 527F/12, Patel, Sewa Nagar, Road No.2,  bhagwat Nagar, 90 ft Road,</t>
  </si>
  <si>
    <t>binitab2120@gmail.com</t>
  </si>
  <si>
    <t>917011297317</t>
  </si>
  <si>
    <t>NAME::BINITA BHARTI</t>
  </si>
  <si>
    <t>Bitupan Majumdar</t>
  </si>
  <si>
    <t>INH300006962</t>
  </si>
  <si>
    <t>DADS Market 2nd Floor Ward No 28, Madam Gaon Beltola</t>
  </si>
  <si>
    <t>rabitupanmajumdar@gmail.com</t>
  </si>
  <si>
    <t>781028</t>
  </si>
  <si>
    <t>NAME::BITUPAN MAJUMDAR</t>
  </si>
  <si>
    <t>Bodeddula Siva Prasad Reddy</t>
  </si>
  <si>
    <t>INA000018461</t>
  </si>
  <si>
    <t>Bodeddula Reddy</t>
  </si>
  <si>
    <t>3 12 Mangapatnam Muddanur Cuddapah</t>
  </si>
  <si>
    <t>sivajnv@gmail.com</t>
  </si>
  <si>
    <t>918179360549</t>
  </si>
  <si>
    <t>516444</t>
  </si>
  <si>
    <t>NAME::BODEDDULA SIVA PRASAD REDDY</t>
  </si>
  <si>
    <t>Brijesh Hemendra Bhatia</t>
  </si>
  <si>
    <t>INH000022075</t>
  </si>
  <si>
    <t>Brijesh Bhatia</t>
  </si>
  <si>
    <t>C 107 Glorious Lifestyle  4th Road  Opp Shri, Pras, Vasai Palghar, Vasai - Virar City M-Crop</t>
  </si>
  <si>
    <t>brijeshhbhatia@gmail.com</t>
  </si>
  <si>
    <t>919970014634</t>
  </si>
  <si>
    <t>401203</t>
  </si>
  <si>
    <t>NAME::BRIJESH HEMENDRA BHATIA</t>
  </si>
  <si>
    <t>Brijesh R Satasiya</t>
  </si>
  <si>
    <t>INH000024523</t>
  </si>
  <si>
    <t>Brijesh Satasiya</t>
  </si>
  <si>
    <t>805, The Millennium, 150 Feet Ring Road,  nana mava Circle</t>
  </si>
  <si>
    <t>brijesh.r.satasiya@gmail.com</t>
  </si>
  <si>
    <t>919328611111</t>
  </si>
  <si>
    <t>NAME::BRIJESH R SATASIYA</t>
  </si>
  <si>
    <t>Brijesh Vappala</t>
  </si>
  <si>
    <t>INA200008592</t>
  </si>
  <si>
    <t>BVare Financial Planners &amp; Trainers, 18/424(20), II Floor, Kanakath Towers,, Near Rappadi Auditorium, West Fort Road</t>
  </si>
  <si>
    <t>brijeshvappala77@gmail.com</t>
  </si>
  <si>
    <t>PALAKKAD</t>
  </si>
  <si>
    <t>678001</t>
  </si>
  <si>
    <t>BVare Financial Planners &amp; Trainers, 18/424(20), II Floor, Kanakath Towers, Near Rappadi Auditorium, West Fort Road</t>
  </si>
  <si>
    <t>Oct 16, 2017</t>
  </si>
  <si>
    <t>NAME::BRIJESH VAPPALA</t>
  </si>
  <si>
    <t>CA Dharmendra Singh Songira</t>
  </si>
  <si>
    <t>INH000021021</t>
  </si>
  <si>
    <t>Dharmendra Songira</t>
  </si>
  <si>
    <t>H529 Bhoomi Green CHS Ltd, Raheja Estate Kulupwadi</t>
  </si>
  <si>
    <t>dswealthpro@gmail.com</t>
  </si>
  <si>
    <t>919820099062</t>
  </si>
  <si>
    <t>NAME::CA DHARMENDRA SINGH SONGIRA</t>
  </si>
  <si>
    <t>CHAITANYA VINOD AGARWAL</t>
  </si>
  <si>
    <t>INA000022747</t>
  </si>
  <si>
    <t>CHAITANYA AGARWAL</t>
  </si>
  <si>
    <t>CS No 460 Unit No F 8 1st Floor Vasant Ritu Plaza, Sahu Road, Venus Corner, Above ICICI Bank</t>
  </si>
  <si>
    <t>cainvestmentadvisor@gmail.com</t>
  </si>
  <si>
    <t>00918408922929</t>
  </si>
  <si>
    <t>NAME::CHAITANYA VINOD AGARWAL</t>
  </si>
  <si>
    <t>INH000022464</t>
  </si>
  <si>
    <t>CS No 460, Unit No F-8, 1st Floor, Vasant Ritu Plaza, Sahu Road, Venus Corner, Above ICICI Bank</t>
  </si>
  <si>
    <t>caresearchanalyst@gmail.com</t>
  </si>
  <si>
    <t>918668438665</t>
  </si>
  <si>
    <t>CHANDER SURANA</t>
  </si>
  <si>
    <t>INH000008163</t>
  </si>
  <si>
    <t>SUKHI SANSAR COMPLEX, 134 SALKIA SCHOOL ROAD</t>
  </si>
  <si>
    <t>chandersurana01@gmail.com</t>
  </si>
  <si>
    <t>NAME::CHANDER SURANA</t>
  </si>
  <si>
    <t>CHANDRA SHEKHAR PANDEY</t>
  </si>
  <si>
    <t>INH000021030</t>
  </si>
  <si>
    <t>CHANDRA PANDEY</t>
  </si>
  <si>
    <t>HNO 351 Indra Nagar, PO Izzat Nagar</t>
  </si>
  <si>
    <t>drcspandey312@gmail.com</t>
  </si>
  <si>
    <t>919068649969</t>
  </si>
  <si>
    <t>243122</t>
  </si>
  <si>
    <t>NAME::CHANDRA SHEKHAR PANDEY</t>
  </si>
  <si>
    <t>CHANDRAKANT MATHANKER</t>
  </si>
  <si>
    <t>INH000023056</t>
  </si>
  <si>
    <t>311 DWARIKA ELITE, THIRD FLOOR , PIPVAHANA</t>
  </si>
  <si>
    <t>chandrakant.mathanker@gmail.com</t>
  </si>
  <si>
    <t>916264177653</t>
  </si>
  <si>
    <t>NAME::CHANDRAKANT MATHANKER</t>
  </si>
  <si>
    <t>CHANDRASHEKHAR DHANSING CHAVAN</t>
  </si>
  <si>
    <t>INH000028468</t>
  </si>
  <si>
    <t>CHANDRASHEKHAR CHAVAN</t>
  </si>
  <si>
    <t>DHANSING DAGADOBA CHAVAN URF WARE, S.NO.278/3/A/14, WARD.NO.4 BARAMATI BARAMATI PUNE Baramati</t>
  </si>
  <si>
    <t>shekharchavan.ra@gmail.com</t>
  </si>
  <si>
    <t>00007760436989</t>
  </si>
  <si>
    <t>413102</t>
  </si>
  <si>
    <t>NAME::CHANDRASHEKHAR DHANSING CHAVAN</t>
  </si>
  <si>
    <t>CHARTS PUNDIT</t>
  </si>
  <si>
    <t>INH000002046</t>
  </si>
  <si>
    <t>MR. HEMEN KAPADIA</t>
  </si>
  <si>
    <t>COOVER MANSIONS, 2ND FLOOR, FLAT NO. 6</t>
  </si>
  <si>
    <t>hemenkapadia@hotmail.com</t>
  </si>
  <si>
    <t>2232662767</t>
  </si>
  <si>
    <t>Coover Mansions, 2nd Floor, Flat No. 6</t>
  </si>
  <si>
    <t>Nov 05, 2015</t>
  </si>
  <si>
    <t>NAME::CHARTS PUNDIT</t>
  </si>
  <si>
    <t>CHAUHAN PARESH K</t>
  </si>
  <si>
    <t>INH000021836</t>
  </si>
  <si>
    <t>PARESH CHAUHAN</t>
  </si>
  <si>
    <t>498 2993 FIRST FLOOR GUJ HO BOARD OPP TRILOKNATH, MAHADEV B H VALLABH FLAT BAPUNAGAR AHMEDABAD</t>
  </si>
  <si>
    <t>pkchauhan11886@gmail.com</t>
  </si>
  <si>
    <t>919879860406</t>
  </si>
  <si>
    <t>380024</t>
  </si>
  <si>
    <t>NAME::CHAUHAN PARESH K</t>
  </si>
  <si>
    <t>CHEKURI SUBBARAJU</t>
  </si>
  <si>
    <t>INA200006594</t>
  </si>
  <si>
    <t>72/8,sector 8,, m v p colony</t>
  </si>
  <si>
    <t>subbarajuprem@gmail.com</t>
  </si>
  <si>
    <t>72/8,sector 8, m v p colony</t>
  </si>
  <si>
    <t>NAME::CHEKURI SUBBARAJU</t>
  </si>
  <si>
    <t>CHETNA PANDEY</t>
  </si>
  <si>
    <t>INH000025407</t>
  </si>
  <si>
    <t>261 Omaxe City 2,Mangliya</t>
  </si>
  <si>
    <t>chetna.pandey21@gmail.com</t>
  </si>
  <si>
    <t>919009791800</t>
  </si>
  <si>
    <t>NAME::CHETNA PANDEY</t>
  </si>
  <si>
    <t>CHIMAKURTHY VENKATESH</t>
  </si>
  <si>
    <t>INH000016454</t>
  </si>
  <si>
    <t>Flat no 202, Creative Classic apartments,, Panjula Anil kumar Colony, Saroornagar,</t>
  </si>
  <si>
    <t>docsvenkat86@gmail.com</t>
  </si>
  <si>
    <t>Flat no 202, Creative Classic apartments, Panjula Anil kumar Colony, Saroornagar,</t>
  </si>
  <si>
    <t>NAME::CHIMAKURTHY VENKATESH</t>
  </si>
  <si>
    <t>CHIRADEEP RAO</t>
  </si>
  <si>
    <t>INH000015181</t>
  </si>
  <si>
    <t>381 PHASE II , ADARSH PALM MEADOWS, RAMAGONDANAHALI</t>
  </si>
  <si>
    <t>chiradeep_rao@yahoo.com</t>
  </si>
  <si>
    <t>Feb 23, 2024</t>
  </si>
  <si>
    <t>NAME::CHIRADEEP RAO</t>
  </si>
  <si>
    <t>CHIRAG KULDEEP JAIN</t>
  </si>
  <si>
    <t>INH000014298</t>
  </si>
  <si>
    <t>chirag jain</t>
  </si>
  <si>
    <t>C-310,RADHA KUNJ,ANAND NAGAR , NEAR RAVI HOSPITAL</t>
  </si>
  <si>
    <t>imailtochiragjain@gmail.com</t>
  </si>
  <si>
    <t>NAME::CHIRAG KULDEEP JAIN</t>
  </si>
  <si>
    <t>CHIRAG V GANDHI</t>
  </si>
  <si>
    <t>INA000008084</t>
  </si>
  <si>
    <t>CHIRAG GANDHI</t>
  </si>
  <si>
    <t>103 DEVSYA FLATS, KARAMSAD ROAD</t>
  </si>
  <si>
    <t>advisorysamruddhi@gmail.com</t>
  </si>
  <si>
    <t>388120</t>
  </si>
  <si>
    <t>NAME::CHIRAG V GANDHI</t>
  </si>
  <si>
    <t>CHIRANJEEVI KUMAR</t>
  </si>
  <si>
    <t>INH000028316</t>
  </si>
  <si>
    <t>CHIRANJEEVI  KUMAR</t>
  </si>
  <si>
    <t>DAVAUL GALI, BIHAR ROAD, HILSA NALANDA</t>
  </si>
  <si>
    <t>Chiranjeevi201@gmail.com</t>
  </si>
  <si>
    <t>00007031839889</t>
  </si>
  <si>
    <t>801302</t>
  </si>
  <si>
    <t>NAME::CHIRANJEEVI KUMAR</t>
  </si>
  <si>
    <t>CHITRA A</t>
  </si>
  <si>
    <t>INH000026619</t>
  </si>
  <si>
    <t>CHITRA ARUMUGAM</t>
  </si>
  <si>
    <t>Flat No 205 Jaya Hibiscus 3rd Main 16th Cross Hoysala Nagar, Near Ganesha Temple Rammorthy Nagar</t>
  </si>
  <si>
    <t>chitraprabutrading@gmail.com</t>
  </si>
  <si>
    <t>0009380582741</t>
  </si>
  <si>
    <t>NAME::CHITRA A</t>
  </si>
  <si>
    <t>CHITRA MADHWANI</t>
  </si>
  <si>
    <t>INH000016162</t>
  </si>
  <si>
    <t>D-8 GOVT. SINDHI SOCIETY,, WARSHIYA</t>
  </si>
  <si>
    <t>chitramadhwani@gmail.com</t>
  </si>
  <si>
    <t>919925207297</t>
  </si>
  <si>
    <t>390006</t>
  </si>
  <si>
    <t>D-8 GOVT. SINDHI SOCIETY, WARSHIYA</t>
  </si>
  <si>
    <t>NAME::CHITRA MADHWANI</t>
  </si>
  <si>
    <t>CHUDASAMA JAYKUMAR M</t>
  </si>
  <si>
    <t>INH000028273</t>
  </si>
  <si>
    <t>CHUDASAMA  JAYKUMAR M</t>
  </si>
  <si>
    <t>L 2170,Opp. Zund Bhavani Mandir,, Zund Society, Bandar Road, Chorvad,</t>
  </si>
  <si>
    <t>jaychudasama008@gmail.com</t>
  </si>
  <si>
    <t>9104129341</t>
  </si>
  <si>
    <t>362250</t>
  </si>
  <si>
    <t>L 2170,Opp. Zund Bhavani Mandir, Zund Society, Bandar Road, Chorvad,</t>
  </si>
  <si>
    <t>NAME::CHUDASAMA JAYKUMAR M</t>
  </si>
  <si>
    <t>Chahat Aggrawal</t>
  </si>
  <si>
    <t>INH000018577</t>
  </si>
  <si>
    <t>1016, Gali No.2 , Bhoor Colony , Faridabad, Sector 29,</t>
  </si>
  <si>
    <t>Chahatmangla.ra@gmail.com</t>
  </si>
  <si>
    <t>919250197283</t>
  </si>
  <si>
    <t>NAME::CHAHAT AGGRAWAL</t>
  </si>
  <si>
    <t>Chandan Singh Padiyar</t>
  </si>
  <si>
    <t>INA000008251</t>
  </si>
  <si>
    <t>D-7/1, Nirmal Township, , Kale Padal Road, Sasane Nagar, Hadapsar</t>
  </si>
  <si>
    <t>cspfs@live.com</t>
  </si>
  <si>
    <t>Aug 16, 2017</t>
  </si>
  <si>
    <t>NAME::CHANDAN SINGH PADIYAR</t>
  </si>
  <si>
    <t>Chandrakant Panditrao Bangar</t>
  </si>
  <si>
    <t>INH000020891</t>
  </si>
  <si>
    <t>Chandrakant Bangar</t>
  </si>
  <si>
    <t>Behind Sai Pandhari Lawns Near Vithal Rukamani, Mandir Old Charatha Road Bid</t>
  </si>
  <si>
    <t>chanubangar@gmail.com</t>
  </si>
  <si>
    <t>917719998800</t>
  </si>
  <si>
    <t>431122</t>
  </si>
  <si>
    <t>NAME::CHANDRAKANT PANDITRAO BANGAR</t>
  </si>
  <si>
    <t>Chandril Ray</t>
  </si>
  <si>
    <t>INH000018656</t>
  </si>
  <si>
    <t>CHANDRIL RAY</t>
  </si>
  <si>
    <t>JAGANNATH SARKAR LANE, KHIDDERPORE, NR SANGHAMITRA CLUB</t>
  </si>
  <si>
    <t>chandrilray@gmail.com</t>
  </si>
  <si>
    <t>700023</t>
  </si>
  <si>
    <t>NAME::CHANDRIL RAY</t>
  </si>
  <si>
    <t>INH000019442</t>
  </si>
  <si>
    <t>Unit No. 38, 7th Floor, Sushma Infinium</t>
  </si>
  <si>
    <t>Chanpreet2024@gmail.com</t>
  </si>
  <si>
    <t>919239176426</t>
  </si>
  <si>
    <t>NAME::CHANPREET SINGH</t>
  </si>
  <si>
    <t>Chart Yogi</t>
  </si>
  <si>
    <t>INH000024198</t>
  </si>
  <si>
    <t>Prateek Singhai</t>
  </si>
  <si>
    <t>87, Chatrapati Nagar, Airport Road</t>
  </si>
  <si>
    <t>chartsyogi@gmail.com</t>
  </si>
  <si>
    <t>007620193947</t>
  </si>
  <si>
    <t>NAME::CHART YOGI</t>
  </si>
  <si>
    <t>Chavod Dasharathbhai Narsangabhai</t>
  </si>
  <si>
    <t>INA000019354</t>
  </si>
  <si>
    <t>Dasharathbhai Chavod</t>
  </si>
  <si>
    <t>5th Floor, Office No 12, Vihav Supremus,, Near Amin Party Plot,</t>
  </si>
  <si>
    <t>DASARTHSINGH@GMAIL.COM</t>
  </si>
  <si>
    <t>919725391258</t>
  </si>
  <si>
    <t>391101</t>
  </si>
  <si>
    <t>5th Floor, Office No 12, Vihav Supremus, Near Amin Party Plot,</t>
  </si>
  <si>
    <t>NAME::CHAVOD DASHARATHBHAI NARSANGABHAI</t>
  </si>
  <si>
    <t>Chetankumar Divakar Amin</t>
  </si>
  <si>
    <t>INH000028185</t>
  </si>
  <si>
    <t>Chetankumar   Amin</t>
  </si>
  <si>
    <t>302,A wing,3rd Floor,Swapna Ghar Society, Tarun Bharat,Chakala,Andheri east,</t>
  </si>
  <si>
    <t>chetanamin_1@hotmail.com</t>
  </si>
  <si>
    <t>00007506284209</t>
  </si>
  <si>
    <t>NAME::CHETANKUMAR DIVAKAR AMIN</t>
  </si>
  <si>
    <t>Chinmay Harshad Kelkar</t>
  </si>
  <si>
    <t>INA000006837</t>
  </si>
  <si>
    <t>Chinmay Kelkar</t>
  </si>
  <si>
    <t>s/o Harshad Kelkar, 552 Punarnava Apartments, Behind Tuli Imperial Hotel, Old Ramdaspeth</t>
  </si>
  <si>
    <t>chinmayk@gmail.com</t>
  </si>
  <si>
    <t>919619573740</t>
  </si>
  <si>
    <t>Jan 03, 2017</t>
  </si>
  <si>
    <t>NAME::CHINMAY HARSHAD KELKAR</t>
  </si>
  <si>
    <t>DEEPAK AGRAWAL</t>
  </si>
  <si>
    <t>INH000011972</t>
  </si>
  <si>
    <t>shivanand nagar sector 3, post wrs colony,, Kailash ashram</t>
  </si>
  <si>
    <t>agrawald23@gmail.com</t>
  </si>
  <si>
    <t>918871509859</t>
  </si>
  <si>
    <t>492008</t>
  </si>
  <si>
    <t>shivanand nagar sector 3, post wrs colony, Kailash ashram</t>
  </si>
  <si>
    <t>Mar 24, 2023</t>
  </si>
  <si>
    <t>NAME::DEEPAK AGRAWAL</t>
  </si>
  <si>
    <t>DEEPAK KUMAR AGARWAL</t>
  </si>
  <si>
    <t>INA000017709</t>
  </si>
  <si>
    <t>DEEPAK AGARWAL</t>
  </si>
  <si>
    <t>70A, DEVDHARA COLONY,, MURLIPURA SCHEME, MURLIPURA, JAIPUR</t>
  </si>
  <si>
    <t>DEEPAKKRAGARWAL@GMAIL.COM</t>
  </si>
  <si>
    <t>919830916800</t>
  </si>
  <si>
    <t>70A, DEVDHARA COLONY, MURLIPURA SCHEME, MURLIPURA, JAIPUR</t>
  </si>
  <si>
    <t>Feb 28, 2023</t>
  </si>
  <si>
    <t>NAME::DEEPAK KUMAR AGARWAL</t>
  </si>
  <si>
    <t>DEEPAK KUMAR KANODIA</t>
  </si>
  <si>
    <t>INH000000032</t>
  </si>
  <si>
    <t>Flat no. 201, E wing, Sai Mannat, Sector-34, Kharghar, J.B. NAGAR, ANDHERI EAST</t>
  </si>
  <si>
    <t>deepakkrkanodia@gmail.com</t>
  </si>
  <si>
    <t>022 28392567</t>
  </si>
  <si>
    <t>Flat No. 602, B-Wing, Orchid Enclave, J.B. Nagar, Andheri East</t>
  </si>
  <si>
    <t>NAME::DEEPAK KUMAR KANODIA</t>
  </si>
  <si>
    <t>DEEPAK PARNAMI</t>
  </si>
  <si>
    <t>INA100003279</t>
  </si>
  <si>
    <t>44, NILGIRI APARTMENTS,, ALAKNANDA KALKAJI</t>
  </si>
  <si>
    <t>dpparnami@yahoo.co.in</t>
  </si>
  <si>
    <t>1140533668</t>
  </si>
  <si>
    <t>44, NILGIRI APARTMENTS, ALAKNANDA KALKAJI</t>
  </si>
  <si>
    <t>NAME::DEEPAK PARNAMI</t>
  </si>
  <si>
    <t>DEEPESH RAGHAW</t>
  </si>
  <si>
    <t>INA100002719</t>
  </si>
  <si>
    <t>H-5,GYAN SAROVAR COLONY, RAMGHAT ROAD, ALIGARH</t>
  </si>
  <si>
    <t>deepesh.raghaw@gmail.com</t>
  </si>
  <si>
    <t>9619746992</t>
  </si>
  <si>
    <t>H-5,Gyan Sarovar Colony, Ramghat Road, Aligarh</t>
  </si>
  <si>
    <t>NAME::DEEPESH RAGHAW</t>
  </si>
  <si>
    <t>DEV ASHISH</t>
  </si>
  <si>
    <t>INA100005241</t>
  </si>
  <si>
    <t>ADITYA BHAWAN, AMINABAD</t>
  </si>
  <si>
    <t>d.ashish@gmail.com</t>
  </si>
  <si>
    <t>226018</t>
  </si>
  <si>
    <t>Jul 27, 2016</t>
  </si>
  <si>
    <t>NAME::DEV ASHISH</t>
  </si>
  <si>
    <t>DEVAGNAYA R SHAH</t>
  </si>
  <si>
    <t>INA000018531</t>
  </si>
  <si>
    <t>113, FLORIS, SKYCITY, NEAR CLUB O-7, SHELA,</t>
  </si>
  <si>
    <t>devagnaya@gmail.com</t>
  </si>
  <si>
    <t>919428404540</t>
  </si>
  <si>
    <t>Nov 09, 2023</t>
  </si>
  <si>
    <t>NAME::DEVAGNAYA R SHAH</t>
  </si>
  <si>
    <t>DEVENDRA GAJANAN HAJARE</t>
  </si>
  <si>
    <t>INH000017523</t>
  </si>
  <si>
    <t>DEVENDRA HAJARE</t>
  </si>
  <si>
    <t>39, Vrundavan, Audumbar Colony,, Tathe Mala, Bhutkar Wadi</t>
  </si>
  <si>
    <t>devendrahajare15@gmail.com</t>
  </si>
  <si>
    <t>39, Vrundavan, Audumbar Colony, Tathe Mala, Bhutkar Wadi</t>
  </si>
  <si>
    <t>Jul 12, 2024</t>
  </si>
  <si>
    <t>NAME::DEVENDRA GAJANAN HAJARE</t>
  </si>
  <si>
    <t>DEVENDRA KUMAR BAIRATHI</t>
  </si>
  <si>
    <t>INA000004039</t>
  </si>
  <si>
    <t>E-1607, OBEROI SPLENDOR, OPP. MAJAS DEPOT, JV LINK ROAD, ANDHERI (EAST)</t>
  </si>
  <si>
    <t>devendra.bairathi@gmail.com</t>
  </si>
  <si>
    <t>9820457776</t>
  </si>
  <si>
    <t>Jan 21, 2016</t>
  </si>
  <si>
    <t>NAME::DEVENDRA KUMAR BAIRATHI</t>
  </si>
  <si>
    <t>DEVENDRA NILKANTH KHUNE</t>
  </si>
  <si>
    <t>INH000026488</t>
  </si>
  <si>
    <t>DEVENDRA KHUNE</t>
  </si>
  <si>
    <t>BLDG NO-1, FLAT NO-701, F Residences,, SNO-7/1 to 7/5 &amp; 8/1/1/2, Wadgaon Sheri</t>
  </si>
  <si>
    <t>devendrainvesting2006@gmail.com</t>
  </si>
  <si>
    <t>BLDG NO-1, FLAT NO-701, F Residences, SNO-7/1 to 7/5 &amp; 8/1/1/2, Wadgaon Sheri</t>
  </si>
  <si>
    <t>NAME::DEVENDRA NILKANTH KHUNE</t>
  </si>
  <si>
    <t>DEVESH DUBEY</t>
  </si>
  <si>
    <t>INH000014146</t>
  </si>
  <si>
    <t>Devesh Dubey</t>
  </si>
  <si>
    <t>S/O Omeshwar Prasad Dubey, Gwalior Road, House no 2, Gurunanak Colony</t>
  </si>
  <si>
    <t>deveshdubey513@gmail.com</t>
  </si>
  <si>
    <t>916266897754</t>
  </si>
  <si>
    <t>475661</t>
  </si>
  <si>
    <t>NAME::DEVESH DUBEY</t>
  </si>
  <si>
    <t>DEVRAJ S VARSHNEY</t>
  </si>
  <si>
    <t>INH000026105</t>
  </si>
  <si>
    <t>DEVRAJ VARSHNEY</t>
  </si>
  <si>
    <t>301 Suraj Height II CHS, Walbhatt Road, Goregaon East, Behind Nirlon Compound</t>
  </si>
  <si>
    <t>devrajvarshneymarket@gmail.com</t>
  </si>
  <si>
    <t>0008097001560</t>
  </si>
  <si>
    <t>NAME::DEVRAJ S VARSHNEY</t>
  </si>
  <si>
    <t>DHANYA DEEPAK KUMAR</t>
  </si>
  <si>
    <t>INH000016278</t>
  </si>
  <si>
    <t>DHANYA KUMAR</t>
  </si>
  <si>
    <t>ARAKKAL HOUSE, PARPPAKADAVU, AMMADAM</t>
  </si>
  <si>
    <t>dhanyangangadhar@gmail.com</t>
  </si>
  <si>
    <t>680563</t>
  </si>
  <si>
    <t>NAME::DHANYA DEEPAK KUMAR</t>
  </si>
  <si>
    <t>DHARMESH BHATT</t>
  </si>
  <si>
    <t>INH000009685</t>
  </si>
  <si>
    <t>DHARMESHKUMAR BHATT</t>
  </si>
  <si>
    <t>A -304 , SUBH APPARTMENT (ABOVE BANK OF BARODA) , NR. SILVER STAR COMPLEX , CHANDLODIA</t>
  </si>
  <si>
    <t>analystdharmesh@gmail.com</t>
  </si>
  <si>
    <t>May 31, 2022</t>
  </si>
  <si>
    <t>NAME::DHARMESH BHATT</t>
  </si>
  <si>
    <t>DIBYAJIT SAHA</t>
  </si>
  <si>
    <t>INA300005835</t>
  </si>
  <si>
    <t>31/1 SANTI GHOSH STREET</t>
  </si>
  <si>
    <t>dibanalysis@gmail.com</t>
  </si>
  <si>
    <t>8585008483</t>
  </si>
  <si>
    <t>700003</t>
  </si>
  <si>
    <t>31/1 Santi Ghosh Street</t>
  </si>
  <si>
    <t>NAME::DIBYAJIT SAHA</t>
  </si>
  <si>
    <t>DILIP DAVDA</t>
  </si>
  <si>
    <t>INH000003127</t>
  </si>
  <si>
    <t>B 702, SITA VIHAR , LBS MAQRG</t>
  </si>
  <si>
    <t>dilipdavda@outlook.com</t>
  </si>
  <si>
    <t>400602</t>
  </si>
  <si>
    <t>Jun 07, 2016</t>
  </si>
  <si>
    <t>NAME::DILIP DAVDA</t>
  </si>
  <si>
    <t>INH000024152</t>
  </si>
  <si>
    <t>Khatla, 62</t>
  </si>
  <si>
    <t>dinesh.research.ra@gmail.com</t>
  </si>
  <si>
    <t>918053059584</t>
  </si>
  <si>
    <t>126112</t>
  </si>
  <si>
    <t>NAME::DINESH KUMAR</t>
  </si>
  <si>
    <t>DINESH NARAYAN GAIKWAD</t>
  </si>
  <si>
    <t>INH000018461</t>
  </si>
  <si>
    <t>201, Shiv Ashish Chs, Old Belapur Road,, Above Kalwa Post office, Kalwa Thane West</t>
  </si>
  <si>
    <t>dineshgaikwad2002@gmail.com</t>
  </si>
  <si>
    <t>918433616455</t>
  </si>
  <si>
    <t>400605</t>
  </si>
  <si>
    <t>201, Shiv Ashish Chs, Old Belapur Road, Above Kalwa Post office, Kalwa Thane West</t>
  </si>
  <si>
    <t>Sep 19, 2024</t>
  </si>
  <si>
    <t>NAME::DINESH NARAYAN GAIKWAD</t>
  </si>
  <si>
    <t>DIPAK M TAKODARA</t>
  </si>
  <si>
    <t>INH000013679</t>
  </si>
  <si>
    <t>DIPAK TAKODARA</t>
  </si>
  <si>
    <t>D/504, SUMADHUR II APARTMENT, , NR AZAD SOCIETY, AMBAWADI VISTAR</t>
  </si>
  <si>
    <t>dipak.takodara@gmail.com</t>
  </si>
  <si>
    <t>NAME::DIPAK M TAKODARA</t>
  </si>
  <si>
    <t>DIVYESH DILIPBHAI KOYANI</t>
  </si>
  <si>
    <t>INH000015303</t>
  </si>
  <si>
    <t>DIVYESH KOYANI</t>
  </si>
  <si>
    <t>VRAJ MADHAV PARK 3 BESIDE ENRICH BEAUTY PARLOR, GOVERDHAN CHOWK 150 FT RING ROAD</t>
  </si>
  <si>
    <t>DIVYESHKOYANI@YMAIL.COM</t>
  </si>
  <si>
    <t>ymail.com</t>
  </si>
  <si>
    <t>NAME::DIVYESH DILIPBHAI KOYANI</t>
  </si>
  <si>
    <t>DUDEKULA HASAN CHAITHANYA</t>
  </si>
  <si>
    <t>INA200014292</t>
  </si>
  <si>
    <t>HASAN DUDEKULA</t>
  </si>
  <si>
    <t>1394, 2ND FLOOR, LAKSHMI RESIDENCY, 21ST MAIN, HSR LAYOUT, SECTOR-1</t>
  </si>
  <si>
    <t>hasan.chaitanya@gmail.com</t>
  </si>
  <si>
    <t>NAME::DUDEKULA HASAN CHAITHANYA</t>
  </si>
  <si>
    <t>Darshan N Rao</t>
  </si>
  <si>
    <t>INH000017958</t>
  </si>
  <si>
    <t>Darshan Rao</t>
  </si>
  <si>
    <t>Sri Manjunatha Nilaya,, 1464/D, 17th A Main, 2nd Cross,</t>
  </si>
  <si>
    <t>raodarshan@gmail.com</t>
  </si>
  <si>
    <t>Sri Manjunatha Nilaya, 1464/D, 17th A Main, 2nd Cross,</t>
  </si>
  <si>
    <t>NAME::DARSHAN N RAO</t>
  </si>
  <si>
    <t>Darshana Apurva Shah</t>
  </si>
  <si>
    <t>INH000025133</t>
  </si>
  <si>
    <t>Darshana Shah</t>
  </si>
  <si>
    <t>B/201 - Sanmay Flat, 6/B Panama Society, Opp. Hingalaj Mata Mandir, Narayannagar, Paldi</t>
  </si>
  <si>
    <t>darshu1108@gmail.com</t>
  </si>
  <si>
    <t>919825985064</t>
  </si>
  <si>
    <t>380007</t>
  </si>
  <si>
    <t>NAME::DARSHANA APURVA SHAH</t>
  </si>
  <si>
    <t>Datla Venkata Satya Teja Krishnam Raju</t>
  </si>
  <si>
    <t>INA000021003</t>
  </si>
  <si>
    <t>Datla Venkata Krishnam Raju</t>
  </si>
  <si>
    <t>208 Tower-B, Chitturi Metro,, Behind D Mart, Tuni,</t>
  </si>
  <si>
    <t>rajudatla17799@gmail.com</t>
  </si>
  <si>
    <t>00919603540541</t>
  </si>
  <si>
    <t>KAKINADA</t>
  </si>
  <si>
    <t>533401</t>
  </si>
  <si>
    <t>208 Tower-B, Chitturi Metro, Behind D Mart, Tuni,</t>
  </si>
  <si>
    <t>NAME::DATLA VENKATA SATYA TEJA KRISHNAM RAJU</t>
  </si>
  <si>
    <t>Dattatraya Ghodke</t>
  </si>
  <si>
    <t>INH000022242</t>
  </si>
  <si>
    <t>Building No B4 Flat No 203 Vikas Complex, Castle Mill Compound</t>
  </si>
  <si>
    <t>drghodke1955@yahoo.co.in</t>
  </si>
  <si>
    <t>918104730434</t>
  </si>
  <si>
    <t>NAME::DATTATRAYA GHODKE</t>
  </si>
  <si>
    <t>Deekonda Vishnuvardhan</t>
  </si>
  <si>
    <t>INH200009500</t>
  </si>
  <si>
    <t>Vishnuvardhan Deekonda</t>
  </si>
  <si>
    <t>Flat No. 405, Sri Laxmisai Towers, Bypass Road, Near Sai Baba Temple, Jagtial</t>
  </si>
  <si>
    <t>vishnudeekonda1@gmail.com</t>
  </si>
  <si>
    <t>505327</t>
  </si>
  <si>
    <t>May 12, 2022</t>
  </si>
  <si>
    <t>NAME::DEEKONDA VISHNUVARDHAN</t>
  </si>
  <si>
    <t>Deep Bhavesh  Dhanecha</t>
  </si>
  <si>
    <t>INA000020262</t>
  </si>
  <si>
    <t>Deep  Dhanecha</t>
  </si>
  <si>
    <t>105, Akshar CHS, Behind Ram Mandir,, MB Estate, Virar (W),</t>
  </si>
  <si>
    <t>deepdhanecha@gmail.com</t>
  </si>
  <si>
    <t>919373013606</t>
  </si>
  <si>
    <t>105, Akshar CHS, Behind Ram Mandir, MB Estate, Virar (W),</t>
  </si>
  <si>
    <t>NAME::DEEP BHAVESH DHANECHA</t>
  </si>
  <si>
    <t>Deepak Devdutt Mitra</t>
  </si>
  <si>
    <t>INH000022701</t>
  </si>
  <si>
    <t>Deepak  Mitra</t>
  </si>
  <si>
    <t>8th floor, flat no 803, Sr no 601/9/11 Eisha Polaris, Bibvewadi Muneri,</t>
  </si>
  <si>
    <t>consultdpk@outlook.com</t>
  </si>
  <si>
    <t>917387809934</t>
  </si>
  <si>
    <t>NAME::DEEPAK DEVDUTT MITRA</t>
  </si>
  <si>
    <t>Deepak Dhanwani</t>
  </si>
  <si>
    <t>INH000023348</t>
  </si>
  <si>
    <t>D NO 8 4 4 1,Gayathri Towers, A Block, Ground floor, Flat No 13, Doctor s Colony Road, Pedawaltai</t>
  </si>
  <si>
    <t>DHANWANID.DD@GMAIL.COM</t>
  </si>
  <si>
    <t>917893329442</t>
  </si>
  <si>
    <t>NAME::DEEPAK DHANWANI</t>
  </si>
  <si>
    <t>Deepanshu Singh</t>
  </si>
  <si>
    <t>INH000028112</t>
  </si>
  <si>
    <t>B-295/6, Inder Enclave Phase 1, Kirari Suleman Nagar</t>
  </si>
  <si>
    <t>deepanshusinghhh@gmail.com</t>
  </si>
  <si>
    <t>00001155190525</t>
  </si>
  <si>
    <t>110086</t>
  </si>
  <si>
    <t>NAME::DEEPANSHU SINGH</t>
  </si>
  <si>
    <t>Devendra Rajak</t>
  </si>
  <si>
    <t>INH000017693</t>
  </si>
  <si>
    <t>137 Dhobi Mohalla,, Purani Shivpuri</t>
  </si>
  <si>
    <t>devashi1900@gmail.com</t>
  </si>
  <si>
    <t>473551</t>
  </si>
  <si>
    <t>137 Dhobi Mohalla, Purani Shivpuri</t>
  </si>
  <si>
    <t>NAME::DEVENDRA RAJAK</t>
  </si>
  <si>
    <t>Devendra Sahu</t>
  </si>
  <si>
    <t>INH000017824</t>
  </si>
  <si>
    <t>127, Kolukhedi, Bhonri</t>
  </si>
  <si>
    <t>devendrasahu78050@gmail.com</t>
  </si>
  <si>
    <t>462030</t>
  </si>
  <si>
    <t>NAME::DEVENDRA SAHU</t>
  </si>
  <si>
    <t>Dhruv Tuli</t>
  </si>
  <si>
    <t>INH000014155</t>
  </si>
  <si>
    <t>9 Rajdoot Marg, Diplomatic Enclave, Chanakyapuri</t>
  </si>
  <si>
    <t>dhruvtuli@gmail.com</t>
  </si>
  <si>
    <t>NAME::DHRUV TULI</t>
  </si>
  <si>
    <t>Dhruvin Jagdish Bhanushali</t>
  </si>
  <si>
    <t>INA000019017</t>
  </si>
  <si>
    <t>Dhruvin  Bhanushali</t>
  </si>
  <si>
    <t>524-Homeland and City opp, JH Ambani School,, Udhna Magdalla Road,  Vesu,</t>
  </si>
  <si>
    <t>dhruvinjb@gmail.com</t>
  </si>
  <si>
    <t>918767422422</t>
  </si>
  <si>
    <t>524-Homeland and City opp, JH Ambani School, Udhna Magdalla Road,  Vesu,</t>
  </si>
  <si>
    <t>NAME::DHRUVIN JAGDISH BHANUSHALI</t>
  </si>
  <si>
    <t>Dhwani Patel</t>
  </si>
  <si>
    <t>INH200008608</t>
  </si>
  <si>
    <t>Block 8 Flat number 802 My Home Avatar, Narsingi</t>
  </si>
  <si>
    <t>dhwanishah01@gmail.com</t>
  </si>
  <si>
    <t>Aug 06, 2021</t>
  </si>
  <si>
    <t>NAME::DHWANI PATEL</t>
  </si>
  <si>
    <t>Dilpreet Singh Bhatia</t>
  </si>
  <si>
    <t>INH000027724</t>
  </si>
  <si>
    <t>Dilpreet Bhatia</t>
  </si>
  <si>
    <t>260, Apna Gardan Ke Samne, Vishnu Puri N.X. , Indore</t>
  </si>
  <si>
    <t>Dilpreet.s.bhatia@gmail.com</t>
  </si>
  <si>
    <t>000000000000</t>
  </si>
  <si>
    <t>NAME::DILPREET SINGH BHATIA</t>
  </si>
  <si>
    <t>Dipen Shah</t>
  </si>
  <si>
    <t>INH000006077</t>
  </si>
  <si>
    <t>101, 1st floor, Harikunj building, Plot no. 139,, Sector 28, Vashi</t>
  </si>
  <si>
    <t>stayvan.research@gmail.com</t>
  </si>
  <si>
    <t>Jun 29, 2018</t>
  </si>
  <si>
    <t>NAME::DIPEN SHAH</t>
  </si>
  <si>
    <t>Dipti</t>
  </si>
  <si>
    <t>INH000005971</t>
  </si>
  <si>
    <t>Dipti Patil</t>
  </si>
  <si>
    <t>103, Maker Tower F, Cuff Parade,Mumbai-400005</t>
  </si>
  <si>
    <t>dipti.patil08@gmail.com</t>
  </si>
  <si>
    <t>Jun 12, 2018</t>
  </si>
  <si>
    <t>NAME::DIPTI</t>
  </si>
  <si>
    <t>Divya Khurana Dewan</t>
  </si>
  <si>
    <t>INH000027539</t>
  </si>
  <si>
    <t>Divya Khurana  Dewan</t>
  </si>
  <si>
    <t>162, Krishi Apartments, Vikaspuri</t>
  </si>
  <si>
    <t>divyakhurana503@gmail.com</t>
  </si>
  <si>
    <t>0008447333755</t>
  </si>
  <si>
    <t>NAME::DIVYA KHURANA DEWAN</t>
  </si>
  <si>
    <t>Divya Singaravelu</t>
  </si>
  <si>
    <t>INH000020165</t>
  </si>
  <si>
    <t>D102, Paras Maitri,, Ananth Nagar, Phase 1,</t>
  </si>
  <si>
    <t>sdivyamit@gmail.com</t>
  </si>
  <si>
    <t>918904401403</t>
  </si>
  <si>
    <t>D102, Paras Maitri, Ananth Nagar, Phase 1,</t>
  </si>
  <si>
    <t>NAME::DIVYA SINGARAVELU</t>
  </si>
  <si>
    <t>Divyani Kuldipsingh Thakur</t>
  </si>
  <si>
    <t>INH000021252</t>
  </si>
  <si>
    <t>Divyani Thakur</t>
  </si>
  <si>
    <t>Flat No 82 Jyoti Pride 91 Row House No D8 Rohidas , Nagar Ahliyadevi Holkar Chowk Satara</t>
  </si>
  <si>
    <t>thakur.div21@gmail.com</t>
  </si>
  <si>
    <t>917721957778</t>
  </si>
  <si>
    <t>431010</t>
  </si>
  <si>
    <t>NAME::DIVYANI KULDIPSINGH THAKUR</t>
  </si>
  <si>
    <t>Diwakar Prasad Vyas</t>
  </si>
  <si>
    <t>INH100005677</t>
  </si>
  <si>
    <t>Diwakar Vyas</t>
  </si>
  <si>
    <t>House No 242 Rajeev Gram, Dhalwala</t>
  </si>
  <si>
    <t>diwakar.vyas025@gmail.com</t>
  </si>
  <si>
    <t>249201</t>
  </si>
  <si>
    <t>NAME::DIWAKAR PRASAD VYAS</t>
  </si>
  <si>
    <t>Dodda Rishitha</t>
  </si>
  <si>
    <t>INH000026248</t>
  </si>
  <si>
    <t>Rishitha Dodda</t>
  </si>
  <si>
    <t>D NO.4 10, Near Vinayaka, Pedapalakaluru</t>
  </si>
  <si>
    <t>doddarishitha069@gmail.com</t>
  </si>
  <si>
    <t>GUNTUR</t>
  </si>
  <si>
    <t>522005</t>
  </si>
  <si>
    <t>Apr 17, 2026</t>
  </si>
  <si>
    <t>NAME::DODDA RISHITHA</t>
  </si>
  <si>
    <t>Dr. Aniruddh Sahai</t>
  </si>
  <si>
    <t>INA000021836</t>
  </si>
  <si>
    <t>Aniruddh Sahai</t>
  </si>
  <si>
    <t>C 12, Sector 52, Noida, Uttar Pradesh, Uttar Pradesh</t>
  </si>
  <si>
    <t>sahai.aniruddh@gmail.com</t>
  </si>
  <si>
    <t>00918750261888</t>
  </si>
  <si>
    <t>NAME::DR ANIRUDDH SAHAI</t>
  </si>
  <si>
    <t>Dushyant Vipinchandra Acharya</t>
  </si>
  <si>
    <t>INA000021562</t>
  </si>
  <si>
    <t>Dushyant Acharya</t>
  </si>
  <si>
    <t>C/17,Veena Santoor, Near Pawan Dham, Borivali west, Mumbai</t>
  </si>
  <si>
    <t>dushyant.acharya_77@yahoo.co.in</t>
  </si>
  <si>
    <t>00919870128333</t>
  </si>
  <si>
    <t>NAME::DUSHYANT VIPINCHANDRA ACHARYA</t>
  </si>
  <si>
    <t>EEDA DAMODARA RAO</t>
  </si>
  <si>
    <t>INH000024967</t>
  </si>
  <si>
    <t>EEDA RAO</t>
  </si>
  <si>
    <t>T2601, MY HOME TRIDASA,TELLAPUR SANGA REDDY</t>
  </si>
  <si>
    <t>damu.researchanalyst@gmail.com</t>
  </si>
  <si>
    <t>502032</t>
  </si>
  <si>
    <t>NAME::EEDA DAMODARA RAO</t>
  </si>
  <si>
    <t>EFOREQUITY</t>
  </si>
  <si>
    <t>INH300007970</t>
  </si>
  <si>
    <t>Nirmalya Saha</t>
  </si>
  <si>
    <t>Amrit Enclave, 2nd Floor, Flat - 3,, 825 Madurdaha,</t>
  </si>
  <si>
    <t>eforequity@yahoo.in</t>
  </si>
  <si>
    <t>Sanjeeva Town Bungalow, EL-1, Kochpukur, Newtown, Rajarhat, Near Aquatica Water Park,</t>
  </si>
  <si>
    <t>NAME::EFOREQUITY</t>
  </si>
  <si>
    <t>ELITEFINSERV</t>
  </si>
  <si>
    <t>INH000016409</t>
  </si>
  <si>
    <t>SHRAVAN RATHODE</t>
  </si>
  <si>
    <t>301,302,303 STARLING,, ARKET RACE COURSE ROAD</t>
  </si>
  <si>
    <t>elitefinserv24@gmail.com</t>
  </si>
  <si>
    <t>301,302,303 STARLING, ARKET RACE COURSE ROAD</t>
  </si>
  <si>
    <t>NAME::ELITEFINSERV</t>
  </si>
  <si>
    <t>EQUITY TRADING HUB</t>
  </si>
  <si>
    <t>INH000026390</t>
  </si>
  <si>
    <t>Prateek Goel</t>
  </si>
  <si>
    <t>C-54, DLF The Summit,, Sec 54, DLF Ph -V,  Golf Course Road</t>
  </si>
  <si>
    <t>prateekgoel096@gmail.com</t>
  </si>
  <si>
    <t>919818889856</t>
  </si>
  <si>
    <t>NAME::EQUITY TRADING HUB</t>
  </si>
  <si>
    <t>Ekta Bansal</t>
  </si>
  <si>
    <t>INH000021331</t>
  </si>
  <si>
    <t>5-E 89, Front Vivekanand Senior Secondary School, Murti Circle , Jai Narayan vyas colony</t>
  </si>
  <si>
    <t>e.bansal07@gmail.com</t>
  </si>
  <si>
    <t>0917728986088</t>
  </si>
  <si>
    <t>NAME::EKTA BANSAL</t>
  </si>
  <si>
    <t>EquityEdge Ventures</t>
  </si>
  <si>
    <t>INH000013192</t>
  </si>
  <si>
    <t>Yash Jalan</t>
  </si>
  <si>
    <t>9/36, 201, 2nd floor, Vaishnavi Sapphire Centre, Tumkur Raod, Yeswanthpur, Bengaluru</t>
  </si>
  <si>
    <t>equityedge.ra@gmail.com</t>
  </si>
  <si>
    <t>08897384308</t>
  </si>
  <si>
    <t>560022</t>
  </si>
  <si>
    <t>NAME::EQUITYEDGE VENTURES</t>
  </si>
  <si>
    <t>Esha Parikh</t>
  </si>
  <si>
    <t>INH000012999</t>
  </si>
  <si>
    <t>H-72, Takshashila Appartments, Opp. Samaan Complex</t>
  </si>
  <si>
    <t>esha.parikh11@gmail.com</t>
  </si>
  <si>
    <t>66,Gala Aqua Villa</t>
  </si>
  <si>
    <t>382210</t>
  </si>
  <si>
    <t>Sep 13, 2023</t>
  </si>
  <si>
    <t>NAME::ESHA PARIKH</t>
  </si>
  <si>
    <t>Eshant Garg</t>
  </si>
  <si>
    <t>INH000028325</t>
  </si>
  <si>
    <t>House number 48, Vishal Nagar, Street Number 2 Phase 1</t>
  </si>
  <si>
    <t>garg.eshant@gmail.com</t>
  </si>
  <si>
    <t>2236745</t>
  </si>
  <si>
    <t>NAME::ESHANT GARG</t>
  </si>
  <si>
    <t>FIROZ QURAISHI</t>
  </si>
  <si>
    <t>INH000018841</t>
  </si>
  <si>
    <t>H No 76, Ali Prem Garden, Qasmi Masjid,, Pasonda, Sahibabad,</t>
  </si>
  <si>
    <t>firozquraishi281@gmail.com</t>
  </si>
  <si>
    <t>919650767772</t>
  </si>
  <si>
    <t>H No 76, Ali Prem Garden, Qasmi Masjid, Pasonda, Sahibabad,</t>
  </si>
  <si>
    <t>NAME::FIROZ QURAISHI</t>
  </si>
  <si>
    <t>FUNDWISERS</t>
  </si>
  <si>
    <t>INA000012713</t>
  </si>
  <si>
    <t>ASHOKKUMAR KOYANI</t>
  </si>
  <si>
    <t>JK COMPLEX, FIRST FLOOR DIWAN PARA-2</t>
  </si>
  <si>
    <t>akoyani@gmail.com</t>
  </si>
  <si>
    <t>JK COMPLEX, 1ST FLOOR, DIWANPARA-2</t>
  </si>
  <si>
    <t>360003</t>
  </si>
  <si>
    <t>Mar 14, 2019</t>
  </si>
  <si>
    <t>NAME::FUNDWISERS</t>
  </si>
  <si>
    <t>Falguni Vahora</t>
  </si>
  <si>
    <t>INH000007100</t>
  </si>
  <si>
    <t>101 B, RahulRaj Mall,  Opp.Govardhan Nath Ji Haveli,   Gaurav Path, Dumas Road</t>
  </si>
  <si>
    <t>sfalguni.v@gmail.com</t>
  </si>
  <si>
    <t>919978932020</t>
  </si>
  <si>
    <t>NAME::FALGUNI VAHORA</t>
  </si>
  <si>
    <t>First Time Right</t>
  </si>
  <si>
    <t>INH000016746</t>
  </si>
  <si>
    <t>Naman Garg</t>
  </si>
  <si>
    <t>C/O - Mukesh Garg, Flat No 518, A Block, Saket Pranamam, Saket BhuSatva Road, Gowdavelli, Medchal</t>
  </si>
  <si>
    <t>gargnaman1293@gmail.com</t>
  </si>
  <si>
    <t>501401</t>
  </si>
  <si>
    <t>NAME::FIRST TIME RIGHT</t>
  </si>
  <si>
    <t>Foram Chheda</t>
  </si>
  <si>
    <t>INH000007924</t>
  </si>
  <si>
    <t>A-704, BUILD 8, SARVODAY SOC, SHASTRINAGAR, BEHIND VIBYOUR SCHOOL, GOREGAON (W) MOTILAL NAGAR</t>
  </si>
  <si>
    <t>fmchheda@gmail.com</t>
  </si>
  <si>
    <t>Nov 27, 2020</t>
  </si>
  <si>
    <t>NAME::FORAM CHHEDA</t>
  </si>
  <si>
    <t>Future Multibagger stock</t>
  </si>
  <si>
    <t>INH000014669</t>
  </si>
  <si>
    <t>Pritkumar kalavadia</t>
  </si>
  <si>
    <t>fortune imperia, office no 301, nr sanidhya 253, new ring</t>
  </si>
  <si>
    <t>pritpatel7863@gmail.com</t>
  </si>
  <si>
    <t>NAME::FUTURE MULTIBAGGER STOCK</t>
  </si>
  <si>
    <t>G Vijay Raghavan</t>
  </si>
  <si>
    <t>INH200007548</t>
  </si>
  <si>
    <t>G Raghavan</t>
  </si>
  <si>
    <t>No 5 , Ranga Rao road, Shankarpuram</t>
  </si>
  <si>
    <t>mail2me2reply@gmail.com</t>
  </si>
  <si>
    <t>NAME::G VIJAY RAGHAVAN</t>
  </si>
  <si>
    <t>GADDE RAJENDRA</t>
  </si>
  <si>
    <t>INH000019929</t>
  </si>
  <si>
    <t>GADDE  RAJENDRA</t>
  </si>
  <si>
    <t>2 43, REVENDRAPADU</t>
  </si>
  <si>
    <t>gadderajendra@gmail.com</t>
  </si>
  <si>
    <t>919948586936</t>
  </si>
  <si>
    <t>522302</t>
  </si>
  <si>
    <t>NAME::GADDE RAJENDRA</t>
  </si>
  <si>
    <t>GAGANPREET KAUR</t>
  </si>
  <si>
    <t>INH000027627</t>
  </si>
  <si>
    <t>Gaganpreet Kaur</t>
  </si>
  <si>
    <t>PH 03, 21st Floor, Q Tower, Pan Oasis Society, Sector 70</t>
  </si>
  <si>
    <t>gaganpreet1903@gmail.com</t>
  </si>
  <si>
    <t>NAME::GAGANPREET KAUR</t>
  </si>
  <si>
    <t>GANATRA CHINTAN DILIPBHAI</t>
  </si>
  <si>
    <t>INH000021544</t>
  </si>
  <si>
    <t>CHINTAN GANATRA</t>
  </si>
  <si>
    <t>royal enterprise shop 121 , royal square</t>
  </si>
  <si>
    <t>nick.ganatra@gmail.com</t>
  </si>
  <si>
    <t>919638245369</t>
  </si>
  <si>
    <t>394105</t>
  </si>
  <si>
    <t>NAME::GANATRA CHINTAN DILIPBHAI</t>
  </si>
  <si>
    <t>GARIKAPATI MADHURI</t>
  </si>
  <si>
    <t>INH000016427</t>
  </si>
  <si>
    <t>MADHURI GARIKAPATI</t>
  </si>
  <si>
    <t>2-49, Karumuru, Repalle</t>
  </si>
  <si>
    <t>MADHUGARIKAPATI00@GMAIL.COM</t>
  </si>
  <si>
    <t>522265</t>
  </si>
  <si>
    <t>NAME::GARIKAPATI MADHURI</t>
  </si>
  <si>
    <t>GAURAV ANIL KAUSHIK</t>
  </si>
  <si>
    <t>INH000027405</t>
  </si>
  <si>
    <t>Gaurav Kaushik</t>
  </si>
  <si>
    <t>OFFICE NO 220  PLOT NO.20  SEC-19D, SATRA PLAZA,NAVI MUMBAI</t>
  </si>
  <si>
    <t>chartedweekly@gmail.com</t>
  </si>
  <si>
    <t>00009005981212</t>
  </si>
  <si>
    <t>NAME::GAURAV ANIL KAUSHIK</t>
  </si>
  <si>
    <t>GAURAV GARG</t>
  </si>
  <si>
    <t>INH100005604</t>
  </si>
  <si>
    <t>M-2A, ARJUN APPTT, F-BLOCK, VIKASPURI</t>
  </si>
  <si>
    <t>ga_garg@yahoo.com</t>
  </si>
  <si>
    <t>919899999620</t>
  </si>
  <si>
    <t>Jan 19, 2018</t>
  </si>
  <si>
    <t>NAME::GAURAV GARG</t>
  </si>
  <si>
    <t>INH000028282</t>
  </si>
  <si>
    <t>B4 182 A KESHAV PURAM JANTA FLAT DELHI</t>
  </si>
  <si>
    <t>isgltd2023@gmail.com</t>
  </si>
  <si>
    <t>5091283</t>
  </si>
  <si>
    <t>GAURAV GOEL</t>
  </si>
  <si>
    <t>INA100014426</t>
  </si>
  <si>
    <t>C-304 Krishna Apra Reidency, Sector 61</t>
  </si>
  <si>
    <t>gauravgoel1976@gmail.com</t>
  </si>
  <si>
    <t>NAME::GAURAV GOEL</t>
  </si>
  <si>
    <t>GAURAV JAIN</t>
  </si>
  <si>
    <t>INA300016862</t>
  </si>
  <si>
    <t>7TH FLOOR, MAINAAK TOWERS, CHRISTAN BASTI, G.S ROAD</t>
  </si>
  <si>
    <t>connectgauravjain@gmail.com</t>
  </si>
  <si>
    <t>919706000101</t>
  </si>
  <si>
    <t>781005</t>
  </si>
  <si>
    <t>May 14, 2022</t>
  </si>
  <si>
    <t>NAME::GAURAV JAIN</t>
  </si>
  <si>
    <t>GAURAV MASHRUWALA</t>
  </si>
  <si>
    <t>INA000004013</t>
  </si>
  <si>
    <t>14-C, CRYSTAL,, 36 ALTAMOUNT ROAD,</t>
  </si>
  <si>
    <t>gmashruwala@gmail.com</t>
  </si>
  <si>
    <t>2222630686</t>
  </si>
  <si>
    <t>14-C, Crystal, 36 Altamount Road,</t>
  </si>
  <si>
    <t>NAME::GAURAV MASHRUWALA</t>
  </si>
  <si>
    <t>GAURAV NARENDRA PURI</t>
  </si>
  <si>
    <t>INH000014605</t>
  </si>
  <si>
    <t>GAURAV PURI</t>
  </si>
  <si>
    <t>PLOT NO 66, AWADHUT NAGAR, MANEWADA</t>
  </si>
  <si>
    <t>gauravpurigpg@gmail.com</t>
  </si>
  <si>
    <t>440034</t>
  </si>
  <si>
    <t>NAME::GAURAV NARENDRA PURI</t>
  </si>
  <si>
    <t>GAURAV SHRIRAM KULKARNI</t>
  </si>
  <si>
    <t>INH000009311</t>
  </si>
  <si>
    <t>GAURAV KULKARNI</t>
  </si>
  <si>
    <t>Flat no 506, A wing, Kesar valley, Patil Nagar, Chikhali,</t>
  </si>
  <si>
    <t>researchanalyst92@gmail.com</t>
  </si>
  <si>
    <t>411062</t>
  </si>
  <si>
    <t>Mar 31, 2022</t>
  </si>
  <si>
    <t>NAME::GAURAV SHRIRAM KULKARNI</t>
  </si>
  <si>
    <t>GAURI ANAND</t>
  </si>
  <si>
    <t>INA000017471</t>
  </si>
  <si>
    <t>J, H. No. 504, RIVER RESIDENCY, GATE 90,DEHU ALANDI ROAD,CHIKALI</t>
  </si>
  <si>
    <t>gaurianand212@yahoo.com</t>
  </si>
  <si>
    <t>002046022562</t>
  </si>
  <si>
    <t>412114</t>
  </si>
  <si>
    <t>FLAT NO. C 1232, 12TH FLOOR, FIVE GARDENS 2 PHASE, RAHATANI ROAD</t>
  </si>
  <si>
    <t>NAME::GAURI ANAND</t>
  </si>
  <si>
    <t>INH000010487</t>
  </si>
  <si>
    <t>J, H.No.504, River Residency, Gate 90,, Dehu, Alandi Road, Chikali</t>
  </si>
  <si>
    <t>919867730142</t>
  </si>
  <si>
    <t>C 1232, Five Gardens 2 Phase, Rahatani Road, Pimpale Saudagar</t>
  </si>
  <si>
    <t>GAUTAM PAREEK</t>
  </si>
  <si>
    <t>INH000015093</t>
  </si>
  <si>
    <t>Office no.13/A,Floor no.1,Building name. Jhoar chawl, Block sector. Worli Mumbai, Road. Dainik Shivneri marg, City Varali</t>
  </si>
  <si>
    <t>pareekgautam852@gmail.com</t>
  </si>
  <si>
    <t>NAME::GAUTAM PAREEK</t>
  </si>
  <si>
    <t>GIRISH SINGAL</t>
  </si>
  <si>
    <t>INH000015701</t>
  </si>
  <si>
    <t>G 34, G BLOCK, BRS Nagar</t>
  </si>
  <si>
    <t>girishsingla598@gmail.com</t>
  </si>
  <si>
    <t>NAME::GIRISH SINGAL</t>
  </si>
  <si>
    <t>GOBINATH N</t>
  </si>
  <si>
    <t>INH000023029</t>
  </si>
  <si>
    <t>GOBINATH Natarajan</t>
  </si>
  <si>
    <t>New No 2/273, Periyar Street, 74 Krishnapuram, Gangavalli</t>
  </si>
  <si>
    <t>fortunaresearchanalyst@gmail.com</t>
  </si>
  <si>
    <t>919778743671</t>
  </si>
  <si>
    <t>636105</t>
  </si>
  <si>
    <t>NAME::GOBINATH N</t>
  </si>
  <si>
    <t>GONDALIYA BHAVESH CHHAGANBHAI</t>
  </si>
  <si>
    <t>INH000024772</t>
  </si>
  <si>
    <t>BHAVESH GONDALIYA</t>
  </si>
  <si>
    <t>B103, Pushkar Heights, B103, Pushkar Heights</t>
  </si>
  <si>
    <t>bhaveshgondaliya1993@gmail.com</t>
  </si>
  <si>
    <t>919638293189</t>
  </si>
  <si>
    <t>NAME::GONDALIYA BHAVESH CHHAGANBHAI</t>
  </si>
  <si>
    <t>GOPAL LOHAR</t>
  </si>
  <si>
    <t>INH000011963</t>
  </si>
  <si>
    <t>So Ramchandra Ji Lohar, 42, Gupteshwar Road, Prem Nagar, Teetardi</t>
  </si>
  <si>
    <t>GOPAL25LOHAR@GMAIL.COM</t>
  </si>
  <si>
    <t>Second Floor, 1-P-37, Jain Mandir Road, Hiran Magri Sector 04</t>
  </si>
  <si>
    <t>NAME::GOPAL LOHAR</t>
  </si>
  <si>
    <t>GOPI KRISHNA MATCHA</t>
  </si>
  <si>
    <t>INH000010858</t>
  </si>
  <si>
    <t>GOPI  MATCHA</t>
  </si>
  <si>
    <t>Rupa residency, Flat 202, Behind Radha soami sastang beas, Yendada rushikonda road, Visakhapatnam</t>
  </si>
  <si>
    <t>gopikrishna0395@gmail.com</t>
  </si>
  <si>
    <t>530045</t>
  </si>
  <si>
    <t>NAME::GOPI KRISHNA MATCHA</t>
  </si>
  <si>
    <t>GORAKH KADAM</t>
  </si>
  <si>
    <t>INA000000441</t>
  </si>
  <si>
    <t>S 86 DESTINATION CENTRE, NANDED CITY</t>
  </si>
  <si>
    <t>gorakhkadam@gmail.com</t>
  </si>
  <si>
    <t>9373004167</t>
  </si>
  <si>
    <t>411041</t>
  </si>
  <si>
    <t>Flat 13 B Building,Siddhivinayak Complex, Near Shinde Pool,</t>
  </si>
  <si>
    <t>411023</t>
  </si>
  <si>
    <t>Dec 10, 2013</t>
  </si>
  <si>
    <t>NAME::GORAKH KADAM</t>
  </si>
  <si>
    <t>GOSWAMI YAGNESH ASHWINPURI</t>
  </si>
  <si>
    <t>INH000025461</t>
  </si>
  <si>
    <t>YAGNESH  GOSWAMI</t>
  </si>
  <si>
    <t>7,KALHAR VILLA,, MADHAVFARM,ROAD,VASTRAL, VASTRAL AHMEDABAD GUJARAT - INDIA -</t>
  </si>
  <si>
    <t>yagnesh.goswami4864@gmail.com</t>
  </si>
  <si>
    <t>917861850798</t>
  </si>
  <si>
    <t>Mar 13, 2026</t>
  </si>
  <si>
    <t>NAME::GOSWAMI YAGNESH ASHWINPURI</t>
  </si>
  <si>
    <t>GOURAV DHARKAR</t>
  </si>
  <si>
    <t>INH000025300</t>
  </si>
  <si>
    <t>103 Prakash Nagar Dhar</t>
  </si>
  <si>
    <t>dharkargourav@gmail.com</t>
  </si>
  <si>
    <t>919827562967</t>
  </si>
  <si>
    <t>454001</t>
  </si>
  <si>
    <t>NAME::GOURAV DHARKAR</t>
  </si>
  <si>
    <t>GOURAV KUMAR NAYAK</t>
  </si>
  <si>
    <t>INH000012917</t>
  </si>
  <si>
    <t>GOURAV NAYAK</t>
  </si>
  <si>
    <t>K 254, TRIFECTA ESPLANADE, BELATHUR MAIN ROAD, KADUGODI, WHITEFIELD</t>
  </si>
  <si>
    <t>kumar.gourav506147@gmail.com</t>
  </si>
  <si>
    <t>NAME::GOURAV KUMAR NAYAK</t>
  </si>
  <si>
    <t>GUGULOTH DINESH KUMAR</t>
  </si>
  <si>
    <t>INH000016694</t>
  </si>
  <si>
    <t>GUGULOTH KUMAR</t>
  </si>
  <si>
    <t>H No 6 57 21 1, Ashok, Nagar, Mandalam Kothapalli, Chintakunta Rural,</t>
  </si>
  <si>
    <t>dineshkumarr442@gmail.com</t>
  </si>
  <si>
    <t>505001</t>
  </si>
  <si>
    <t>NAME::GUGULOTH DINESH KUMAR</t>
  </si>
  <si>
    <t>GULSHAN KHERA</t>
  </si>
  <si>
    <t>INA100011988</t>
  </si>
  <si>
    <t>Gulshan Khera</t>
  </si>
  <si>
    <t>Office no 2, B-XXXII-E-13/82,, MAIN ROAD BHAURA, AMAN NAGAR</t>
  </si>
  <si>
    <t>thegkbull@gmail.com</t>
  </si>
  <si>
    <t>919041060460</t>
  </si>
  <si>
    <t>141008</t>
  </si>
  <si>
    <t>Office no 2, B-XXXII-E-13/82, MAIN ROAD BHAURA, AMAN NAGAR</t>
  </si>
  <si>
    <t>NAME::GULSHAN KHERA</t>
  </si>
  <si>
    <t>GULSHAN KUMAR SONI</t>
  </si>
  <si>
    <t>INH000025115</t>
  </si>
  <si>
    <t>GULSHAN SONI</t>
  </si>
  <si>
    <t>39 SANTOSH VILLA, WARD NO 14, BEHIND SHIV MANDIR, INDIRA COLONY, RAILWAY STATION ROAD, CHOMU, Jaipur</t>
  </si>
  <si>
    <t>Glsnsoni@gmail.com</t>
  </si>
  <si>
    <t>919214500010</t>
  </si>
  <si>
    <t>NAME::GULSHAN KUMAR SONI</t>
  </si>
  <si>
    <t>GUNJAN KUMAR</t>
  </si>
  <si>
    <t>INH000016481</t>
  </si>
  <si>
    <t>Paine Per, Dasratha, Phulwari, Anisabad</t>
  </si>
  <si>
    <t>GUNJAN00281@GMAIL.COM</t>
  </si>
  <si>
    <t>800002</t>
  </si>
  <si>
    <t>NAME::GUNJAN KUMAR</t>
  </si>
  <si>
    <t>Ganesh Jayaraman</t>
  </si>
  <si>
    <t>INA200016281</t>
  </si>
  <si>
    <t>1 Prashanti Nilayam West Mada Street, Srinagar Colony Saidapet</t>
  </si>
  <si>
    <t>ganeshjayaraman.chennai@gmail.com</t>
  </si>
  <si>
    <t>600015</t>
  </si>
  <si>
    <t>NAME::GANESH JAYARAMAN</t>
  </si>
  <si>
    <t>INA000018814</t>
  </si>
  <si>
    <t>W2c-064, Wellington Estate,, DLF phase 5, Galleria DLF-IV,</t>
  </si>
  <si>
    <t>gaurav.agrawal47@gmail.com</t>
  </si>
  <si>
    <t>918860280945</t>
  </si>
  <si>
    <t>W2c-064, Wellington Estate, DLF phase 5, Galleria DLF-IV,</t>
  </si>
  <si>
    <t>NAME::GAURAV AGRAWAL</t>
  </si>
  <si>
    <t>Gaurav Sethiya</t>
  </si>
  <si>
    <t>INH000017374</t>
  </si>
  <si>
    <t>307 Ramchand Palace Opp. Mahaveer Gate , Scheme No. 71 C Indore</t>
  </si>
  <si>
    <t>gaurav98273@gmail.com</t>
  </si>
  <si>
    <t>0919827310407</t>
  </si>
  <si>
    <t>NAME::GAURAV SETHIYA</t>
  </si>
  <si>
    <t>Gaurav Sharma</t>
  </si>
  <si>
    <t>INH100008726</t>
  </si>
  <si>
    <t>L 389 L corner 3rd Floor , L extension , Mohan Garden</t>
  </si>
  <si>
    <t>gauravsharma21234@gmail.com</t>
  </si>
  <si>
    <t>Shop No. 33, 1ST Floor, SADGURU PLAZA CHS LTD, Plot Number 50, SECTOR 40, SEAWOODS NERUL</t>
  </si>
  <si>
    <t>NAME::GAURAV SHARMA</t>
  </si>
  <si>
    <t>Geo George Jacob</t>
  </si>
  <si>
    <t>INH000021632</t>
  </si>
  <si>
    <t>Geo  Jacob</t>
  </si>
  <si>
    <t>H-No. 15/260, Venkattackal House, Thachamkode, Marikkunnu PO</t>
  </si>
  <si>
    <t>geogeorgejacob@gmail.com</t>
  </si>
  <si>
    <t>919497837334</t>
  </si>
  <si>
    <t>673012</t>
  </si>
  <si>
    <t>NAME::GEO GEORGE JACOB</t>
  </si>
  <si>
    <t>Gokul Chhabra</t>
  </si>
  <si>
    <t>INH000014827</t>
  </si>
  <si>
    <t>24, Kamal Colony, Delhi Road</t>
  </si>
  <si>
    <t>gokulchhabra88@gmail.com</t>
  </si>
  <si>
    <t>SAHARANPUR</t>
  </si>
  <si>
    <t>247001</t>
  </si>
  <si>
    <t>NAME::GOKUL CHHABRA</t>
  </si>
  <si>
    <t>Gopalakrishna Narayana Moni</t>
  </si>
  <si>
    <t>INA000019664</t>
  </si>
  <si>
    <t>75,76 F2, VGN Krona, Madhatown Extension, Gerugambakkam</t>
  </si>
  <si>
    <t>ngopalakrishna@gmail.com</t>
  </si>
  <si>
    <t>919845077841</t>
  </si>
  <si>
    <t>600122</t>
  </si>
  <si>
    <t>NAME::GOPALAKRISHNA NARAYANA MONI</t>
  </si>
  <si>
    <t>Gourav Jain</t>
  </si>
  <si>
    <t>INH000024268</t>
  </si>
  <si>
    <t>DE/66, Basanti Colony, VTC Rourkela,, PO Udit Nagar, Sub Dustrict Raghunathpali,</t>
  </si>
  <si>
    <t>gourav.jain.ra@gmail.com</t>
  </si>
  <si>
    <t>917752029950</t>
  </si>
  <si>
    <t>ROURKELA</t>
  </si>
  <si>
    <t>769012</t>
  </si>
  <si>
    <t>NAME::GOURAV JAIN</t>
  </si>
  <si>
    <t>Gunjal Jayadrath Suresh</t>
  </si>
  <si>
    <t>INA000020420</t>
  </si>
  <si>
    <t>Gunjal Suresh</t>
  </si>
  <si>
    <t>Plot no 61, Maharathi Bungalow, Lavhate Nagar,, Trimbak Road, Nashik</t>
  </si>
  <si>
    <t>jdgunjal@gmail.com</t>
  </si>
  <si>
    <t>00919717001609</t>
  </si>
  <si>
    <t>Plot no 61, Maharathi Bungalow, Lavhate Nagar, Trimbak Road, Nashik</t>
  </si>
  <si>
    <t>NAME::GUNJAL JAYADRATH SURESH</t>
  </si>
  <si>
    <t>Gurpreet Singh</t>
  </si>
  <si>
    <t>INA000020244</t>
  </si>
  <si>
    <t>Gurpreet  Singh</t>
  </si>
  <si>
    <t>H/no. 2577, Mohalla Mehna., Street Sucha singh Nambardar.</t>
  </si>
  <si>
    <t>79.gurpreet@gmail.com</t>
  </si>
  <si>
    <t>919425610337</t>
  </si>
  <si>
    <t>NAME::GURPREET SINGH</t>
  </si>
  <si>
    <t>Gursimran Singh</t>
  </si>
  <si>
    <t>INA100009798</t>
  </si>
  <si>
    <t>P-9 , 1st Floor , Green Park Extension</t>
  </si>
  <si>
    <t>gursimran59@hotmail.com</t>
  </si>
  <si>
    <t>Feb 13, 2018</t>
  </si>
  <si>
    <t>NAME::GURSIMRAN SINGH</t>
  </si>
  <si>
    <t>H N  SHYLAJA</t>
  </si>
  <si>
    <t>INH000022127</t>
  </si>
  <si>
    <t>H N SHYLAJA</t>
  </si>
  <si>
    <t>06 SURVEY NO1037 WASA LAYOUT, DODDANEKKUNDI Near Govt. School Marathahalli</t>
  </si>
  <si>
    <t>hnshylaja952@gmail.com</t>
  </si>
  <si>
    <t>919341060007</t>
  </si>
  <si>
    <t>NAME::H N SHYLAJA</t>
  </si>
  <si>
    <t>HARDIK NAINESHBHAI KACHAVA</t>
  </si>
  <si>
    <t>INH000022136</t>
  </si>
  <si>
    <t>HARDIK KACHAVA</t>
  </si>
  <si>
    <t>Dream Ville H-103, Near Morbi Bridge, Madhapar Village</t>
  </si>
  <si>
    <t>kachava.advisory@gmail.com</t>
  </si>
  <si>
    <t>919913413369</t>
  </si>
  <si>
    <t>360006</t>
  </si>
  <si>
    <t>NAME::HARDIK NAINESHBHAI KACHAVA</t>
  </si>
  <si>
    <t>HAREN JAYENDRA BANKER</t>
  </si>
  <si>
    <t>INA000001522</t>
  </si>
  <si>
    <t>Haren  Jayendra Banker</t>
  </si>
  <si>
    <t>33, SAILESH,, LINKING ROAD, SANTACRUZ (W),</t>
  </si>
  <si>
    <t>harenbanker@gmail.com</t>
  </si>
  <si>
    <t>919820151644</t>
  </si>
  <si>
    <t>33, SAILESH, LINKING ROAD, SANTACRUZ (W),</t>
  </si>
  <si>
    <t>Apr 10, 2014</t>
  </si>
  <si>
    <t>NAME::HAREN JAYENDRA BANKER</t>
  </si>
  <si>
    <t>HARIHARAN</t>
  </si>
  <si>
    <t>INA000021915</t>
  </si>
  <si>
    <t>HARIHARAN HARIHARAN</t>
  </si>
  <si>
    <t>NO 5, Sundara Vinayagar St., Mahatma Nagar, Lawspet,</t>
  </si>
  <si>
    <t>hariharancwm@gmail.com</t>
  </si>
  <si>
    <t>00918072075160</t>
  </si>
  <si>
    <t>605008</t>
  </si>
  <si>
    <t>NAME::HARIHARAN</t>
  </si>
  <si>
    <t>HARIOM PANCHAL</t>
  </si>
  <si>
    <t>INH000010201</t>
  </si>
  <si>
    <t>Sector 6-B , Chankyapuri, Near Water Tank, Ghatoldiya</t>
  </si>
  <si>
    <t>HARIOMV.PANCHAL@GMAIL.COM</t>
  </si>
  <si>
    <t>919638195376</t>
  </si>
  <si>
    <t>NAME::HARIOM PANCHAL</t>
  </si>
  <si>
    <t>HARIPRASAD K</t>
  </si>
  <si>
    <t>INH200009351</t>
  </si>
  <si>
    <t>HARIPRASAD  KIZHAKKETHARA</t>
  </si>
  <si>
    <t>Sreesailam, Nanadam ,Udayanapuram</t>
  </si>
  <si>
    <t>hp1997hariprasad@gmail.com</t>
  </si>
  <si>
    <t>686143</t>
  </si>
  <si>
    <t>Apr 06, 2022</t>
  </si>
  <si>
    <t>NAME::HARIPRASAD K</t>
  </si>
  <si>
    <t>HARISH MENON</t>
  </si>
  <si>
    <t>INA000012838</t>
  </si>
  <si>
    <t>803, Dahlia, Building 3,, Vasant Valley, Wayale Nagar, Near Khadakpada</t>
  </si>
  <si>
    <t>hcmenon@gmail.com</t>
  </si>
  <si>
    <t>803, Dahlia, Building 3, Vasant Valley, Wayale Nagar, Near Khadakpada</t>
  </si>
  <si>
    <t>NAME::HARISH MENON</t>
  </si>
  <si>
    <t>HARNISH MAHESH SHUKLA</t>
  </si>
  <si>
    <t>INH000006642</t>
  </si>
  <si>
    <t>HARNISH SHUKLA</t>
  </si>
  <si>
    <t>Plot 172,Room 101 1st Floor, Anupam Building, Dr. Nathalal  Parekh Marg, Sewri wadala road, Wadala West</t>
  </si>
  <si>
    <t>harnish83@gmail.com</t>
  </si>
  <si>
    <t>400031</t>
  </si>
  <si>
    <t>NAME::HARNISH MAHESH SHUKLA</t>
  </si>
  <si>
    <t>HARSHAD VAYEDA</t>
  </si>
  <si>
    <t>INH000028246</t>
  </si>
  <si>
    <t>HARSHAD  VAYEDA</t>
  </si>
  <si>
    <t>404, Radha Kunj Apartment, Behind Reliance Smart,, Lake Avenue, Kanke Road,</t>
  </si>
  <si>
    <t>harshadv1305@gmail.com</t>
  </si>
  <si>
    <t>0009016167047</t>
  </si>
  <si>
    <t>834008</t>
  </si>
  <si>
    <t>NAME::HARSHAD VAYEDA</t>
  </si>
  <si>
    <t>HARSHAL PARMAR</t>
  </si>
  <si>
    <t>INH000020299</t>
  </si>
  <si>
    <t>Shop No 5, Pramukh Darshan Complex, Chharwada Road, Vapi</t>
  </si>
  <si>
    <t>prathamcapitalresearch@gmail.com</t>
  </si>
  <si>
    <t>918799053589</t>
  </si>
  <si>
    <t>NAME::HARSHAL PARMAR</t>
  </si>
  <si>
    <t>HEMANG MEHTA</t>
  </si>
  <si>
    <t>INA000003783</t>
  </si>
  <si>
    <t>A604, MAHALAXMI APARTMENTS,, RAJKAMAL STUDIO COMPOUND, PAREL,</t>
  </si>
  <si>
    <t>hemangm78@yahoo.com</t>
  </si>
  <si>
    <t>2224157875</t>
  </si>
  <si>
    <t>A604, Mahalaxmi Apartments, Rajkamal Studio Compound, Parel,</t>
  </si>
  <si>
    <t>NAME::HEMANG MEHTA</t>
  </si>
  <si>
    <t>HEMANT KUMAR MISHRA</t>
  </si>
  <si>
    <t>INH000022862</t>
  </si>
  <si>
    <t>HEMANT MISHRA</t>
  </si>
  <si>
    <t>HOUSE NO- 391, WARD 24 SAKET NAGAR</t>
  </si>
  <si>
    <t>hemant4805@gmail.com</t>
  </si>
  <si>
    <t>919936106836</t>
  </si>
  <si>
    <t>208014</t>
  </si>
  <si>
    <t>127/391 w-1 block, SAKET NAGAR JUHI</t>
  </si>
  <si>
    <t>NAME::HEMANT KUMAR MISHRA</t>
  </si>
  <si>
    <t>HEMINDRA KISHEN HAZARI</t>
  </si>
  <si>
    <t>INH000000594</t>
  </si>
  <si>
    <t>8, MAHESHWAR NIKETAN, 5B PEDDER ROAD,</t>
  </si>
  <si>
    <t>hemindrahazari@gmail.com</t>
  </si>
  <si>
    <t>02223515855</t>
  </si>
  <si>
    <t>8, Maheshwar Niketan, 5B Pedder Road,</t>
  </si>
  <si>
    <t>Jun 11, 2015</t>
  </si>
  <si>
    <t>NAME::HEMINDRA KISHEN HAZARI</t>
  </si>
  <si>
    <t>HEMLATA SOMANI</t>
  </si>
  <si>
    <t>INA000019770</t>
  </si>
  <si>
    <t>Hemlata Somani</t>
  </si>
  <si>
    <t>Parakhet, Near RICCO industrial Chouraha, Kaladwas, Udaipur</t>
  </si>
  <si>
    <t>919460362385</t>
  </si>
  <si>
    <t>NAME::HEMLATA SOMANI</t>
  </si>
  <si>
    <t>HIMANSHU SHARMA</t>
  </si>
  <si>
    <t>INH000024611</t>
  </si>
  <si>
    <t>Himanshu  Sharma</t>
  </si>
  <si>
    <t>16/1A, British Indian Street, 5th Floor, Room - 5J, Kolkata</t>
  </si>
  <si>
    <t>advhimanshu13@gmail.com</t>
  </si>
  <si>
    <t>0003340067056</t>
  </si>
  <si>
    <t>NAME::HIMANSHU SHARMA</t>
  </si>
  <si>
    <t>HIREN DHANJIBHAI GARASONDIA</t>
  </si>
  <si>
    <t>INH000006095</t>
  </si>
  <si>
    <t>HIREN GARASONDIA</t>
  </si>
  <si>
    <t>shivam, 2 gulab nagar society, 12 master society corner, kalyan building street</t>
  </si>
  <si>
    <t>ptlhiren@yahoo.com</t>
  </si>
  <si>
    <t>NAME::HIREN DHANJIBHAI GARASONDIA</t>
  </si>
  <si>
    <t>HITESH NANWANI</t>
  </si>
  <si>
    <t>INH000022288</t>
  </si>
  <si>
    <t>171, R K Puram, FOY Sagar Road</t>
  </si>
  <si>
    <t>hiteshnanwani.connect@gmail.com</t>
  </si>
  <si>
    <t>918619476606</t>
  </si>
  <si>
    <t>NAME::HITESH NANWANI</t>
  </si>
  <si>
    <t>HITESH SOMANI</t>
  </si>
  <si>
    <t>INH000010645</t>
  </si>
  <si>
    <t>B/910, Ratnaakar Nine Square, Opp. ITC Narmada, Vasrapur</t>
  </si>
  <si>
    <t>hiteshsomani84@gmail.com</t>
  </si>
  <si>
    <t>NAME::HITESH SOMANI</t>
  </si>
  <si>
    <t>HITESHWARI KUMARI</t>
  </si>
  <si>
    <t>INH000016472</t>
  </si>
  <si>
    <t>110-B-816, VYAS APARTMENT, SECTOR-11, PRATAP NAGAR</t>
  </si>
  <si>
    <t>hiteshwari965@gmail.com</t>
  </si>
  <si>
    <t>302033</t>
  </si>
  <si>
    <t>NAME::HITESHWARI KUMARI</t>
  </si>
  <si>
    <t>Harika Enjamuri</t>
  </si>
  <si>
    <t>INH000017417</t>
  </si>
  <si>
    <t>16-11-20/4/10, Sai Prasad Apartments, Flat no. 202, sripuram colony, malakpet</t>
  </si>
  <si>
    <t>haripredictram6@gmail.com</t>
  </si>
  <si>
    <t>NAME::HARIKA ENJAMURI</t>
  </si>
  <si>
    <t>Harsh Chandrashekhar Vaishnav</t>
  </si>
  <si>
    <t>INH000024365</t>
  </si>
  <si>
    <t>Harsh Vaishnav</t>
  </si>
  <si>
    <t>614, Janki centre, off veera desai road, Andheri west, Mumbai-400053</t>
  </si>
  <si>
    <t>harshvaishnav96@gmail.com</t>
  </si>
  <si>
    <t>912235572282</t>
  </si>
  <si>
    <t>NAME::HARSH CHANDRASHEKHAR VAISHNAV</t>
  </si>
  <si>
    <t>INH000026804</t>
  </si>
  <si>
    <t>Harsh  Vardhan</t>
  </si>
  <si>
    <t>CDA Building, Lalji Tola, Patna GPO</t>
  </si>
  <si>
    <t>meandonlyharsh@gmail.com</t>
  </si>
  <si>
    <t>0009792975761</t>
  </si>
  <si>
    <t>NAME::HARSH VARDHAN</t>
  </si>
  <si>
    <t>Harshad Chetanwala</t>
  </si>
  <si>
    <t>INA000015455</t>
  </si>
  <si>
    <t>Moraj Residency, G-4, Sec 16, Palm Beach Road, Sanpada</t>
  </si>
  <si>
    <t>harshad_dc@yahoo.com</t>
  </si>
  <si>
    <t>919320344998</t>
  </si>
  <si>
    <t>Nov 20, 2020</t>
  </si>
  <si>
    <t>NAME::HARSHAD CHETANWALA</t>
  </si>
  <si>
    <t>Harshit Singhal</t>
  </si>
  <si>
    <t>INH000013068</t>
  </si>
  <si>
    <t>SE-111 Shastri Nagar</t>
  </si>
  <si>
    <t>hsinghal55@gmail.com</t>
  </si>
  <si>
    <t>201002</t>
  </si>
  <si>
    <t>NAME::HARSHIT SINGHAL</t>
  </si>
  <si>
    <t>Hemander Jain</t>
  </si>
  <si>
    <t>INH100005349</t>
  </si>
  <si>
    <t>736-S/F S-3, Niti Khand-1, , Indirapuram, Shipra Sun City</t>
  </si>
  <si>
    <t>forexcrossroads@gmail.com</t>
  </si>
  <si>
    <t>Nov 01, 2017</t>
  </si>
  <si>
    <t>NAME::HEMANDER JAIN</t>
  </si>
  <si>
    <t>Hersh Tolani</t>
  </si>
  <si>
    <t>INA000010584</t>
  </si>
  <si>
    <t>902, Citadel,, 18, L.D. Ruparel Road,</t>
  </si>
  <si>
    <t>hersh.tolani@gmail.com</t>
  </si>
  <si>
    <t>902, Citadel, 18, L.D. Ruparel Road,</t>
  </si>
  <si>
    <t>May 17, 2018</t>
  </si>
  <si>
    <t>NAME::HERSH TOLANI</t>
  </si>
  <si>
    <t>Himadri Ghosh Roy</t>
  </si>
  <si>
    <t>INH000005500</t>
  </si>
  <si>
    <t>Himadri Roy</t>
  </si>
  <si>
    <t>203/1C, N G Sun city, Phase-2, Thakur Village, Kandivali East</t>
  </si>
  <si>
    <t>himadri.roy@gmail.com</t>
  </si>
  <si>
    <t>NAME::HIMADRI GHOSH ROY</t>
  </si>
  <si>
    <t>Himanshu Arora</t>
  </si>
  <si>
    <t>INH000016490</t>
  </si>
  <si>
    <t>c-99, Ramprastha Colony, Chander Nagar, Ghaziabad</t>
  </si>
  <si>
    <t>him83.arora@gmail.com</t>
  </si>
  <si>
    <t>201011</t>
  </si>
  <si>
    <t>NAME::HIMANSHU ARORA</t>
  </si>
  <si>
    <t>Himanshu Gupta</t>
  </si>
  <si>
    <t>INH100008975</t>
  </si>
  <si>
    <t>7 RPS Flats, Sheikh Sarai-1</t>
  </si>
  <si>
    <t>himanshu039@gmail.com</t>
  </si>
  <si>
    <t>919007972357</t>
  </si>
  <si>
    <t>Dec 15, 2021</t>
  </si>
  <si>
    <t>NAME::HIMANSHU GUPTA</t>
  </si>
  <si>
    <t>Himanshu Mahajan</t>
  </si>
  <si>
    <t>INA100008425</t>
  </si>
  <si>
    <t>Himanshu  Mahajan</t>
  </si>
  <si>
    <t>16- A, Aggar Nagar Extension</t>
  </si>
  <si>
    <t>himanshumahajan0293@gmail.com</t>
  </si>
  <si>
    <t>Sep 11, 2017</t>
  </si>
  <si>
    <t>NAME::HIMANSHU MAHAJAN</t>
  </si>
  <si>
    <t>Himanshu Pravinchandra Pandya</t>
  </si>
  <si>
    <t>INA000017310</t>
  </si>
  <si>
    <t>Himanshu Pandya</t>
  </si>
  <si>
    <t>C1404, Raheja Serenity CHS,, Thakur Village, Kandivali East</t>
  </si>
  <si>
    <t>himanshuppandya@outlook.com</t>
  </si>
  <si>
    <t>C1404, Raheja Serenity CHS, Thakur Village, Kandivali East</t>
  </si>
  <si>
    <t>NAME::HIMANSHU PRAVINCHANDRA PANDYA</t>
  </si>
  <si>
    <t>Himanshu Somani</t>
  </si>
  <si>
    <t>INA000021216</t>
  </si>
  <si>
    <t>107, 1st floor, BTC Market, Opp Harsh Palace, Old RTO road,</t>
  </si>
  <si>
    <t>himanshusomani007@gmail.com</t>
  </si>
  <si>
    <t>00919555630096</t>
  </si>
  <si>
    <t>311001</t>
  </si>
  <si>
    <t>NAME::HIMANSHU SOMANI</t>
  </si>
  <si>
    <t>Himanshu Soni</t>
  </si>
  <si>
    <t>INH000026877</t>
  </si>
  <si>
    <t>C-172, Indra Vihar, Airport road</t>
  </si>
  <si>
    <t>sonihimanshu996@gmail.com</t>
  </si>
  <si>
    <t>NAME::HIMANSHU SONI</t>
  </si>
  <si>
    <t>Hitesh Amar Punjabi</t>
  </si>
  <si>
    <t>INH000019318</t>
  </si>
  <si>
    <t>Hitesh Punjabi</t>
  </si>
  <si>
    <t>301, 5 Diamond Garden, 5th Road, Diamond garden, Chembur</t>
  </si>
  <si>
    <t>hitpun@gmail.com</t>
  </si>
  <si>
    <t>919820576872</t>
  </si>
  <si>
    <t>NAME::HITESH AMAR PUNJABI</t>
  </si>
  <si>
    <t>Hriday Rajesh Dave</t>
  </si>
  <si>
    <t>INH000026895</t>
  </si>
  <si>
    <t>Hriday Dave</t>
  </si>
  <si>
    <t>D-7, 849, Rachana chs, sector 8 Charkop, Kandivali west</t>
  </si>
  <si>
    <t>rahridaydave@gmail.com</t>
  </si>
  <si>
    <t>NAME::HRIDAY RAJESH DAVE</t>
  </si>
  <si>
    <t>Hrushikesh Kale</t>
  </si>
  <si>
    <t>INA000013800</t>
  </si>
  <si>
    <t>1875/4, Saraswati Bhawan,Akhada Road,, Rani Laxmibai Ward, Pandharkawada</t>
  </si>
  <si>
    <t>hrush4u@gmail.com</t>
  </si>
  <si>
    <t>445302</t>
  </si>
  <si>
    <t>1875/4, Saraswati Bhawan,Akhada Road, Rani Laxmibai Ward, Pandharkawada</t>
  </si>
  <si>
    <t>NAME::HRUSHIKESH KALE</t>
  </si>
  <si>
    <t>Humaira Irfan Shaikh</t>
  </si>
  <si>
    <t>INH000021580</t>
  </si>
  <si>
    <t>Humaira  Shaikh</t>
  </si>
  <si>
    <t>19, Floor-2, Plot-4/6, Ashrafi Manzil, J B Shah Marg, Khadak, Chinchbunder</t>
  </si>
  <si>
    <t>humairairfan211@gmail.com</t>
  </si>
  <si>
    <t>09175065859</t>
  </si>
  <si>
    <t>NAME::HUMAIRA IRFAN SHAIKH</t>
  </si>
  <si>
    <t>IMAM HUSSAIN IBRAHIM HAJA</t>
  </si>
  <si>
    <t>INH000022871</t>
  </si>
  <si>
    <t>IMAM IBRAHIM H</t>
  </si>
  <si>
    <t>AL ZAMAAL UDAYANAGAR KALOOR , ERNAKULAM</t>
  </si>
  <si>
    <t>mailofimamhussainih@gmail.com</t>
  </si>
  <si>
    <t>919809804090</t>
  </si>
  <si>
    <t>682017</t>
  </si>
  <si>
    <t>NAME::IMAM HUSSAIN IBRAHIM HAJA</t>
  </si>
  <si>
    <t>INDIAN MARKET VIEW</t>
  </si>
  <si>
    <t>INH000010371</t>
  </si>
  <si>
    <t>SUMIT MAKHIJA</t>
  </si>
  <si>
    <t>D 1, 4th Floor, Plot 576,, Niti Khand 1, Indirapuram</t>
  </si>
  <si>
    <t>INDIANMARKETVIEW@GMAIL.COM</t>
  </si>
  <si>
    <t>D 1, 4th Floor, Plot 576, Niti Khand 1, Indirapuram</t>
  </si>
  <si>
    <t>NAME::INDIAN MARKET VIEW</t>
  </si>
  <si>
    <t>INDRAJEET YADAV</t>
  </si>
  <si>
    <t>INH000025489</t>
  </si>
  <si>
    <t>89HOSPITAL ROAD HOSPITAL ROAD DEORIA DEORIA</t>
  </si>
  <si>
    <t>indrayadav5087@gmail.com</t>
  </si>
  <si>
    <t>274001</t>
  </si>
  <si>
    <t>NAME::INDRAJEET YADAV</t>
  </si>
  <si>
    <t>INDRESH MALIK</t>
  </si>
  <si>
    <t>INA100002438</t>
  </si>
  <si>
    <t>C-58, 1ST FLOOR, PALAM VYAPAAR KENDRA, PALAM VIHAR, GURGAON</t>
  </si>
  <si>
    <t>indreshmalik@gmail.com</t>
  </si>
  <si>
    <t>9811974722</t>
  </si>
  <si>
    <t>C-58, 1st Floor, Palam Vyapaar Kendra</t>
  </si>
  <si>
    <t>Dec 03, 2014</t>
  </si>
  <si>
    <t>NAME::INDRESH MALIK</t>
  </si>
  <si>
    <t>INVESTOLOGY</t>
  </si>
  <si>
    <t>INH000015297</t>
  </si>
  <si>
    <t>Neelima Pillai</t>
  </si>
  <si>
    <t>VO 872 ,   WeWork NESCO IT Park,, 10th Floor Building 4, Nesco IT Park,  Western Express Highway, Goregaon (East)</t>
  </si>
  <si>
    <t>investologypartners@gmail.com</t>
  </si>
  <si>
    <t>VO 872 ,   WeWork NESCO IT Park, 10th Floor Building 4, Nesco IT Park,  Western Express Highway, Goregaon (East)</t>
  </si>
  <si>
    <t>NAME::INVESTOLOGY</t>
  </si>
  <si>
    <t>ISHA JAIN</t>
  </si>
  <si>
    <t>INH000021650</t>
  </si>
  <si>
    <t>C 456 BETA 1, Greater Noida</t>
  </si>
  <si>
    <t>upskillwithisha@gmail.com</t>
  </si>
  <si>
    <t>919911183406</t>
  </si>
  <si>
    <t>NAME::ISHA JAIN</t>
  </si>
  <si>
    <t>Isha Chhabra</t>
  </si>
  <si>
    <t>INH000014191</t>
  </si>
  <si>
    <t>551, Mandi Marsh Ganj, Shamli</t>
  </si>
  <si>
    <t>ishachhabra4@gmail.com</t>
  </si>
  <si>
    <t>NAME::ISHA CHHABRA</t>
  </si>
  <si>
    <t>Ishan Pundit</t>
  </si>
  <si>
    <t>INH000017383</t>
  </si>
  <si>
    <t>G-10 G block Naveen Shahdara Rohtash Nagar Shahdara , North East Delhi Shahdara</t>
  </si>
  <si>
    <t>ishanpundit@gmail.com</t>
  </si>
  <si>
    <t>NAME::ISHAN PUNDIT</t>
  </si>
  <si>
    <t>J NAVEEN</t>
  </si>
  <si>
    <t>INH200008592</t>
  </si>
  <si>
    <t>Jajjuri Naveen</t>
  </si>
  <si>
    <t>Flat No, B - 306, B Block,  Pariwar Presidency Apartments, , 1st cross, 1st main, Anugraha Layout, 2nd stage Bilekahalli,</t>
  </si>
  <si>
    <t>naveenjn6742@gmail.com</t>
  </si>
  <si>
    <t>919731120668</t>
  </si>
  <si>
    <t>NAME::J NAVEEN</t>
  </si>
  <si>
    <t>J Satheesh Kannan</t>
  </si>
  <si>
    <t>INA200013503</t>
  </si>
  <si>
    <t>NO 80/1, Flat No 07 2nd Floor, 1st Main Road, B Channasandra</t>
  </si>
  <si>
    <t>jrmskannan@gmail.com</t>
  </si>
  <si>
    <t>09663078930</t>
  </si>
  <si>
    <t>Jun 17, 2019</t>
  </si>
  <si>
    <t>NAME::J SATHEESH KANNAN</t>
  </si>
  <si>
    <t>JAGDISH KUMAR HOTCHANDANI</t>
  </si>
  <si>
    <t>INH000025249</t>
  </si>
  <si>
    <t>JAGDISH KUMAR  HOTCHANDANI</t>
  </si>
  <si>
    <t>B 402 GOLD PLAZA,APOLLO DB CITY NIPANIYA</t>
  </si>
  <si>
    <t>jkhot1956@gmail.com</t>
  </si>
  <si>
    <t>NAME::JAGDISH KUMAR HOTCHANDANI</t>
  </si>
  <si>
    <t>JAI SHEWARAMANI</t>
  </si>
  <si>
    <t>INH000010681</t>
  </si>
  <si>
    <t>302, Supreme Pearl,, 17th Road, Khar West</t>
  </si>
  <si>
    <t>jai.shewaramani1@gmail.com</t>
  </si>
  <si>
    <t>919152017330</t>
  </si>
  <si>
    <t>302, Supreme Pearl, 17th Road, Khar West</t>
  </si>
  <si>
    <t>NAME::JAI SHEWARAMANI</t>
  </si>
  <si>
    <t>JAISAL DINESHCHANDRA SHAH</t>
  </si>
  <si>
    <t>INA000018805</t>
  </si>
  <si>
    <t>JAISAL SHAH</t>
  </si>
  <si>
    <t>BLOCK NO 303, N-WING, VARDHAMAN NAGAR,, DR. R P ROAD, MULUND WEST,</t>
  </si>
  <si>
    <t>shah.jaisal@gmail.com</t>
  </si>
  <si>
    <t>919920872747</t>
  </si>
  <si>
    <t>BLOCK NO. 301, GANESH KRUPA, DR. AMBEDKAR ROAD, NEAR BALAJI MANDIR, MULUND WEST,</t>
  </si>
  <si>
    <t>NAME::JAISAL DINESHCHANDRA SHAH</t>
  </si>
  <si>
    <t>JASKIRAT SINGH</t>
  </si>
  <si>
    <t>INH000028237</t>
  </si>
  <si>
    <t>614 E, BRS Nagar Circle West City,Division  Agar Nagar Special Division,, Sub Division (T) / Unit-1 (2412)</t>
  </si>
  <si>
    <t>singhjaskirat560@gmail.com</t>
  </si>
  <si>
    <t>00007009811400</t>
  </si>
  <si>
    <t>614 E, BRS Nagar Circle West City,Division  Agar Nagar Special Division, Sub Division (T) / Unit-1 (2412)</t>
  </si>
  <si>
    <t>NAME::JASKIRAT SINGH</t>
  </si>
  <si>
    <t>JATIN JAIN</t>
  </si>
  <si>
    <t>INH000017994</t>
  </si>
  <si>
    <t>SO Shelendra Kumar Jain, shankar mandir ke paas, sabar kar colony,Shivpuri</t>
  </si>
  <si>
    <t>jatin8602484321@gmail.com</t>
  </si>
  <si>
    <t>NAME::JATIN JAIN</t>
  </si>
  <si>
    <t>JAY B HAWALDAR</t>
  </si>
  <si>
    <t>INH000016685</t>
  </si>
  <si>
    <t>4/1173, Tulsi Falia, Moti Talkies, Begampura, Surat City</t>
  </si>
  <si>
    <t>hawaldarjay@gmail.com</t>
  </si>
  <si>
    <t>919586014748</t>
  </si>
  <si>
    <t>NAME::JAY B HAWALDAR</t>
  </si>
  <si>
    <t>JAYAPRAKASH</t>
  </si>
  <si>
    <t>INA000020466</t>
  </si>
  <si>
    <t>Jaya Prakash</t>
  </si>
  <si>
    <t>K No. 31/2B, Nagaloothu Street, Kancheepuram</t>
  </si>
  <si>
    <t>kjayaprakashk@gmail.com</t>
  </si>
  <si>
    <t>917022411404</t>
  </si>
  <si>
    <t>631501</t>
  </si>
  <si>
    <t>NAME::JAYAPRAKASH</t>
  </si>
  <si>
    <t>JAYESH JAYANT JAJOO</t>
  </si>
  <si>
    <t>INH000022303</t>
  </si>
  <si>
    <t>JAYESH JAJOO</t>
  </si>
  <si>
    <t>House No 79, Plot No 1 102, , Behind Sitaram Baba Mandir,  Balaji Plot,</t>
  </si>
  <si>
    <t>jayeshjajoo10@gmail.com</t>
  </si>
  <si>
    <t>917875230381</t>
  </si>
  <si>
    <t>444605</t>
  </si>
  <si>
    <t>NAME::JAYESH JAYANT JAJOO</t>
  </si>
  <si>
    <t>JEAN PAUL V.A</t>
  </si>
  <si>
    <t>INH200006956</t>
  </si>
  <si>
    <t>JEAN PAUL</t>
  </si>
  <si>
    <t>17/1665, KAZHUTHUMUTTU</t>
  </si>
  <si>
    <t>JEANPAULVA@GMAIL.COM</t>
  </si>
  <si>
    <t>682005</t>
  </si>
  <si>
    <t>Mar 25, 2019</t>
  </si>
  <si>
    <t>NAME::JEAN PAUL V A</t>
  </si>
  <si>
    <t>JEETHENDRA H</t>
  </si>
  <si>
    <t>INH000020420</t>
  </si>
  <si>
    <t>JEETHENDRA Hanuman Ram</t>
  </si>
  <si>
    <t>No 10 Channigaraya Swamy Nilaya Pipe Line Road, Anjananagar Vishwaneedam Post Magadi Main Ro</t>
  </si>
  <si>
    <t>jeethendrajitu@gmail.com</t>
  </si>
  <si>
    <t>919743494583</t>
  </si>
  <si>
    <t>NAME::JEETHENDRA H</t>
  </si>
  <si>
    <t>JEETU KRISHNAN</t>
  </si>
  <si>
    <t>INA000022145</t>
  </si>
  <si>
    <t>E 1702 Lake Florence E Wing MTR RM 1, SUB P Phase I,, Lake Homes, Powai Vihar, Powai</t>
  </si>
  <si>
    <t>jeetukrishnan@gmail.com</t>
  </si>
  <si>
    <t>00917045179167</t>
  </si>
  <si>
    <t>Apr 07, 2026</t>
  </si>
  <si>
    <t>NAME::JEETU KRISHNAN</t>
  </si>
  <si>
    <t>JIGARKUMAR HARSHADKUMAR SHAH</t>
  </si>
  <si>
    <t>INH000019008</t>
  </si>
  <si>
    <t>Jigarkumar Shah</t>
  </si>
  <si>
    <t>B14, ARUNODAY BUNGLOWS, NEAR CHAMUNDA TEMPLE,, ZADESHWAR ROAD,</t>
  </si>
  <si>
    <t>researchanalyst.stockdisha@gmail.com</t>
  </si>
  <si>
    <t>919054467634</t>
  </si>
  <si>
    <t>BHARUCH</t>
  </si>
  <si>
    <t>392011</t>
  </si>
  <si>
    <t>B14, ARUNODAY BUNGLOWS, NEAR CHAMUNDA TEMPLE, ZADESHWAR ROAD,</t>
  </si>
  <si>
    <t>Dec 10, 2024</t>
  </si>
  <si>
    <t>NAME::JIGARKUMAR HARSHADKUMAR SHAH</t>
  </si>
  <si>
    <t>JIGNESH HARSHADRAI SHAH</t>
  </si>
  <si>
    <t>INA000000789</t>
  </si>
  <si>
    <t>JIGNESH HARSHADRAI SHAH, 308, VIMAL SOCIETY, BANGANGA, WALKESHWAR,</t>
  </si>
  <si>
    <t>mr.jignesh.shah@gmail.com</t>
  </si>
  <si>
    <t>02223683782</t>
  </si>
  <si>
    <t>Jignesh Harshadrai Shah, 308, Vimal Society, Banganga, Walkeshwar,</t>
  </si>
  <si>
    <t>Jan 02, 2014</t>
  </si>
  <si>
    <t>NAME::JIGNESH HARSHADRAI SHAH</t>
  </si>
  <si>
    <t>JITENDRA JAISWAL</t>
  </si>
  <si>
    <t>INH000012193</t>
  </si>
  <si>
    <t>DM 280 , DEEN DAYAL UPADHYAY NAGAR</t>
  </si>
  <si>
    <t>JITENDRAJAISWAL9816@GMAIL.COM</t>
  </si>
  <si>
    <t>Apr 06, 2023</t>
  </si>
  <si>
    <t>NAME::JITENDRA JAISWAL</t>
  </si>
  <si>
    <t>JITENDRA SINGH</t>
  </si>
  <si>
    <t>INH000027335</t>
  </si>
  <si>
    <t>110 Bhagwan Bahubali Nagar, Niwaru Road, Jhotwara</t>
  </si>
  <si>
    <t>jitendraresearchanalyst@gmail.com</t>
  </si>
  <si>
    <t>NAME::JITENDRA SINGH</t>
  </si>
  <si>
    <t>JITENDRA SUPDUBHAI PATIL</t>
  </si>
  <si>
    <t>INH000024505</t>
  </si>
  <si>
    <t>JITENDRA PATIL</t>
  </si>
  <si>
    <t>A/13-Nilkanth Park Society V-2, Near Shanti Niketan Hindi School, Odhav</t>
  </si>
  <si>
    <t>jeet.ra2025@gmail.com</t>
  </si>
  <si>
    <t>918735805343</t>
  </si>
  <si>
    <t>382415</t>
  </si>
  <si>
    <t>NAME::JITENDRA SUPDUBHAI PATIL</t>
  </si>
  <si>
    <t>JYOTI KUMARI</t>
  </si>
  <si>
    <t>INH000017392</t>
  </si>
  <si>
    <t>Ward no 10, Near Green City Gate, Preet Vihar, Dhuri</t>
  </si>
  <si>
    <t>kumarijyotiofficial1976@gmail.com</t>
  </si>
  <si>
    <t>148024</t>
  </si>
  <si>
    <t>NAME::JYOTI KUMARI</t>
  </si>
  <si>
    <t>Jagadeesh Patil</t>
  </si>
  <si>
    <t>INH000025285</t>
  </si>
  <si>
    <t>flat-1302, plot-4, alliaance icon chs, sec-8, ghansoli thane</t>
  </si>
  <si>
    <t>jsgpatil@yahoo.com</t>
  </si>
  <si>
    <t>919930601800</t>
  </si>
  <si>
    <t>NAME::JAGADEESH PATIL</t>
  </si>
  <si>
    <t>Jagadeesh atukuri</t>
  </si>
  <si>
    <t>INH200005762</t>
  </si>
  <si>
    <t>Jagadeesh Atukuri</t>
  </si>
  <si>
    <t>D no 11-101/1, Behind Vasavi temple, Piduguralla</t>
  </si>
  <si>
    <t>jagadeesh467@gmail.com</t>
  </si>
  <si>
    <t>522413</t>
  </si>
  <si>
    <t>Mar 15, 2018</t>
  </si>
  <si>
    <t>NAME::JAGADEESH ATUKURI</t>
  </si>
  <si>
    <t>Jainee Parag Shah</t>
  </si>
  <si>
    <t>INH000000768</t>
  </si>
  <si>
    <t>JAINEE PARESH GANJWALA</t>
  </si>
  <si>
    <t>SANTOSH, OPP. POLYTECHNIC</t>
  </si>
  <si>
    <t>jaini27@yahoo.co.in</t>
  </si>
  <si>
    <t>07926562083</t>
  </si>
  <si>
    <t>105, Kamal Complex, Opp. State Bank of India, Near Stadium Five Roads, C.G. Road</t>
  </si>
  <si>
    <t>Jun 22, 2015</t>
  </si>
  <si>
    <t>NAME::JAINEE PARAG SHAH</t>
  </si>
  <si>
    <t>Jash Gandhi</t>
  </si>
  <si>
    <t>INH000015084</t>
  </si>
  <si>
    <t>32, Ganesh Society, Chital Road, Amreli</t>
  </si>
  <si>
    <t>research.jashgandhi@gmail.com</t>
  </si>
  <si>
    <t>365601</t>
  </si>
  <si>
    <t>NAME::JASH GANDHI</t>
  </si>
  <si>
    <t>Jasleen Kaur Bath</t>
  </si>
  <si>
    <t>INH100009363</t>
  </si>
  <si>
    <t>Jasleen Bath</t>
  </si>
  <si>
    <t>190-C, Near MBD Mall, Rajguru Nagar, Ferozepur Road</t>
  </si>
  <si>
    <t>csjasleen99@gmail.com</t>
  </si>
  <si>
    <t>Apr 07, 2022</t>
  </si>
  <si>
    <t>NAME::JASLEEN KAUR BATH</t>
  </si>
  <si>
    <t>Jasween Malik</t>
  </si>
  <si>
    <t>INA000022242</t>
  </si>
  <si>
    <t>A 80, Ground Floor, Alkapuri</t>
  </si>
  <si>
    <t>gojasween@gmail.com</t>
  </si>
  <si>
    <t>00917900103432</t>
  </si>
  <si>
    <t>NAME::JASWEEN MALIK</t>
  </si>
  <si>
    <t>Jatneshwar Rajendra Shukla</t>
  </si>
  <si>
    <t>INH000012555</t>
  </si>
  <si>
    <t>Jatneshwar Shukla</t>
  </si>
  <si>
    <t>Shop No 7, Ground Floor, Sky Gangaram Villa, B Wing, Block No 08, Shelar</t>
  </si>
  <si>
    <t>jatneshshukla@gmail.com</t>
  </si>
  <si>
    <t>917709868067</t>
  </si>
  <si>
    <t>BHIWANDI</t>
  </si>
  <si>
    <t>421302</t>
  </si>
  <si>
    <t>Jul 17, 2023</t>
  </si>
  <si>
    <t>NAME::JATNESHWAR RAJENDRA SHUKLA</t>
  </si>
  <si>
    <t>Jay Distribution Links</t>
  </si>
  <si>
    <t>INA000019062</t>
  </si>
  <si>
    <t>Jay  Sheth</t>
  </si>
  <si>
    <t>Office 1 and 2, Ratan House,, RRR Marg, Charni Road</t>
  </si>
  <si>
    <t>finvisors@outlook.com</t>
  </si>
  <si>
    <t>00009820900957</t>
  </si>
  <si>
    <t>Office 1 and 2, Ratan House, RRR Marg, Charni Road</t>
  </si>
  <si>
    <t>NAME::JAY DISTRIBUTION LINKS</t>
  </si>
  <si>
    <t>Jay Rajnikant Thacker</t>
  </si>
  <si>
    <t>INA000014809</t>
  </si>
  <si>
    <t>Jay Thacker</t>
  </si>
  <si>
    <t>104 Vijay Nagar Hospital Road, Opposite Santosh Tower</t>
  </si>
  <si>
    <t>jayrgadhai@outlook.com</t>
  </si>
  <si>
    <t>Jul 09, 2020</t>
  </si>
  <si>
    <t>NAME::JAY RAJNIKANT THACKER</t>
  </si>
  <si>
    <t>Jayesh Mahesh Jobanputra</t>
  </si>
  <si>
    <t>INH000017125</t>
  </si>
  <si>
    <t>Jayesh Jobanputra</t>
  </si>
  <si>
    <t>25 A 2 Jayesh Jobanputra Thakkar Office, Behind Indusini Hospital,, Near More Tower, Old Agra Road, Pimpalgaon Baswant</t>
  </si>
  <si>
    <t>jayeshthakkar9096@gmail.com</t>
  </si>
  <si>
    <t>25 A 2 Jayesh Jobanputra Thakkar Office, Behind Indusini Hospital, Near More Tower, Old Agra Road, Pimpalgaon Baswant</t>
  </si>
  <si>
    <t>NAME::JAYESH MAHESH JOBANPUTRA</t>
  </si>
  <si>
    <t>Jeet B Bhayani</t>
  </si>
  <si>
    <t>INH000018142</t>
  </si>
  <si>
    <t>Jeet Bhayani</t>
  </si>
  <si>
    <t>37, Joy Narayan Santra Lane,, Howrah Maidan</t>
  </si>
  <si>
    <t>jeetbhayani2017@gmail.com</t>
  </si>
  <si>
    <t>711101</t>
  </si>
  <si>
    <t>37, Joy Narayan Santra Lane, Howrah Maidan</t>
  </si>
  <si>
    <t>NAME::JEET B BHAYANI</t>
  </si>
  <si>
    <t>Jenil k shah</t>
  </si>
  <si>
    <t>INA000011477</t>
  </si>
  <si>
    <t>Jenil Shah</t>
  </si>
  <si>
    <t>FLAT NO. 003, A-12 YOGI SWAMI BLDG,, YOGI NAGAR, BORIVLI WEST</t>
  </si>
  <si>
    <t>Jenil005@gmail.com</t>
  </si>
  <si>
    <t>FLAT NO. 003, A-12 YOGI SWAMI BLDG, YOGI NAGAR, BORIVLI WEST</t>
  </si>
  <si>
    <t>Aug 21, 2018</t>
  </si>
  <si>
    <t>NAME::JENIL K SHAH</t>
  </si>
  <si>
    <t>Jigar Pradipchandra Shah</t>
  </si>
  <si>
    <t>INA000018577</t>
  </si>
  <si>
    <t>Jigar Shah</t>
  </si>
  <si>
    <t>B/801 Gopal Palace, Nr. Shiromani Complex,, Nehrunagar</t>
  </si>
  <si>
    <t>ip.jigar@gmail.com</t>
  </si>
  <si>
    <t>919662542466</t>
  </si>
  <si>
    <t>B/801 Gopal Palace, Nr. Shiromani Complex, Nehrunagar</t>
  </si>
  <si>
    <t>NAME::JIGAR PRADIPCHANDRA SHAH</t>
  </si>
  <si>
    <t>Jignesh</t>
  </si>
  <si>
    <t>INH000004918</t>
  </si>
  <si>
    <t>Jignesh Mehta</t>
  </si>
  <si>
    <t>B/4, Ghatkopar Shobhana CHS, , Plot no. 30/31, Rifle Range, Near North Bombay School, Ghatkopar (W)</t>
  </si>
  <si>
    <t>jigbm81@gmail.com</t>
  </si>
  <si>
    <t>Jun 27, 2017</t>
  </si>
  <si>
    <t>NAME::JIGNESH</t>
  </si>
  <si>
    <t>Jitendra Dangi</t>
  </si>
  <si>
    <t>INA000007058</t>
  </si>
  <si>
    <t>204, 2nd Floor, Icon Building, Kalani Bagh</t>
  </si>
  <si>
    <t>capitalfederation@gmail.com</t>
  </si>
  <si>
    <t>Feb 07, 2017</t>
  </si>
  <si>
    <t>NAME::JITENDRA DANGI</t>
  </si>
  <si>
    <t>Jose Varkey Naduthottam</t>
  </si>
  <si>
    <t>INA200009573</t>
  </si>
  <si>
    <t>Jose  Naduthottam</t>
  </si>
  <si>
    <t>Flat no. 1021, Embassy Habitat, 59, Palace Road</t>
  </si>
  <si>
    <t>vnjose@hotmail.com</t>
  </si>
  <si>
    <t>NAME::JOSE VARKEY NADUTHOTTAM</t>
  </si>
  <si>
    <t>K Prabhu</t>
  </si>
  <si>
    <t>INA000018638</t>
  </si>
  <si>
    <t>K Prabhu Kumarasamy</t>
  </si>
  <si>
    <t>D.NO 100 B/26, Room No 111 SCS Towers, First Floor,, Namakkal District,</t>
  </si>
  <si>
    <t>prabhu2052@gmail.com</t>
  </si>
  <si>
    <t>91009789472732</t>
  </si>
  <si>
    <t>D.NO 100 B/26, Room No 111 SCS Towers, First Floor, Namakkal District,</t>
  </si>
  <si>
    <t>NAME::K PRABHU</t>
  </si>
  <si>
    <t>K Sudattha S Rao</t>
  </si>
  <si>
    <t>INH000028343</t>
  </si>
  <si>
    <t>Suvarna Kodige, Shanuvalli, PO Thirthahalli.</t>
  </si>
  <si>
    <t>swarnawealth8@gmail.com</t>
  </si>
  <si>
    <t>00008277261874</t>
  </si>
  <si>
    <t>577432</t>
  </si>
  <si>
    <t>NAME::K SUDATTHA S RAO</t>
  </si>
  <si>
    <t>KALPESH BALKRISHNA NEVGI</t>
  </si>
  <si>
    <t>INH000010414</t>
  </si>
  <si>
    <t>KALPESH NEVGI</t>
  </si>
  <si>
    <t>AG-4, LAXMI CO-OP HOUSING SOCIETY, COMBA</t>
  </si>
  <si>
    <t>KALPESHNEVGI@LIVE.COM</t>
  </si>
  <si>
    <t>MARGAO</t>
  </si>
  <si>
    <t>403601</t>
  </si>
  <si>
    <t>NAME::KALPESH BALKRISHNA NEVGI</t>
  </si>
  <si>
    <t>KALPESH GORDHANBHAI VORA</t>
  </si>
  <si>
    <t>INH000024815</t>
  </si>
  <si>
    <t>KALPESH VORA</t>
  </si>
  <si>
    <t>G-204 WESTERN SOMCHINTAM, B/H, RAJHANS PAL</t>
  </si>
  <si>
    <t>kalpeshvora91276@gmail.com</t>
  </si>
  <si>
    <t>917698093788</t>
  </si>
  <si>
    <t>NAME::KALPESH GORDHANBHAI VORA</t>
  </si>
  <si>
    <t>KAMAL ARORA</t>
  </si>
  <si>
    <t>INH000025346</t>
  </si>
  <si>
    <t>C 23 First Floor Gulmohar Park</t>
  </si>
  <si>
    <t>kamalarora5@yahoo.co.in</t>
  </si>
  <si>
    <t>919810890104</t>
  </si>
  <si>
    <t>NAME::KAMAL ARORA</t>
  </si>
  <si>
    <t>KAMLESH SHESHMAL JAIN</t>
  </si>
  <si>
    <t>INH000013493</t>
  </si>
  <si>
    <t>KAMLESH JAIN</t>
  </si>
  <si>
    <t>66 VINOD VILLA, GR FLOOR OFFICE NO 7</t>
  </si>
  <si>
    <t>kamlesh0302@gmail.com</t>
  </si>
  <si>
    <t>271 KALBADEVI ROAD, RAM MANDIR BUILDING</t>
  </si>
  <si>
    <t>NAME::KAMLESH SHESHMAL JAIN</t>
  </si>
  <si>
    <t>KAPIL VERMA</t>
  </si>
  <si>
    <t>INH100007879</t>
  </si>
  <si>
    <t>PLOT NO. 440, BHAGWATI GARDEN EXT UTTAM NAGAR</t>
  </si>
  <si>
    <t>kapilverma03@gmail.com</t>
  </si>
  <si>
    <t>PLOT NO. 440, BHAGWATI GARDEN EXT UTTAM NAGAR D.K. MOHAN GARDEN</t>
  </si>
  <si>
    <t>NAME::KAPIL VERMA</t>
  </si>
  <si>
    <t>KARAN VIJAYVARGIYA</t>
  </si>
  <si>
    <t>INH000025470</t>
  </si>
  <si>
    <t>654, Scheme No. 114 Part 2, Vijay Nagar</t>
  </si>
  <si>
    <t>Karanvijayvargiya29@gmail.com</t>
  </si>
  <si>
    <t>NAME::KARAN VIJAYVARGIYA</t>
  </si>
  <si>
    <t>KARMUR DILIP MERUBHAI</t>
  </si>
  <si>
    <t>INH000028103</t>
  </si>
  <si>
    <t>KARMUR MERUBHAI</t>
  </si>
  <si>
    <t>Radheshyam Nagar, Bhanvad,, Taluka- Bhanvad, District Jamnagar</t>
  </si>
  <si>
    <t>dilipkrmr@gmail.com</t>
  </si>
  <si>
    <t>00009374899990</t>
  </si>
  <si>
    <t>360510</t>
  </si>
  <si>
    <t>NAME::KARMUR DILIP MERUBHAI</t>
  </si>
  <si>
    <t>KARNIK KALPESH SHAH</t>
  </si>
  <si>
    <t>INH000023807</t>
  </si>
  <si>
    <t>Karnik Shah</t>
  </si>
  <si>
    <t>412 ARUN CHAMBERS, TARDEO</t>
  </si>
  <si>
    <t>karnikshah.25@gmail.com</t>
  </si>
  <si>
    <t>919819325589</t>
  </si>
  <si>
    <t>NAME::KARNIK KALPESH SHAH</t>
  </si>
  <si>
    <t>KARTHIK K</t>
  </si>
  <si>
    <t>INH000021322</t>
  </si>
  <si>
    <t>KARTHIK KAVERAPPA</t>
  </si>
  <si>
    <t>No 163, Huskur Village Road, Gattahalli Village, Anekal Taluku</t>
  </si>
  <si>
    <t>karthikresearchanalyst@gmail.com</t>
  </si>
  <si>
    <t>0919482700589</t>
  </si>
  <si>
    <t>NAME::KARTHIK K</t>
  </si>
  <si>
    <t>KARUNA BISHT</t>
  </si>
  <si>
    <t>INH000011477</t>
  </si>
  <si>
    <t>701,7th floor, L1tower, Cloud9Tower, Sector 3,Vaishali</t>
  </si>
  <si>
    <t>KARUNABISHT96@GMAIL.COM</t>
  </si>
  <si>
    <t>NAME::KARUNA BISHT</t>
  </si>
  <si>
    <t>KASHYAP POPAT</t>
  </si>
  <si>
    <t>INA000015932</t>
  </si>
  <si>
    <t>1601 C wing, RNA royal park, MG road, Kandivali</t>
  </si>
  <si>
    <t>kashyap.popat@gmail.com</t>
  </si>
  <si>
    <t>Jul 08, 2021</t>
  </si>
  <si>
    <t>NAME::KASHYAP POPAT</t>
  </si>
  <si>
    <t>KAUSHAL KUMAR  SHARMA</t>
  </si>
  <si>
    <t>INH000024310</t>
  </si>
  <si>
    <t>KAUSHAL SHARMA</t>
  </si>
  <si>
    <t>102 FIRST FLOOR 62 SANVID NAGAR MAIN ROAD KANADIYA ROAD</t>
  </si>
  <si>
    <t>sharmakaushal312@gmail.com</t>
  </si>
  <si>
    <t>918226010451</t>
  </si>
  <si>
    <t>NAME::KAUSHAL KUMAR SHARMA</t>
  </si>
  <si>
    <t>KAUSHIK DUTTA</t>
  </si>
  <si>
    <t>INH000024435</t>
  </si>
  <si>
    <t>6/1A HO CHI MINH NAGAR, KOLKATA</t>
  </si>
  <si>
    <t>askkaushikdutta@gmail.com</t>
  </si>
  <si>
    <t>919875367921</t>
  </si>
  <si>
    <t>700061</t>
  </si>
  <si>
    <t>NAME::KAUSHIK DUTTA</t>
  </si>
  <si>
    <t>KAVA PARAG CHANDUBHAI</t>
  </si>
  <si>
    <t>INH000013864</t>
  </si>
  <si>
    <t>PARAG KAVA</t>
  </si>
  <si>
    <t>421,VRAJ NANDINI RESIDENCY - 1 NR, CBS SCHOOL, KAMREJ NANSAD ROAD, KAMREJ</t>
  </si>
  <si>
    <t>kavaparag5@gmail.com</t>
  </si>
  <si>
    <t>394180</t>
  </si>
  <si>
    <t>NAME::KAVA PARAG CHANDUBHAI</t>
  </si>
  <si>
    <t>KAVAN DILIPBHAI PATEL</t>
  </si>
  <si>
    <t>INH000006174</t>
  </si>
  <si>
    <t>KAVAN PATEL</t>
  </si>
  <si>
    <t>16/181,PARISHRAM APARTMENT,, OPPOSITE BIMANAGAR,SATELLITE,AHMEDABAD</t>
  </si>
  <si>
    <t>patelkavand@gmail.com</t>
  </si>
  <si>
    <t>16/181,PARISHRAM APARTMENT, OPPOSITE BIMANAGAR,SATELLITE,AHMEDABAD</t>
  </si>
  <si>
    <t>NAME::KAVAN DILIPBHAI PATEL</t>
  </si>
  <si>
    <t>KAVITA AGRAWAL</t>
  </si>
  <si>
    <t>INH000010982</t>
  </si>
  <si>
    <t>R/O RAJESH AGRAWAL, SATYASHANTI HOSPITAL, IN FRONT OF BUS STAND</t>
  </si>
  <si>
    <t>kchamaria1993@gmail.com</t>
  </si>
  <si>
    <t>PUSAD</t>
  </si>
  <si>
    <t>445204</t>
  </si>
  <si>
    <t>NAME::KAVITA AGRAWAL</t>
  </si>
  <si>
    <t>KAVITA MANDAL</t>
  </si>
  <si>
    <t>INH000017134</t>
  </si>
  <si>
    <t>Assotech Business Cresterra,Upper Ground Floor, Tower 2, Plot No 22, sector 135</t>
  </si>
  <si>
    <t>kavitacontact2024@gmail.com</t>
  </si>
  <si>
    <t>NAME::KAVITA MANDAL</t>
  </si>
  <si>
    <t>KAVITHA MENON</t>
  </si>
  <si>
    <t>INA000000037</t>
  </si>
  <si>
    <t>1203, Gala Altezza,, Near Shanmukhanand Hall and King Circle Station, Sion,</t>
  </si>
  <si>
    <t>cavithamenon@gmail.com</t>
  </si>
  <si>
    <t>919821455882</t>
  </si>
  <si>
    <t>1203, Gala Altezza, Near Shanmukhanand Hall and King Circle Station, Sion,</t>
  </si>
  <si>
    <t>NAME::KAVITHA MENON</t>
  </si>
  <si>
    <t>KEDAR DATTATRAYA OAK</t>
  </si>
  <si>
    <t>INH000001055</t>
  </si>
  <si>
    <t>102, 1ST FLOOR, SHAKUNTALA COOPERATIVE HOUSING SOCIETY, N.C. KELOSKAR ROAD, DADAR (WEST),</t>
  </si>
  <si>
    <t>kedaroak_13@rediffmail.com</t>
  </si>
  <si>
    <t>022 24443632</t>
  </si>
  <si>
    <t>102, 1st Floor, Shakuntala Cooperative Housing Society, N.C. Keloskar Road, Dadar (West),</t>
  </si>
  <si>
    <t>Jul 17, 2015</t>
  </si>
  <si>
    <t>NAME::KEDAR DATTATRAYA OAK</t>
  </si>
  <si>
    <t>KESHAV MAHESHWARI</t>
  </si>
  <si>
    <t>INH000020484</t>
  </si>
  <si>
    <t>304. 3rd Floor, Vardhman Premium Mall, Deepali, Pitampura</t>
  </si>
  <si>
    <t>keshav.maheshwari6@gmail.com</t>
  </si>
  <si>
    <t>919968222700</t>
  </si>
  <si>
    <t>NAME::KESHAV MAHESHWARI</t>
  </si>
  <si>
    <t>KHODA ANJANA NITESHKUMAR</t>
  </si>
  <si>
    <t>INH000028440</t>
  </si>
  <si>
    <t>KHODA  NITESHKUMAR</t>
  </si>
  <si>
    <t>OPP POST OFFICE,ADVANA, PORBANDAR</t>
  </si>
  <si>
    <t>khodaanjana078@gmail.com</t>
  </si>
  <si>
    <t>00009601801304</t>
  </si>
  <si>
    <t>360590</t>
  </si>
  <si>
    <t>NAME::KHODA ANJANA NITESHKUMAR</t>
  </si>
  <si>
    <t>KHUMANSINH MANSINH GOHIL</t>
  </si>
  <si>
    <t>INH000014216</t>
  </si>
  <si>
    <t>KHUMANSINH GOHIL</t>
  </si>
  <si>
    <t>QUARTER NO. 941, KOTHARIA SOLVENT,, GUJARAT HOUSING BOARD, GONDAL ROAD,</t>
  </si>
  <si>
    <t>g.khumansinh@gmail.com</t>
  </si>
  <si>
    <t>QUARTER NO. 941, KOTHARIA SOLVENT, GUJARAT HOUSING BOARD, GONDAL ROAD,</t>
  </si>
  <si>
    <t>NAME::KHUMANSINH MANSINH GOHIL</t>
  </si>
  <si>
    <t>KIRAN SHASHIKANT JADHAV</t>
  </si>
  <si>
    <t>INH000000958</t>
  </si>
  <si>
    <t>KIRAN JADHAV</t>
  </si>
  <si>
    <t>1A, MEGHALI APARTMENTS, DAHANUKAR COLONY, LANE-2, KOTHRUD</t>
  </si>
  <si>
    <t>Jadhavk2000@gmail.com</t>
  </si>
  <si>
    <t>919822601880</t>
  </si>
  <si>
    <t>411029</t>
  </si>
  <si>
    <t>1A, Meghali Apartments, Dahanukar Colony, Lane-2, Kothrud</t>
  </si>
  <si>
    <t>Jul 08, 2015</t>
  </si>
  <si>
    <t>NAME::KIRAN SHASHIKANT JADHAV</t>
  </si>
  <si>
    <t>KISHLAY KUMAR</t>
  </si>
  <si>
    <t>INH000022826</t>
  </si>
  <si>
    <t>shankar nagar, gaussganj gangi</t>
  </si>
  <si>
    <t>kishlay121@gmail.com</t>
  </si>
  <si>
    <t>919110052543</t>
  </si>
  <si>
    <t>ARRAH</t>
  </si>
  <si>
    <t>802301</t>
  </si>
  <si>
    <t>NAME::KISHLAY KUMAR</t>
  </si>
  <si>
    <t>KOLADI UKKURU VARGHESE</t>
  </si>
  <si>
    <t>INA000021650</t>
  </si>
  <si>
    <t>KOLADI VARGHESE</t>
  </si>
  <si>
    <t>2B Kalyan Habitat, Puthur Road, Chelakottukara</t>
  </si>
  <si>
    <t>kuvarghese@gmail.com</t>
  </si>
  <si>
    <t>00918606590287</t>
  </si>
  <si>
    <t>680006</t>
  </si>
  <si>
    <t>NAME::KOLADI UKKURU VARGHESE</t>
  </si>
  <si>
    <t>KOMAL JETHANI</t>
  </si>
  <si>
    <t>INH000020828</t>
  </si>
  <si>
    <t>B99 Gokulam Vilas, Vaibhav Nagar</t>
  </si>
  <si>
    <t>komalresearchanalyst18@gmail.com</t>
  </si>
  <si>
    <t>919462555158</t>
  </si>
  <si>
    <t>NAME::KOMAL JETHANI</t>
  </si>
  <si>
    <t>KRISHAN KAPOOR</t>
  </si>
  <si>
    <t>INH000011130</t>
  </si>
  <si>
    <t>E-101, BPTP PARK PRIME,, SECTOR - 66, NIRVANA COUNTRY,</t>
  </si>
  <si>
    <t>krishan.shweta27@gmail.com</t>
  </si>
  <si>
    <t>TOWER 3, 601, Emaar Palm Terraces Select, Badshahpur, Sector 66,</t>
  </si>
  <si>
    <t>NAME::KRISHAN KAPOOR</t>
  </si>
  <si>
    <t>KRISHNA KUMAR</t>
  </si>
  <si>
    <t>INH000011158</t>
  </si>
  <si>
    <t>B 18, 2ND FLOOR, , SAWAN PARK, ASHOK VIHAR PHASE 3</t>
  </si>
  <si>
    <t>krishnaa_00@rediffmail.com</t>
  </si>
  <si>
    <t>NAME::KRISHNA KUMAR</t>
  </si>
  <si>
    <t>KRISHNA KUMAR PATHAK</t>
  </si>
  <si>
    <t>INH300009914</t>
  </si>
  <si>
    <t>KRISHNA PATHAK</t>
  </si>
  <si>
    <t>RS-39/43,5/3C GOLDEN PARK, SANKARPUR WEST NEAR RABINDRANAGAR CO OPERATIVE DURGAPUR</t>
  </si>
  <si>
    <t>skrishna.sk4@gmail.com</t>
  </si>
  <si>
    <t>713206</t>
  </si>
  <si>
    <t>207,Jayanivas,Padukamandir Road Bharat Housing Society, Subramanyapura Below Digicomm Semiconductor</t>
  </si>
  <si>
    <t>Jun 22, 2022</t>
  </si>
  <si>
    <t>NAME::KRISHNA KUMAR PATHAK</t>
  </si>
  <si>
    <t>KRISHNA MURTI</t>
  </si>
  <si>
    <t>INH000016977</t>
  </si>
  <si>
    <t>Anjani Kumar Bhawan, H No 63, Gramin Bank Road, Near Gramin Bank, Bhagwanpur Desua, Ujiarpur</t>
  </si>
  <si>
    <t>kmresearchanalyst@gmail.com</t>
  </si>
  <si>
    <t>MUZAFFARPUR</t>
  </si>
  <si>
    <t>848132</t>
  </si>
  <si>
    <t>NAME::KRISHNA MURTI</t>
  </si>
  <si>
    <t>KRUTIKA KATHAL</t>
  </si>
  <si>
    <t>INA000020280</t>
  </si>
  <si>
    <t>FL No C-26, Jijaji Nagari, Borate Farms54/4 , Kothrud NR Mahatma, Pune , 411038</t>
  </si>
  <si>
    <t>kathal.krutika@gmail.com</t>
  </si>
  <si>
    <t>919665995196</t>
  </si>
  <si>
    <t>NAME::KRUTIKA KATHAL</t>
  </si>
  <si>
    <t>KSHITIJ PRABHU</t>
  </si>
  <si>
    <t>INH000019381</t>
  </si>
  <si>
    <t>Kshitij Prabhu</t>
  </si>
  <si>
    <t>55 66 3 1 Bag Aina Bibi, Chhitwapur, Lucknow 226001</t>
  </si>
  <si>
    <t>kshitijprabhu@gmail.com</t>
  </si>
  <si>
    <t>919718668946</t>
  </si>
  <si>
    <t>NAME::KSHITIJ PRABHU</t>
  </si>
  <si>
    <t>KULNEET SINGH GURMEET SINGH BINDRA</t>
  </si>
  <si>
    <t>INH000014845</t>
  </si>
  <si>
    <t>KULNEET SINGH BINDRA</t>
  </si>
  <si>
    <t>C2, 2-3, New Avadhut Society,, Near Seventh Day School, Sec - 7, Sanpada</t>
  </si>
  <si>
    <t>kulneetbindra@gmail.com</t>
  </si>
  <si>
    <t>C2, 2-3, New Avadhut Society, Near Seventh Day School, Sec - 7, Sanpada</t>
  </si>
  <si>
    <t>NAME::KULNEET SINGH GURMEET SINGH BINDRA</t>
  </si>
  <si>
    <t>KUMAR AMRITANSHU</t>
  </si>
  <si>
    <t>INH000026345</t>
  </si>
  <si>
    <t>H-305, Gopalan Grandeur Hoodi Circle Mahadevpura</t>
  </si>
  <si>
    <t>kumar.amritanshu@gmail.com</t>
  </si>
  <si>
    <t>009198803020</t>
  </si>
  <si>
    <t>NAME::KUMAR AMRITANSHU</t>
  </si>
  <si>
    <t>KUMAR BANERJEE</t>
  </si>
  <si>
    <t>INH000015923</t>
  </si>
  <si>
    <t>118, NETAJI PALLY, ICHAPUR, PO - NAWABGUNJ, NORTH 24 PGS,</t>
  </si>
  <si>
    <t>kumar.banerji@gmail.com</t>
  </si>
  <si>
    <t>919831202933</t>
  </si>
  <si>
    <t>NAME::KUMAR BANERJEE</t>
  </si>
  <si>
    <t>KUMAR SIDDHARTHA SINHA</t>
  </si>
  <si>
    <t>INH000017310</t>
  </si>
  <si>
    <t>KUMAR SINHA</t>
  </si>
  <si>
    <t>WZ-07, GOLCHAKKAR PALAM</t>
  </si>
  <si>
    <t>SIDD.CMA@GMAIL.COM</t>
  </si>
  <si>
    <t>NAME::KUMAR SIDDHARTHA SINHA</t>
  </si>
  <si>
    <t>KUNAL</t>
  </si>
  <si>
    <t>INH000005263</t>
  </si>
  <si>
    <t>KUNAL BOTHRA</t>
  </si>
  <si>
    <t>402, 4TH FLOOR, SONAWALA BLDG, CAVEL X LANE-4, 8/10 DADI SETH AGYARI LANE, KALBADEVI ROAD</t>
  </si>
  <si>
    <t>KBBOTHRA@GMAIL.COM</t>
  </si>
  <si>
    <t>Oct 12, 2017</t>
  </si>
  <si>
    <t>NAME::KUNAL</t>
  </si>
  <si>
    <t>KUNAL SARAOGI</t>
  </si>
  <si>
    <t>INH100001609</t>
  </si>
  <si>
    <t>UGF 7 OCEAN PLAZA, SECTOR 18, OPP GREAT INDIA MALL</t>
  </si>
  <si>
    <t>kunalsaraogi@gmail.com</t>
  </si>
  <si>
    <t>9873191159</t>
  </si>
  <si>
    <t>1808, 18th Floor, City Center 32, , Sector-32, Noida</t>
  </si>
  <si>
    <t>NAME::KUNAL SARAOGI</t>
  </si>
  <si>
    <t>KUNDAN PRAHLADRAI MOTWANI</t>
  </si>
  <si>
    <t>INH000019354</t>
  </si>
  <si>
    <t>KUNDAN MOTWANI</t>
  </si>
  <si>
    <t>E5 14 Flat No 1302, Green City Paal Bhatha Pal</t>
  </si>
  <si>
    <t>kundan.motwani@gmail.com</t>
  </si>
  <si>
    <t>919274192876</t>
  </si>
  <si>
    <t>394510</t>
  </si>
  <si>
    <t>NAME::KUNDAN PRAHLADRAI MOTWANI</t>
  </si>
  <si>
    <t>KUNJ AGARWAL</t>
  </si>
  <si>
    <t>INA300009312</t>
  </si>
  <si>
    <t>Bidhan Market Road, Near Saibal Nursing Home, P. O / P . S. Siliguri</t>
  </si>
  <si>
    <t>WRITE2KUNJ@GMAIL.COM</t>
  </si>
  <si>
    <t>NAME::KUNJ AGARWAL</t>
  </si>
  <si>
    <t>KUSH BOHRA</t>
  </si>
  <si>
    <t>INA000008525</t>
  </si>
  <si>
    <t>k501 palm court complex new link road malad west</t>
  </si>
  <si>
    <t>KUSH.BOHRA@GMAIL.COM</t>
  </si>
  <si>
    <t>919769114664</t>
  </si>
  <si>
    <t>Oct 03, 2017</t>
  </si>
  <si>
    <t>NAME::KUSH BOHRA</t>
  </si>
  <si>
    <t>KUSHAL B LAKHANI</t>
  </si>
  <si>
    <t>INH000005661</t>
  </si>
  <si>
    <t>KUSHAL LAKHANI</t>
  </si>
  <si>
    <t>A-1003, SHYAMAL VERTIX, OPP. AALAP GREEN CITY, SADHU VASVANI ROAD</t>
  </si>
  <si>
    <t>KUSHAL9049@GMAIL.COM</t>
  </si>
  <si>
    <t>Feb 14, 2018</t>
  </si>
  <si>
    <t>NAME::KUSHAL B LAKHANI</t>
  </si>
  <si>
    <t>Kailash Karsandas Babhaniya</t>
  </si>
  <si>
    <t>INH000021340</t>
  </si>
  <si>
    <t>Kailash Babhaniya</t>
  </si>
  <si>
    <t>Flat No-7,Devi CHS,plot no-14,Sector-3, Koparkhairne,Thane,</t>
  </si>
  <si>
    <t>kailash0776@gmail.com</t>
  </si>
  <si>
    <t>918108141604</t>
  </si>
  <si>
    <t>NAME::KAILASH KARSANDAS BABHANIYA</t>
  </si>
  <si>
    <t>Kalpesh Rameshchandra Kaushik</t>
  </si>
  <si>
    <t>INH000024602</t>
  </si>
  <si>
    <t>Kalpesh Kaushik</t>
  </si>
  <si>
    <t>407, B2B Centre Cabin B, Malad West, Malad Industrial Estate, Orlem Kachpada</t>
  </si>
  <si>
    <t>kalpeshkaushik@gmail.com</t>
  </si>
  <si>
    <t>919930923005</t>
  </si>
  <si>
    <t>NAME::KALPESH RAMESHCHANDRA KAUSHIK</t>
  </si>
  <si>
    <t>Karan Narendra Dixit</t>
  </si>
  <si>
    <t>INH000015792</t>
  </si>
  <si>
    <t>Karan Dixit</t>
  </si>
  <si>
    <t>94/A Neelkunj , Sir mukadam mara, Ramnagar</t>
  </si>
  <si>
    <t>poweroffinance23@gmail.com</t>
  </si>
  <si>
    <t>919226659187</t>
  </si>
  <si>
    <t>440033</t>
  </si>
  <si>
    <t>94/A Neelkunj, Sir mukadam mara, Ramnagar</t>
  </si>
  <si>
    <t>NAME::KARAN NARENDRA DIXIT</t>
  </si>
  <si>
    <t>Karan Subhash Arora</t>
  </si>
  <si>
    <t>INH000019080</t>
  </si>
  <si>
    <t>Karan Arora</t>
  </si>
  <si>
    <t>302, 3rd Floor, Sahil Niwas CHS Plot No 64 Sec 4A, Koparkhairne, Navi Mumbai</t>
  </si>
  <si>
    <t>arora.karan0409@gmail.com</t>
  </si>
  <si>
    <t>919769905691</t>
  </si>
  <si>
    <t>NAME::KARAN SUBHASH ARORA</t>
  </si>
  <si>
    <t>Kareti Srinivasa Reddy</t>
  </si>
  <si>
    <t>INH200006309</t>
  </si>
  <si>
    <t>Kareti Reddy</t>
  </si>
  <si>
    <t>No 6 Uday Suryodaya Appartments 3rd Main , Maithri Layout Whitefield,</t>
  </si>
  <si>
    <t>srireddy2075@yahoo.com</t>
  </si>
  <si>
    <t>NAME::KARETI SRINIVASA REDDY</t>
  </si>
  <si>
    <t>Kartik M Soni</t>
  </si>
  <si>
    <t>INA000021465</t>
  </si>
  <si>
    <t>Kartik  Soni</t>
  </si>
  <si>
    <t>A-801, Naman Habitat, opp Prabhu Pathare Hall,, Azad Nagar, JP Road, Andheri W</t>
  </si>
  <si>
    <t>kartik.iitdelhi@gmail.com</t>
  </si>
  <si>
    <t>00919717858454</t>
  </si>
  <si>
    <t>A-801, Naman Habitat, opp Prabhu Pathare Hall, Azad Nagar, JP Road, Andheri W</t>
  </si>
  <si>
    <t>Dec 08, 2025</t>
  </si>
  <si>
    <t>NAME::KARTIK M SONI</t>
  </si>
  <si>
    <t>Kashish Manjani</t>
  </si>
  <si>
    <t>INA000019822</t>
  </si>
  <si>
    <t>No.20 8, Shanti Sadan, 16th A Main, 2nd Cross, Bysandra East, 3rd, Block, Jayanagar, Bangalore</t>
  </si>
  <si>
    <t>kashish.manjani@gmail.com</t>
  </si>
  <si>
    <t>919687520523</t>
  </si>
  <si>
    <t>560057</t>
  </si>
  <si>
    <t>NAME::KASHISH MANJANI</t>
  </si>
  <si>
    <t>Kaushal Prafulla Somani</t>
  </si>
  <si>
    <t>INH000016418</t>
  </si>
  <si>
    <t>Kaushal Somani</t>
  </si>
  <si>
    <t>HNo 260 A, Maharana Pratap Chauk, Paldhi Bk, Paldhi, Jalgaon</t>
  </si>
  <si>
    <t>kpsomani15@gmail.com</t>
  </si>
  <si>
    <t>8788250074</t>
  </si>
  <si>
    <t>425103</t>
  </si>
  <si>
    <t>NAME::KAUSHAL PRAFULLA SOMANI</t>
  </si>
  <si>
    <t>Kaushhik Maall</t>
  </si>
  <si>
    <t>INH000026743</t>
  </si>
  <si>
    <t>16-9-683, Flat 401, Happy Homes, Old Malakpet,</t>
  </si>
  <si>
    <t>kmmarketsreal@gmail.com</t>
  </si>
  <si>
    <t>918520876776</t>
  </si>
  <si>
    <t>NAME::KAUSHHIK MAALL</t>
  </si>
  <si>
    <t>Kaushik Dutta</t>
  </si>
  <si>
    <t>INH300008438</t>
  </si>
  <si>
    <t>26/4,yogi para lane, Beadon Street</t>
  </si>
  <si>
    <t>kaushikdutta21@gmail.com</t>
  </si>
  <si>
    <t>May 26, 2021</t>
  </si>
  <si>
    <t>Kaushik Ghosh</t>
  </si>
  <si>
    <t>INH000019017</t>
  </si>
  <si>
    <t>2ND-FR, FL-A 248(N) 191(O) , JUGIPARA ROAD LP-69/6/1/1/0/1</t>
  </si>
  <si>
    <t>kaushikghosh014@gmail.com</t>
  </si>
  <si>
    <t>916290924113</t>
  </si>
  <si>
    <t>700028</t>
  </si>
  <si>
    <t>NAME::KAUSHIK GHOSH</t>
  </si>
  <si>
    <t>Kaustubh Dattatraya Agashe</t>
  </si>
  <si>
    <t>INA000020785</t>
  </si>
  <si>
    <t>Kaustubh Agashe</t>
  </si>
  <si>
    <t>277 Shaniwar Peth, Shridhar Building, 1st Floor</t>
  </si>
  <si>
    <t>kaustubh.agashe@gmail.com</t>
  </si>
  <si>
    <t>919175171215</t>
  </si>
  <si>
    <t>NAME::KAUSTUBH DATTATRAYA AGASHE</t>
  </si>
  <si>
    <t>Kerdoss Trade India</t>
  </si>
  <si>
    <t>INH000020730</t>
  </si>
  <si>
    <t>Jabesh Bagdy</t>
  </si>
  <si>
    <t>Flat No N406 Vidyasagar Oswal Garden No 210 212, Cochraine Basin Road Korukkupet Washermenpet</t>
  </si>
  <si>
    <t>kerdoss.com@gmail.com</t>
  </si>
  <si>
    <t>009092915330</t>
  </si>
  <si>
    <t>600021</t>
  </si>
  <si>
    <t>NAME::KERDOSS TRADE INDIA</t>
  </si>
  <si>
    <t>Ketan Doshi</t>
  </si>
  <si>
    <t>INA000016117</t>
  </si>
  <si>
    <t>B-1503 Hubtown Sunmist, N S Phadke Marg, Saiwadi, Andheri (E)</t>
  </si>
  <si>
    <t>ketandsh@gmail.com</t>
  </si>
  <si>
    <t>Aug 18, 2021</t>
  </si>
  <si>
    <t>NAME::KETAN DOSHI</t>
  </si>
  <si>
    <t>Ketan Kiran Gogte</t>
  </si>
  <si>
    <t>INA000009649</t>
  </si>
  <si>
    <t>Ketan Gogte</t>
  </si>
  <si>
    <t>865, Snehabandh Society, Bhandarkar Road</t>
  </si>
  <si>
    <t>ketangogte@gmail.com</t>
  </si>
  <si>
    <t>Feb 02, 2018</t>
  </si>
  <si>
    <t>NAME::KETAN KIRAN GOGTE</t>
  </si>
  <si>
    <t>Ketan Mittal</t>
  </si>
  <si>
    <t>INH000018726</t>
  </si>
  <si>
    <t>138 Ganj Bazar, Chandraguptpuri, Meerut Cantt</t>
  </si>
  <si>
    <t>ketan.mittal95@gmail.com</t>
  </si>
  <si>
    <t>919913628910</t>
  </si>
  <si>
    <t>NAME::KETAN MITTAL</t>
  </si>
  <si>
    <t>Khushboo Dhanuka</t>
  </si>
  <si>
    <t>INA300012547</t>
  </si>
  <si>
    <t>Khushboo  Dhanuka</t>
  </si>
  <si>
    <t>101, Kiranshree Apartment, narayan nagar, arunoday path</t>
  </si>
  <si>
    <t>Khushboo.dhanuka2401@gmail.com</t>
  </si>
  <si>
    <t>918904181092</t>
  </si>
  <si>
    <t>781009</t>
  </si>
  <si>
    <t>NAME::KHUSHBOO DHANUKA</t>
  </si>
  <si>
    <t>Khushil Kumar Agrawal</t>
  </si>
  <si>
    <t>INH000016579</t>
  </si>
  <si>
    <t>KHUSHIL AGRAWAL</t>
  </si>
  <si>
    <t>214-B, Silver Oaks Colony, , Sando Dairy, Annapurna Road,</t>
  </si>
  <si>
    <t>kushilagrawal2015@gmail.com</t>
  </si>
  <si>
    <t>917869498187</t>
  </si>
  <si>
    <t>NAME::KHUSHIL KUMAR AGRAWAL</t>
  </si>
  <si>
    <t>Kiran Mammen Mathulla</t>
  </si>
  <si>
    <t>INH000014535</t>
  </si>
  <si>
    <t>Kiran Mathulla</t>
  </si>
  <si>
    <t>Kandathil House, Masjid Illathumughal Road, Vazhakkala</t>
  </si>
  <si>
    <t>kiranmammen1999@gmail.com</t>
  </si>
  <si>
    <t>NAME::KIRAN MAMMEN MATHULLA</t>
  </si>
  <si>
    <t>Kiran Nirapure</t>
  </si>
  <si>
    <t>INH000028431</t>
  </si>
  <si>
    <t>Office at Second Floor of Building Situated at North Part of Plot No.2758, Sector E, Sudama Nagar</t>
  </si>
  <si>
    <t>nir.kir98@gmail.com</t>
  </si>
  <si>
    <t>0007987254421</t>
  </si>
  <si>
    <t>NAME::KIRAN NIRAPURE</t>
  </si>
  <si>
    <t>Kirti Saraf</t>
  </si>
  <si>
    <t>INH000014784</t>
  </si>
  <si>
    <t>203 , Sub Center Tau Devi Lal Complex, Opposite Hotel Oscar Resdancy, Yamuna Nagar,</t>
  </si>
  <si>
    <t>kirti.saraf11@gmail.com</t>
  </si>
  <si>
    <t>918376982979</t>
  </si>
  <si>
    <t>135001</t>
  </si>
  <si>
    <t>NAME::KIRTI SARAF</t>
  </si>
  <si>
    <t>Kishore Suvarna</t>
  </si>
  <si>
    <t>INH000009126</t>
  </si>
  <si>
    <t>Platina Building, A Wing Kasabela Gold Palava, Sector 1,Cluster 8 Katai Nilaje, Dombivali</t>
  </si>
  <si>
    <t>kishore.suvarna31@gmail.com</t>
  </si>
  <si>
    <t>Feb 09, 2022</t>
  </si>
  <si>
    <t>NAME::KISHORE SUVARNA</t>
  </si>
  <si>
    <t>Krishankant Prasad</t>
  </si>
  <si>
    <t>INH000025780</t>
  </si>
  <si>
    <t>Krishankant Prasad S o Bharat Prasad N 40 1 2nd floor street no 4, Hargobind Enclave Rajpur Khurd Extension</t>
  </si>
  <si>
    <t>krishankantprasad09@gmail.com</t>
  </si>
  <si>
    <t>110074</t>
  </si>
  <si>
    <t>NAME::KRISHANKANT PRASAD</t>
  </si>
  <si>
    <t>Krishna Kumar Mishra</t>
  </si>
  <si>
    <t>INH000016807</t>
  </si>
  <si>
    <t>Krishna  Mishra</t>
  </si>
  <si>
    <t>No. 203, Swami Classic, Narhe Road, Near Navale Hospital Black Gate, Dhayri Phata</t>
  </si>
  <si>
    <t>krissnajk@yahoo.com</t>
  </si>
  <si>
    <t>NAME::KRISHNA KUMAR MISHRA</t>
  </si>
  <si>
    <t>Krishnakumar BV</t>
  </si>
  <si>
    <t>INH000011291</t>
  </si>
  <si>
    <t>KRISHNA KUMAR BV</t>
  </si>
  <si>
    <t>Radha Govind, Priyadarsini Road, Kannankulangara, Tripunithura</t>
  </si>
  <si>
    <t>amaze5151@gmail.com</t>
  </si>
  <si>
    <t>682301</t>
  </si>
  <si>
    <t>Jan 24, 2023</t>
  </si>
  <si>
    <t>NAME::KRISHNAKUMAR BV</t>
  </si>
  <si>
    <t>Krishnamurthy Sethuraman</t>
  </si>
  <si>
    <t>INH000017161</t>
  </si>
  <si>
    <t>krishnamurthy Sethuraman</t>
  </si>
  <si>
    <t>57/22  Shree Dham apts, 4th Floor, R K Shunmugam Salai , K K nagar</t>
  </si>
  <si>
    <t>stocksethu@gmail.com</t>
  </si>
  <si>
    <t>Jun 30, 2024</t>
  </si>
  <si>
    <t>NAME::KRISHNAMURTHY SETHURAMAN</t>
  </si>
  <si>
    <t>Kumar Satyam</t>
  </si>
  <si>
    <t>INH000020448</t>
  </si>
  <si>
    <t>So Raju Kumar Parmeshwar dayal road barmasia, deoghar</t>
  </si>
  <si>
    <t>satyamkumar10802@gmail.com</t>
  </si>
  <si>
    <t>918603219651</t>
  </si>
  <si>
    <t>DHANBAD</t>
  </si>
  <si>
    <t>814112</t>
  </si>
  <si>
    <t>NAME::KUMAR SATYAM</t>
  </si>
  <si>
    <t>Kunal Hasmukhlal Shah</t>
  </si>
  <si>
    <t>INH000012908</t>
  </si>
  <si>
    <t>Kunal Shah</t>
  </si>
  <si>
    <t>B/1402, Neel Tower, , Devidas Cross Lane, Borivali (West)</t>
  </si>
  <si>
    <t>kunalshah305@gmail.com</t>
  </si>
  <si>
    <t>400103</t>
  </si>
  <si>
    <t>NAME::KUNAL HASMUKHLAL SHAH</t>
  </si>
  <si>
    <t>Kunal Suryawanshi</t>
  </si>
  <si>
    <t>INH000016986</t>
  </si>
  <si>
    <t>Gala No. F-17, First Floor, Nice sankul, Satpur,, ITI Signal, Trimbak Road, Nashik</t>
  </si>
  <si>
    <t>kunalsuryawanshi001@gmail.com</t>
  </si>
  <si>
    <t>919890029349</t>
  </si>
  <si>
    <t>422007</t>
  </si>
  <si>
    <t>Gala No. F-17, First Floor, Nice sankul, Satpur, ITI Signal, Trimbak Road, Nashik</t>
  </si>
  <si>
    <t>NAME::KUNAL SURYAWANSHI</t>
  </si>
  <si>
    <t>Kunj B Bansal</t>
  </si>
  <si>
    <t>INH000010760</t>
  </si>
  <si>
    <t>Kunj Bansal</t>
  </si>
  <si>
    <t>1005 sea flama, dosti, sweree</t>
  </si>
  <si>
    <t>kunjbansal@yahoo.com</t>
  </si>
  <si>
    <t>NAME::KUNJ B BANSAL</t>
  </si>
  <si>
    <t>LALIT YADAV</t>
  </si>
  <si>
    <t>INH000027283</t>
  </si>
  <si>
    <t>LALIT  YADAV</t>
  </si>
  <si>
    <t>S/O Sh. Pawan Kumar Ground Floor, Back Side,, Plot No. 41-B, K.H. No. 134, Prem Nagar, E-Block, Najafgarh,</t>
  </si>
  <si>
    <t>thelalitrao@gmail.com</t>
  </si>
  <si>
    <t>0008882227325</t>
  </si>
  <si>
    <t>110043</t>
  </si>
  <si>
    <t>NAME::LALIT YADAV</t>
  </si>
  <si>
    <t>LEKH RAM</t>
  </si>
  <si>
    <t>INA200013761</t>
  </si>
  <si>
    <t>HNO 333,1ST FLOOR,14TH CROSS, 2ND BLOCK RT NAGAR NEAR PATEL'S INN</t>
  </si>
  <si>
    <t>ram.lekh@gmail.com</t>
  </si>
  <si>
    <t>560032</t>
  </si>
  <si>
    <t>Aug 08, 2019</t>
  </si>
  <si>
    <t>NAME::LEKH RAM</t>
  </si>
  <si>
    <t>LOGESH KUMAR S</t>
  </si>
  <si>
    <t>INH200004648</t>
  </si>
  <si>
    <t>LOGESH KUMAR SELVAM</t>
  </si>
  <si>
    <t>39/70 Siva Garden 2nd St,, New Washermenpet</t>
  </si>
  <si>
    <t>s.logeshkumar@gmail.com</t>
  </si>
  <si>
    <t>600081</t>
  </si>
  <si>
    <t>39/70 Siva Garden 2nd St, New Washermenpet</t>
  </si>
  <si>
    <t>Mar 15, 2017</t>
  </si>
  <si>
    <t>NAME::LOGESH KUMAR S</t>
  </si>
  <si>
    <t>Leji Sadanandan</t>
  </si>
  <si>
    <t>INH000028495</t>
  </si>
  <si>
    <t>Leji  Sadanandan</t>
  </si>
  <si>
    <t>Leji Villa, Ward 25, Saraswati Nagar Rasuliya, Hoshangabad</t>
  </si>
  <si>
    <t>leji8250@gmail.com</t>
  </si>
  <si>
    <t>00007024656156</t>
  </si>
  <si>
    <t>461001</t>
  </si>
  <si>
    <t>NAME::LEJI SADANANDAN</t>
  </si>
  <si>
    <t>Lokhandwala Raj Zahir</t>
  </si>
  <si>
    <t>INH000025452</t>
  </si>
  <si>
    <t>Lokhandwala Zahir</t>
  </si>
  <si>
    <t>2nd Floor, AR Plaza, Ravapar Road, Morbi</t>
  </si>
  <si>
    <t>raj.lokhandwala57@gmail.com</t>
  </si>
  <si>
    <t>009727736063</t>
  </si>
  <si>
    <t>363641</t>
  </si>
  <si>
    <t>NAME::LOKHANDWALA RAJ ZAHIR</t>
  </si>
  <si>
    <t>Lovelesh Sharma</t>
  </si>
  <si>
    <t>INH000027937</t>
  </si>
  <si>
    <t>Office No.125, 581/5, MG Road, Indore</t>
  </si>
  <si>
    <t>love.sharma01@gmail.com</t>
  </si>
  <si>
    <t>009826899440</t>
  </si>
  <si>
    <t>NAME::LOVELESH SHARMA</t>
  </si>
  <si>
    <t>M Thara</t>
  </si>
  <si>
    <t>INH200005212</t>
  </si>
  <si>
    <t>THARA MATHIYALAKAN</t>
  </si>
  <si>
    <t>No. 1358/E/3, Vellore Road Sevoor,, Sevoor Post, Arni Tk.,</t>
  </si>
  <si>
    <t>mthara03@gmail.com</t>
  </si>
  <si>
    <t>VELLORE</t>
  </si>
  <si>
    <t>632316</t>
  </si>
  <si>
    <t>No. 1358/E/3, Vellore Road Sevoor, Sevoor Post, Arni Tk.,</t>
  </si>
  <si>
    <t>Sep 12, 2017</t>
  </si>
  <si>
    <t>NAME::M THARA</t>
  </si>
  <si>
    <t>M VIGNESH</t>
  </si>
  <si>
    <t>INH000025753</t>
  </si>
  <si>
    <t>M VIGNESH MARIARAJAN</t>
  </si>
  <si>
    <t>T.S. No.155, Ward D, Block No., Chairman P.K.S.A. Arumugam Road,Sivakasi</t>
  </si>
  <si>
    <t>viki029vignesh@gmail.com</t>
  </si>
  <si>
    <t>919442156928</t>
  </si>
  <si>
    <t>626189</t>
  </si>
  <si>
    <t>NAME::M VIGNESH</t>
  </si>
  <si>
    <t>MA JAVEED</t>
  </si>
  <si>
    <t>INH000023339</t>
  </si>
  <si>
    <t>M A JAVEED</t>
  </si>
  <si>
    <t>H No 3 2 30 3 1, Veerannapet, Macca Masjid, Mahabubnagar</t>
  </si>
  <si>
    <t>ma.javid30@gmail.com</t>
  </si>
  <si>
    <t>919642310538</t>
  </si>
  <si>
    <t>509001</t>
  </si>
  <si>
    <t>NAME::MA JAVEED</t>
  </si>
  <si>
    <t>MADHAV MILIND BHANDARE</t>
  </si>
  <si>
    <t>INH000018230</t>
  </si>
  <si>
    <t>MADHAV  BHANDARE</t>
  </si>
  <si>
    <t>A501, Vakratunda CHS, Bhakti Mandir Road, Near Hari Niwas Circle, Panchpakhadi</t>
  </si>
  <si>
    <t>madhavbhandareresearchanalyst@gmail.com</t>
  </si>
  <si>
    <t>NAME::MADHAV MILIND BHANDARE</t>
  </si>
  <si>
    <t>MADHUMITA BANERJEE</t>
  </si>
  <si>
    <t>INH300005006</t>
  </si>
  <si>
    <t>FLAT NO-F-13,PRATYEE HOUSING COMPLEX,, BAMUNARA,BHAIRABTALA,DURGAPUR-12</t>
  </si>
  <si>
    <t>madhumitabanerjie@gmail.com</t>
  </si>
  <si>
    <t>713212</t>
  </si>
  <si>
    <t>FLAT NO-F-13,PRATYEE HOUSING COMPLEX, BAMUNARA,BHAIRABTALA,DURGAPUR-12</t>
  </si>
  <si>
    <t>NAME::MADHUMITA BANERJEE</t>
  </si>
  <si>
    <t>MADHUPAM KRISHNA</t>
  </si>
  <si>
    <t>INA100003899</t>
  </si>
  <si>
    <t>638-B, LANENO.-8, JANPATH, RANI SATI NAGAR, AJMER ROAD</t>
  </si>
  <si>
    <t>madhupam@gmail.com</t>
  </si>
  <si>
    <t>01412812904</t>
  </si>
  <si>
    <t>Dec 10, 2015</t>
  </si>
  <si>
    <t>NAME::MADHUPAM KRISHNA</t>
  </si>
  <si>
    <t>MAHESH CHANDER KAUSHIK</t>
  </si>
  <si>
    <t>INH100000908</t>
  </si>
  <si>
    <t>T.R.A. TEHSIL OFFICE, JJ COLONY, BEHIND SANYAS ASHRAM, PINDWARA</t>
  </si>
  <si>
    <t>mahesh2073@yahoo.com</t>
  </si>
  <si>
    <t>8875845611</t>
  </si>
  <si>
    <t>307022</t>
  </si>
  <si>
    <t>T.R.A. Tehsil Office, JJ Colony, Behind Sanyas Ashram, Pindwara</t>
  </si>
  <si>
    <t>Jul 06, 2015</t>
  </si>
  <si>
    <t>NAME::MAHESH CHANDER KAUSHIK</t>
  </si>
  <si>
    <t>MAHESH DEORA AAGGAARWAL</t>
  </si>
  <si>
    <t>INH000018249</t>
  </si>
  <si>
    <t>MAHESH AAGGAARWAL</t>
  </si>
  <si>
    <t>36 RAJEEV GANDHI PARISAR, OPP JAYANTI MARKET NEAR PANCH BATTI M I ROAD</t>
  </si>
  <si>
    <t>CADEORA1974@GMAIL.COM</t>
  </si>
  <si>
    <t>NAME::MAHESH DEORA AAGGAARWAL</t>
  </si>
  <si>
    <t>MAHESH KUMAR K</t>
  </si>
  <si>
    <t>INA000021924</t>
  </si>
  <si>
    <t>Kriplayam, Tarur, Traur-1,</t>
  </si>
  <si>
    <t>maheshk07@gmail.com</t>
  </si>
  <si>
    <t>00917358447244</t>
  </si>
  <si>
    <t>678544</t>
  </si>
  <si>
    <t>NAME::MAHESH KUMAR K</t>
  </si>
  <si>
    <t>MAITREYA GOVIND MAHAJAN</t>
  </si>
  <si>
    <t>INH000008570</t>
  </si>
  <si>
    <t>MAITREYA MAHAJAN</t>
  </si>
  <si>
    <t>2/25, SINDHI SOCIETY,, RAM NAGAR, OFF. S.V. ROAD, BORIVALI(w)</t>
  </si>
  <si>
    <t>alwaysgoodmorning@gmail.com</t>
  </si>
  <si>
    <t>2/25, SINDHI SOCIETY, RAM NAGAR, OFF. S.V. ROAD, BORIVALI(w)</t>
  </si>
  <si>
    <t>Jul 22, 2021</t>
  </si>
  <si>
    <t>NAME::MAITREYA GOVIND MAHAJAN</t>
  </si>
  <si>
    <t>MAKARAND GODBOLE</t>
  </si>
  <si>
    <t>INH000023436</t>
  </si>
  <si>
    <t>Apt No. 204, Swarsawad Appt, 425/9, TMV Colony,Pune</t>
  </si>
  <si>
    <t>ramak.godbole@gmail.com</t>
  </si>
  <si>
    <t>918999349416</t>
  </si>
  <si>
    <t>NAME::MAKARAND GODBOLE</t>
  </si>
  <si>
    <t>MANISH TANEJA</t>
  </si>
  <si>
    <t>INH000028361</t>
  </si>
  <si>
    <t>Manish Taneja</t>
  </si>
  <si>
    <t>H.No. 6 80,1st Floor, Block-6, Rajeandra Nagar Sector-2,Sahibabad</t>
  </si>
  <si>
    <t>udtsrobotrade@gmail.com</t>
  </si>
  <si>
    <t>00001204566481</t>
  </si>
  <si>
    <t>NAME::MANISH TANEJA</t>
  </si>
  <si>
    <t>MANOJ ASOK KUMAR</t>
  </si>
  <si>
    <t>INH000026798</t>
  </si>
  <si>
    <t>Manoj Kumar</t>
  </si>
  <si>
    <t>FLAT NO 3F, 57/522C5, AC CANDLEWOOD, PONNETH SOUTH ROAD, KADAVANTHRA</t>
  </si>
  <si>
    <t>manuasok@yahoo.com</t>
  </si>
  <si>
    <t>007892262060</t>
  </si>
  <si>
    <t>NAME::MANOJ ASOK KUMAR</t>
  </si>
  <si>
    <t>MANOJ KUMAR A</t>
  </si>
  <si>
    <t>INH000020068</t>
  </si>
  <si>
    <t>Manoj Kumar A</t>
  </si>
  <si>
    <t>776 13th B Main Road Yelahanka Satellite Town, Yelahanka New Town</t>
  </si>
  <si>
    <t>manojkumar0802@gmail.com</t>
  </si>
  <si>
    <t>918892036924</t>
  </si>
  <si>
    <t>NAME::MANOJ KUMAR A</t>
  </si>
  <si>
    <t>MANOJ KUMAR DUTTA</t>
  </si>
  <si>
    <t>INH000024639</t>
  </si>
  <si>
    <t>MANOJ DUTTA</t>
  </si>
  <si>
    <t>37 4 Hara Ghosh Road P O  Athpur  Dist  24 North Parganas</t>
  </si>
  <si>
    <t>manojdutta133@gmail.com</t>
  </si>
  <si>
    <t>009172783133</t>
  </si>
  <si>
    <t>743128</t>
  </si>
  <si>
    <t>NAME::MANOJ KUMAR DUTTA</t>
  </si>
  <si>
    <t>MANU CHHABRA</t>
  </si>
  <si>
    <t>INA200013992</t>
  </si>
  <si>
    <t>D2, Saicharan appartment,10th Cross, Doddabanswadi,near ramamurthy chowk,kalyannagar</t>
  </si>
  <si>
    <t>absolute.finserve@gmail.com</t>
  </si>
  <si>
    <t>Sep 23, 2019</t>
  </si>
  <si>
    <t>NAME::MANU CHHABRA</t>
  </si>
  <si>
    <t>MATRIX TRADING TECH</t>
  </si>
  <si>
    <t>INH000019035</t>
  </si>
  <si>
    <t>AMIT SHARMA</t>
  </si>
  <si>
    <t>Mova Police Station 6th 610, Orrange Hive Pandari Mova Road Mova</t>
  </si>
  <si>
    <t>amitksharma19644@gmail.com</t>
  </si>
  <si>
    <t>009001103563</t>
  </si>
  <si>
    <t>Dec 11, 2024</t>
  </si>
  <si>
    <t>NAME::MATRIX TRADING TECH</t>
  </si>
  <si>
    <t>MAUSAM NAGPAL</t>
  </si>
  <si>
    <t>INH000020554</t>
  </si>
  <si>
    <t>Ward No 20, Gali No 3, Setia Farm, Ganganagar</t>
  </si>
  <si>
    <t>ramausamnagpal@gmail.com</t>
  </si>
  <si>
    <t>919784838388</t>
  </si>
  <si>
    <t>May 28, 2025</t>
  </si>
  <si>
    <t>NAME::MAUSAM NAGPAL</t>
  </si>
  <si>
    <t>MAUSUMI PANDA</t>
  </si>
  <si>
    <t>INH000010140</t>
  </si>
  <si>
    <t>3390 KAMALVILLAA, JAGANNATH LANE</t>
  </si>
  <si>
    <t>mausumip@gmail.com</t>
  </si>
  <si>
    <t>751002</t>
  </si>
  <si>
    <t>NAME::MAUSUMI PANDA</t>
  </si>
  <si>
    <t>MAYURKUMAR MAVJIBHAI MALANI</t>
  </si>
  <si>
    <t>INH000023302</t>
  </si>
  <si>
    <t>MAYURKUMAR MALANI</t>
  </si>
  <si>
    <t>405 Radhesyam -2,, mayani chowk, chandresh nagar main raod</t>
  </si>
  <si>
    <t>mayur05.malani@gmail.com</t>
  </si>
  <si>
    <t>919099701319</t>
  </si>
  <si>
    <t>405 Radhesyam -2, mayani chowk, chandresh nagar main raod</t>
  </si>
  <si>
    <t>NAME::MAYURKUMAR MAVJIBHAI MALANI</t>
  </si>
  <si>
    <t>MEET PRAVIN PATEL</t>
  </si>
  <si>
    <t>INH000027089</t>
  </si>
  <si>
    <t>MEET  PATEL</t>
  </si>
  <si>
    <t>Near of Vad, Kundi Bhinar, Kundi, Ta. Dist</t>
  </si>
  <si>
    <t>Meetpravinpatel116@gmail.com</t>
  </si>
  <si>
    <t>396375</t>
  </si>
  <si>
    <t>NAME::MEET PRAVIN PATEL</t>
  </si>
  <si>
    <t>MEGHANA VISHAL MALKAN</t>
  </si>
  <si>
    <t>INH000001394</t>
  </si>
  <si>
    <t>Meghana Vishal Malkan</t>
  </si>
  <si>
    <t>403, PARK VIEW CHSL,NATAKWALA LANE,, OPP. S.V. ROAD,BORIVALI (WEST),</t>
  </si>
  <si>
    <t>Megh_malkan@yahoo.co.in</t>
  </si>
  <si>
    <t>919920934923</t>
  </si>
  <si>
    <t>309, Jalaram Business Center, Ganjawala Lane,Above Axis Bank,Near Chamunda Circle,Borivali (West),</t>
  </si>
  <si>
    <t>Aug 14, 2015</t>
  </si>
  <si>
    <t>NAME::MEGHANA VISHAL MALKAN</t>
  </si>
  <si>
    <t>MILIND KUMAR</t>
  </si>
  <si>
    <t>INH000023065</t>
  </si>
  <si>
    <t>Office No 3, First Floor, House No 22 30, Milan Arcade, MG Road, Civil Lines</t>
  </si>
  <si>
    <t>RA.MONEYMETRICS@GMAIL.COM</t>
  </si>
  <si>
    <t>919450940366</t>
  </si>
  <si>
    <t>NAME::MILIND KUMAR</t>
  </si>
  <si>
    <t>MINAL ADITYA JAIN</t>
  </si>
  <si>
    <t>INH000004626</t>
  </si>
  <si>
    <t>MINAL AGRAWAL</t>
  </si>
  <si>
    <t>16 FRIENDS COLONY, RPTS ROAD, PRATAPNAGAR</t>
  </si>
  <si>
    <t>caminal2012@gmail.com</t>
  </si>
  <si>
    <t>NAME::MINAL ADITYA JAIN</t>
  </si>
  <si>
    <t>MIR UNISERV</t>
  </si>
  <si>
    <t>INH100007639</t>
  </si>
  <si>
    <t>SAURABH SHUKLA</t>
  </si>
  <si>
    <t>X-1/153 KRISHNA PURAM OPP. KRISHNA NAGAR, KANPUR KANPUR NAGAR</t>
  </si>
  <si>
    <t>miruniservresearch@gmail.com</t>
  </si>
  <si>
    <t>918800208773</t>
  </si>
  <si>
    <t>208007</t>
  </si>
  <si>
    <t>Jun 24, 2020</t>
  </si>
  <si>
    <t>NAME::MIR UNISERV</t>
  </si>
  <si>
    <t>MIRZA ARBAAZ BAIG</t>
  </si>
  <si>
    <t>INH000024444</t>
  </si>
  <si>
    <t>MIRZA BAIG</t>
  </si>
  <si>
    <t>Flat No. 26 1/1, CDD Land, Shanta Jog Marg,, Nr.Shan-E Khuda Hasan, Chembur MG Chembur,</t>
  </si>
  <si>
    <t>arbaazroyal786@gmail.com</t>
  </si>
  <si>
    <t>917900052334</t>
  </si>
  <si>
    <t>NAME::MIRZA ARBAAZ BAIG</t>
  </si>
  <si>
    <t>MITALI GUNVANT SINGHI</t>
  </si>
  <si>
    <t>INA000021678</t>
  </si>
  <si>
    <t>MITALI  SINGHI</t>
  </si>
  <si>
    <t>301 SHRI CHAMUNDA, LIBERTY GARDEN CROSS ROAD 2, MALAD WEST, MUMBAI</t>
  </si>
  <si>
    <t>mitali14081988@gmail.com</t>
  </si>
  <si>
    <t>919987095853</t>
  </si>
  <si>
    <t>NAME::MITALI GUNVANT SINGHI</t>
  </si>
  <si>
    <t>MITESH HEDAU</t>
  </si>
  <si>
    <t>INH000028097</t>
  </si>
  <si>
    <t>HN 75 WARD NO 3 BHILGAON LOAKVIHAR PARK</t>
  </si>
  <si>
    <t>Miteshhedau40@gmail.com</t>
  </si>
  <si>
    <t>007499927563</t>
  </si>
  <si>
    <t>441001</t>
  </si>
  <si>
    <t>NAME::MITESH HEDAU</t>
  </si>
  <si>
    <t>MIYANI VAIBHAV BHARATBHAI</t>
  </si>
  <si>
    <t>INH000018513</t>
  </si>
  <si>
    <t>VAIBHAV MIYANI</t>
  </si>
  <si>
    <t>G2 502 sai shradhdha residency, Near sudama chowk, mota varachha</t>
  </si>
  <si>
    <t>vaibhavmiyani9@gmail.com</t>
  </si>
  <si>
    <t>917600626700</t>
  </si>
  <si>
    <t>394101</t>
  </si>
  <si>
    <t>NAME::MIYANI VAIBHAV BHARATBHAI</t>
  </si>
  <si>
    <t>MOHAMMED USMAN</t>
  </si>
  <si>
    <t>INH000024879</t>
  </si>
  <si>
    <t>No.42, 13th Main, Near st. Annas School,, DLF New Town, Behind Hiranandani Apartment,</t>
  </si>
  <si>
    <t>usman.9620@gmail.com</t>
  </si>
  <si>
    <t>919620927760</t>
  </si>
  <si>
    <t>NAME::MOHAMMED USMAN</t>
  </si>
  <si>
    <t>MOHD FAISAL MOHD ASRAF GAFULI</t>
  </si>
  <si>
    <t>INH000011398</t>
  </si>
  <si>
    <t>MOHD FAISAL GAFULI</t>
  </si>
  <si>
    <t>Faiza Mansion, Behind OLD RTO Office , KAKA Chowk Civil Line</t>
  </si>
  <si>
    <t>faisalgondia25@gmail.com</t>
  </si>
  <si>
    <t>NAME::MOHD FAISAL MOHD ASRAF GAFULI</t>
  </si>
  <si>
    <t>MOHIT GOYAL</t>
  </si>
  <si>
    <t>INH000024019</t>
  </si>
  <si>
    <t>SCO 58, 2ND FLOOR, MOHALI CITI CENTRE, AIRPORT ROAD, AEROCITY F BLOCK</t>
  </si>
  <si>
    <t>kunjfinvest@gmail.com</t>
  </si>
  <si>
    <t>917888747912</t>
  </si>
  <si>
    <t>NAME::MOHIT GOYAL</t>
  </si>
  <si>
    <t>MOHIT PRAKASH GABA</t>
  </si>
  <si>
    <t>INH000002079</t>
  </si>
  <si>
    <t>302, SEAKING, H K BHABHA ROAD,, BANDRA (WEST)</t>
  </si>
  <si>
    <t>mohitgaba@gmail.com</t>
  </si>
  <si>
    <t>2226421719</t>
  </si>
  <si>
    <t>302, Seaking, H K Bhabha Road, Bandra (West)</t>
  </si>
  <si>
    <t>NAME::MOHIT PRAKASH GABA</t>
  </si>
  <si>
    <t>MOHITH KUMAR NAVEEN JAIN</t>
  </si>
  <si>
    <t>INH000024727</t>
  </si>
  <si>
    <t>Mohith Jain</t>
  </si>
  <si>
    <t>No 15 Old No 394B, Mathru Chaya, 4th Cross, 5th Main, Srinagar,  Near Kunthunath Jain Temple</t>
  </si>
  <si>
    <t>mohithmarllecha@gmail.com</t>
  </si>
  <si>
    <t>919986819442</t>
  </si>
  <si>
    <t>NAME::MOHITH KUMAR NAVEEN JAIN</t>
  </si>
  <si>
    <t>MRS. SONAL SAKUNIA</t>
  </si>
  <si>
    <t>INA300004838</t>
  </si>
  <si>
    <t>C/O MR. SANJAY SAKUNIA, MAIN ROAD, SHARBAHAL,, NEAR GO-KOOL RESTAURANT, JHARSUGUDA</t>
  </si>
  <si>
    <t>natanisonal@gmail.com</t>
  </si>
  <si>
    <t>9776324223</t>
  </si>
  <si>
    <t>768201</t>
  </si>
  <si>
    <t>NAME::MRS SONAL SAKUNIA</t>
  </si>
  <si>
    <t>MUKESH TAILOR</t>
  </si>
  <si>
    <t>INH000025887</t>
  </si>
  <si>
    <t>Ward No 12, Devnarayan Colony, Jirapur Tehsil, Jirapur, Rajgarh</t>
  </si>
  <si>
    <t>mukeshtailor.ra@gmail.com</t>
  </si>
  <si>
    <t>007999910634</t>
  </si>
  <si>
    <t>465691</t>
  </si>
  <si>
    <t>NAME::MUKESH TAILOR</t>
  </si>
  <si>
    <t>MUNJAL RAJENDRA SHAH</t>
  </si>
  <si>
    <t>INA000002470</t>
  </si>
  <si>
    <t>PLOT NO.61-B SHREENIKETAN 11 A, NORTH AVENUE,SANTACRUZ WEST</t>
  </si>
  <si>
    <t>munjals@gmail.com</t>
  </si>
  <si>
    <t>02226492353</t>
  </si>
  <si>
    <t>Plot no.61-B Shreeniketan 11 A, North Avenue,Santacruz West</t>
  </si>
  <si>
    <t>Dec 16, 2014</t>
  </si>
  <si>
    <t>NAME::MUNJAL RAJENDRA SHAH</t>
  </si>
  <si>
    <t>MURALI KRISHNA SIVVALA</t>
  </si>
  <si>
    <t>INA000021261</t>
  </si>
  <si>
    <t>MURALI SIVVALA</t>
  </si>
  <si>
    <t>Door No. 14-13/5, Donkada Colony, Aganampudi,, Gajuwaka Mandal, Visakhapatnam</t>
  </si>
  <si>
    <t>muralikrishnasivvala@gmail.com</t>
  </si>
  <si>
    <t>00916309253273</t>
  </si>
  <si>
    <t>530046</t>
  </si>
  <si>
    <t>Door No. 14-13/5, Donkada Colony, Aganampudi, Gajuwaka Mandal, Visakhapatnam</t>
  </si>
  <si>
    <t>NAME::MURALI KRISHNA SIVVALA</t>
  </si>
  <si>
    <t>INH000023667</t>
  </si>
  <si>
    <t>MURALI  SIVVALA</t>
  </si>
  <si>
    <t>Door No. 14-1-3/5, 2nd Floor, Donkada Colony, Aganam, Gajuwaka Mandal, Visakhapatnam District.</t>
  </si>
  <si>
    <t>sivvalamuralikrishna@gmail.com</t>
  </si>
  <si>
    <t>916309253273</t>
  </si>
  <si>
    <t>Oct 27, 2025</t>
  </si>
  <si>
    <t>MURUGESAN CHANDRASEKARAN</t>
  </si>
  <si>
    <t>INH200007399</t>
  </si>
  <si>
    <t>27 Second Cross Street, Rainbow Nagar</t>
  </si>
  <si>
    <t>postchan@gmail.com</t>
  </si>
  <si>
    <t>605011</t>
  </si>
  <si>
    <t>Sep 10, 2019</t>
  </si>
  <si>
    <t>NAME::MURUGESAN CHANDRASEKARAN</t>
  </si>
  <si>
    <t>MY FIRST STOCK</t>
  </si>
  <si>
    <t>INH000014137</t>
  </si>
  <si>
    <t>SANYAM CHOPRA</t>
  </si>
  <si>
    <t>FIRST FLOOR, OFFICE NO. 14-15, TAU DEVI LAL COMPLEX, OPPOSITE MUNICIPAL CORPORATION</t>
  </si>
  <si>
    <t>CASANYAMCHOPRA@GMAIL.COM</t>
  </si>
  <si>
    <t>PANIPAT</t>
  </si>
  <si>
    <t>132103</t>
  </si>
  <si>
    <t>Dec 21, 2023</t>
  </si>
  <si>
    <t>NAME::MY FIRST STOCK</t>
  </si>
  <si>
    <t>Madhu Bansal</t>
  </si>
  <si>
    <t>INH000010672</t>
  </si>
  <si>
    <t>Madhu  Bansal</t>
  </si>
  <si>
    <t>Ground Floor, 19, Plot No.16, Rishabh Corporate Tower,, Karkardooma Community Centre, New Delhi, East Delhi,</t>
  </si>
  <si>
    <t>madhubansal0987@gmail.com</t>
  </si>
  <si>
    <t>Ground Floor, 19, Plot No.16, Rishabh Corporate Tower, Karkardooma Community Centre, New Delhi, East Delhi,</t>
  </si>
  <si>
    <t>Nov 04, 2022</t>
  </si>
  <si>
    <t>NAME::MADHU BANSAL</t>
  </si>
  <si>
    <t>Madhur Jain</t>
  </si>
  <si>
    <t>INH000020712</t>
  </si>
  <si>
    <t>5-G-4, New Housing Board, Shastri Nagar</t>
  </si>
  <si>
    <t>madhurj1118@gmail.com</t>
  </si>
  <si>
    <t>919929994505</t>
  </si>
  <si>
    <t>NAME::MADHUR JAIN</t>
  </si>
  <si>
    <t>Madhur Suryavanshi</t>
  </si>
  <si>
    <t>INH000025878</t>
  </si>
  <si>
    <t>A-86, Shiv residency, arogya dham hospital ke piche Do tower wali gali, near apna school , City centre</t>
  </si>
  <si>
    <t>madhursuryavanshi456@gmail.com</t>
  </si>
  <si>
    <t>474009</t>
  </si>
  <si>
    <t>NAME::MADHUR SURYAVANSHI</t>
  </si>
  <si>
    <t>Mahipat Valera Sisodiya</t>
  </si>
  <si>
    <t>INH000019831</t>
  </si>
  <si>
    <t>Mahipat Sisodiya</t>
  </si>
  <si>
    <t>311, Third Floor, Applewood City Mall, Madhuram</t>
  </si>
  <si>
    <t>ramahipatsisodiya@gmail.com</t>
  </si>
  <si>
    <t>918000489090</t>
  </si>
  <si>
    <t>NAME::MAHIPAT VALERA SISODIYA</t>
  </si>
  <si>
    <t>Makarand Anant Vipat</t>
  </si>
  <si>
    <t>INH000020402</t>
  </si>
  <si>
    <t>Makarand  Vipat</t>
  </si>
  <si>
    <t>S.No.17 4B, Gandhar Bunglow, SR 174B, Near Sana Paradise, Mangal Nagar</t>
  </si>
  <si>
    <t>makarandvipat13579@gmail.com</t>
  </si>
  <si>
    <t>919881901175</t>
  </si>
  <si>
    <t>NAME::MAKARAND ANANT VIPAT</t>
  </si>
  <si>
    <t>Malapaka Venkata Siva Rama Krishna Durga Prasad</t>
  </si>
  <si>
    <t>INH200009014</t>
  </si>
  <si>
    <t>Malapaka VenkataSiva Rama Krishna Durga Prasad</t>
  </si>
  <si>
    <t>6 1 90/21, abhinav colony, PadmaraoNagar</t>
  </si>
  <si>
    <t>mdprasad@gmail.com</t>
  </si>
  <si>
    <t>500025</t>
  </si>
  <si>
    <t>Dec 29, 2021</t>
  </si>
  <si>
    <t>NAME::MALAPAKA VENKATA SIVA RAMA KRISHNA DURGA PRASAD</t>
  </si>
  <si>
    <t>Manan Mundra</t>
  </si>
  <si>
    <t>INH000021827</t>
  </si>
  <si>
    <t>101, Tower 20, Blue Ridge Town, Hinjewadi</t>
  </si>
  <si>
    <t>mundramanan94@gmail.com</t>
  </si>
  <si>
    <t>918379973867</t>
  </si>
  <si>
    <t>NAME::MANAN MUNDRA</t>
  </si>
  <si>
    <t>Manas Budhiraja</t>
  </si>
  <si>
    <t>INH000025027</t>
  </si>
  <si>
    <t>B-126/1, East of Kailash, Near Gurudwara, PB BLK</t>
  </si>
  <si>
    <t>budhirajamanas23@gmail.com</t>
  </si>
  <si>
    <t>918802597689</t>
  </si>
  <si>
    <t>NAME::MANAS BUDHIRAJA</t>
  </si>
  <si>
    <t>Manash Sardar</t>
  </si>
  <si>
    <t>INH000014447</t>
  </si>
  <si>
    <t>BL 3/A 88 N Khalishakota Pally, Main Road Birati LP 18/33/1</t>
  </si>
  <si>
    <t>ramanashsardar@gmail.com</t>
  </si>
  <si>
    <t>700051</t>
  </si>
  <si>
    <t>NAME::MANASH SARDAR</t>
  </si>
  <si>
    <t>Manish Goel</t>
  </si>
  <si>
    <t>INH100004775</t>
  </si>
  <si>
    <t>Manish Goyal</t>
  </si>
  <si>
    <t>Flat No. 2209B, Block 13, Chandigarh Housing Board, Sector 63</t>
  </si>
  <si>
    <t>mnshgoyal@gmail.com</t>
  </si>
  <si>
    <t>May 16, 2017</t>
  </si>
  <si>
    <t>NAME::MANISH GOEL</t>
  </si>
  <si>
    <t>Manish K Shah</t>
  </si>
  <si>
    <t>INA000016180</t>
  </si>
  <si>
    <t>Manish Shah</t>
  </si>
  <si>
    <t>701 A wing Krishna Palace, Asha Nagar, off, W.E. Highway, Near Sai Dham Temple, Kandivali(east)</t>
  </si>
  <si>
    <t>shahmani1@gmail.com</t>
  </si>
  <si>
    <t>Sep 09, 2021</t>
  </si>
  <si>
    <t>NAME::MANISH K SHAH</t>
  </si>
  <si>
    <t>Manish Khandelwal</t>
  </si>
  <si>
    <t>INA000012953</t>
  </si>
  <si>
    <t>B1401 Videocon Towers, Thakur Complex, Kandivali East, Mumbai</t>
  </si>
  <si>
    <t>manishshri@hotmail.com</t>
  </si>
  <si>
    <t>NAME::MANISH KHANDELWAL</t>
  </si>
  <si>
    <t>Manish Mishra</t>
  </si>
  <si>
    <t>INH000024620</t>
  </si>
  <si>
    <t>GF 06, Winds Of Change, Judicial Layout,, Thalaghattapura</t>
  </si>
  <si>
    <t>apnamanish9@gmail.com</t>
  </si>
  <si>
    <t>919480322410</t>
  </si>
  <si>
    <t>Jan 05, 2026</t>
  </si>
  <si>
    <t>NAME::MANISH MISHRA</t>
  </si>
  <si>
    <t>Manish N Chetwani</t>
  </si>
  <si>
    <t>INH000023472</t>
  </si>
  <si>
    <t>Manish Chetwani</t>
  </si>
  <si>
    <t>Eternia 1404 14th floor, Tower B, LBS Marg Mulund West</t>
  </si>
  <si>
    <t>manishchetwani@yahoo.com</t>
  </si>
  <si>
    <t>919890022115</t>
  </si>
  <si>
    <t>NAME::MANISH N CHETWANI</t>
  </si>
  <si>
    <t>Manish kushwaha</t>
  </si>
  <si>
    <t>INH000015604</t>
  </si>
  <si>
    <t>MANISH  KUSHWAHA</t>
  </si>
  <si>
    <t>SA 17/128-54A , GANPAT NAGAR PAHARIYA, PAHRIYA</t>
  </si>
  <si>
    <t>MANISHKUSHWAHA.VALUE@GMAIL.COM</t>
  </si>
  <si>
    <t>221007</t>
  </si>
  <si>
    <t>NAME::MANISH KUSHWAHA</t>
  </si>
  <si>
    <t>Manjushri Sharma</t>
  </si>
  <si>
    <t>INH000019497</t>
  </si>
  <si>
    <t>B 07 Flat No 704, Palash Parisar Phase 2, Omaxe Hill</t>
  </si>
  <si>
    <t>sharma.manjushri@gmail.com</t>
  </si>
  <si>
    <t>917000627998</t>
  </si>
  <si>
    <t>453331</t>
  </si>
  <si>
    <t>NAME::MANJUSHRI SHARMA</t>
  </si>
  <si>
    <t>Manoj Kumar Kaushik</t>
  </si>
  <si>
    <t>INA000021508</t>
  </si>
  <si>
    <t>Manoj Kaushik</t>
  </si>
  <si>
    <t>Plot 27 Power Green City, Chilhati Tifra Zone, Bilaspur Chilhati</t>
  </si>
  <si>
    <t>manojkaush@gmail.com</t>
  </si>
  <si>
    <t>00919302176601</t>
  </si>
  <si>
    <t>BILASPUR</t>
  </si>
  <si>
    <t>495551</t>
  </si>
  <si>
    <t>NAME::MANOJ KUMAR KAUSHIK</t>
  </si>
  <si>
    <t>Manoj Lodhi</t>
  </si>
  <si>
    <t>INH000027618</t>
  </si>
  <si>
    <t>EWS 525, Ward No. 12, Ram Mandir Ke Pass,, Vikas Nagar Dewas,</t>
  </si>
  <si>
    <t>myresearch0108@gmail.com</t>
  </si>
  <si>
    <t>0007770869382</t>
  </si>
  <si>
    <t>NAME::MANOJ LODHI</t>
  </si>
  <si>
    <t>Manoj Thankamma Sasidharan</t>
  </si>
  <si>
    <t>INA200017077</t>
  </si>
  <si>
    <t>Manoj Sasidharan</t>
  </si>
  <si>
    <t>520, Sasankom, Prasanth Nagar, Ulloor</t>
  </si>
  <si>
    <t>tsmanoj@yahoo.com</t>
  </si>
  <si>
    <t>917012705159</t>
  </si>
  <si>
    <t>Jun 30, 2022</t>
  </si>
  <si>
    <t>NAME::MANOJ THANKAMMA SASIDHARAN</t>
  </si>
  <si>
    <t>Manya Sharma</t>
  </si>
  <si>
    <t>INH000021872</t>
  </si>
  <si>
    <t>House No.255 Gali Siknapan, Ghantaghar,, Hathras</t>
  </si>
  <si>
    <t>sharmamanya468@gmail.com</t>
  </si>
  <si>
    <t>917505799685</t>
  </si>
  <si>
    <t>204101</t>
  </si>
  <si>
    <t>House No.255 Gali Siknapan, Ghantaghar, Hathras</t>
  </si>
  <si>
    <t>NAME::MANYA SHARMA</t>
  </si>
  <si>
    <t>INH000010502</t>
  </si>
  <si>
    <t>708 sector A Pocket B , Vasant Kunj</t>
  </si>
  <si>
    <t>mayank.bansal@gmail.com</t>
  </si>
  <si>
    <t>NAME::MAYANK BANSAL</t>
  </si>
  <si>
    <t>Mayank Hardia</t>
  </si>
  <si>
    <t>INH000014702</t>
  </si>
  <si>
    <t>3/11 VIJAY NAGAR SARKARI SCHOOL K SAMNE</t>
  </si>
  <si>
    <t>mayankhardiya123@gmail.com</t>
  </si>
  <si>
    <t>NAME::MAYANK HARDIA</t>
  </si>
  <si>
    <t>Mayur Satish Samtani</t>
  </si>
  <si>
    <t>INH000027566</t>
  </si>
  <si>
    <t>Mayur Samtani</t>
  </si>
  <si>
    <t>C 102, Pranay Nagar, Borivali West, Vazira Naka</t>
  </si>
  <si>
    <t>mayur_samtani@yahoo.com</t>
  </si>
  <si>
    <t>919769166868</t>
  </si>
  <si>
    <t>NAME::MAYUR SATISH SAMTANI</t>
  </si>
  <si>
    <t>Mehul Pravinbhai Jiyani</t>
  </si>
  <si>
    <t>INH000008428</t>
  </si>
  <si>
    <t>Mehul Jiyani</t>
  </si>
  <si>
    <t>178 - Rachana society, Kapodra char rasta,, Varachha road</t>
  </si>
  <si>
    <t>mehul.jiyani.88@gmail.com</t>
  </si>
  <si>
    <t>May 25, 2021</t>
  </si>
  <si>
    <t>NAME::MEHUL PRAVINBHAI JIYANI</t>
  </si>
  <si>
    <t>Mihirkumar Kanubhai Patel</t>
  </si>
  <si>
    <t>INH000027113</t>
  </si>
  <si>
    <t>Mihirkumar Kanubhai  Patel</t>
  </si>
  <si>
    <t>23, Omkar Bunglows, Opp shivdhara flats</t>
  </si>
  <si>
    <t>infiexce@gmail.com</t>
  </si>
  <si>
    <t>919537346888</t>
  </si>
  <si>
    <t>NAME::MIHIRKUMAR KANUBHAI PATEL</t>
  </si>
  <si>
    <t>Milan Kumar Sahu</t>
  </si>
  <si>
    <t>INA000021100</t>
  </si>
  <si>
    <t>Milan Sahu</t>
  </si>
  <si>
    <t>Flat CG04, Innovative Aquafront, Lake View Road, Doddanekundi, Bengaluru</t>
  </si>
  <si>
    <t>milansahuiara@gmail.com</t>
  </si>
  <si>
    <t>00918310019657</t>
  </si>
  <si>
    <t>NAME::MILAN KUMAR SAHU</t>
  </si>
  <si>
    <t>INH000022710</t>
  </si>
  <si>
    <t>Flat CG04, Innovative Aquafront, Lake View Road, Dod, Doddanekundi</t>
  </si>
  <si>
    <t>milankumarsahu@gmail.com</t>
  </si>
  <si>
    <t>Minal Wagh</t>
  </si>
  <si>
    <t>INA000020350</t>
  </si>
  <si>
    <t>Minal  Wagh</t>
  </si>
  <si>
    <t>A 82 Primus Residences, Vakola, Santacruz East, , Near Grand Hyatt, Mumbai</t>
  </si>
  <si>
    <t>minalwagh3010@gmail.com</t>
  </si>
  <si>
    <t>00919773460890</t>
  </si>
  <si>
    <t>NAME::MINAL WAGH</t>
  </si>
  <si>
    <t>Mita Mehta</t>
  </si>
  <si>
    <t>INH000004884</t>
  </si>
  <si>
    <t>Crispidea stock market training centre, Shop No.4,Riddhi Complex ,Raviratna park main road,Nr.Indira  circle, Rajkot(Gujarat)-360005</t>
  </si>
  <si>
    <t>mitarmehta@gmail.com</t>
  </si>
  <si>
    <t>Jun 13, 2017</t>
  </si>
  <si>
    <t>NAME::MITA MEHTA</t>
  </si>
  <si>
    <t>Mitalm Gauswami</t>
  </si>
  <si>
    <t>INH000010900</t>
  </si>
  <si>
    <t>Mital Gauswami</t>
  </si>
  <si>
    <t>213, shivranjani residency ,bhagvati circle ,kaliabad,bhavnagar</t>
  </si>
  <si>
    <t>mittalgauswami0650@gmail.com</t>
  </si>
  <si>
    <t>360578</t>
  </si>
  <si>
    <t>NAME::MITALM GAUSWAMI</t>
  </si>
  <si>
    <t>Mitesh Rajesh Parekh</t>
  </si>
  <si>
    <t>INH000026840</t>
  </si>
  <si>
    <t>Mitesh Parekh</t>
  </si>
  <si>
    <t>A-707/8, Ekta Terrace, Mahavir Nagar,, Near Kamla Vihar Sports Club, Kandivali West,</t>
  </si>
  <si>
    <t>miteshcc@gmail.com</t>
  </si>
  <si>
    <t>0281220263</t>
  </si>
  <si>
    <t>A-707/8, Ekta Terrace, Mahavir Nagar, Near Kamla Vihar Sports Club, Kandivali West,</t>
  </si>
  <si>
    <t>NAME::MITESH RAJESH PAREKH</t>
  </si>
  <si>
    <t>Miteshkumar A Panchal</t>
  </si>
  <si>
    <t>INH000013004</t>
  </si>
  <si>
    <t>Miteshkumar Panchal</t>
  </si>
  <si>
    <t>201, Jalaram Residency, Near Sardar Vallabhai Statue, Anand, Anand Vallabh Vidyanagar</t>
  </si>
  <si>
    <t>miteshpanchal1981@gmail.com</t>
  </si>
  <si>
    <t>NAME::MITESHKUMAR A PANCHAL</t>
  </si>
  <si>
    <t>Mohanish Sanghavi</t>
  </si>
  <si>
    <t>INH000008172</t>
  </si>
  <si>
    <t>Mohanish Sanghavi, 302 Tibrewalla House, 33Swastik Soc, N.S. Road No. 3, Juhu Scheme,Vile-Parle (W),</t>
  </si>
  <si>
    <t>emails2ms@gmail.com</t>
  </si>
  <si>
    <t>NAME::MOHANISH SANGHAVI</t>
  </si>
  <si>
    <t>Mohd Irshad Gafuli</t>
  </si>
  <si>
    <t>INH000010247</t>
  </si>
  <si>
    <t>D-902, Al-noor Residency, Near Merulaxmi temple, Cozeway Road</t>
  </si>
  <si>
    <t>irshad.gafuli1980@gmail.com</t>
  </si>
  <si>
    <t>NAME::MOHD IRSHAD GAFULI</t>
  </si>
  <si>
    <t>Mohd Kasfur Dhuniyan</t>
  </si>
  <si>
    <t>INH000012829</t>
  </si>
  <si>
    <t>Mohd Kasfur Rahman Dhuniyan</t>
  </si>
  <si>
    <t>Priyadarshani Nagar, Transit Camp, Ramabai Ambedkar Nagar,, Durga Mata Seva Sang, Ghatkopar East, Mumbai</t>
  </si>
  <si>
    <t>kasfurdhuniyan@gmail.com</t>
  </si>
  <si>
    <t>Priyadarshani Nagar, Transit Camp, Ramabai Ambedkar Nagar, Durga Mata Seva Sang, Ghatkopar East, Mumbai</t>
  </si>
  <si>
    <t>NAME::MOHD KASFUR DHUNIYAN</t>
  </si>
  <si>
    <t>Mohd Rizwan</t>
  </si>
  <si>
    <t>INH000020536</t>
  </si>
  <si>
    <t>Mohd  Rizwan</t>
  </si>
  <si>
    <t>Flat No 1E,  1st Floor, Rathi Complex, Tehsil Didwana</t>
  </si>
  <si>
    <t>rizwan.cia@gmail.com</t>
  </si>
  <si>
    <t>919887288832</t>
  </si>
  <si>
    <t>NAGAUR</t>
  </si>
  <si>
    <t>341303</t>
  </si>
  <si>
    <t>May 24, 2025</t>
  </si>
  <si>
    <t>NAME::MOHD RIZWAN</t>
  </si>
  <si>
    <t>Mohit Agrawal</t>
  </si>
  <si>
    <t>INH000011954</t>
  </si>
  <si>
    <t>Mohit  Agrawal</t>
  </si>
  <si>
    <t>SR-TF-03,3rd Floor Shree Siddheshwar Hall Mark, Ajwa Road</t>
  </si>
  <si>
    <t>mohit00852@gmail.com</t>
  </si>
  <si>
    <t>NAME::MOHIT AGRAWAL</t>
  </si>
  <si>
    <t>Mohit Chawla</t>
  </si>
  <si>
    <t>INA000017356</t>
  </si>
  <si>
    <t>MOHIT CHAWLA</t>
  </si>
  <si>
    <t>BJ-116 West shalimar bagh, near goodley public school, shalimar bagh</t>
  </si>
  <si>
    <t>mohit.chawla276@gmail.com</t>
  </si>
  <si>
    <t>919811717876</t>
  </si>
  <si>
    <t>NAME::MOHIT CHAWLA</t>
  </si>
  <si>
    <t>INH000022613</t>
  </si>
  <si>
    <t>1 Floor, SCO 94A, Mandir Wali Gali</t>
  </si>
  <si>
    <t>mkbansal0001@gmail.com</t>
  </si>
  <si>
    <t>919478165660</t>
  </si>
  <si>
    <t>151505</t>
  </si>
  <si>
    <t>NAME::MOHIT KUMAR</t>
  </si>
  <si>
    <t>Monica Vikram Malkani</t>
  </si>
  <si>
    <t>INA200009120</t>
  </si>
  <si>
    <t>Monica Malkani</t>
  </si>
  <si>
    <t>1083 Prestige Jade Pavilion, On Gear School Road</t>
  </si>
  <si>
    <t>mansukhanim@yahoo.com</t>
  </si>
  <si>
    <t>Nov 21, 2017</t>
  </si>
  <si>
    <t>NAME::MONICA VIKRAM MALKANI</t>
  </si>
  <si>
    <t>Mr Dick Hosy Mody</t>
  </si>
  <si>
    <t>INA000007818</t>
  </si>
  <si>
    <t>DICK MODY</t>
  </si>
  <si>
    <t>1-A-704,SALSETTE PARSI CHS, PUMP HOUSE,ANDHERI EAST</t>
  </si>
  <si>
    <t>dickmody@gmail.com</t>
  </si>
  <si>
    <t>NAME::MR DICK HOSY MODY</t>
  </si>
  <si>
    <t>Mr. K Akshay Nayak</t>
  </si>
  <si>
    <t>INA200014672</t>
  </si>
  <si>
    <t>Akshay  Nayak</t>
  </si>
  <si>
    <t>11/14, Embassy Centre, Crescent Road, High Grounds, Bangalore 560001</t>
  </si>
  <si>
    <t>akshayadv93@gmail.com</t>
  </si>
  <si>
    <t>May 22, 2020</t>
  </si>
  <si>
    <t>NAME::MR K AKSHAY NAYAK</t>
  </si>
  <si>
    <t>Mridu Agarwal</t>
  </si>
  <si>
    <t>INA000016153</t>
  </si>
  <si>
    <t>E1207 Oberoi Splendor, Andheri East, Jogeshwari Vikhroli Link Road</t>
  </si>
  <si>
    <t>mridu.goyal@gmail.com</t>
  </si>
  <si>
    <t>Aug 26, 2021</t>
  </si>
  <si>
    <t>NAME::MRIDU AGARWAL</t>
  </si>
  <si>
    <t>Mudit Goyal</t>
  </si>
  <si>
    <t>INH000013022</t>
  </si>
  <si>
    <t>MUDIT GOYAL</t>
  </si>
  <si>
    <t>FLAT NO - 801, TOWER - J, PLOT NO -GC-03K/GH-03, GREATER NOIDA WEST, VVIP HOMES, SECTOR - 16C, NOIDA, GAUTAM BUDDHA NAGAR, UTTAR PRADESH</t>
  </si>
  <si>
    <t>MUDITGOYALTAJ4@GMAIL.COM</t>
  </si>
  <si>
    <t>NAME::MUDIT GOYAL</t>
  </si>
  <si>
    <t>Mudit Madan</t>
  </si>
  <si>
    <t>INA000021395</t>
  </si>
  <si>
    <t>Flat No. 901, The Maa Bhagwati CGHS, Sector 43</t>
  </si>
  <si>
    <t>muditmadan.ia@gmail.com</t>
  </si>
  <si>
    <t>917045575567</t>
  </si>
  <si>
    <t>NAME::MUDIT MADAN</t>
  </si>
  <si>
    <t>N V TARUN GOUTHAM</t>
  </si>
  <si>
    <t>INH000025443</t>
  </si>
  <si>
    <t>N V TARUN  GOUTHAM</t>
  </si>
  <si>
    <t>Ground Floor Plot no 4 Women's Co-op Society,Sagar Society,Road no 2 Banjara Hills</t>
  </si>
  <si>
    <t>tarun.goutham@gmail.com</t>
  </si>
  <si>
    <t>NAME::N V TARUN GOUTHAM</t>
  </si>
  <si>
    <t>NACHIKET PRADIPRAO KHASALE</t>
  </si>
  <si>
    <t>INH000025896</t>
  </si>
  <si>
    <t>NACHIKET KHASALE</t>
  </si>
  <si>
    <t>54, Ward No. 3, Near Ganpati Mandir, Anand Nagar, Uamarsara</t>
  </si>
  <si>
    <t>nachiketkhasale.insights88@gmail.com</t>
  </si>
  <si>
    <t>009699663149</t>
  </si>
  <si>
    <t>YAVATMAL</t>
  </si>
  <si>
    <t>445001</t>
  </si>
  <si>
    <t>NAME::NACHIKET PRADIPRAO KHASALE</t>
  </si>
  <si>
    <t>NAGARAJ V JAHAGIRDAR</t>
  </si>
  <si>
    <t>INH000028389</t>
  </si>
  <si>
    <t>NAGARAJ V  JAHAGIRDAR</t>
  </si>
  <si>
    <t>H No 35, 100 Feet Road Shantnagar Navanagar Hubli</t>
  </si>
  <si>
    <t>nagarajvj1@gmail.com</t>
  </si>
  <si>
    <t>580025</t>
  </si>
  <si>
    <t>NAME::NAGARAJ V JAHAGIRDAR</t>
  </si>
  <si>
    <t>NAINESH V JOSHI</t>
  </si>
  <si>
    <t>INH000023588</t>
  </si>
  <si>
    <t>NAINESH JOSHI</t>
  </si>
  <si>
    <t>A-1402, 14th Floor, Prima Domus, Near Ashtavinayak Chowk, Balewadi, Pune City</t>
  </si>
  <si>
    <t>jonainesh@gmail.com</t>
  </si>
  <si>
    <t>919175939795</t>
  </si>
  <si>
    <t>NAME::NAINESH V JOSHI</t>
  </si>
  <si>
    <t>NANDINEE MANDAR VAIDYA</t>
  </si>
  <si>
    <t>INA000008880</t>
  </si>
  <si>
    <t>NANDINEE VAIDYA</t>
  </si>
  <si>
    <t>B6/9, SARITA VIHAR APT., SINHAGAD ROAD,PARVATI</t>
  </si>
  <si>
    <t>nandineevaidya@yahoo.com</t>
  </si>
  <si>
    <t>Nov 09, 2017</t>
  </si>
  <si>
    <t>NAME::NANDINEE MANDAR VAIDYA</t>
  </si>
  <si>
    <t>NARENDRA BHIMARAM PRAJAPATI</t>
  </si>
  <si>
    <t>INH000007562</t>
  </si>
  <si>
    <t>NARENDRA PRAJAPATI</t>
  </si>
  <si>
    <t>ROOM NO. 18 B.L. RUIA BLDG , KASTURBA ROAD NEAR RUIA HALL  MALAD WEST</t>
  </si>
  <si>
    <t>NAREN314@GMAIL.COM</t>
  </si>
  <si>
    <t>Feb 17, 2020</t>
  </si>
  <si>
    <t>NAME::NARENDRA BHIMARAM PRAJAPATI</t>
  </si>
  <si>
    <t>NAVEEN</t>
  </si>
  <si>
    <t>INH000021854</t>
  </si>
  <si>
    <t>NAVEEN NAVEEN</t>
  </si>
  <si>
    <t>C 301 ANGEL JUPITER, AHINSA KHAND 2 INDIRAPURAM</t>
  </si>
  <si>
    <t>canaveenrajput@gmail.com</t>
  </si>
  <si>
    <t>919810417585</t>
  </si>
  <si>
    <t>NAME::NAVEEN</t>
  </si>
  <si>
    <t>NAVJOT KUMAR</t>
  </si>
  <si>
    <t>INH000017851</t>
  </si>
  <si>
    <t>M 13 IDEAL ENCLAVE, RAJARHAT MAIN ROAD ,NEW TOWN</t>
  </si>
  <si>
    <t>kumarnavjot999@gmail.com</t>
  </si>
  <si>
    <t>700136</t>
  </si>
  <si>
    <t>NAME::NAVJOT KUMAR</t>
  </si>
  <si>
    <t>NEERAJ DEWAN</t>
  </si>
  <si>
    <t>INH000014614</t>
  </si>
  <si>
    <t>Neeraj Dewan</t>
  </si>
  <si>
    <t>478, Hawa Singh Block, Asian Games Village</t>
  </si>
  <si>
    <t>neerajdewan@yahoo.com</t>
  </si>
  <si>
    <t>919810013890</t>
  </si>
  <si>
    <t>Jan 29, 2024</t>
  </si>
  <si>
    <t>NAME::NEERAJ DEWAN</t>
  </si>
  <si>
    <t>NEETESH PATHAK</t>
  </si>
  <si>
    <t>INH000028477</t>
  </si>
  <si>
    <t>STREET NO. 1,DURGA COLONY, BACKSIDE OF HATHRAS SWEET HOUSE BILRAM GATE</t>
  </si>
  <si>
    <t>query.neetesh@gmail.com</t>
  </si>
  <si>
    <t>00009990969356</t>
  </si>
  <si>
    <t>KASGANJ</t>
  </si>
  <si>
    <t>207123</t>
  </si>
  <si>
    <t>NAME::NEETESH PATHAK</t>
  </si>
  <si>
    <t>NIDHI AGARWAL</t>
  </si>
  <si>
    <t>INH000017897</t>
  </si>
  <si>
    <t>Unit 104, 1st Floor, Merlin Chambers, 18 British India Street,</t>
  </si>
  <si>
    <t>agarwalnidhi2804@gmail.com</t>
  </si>
  <si>
    <t>NAME::NIDHI AGARWAL</t>
  </si>
  <si>
    <t>NIKHIL SINGH GANGWAR</t>
  </si>
  <si>
    <t>INH000012801</t>
  </si>
  <si>
    <t>NIKHIL GANGWAR</t>
  </si>
  <si>
    <t>HNO. 149, MEGA DREAM HOMES, MINI BYPASS ROAD</t>
  </si>
  <si>
    <t>nikhilgangwar81@gmail.com</t>
  </si>
  <si>
    <t>NAME::NIKHIL SINGH GANGWAR</t>
  </si>
  <si>
    <t>NIKITA JAYSUKHBHAI SAVALIYA</t>
  </si>
  <si>
    <t>INH000024091</t>
  </si>
  <si>
    <t>NIKITA SAVALIYA</t>
  </si>
  <si>
    <t>142 arjun nagar section ,1 punagam surat395010</t>
  </si>
  <si>
    <t>canikitasavaliya@gmail.com</t>
  </si>
  <si>
    <t>917405863719</t>
  </si>
  <si>
    <t>395010</t>
  </si>
  <si>
    <t>NAME::NIKITA JAYSUKHBHAI SAVALIYA</t>
  </si>
  <si>
    <t>NIMESH RAMESHBHAI HARIYA</t>
  </si>
  <si>
    <t>INH000023427</t>
  </si>
  <si>
    <t>NIMESH HARIYA</t>
  </si>
  <si>
    <t>6TH FLOOR  606, AARYAN WORKSPACE 2, OPP VASUNDHARA SOCIETY, NR PUNESHWAR FLAT, GULBAI TEKRA</t>
  </si>
  <si>
    <t>canimesh.hariya@gmail.com</t>
  </si>
  <si>
    <t>919429001217</t>
  </si>
  <si>
    <t>NAME::NIMESH RAMESHBHAI HARIYA</t>
  </si>
  <si>
    <t>NIRAV DILIP DESAI</t>
  </si>
  <si>
    <t>INH000004440</t>
  </si>
  <si>
    <t>Office No.1, Gokul Horizon, Thakur Village, , Kandivali (E)</t>
  </si>
  <si>
    <t>ndstockstimulator@gmail.com</t>
  </si>
  <si>
    <t>0919820627454</t>
  </si>
  <si>
    <t>Nov 03, 2016</t>
  </si>
  <si>
    <t>NAME::NIRAV DILIP DESAI</t>
  </si>
  <si>
    <t>NIRLEP SHAH</t>
  </si>
  <si>
    <t>INH000010885</t>
  </si>
  <si>
    <t>506, LUXURIA TRADE HUB, DUMAS ROAD, VESU</t>
  </si>
  <si>
    <t>invest.nfs@gmail.com</t>
  </si>
  <si>
    <t>NAME::NIRLEP SHAH</t>
  </si>
  <si>
    <t>NISHANT SHUKLA PROPRIETER of POSA</t>
  </si>
  <si>
    <t>INH000023579</t>
  </si>
  <si>
    <t>NISHANT SHUKLA</t>
  </si>
  <si>
    <t>SHOP NO. M-26ND FLOOR, MAPPLE HIGH STRRET, NARMADAPURAM ROAD , BHOPAL</t>
  </si>
  <si>
    <t>thousandokes@gmail.com</t>
  </si>
  <si>
    <t>916266659514</t>
  </si>
  <si>
    <t>NAME::NISHANT SHUKLA PROPRIETER OF POSA</t>
  </si>
  <si>
    <t>NISHANT YADAV</t>
  </si>
  <si>
    <t>INH000025902</t>
  </si>
  <si>
    <t>A 84C, 121 FT Road, Gaushala Road, Dharam Colony, Krishna Chowk</t>
  </si>
  <si>
    <t>Nishanty1996@gmail.com</t>
  </si>
  <si>
    <t>919899983399</t>
  </si>
  <si>
    <t>NAME::NISHANT YADAV</t>
  </si>
  <si>
    <t>NITESHKUMAR SIDDHRAM SHENDRE</t>
  </si>
  <si>
    <t>INH000015020</t>
  </si>
  <si>
    <t>NITESHKUMAR SHENDRE</t>
  </si>
  <si>
    <t>A/41, PRATIK TENAMENT,, NR INDIA COLONY, BAPUNAGAR</t>
  </si>
  <si>
    <t>nsendre@gmail.com</t>
  </si>
  <si>
    <t>A/41, PRATIK TENAMENT, NR INDIA COLONY, BAPUNAGAR</t>
  </si>
  <si>
    <t>NAME::NITESHKUMAR SIDDHRAM SHENDRE</t>
  </si>
  <si>
    <t>NITILESH ATMARAM PAWASKAR</t>
  </si>
  <si>
    <t>INH000004547</t>
  </si>
  <si>
    <t>NITILESH PAWASKAR</t>
  </si>
  <si>
    <t>SHOPNO102 ARIHANTSPACE CENTER MARUTI MANDIR</t>
  </si>
  <si>
    <t>nitu1pawaskar@gmail.com</t>
  </si>
  <si>
    <t>RATNAGIRI</t>
  </si>
  <si>
    <t>415612</t>
  </si>
  <si>
    <t>Dec 19, 2016</t>
  </si>
  <si>
    <t>NAME::NITILESH ATMARAM PAWASKAR</t>
  </si>
  <si>
    <t>NITIN MULAJIBHAI KANANI</t>
  </si>
  <si>
    <t>INH000024471</t>
  </si>
  <si>
    <t>NITIN KANANI</t>
  </si>
  <si>
    <t>Office No. 1114, RK Empire, 150 Ft Ring Road, Near Mavdi Circle, Rajkot</t>
  </si>
  <si>
    <t>canitinkanani@gmail.com</t>
  </si>
  <si>
    <t>919725477707</t>
  </si>
  <si>
    <t>NAME::NITIN MULAJIBHAI KANANI</t>
  </si>
  <si>
    <t>NITISH CONSUL</t>
  </si>
  <si>
    <t>INA000020642</t>
  </si>
  <si>
    <t>Nitish Consul</t>
  </si>
  <si>
    <t>G-1550, 11th Avenue Gaur City 2, Greater Noida West, Gautam Budhha Nagar,</t>
  </si>
  <si>
    <t>nitishconsul.ria@gmail.com</t>
  </si>
  <si>
    <t>00919873071152</t>
  </si>
  <si>
    <t>NAME::NITISH CONSUL</t>
  </si>
  <si>
    <t>NITISH GOYAL</t>
  </si>
  <si>
    <t>INH000025993</t>
  </si>
  <si>
    <t>8, Green Enclave, Patiala Road, Zirakpur</t>
  </si>
  <si>
    <t>nitishgoyal2008@gmail.com</t>
  </si>
  <si>
    <t>008699021584</t>
  </si>
  <si>
    <t>NAME::NITISH GOYAL</t>
  </si>
  <si>
    <t>Naga Venkata Satyanarayana Rao Adivi</t>
  </si>
  <si>
    <t>INH000010317</t>
  </si>
  <si>
    <t>Naga Venkata Adivi</t>
  </si>
  <si>
    <t>A-704 ,Prithvi Presidio Apartment, Magarpatta Road, Near Suzlon One/ TCS ,Hadapsar, Pune City</t>
  </si>
  <si>
    <t>satya.adivi@gmail.com</t>
  </si>
  <si>
    <t>NAME::NAGA VENKATA SATYANARAYANA RAO ADIVI</t>
  </si>
  <si>
    <t>Nancy Gupta</t>
  </si>
  <si>
    <t>INH000017514</t>
  </si>
  <si>
    <t>20/1,Shubham Garden ke pass,Baadi mohalla,siddhsen marg ,gali no 3,ujjain</t>
  </si>
  <si>
    <t>guptanancy672@gmail.com</t>
  </si>
  <si>
    <t>NAME::NANCY GUPTA</t>
  </si>
  <si>
    <t>Narasimha Krishnakumar</t>
  </si>
  <si>
    <t>INA000020226</t>
  </si>
  <si>
    <t>No 174/27 Gauthama Kuteera 4Th Main Road, Vyalikaval Bangalore</t>
  </si>
  <si>
    <t>mknarasimha@gmail.com</t>
  </si>
  <si>
    <t>918050700233</t>
  </si>
  <si>
    <t>NAME::NARASIMHA KRISHNAKUMAR</t>
  </si>
  <si>
    <t>Narendar Lokwani</t>
  </si>
  <si>
    <t>INH000017842</t>
  </si>
  <si>
    <t>G206, Balaji Elegance, Vivekananda Road, Whitefield</t>
  </si>
  <si>
    <t>nlokwani@yahoo.com</t>
  </si>
  <si>
    <t>NAME::NARENDAR LOKWANI</t>
  </si>
  <si>
    <t>Narendran</t>
  </si>
  <si>
    <t>INA000020615</t>
  </si>
  <si>
    <t>Narendran Venkataramalingam</t>
  </si>
  <si>
    <t>Flat No 1203, Wing B, Utopia Gold,, Gate No 129, Borhadewadi, Moshi</t>
  </si>
  <si>
    <t>finvestinn@gmail.com</t>
  </si>
  <si>
    <t>917995556825</t>
  </si>
  <si>
    <t>412105</t>
  </si>
  <si>
    <t>903, Floor-9, Wing-C2, Woodsville Phase-1, Pimpri Chinchwad, Moshi</t>
  </si>
  <si>
    <t>NAME::NARENDRAN</t>
  </si>
  <si>
    <t>Naresh Gidwani</t>
  </si>
  <si>
    <t>INH000010797</t>
  </si>
  <si>
    <t>NARESH GIDWANI</t>
  </si>
  <si>
    <t>511C, Kennyz Homes, Fortune City, Jandiali,Ludhiana</t>
  </si>
  <si>
    <t>october29.naresh@yahoo.com</t>
  </si>
  <si>
    <t>141112</t>
  </si>
  <si>
    <t>NAME::NARESH GIDWANI</t>
  </si>
  <si>
    <t>Naveen Kumar Choudhary</t>
  </si>
  <si>
    <t>INH000011088</t>
  </si>
  <si>
    <t>S/O MOHAN LAL, SEWA</t>
  </si>
  <si>
    <t>reg.analyst.naveenkumar@gmail.com</t>
  </si>
  <si>
    <t>332041</t>
  </si>
  <si>
    <t>NAME::NAVEEN KUMAR CHOUDHARY</t>
  </si>
  <si>
    <t>Navneet Sharma</t>
  </si>
  <si>
    <t>INA000019691</t>
  </si>
  <si>
    <t>House no. 547/1 sector C Sainik Colony, Jammu near Street restaurant, Jammu, Jammu and Kashmir</t>
  </si>
  <si>
    <t>navneet.sharma22220@gmail.com</t>
  </si>
  <si>
    <t>919811022220</t>
  </si>
  <si>
    <t>180011</t>
  </si>
  <si>
    <t>House no. 113, Street no. 11, Upper Laxmi Nagar, Sarwal, Jammu, Jammu and Kashmir</t>
  </si>
  <si>
    <t>180005</t>
  </si>
  <si>
    <t>Nov 13, 2024</t>
  </si>
  <si>
    <t>NAME::NAVNEET SHARMA</t>
  </si>
  <si>
    <t>Neel Pankaj Thakkar</t>
  </si>
  <si>
    <t>INH000015473</t>
  </si>
  <si>
    <t>Neel Thakkar</t>
  </si>
  <si>
    <t>Aruneel, Behind Hotel Surbhi, Amul Dairy Road, Near Anupam Flats, Anand Anand</t>
  </si>
  <si>
    <t>neelpthakkar1407@gmail.com</t>
  </si>
  <si>
    <t>Mar 15, 2024</t>
  </si>
  <si>
    <t>NAME::NEEL PANKAJ THAKKAR</t>
  </si>
  <si>
    <t>Neelesh Raghuwanshi</t>
  </si>
  <si>
    <t>INH000026673</t>
  </si>
  <si>
    <t>Koskarpagram Koskarpa</t>
  </si>
  <si>
    <t>neelraghu17@gmail.com</t>
  </si>
  <si>
    <t>008982368877</t>
  </si>
  <si>
    <t>461990</t>
  </si>
  <si>
    <t>NAME::NEELESH RAGHUWANSHI</t>
  </si>
  <si>
    <t>Neeraj Gupta</t>
  </si>
  <si>
    <t>INH000006022</t>
  </si>
  <si>
    <t>602, Tower 2, Gera Trinity Towers, Grant Road, Kharadi</t>
  </si>
  <si>
    <t>neeraj.manit@gmail.com</t>
  </si>
  <si>
    <t>NAME::NEERAJ GUPTA</t>
  </si>
  <si>
    <t>Neeraj Kumar</t>
  </si>
  <si>
    <t>INA300011885</t>
  </si>
  <si>
    <t>S/O Rajendra Prasad, Q/100, Road No.10, Magadh Colony</t>
  </si>
  <si>
    <t>k.neeraj07@gmail.com</t>
  </si>
  <si>
    <t>823001</t>
  </si>
  <si>
    <t>House no.138, 2nd Floor, 19th A Cross, 9th Main, HSR Layout, Sector-7</t>
  </si>
  <si>
    <t>NAME::NEERAJ KUMAR</t>
  </si>
  <si>
    <t>Neeraj Shah</t>
  </si>
  <si>
    <t>INH000026187</t>
  </si>
  <si>
    <t>WZ-3-A/62, (F.F), Plot No-62, Vishnu Garden, Extn No-III, Block-A, Near Guru Dawara</t>
  </si>
  <si>
    <t>neerajshah1010@gmail.com</t>
  </si>
  <si>
    <t>007827748896</t>
  </si>
  <si>
    <t>NAME::NEERAJ SHAH</t>
  </si>
  <si>
    <t>Neeraj Vasudevan</t>
  </si>
  <si>
    <t>INH000022534</t>
  </si>
  <si>
    <t>Neeraj  Vasudevan</t>
  </si>
  <si>
    <t>No.62, Anizham, Aiswarya Nagar, East Vennakkara, Nurani P.O, Palakkad</t>
  </si>
  <si>
    <t>neeraj.v163@gmail.com</t>
  </si>
  <si>
    <t>919633368806</t>
  </si>
  <si>
    <t>678004</t>
  </si>
  <si>
    <t>NAME::NEERAJ VASUDEVAN</t>
  </si>
  <si>
    <t>Neha Dogra</t>
  </si>
  <si>
    <t>INH000010195</t>
  </si>
  <si>
    <t>NEHA DOGRA</t>
  </si>
  <si>
    <t>House No. - 311, GK Estate, Jyoti Colony, Mundian Kalan</t>
  </si>
  <si>
    <t>nehasharma66689@gmail.com</t>
  </si>
  <si>
    <t>141015</t>
  </si>
  <si>
    <t>NAME::NEHA DOGRA</t>
  </si>
  <si>
    <t>Neha Goel</t>
  </si>
  <si>
    <t>INA100010970</t>
  </si>
  <si>
    <t>Neha  Goel</t>
  </si>
  <si>
    <t>E-405 SPS Residency,Vaibhav Khand, Indrapuram Shipra Sun City</t>
  </si>
  <si>
    <t>neha29goel1980@gmail.com</t>
  </si>
  <si>
    <t>NAME::NEHA GOEL</t>
  </si>
  <si>
    <t>Nemesh Pandey</t>
  </si>
  <si>
    <t>INH000018674</t>
  </si>
  <si>
    <t>R9 218 AASHIRWAD VALLEY, BODRI,, PO CHAKARBHATA CAMP</t>
  </si>
  <si>
    <t>nemeshpandey@gmail.com</t>
  </si>
  <si>
    <t>0007752463443</t>
  </si>
  <si>
    <t>495220</t>
  </si>
  <si>
    <t>R9 218 AASHIRWAD VALLEY, BODRI, PO CHAKARBHATA CAMP</t>
  </si>
  <si>
    <t>NAME::NEMESH PANDEY</t>
  </si>
  <si>
    <t>Neural Bahn</t>
  </si>
  <si>
    <t>INH000018160</t>
  </si>
  <si>
    <t>Aaron Varghese</t>
  </si>
  <si>
    <t>PLAVILAYIL HOUSE, MANAKALA PO ADOOR</t>
  </si>
  <si>
    <t>vargheseaaron@gmail.com</t>
  </si>
  <si>
    <t>691551</t>
  </si>
  <si>
    <t>NAME::NEURAL BAHN</t>
  </si>
  <si>
    <t>Nidhi Chokhani</t>
  </si>
  <si>
    <t>INH000022330</t>
  </si>
  <si>
    <t>43, 11th Floor, IRIS, GD Somani Marg, Cuffe Parade</t>
  </si>
  <si>
    <t>cs.nidhichokhani@gmail.com</t>
  </si>
  <si>
    <t>9102222187890</t>
  </si>
  <si>
    <t>NAME::NIDHI CHOKHANI</t>
  </si>
  <si>
    <t>Nikhil Badaya</t>
  </si>
  <si>
    <t>INH000020192</t>
  </si>
  <si>
    <t>80 A KASTURBA NAGAR GOUTAM MARG , AJMER ROAD JAIPUR</t>
  </si>
  <si>
    <t>samridhicapital.in@gmail.com</t>
  </si>
  <si>
    <t>919828462999</t>
  </si>
  <si>
    <t>NAME::NIKHIL BADAYA</t>
  </si>
  <si>
    <t>Nikhil Bharwani</t>
  </si>
  <si>
    <t>INH000026886</t>
  </si>
  <si>
    <t>108, VIDHYARTHI MARKET, GOVIND NAGAR</t>
  </si>
  <si>
    <t>nbharwani10@gmail.com</t>
  </si>
  <si>
    <t>0007071824842</t>
  </si>
  <si>
    <t>NAME::NIKHIL BHARWANI</t>
  </si>
  <si>
    <t>Nikhil Dayanand Baljekar</t>
  </si>
  <si>
    <t>INH000009001</t>
  </si>
  <si>
    <t>Nikhil Baljekar</t>
  </si>
  <si>
    <t>704, Vikas Apartment, C G Road, Chembur East, Next to Movie Tone Cinema</t>
  </si>
  <si>
    <t>nbaljekar6@gmail.com</t>
  </si>
  <si>
    <t>919167046789</t>
  </si>
  <si>
    <t>400074</t>
  </si>
  <si>
    <t>NAME::NIKHIL DAYANAND BALJEKAR</t>
  </si>
  <si>
    <t>Nikita Jaiswal</t>
  </si>
  <si>
    <t>INH000016843</t>
  </si>
  <si>
    <t>Aadarsh Nagar colony Manduwadih Varanasi.</t>
  </si>
  <si>
    <t>nikitajaiswal684@gmail.com</t>
  </si>
  <si>
    <t>221103</t>
  </si>
  <si>
    <t>NAME::NIKITA JAISWAL</t>
  </si>
  <si>
    <t>Nikita Shah Roplekar</t>
  </si>
  <si>
    <t>INH000014979</t>
  </si>
  <si>
    <t>Flat No. 1001, Fortaleza Society, Salva Vida Building, Central Avenue Road, Kalyani Nagar, Opposite Carnival Cinemas</t>
  </si>
  <si>
    <t>nikitashahroplekar@yahoo.in</t>
  </si>
  <si>
    <t>Feb 12, 2024</t>
  </si>
  <si>
    <t>NAME::NIKITA SHAH ROPLEKAR</t>
  </si>
  <si>
    <t>Nikkhiel Nerkaar</t>
  </si>
  <si>
    <t>INA000022677</t>
  </si>
  <si>
    <t>C-505, Gini Bellissimo, Sv No 22, Dhanori,</t>
  </si>
  <si>
    <t>nikkhiel.ria@gmail.com</t>
  </si>
  <si>
    <t>00919764873155</t>
  </si>
  <si>
    <t>NAME::NIKKHIEL NERKAAR</t>
  </si>
  <si>
    <t>Nilesh Sarda</t>
  </si>
  <si>
    <t>INH000014711</t>
  </si>
  <si>
    <t>802 A WING FLORA , HIRANANDANI ESTATE GHODBUNDER ROAD PATLIPADA</t>
  </si>
  <si>
    <t>moneymint2006@yahoo.in</t>
  </si>
  <si>
    <t>0919892466028</t>
  </si>
  <si>
    <t>NAME::NILESH SARDA</t>
  </si>
  <si>
    <t>Nimesh Rajendra Thaker</t>
  </si>
  <si>
    <t>INH000005874</t>
  </si>
  <si>
    <t>Nimesh Thaker</t>
  </si>
  <si>
    <t>SB8indraprasth Complex, B wing, Near Inox Cinema Race Course road, Elora Park</t>
  </si>
  <si>
    <t>nimesh_thaker@yahoo.co.in</t>
  </si>
  <si>
    <t>Apr 30, 2018</t>
  </si>
  <si>
    <t>NAME::NIMESH RAJENDRA THAKER</t>
  </si>
  <si>
    <t>INA000019336</t>
  </si>
  <si>
    <t>E1001, Purva Westend, Garvebhavi Palya,, Kudlu Gate, Hosur Road</t>
  </si>
  <si>
    <t>nirgoyal@yahoo.co.in</t>
  </si>
  <si>
    <t>919886969451</t>
  </si>
  <si>
    <t>E1001, Purva Westend, Garvebhavi Palya, Kudlu Gate, Hosur Road</t>
  </si>
  <si>
    <t>NAME::NIRANJAN GOYAL</t>
  </si>
  <si>
    <t>Nischal Santosh Jain</t>
  </si>
  <si>
    <t>INA000016506</t>
  </si>
  <si>
    <t>Nischal  Jain</t>
  </si>
  <si>
    <t>C 404, Basil, Green Groves, Baif road,, Behind Moze college, Wagholi</t>
  </si>
  <si>
    <t>nischaljain@hotmail.co.in</t>
  </si>
  <si>
    <t>C 404, Basil, Green Groves, Baif road, Behind Moze college, Wagholi</t>
  </si>
  <si>
    <t>hotmail.co.in</t>
  </si>
  <si>
    <t>NAME::NISCHAL SANTOSH JAIN</t>
  </si>
  <si>
    <t>Nishant Anil Tathe</t>
  </si>
  <si>
    <t>INH000019877</t>
  </si>
  <si>
    <t>Nishant Tathe</t>
  </si>
  <si>
    <t>At Post Saykheda, Tq  Kelapur, Dist  Yavatmal</t>
  </si>
  <si>
    <t>nishtathe@gmail.com</t>
  </si>
  <si>
    <t>917276131914</t>
  </si>
  <si>
    <t>NAME::NISHANT ANIL TATHE</t>
  </si>
  <si>
    <t>Nitesh Kumar</t>
  </si>
  <si>
    <t>INH000024684</t>
  </si>
  <si>
    <t>Plot No 16A First Floor, Right Side, Block R3 a3, New Sainik Vihar, Mohan Garden, Razapur Khurd, Uttam Nagar</t>
  </si>
  <si>
    <t>investforever898@gmail.com</t>
  </si>
  <si>
    <t>918860540501</t>
  </si>
  <si>
    <t>NAME::NITESH KUMAR</t>
  </si>
  <si>
    <t>Nitin Jain</t>
  </si>
  <si>
    <t>INH000010399</t>
  </si>
  <si>
    <t>Hno. 433, Sector 5</t>
  </si>
  <si>
    <t>nitin05@gmail.com</t>
  </si>
  <si>
    <t>NAME::NITIN JAIN</t>
  </si>
  <si>
    <t>INH000014128</t>
  </si>
  <si>
    <t>C-404, Jijai Complex, , Survey 67/4, Ghot Camp</t>
  </si>
  <si>
    <t>sharmacanitin@gmail.com</t>
  </si>
  <si>
    <t>410208</t>
  </si>
  <si>
    <t>NAME::NITIN SHARMA</t>
  </si>
  <si>
    <t>Nooresh Merani</t>
  </si>
  <si>
    <t>INH000008075</t>
  </si>
  <si>
    <t>Nooresh  Merani</t>
  </si>
  <si>
    <t>702, 7th Floor, Om Viraj CHS Limited, Paliram Road, Off. V P Road, Behind Bombay Mercantile Bank, Andheri West</t>
  </si>
  <si>
    <t>noorrock2002@gmail.com</t>
  </si>
  <si>
    <t>919819225396</t>
  </si>
  <si>
    <t>NAME::NOORESH MERANI</t>
  </si>
  <si>
    <t>OJAS AGRAWAL</t>
  </si>
  <si>
    <t>INA000022048</t>
  </si>
  <si>
    <t>Villa 76, Rama Greens, Amlidih, Opposite Las Vistas, Atal Expressway,</t>
  </si>
  <si>
    <t>ojas2811@gmail.com</t>
  </si>
  <si>
    <t>00919009663333</t>
  </si>
  <si>
    <t>NAME::OJAS AGRAWAL</t>
  </si>
  <si>
    <t>Om Nitin Patil</t>
  </si>
  <si>
    <t>INH000024587</t>
  </si>
  <si>
    <t>Shop No.614 , Roongta Majestic Apartment</t>
  </si>
  <si>
    <t>omnitin2000@gmail.com</t>
  </si>
  <si>
    <t>919623362596</t>
  </si>
  <si>
    <t>NAME::OM NITIN PATIL</t>
  </si>
  <si>
    <t>Omkar Balkrishna Joshi</t>
  </si>
  <si>
    <t>INH000009205</t>
  </si>
  <si>
    <t>Omkar Joshi</t>
  </si>
  <si>
    <t>SADARBAZAR, S. NO 410/56 , F. NO.301 MALATI NIKETAN</t>
  </si>
  <si>
    <t>omkarj@gmail.com</t>
  </si>
  <si>
    <t>SATARA</t>
  </si>
  <si>
    <t>415002</t>
  </si>
  <si>
    <t>NAME::OMKAR BALKRISHNA JOSHI</t>
  </si>
  <si>
    <t>Omkar Devram Bhalsing</t>
  </si>
  <si>
    <t>INH000025142</t>
  </si>
  <si>
    <t>Omkar Bhalsing</t>
  </si>
  <si>
    <t>VTC Walki PO Walki Sub District nagar</t>
  </si>
  <si>
    <t>Omkarbhalsing2611@gmail.com</t>
  </si>
  <si>
    <t>414006</t>
  </si>
  <si>
    <t>NAME::OMKAR DEVRAM BHALSING</t>
  </si>
  <si>
    <t>Omkar Thakur</t>
  </si>
  <si>
    <t>INH000017532</t>
  </si>
  <si>
    <t>B-14 Guru Prerna Society, Near Vitthal Mandir, Kopri Gaon</t>
  </si>
  <si>
    <t>omkarthakur477@gmail.com</t>
  </si>
  <si>
    <t>400603</t>
  </si>
  <si>
    <t>Office No. 308, Lodha Supremus 2 Wagle Estate Thane West</t>
  </si>
  <si>
    <t>NAME::OMKAR THAKUR</t>
  </si>
  <si>
    <t>One Market Signal</t>
  </si>
  <si>
    <t>INH000019044</t>
  </si>
  <si>
    <t>Rohit Yadav</t>
  </si>
  <si>
    <t>9 10 Jawahar Nagar</t>
  </si>
  <si>
    <t>rohityadavadvis@gmail.com</t>
  </si>
  <si>
    <t>008859505404</t>
  </si>
  <si>
    <t>Dec 12, 2024</t>
  </si>
  <si>
    <t>NAME::ONE MARKET SIGNAL</t>
  </si>
  <si>
    <t>P V  MURALI KRISHNA</t>
  </si>
  <si>
    <t>INH200005115</t>
  </si>
  <si>
    <t>PUPPALA VENKATA  KRISHNA</t>
  </si>
  <si>
    <t>H.No. 12 13 1274, B 403, Tarnaka,</t>
  </si>
  <si>
    <t>krishnapvm@gmail.com</t>
  </si>
  <si>
    <t>919246802188</t>
  </si>
  <si>
    <t>500017</t>
  </si>
  <si>
    <t>Aug 17, 2017</t>
  </si>
  <si>
    <t>NAME::P V MURALI KRISHNA</t>
  </si>
  <si>
    <t>PALAK VIKAS JAIN</t>
  </si>
  <si>
    <t>INH000017718</t>
  </si>
  <si>
    <t>PALAK JAIN</t>
  </si>
  <si>
    <t>Flat No A33,28, 2nd Floor, Sumangal, C H S, C S Road, Anand Nagar, Near Vijaya Bank</t>
  </si>
  <si>
    <t>jainpalak617@gmail.com</t>
  </si>
  <si>
    <t>NAME::PALAK VIKAS JAIN</t>
  </si>
  <si>
    <t>PANDIKUMAR M P</t>
  </si>
  <si>
    <t>INH000024888</t>
  </si>
  <si>
    <t>PandiKumar M P</t>
  </si>
  <si>
    <t>2 / First Floor  Balaji Avenue 2 Street ,, Thirumalai Pillai Road , T Nagar chennai</t>
  </si>
  <si>
    <t>rajpanikumar@gmail.com</t>
  </si>
  <si>
    <t>919597185887</t>
  </si>
  <si>
    <t>NAME::PANDIKUMAR M P</t>
  </si>
  <si>
    <t>PANKAJ GARG</t>
  </si>
  <si>
    <t>INH000023481</t>
  </si>
  <si>
    <t>Regus, Office no 554, PPR Mall, 5th Floor, Mithapur, Road, Ravindra Nagar Phase2, Urban Estate Phase II</t>
  </si>
  <si>
    <t>pankajgarg1127@gmail.com</t>
  </si>
  <si>
    <t>919115775111</t>
  </si>
  <si>
    <t>144011</t>
  </si>
  <si>
    <t>NAME::PANKAJ GARG</t>
  </si>
  <si>
    <t>PANKAJ GUPTA</t>
  </si>
  <si>
    <t>INH100003043</t>
  </si>
  <si>
    <t>44, SAHARANPUR ROAD, DEHRADUN</t>
  </si>
  <si>
    <t>afspl12@gmail.com</t>
  </si>
  <si>
    <t>248001</t>
  </si>
  <si>
    <t>NAME::PANKAJ GUPTA</t>
  </si>
  <si>
    <t>PANKAJ SINGH</t>
  </si>
  <si>
    <t>INH200008644</t>
  </si>
  <si>
    <t>711, Embassy Pristine, 6th Main, Iblur Village, , Bellandur, Bangalore South, PO HSR Layout,</t>
  </si>
  <si>
    <t>singh.pankaj.78@gmail.com</t>
  </si>
  <si>
    <t>NAME::PANKAJ SINGH</t>
  </si>
  <si>
    <t>PARAG S SUMARIA</t>
  </si>
  <si>
    <t>INH000010937</t>
  </si>
  <si>
    <t>PARAG SUMARIA</t>
  </si>
  <si>
    <t>55 DIGVIJAY PLOT, NARENDRA NIVAS</t>
  </si>
  <si>
    <t>caparagsumaria@gmail.com</t>
  </si>
  <si>
    <t>NAME::PARAG S SUMARIA</t>
  </si>
  <si>
    <t>PARAS V. LAKHANI</t>
  </si>
  <si>
    <t>INA000017019</t>
  </si>
  <si>
    <t>PARAS LAKHANI</t>
  </si>
  <si>
    <t>263/A, 16, MEHTA BLDG, L.N.ROAD, MATUNGA C.R</t>
  </si>
  <si>
    <t>paraslakhani74@gmail.com</t>
  </si>
  <si>
    <t>NAME::PARAS V LAKHANI</t>
  </si>
  <si>
    <t>PARASURAMA PRAVEEN M</t>
  </si>
  <si>
    <t>INA000022279</t>
  </si>
  <si>
    <t>Parasurama Praveen M</t>
  </si>
  <si>
    <t>Site No 95, Annai Indhira Nagar, IOB Colony</t>
  </si>
  <si>
    <t>parasuramapraveen99@gmail.com</t>
  </si>
  <si>
    <t>000919677333730</t>
  </si>
  <si>
    <t>641046</t>
  </si>
  <si>
    <t>NAME::PARASURAMA PRAVEEN M</t>
  </si>
  <si>
    <t>PAREKH JAYKUMAR BIPINCHANDRA</t>
  </si>
  <si>
    <t>INH000024499</t>
  </si>
  <si>
    <t>Parekh Bipinchandra</t>
  </si>
  <si>
    <t>OfficeNoH44 , 2nd Floor TowerB ,Bhagyoday Co Op Ho Society , Akshardip Complex Shastri Nagar , Bhavnagar</t>
  </si>
  <si>
    <t>jayparekh143@gmail.com</t>
  </si>
  <si>
    <t>Dec 29, 2025</t>
  </si>
  <si>
    <t>NAME::PAREKH JAYKUMAR BIPINCHANDRA</t>
  </si>
  <si>
    <t>PARESH</t>
  </si>
  <si>
    <t>INH000004592</t>
  </si>
  <si>
    <t>PARESH SHAH</t>
  </si>
  <si>
    <t>B-401 JYOTI PLAZA 4TH FLOOR, S.V. ROAD , NEXT TO DENA BANK, KANDIVALI -WEST</t>
  </si>
  <si>
    <t>atpareshshah@yahoo.com</t>
  </si>
  <si>
    <t>Feb 16, 2017</t>
  </si>
  <si>
    <t>NAME::PARESH</t>
  </si>
  <si>
    <t>PARESH GORDHANDAS GANJWALA</t>
  </si>
  <si>
    <t>INH000000750</t>
  </si>
  <si>
    <t>pareshgordhandas@yahoo.co.in</t>
  </si>
  <si>
    <t>NAME::PARESH GORDHANDAS GANJWALA</t>
  </si>
  <si>
    <t>PARESH RAM DESAI</t>
  </si>
  <si>
    <t>INH000028042</t>
  </si>
  <si>
    <t>PARESH DESAI</t>
  </si>
  <si>
    <t>1303 BLDG No 2, C Wing Prathmesh Residency S. No 219, DADA BHAI RD, TPS II,Near Bhavans School, Andheri West</t>
  </si>
  <si>
    <t>pareshrd@gmail.com</t>
  </si>
  <si>
    <t>009820159396</t>
  </si>
  <si>
    <t>NAME::PARESH RAM DESAI</t>
  </si>
  <si>
    <t>PARSHURAM DASHRATH DESAI</t>
  </si>
  <si>
    <t>INH000019415</t>
  </si>
  <si>
    <t>H No 540 2, Near Sai Baba Temple, New Veddem,, VTC Vasco Da Gama, PO Goa Panji, South Goa,</t>
  </si>
  <si>
    <t>parashuramdesai.ra@gmail.com</t>
  </si>
  <si>
    <t>919405732104</t>
  </si>
  <si>
    <t>403802</t>
  </si>
  <si>
    <t>H No 540 2, Near Sai Baba Temple, New Veddem, VTC Vasco Da Gama, PO Goa Panji, South Goa,</t>
  </si>
  <si>
    <t>NAME::PARSHURAM DASHRATH DESAI</t>
  </si>
  <si>
    <t>PARTH SUNIL SHAH</t>
  </si>
  <si>
    <t>INH000014234</t>
  </si>
  <si>
    <t>PARTH SHAH</t>
  </si>
  <si>
    <t>1536, Vaniya Vas, Near Bardolpura Sarkari Chora</t>
  </si>
  <si>
    <t>parth.shah1536@gmail.com</t>
  </si>
  <si>
    <t>NAME::PARTH SUNIL SHAH</t>
  </si>
  <si>
    <t>PAWAN KUMAR</t>
  </si>
  <si>
    <t>INA000017602</t>
  </si>
  <si>
    <t>DDA FLAT NO. - 2120, 3RD FLOOR, SECTOR-C, POCKET-2, VASANT KUNJ,, SOUTH WEST, NEW DELHI 110070</t>
  </si>
  <si>
    <t>pawanvaidya@gmail.com</t>
  </si>
  <si>
    <t>02291123456789</t>
  </si>
  <si>
    <t>DDA FLAT NO. - 2120, 3RD FLOOR, SECTOR-C, POCKET-2, VASANT KUNJ, SOUTH WEST, NEW DELHI 110070</t>
  </si>
  <si>
    <t>NAME::PAWAN KUMAR</t>
  </si>
  <si>
    <t>PAWAN MAHESHWARI</t>
  </si>
  <si>
    <t>INH000012944</t>
  </si>
  <si>
    <t>308, kanaram nagar , vijaybari path no 6 sikar road</t>
  </si>
  <si>
    <t>pawan.maheshwari@hotmail.com</t>
  </si>
  <si>
    <t>NAME::PAWAN MAHESHWARI</t>
  </si>
  <si>
    <t>PAWANDEEP SINGH BHATIA</t>
  </si>
  <si>
    <t>INH000011033</t>
  </si>
  <si>
    <t>PAWANDEEP BHATIA</t>
  </si>
  <si>
    <t>201 B, PRIME ROSE CHS., LOKHANDWALA COMPLEX, ANDHERI WEST</t>
  </si>
  <si>
    <t>psbhatia87@gmail.com</t>
  </si>
  <si>
    <t>919820247197</t>
  </si>
  <si>
    <t>NAME::PAWANDEEP SINGH BHATIA</t>
  </si>
  <si>
    <t>PB Shruti</t>
  </si>
  <si>
    <t>INH000008358</t>
  </si>
  <si>
    <t>Shruti PB</t>
  </si>
  <si>
    <t>F408,CASAGRAND BOULEVARD,CHIKKAGUBBI, BIDARAHALLIHOBLI</t>
  </si>
  <si>
    <t>shruti.pb14@gmail.com</t>
  </si>
  <si>
    <t>NAME::PB SHRUTI</t>
  </si>
  <si>
    <t>PIYUSH PAL</t>
  </si>
  <si>
    <t>INH000026512</t>
  </si>
  <si>
    <t>PIYUSH  PAL</t>
  </si>
  <si>
    <t>MIG 1/793, AMDI NAGAR, HUDCO, BHILAI</t>
  </si>
  <si>
    <t>infeelstrade@gmail.com</t>
  </si>
  <si>
    <t>009183858987</t>
  </si>
  <si>
    <t>NAME::PIYUSH PAL</t>
  </si>
  <si>
    <t>PIYUSH SARAWAGI</t>
  </si>
  <si>
    <t>INA000015491</t>
  </si>
  <si>
    <t>Bunglow no. 5, Jay Jalaram Society, Piplod</t>
  </si>
  <si>
    <t>piyushsarawagi1996@gmail.com</t>
  </si>
  <si>
    <t>Nov 24, 2020</t>
  </si>
  <si>
    <t>NAME::PIYUSH SARAWAGI</t>
  </si>
  <si>
    <t>PIYUSH VIRMANI</t>
  </si>
  <si>
    <t>INH000016463</t>
  </si>
  <si>
    <t>Piyush Virmani</t>
  </si>
  <si>
    <t>H No 520 Sector 14, Rohtak</t>
  </si>
  <si>
    <t>p.virmani28@gmail.com</t>
  </si>
  <si>
    <t>917206160456</t>
  </si>
  <si>
    <t>ROHTAK</t>
  </si>
  <si>
    <t>124001</t>
  </si>
  <si>
    <t>NAME::PIYUSH VIRMANI</t>
  </si>
  <si>
    <t>PRABHAT MITTAL</t>
  </si>
  <si>
    <t>INH000001915</t>
  </si>
  <si>
    <t>HIG 102, NARAMADA APARTMENT,, AAKRITI ENCLAVI, TRILANGA,</t>
  </si>
  <si>
    <t>prabhatmittal1976@gmail.com</t>
  </si>
  <si>
    <t>919425004153</t>
  </si>
  <si>
    <t>HIG 102, NARAMADA APARTMENT, AAKRITI ENCLAVI, TRILANGA,</t>
  </si>
  <si>
    <t>Oct 12, 2015</t>
  </si>
  <si>
    <t>NAME::PRABHAT MITTAL</t>
  </si>
  <si>
    <t>PRADEEP CARPENTER</t>
  </si>
  <si>
    <t>INH000019309</t>
  </si>
  <si>
    <t>364, Shreekrishn Enclave, Panchderiya,</t>
  </si>
  <si>
    <t>rapradeepcarpenter@gmail.com</t>
  </si>
  <si>
    <t>917000452798</t>
  </si>
  <si>
    <t>453551</t>
  </si>
  <si>
    <t>NAME::PRADEEP CARPENTER</t>
  </si>
  <si>
    <t>PRADYUT PATNAIK</t>
  </si>
  <si>
    <t>INH000001238</t>
  </si>
  <si>
    <t>B-904, PRESIDENT CO. OP. HOS, TULSI GAGAN, PLOT NO ? 38 &amp; 39, SECTOR -21, KHARGHAR</t>
  </si>
  <si>
    <t>pradyutpatnaik@gmail.com</t>
  </si>
  <si>
    <t>982005339</t>
  </si>
  <si>
    <t>B-904, President Co. Op. Hos, Tulsi Gagan, Plot No ? 38 &amp; 39, Sector -21, Kharghar</t>
  </si>
  <si>
    <t>NAME::PRADYUT PATNAIK</t>
  </si>
  <si>
    <t>PRAJAPATI PAVAN JITENDRABHAI</t>
  </si>
  <si>
    <t>INH000025416</t>
  </si>
  <si>
    <t>PRAJAPATI PAVAN</t>
  </si>
  <si>
    <t>R-503, Ajibapa Lakeview, Nirant Chokdi, Vastral</t>
  </si>
  <si>
    <t>pavan.rapidsms@gmail.com</t>
  </si>
  <si>
    <t>918758396016</t>
  </si>
  <si>
    <t>NAME::PRAJAPATI PAVAN JITENDRABHAI</t>
  </si>
  <si>
    <t>PRAKASH CHANDRA PRAHARAJ</t>
  </si>
  <si>
    <t>INA000000045</t>
  </si>
  <si>
    <t>Prakash Chandra Praharaj</t>
  </si>
  <si>
    <t>219,Skylark Building,Sector 11,Near Railway station(West), CBD Belapur, Navi Mumbai.</t>
  </si>
  <si>
    <t>Prakash.praharaj@gmail.com</t>
  </si>
  <si>
    <t>2227575648</t>
  </si>
  <si>
    <t>Flat No B 701, Sawan Harmony,Plot No G 90-95, Sector 20, CBD Belapur,</t>
  </si>
  <si>
    <t>NAME::PRAKASH CHANDRA PRAHARAJ</t>
  </si>
  <si>
    <t>PRAKASH GABA</t>
  </si>
  <si>
    <t>INH000001022</t>
  </si>
  <si>
    <t>Prakash Gaba</t>
  </si>
  <si>
    <t>302 SEAKING, H K BHABHA ROAD, BANDRA (W)</t>
  </si>
  <si>
    <t>prakashgaba@hotmail.com</t>
  </si>
  <si>
    <t>919322210907</t>
  </si>
  <si>
    <t>C 841 B ST ANDREWS ROAD EXTENSION BEHIND PALI MARKET , BANDRA WEST</t>
  </si>
  <si>
    <t>NAME::PRAKASH GABA</t>
  </si>
  <si>
    <t>PRAMOD KANIPAKAM</t>
  </si>
  <si>
    <t>INA200012203</t>
  </si>
  <si>
    <t>B-304, DSR NAVEEN LAKESIDE APARTMENTS, 35 TH MAIN, 7TH CROSS, BTM 2ND STAGE</t>
  </si>
  <si>
    <t>pramodkanipakam@gmail.com</t>
  </si>
  <si>
    <t>919342540491</t>
  </si>
  <si>
    <t>NAME::PRAMOD KANIPAKAM</t>
  </si>
  <si>
    <t>PRANAV KUMAR TIWARY</t>
  </si>
  <si>
    <t>INA000020341</t>
  </si>
  <si>
    <t>Pranav Tiwary</t>
  </si>
  <si>
    <t>NO 605 BLOCK 34 VBHC VAIBHAVA, CHANDAPURA  ANEKAL ROAD</t>
  </si>
  <si>
    <t>pranavtiwary@yahoo.com</t>
  </si>
  <si>
    <t>919035061978</t>
  </si>
  <si>
    <t>562106</t>
  </si>
  <si>
    <t>NAME::PRANAV KUMAR TIWARY</t>
  </si>
  <si>
    <t>PRASHANT CHANDRAKANT BIRAJDAR</t>
  </si>
  <si>
    <t>INH000006864</t>
  </si>
  <si>
    <t>PRASHANT BIRAJDAR</t>
  </si>
  <si>
    <t>Flat no.3-B,BLDG Pleasant Avenue,, Viman Nagar</t>
  </si>
  <si>
    <t>prash2kb@yahoo.com</t>
  </si>
  <si>
    <t>Flat no.3-B,BLDG Pleasant Avenue, Viman Nagar</t>
  </si>
  <si>
    <t>Feb 21, 2019</t>
  </si>
  <si>
    <t>NAME::PRASHANT CHANDRAKANT BIRAJDAR</t>
  </si>
  <si>
    <t>PRASHANT PAREEK</t>
  </si>
  <si>
    <t>INH000021216</t>
  </si>
  <si>
    <t>Prashant Pareek</t>
  </si>
  <si>
    <t>NEAR GOPINATH TEMPLLE, BHOJLAI BASS, Sujangarh</t>
  </si>
  <si>
    <t>pareeksuj@gmail.com</t>
  </si>
  <si>
    <t>919828593247</t>
  </si>
  <si>
    <t>331507</t>
  </si>
  <si>
    <t>NAME::PRASHANT PAREEK</t>
  </si>
  <si>
    <t>PRASOON KUMAR</t>
  </si>
  <si>
    <t>INA300015207</t>
  </si>
  <si>
    <t>HOUSE NO 327 A1, BASANT BIHAR COLONY</t>
  </si>
  <si>
    <t>prasoonjai@gmail.com</t>
  </si>
  <si>
    <t>825301</t>
  </si>
  <si>
    <t>Sep 24, 2020</t>
  </si>
  <si>
    <t>NAME::PRASOON KUMAR</t>
  </si>
  <si>
    <t>PRATHMESH JAIPRAKASH GUPTA</t>
  </si>
  <si>
    <t>INH000027788</t>
  </si>
  <si>
    <t>Prathmesh Gupta</t>
  </si>
  <si>
    <t>701 &amp; 702, Floor-7, Sunset (Padmavati) CHS, Eknath Buwa Hatiskar Marg, Hatiskarwadi NR Tel Exchange, Prabhadevi</t>
  </si>
  <si>
    <t>gupta.prathmesh@yahoo.in</t>
  </si>
  <si>
    <t>009930521527</t>
  </si>
  <si>
    <t>NAME::PRATHMESH JAIPRAKASH GUPTA</t>
  </si>
  <si>
    <t>PREETHY P</t>
  </si>
  <si>
    <t>INA200005281</t>
  </si>
  <si>
    <t>NO:4/607, , MOGAPPAIR WEST,</t>
  </si>
  <si>
    <t>preethypadmanaban@gmail.com</t>
  </si>
  <si>
    <t>4443570704</t>
  </si>
  <si>
    <t>600037</t>
  </si>
  <si>
    <t>No. 30, Annal Apartment, Annamalai Avenue, Jeswanth Nagar, Mogappair West,</t>
  </si>
  <si>
    <t>NAME::PREETHY P</t>
  </si>
  <si>
    <t>PRERNA SHARMA</t>
  </si>
  <si>
    <t>INH000006819</t>
  </si>
  <si>
    <t>Prerna Sharma</t>
  </si>
  <si>
    <t>3/391 Kala Kaun, Aravali Vihar, Housing Board</t>
  </si>
  <si>
    <t>prernasharma_18@yahoo.co.in</t>
  </si>
  <si>
    <t>919818883015</t>
  </si>
  <si>
    <t>Feb 05, 2019</t>
  </si>
  <si>
    <t>NAME::PRERNA SHARMA</t>
  </si>
  <si>
    <t>PRITAM PRABODH DEUSKAR</t>
  </si>
  <si>
    <t>INH000005397</t>
  </si>
  <si>
    <t>PRITAM  DEUSKAR</t>
  </si>
  <si>
    <t>C601, Link Palace, Mohan Gokhale road, Goregaon East</t>
  </si>
  <si>
    <t>PRITAMDEUSKAR@GMAIL.COM</t>
  </si>
  <si>
    <t>NAME::PRITAM PRABODH DEUSKAR</t>
  </si>
  <si>
    <t>PRITAM SAMARTH</t>
  </si>
  <si>
    <t>INH000018814</t>
  </si>
  <si>
    <t>Pritam Samarth</t>
  </si>
  <si>
    <t>Flat number 502, 5th floor, Kukreja Complex Building no 7B CHS, LBS Marg, Bhandup West</t>
  </si>
  <si>
    <t>pritamsamarth@gmail.com</t>
  </si>
  <si>
    <t>919967814702</t>
  </si>
  <si>
    <t>NAME::PRITAM SAMARTH</t>
  </si>
  <si>
    <t>PRITAM SINGH</t>
  </si>
  <si>
    <t>INH000023205</t>
  </si>
  <si>
    <t>GHUVAS KALA, ROBERTSGANJ</t>
  </si>
  <si>
    <t>ra.pritamsinghbt@gmail.com</t>
  </si>
  <si>
    <t>916387553415</t>
  </si>
  <si>
    <t>231216</t>
  </si>
  <si>
    <t>NAME::PRITAM SINGH</t>
  </si>
  <si>
    <t>PRITESHKUMAR CHAMPAKLAL SHAH</t>
  </si>
  <si>
    <t>INA000015297</t>
  </si>
  <si>
    <t>PRITESHKUMAR SHAH</t>
  </si>
  <si>
    <t>B22 NIRVANTA OPP GULMOHAR GARDEN, SEVASI VADODARA</t>
  </si>
  <si>
    <t>pritesh.cfa@gmail.com</t>
  </si>
  <si>
    <t>919978917315</t>
  </si>
  <si>
    <t>390011</t>
  </si>
  <si>
    <t>Oct 20, 2020</t>
  </si>
  <si>
    <t>NAME::PRITESHKUMAR CHAMPAKLAL SHAH</t>
  </si>
  <si>
    <t>PRIYA YADAV</t>
  </si>
  <si>
    <t>INH000026239</t>
  </si>
  <si>
    <t>HN. 226-B, Nand Nagar Colony, Shivpur Shahbajganj</t>
  </si>
  <si>
    <t>israpriya09@gmail.com</t>
  </si>
  <si>
    <t>009140083512</t>
  </si>
  <si>
    <t>273014</t>
  </si>
  <si>
    <t>NAME::PRIYA YADAV</t>
  </si>
  <si>
    <t>PRIYANK SHARMA</t>
  </si>
  <si>
    <t>INH000015774</t>
  </si>
  <si>
    <t>priyank  sharma</t>
  </si>
  <si>
    <t>D-602, Ajmera infinity, electronic city -phase 1</t>
  </si>
  <si>
    <t>priyank.sharma.2006@gmail.com</t>
  </si>
  <si>
    <t>NAME::PRIYANK SHARMA</t>
  </si>
  <si>
    <t>INH000017268</t>
  </si>
  <si>
    <t>260 DYANAND NAGAR</t>
  </si>
  <si>
    <t>holdwithpriyank@gmail.com</t>
  </si>
  <si>
    <t>PRIYANKA SINGH</t>
  </si>
  <si>
    <t>INH000026062</t>
  </si>
  <si>
    <t>110 FLAT NO. SONA APARTMENT SAROJINI NAIDU MARG</t>
  </si>
  <si>
    <t>prsich2021@gmail.com</t>
  </si>
  <si>
    <t>918299768480</t>
  </si>
  <si>
    <t>NAME::PRIYANKA SINGH</t>
  </si>
  <si>
    <t>PRUDVI RAJ SAYA</t>
  </si>
  <si>
    <t>INH000015482</t>
  </si>
  <si>
    <t>11-3-292/2 ground floor, Srinivas Nagar, Near Friday Market, Srinivas Nagar Colony, Padma Rao Nagar, Skandagiri Temple Lane, Secunderabad</t>
  </si>
  <si>
    <t>RAJ1688@GMAIL.COM</t>
  </si>
  <si>
    <t>500061</t>
  </si>
  <si>
    <t>NAME::PRUDVI RAJ SAYA</t>
  </si>
  <si>
    <t>PUNAM HUKUMCHAND KUCHERIA</t>
  </si>
  <si>
    <t>INH000010098</t>
  </si>
  <si>
    <t>PUNAM  KUCHERIA</t>
  </si>
  <si>
    <t>15 GOLDFIELD ENCLAVE,397 SOUTH MAIN ROAD, KOREGAON PARK</t>
  </si>
  <si>
    <t>NAME::PUNAM HUKUMCHAND KUCHERIA</t>
  </si>
  <si>
    <t>PUNIT M SETHIA</t>
  </si>
  <si>
    <t>INA200015787</t>
  </si>
  <si>
    <t>Punit Sethia</t>
  </si>
  <si>
    <t>GF 25, GROUND FLOOR, TIDEL PARK, NO.4, RAJIV GANDHI SALAI, TARAMANI</t>
  </si>
  <si>
    <t>pm.sethia@gmail.com</t>
  </si>
  <si>
    <t>OLD NO 861, Flat No A-1 FIRST FLOOR, Poonamalle High Road, Kilpauk</t>
  </si>
  <si>
    <t>Feb 25, 2021</t>
  </si>
  <si>
    <t>NAME::PUNIT M SETHIA</t>
  </si>
  <si>
    <t>PURVESH MEHTA</t>
  </si>
  <si>
    <t>INH000014748</t>
  </si>
  <si>
    <t>601, G TOWER, SWASTIK SOCIETY</t>
  </si>
  <si>
    <t>purvesh22@gmail.com</t>
  </si>
  <si>
    <t>NAME::PURVESH MEHTA</t>
  </si>
  <si>
    <t>PUSPENDU DATTA</t>
  </si>
  <si>
    <t>INA000017213</t>
  </si>
  <si>
    <t>Tower 4 10D Pashmina Waterfront Apartment, Bhattarahalli, Next to Evoma Hotel, Thambuchetty Palya</t>
  </si>
  <si>
    <t>puspendudatta@protonmail.com</t>
  </si>
  <si>
    <t>protonmail.com</t>
  </si>
  <si>
    <t>NAME::PUSPENDU DATTA</t>
  </si>
  <si>
    <t>Pallavi Bhalla</t>
  </si>
  <si>
    <t>INH000013484</t>
  </si>
  <si>
    <t>Ground Floor, C-47, Defence Colony</t>
  </si>
  <si>
    <t>bhalla.pallavi.ra@gmail.com</t>
  </si>
  <si>
    <t>919818777252</t>
  </si>
  <si>
    <t>NAME::PALLAVI BHALLA</t>
  </si>
  <si>
    <t>Palnika Hemnani</t>
  </si>
  <si>
    <t>INA000021605</t>
  </si>
  <si>
    <t>A-17, Basement, Lajpat Nagar 3, New Delhi</t>
  </si>
  <si>
    <t>palnika.hemnani@gmail.com</t>
  </si>
  <si>
    <t>00918879386822</t>
  </si>
  <si>
    <t>NAME::PALNIKA HEMNANI</t>
  </si>
  <si>
    <t>Pankhuri Agrawal</t>
  </si>
  <si>
    <t>INH000011529</t>
  </si>
  <si>
    <t>Shop No. 2 Padmavati Villa, Plot No. 5 Sector 5</t>
  </si>
  <si>
    <t>pankhuriagrawal100@gmail.com</t>
  </si>
  <si>
    <t>Feb 27, 2023</t>
  </si>
  <si>
    <t>NAME::PANKHURI AGRAWAL</t>
  </si>
  <si>
    <t>ParasKumar Ranabhai Katariya</t>
  </si>
  <si>
    <t>INH000024860</t>
  </si>
  <si>
    <t>Paraskumar Katariya</t>
  </si>
  <si>
    <t>549, Varsha Sociery-2 , Near  A V patel School, I H Road</t>
  </si>
  <si>
    <t>katariya.paras1997@gmail.com</t>
  </si>
  <si>
    <t>918469820244</t>
  </si>
  <si>
    <t>NAME::PARASKUMAR RANABHAI KATARIYA</t>
  </si>
  <si>
    <t>Parekh Sweety Rajkumar</t>
  </si>
  <si>
    <t>INH000010779</t>
  </si>
  <si>
    <t>Parekh Rajkumar</t>
  </si>
  <si>
    <t>sweetyparekh0650@gmail.com</t>
  </si>
  <si>
    <t>NAME::PAREKH SWEETY RAJKUMAR</t>
  </si>
  <si>
    <t>Parth Malav Patel</t>
  </si>
  <si>
    <t>INA000022491</t>
  </si>
  <si>
    <t>Parth Patel</t>
  </si>
  <si>
    <t>49, Shri Sai Bunglow, Behind Saket-3, Off Sindhubhavan Road, Ambli, Daskroi, Ambli, Daskroi</t>
  </si>
  <si>
    <t>parthh6364@gmail.com</t>
  </si>
  <si>
    <t>00919099099567</t>
  </si>
  <si>
    <t>NAME::PARTH MALAV PATEL</t>
  </si>
  <si>
    <t>Partha Ashokkumar Shah</t>
  </si>
  <si>
    <t>INH000017815</t>
  </si>
  <si>
    <t>PARTHA SHAH</t>
  </si>
  <si>
    <t>201/B, Vicenza Enamour, Plot no.23,, Laxmi Colony, B.P.C. Road, Behind Alkapuri Haveli, Akota</t>
  </si>
  <si>
    <t>PARTHA.SHAH@GMAIL.COM</t>
  </si>
  <si>
    <t>201/B, Vicenza Enamour, Plot no.23, Laxmi Colony, B.P.C. Road, Behind Alkapuri Haveli, Akota</t>
  </si>
  <si>
    <t>Jul 23, 2024</t>
  </si>
  <si>
    <t>NAME::PARTHA ASHOKKUMAR SHAH</t>
  </si>
  <si>
    <t>Partha Harshal Deshpande</t>
  </si>
  <si>
    <t>INA000022321</t>
  </si>
  <si>
    <t>Partha Deshpande</t>
  </si>
  <si>
    <t>1117/4, Krishnakunj, Nargis Dutt Road, Model Colony, Shivajinagar</t>
  </si>
  <si>
    <t>partha0799@gmail.com</t>
  </si>
  <si>
    <t>NAME::PARTHA HARSHAL DESHPANDE</t>
  </si>
  <si>
    <t>Patel Ketav Pravinbhai</t>
  </si>
  <si>
    <t>INH000017541</t>
  </si>
  <si>
    <t>Ketav Patel</t>
  </si>
  <si>
    <t>1-2, Century Bazaar, Ambawadi</t>
  </si>
  <si>
    <t>risingketav20@gmail.com</t>
  </si>
  <si>
    <t>16/2, Sangathan Society, Near Himalaya Mall, Memnagar P.O.</t>
  </si>
  <si>
    <t>380052</t>
  </si>
  <si>
    <t>NAME::PATEL KETAV PRAVINBHAI</t>
  </si>
  <si>
    <t>Patel Poojan Praful</t>
  </si>
  <si>
    <t>INA000020828</t>
  </si>
  <si>
    <t>Patel Praful</t>
  </si>
  <si>
    <t>FF-7/A, Nirav Complex, , Near. Navrang School, Naranpura</t>
  </si>
  <si>
    <t>poojan.patel.ria@gmail.com</t>
  </si>
  <si>
    <t>00919979518808</t>
  </si>
  <si>
    <t>NAME::PATEL POOJAN PRAFUL</t>
  </si>
  <si>
    <t>Pavan Choubey</t>
  </si>
  <si>
    <t>INH000022792</t>
  </si>
  <si>
    <t>1 Pragti Nagar Tilehri Bilehri</t>
  </si>
  <si>
    <t>mepavan1999@gmail.com</t>
  </si>
  <si>
    <t>916269202505</t>
  </si>
  <si>
    <t>482020</t>
  </si>
  <si>
    <t>NAME::PAVAN CHOUBEY</t>
  </si>
  <si>
    <t>Peeyush Kumar</t>
  </si>
  <si>
    <t>INA100016752</t>
  </si>
  <si>
    <t>WeWork HQ27, B-660, Sushant Lok Phase I,, Sector 27, Gurgaon,</t>
  </si>
  <si>
    <t>capeeyush91@gmail.com</t>
  </si>
  <si>
    <t>WeWork HQ27, B-660, Sushant Lok Phase I, Sector 27, Gurgaon,</t>
  </si>
  <si>
    <t>NAME::PEEYUSH KUMAR</t>
  </si>
  <si>
    <t>Pervez Danish</t>
  </si>
  <si>
    <t>INH000013633</t>
  </si>
  <si>
    <t>S/o Abdul Gaffar, House No. 29, Phase-I, Shiva Residency, Mathpurena</t>
  </si>
  <si>
    <t>equityadvice@gmail.com</t>
  </si>
  <si>
    <t>NAME::PERVEZ DANISH</t>
  </si>
  <si>
    <t>Pinakin C Jaiswal</t>
  </si>
  <si>
    <t>INA000019655</t>
  </si>
  <si>
    <t>Pinakin C  Jaiswal</t>
  </si>
  <si>
    <t>8, Maharshi Arvind Society, R V Desai Road,</t>
  </si>
  <si>
    <t>pinakinjaiswal@gmail.com</t>
  </si>
  <si>
    <t>919428819553</t>
  </si>
  <si>
    <t>NAME::PINAKIN C JAISWAL</t>
  </si>
  <si>
    <t>Poondi Devarajan Sundar</t>
  </si>
  <si>
    <t>INA000022853</t>
  </si>
  <si>
    <t>Poondi Sundar</t>
  </si>
  <si>
    <t>No.61, Prestige Woodslide, IVRI Road Yelahanka Near CRPF</t>
  </si>
  <si>
    <t>sundarpd@yahoo.com</t>
  </si>
  <si>
    <t>000919940019063</t>
  </si>
  <si>
    <t>NAME::POONDI DEVARAJAN SUNDAR</t>
  </si>
  <si>
    <t>Poulomi Harolikar</t>
  </si>
  <si>
    <t>INH000011307</t>
  </si>
  <si>
    <t>J 405, Purva Highland, Holiday Village Road,, Mallasandra</t>
  </si>
  <si>
    <t>poulomi.harolikar@gmail.com</t>
  </si>
  <si>
    <t>J 405, Purva Highland, Holiday Village Road, Mallasandra</t>
  </si>
  <si>
    <t>Jan 25, 2023</t>
  </si>
  <si>
    <t>NAME::POULOMI HAROLIKAR</t>
  </si>
  <si>
    <t>Prabhash Mishra</t>
  </si>
  <si>
    <t>INH000010265</t>
  </si>
  <si>
    <t>Plot No.-2, 3 Khasra No.-375, Jankipuram Extension, Mirzapur, Near Savera Press, Behind Abdul Kalam University</t>
  </si>
  <si>
    <t>prabhash.mishra17997@gmail.com</t>
  </si>
  <si>
    <t>917880566886</t>
  </si>
  <si>
    <t>226031</t>
  </si>
  <si>
    <t>NAME::PRABHASH MISHRA</t>
  </si>
  <si>
    <t>Prabhat Kumar</t>
  </si>
  <si>
    <t>INH100009345</t>
  </si>
  <si>
    <t>PRABHAT KUMAR</t>
  </si>
  <si>
    <t>2557/1, Jawahar Colony, Sector-22, N.I.T. Faridabad</t>
  </si>
  <si>
    <t>prabhatdcm@gmail.com</t>
  </si>
  <si>
    <t>Apr 04, 2022</t>
  </si>
  <si>
    <t>NAME::PRABHAT KUMAR</t>
  </si>
  <si>
    <t>Prabhjot Kaur</t>
  </si>
  <si>
    <t>INH000025106</t>
  </si>
  <si>
    <t>Prabhjot  Kaur</t>
  </si>
  <si>
    <t>Village Nanheri, Rajpura,Near Mardapur Village</t>
  </si>
  <si>
    <t>prabhjotrichrobust@gmail.com</t>
  </si>
  <si>
    <t>918968267541</t>
  </si>
  <si>
    <t>140417</t>
  </si>
  <si>
    <t>NAME::PRABHJOT KAUR</t>
  </si>
  <si>
    <t>Prachi Mehta</t>
  </si>
  <si>
    <t>INH000017879</t>
  </si>
  <si>
    <t>Flat No. 803, Classic Tower, Opp. New Navratan Complex, Bhuwana</t>
  </si>
  <si>
    <t>mehtaprachi931993@gmail.com</t>
  </si>
  <si>
    <t>NAME::PRACHI MEHTA</t>
  </si>
  <si>
    <t>Pradeep Gobind Mahtani</t>
  </si>
  <si>
    <t>INA000010742</t>
  </si>
  <si>
    <t>Pradeep Mahtani</t>
  </si>
  <si>
    <t>8 Hampton Court, A Wing, Wodehouse Road</t>
  </si>
  <si>
    <t>pgmahtani@gmail.com</t>
  </si>
  <si>
    <t>Jun 04, 2018</t>
  </si>
  <si>
    <t>NAME::PRADEEP GOBIND MAHTANI</t>
  </si>
  <si>
    <t>Pradip Kumar Ghosh</t>
  </si>
  <si>
    <t>INH000016515</t>
  </si>
  <si>
    <t>Pradip Ghosh</t>
  </si>
  <si>
    <t>Flat 7C, TWR 1, 37 Diamond Harbour Road, Joka, Thakurpukur, Maheshtala</t>
  </si>
  <si>
    <t>pradip.kumar.ghosh@gmail.com</t>
  </si>
  <si>
    <t>700104</t>
  </si>
  <si>
    <t>NAME::PRADIP KUMAR GHOSH</t>
  </si>
  <si>
    <t>INH000021739</t>
  </si>
  <si>
    <t>Pradip  Banerj</t>
  </si>
  <si>
    <t>A 149 ROOM NO 298 VIVEK APT, FLAT NO 5 NEAR GURU NANAK SCHOOL KURLA CAMP ULHASNAGAR</t>
  </si>
  <si>
    <t>pradipbanerjee18@yahoo.in</t>
  </si>
  <si>
    <t>C 924 925 ROOM NO 1847 1848 OM SAI RAM APT FLAT NO 304 KURLA , CAMP ROAD KAILASH COLONY NEAR ATITHI VADAPAV ULHASNAGAR</t>
  </si>
  <si>
    <t>NAME::PRADIP PRABIR BANERJEE</t>
  </si>
  <si>
    <t>Prakash Chand Chotia</t>
  </si>
  <si>
    <t>INH000018498</t>
  </si>
  <si>
    <t>Duliya bass, Ward 23, Sujangarh</t>
  </si>
  <si>
    <t>prakash.chotia11@gmail.com</t>
  </si>
  <si>
    <t>919887967179</t>
  </si>
  <si>
    <t>Sep 25, 2024</t>
  </si>
  <si>
    <t>NAME::PRAKASH CHAND CHOTIA</t>
  </si>
  <si>
    <t>Prakash Makarand Dinde</t>
  </si>
  <si>
    <t>INH000023977</t>
  </si>
  <si>
    <t>Prakash Dinde</t>
  </si>
  <si>
    <t>301 Peony Apartment, A-Wing, S. No. 39/3, Baner, Murkutenagar</t>
  </si>
  <si>
    <t>prakashdinde@gmail.com</t>
  </si>
  <si>
    <t>NAME::PRAKASH MAKARAND DINDE</t>
  </si>
  <si>
    <t>Prameela Balakkala</t>
  </si>
  <si>
    <t>INH000016074</t>
  </si>
  <si>
    <t>1/220, Adyapady Site House,, Behind Airport, Bajpe</t>
  </si>
  <si>
    <t>2bprameela@gmail.com</t>
  </si>
  <si>
    <t>574142</t>
  </si>
  <si>
    <t>1/220, Adyapady Site House, Behind Airport, Bajpe</t>
  </si>
  <si>
    <t>NAME::PRAMEELA BALAKKALA</t>
  </si>
  <si>
    <t>Pramiti Rawat</t>
  </si>
  <si>
    <t>INA000020697</t>
  </si>
  <si>
    <t>D-4 Kalyan Residency, Shivalaya CHS Ltd., Pashan-Sus Road, Pune</t>
  </si>
  <si>
    <t>pramiti.rawat@outlook.com</t>
  </si>
  <si>
    <t>00919403451426</t>
  </si>
  <si>
    <t>NAME::PRAMITI RAWAT</t>
  </si>
  <si>
    <t>Pramukh Somisetty Sureshkumar</t>
  </si>
  <si>
    <t>INA000022455</t>
  </si>
  <si>
    <t>Pramukh Sureshkumar</t>
  </si>
  <si>
    <t>Gopala Krishna Complex 45/3, 6th Floor, Residency Road, Mahatma Gandhi Rd,</t>
  </si>
  <si>
    <t>pramukhss97@gmail.com</t>
  </si>
  <si>
    <t>00918073528519</t>
  </si>
  <si>
    <t>NAME::PRAMUKH SOMISETTY SURESHKUMAR</t>
  </si>
  <si>
    <t>Prashant P. sawant</t>
  </si>
  <si>
    <t>INH000008899</t>
  </si>
  <si>
    <t>Prashant Sawant</t>
  </si>
  <si>
    <t>B-501, Satyam Shivam Sundaram CHS, Offlink Road, Opp Chikuwadi</t>
  </si>
  <si>
    <t>prashant1480@gmail.com</t>
  </si>
  <si>
    <t>NAME::PRASHANT P SAWANT</t>
  </si>
  <si>
    <t>Prateek Dangi</t>
  </si>
  <si>
    <t>INH000018975</t>
  </si>
  <si>
    <t>15 297 Dangi Niketan Laxmi Narayan Mandir Road, Near Head Post Office Bhilwara</t>
  </si>
  <si>
    <t>prateekdangi28@gmail.com</t>
  </si>
  <si>
    <t>917737459798</t>
  </si>
  <si>
    <t>NAME::PRATEEK DANGI</t>
  </si>
  <si>
    <t>Pratik Jagtap</t>
  </si>
  <si>
    <t>INH000015905</t>
  </si>
  <si>
    <t>FLAT-3, DARSHAN KRIPA APARTMENT, LANE-8, DAHANUKAR COLONY, KOTHRUD, PUNE</t>
  </si>
  <si>
    <t>pratikpjagtap@gmail.com</t>
  </si>
  <si>
    <t>NAME::PRATIK JAGTAP</t>
  </si>
  <si>
    <t>Praveen Dodiya</t>
  </si>
  <si>
    <t>INH000024259</t>
  </si>
  <si>
    <t>145 Arya Samaj Marg Malipura,Ujjain 456001</t>
  </si>
  <si>
    <t>pravindodiya926@gmail.com</t>
  </si>
  <si>
    <t>919111271107</t>
  </si>
  <si>
    <t>NAME::PRAVEEN DODIYA</t>
  </si>
  <si>
    <t>Praveen Kumar H M</t>
  </si>
  <si>
    <t>INA000022482</t>
  </si>
  <si>
    <t>Praveen H M</t>
  </si>
  <si>
    <t>4 761, L B S Extension, Kotturu, Vijayanagara District</t>
  </si>
  <si>
    <t>ria.praveenhm@gmail.com</t>
  </si>
  <si>
    <t>00918217845203</t>
  </si>
  <si>
    <t>BELLARY</t>
  </si>
  <si>
    <t>583134</t>
  </si>
  <si>
    <t>NO 387, Ground Floor, 5th Avenue, Teachers Colony, Koramangala 1st Block,</t>
  </si>
  <si>
    <t>NAME::PRAVEEN KUMAR H M</t>
  </si>
  <si>
    <t>Pravin Khetan</t>
  </si>
  <si>
    <t>INH000019521</t>
  </si>
  <si>
    <t>HNO 42 8 NEW NO   W8 S F MAIN ROAD, West Patel Nagar Opp Metro Pillar 232</t>
  </si>
  <si>
    <t>pravinkhetan@gmail.com</t>
  </si>
  <si>
    <t>919999616222</t>
  </si>
  <si>
    <t>NAME::PRAVIN KHETAN</t>
  </si>
  <si>
    <t>Preeti K Zende</t>
  </si>
  <si>
    <t>INA000012777</t>
  </si>
  <si>
    <t>Preeti Zende</t>
  </si>
  <si>
    <t>C 27, Purvanchal CHS, Sector 1,, Near Prajapati Hall, Airoli</t>
  </si>
  <si>
    <t>preetikz@gmail.com</t>
  </si>
  <si>
    <t>919833310722</t>
  </si>
  <si>
    <t>C 27, Purvanchal CHS, Sector 1, Near Prajapati Hall, Airoli</t>
  </si>
  <si>
    <t>Mar 20, 2019</t>
  </si>
  <si>
    <t>NAME::PREETI K ZENDE</t>
  </si>
  <si>
    <t>Preeti Passi</t>
  </si>
  <si>
    <t>INA000016685</t>
  </si>
  <si>
    <t>Preeti  Passi</t>
  </si>
  <si>
    <t>17/2, Rameshwar Niwas, Veer Savarkar Marg</t>
  </si>
  <si>
    <t>preetipassi786@gmail.com</t>
  </si>
  <si>
    <t>NAME::PREETI PASSI</t>
  </si>
  <si>
    <t>Priya Zalki</t>
  </si>
  <si>
    <t>INH000023393</t>
  </si>
  <si>
    <t>1-1-94, Sai Nagar, Near Saibaba Temple, Malkajgiri</t>
  </si>
  <si>
    <t>ra.priyazalik@gmail.com</t>
  </si>
  <si>
    <t>916301897112</t>
  </si>
  <si>
    <t>500047</t>
  </si>
  <si>
    <t>NAME::PRIYA ZALKI</t>
  </si>
  <si>
    <t>Priyadarshini Moreshwar Mulye</t>
  </si>
  <si>
    <t>INA000011796</t>
  </si>
  <si>
    <t>PRIYADARSHINI RAO</t>
  </si>
  <si>
    <t>Mayuresh At post Malgund, Tal  and Dist Ratnagiri</t>
  </si>
  <si>
    <t>priya199@gmail.com</t>
  </si>
  <si>
    <t>415615</t>
  </si>
  <si>
    <t>NAME::PRIYADARSHINI MORESHWAR MULYE</t>
  </si>
  <si>
    <t>Priyanshu Aggarwal</t>
  </si>
  <si>
    <t>INH000023278</t>
  </si>
  <si>
    <t>E-404, 4th Floor, Ramprastha Greens Pearl Court, Vaishali</t>
  </si>
  <si>
    <t>apriyanshu2205@gmail.com</t>
  </si>
  <si>
    <t>918178617913</t>
  </si>
  <si>
    <t>NAME::PRIYANSHU AGGARWAL</t>
  </si>
  <si>
    <t>Project Options</t>
  </si>
  <si>
    <t>INH000021225</t>
  </si>
  <si>
    <t>Utkarsh Bhargava</t>
  </si>
  <si>
    <t>25, Globus City, Chuna Bhatti,, Kolar Road, Bhopal</t>
  </si>
  <si>
    <t>projectgrowthmedia@gmail.com</t>
  </si>
  <si>
    <t>0919826103203</t>
  </si>
  <si>
    <t>462016</t>
  </si>
  <si>
    <t>25, Globus City, Chuna Bhatti, Kolar Road, Bhopal</t>
  </si>
  <si>
    <t>NAME::PROJECT OPTIONS</t>
  </si>
  <si>
    <t>Puneet Saxena</t>
  </si>
  <si>
    <t>INA100010943</t>
  </si>
  <si>
    <t>C-36, Navkunj Apartments, 87 I.P Extension</t>
  </si>
  <si>
    <t>puneet2004@gmail.com</t>
  </si>
  <si>
    <t>919920036675</t>
  </si>
  <si>
    <t>NAME::PUNEET SAXENA</t>
  </si>
  <si>
    <t>Pushpanjali Kumar</t>
  </si>
  <si>
    <t>INA000021854</t>
  </si>
  <si>
    <t>VO-919, WeWork NESCO IT Park, 10th Floor, Building 4, Nesco IT Park, Western Express Highway, Goregaon</t>
  </si>
  <si>
    <t>pushpanjali.kumar@gmail.com</t>
  </si>
  <si>
    <t>00919916952115</t>
  </si>
  <si>
    <t>NAME::PUSHPANJALI KUMAR</t>
  </si>
  <si>
    <t>Quanttrix Technologies</t>
  </si>
  <si>
    <t>INH000026594</t>
  </si>
  <si>
    <t>Niraj Mittal</t>
  </si>
  <si>
    <t>06,24th Main Rd,J.P. Nagar -5th Phase</t>
  </si>
  <si>
    <t>nnirajmittall@gmail.com</t>
  </si>
  <si>
    <t>0009194620365</t>
  </si>
  <si>
    <t>NAME::QUANTTRIX TECHNOLOGIES</t>
  </si>
  <si>
    <t>R Ravi Raja</t>
  </si>
  <si>
    <t>INH000024347</t>
  </si>
  <si>
    <t>1/227-B, Moolakadu,, Masakalipatty PO, Rasipuram, Namakkal DT, Andagalore,</t>
  </si>
  <si>
    <t>ravioon7@gmail.com</t>
  </si>
  <si>
    <t>919788109958</t>
  </si>
  <si>
    <t>637401</t>
  </si>
  <si>
    <t>NAME::R RAVI RAJA</t>
  </si>
  <si>
    <t>RACHIT KHANDELWAL</t>
  </si>
  <si>
    <t>INA000008154</t>
  </si>
  <si>
    <t>94/203,Vijay Path,Agarwal Farm, Mansarovar</t>
  </si>
  <si>
    <t>rkhandelwal55@yahoo.co.in</t>
  </si>
  <si>
    <t>Jul 26, 2017</t>
  </si>
  <si>
    <t>NAME::RACHIT KHANDELWAL</t>
  </si>
  <si>
    <t>RACHNA CHAUHAN</t>
  </si>
  <si>
    <t>INA000014632</t>
  </si>
  <si>
    <t>B-505 IRIS SOCIETY, BALEWADI HIGH STREET,, NEXT TO CUMMINS INDIA OFFICE, BALEWADI,</t>
  </si>
  <si>
    <t>ONLINE.WRITE2ME@GMAIL.COM</t>
  </si>
  <si>
    <t>B-505 IRIS SOCIETY, BALEWADI HIGH STREET, NEXT TO CUMMINS INDIA OFFICE, BALEWADI,</t>
  </si>
  <si>
    <t>May 07, 2020</t>
  </si>
  <si>
    <t>NAME::RACHNA CHAUHAN</t>
  </si>
  <si>
    <t>RAHUL BHAGAT</t>
  </si>
  <si>
    <t>INH000025948</t>
  </si>
  <si>
    <t>C/o Jharna Chopdar, New Grant Estate, Lal Pokhra  , Dumka</t>
  </si>
  <si>
    <t>momentumedge1@gmail.com</t>
  </si>
  <si>
    <t>814101</t>
  </si>
  <si>
    <t>NAME::RAHUL BHAGAT</t>
  </si>
  <si>
    <t>RAHUL BHANDAWAT</t>
  </si>
  <si>
    <t>INH000008084</t>
  </si>
  <si>
    <t>FLAT NO 602, B WING, BUILDG NO 18, CHAITANYA, NEW MAHADA COLONY, OFF GEN A.K. VAIDYA MARG, DINDOSHI, NEAR NNP 1&amp;2 CIRCLE &amp; INFINITY IT PARK, GOREGAON (EAST)</t>
  </si>
  <si>
    <t>rkbhandavat@hotmail.com</t>
  </si>
  <si>
    <t>C/O PARAS KUMAR BHANDAWAT, 484, GUMASTA NAGAR,</t>
  </si>
  <si>
    <t>NAME::RAHUL BHANDAWAT</t>
  </si>
  <si>
    <t>RAHUL RANKA</t>
  </si>
  <si>
    <t>INH000021085</t>
  </si>
  <si>
    <t>C.1802 EKTA MEADOWS ,A TO G, CHS LTD OFF W E HIGHWAY, BORIVALI EAST SIDDHARTH NAGAR, THAKUR VILLAGE</t>
  </si>
  <si>
    <t>carahulranka108@gmail.com</t>
  </si>
  <si>
    <t>917045955364</t>
  </si>
  <si>
    <t>NAME::RAHUL RANKA</t>
  </si>
  <si>
    <t>RAJ PARMAR</t>
  </si>
  <si>
    <t>INH000021535</t>
  </si>
  <si>
    <t>TF 307, Samanvay Symphony, Opp Ambe School, Waghodiya Road</t>
  </si>
  <si>
    <t>rajparmar1120@gmail.com</t>
  </si>
  <si>
    <t>918460247508</t>
  </si>
  <si>
    <t>NAME::RAJ PARMAR</t>
  </si>
  <si>
    <t>RAJA CHANDRASHEKHAR VENKATRAMAN</t>
  </si>
  <si>
    <t>INH000016223</t>
  </si>
  <si>
    <t>Raja Venkatraman</t>
  </si>
  <si>
    <t>34 Vasant Vihar Complex, Dr C G Road</t>
  </si>
  <si>
    <t>kyaboltitu@gmail.com</t>
  </si>
  <si>
    <t>NAME::RAJA CHANDRASHEKHAR VENKATRAMAN</t>
  </si>
  <si>
    <t>RAJENDRA HARISHCHANDRA JADHAV</t>
  </si>
  <si>
    <t>INH000021881</t>
  </si>
  <si>
    <t>RAJENDRA JADHAV</t>
  </si>
  <si>
    <t>Flat No. 7, Bldg. No. 23/B, Plot No. 6,, Sharda Nagari Niwara CHS Ltd, Goregaon East</t>
  </si>
  <si>
    <t>stockwins04@gmail.com</t>
  </si>
  <si>
    <t>917021931466</t>
  </si>
  <si>
    <t>Flat No. 7, Bldg. No. 23/B, Plot No. 6, Sharda Nagari Niwara CHS Ltd, Goregaon East</t>
  </si>
  <si>
    <t>NAME::RAJENDRA HARISHCHANDRA JADHAV</t>
  </si>
  <si>
    <t>RAJENDRA VITTHAL SURYAWANSHI</t>
  </si>
  <si>
    <t>INH000007094</t>
  </si>
  <si>
    <t>RAJENDRA SURYAWANSHI</t>
  </si>
  <si>
    <t>F1-13 Nice Sankul Near ITI Signal, Trimbak Road Satpur Nashik</t>
  </si>
  <si>
    <t>srajendrav@gmail.com</t>
  </si>
  <si>
    <t>919422945260</t>
  </si>
  <si>
    <t>NAME::RAJENDRA VITTHAL SURYAWANSHI</t>
  </si>
  <si>
    <t>RAJESH KUMAR SODHANI</t>
  </si>
  <si>
    <t>INH000011936</t>
  </si>
  <si>
    <t>RAJESH SODHANI</t>
  </si>
  <si>
    <t>C-373, SODHANI HOUSE, VAISHALI NAGAR</t>
  </si>
  <si>
    <t>rajsodhani@yahoo.com</t>
  </si>
  <si>
    <t>Mar 21, 2023</t>
  </si>
  <si>
    <t>NAME::RAJESH KUMAR SODHANI</t>
  </si>
  <si>
    <t>RAJESH RANJAN</t>
  </si>
  <si>
    <t>INH200007821</t>
  </si>
  <si>
    <t>NO 3,3rd Floor, Above Chetan Tutorial ,1st Cross, Vinayaka Nagar, Near Water Tank, D Group Layou Arch, Andrahalli Main Road, Vn Post</t>
  </si>
  <si>
    <t>ranjan2112@yahoo.com</t>
  </si>
  <si>
    <t>Oct 15, 2020</t>
  </si>
  <si>
    <t>NAME::RAJESH RANJAN</t>
  </si>
  <si>
    <t>RAJESH SHARMA</t>
  </si>
  <si>
    <t>INH000026628</t>
  </si>
  <si>
    <t>RAJESH  SHARMA</t>
  </si>
  <si>
    <t>RZ 25A, 1st Floor, Indira Park Extension Part 1, Uttam Nagar</t>
  </si>
  <si>
    <t>sharmaarajessh@gmail.com</t>
  </si>
  <si>
    <t>0008595587206</t>
  </si>
  <si>
    <t>NAME::RAJESH SHARMA</t>
  </si>
  <si>
    <t>RAJESHWAR MANDAL</t>
  </si>
  <si>
    <t>INH000018878</t>
  </si>
  <si>
    <t>RAJESHWAR  MANDAL</t>
  </si>
  <si>
    <t>QTR A13 1 Back side, railway colony, near kali mandir, raurkela-13 dist-sundergrah</t>
  </si>
  <si>
    <t>rajeshwar.mandal97@gmail.com</t>
  </si>
  <si>
    <t>917381611855</t>
  </si>
  <si>
    <t>769013</t>
  </si>
  <si>
    <t>Nov 12, 2024</t>
  </si>
  <si>
    <t>NAME::RAJESHWAR MANDAL</t>
  </si>
  <si>
    <t>RAJIT RAJORIYA</t>
  </si>
  <si>
    <t>INH000014599</t>
  </si>
  <si>
    <t>House No 315, Gayatri Nagar, Rajiv Ward, Tehsil Gadarwara</t>
  </si>
  <si>
    <t>rajoriya.rajit10@gmail.com</t>
  </si>
  <si>
    <t>487551</t>
  </si>
  <si>
    <t>NAME::RAJIT RAJORIYA</t>
  </si>
  <si>
    <t>RAJIV GUPTA</t>
  </si>
  <si>
    <t>INH300004858</t>
  </si>
  <si>
    <t>2nd Floor Surya Apartment, 51/6 Rabindra Sarani PO Liluah</t>
  </si>
  <si>
    <t>csrajivgupta@gmail.com</t>
  </si>
  <si>
    <t>711204</t>
  </si>
  <si>
    <t>Jun 05, 2017</t>
  </si>
  <si>
    <t>NAME::RAJIV GUPTA</t>
  </si>
  <si>
    <t>RAKESH KUMAR SINGHAL</t>
  </si>
  <si>
    <t>INH100003282</t>
  </si>
  <si>
    <t>B-703/704, GROUND FLOOR, GALI NO. 2, GANESH NAGAR-II</t>
  </si>
  <si>
    <t>rakesh.singhal78@gmail.com</t>
  </si>
  <si>
    <t>Jul 26, 2016</t>
  </si>
  <si>
    <t>NAME::RAKESH KUMAR SINGHAL</t>
  </si>
  <si>
    <t>RAKSHA NANA VAIDYA</t>
  </si>
  <si>
    <t>INH000025601</t>
  </si>
  <si>
    <t>RAKSHA VAIDYA</t>
  </si>
  <si>
    <t>Subhash Tekdi, Opposite Block 407 Panchasheel Society India</t>
  </si>
  <si>
    <t>contactraksha@gmail.com</t>
  </si>
  <si>
    <t>NAME::RAKSHA NANA VAIDYA</t>
  </si>
  <si>
    <t>RAMACHANDRAN CHITHAMBARAN</t>
  </si>
  <si>
    <t>INH000012324</t>
  </si>
  <si>
    <t>201, RADHAKRISHNA, RADHA RESIDENCY, SIDDHARTH NAGAR, BORIVALI - EAST</t>
  </si>
  <si>
    <t>NAME::RAMACHANDRAN CHITHAMBARAN</t>
  </si>
  <si>
    <t>RAMAKRISHNAN T.B</t>
  </si>
  <si>
    <t>INH000010496</t>
  </si>
  <si>
    <t>RAMAKRISHNAN THANDASSERY</t>
  </si>
  <si>
    <t>3213  TOPAZ SOBHA CITY, PUZHAKKAL P O</t>
  </si>
  <si>
    <t>ramkisview@gmail.com</t>
  </si>
  <si>
    <t>919895761001</t>
  </si>
  <si>
    <t>680553</t>
  </si>
  <si>
    <t>NAME::RAMAKRISHNAN T B</t>
  </si>
  <si>
    <t>RAMESH CHANDNA</t>
  </si>
  <si>
    <t>INH000015552</t>
  </si>
  <si>
    <t>RAMESH  CHANDNA</t>
  </si>
  <si>
    <t>3312, Banzarwara, Near Azaad Chowk, Bilberry Hotel</t>
  </si>
  <si>
    <t>CARAMESHCHANDNA@GMAIL.COM</t>
  </si>
  <si>
    <t>NAME::RAMESH CHANDNA</t>
  </si>
  <si>
    <t>RANJAN YADUVANSHI</t>
  </si>
  <si>
    <t>INH000025957</t>
  </si>
  <si>
    <t>Ranjan Yaduvanshi</t>
  </si>
  <si>
    <t>B68, Fourth floor, Paryavaran Complex, South Delhi</t>
  </si>
  <si>
    <t>ranjanhrc@gmail.com</t>
  </si>
  <si>
    <t>0001149065992</t>
  </si>
  <si>
    <t>110030</t>
  </si>
  <si>
    <t>NAME::RANJAN YADUVANSHI</t>
  </si>
  <si>
    <t>RATHOD NILESH GOVINDLAL</t>
  </si>
  <si>
    <t>INH000028149</t>
  </si>
  <si>
    <t>RATHOD  GOVINDLAL</t>
  </si>
  <si>
    <t>616, SHIVAM TRADE CENTER , OPP. SHARSHVATI HOSPITAL NR. VAKIL SHAHEB BRIDGE AMBALI -BOPAL</t>
  </si>
  <si>
    <t>rathod3181@gmail.com</t>
  </si>
  <si>
    <t>00009624040044</t>
  </si>
  <si>
    <t>NAME::RATHOD NILESH GOVINDLAL</t>
  </si>
  <si>
    <t>RATUL GHOSH</t>
  </si>
  <si>
    <t>INH000027195</t>
  </si>
  <si>
    <t>RATUL  GHOSH</t>
  </si>
  <si>
    <t>Vill-Parul, Po - Bahadurpur,, PS-Jamalpur,Bardhaman</t>
  </si>
  <si>
    <t>ratulresearchanalyst@gmail.com</t>
  </si>
  <si>
    <t>0009046423539</t>
  </si>
  <si>
    <t>713408</t>
  </si>
  <si>
    <t>Vill-Parul, Po - Bahadurpur, PS-Jamalpur,Bardhaman</t>
  </si>
  <si>
    <t>NAME::RATUL GHOSH</t>
  </si>
  <si>
    <t>RAVI BHARATKUMAR GUPTA</t>
  </si>
  <si>
    <t>INH000012184</t>
  </si>
  <si>
    <t>RAVI GUPTA</t>
  </si>
  <si>
    <t>633/3, G.F, Jagrut Pole, Opposite MUN School No-8,, Swaminarayan Mandir, Kalupura</t>
  </si>
  <si>
    <t>111GUPTARAVI@GMAIL.COM</t>
  </si>
  <si>
    <t>380001</t>
  </si>
  <si>
    <t>1449-A-2-G.F, Dahyabhai Pasottamdas NU Dehlu, Near Nadiawadas Pole, Lunsawad, Dariapur</t>
  </si>
  <si>
    <t>NAME::RAVI BHARATKUMAR GUPTA</t>
  </si>
  <si>
    <t>RAVI BHATT</t>
  </si>
  <si>
    <t>INH000012591</t>
  </si>
  <si>
    <t>6 A MANSI SHOPPING CENTRE, ZANZARDA ROAD</t>
  </si>
  <si>
    <t>ravibhatt3338@gmail.com</t>
  </si>
  <si>
    <t>Block No. 305 Radhika B Apartment, Opp. Gayatri school zanzarda road Junagadh</t>
  </si>
  <si>
    <t>NAME::RAVI BHATT</t>
  </si>
  <si>
    <t>RAVI PRAKASH HINGORANI</t>
  </si>
  <si>
    <t>INH000027238</t>
  </si>
  <si>
    <t>RAVI HINGORANI</t>
  </si>
  <si>
    <t>F no. 401, P no. 184, Gulab Residency, Sindhi Colony,, Opp Higher Secondary Adarsh Vidya Mandir School, Banipark</t>
  </si>
  <si>
    <t>wingsresearchpartners@gmail.com</t>
  </si>
  <si>
    <t>F no. 401, P no. 184, Gulab Residency, Sindhi Colony, Opp Higher Secondary Adarsh Vidya Mandir School, Banipark</t>
  </si>
  <si>
    <t>NAME::RAVI PRAKASH HINGORANI</t>
  </si>
  <si>
    <t>RAVINATH CHAUHAN</t>
  </si>
  <si>
    <t>INH000025708</t>
  </si>
  <si>
    <t>13 GIRIRAJ PARK, BHARTIVILLA TOWNSHIP,CHHARWADA VAPI</t>
  </si>
  <si>
    <t>ravinath50@gmail.com</t>
  </si>
  <si>
    <t>Apr 02, 2026</t>
  </si>
  <si>
    <t>NAME::RAVINATH CHAUHAN</t>
  </si>
  <si>
    <t>REDDY HARI VENKATA HARSHAVARDHAN</t>
  </si>
  <si>
    <t>INH000026521</t>
  </si>
  <si>
    <t>REDDY HARSHAVARDHAN</t>
  </si>
  <si>
    <t>No. 10-2-6/41, Atallamudun, Tadepalligudem, Bhagyalakshmipeta, West Godavari</t>
  </si>
  <si>
    <t>rharsha1307@gmail.com</t>
  </si>
  <si>
    <t>008121243632</t>
  </si>
  <si>
    <t>RAJAHMUNDRY</t>
  </si>
  <si>
    <t>534102</t>
  </si>
  <si>
    <t>NAME::REDDY HARI VENKATA HARSHAVARDHAN</t>
  </si>
  <si>
    <t>REHAN AHMED ZUBAIRAHMED SHAIKH</t>
  </si>
  <si>
    <t>INH000027201</t>
  </si>
  <si>
    <t>REHAN  SHAIKH</t>
  </si>
  <si>
    <t>13 SF GULZAR ROW HOUSE, CAUSEWAY RD</t>
  </si>
  <si>
    <t>rehanazas@gmail.com</t>
  </si>
  <si>
    <t>009824166116</t>
  </si>
  <si>
    <t>NAME::REHAN AHMED ZUBAIRAHMED SHAIKH</t>
  </si>
  <si>
    <t>RICHA RONAK SHAH</t>
  </si>
  <si>
    <t>INH000016852</t>
  </si>
  <si>
    <t>RICHA SHAH</t>
  </si>
  <si>
    <t>203, Aagam Residency, Opp Tighra Wadi, Tighra Jakatnaka</t>
  </si>
  <si>
    <t>richajain.idea@gmail.com</t>
  </si>
  <si>
    <t>NAVSARI</t>
  </si>
  <si>
    <t>396445</t>
  </si>
  <si>
    <t>NAME::RICHA RONAK SHAH</t>
  </si>
  <si>
    <t>RIMA RAJIV VASA</t>
  </si>
  <si>
    <t>INA300004267</t>
  </si>
  <si>
    <t>RIMA  VASA</t>
  </si>
  <si>
    <t>5A, PARK SIDE ROAD,, APNA MIT, 4TH FLOOR 4B</t>
  </si>
  <si>
    <t>RIMACONSULTANCY@GMAIL.COM</t>
  </si>
  <si>
    <t>00009830641601</t>
  </si>
  <si>
    <t>5A, PARK SIDE ROAD, APNA MIT, 4TH FLOOR 4B</t>
  </si>
  <si>
    <t>NAME::RIMA RAJIV VASA</t>
  </si>
  <si>
    <t>RINKI SHYAMLAL JAISWAL</t>
  </si>
  <si>
    <t>INH000026415</t>
  </si>
  <si>
    <t>RINKI JAISWAL</t>
  </si>
  <si>
    <t>479, Jijamata Nagar, Panchavati Building ke pichhe, Ward No.2, Kombad Pada, Bhiwandi</t>
  </si>
  <si>
    <t>rinkiresearchanalyst@gmail.com</t>
  </si>
  <si>
    <t>NAME::RINKI SHYAMLAL JAISWAL</t>
  </si>
  <si>
    <t>RISHABH KUMAR SHARMA</t>
  </si>
  <si>
    <t>INH000018081</t>
  </si>
  <si>
    <t>RISHABH SHARMA</t>
  </si>
  <si>
    <t>Maruti Nandan Apartment, Flat No 5, Wasan Nagar, Near Panini Society, Pathardi Phata</t>
  </si>
  <si>
    <t>rarishabhkumar@gmail.com</t>
  </si>
  <si>
    <t>NAME::RISHABH KUMAR SHARMA</t>
  </si>
  <si>
    <t>RISHI RAI</t>
  </si>
  <si>
    <t>INH000010423</t>
  </si>
  <si>
    <t>Rishi Rai</t>
  </si>
  <si>
    <t>156 First Floor, Sector 14, Vasundhara, Ghaziabad,</t>
  </si>
  <si>
    <t>rishiraisaxena77@gmail.com</t>
  </si>
  <si>
    <t>NAME::RISHI RAI</t>
  </si>
  <si>
    <t>RISHI WADHAWAN</t>
  </si>
  <si>
    <t>INH000025726</t>
  </si>
  <si>
    <t>RISHI  WADHAWAN</t>
  </si>
  <si>
    <t>Flat No 5A 1402, Suncity Parikrama Group Housing, Sector-20</t>
  </si>
  <si>
    <t>wadhawan_sonu@rediffmail.com</t>
  </si>
  <si>
    <t>NAME::RISHI WADHAWAN</t>
  </si>
  <si>
    <t>RITIK ANIL SONI</t>
  </si>
  <si>
    <t>INA000021766</t>
  </si>
  <si>
    <t>RITIK SONI</t>
  </si>
  <si>
    <t>B202, Vastuvinayak Building, Lodha Heritage, Dombivli,</t>
  </si>
  <si>
    <t>ritiksoni77@gmail.com</t>
  </si>
  <si>
    <t>00917304096979</t>
  </si>
  <si>
    <t>NAME::RITIK ANIL SONI</t>
  </si>
  <si>
    <t>RITUKANT MAURYA</t>
  </si>
  <si>
    <t>INH000022525</t>
  </si>
  <si>
    <t>A-703, Garima Vihar, Sector 35</t>
  </si>
  <si>
    <t>ritukantmaurya@gmail.com</t>
  </si>
  <si>
    <t>918882744604</t>
  </si>
  <si>
    <t>NAME::RITUKANT MAURYA</t>
  </si>
  <si>
    <t>ROCHIT SINGH</t>
  </si>
  <si>
    <t>INH000023834</t>
  </si>
  <si>
    <t>F-343, 11TH AVENUE, GAUR CITY 2 GREATER NOIDA WEST GREATER NOIDA GAUTAMBUDDHA NAGAR</t>
  </si>
  <si>
    <t>rochitoninvest@gmail.com</t>
  </si>
  <si>
    <t>916386011923</t>
  </si>
  <si>
    <t>NAME::ROCHIT SINGH</t>
  </si>
  <si>
    <t>ROHAN JAIN</t>
  </si>
  <si>
    <t>INH000017073</t>
  </si>
  <si>
    <t>Rohan Jain</t>
  </si>
  <si>
    <t>A 13 and 14 Jhilmil Colony</t>
  </si>
  <si>
    <t>Rohanjainglobal@gmail.com</t>
  </si>
  <si>
    <t>918010504339</t>
  </si>
  <si>
    <t>NAME::ROHAN JAIN</t>
  </si>
  <si>
    <t>ROHAN RAJENDRA AHER</t>
  </si>
  <si>
    <t>INH000023773</t>
  </si>
  <si>
    <t>ROHAN AHER</t>
  </si>
  <si>
    <t>RAJENDRA BABAN AHER S.No 111 13A, Heena Palace PH III, Kalewadi, Flat 2</t>
  </si>
  <si>
    <t>rohan.aher08@gmail.com</t>
  </si>
  <si>
    <t>918055188999</t>
  </si>
  <si>
    <t>Nov 06, 2025</t>
  </si>
  <si>
    <t>NAME::ROHAN RAJENDRA AHER</t>
  </si>
  <si>
    <t>ROHIT</t>
  </si>
  <si>
    <t>INH000022109</t>
  </si>
  <si>
    <t>ROHIT ROHIT</t>
  </si>
  <si>
    <t>569 CHA/1052, Prem Nagar, Alambagh</t>
  </si>
  <si>
    <t>researchanalystrohit@gmail.com</t>
  </si>
  <si>
    <t>919250566903</t>
  </si>
  <si>
    <t>NAME::ROHIT</t>
  </si>
  <si>
    <t>ROHIT GHOLAP</t>
  </si>
  <si>
    <t>INH000008455</t>
  </si>
  <si>
    <t>flat no 5, 759/66 datta apt., prabhat road opp deccan police station</t>
  </si>
  <si>
    <t>metarohit@gmail.com</t>
  </si>
  <si>
    <t>May 27, 2021</t>
  </si>
  <si>
    <t>NAME::ROHIT GHOLAP</t>
  </si>
  <si>
    <t>ROHIT MUSALE</t>
  </si>
  <si>
    <t>INH000022279</t>
  </si>
  <si>
    <t>F 29 0 1 Income Tax Colony, Sector 21 22 CBD Belapur</t>
  </si>
  <si>
    <t>rohit.musale@gmail.com</t>
  </si>
  <si>
    <t>919920252971</t>
  </si>
  <si>
    <t>NAME::ROHIT MUSALE</t>
  </si>
  <si>
    <t>RONAK MOONDRA</t>
  </si>
  <si>
    <t>INH000010274</t>
  </si>
  <si>
    <t>Office No. 18, 5th floor,, Navjivan Commercial Premises Co-Coperative Society Limited</t>
  </si>
  <si>
    <t>rounakmoondra@gmail.com</t>
  </si>
  <si>
    <t>400008</t>
  </si>
  <si>
    <t>1St Floor, Prakash No. 1, Block No. 1, , Malabar Hill, B. G. Kher Marg</t>
  </si>
  <si>
    <t>NAME::RONAK MOONDRA</t>
  </si>
  <si>
    <t>RONAK SANTOSHKUMAR GOYAL</t>
  </si>
  <si>
    <t>INH000017143</t>
  </si>
  <si>
    <t>RONAK GOYAL</t>
  </si>
  <si>
    <t>201 2nd floor kautilya complex, opp vivah party plot Anand sojitra road</t>
  </si>
  <si>
    <t>ronaksg94@gmail.com</t>
  </si>
  <si>
    <t>388325</t>
  </si>
  <si>
    <t>NAME::RONAK SANTOSHKUMAR GOYAL</t>
  </si>
  <si>
    <t>RUMPA SARKAR</t>
  </si>
  <si>
    <t>INH000014757</t>
  </si>
  <si>
    <t>C.O. RITA SARKAR,61 UDAYRAJPUR, DAKSHINPARA MADHYAMGRAM</t>
  </si>
  <si>
    <t>kolkatasunday@gmail.com</t>
  </si>
  <si>
    <t>700129</t>
  </si>
  <si>
    <t>NAME::RUMPA SARKAR</t>
  </si>
  <si>
    <t>Rachana A Vaidya</t>
  </si>
  <si>
    <t>INH000012625</t>
  </si>
  <si>
    <t>Rachana Vaidya</t>
  </si>
  <si>
    <t>Fortune Signature E 102 , Near Pushpanjali Hospital Bawadia Kalan</t>
  </si>
  <si>
    <t>dstreetwinners@gmail.com</t>
  </si>
  <si>
    <t>916268075655</t>
  </si>
  <si>
    <t>NAME::RACHANA A VAIDYA</t>
  </si>
  <si>
    <t>Rachit Devendrakumar Jain</t>
  </si>
  <si>
    <t>INH000025850</t>
  </si>
  <si>
    <t>Rachit Jain</t>
  </si>
  <si>
    <t>F-813, ASHIRWAD PARK, CITYLIGHT</t>
  </si>
  <si>
    <t>onlyrachit@gmail.com</t>
  </si>
  <si>
    <t>919377706731</t>
  </si>
  <si>
    <t>NAME::RACHIT DEVENDRAKUMAR JAIN</t>
  </si>
  <si>
    <t>INH000022738</t>
  </si>
  <si>
    <t>Laxmi Narayan Apartment, 6th Floor, 64 , Subarban Park Road</t>
  </si>
  <si>
    <t>ra.rachitjain@gmail.com</t>
  </si>
  <si>
    <t>919988628648</t>
  </si>
  <si>
    <t>NAME::RACHIT JAIN</t>
  </si>
  <si>
    <t>Ragavendhraperumall</t>
  </si>
  <si>
    <t>INH200005832</t>
  </si>
  <si>
    <t>RAGAVENDHRA PERUMALL</t>
  </si>
  <si>
    <t>No 7 ,Vaniputhur Post, Kongarpalayam Salai , Gobichettipalayam</t>
  </si>
  <si>
    <t>ragavperu@gmail.com</t>
  </si>
  <si>
    <t>638506</t>
  </si>
  <si>
    <t>Apr 16, 2018</t>
  </si>
  <si>
    <t>NAME::RAGAVENDHRAPERUMALL</t>
  </si>
  <si>
    <t>INH000021553</t>
  </si>
  <si>
    <t>D 391, Defence Colony</t>
  </si>
  <si>
    <t>rag.malik@gmail.com</t>
  </si>
  <si>
    <t>919810992306</t>
  </si>
  <si>
    <t>NAME::RAGHAV MALIK</t>
  </si>
  <si>
    <t>Raghunandan Madhukar Alavani</t>
  </si>
  <si>
    <t>INA000022738</t>
  </si>
  <si>
    <t>Raghunandan Alavani</t>
  </si>
  <si>
    <t>CTS. No. 2104, F.P.32 A, Plot No. 51, Unit No. 403, Ashayog,Behind SP College Tilak Road</t>
  </si>
  <si>
    <t>raghualavani@gmail.com</t>
  </si>
  <si>
    <t>00919881062112</t>
  </si>
  <si>
    <t>NAME::RAGHUNANDAN MADHUKAR ALAVANI</t>
  </si>
  <si>
    <t>RaghuramanRA</t>
  </si>
  <si>
    <t>INH000013466</t>
  </si>
  <si>
    <t>Raghuraman Premagopalan</t>
  </si>
  <si>
    <t>No 163, III Main, IV Block, IV Cross, BSK III Stage</t>
  </si>
  <si>
    <t>tronicsraghu@gmail.com</t>
  </si>
  <si>
    <t>NAME::RAGHURAMANRA</t>
  </si>
  <si>
    <t>Ragini Mittal</t>
  </si>
  <si>
    <t>INH000025610</t>
  </si>
  <si>
    <t>Agm-49 galla mandi rudrapur, Uttarakhand ,u.s.nagar</t>
  </si>
  <si>
    <t>raginimittal7@gmail.com</t>
  </si>
  <si>
    <t>918077286797</t>
  </si>
  <si>
    <t>RUDRAPUR</t>
  </si>
  <si>
    <t>263153</t>
  </si>
  <si>
    <t>NAME::RAGINI MITTAL</t>
  </si>
  <si>
    <t>Rahul Gundia</t>
  </si>
  <si>
    <t>INH000015817</t>
  </si>
  <si>
    <t>Rahul Gundiya</t>
  </si>
  <si>
    <t>Gram Rotla ,Tehsil Jhabua</t>
  </si>
  <si>
    <t>rahulgun121@gmail.com</t>
  </si>
  <si>
    <t>457661</t>
  </si>
  <si>
    <t>NAME::RAHUL GUNDIA</t>
  </si>
  <si>
    <t>Rahul Jain</t>
  </si>
  <si>
    <t>INA000022792</t>
  </si>
  <si>
    <t>2nd Floor, BE 57, St. No. 2, Hari Nagar, New Delhi</t>
  </si>
  <si>
    <t>jainrahul29991@gmail.com</t>
  </si>
  <si>
    <t>00919988629991</t>
  </si>
  <si>
    <t>110064</t>
  </si>
  <si>
    <t>NAME::RAHUL JAIN</t>
  </si>
  <si>
    <t>INH000023287</t>
  </si>
  <si>
    <t>C-86, FF Vyapar Kendra, , Palam Vihar,</t>
  </si>
  <si>
    <t>torahulj@gmail.com</t>
  </si>
  <si>
    <t>919001989050</t>
  </si>
  <si>
    <t>Rahul Kalra</t>
  </si>
  <si>
    <t>INA000018391</t>
  </si>
  <si>
    <t>101 1st floor A Wing Clover Centre, 7 Moledina Road Pune City</t>
  </si>
  <si>
    <t>raulkalra@gmail.com</t>
  </si>
  <si>
    <t>919594035901</t>
  </si>
  <si>
    <t>NAME::RAHUL KALRA</t>
  </si>
  <si>
    <t>Rahul Rajgopal</t>
  </si>
  <si>
    <t>INA000021933</t>
  </si>
  <si>
    <t>F1/38, Sector-2A, Vaishali</t>
  </si>
  <si>
    <t>rahulrajgopal@gmail.com</t>
  </si>
  <si>
    <t>01204139953</t>
  </si>
  <si>
    <t>NAME::RAHUL RAJGOPAL</t>
  </si>
  <si>
    <t>Raj Rupesh Shah</t>
  </si>
  <si>
    <t>INH000025762</t>
  </si>
  <si>
    <t>Raj Shah</t>
  </si>
  <si>
    <t>D-203, Vasu Darshan Residency, Near Brahmand Residency, Pal, Surat Cit</t>
  </si>
  <si>
    <t>shahraj780@gmail.com</t>
  </si>
  <si>
    <t>NAME::RAJ RUPESH SHAH</t>
  </si>
  <si>
    <t>Rajat Bisht</t>
  </si>
  <si>
    <t>INH000021508</t>
  </si>
  <si>
    <t>B-5505, Street No 115/18, Sant nagar</t>
  </si>
  <si>
    <t>rajat27bisht@gmail.com</t>
  </si>
  <si>
    <t>919968119797</t>
  </si>
  <si>
    <t>NAME::RAJAT BISHT</t>
  </si>
  <si>
    <t>Rajat Devgan</t>
  </si>
  <si>
    <t>INH100007736</t>
  </si>
  <si>
    <t>Daisy-1504, Tower No-13, Paramount Floraville,, Sector-137, Noida Expressway</t>
  </si>
  <si>
    <t>devganrajat9@gmail.com</t>
  </si>
  <si>
    <t>Daisy-1504, Tower No-13, Paramount Floraville, Sector-137, Noida Expressway</t>
  </si>
  <si>
    <t>Aug 18, 2020</t>
  </si>
  <si>
    <t>NAME::RAJAT DEVGAN</t>
  </si>
  <si>
    <t>Rajat Singhania</t>
  </si>
  <si>
    <t>INH000023852</t>
  </si>
  <si>
    <t>RAJAT SINGHANIA</t>
  </si>
  <si>
    <t>W-7/5,Western Avenue, Lower Groud Floor,Sainik Farms</t>
  </si>
  <si>
    <t>ra.rajatsinghania@gmail.com</t>
  </si>
  <si>
    <t>919810048352</t>
  </si>
  <si>
    <t>Nov 21, 2025</t>
  </si>
  <si>
    <t>NAME::RAJAT SINGHANIA</t>
  </si>
  <si>
    <t>Rajesh Ladda</t>
  </si>
  <si>
    <t>INH000013208</t>
  </si>
  <si>
    <t>RAJESH LADDA</t>
  </si>
  <si>
    <t>E-401, Kunal Aspiree, Near Dussera chowk, Balewadi</t>
  </si>
  <si>
    <t>rajesh.ladda@gmail.com</t>
  </si>
  <si>
    <t>NAME::RAJESH LADDA</t>
  </si>
  <si>
    <t>Rajesh Ravindra Satpute</t>
  </si>
  <si>
    <t>INH000005494</t>
  </si>
  <si>
    <t>Rajesh Satpute</t>
  </si>
  <si>
    <t>1170/13, B, Revenue Colony, Shivaji Nagar,, Near Jangli Maharaj Road,</t>
  </si>
  <si>
    <t>rajeshsatpute0@gmail.com</t>
  </si>
  <si>
    <t>918169684001</t>
  </si>
  <si>
    <t>1170/13, B, Revenue Colony, Shivaji Nagar, Near Jangli Maharaj Road,</t>
  </si>
  <si>
    <t>NAME::RAJESH RAVINDRA SATPUTE</t>
  </si>
  <si>
    <t>Rajesh Sudhakar Prabhudesai</t>
  </si>
  <si>
    <t>INA000021906</t>
  </si>
  <si>
    <t>Rajesh Prabhudesai</t>
  </si>
  <si>
    <t>A2 Ashirvad S Keer Marg, Mahim Mumbai</t>
  </si>
  <si>
    <t>rajainvestor@gmail.com</t>
  </si>
  <si>
    <t>00918850623170</t>
  </si>
  <si>
    <t>NAME::RAJESH SUDHAKAR PRABHUDESAI</t>
  </si>
  <si>
    <t>INH000023685</t>
  </si>
  <si>
    <t>Rajesh  Prabhudesai</t>
  </si>
  <si>
    <t>A2 Ashirvad Sitaram Keer Marg Mahim</t>
  </si>
  <si>
    <t>918850623170</t>
  </si>
  <si>
    <t>Rajiv Aggarwal</t>
  </si>
  <si>
    <t>INH100004526</t>
  </si>
  <si>
    <t>Rajiv  Aggarwal</t>
  </si>
  <si>
    <t>CS-25A, 2nd floor, flat no 8, Ganesh Kunj, Krishna Puri Main Road, Laxmi Nagar,East Delhi</t>
  </si>
  <si>
    <t>rajivagg@rediffmail.com</t>
  </si>
  <si>
    <t>Dec 14, 2016</t>
  </si>
  <si>
    <t>NAME::RAJIV AGGARWAL</t>
  </si>
  <si>
    <t>Rajneesh Sharma</t>
  </si>
  <si>
    <t>INH000020332</t>
  </si>
  <si>
    <t>25 A Jagdishpuri Ajmer Road, Heerapura VTC Jaipur</t>
  </si>
  <si>
    <t>Rajneeshcfte@Gmail.Com</t>
  </si>
  <si>
    <t>918800745007</t>
  </si>
  <si>
    <t>NAME::RAJNEESH SHARMA</t>
  </si>
  <si>
    <t>Rajnikant Vinubhai Chauhan</t>
  </si>
  <si>
    <t>INH000021988</t>
  </si>
  <si>
    <t>Rajnikant Chauhan</t>
  </si>
  <si>
    <t>Gandhi Fali, 2297,Viramgam, Viramgam Ahmedabad</t>
  </si>
  <si>
    <t>rajnikantchauhan027@gmail.com</t>
  </si>
  <si>
    <t>918849835021</t>
  </si>
  <si>
    <t>382150</t>
  </si>
  <si>
    <t>NAME::RAJNIKANT VINUBHAI CHAUHAN</t>
  </si>
  <si>
    <t>Raju Angadi Vishwanath</t>
  </si>
  <si>
    <t>INH200007584</t>
  </si>
  <si>
    <t>738 2, 4th Main, 1st Cross, K.B. Extension, Near Rocky Gym, Davangere</t>
  </si>
  <si>
    <t>traderzhut@gmail.com</t>
  </si>
  <si>
    <t>577002</t>
  </si>
  <si>
    <t>738/1 K B Extension 1st cross</t>
  </si>
  <si>
    <t>NAME::RAJU ANGADI VISHWANATH</t>
  </si>
  <si>
    <t>Rajwant Singh</t>
  </si>
  <si>
    <t>INH000016968</t>
  </si>
  <si>
    <t>59 Nanda Ghosh Road, 5th Floor</t>
  </si>
  <si>
    <t>singh.rajwant.86@gmail.com</t>
  </si>
  <si>
    <t>NAME::RAJWANT SINGH</t>
  </si>
  <si>
    <t>Rakesh</t>
  </si>
  <si>
    <t>INA100006773</t>
  </si>
  <si>
    <t>Rakesh Popli</t>
  </si>
  <si>
    <t>67 Ashoka Apartments, A-2 Paschim Vihar</t>
  </si>
  <si>
    <t>rk_popli@yahoo.com</t>
  </si>
  <si>
    <t>110063</t>
  </si>
  <si>
    <t>NAME::RAKESH</t>
  </si>
  <si>
    <t>Rakesh Bansal Ventures</t>
  </si>
  <si>
    <t>INH100008984</t>
  </si>
  <si>
    <t>Rakesh Bansal</t>
  </si>
  <si>
    <t>C-4/115, Safdarjung Development Area, Hauz Khas</t>
  </si>
  <si>
    <t>rakesh1973@yahoo.com</t>
  </si>
  <si>
    <t>Dec 22, 2021</t>
  </si>
  <si>
    <t>NAME::RAKESH BANSAL VENTURES</t>
  </si>
  <si>
    <t>Raman Kumar Verma</t>
  </si>
  <si>
    <t>INA100013861</t>
  </si>
  <si>
    <t>Raman Verma</t>
  </si>
  <si>
    <t>H.N 10/323 Buddhi Vihar, Phase-2</t>
  </si>
  <si>
    <t>ramanverma2015@gmail.com</t>
  </si>
  <si>
    <t>Aug 22, 2019</t>
  </si>
  <si>
    <t>NAME::RAMAN KUMAR VERMA</t>
  </si>
  <si>
    <t>INH000021845</t>
  </si>
  <si>
    <t>H.N 10/323 Buddhi Vihar Phase-2</t>
  </si>
  <si>
    <t>919997980009</t>
  </si>
  <si>
    <t>Ramchandran S Iyer</t>
  </si>
  <si>
    <t>INA000018647</t>
  </si>
  <si>
    <t>602, Virat Ozone, Khambalpada, Kanchangaon, , Near Manjunath College, Dombivli East,</t>
  </si>
  <si>
    <t>ria.ramchandraniyer@gmail.com</t>
  </si>
  <si>
    <t>919653681335</t>
  </si>
  <si>
    <t>NAME::RAMCHANDRAN S IYER</t>
  </si>
  <si>
    <t>Ramesh Nair</t>
  </si>
  <si>
    <t>INH000017684</t>
  </si>
  <si>
    <t>Block No. 12, 2nd Floor, 94 Kadri Park,, S V Road, IRLA, Vile Parle,</t>
  </si>
  <si>
    <t>contact.ramnair@gmail.com</t>
  </si>
  <si>
    <t>Block No. 12, 2nd Floor, 94 Kadri Park, S V Road, IRLA, Vile Parle,</t>
  </si>
  <si>
    <t>NAME::RAMESH NAIR</t>
  </si>
  <si>
    <t>Ramesh Pal</t>
  </si>
  <si>
    <t>INH000021395</t>
  </si>
  <si>
    <t>Ramesh  Pal</t>
  </si>
  <si>
    <t>House no 02, Ishwar Vihar, Sunderwala,, Sunderwala,  Dehradun, Uttarakhand - 248008</t>
  </si>
  <si>
    <t>rameshpal1396@gmail.com</t>
  </si>
  <si>
    <t>919625139313</t>
  </si>
  <si>
    <t>248008</t>
  </si>
  <si>
    <t>House no 02, Ishwar Vihar, Sunderwala, Sunderwala,  Dehradun, Uttarakhand - 248008</t>
  </si>
  <si>
    <t>NAME::RAMESH PAL</t>
  </si>
  <si>
    <t>Rashmi Talmale</t>
  </si>
  <si>
    <t>INH000014517</t>
  </si>
  <si>
    <t>Rashmi  Talmale</t>
  </si>
  <si>
    <t>Plot No 18. Hingna Road, Sai Mandir , Sai Nagar, Digdoh Devi, Hingna</t>
  </si>
  <si>
    <t>rashmi.mirashe@gmail.com</t>
  </si>
  <si>
    <t>440016</t>
  </si>
  <si>
    <t>NAME::RASHMI TALMALE</t>
  </si>
  <si>
    <t>Ratnasri Karra</t>
  </si>
  <si>
    <t>INA200009582</t>
  </si>
  <si>
    <t>32, 10th Main, Laughing Waters, , Old Airport Varthur Road, Ramagundanahalli</t>
  </si>
  <si>
    <t>kratnasri@gmail.com</t>
  </si>
  <si>
    <t>NAME::RATNASRI KARRA</t>
  </si>
  <si>
    <t>Ratnesh Thakkar</t>
  </si>
  <si>
    <t>INH000028264</t>
  </si>
  <si>
    <t>163-A Shri Krishna Avenue phase-1 Limbodi</t>
  </si>
  <si>
    <t>ratnesh.tk.85@gmail.com</t>
  </si>
  <si>
    <t>00009755592387</t>
  </si>
  <si>
    <t>NAME::RATNESH THAKKAR</t>
  </si>
  <si>
    <t>Ravi Chouhan</t>
  </si>
  <si>
    <t>INH000019451</t>
  </si>
  <si>
    <t>27 Rajendra Nagar,Agar Road</t>
  </si>
  <si>
    <t>ravich298@gmail.com</t>
  </si>
  <si>
    <t>919977888734</t>
  </si>
  <si>
    <t>NAME::RAVI CHOUHAN</t>
  </si>
  <si>
    <t>Ravi Kumar Sharma</t>
  </si>
  <si>
    <t>INH100007116</t>
  </si>
  <si>
    <t>Ravi  Sharma</t>
  </si>
  <si>
    <t>283/65/63 KA, PREMVATI NAGAR GARHI KANAURA POST MANAK NAGAR</t>
  </si>
  <si>
    <t>ravisuvin@gmail.com</t>
  </si>
  <si>
    <t>226011</t>
  </si>
  <si>
    <t>NAME::RAVI KUMAR SHARMA</t>
  </si>
  <si>
    <t>Reema Chhabra Bindra</t>
  </si>
  <si>
    <t>INH000024286</t>
  </si>
  <si>
    <t>A-404, 4th FLOOR, ATHARVA APARTMENT, , KOPRINAKA, VIRAR EAST DISST PALGHAR</t>
  </si>
  <si>
    <t>reemachhabra.mumbai@gmail.com</t>
  </si>
  <si>
    <t>918421422814</t>
  </si>
  <si>
    <t>NAME::REEMA CHHABRA BINDRA</t>
  </si>
  <si>
    <t>Researchvia</t>
  </si>
  <si>
    <t>INH000011538</t>
  </si>
  <si>
    <t>129A Kalani Bagh, Dewas</t>
  </si>
  <si>
    <t>dubeyji2805@gmail.com</t>
  </si>
  <si>
    <t>Mar 01, 2023</t>
  </si>
  <si>
    <t>NAME::RESEARCHVIA</t>
  </si>
  <si>
    <t>Revathi Priya Balraj</t>
  </si>
  <si>
    <t>INA200011666</t>
  </si>
  <si>
    <t>12,Ezhil Nagar,Ondipudhur,Coimbatore</t>
  </si>
  <si>
    <t>revathipriya.kce@gmail.com</t>
  </si>
  <si>
    <t>641016</t>
  </si>
  <si>
    <t>Sep 10, 2018</t>
  </si>
  <si>
    <t>NAME::REVATHI PRIYA BALRAJ</t>
  </si>
  <si>
    <t>Rinshad P P</t>
  </si>
  <si>
    <t>INA000017675</t>
  </si>
  <si>
    <t>Ground Floor ,Abida Tower, Tirur road, Kottakkal</t>
  </si>
  <si>
    <t>pprinshad@gmail.com</t>
  </si>
  <si>
    <t>918891990999</t>
  </si>
  <si>
    <t>676503</t>
  </si>
  <si>
    <t>NAME::RINSHAD P P</t>
  </si>
  <si>
    <t>Rishab Gupta</t>
  </si>
  <si>
    <t>INH000025665</t>
  </si>
  <si>
    <t>Kazipura, Near Clock Tower, Bahraich</t>
  </si>
  <si>
    <t>rishabg886@gmail.com</t>
  </si>
  <si>
    <t>918630862790</t>
  </si>
  <si>
    <t>271801</t>
  </si>
  <si>
    <t>NAME::RISHAB GUPTA</t>
  </si>
  <si>
    <t>Rishab Kalyani</t>
  </si>
  <si>
    <t>INH000027502</t>
  </si>
  <si>
    <t>Rishabh Kalyani</t>
  </si>
  <si>
    <t>Newtown Square, Atghora, Chinar Park,, 3rd Floor Unit No 3D Room no 5</t>
  </si>
  <si>
    <t>kalyanirishab@gmail.com</t>
  </si>
  <si>
    <t>0009733052446</t>
  </si>
  <si>
    <t>Newtown Square, Atghora, Chinar Park, 3rd Floor Unit No 3D Room no 5</t>
  </si>
  <si>
    <t>NAME::RISHAB KALYANI</t>
  </si>
  <si>
    <t>Rishab Singh Dheer</t>
  </si>
  <si>
    <t>INH000019132</t>
  </si>
  <si>
    <t>3rd Floor, VVIP Residency, Khasra No. 52, Kanwali, Pargana Central Doon</t>
  </si>
  <si>
    <t>rishabtrader712@gmail.com</t>
  </si>
  <si>
    <t>919897560662</t>
  </si>
  <si>
    <t>NAME::RISHAB SINGH DHEER</t>
  </si>
  <si>
    <t>Rishabh Tanwar</t>
  </si>
  <si>
    <t>INH100009293</t>
  </si>
  <si>
    <t>GH 13/247 PASCHIM VIHAR, NEW DELHI</t>
  </si>
  <si>
    <t>rishabhtanwar25@gmail.com</t>
  </si>
  <si>
    <t>110087</t>
  </si>
  <si>
    <t>NAME::RISHABH TANWAR</t>
  </si>
  <si>
    <t>Rishav Talukdar</t>
  </si>
  <si>
    <t>INH000027575</t>
  </si>
  <si>
    <t>64 PAIKPARA 1st, ROW</t>
  </si>
  <si>
    <t>talukdar176@gmail.com</t>
  </si>
  <si>
    <t>918444967101</t>
  </si>
  <si>
    <t>NAME::RISHAV TALUKDAR</t>
  </si>
  <si>
    <t>Rishi Dilip Mody</t>
  </si>
  <si>
    <t>INH000027326</t>
  </si>
  <si>
    <t>Rishi Mody</t>
  </si>
  <si>
    <t>1004 Amarsons Entallia,, 557 Adenwala Rd</t>
  </si>
  <si>
    <t>rdmamc@gmail.com</t>
  </si>
  <si>
    <t>00008976298022</t>
  </si>
  <si>
    <t>NAME::RISHI DILIP MODY</t>
  </si>
  <si>
    <t>Ritesh Chouksey</t>
  </si>
  <si>
    <t>INA000010344</t>
  </si>
  <si>
    <t>Ritesh  Chouksey</t>
  </si>
  <si>
    <t>Z-22,Office Number A-1 Ground Floor , MP Nagar,</t>
  </si>
  <si>
    <t>ritesh.chouksey@gmail.com</t>
  </si>
  <si>
    <t>H.No.1, Prakash Bhawan, Hathaikheda Road, Anand Nagar</t>
  </si>
  <si>
    <t>NAME::RITESH CHOUKSEY</t>
  </si>
  <si>
    <t>Ritwik Rai</t>
  </si>
  <si>
    <t>INA000011875</t>
  </si>
  <si>
    <t>Bldg 7, Flat 5, Twinkle Star CHS, Ghatle Village Rd,Chembur</t>
  </si>
  <si>
    <t>ritwik.rai@hotmail.com</t>
  </si>
  <si>
    <t>919930538880</t>
  </si>
  <si>
    <t>NAME::RITWIK RAI</t>
  </si>
  <si>
    <t>Robins Joseph</t>
  </si>
  <si>
    <t>INA100013700</t>
  </si>
  <si>
    <t>D 101 , 1st Floor, Sec 26</t>
  </si>
  <si>
    <t>robinsjoseph1@gmail.com</t>
  </si>
  <si>
    <t>9811031535</t>
  </si>
  <si>
    <t>NAME::ROBINS JOSEPH</t>
  </si>
  <si>
    <t>Rocket Trades</t>
  </si>
  <si>
    <t>INH200002978</t>
  </si>
  <si>
    <t>Harshita N Birani</t>
  </si>
  <si>
    <t>3708, Nethravathy Block, Nandi Enclave,, Bhuwaneshwari Nagar, Banashankari 3rd Stage</t>
  </si>
  <si>
    <t>kediapinky@gmail.com</t>
  </si>
  <si>
    <t>919742138076</t>
  </si>
  <si>
    <t>3708,Nethravathy Block, Nandi Enclave, Bhuwaneshwari Nagar, BSK 3rd Stage</t>
  </si>
  <si>
    <t>May 10, 2016</t>
  </si>
  <si>
    <t>NAME::ROCKET TRADES</t>
  </si>
  <si>
    <t>Rohan</t>
  </si>
  <si>
    <t>INH000032382</t>
  </si>
  <si>
    <t>Rohan Shinde</t>
  </si>
  <si>
    <t>Chart Levels,Shinde Office,Near Prathamesh Heights,, Behind Dena Bank,L.B.S Road,Bhandup West.</t>
  </si>
  <si>
    <t>rohan.sunil.shinde@gmail.com</t>
  </si>
  <si>
    <t>302,Prathamesh Heights,Near Joy Homes, Behind Dena Bank,L.B.S Road,Bhandup West</t>
  </si>
  <si>
    <t>Jan 25, 2017</t>
  </si>
  <si>
    <t>NAME::ROHAN</t>
  </si>
  <si>
    <t>Rohan Atulkumar Desai</t>
  </si>
  <si>
    <t>INH000025814</t>
  </si>
  <si>
    <t>Rohan Desai</t>
  </si>
  <si>
    <t>Office No. 401,Valentina Business Hub,beside  Shell Petrol Pump, L.P. Savani School Road, Adajan</t>
  </si>
  <si>
    <t>r.a.desai1987@gmail.com</t>
  </si>
  <si>
    <t>0916352986849</t>
  </si>
  <si>
    <t>NAME::ROHAN ATULKUMAR DESAI</t>
  </si>
  <si>
    <t>Rohan Kumar Sahu</t>
  </si>
  <si>
    <t>INH000019026</t>
  </si>
  <si>
    <t>Rohan Sahu</t>
  </si>
  <si>
    <t>254A by 11, Nayapurwa Nikoli, Nayapura</t>
  </si>
  <si>
    <t>ra.rohansahu@gmail.com</t>
  </si>
  <si>
    <t>919451346269</t>
  </si>
  <si>
    <t>211002</t>
  </si>
  <si>
    <t>NAME::ROHAN KUMAR SAHU</t>
  </si>
  <si>
    <t>Rohan Tyagi</t>
  </si>
  <si>
    <t>INH000010724</t>
  </si>
  <si>
    <t>20, Jeevan Dhara,, Ambedkar Road, Bandra West</t>
  </si>
  <si>
    <t>rohan29994@gmail.com</t>
  </si>
  <si>
    <t>919820094395</t>
  </si>
  <si>
    <t>20, Jeevan Dhara, Ambedkar Road, Bandra West</t>
  </si>
  <si>
    <t>NAME::ROHAN TYAGI</t>
  </si>
  <si>
    <t>Rohit Deepak Kripalani</t>
  </si>
  <si>
    <t>INH000021298</t>
  </si>
  <si>
    <t>Rohit Kripalani</t>
  </si>
  <si>
    <t>601 B Villa Queenie , 16th Road Bandra West</t>
  </si>
  <si>
    <t>rohitkriplani@gmail.com</t>
  </si>
  <si>
    <t>919870244533</t>
  </si>
  <si>
    <t>NAME::ROHIT DEEPAK KRIPALANI</t>
  </si>
  <si>
    <t>Rohit Mehta</t>
  </si>
  <si>
    <t>INH100009080</t>
  </si>
  <si>
    <t>24 77 Street no 7, New Abadi, Opp Ashok Vihar</t>
  </si>
  <si>
    <t>rmehta9915@gmail.com</t>
  </si>
  <si>
    <t>Feb 04, 2022</t>
  </si>
  <si>
    <t>NAME::ROHIT MEHTA</t>
  </si>
  <si>
    <t>Rohit Tripathi</t>
  </si>
  <si>
    <t>INH000022543</t>
  </si>
  <si>
    <t>Rohit  Tripathi</t>
  </si>
  <si>
    <t>8th Floor Imperial Tower, Plot No. 252 El-821,, CP 67,  Sector 67, Punjab</t>
  </si>
  <si>
    <t>rohitink@live.com</t>
  </si>
  <si>
    <t>919779332817</t>
  </si>
  <si>
    <t>8th Floor Imperial Tower, Plot No. 252 El-821, CP 67,  Sector 67, Punjab</t>
  </si>
  <si>
    <t>NAME::ROHIT TRIPATHI</t>
  </si>
  <si>
    <t>Ronak Kumar Maloo</t>
  </si>
  <si>
    <t>INH200007140</t>
  </si>
  <si>
    <t>Ronak Maloo</t>
  </si>
  <si>
    <t>27, Ayya Mudali Street, Sowcarpet</t>
  </si>
  <si>
    <t>ronakmaloo.we@gmail.com</t>
  </si>
  <si>
    <t>NAME::RONAK KUMAR MALOO</t>
  </si>
  <si>
    <t>Ruchita Vijaykumar Shah</t>
  </si>
  <si>
    <t>INH000016995</t>
  </si>
  <si>
    <t>Ruchita Shah</t>
  </si>
  <si>
    <t>12, Mangal Prabha flats, Opp. Sonal hospital</t>
  </si>
  <si>
    <t>itruchita@gmail.com</t>
  </si>
  <si>
    <t>NAME::RUCHITA VIJAYKUMAR SHAH</t>
  </si>
  <si>
    <t>Rukhsar Begum Munawwer Khan</t>
  </si>
  <si>
    <t>INH000024028</t>
  </si>
  <si>
    <t>Rukhsar Begum Khan</t>
  </si>
  <si>
    <t>Shop No S 71, Haware Fantasia Business Park, Sector 30A, Plot No. 47 Vashi,</t>
  </si>
  <si>
    <t>krukhs061@gmail.com</t>
  </si>
  <si>
    <t>917900017702</t>
  </si>
  <si>
    <t>NAME::RUKHSAR BEGUM MUNAWWER KHAN</t>
  </si>
  <si>
    <t>Rupal Saraogi</t>
  </si>
  <si>
    <t>INH300009880</t>
  </si>
  <si>
    <t>5 h Palm Avenue, Kesarkunj Building</t>
  </si>
  <si>
    <t>rupalagarwal8441@gmail.com</t>
  </si>
  <si>
    <t>NAME::RUPAL SARAOGI</t>
  </si>
  <si>
    <t>S Annamalai</t>
  </si>
  <si>
    <t>INH200007575</t>
  </si>
  <si>
    <t>Annamalai S</t>
  </si>
  <si>
    <t>Ai block, no. 16/118 , 8th Main Road, annanagar</t>
  </si>
  <si>
    <t>dsl.sa2015@gmail.com</t>
  </si>
  <si>
    <t>1069, officers colony, annanagar west extension</t>
  </si>
  <si>
    <t>Mar 03, 2020</t>
  </si>
  <si>
    <t>NAME::S ANNAMALAI</t>
  </si>
  <si>
    <t>S Harish Chandan</t>
  </si>
  <si>
    <t>INH000012768</t>
  </si>
  <si>
    <t>G01, No. 787, Parvathi Enclave, 1st Cross, 3rd Main, 5th Stage, BEML Layout, Rajarajeshwari Nagar</t>
  </si>
  <si>
    <t>harishschandan@gmail.com</t>
  </si>
  <si>
    <t>NAME::S HARISH CHANDAN</t>
  </si>
  <si>
    <t>S JAGADISH</t>
  </si>
  <si>
    <t>INH000026910</t>
  </si>
  <si>
    <t>S JAGADISH JAGADISH</t>
  </si>
  <si>
    <t>4-1-15, Patnool Street</t>
  </si>
  <si>
    <t>settyjagadeesh65@gmail.com</t>
  </si>
  <si>
    <t>007093412864</t>
  </si>
  <si>
    <t>NAME::S JAGADISH</t>
  </si>
  <si>
    <t>S MEENAKSHI SUNDAR</t>
  </si>
  <si>
    <t>INA000018629</t>
  </si>
  <si>
    <t>K 7068, Devinder Vihar, , Sector 56</t>
  </si>
  <si>
    <t>sundar1729@gmail.com</t>
  </si>
  <si>
    <t>919899107801</t>
  </si>
  <si>
    <t>NAME::S MEENAKSHI SUNDAR</t>
  </si>
  <si>
    <t>S. KARTHIKEYAN</t>
  </si>
  <si>
    <t>INH200001384</t>
  </si>
  <si>
    <t>S.  KARTHIKEYAN</t>
  </si>
  <si>
    <t>750/1, POONGA NAGAR, CIVIL AERODROME (P.O.)</t>
  </si>
  <si>
    <t>prof.skn@gmail.com</t>
  </si>
  <si>
    <t>919080746816</t>
  </si>
  <si>
    <t>641014</t>
  </si>
  <si>
    <t>750/1, Poonga Nagar, Civil Aerodrome (P.O.)</t>
  </si>
  <si>
    <t>NAME::S KARTHIKEYAN</t>
  </si>
  <si>
    <t>SACHIN GUPTA</t>
  </si>
  <si>
    <t>INH000010168</t>
  </si>
  <si>
    <t>Flat no.306, 3rd Floor, Manish Darshan, J.B. Nagar, Andheri East</t>
  </si>
  <si>
    <t>guptasachinn2012@gmail.com</t>
  </si>
  <si>
    <t>919584831985</t>
  </si>
  <si>
    <t>NAME::SACHIN GUPTA</t>
  </si>
  <si>
    <t>SACHIN MAHESH WALAVALKAR</t>
  </si>
  <si>
    <t>INA000000805</t>
  </si>
  <si>
    <t>601, JALTARANG LOKPURAM CHS, D-II, GLADY ALVARES ROAD, MAJIWADE, OPP. HIRANANDANI MEADOWS, OFF. POKHRAN ROAD NO. 2</t>
  </si>
  <si>
    <t>fortuneinvestme@yahoo.co.in</t>
  </si>
  <si>
    <t>2225479191</t>
  </si>
  <si>
    <t>B 32, Building No. 2, Vinayak Bhavan, Kolbad Road, Khopat,</t>
  </si>
  <si>
    <t>Jan 08, 2014</t>
  </si>
  <si>
    <t>NAME::SACHIN MAHESH WALAVALKAR</t>
  </si>
  <si>
    <t>SACHIN VIJAY GHAG</t>
  </si>
  <si>
    <t>INH000021809</t>
  </si>
  <si>
    <t>SACHIN GHAG</t>
  </si>
  <si>
    <t>Block 3 SN082 Nav Rachana Coop Soc, Gandhi Nagar</t>
  </si>
  <si>
    <t>sachin.scorpio78@gmail.com</t>
  </si>
  <si>
    <t>919004320341</t>
  </si>
  <si>
    <t>NAME::SACHIN VIJAY GHAG</t>
  </si>
  <si>
    <t>SAGAR BALASAHEB SHELAR</t>
  </si>
  <si>
    <t>INH000017611</t>
  </si>
  <si>
    <t>SAGAR SHELAR</t>
  </si>
  <si>
    <t>Unit No. 604, Plot No, A-69&amp;A70,, Oriana Business Park, Road No 22 Wagle Estate Thane West</t>
  </si>
  <si>
    <t>shelarsagar1997@gmail.com</t>
  </si>
  <si>
    <t>Unit No. 604, Plot No, A-69&amp;A70, Oriana Business Park, Road No 22 Wagle Estate Thane West</t>
  </si>
  <si>
    <t>NAME::SAGAR BALASAHEB SHELAR</t>
  </si>
  <si>
    <t>SAGAR PATEL</t>
  </si>
  <si>
    <t>INH000014289</t>
  </si>
  <si>
    <t>H.No 9, Printers Ghatkarpar Marg, Freeganj</t>
  </si>
  <si>
    <t>sagarpatel2604@gmail.com</t>
  </si>
  <si>
    <t>NAME::SAGAR PATEL</t>
  </si>
  <si>
    <t>SAHANA DERANNA RAI</t>
  </si>
  <si>
    <t>INH000024532</t>
  </si>
  <si>
    <t>SAHANA RAI</t>
  </si>
  <si>
    <t>D.NO. 4-4-46, Second Floor, Silver Mine Building,, Kinnimulki,Udupi District,</t>
  </si>
  <si>
    <t>sahanava143@gmail.com</t>
  </si>
  <si>
    <t>918618670361</t>
  </si>
  <si>
    <t>576101</t>
  </si>
  <si>
    <t>D.NO. 4-4-46, Second Floor, Silver Mine Building, Kinnimulki,Udupi District,</t>
  </si>
  <si>
    <t>NAME::SAHANA DERANNA RAI</t>
  </si>
  <si>
    <t>SAHIB SINGH HORA</t>
  </si>
  <si>
    <t>INH000026266</t>
  </si>
  <si>
    <t>SAHIB HORA</t>
  </si>
  <si>
    <t>86/2 Opposite Ice factory, Prem Nagar, Madan mahal</t>
  </si>
  <si>
    <t>sahib13singh13@gmail.com</t>
  </si>
  <si>
    <t>919098887210</t>
  </si>
  <si>
    <t>NAME::SAHIB SINGH HORA</t>
  </si>
  <si>
    <t>SAHIL VERMA</t>
  </si>
  <si>
    <t>INH000023463</t>
  </si>
  <si>
    <t>Sahil Verma</t>
  </si>
  <si>
    <t>183  Bairampur, Kosli, District Rewari, Haryana</t>
  </si>
  <si>
    <t>sahilverma70914@gmail.com</t>
  </si>
  <si>
    <t>918800215106</t>
  </si>
  <si>
    <t>123301</t>
  </si>
  <si>
    <t>NAME::SAHIL VERMA</t>
  </si>
  <si>
    <t>SAIQUA PARVEEN</t>
  </si>
  <si>
    <t>INH000027034</t>
  </si>
  <si>
    <t>Gali no.5, Ward No.25, Gulzarbagh, Bikramganj</t>
  </si>
  <si>
    <t>saiquaparveen87@gmail.com</t>
  </si>
  <si>
    <t>802212</t>
  </si>
  <si>
    <t>NAME::SAIQUA PARVEEN</t>
  </si>
  <si>
    <t>SAKSHAM SHARMA</t>
  </si>
  <si>
    <t>INA000022613</t>
  </si>
  <si>
    <t>SAKSHAM  SHARMA</t>
  </si>
  <si>
    <t>FN. Deffodil A3 TF Neelkanth 9D West Model Town, Ghaziabad</t>
  </si>
  <si>
    <t>sksmail3011@gmail.com</t>
  </si>
  <si>
    <t>00919958446125</t>
  </si>
  <si>
    <t>NAME::SAKSHAM SHARMA</t>
  </si>
  <si>
    <t>SALMA SONY</t>
  </si>
  <si>
    <t>INA000017222</t>
  </si>
  <si>
    <t>Salma Sony</t>
  </si>
  <si>
    <t>B 401 Fortune Sky City Apartment Dahej Bypass Road Opp, Bawa Rehan Dargah Near Khwaja Township Bharuch Gujarat</t>
  </si>
  <si>
    <t>salmasony.cfp@gmail.com</t>
  </si>
  <si>
    <t>918180923895</t>
  </si>
  <si>
    <t>392001</t>
  </si>
  <si>
    <t>FLAT NO. T-4, EMARAT TAUSEEF, CHITKOHRA, REV.THANA NO.17, POST OFFICE ANISABAD, P.S GARDANIBAGH</t>
  </si>
  <si>
    <t>NAME::SALMA SONY</t>
  </si>
  <si>
    <t>SAMEER SAKURIKAR</t>
  </si>
  <si>
    <t>INA000022118</t>
  </si>
  <si>
    <t>A2-201, Paramount Pilatus, 80 feet road, Arekere, Off bannergatta road</t>
  </si>
  <si>
    <t>sameersakurikar@yahoo.com</t>
  </si>
  <si>
    <t>NAME::SAMEER SAKURIKAR</t>
  </si>
  <si>
    <t>SAMEER SATISH MEKDE</t>
  </si>
  <si>
    <t>INH000010946</t>
  </si>
  <si>
    <t>SAMEER MEKDE</t>
  </si>
  <si>
    <t>G 2, Building No. 1, Prabhadevi C.H.S, Rajabhau Desai Marg, New Prabhadevi</t>
  </si>
  <si>
    <t>SAMEERMEKDE@GMAIL.COM</t>
  </si>
  <si>
    <t>NAME::SAMEER SATISH MEKDE</t>
  </si>
  <si>
    <t>SAMEER VINAYAK JOSHI</t>
  </si>
  <si>
    <t>INA000021447</t>
  </si>
  <si>
    <t>SAMEER JOSHI</t>
  </si>
  <si>
    <t>32 ALAMNDA GLENDALE SOC, GLADY ALVARES ROAD, THANE</t>
  </si>
  <si>
    <t>VJSAMEER@YAHOO.CO.IN</t>
  </si>
  <si>
    <t>00919820731116</t>
  </si>
  <si>
    <t>NAME::SAMEER VINAYAK JOSHI</t>
  </si>
  <si>
    <t>SAMIR AGGARWAL</t>
  </si>
  <si>
    <t>INH000027487</t>
  </si>
  <si>
    <t>SAMIR  AGGARWAL</t>
  </si>
  <si>
    <t>A5/3, Rana Pratap Bagh,, 2nd Floor</t>
  </si>
  <si>
    <t>ca.samir@gmail.com</t>
  </si>
  <si>
    <t>00001147500937</t>
  </si>
  <si>
    <t>A5/3, Rana Pratap Bagh, 2nd Floor</t>
  </si>
  <si>
    <t>NAME::SAMIR AGGARWAL</t>
  </si>
  <si>
    <t>SAMRI TECHNOLOGIES</t>
  </si>
  <si>
    <t>INH100009451</t>
  </si>
  <si>
    <t>Mridul Agarwal</t>
  </si>
  <si>
    <t>701, Sukh Shanti Apartments, Sector 56</t>
  </si>
  <si>
    <t>mridulagarwal8@gmail.com</t>
  </si>
  <si>
    <t>09101244991632</t>
  </si>
  <si>
    <t>122012</t>
  </si>
  <si>
    <t>NAME::SAMRI TECHNOLOGIES</t>
  </si>
  <si>
    <t>SANAL P</t>
  </si>
  <si>
    <t>INH000022880</t>
  </si>
  <si>
    <t>Navaneetham, Panthalathu Veedu, Elavampadam</t>
  </si>
  <si>
    <t>sanal.pandalath@gmail.com</t>
  </si>
  <si>
    <t>0919847917914</t>
  </si>
  <si>
    <t>678684</t>
  </si>
  <si>
    <t>NAME::SANAL P</t>
  </si>
  <si>
    <t>SANDEEP RINWA</t>
  </si>
  <si>
    <t>INH000027098</t>
  </si>
  <si>
    <t>Ward No. 18, Shyampura Road, Near Krishna Marriage Garden, Balaji Vihar, Sikar</t>
  </si>
  <si>
    <t>tradexa02@gmail.com</t>
  </si>
  <si>
    <t>919509966984</t>
  </si>
  <si>
    <t>NAME::SANDEEP RINWA</t>
  </si>
  <si>
    <t>SANDEEP TULSYAN</t>
  </si>
  <si>
    <t>INH000023162</t>
  </si>
  <si>
    <t>89 salkia school road, bangeswar apt, salkia, howrah</t>
  </si>
  <si>
    <t>sam1710@gmail.com</t>
  </si>
  <si>
    <t>03326757671</t>
  </si>
  <si>
    <t>NAME::SANDEEP TULSYAN</t>
  </si>
  <si>
    <t>SANDIP SABHARWAL</t>
  </si>
  <si>
    <t>INA000000425</t>
  </si>
  <si>
    <t>2202,MARATHON HEIGHTS,PANDURANG BUDHKAR MARG, LOWER PAREL</t>
  </si>
  <si>
    <t>sandipsabh@yahoo.co.in</t>
  </si>
  <si>
    <t>2230828575</t>
  </si>
  <si>
    <t>2202,Marathon Heights,Pandurang Budhkar Marg, Lower Parel</t>
  </si>
  <si>
    <t>Dec 05, 2013</t>
  </si>
  <si>
    <t>NAME::SANDIP SABHARWAL</t>
  </si>
  <si>
    <t>SANGITA RANI</t>
  </si>
  <si>
    <t>INH100008780</t>
  </si>
  <si>
    <t>HOUSE NO 120 C, FIRST FLOOR, PRTI APARTMENT, BAGDOLA VILLAGE</t>
  </si>
  <si>
    <t>IAMSANGITARANI@GMAIL.COM</t>
  </si>
  <si>
    <t>918010860930</t>
  </si>
  <si>
    <t>110077</t>
  </si>
  <si>
    <t>NAME::SANGITA RANI</t>
  </si>
  <si>
    <t>SANICA VISHWAJEET DHAMNASKAR</t>
  </si>
  <si>
    <t>INA000021289</t>
  </si>
  <si>
    <t>Sanica Dhamnaskar</t>
  </si>
  <si>
    <t>15/203, GULMOHAR, VASANT VIHAR, THANE WEST</t>
  </si>
  <si>
    <t>svd8816@gmail.com</t>
  </si>
  <si>
    <t>00919987414893</t>
  </si>
  <si>
    <t>NAME::SANICA VISHWAJEET DHAMNASKAR</t>
  </si>
  <si>
    <t>SANJAY CHHABRIA</t>
  </si>
  <si>
    <t>INH000001592</t>
  </si>
  <si>
    <t>MIG-11, M.P. HOUSING BOARD COLONY, KATORA TALAB</t>
  </si>
  <si>
    <t>valueinv@gmail.com</t>
  </si>
  <si>
    <t>7712427069</t>
  </si>
  <si>
    <t>Aug 26, 2015</t>
  </si>
  <si>
    <t>NAME::SANJAY CHHABRIA</t>
  </si>
  <si>
    <t>SANJAY NANDLAL AHUJA</t>
  </si>
  <si>
    <t>INH000020439</t>
  </si>
  <si>
    <t>SANJAY AHUJA</t>
  </si>
  <si>
    <t>K 901 Jaipuria Sunrise Greens, Ahinsa Khand Indirapuram</t>
  </si>
  <si>
    <t>sanjayahuja75@rediffmail.com</t>
  </si>
  <si>
    <t>919650874422</t>
  </si>
  <si>
    <t>NAME::SANJAY NANDLAL AHUJA</t>
  </si>
  <si>
    <t>SANJEEV PRADHAN</t>
  </si>
  <si>
    <t>INH000014988</t>
  </si>
  <si>
    <t>Sanjeev Pradhan</t>
  </si>
  <si>
    <t>Ga plot no.980, Bharatpur</t>
  </si>
  <si>
    <t>sanjeevpradhan.cbi@gmail.com</t>
  </si>
  <si>
    <t>919438910060</t>
  </si>
  <si>
    <t>751003</t>
  </si>
  <si>
    <t>NAME::SANJEEV PRADHAN</t>
  </si>
  <si>
    <t>SANKALPNARAYAN KRISHNAN</t>
  </si>
  <si>
    <t>INA000015950</t>
  </si>
  <si>
    <t>S/o Narayan Krishnan, Flat no. 602, Tower-B, Balaji Garden,, Scheme 6, Road no. 5, Opp. Indian Gymkhana, King's Circle, Matunga (East)</t>
  </si>
  <si>
    <t>sankalp.krishnan@yahoo.com</t>
  </si>
  <si>
    <t>S/o Narayan Krishnan, Flat no. 602, Tower-B, Balaji Garden, Scheme 6, Road no. 5, Opp. Indian Gymkhana, King's Circle, Matunga (East)</t>
  </si>
  <si>
    <t>NAME::SANKALPNARAYAN KRISHNAN</t>
  </si>
  <si>
    <t>SANTHOSH A</t>
  </si>
  <si>
    <t>INH200007061</t>
  </si>
  <si>
    <t>sevigounder street</t>
  </si>
  <si>
    <t>santhoshcaption123@gmail.com</t>
  </si>
  <si>
    <t>636008</t>
  </si>
  <si>
    <t>Apr 12, 2019</t>
  </si>
  <si>
    <t>NAME::SANTHOSH A</t>
  </si>
  <si>
    <t>SARTHAK MANISH CHHALLANY</t>
  </si>
  <si>
    <t>INH000024903</t>
  </si>
  <si>
    <t>SARTHAK CHHALLANY</t>
  </si>
  <si>
    <t>SHOP NO 309 SADODAY PALZA ,C A ROAD, Nagpur</t>
  </si>
  <si>
    <t>JAINSARTHAK2710@GMAIL.COM</t>
  </si>
  <si>
    <t>917083025700</t>
  </si>
  <si>
    <t>NAME::SARTHAK MANISH CHHALLANY</t>
  </si>
  <si>
    <t>SARVENDRA SRIVASTAVA</t>
  </si>
  <si>
    <t>INH000002020</t>
  </si>
  <si>
    <t>C-103, ASHADEEP,OPP VIJAY SALES,, MIRA BHAYANDER ROAD,</t>
  </si>
  <si>
    <t>sarvendra007@gmail.com</t>
  </si>
  <si>
    <t>2226843257</t>
  </si>
  <si>
    <t>C-103, Ashadeep,Opp Vijay sales, Mira Bhayander Road,</t>
  </si>
  <si>
    <t>NAME::SARVENDRA SRIVASTAVA</t>
  </si>
  <si>
    <t>SASIKUMAR PEYYALA</t>
  </si>
  <si>
    <t>INH000019327</t>
  </si>
  <si>
    <t>1 2  4, 29 4 Kummaripalem Centerr, Near D S M, High School, Vidyadharapuram, Vijayawada</t>
  </si>
  <si>
    <t>spkumar.researchanalyst@gmail.com</t>
  </si>
  <si>
    <t>917702262206</t>
  </si>
  <si>
    <t>VIJAYAWADA</t>
  </si>
  <si>
    <t>520012</t>
  </si>
  <si>
    <t>NAME::SASIKUMAR PEYYALA</t>
  </si>
  <si>
    <t>SATISH VISHWAKARMA</t>
  </si>
  <si>
    <t>INH000023612</t>
  </si>
  <si>
    <t>23 , MANASA</t>
  </si>
  <si>
    <t>satishvi750@gmail.com</t>
  </si>
  <si>
    <t>9107220176301</t>
  </si>
  <si>
    <t>455118</t>
  </si>
  <si>
    <t>NAME::SATISH VISHWAKARMA</t>
  </si>
  <si>
    <t>SAUMIL TUSHAR NAIK</t>
  </si>
  <si>
    <t>INH000027344</t>
  </si>
  <si>
    <t>SAUMIL NAIK</t>
  </si>
  <si>
    <t>1ST FLOOR NEW MANKAR BLDG, OPP PRABHADEVI TEMPLE</t>
  </si>
  <si>
    <t>saumil.arthelan@gmail.com</t>
  </si>
  <si>
    <t>00008655411519</t>
  </si>
  <si>
    <t>NAME::SAUMIL TUSHAR NAIK</t>
  </si>
  <si>
    <t>SAURABH MITTAL</t>
  </si>
  <si>
    <t>INH000022835</t>
  </si>
  <si>
    <t>A 5, KHATU SHYAM APARTMENT MOTI COLONY PALWAL</t>
  </si>
  <si>
    <t>Ra.saurabhmittal@gmail.com</t>
  </si>
  <si>
    <t>917877788291</t>
  </si>
  <si>
    <t>NAME::SAURABH MITTAL</t>
  </si>
  <si>
    <t>SAYAN SHAW</t>
  </si>
  <si>
    <t>INH000024125</t>
  </si>
  <si>
    <t>SAYAN  SHAW</t>
  </si>
  <si>
    <t>Sukdebpur Panditpara, LP 11/31, Ganipur, Maheshtala, South 24 Parganas</t>
  </si>
  <si>
    <t>sayanshaw.ra@gmail.com</t>
  </si>
  <si>
    <t>0009748813707</t>
  </si>
  <si>
    <t>700141</t>
  </si>
  <si>
    <t>NAME::SAYAN SHAW</t>
  </si>
  <si>
    <t>SEEMA JAIN</t>
  </si>
  <si>
    <t>INH100006667</t>
  </si>
  <si>
    <t>No. 7301, 2nd  Floor, DLF Phase-4</t>
  </si>
  <si>
    <t>SEEMAJAIN2001@GMAIL.COM</t>
  </si>
  <si>
    <t>919810711012</t>
  </si>
  <si>
    <t>Y-67, Regency Park 2, , Near Super Mart 1, DLF City Phase 4,</t>
  </si>
  <si>
    <t>Dec 14, 2018</t>
  </si>
  <si>
    <t>NAME::SEEMA JAIN</t>
  </si>
  <si>
    <t>SENTHIL BABU N P</t>
  </si>
  <si>
    <t>INH000024596</t>
  </si>
  <si>
    <t>No. 1156, PERIAKARUPPAN ROAD, BYE PASS ROAD, SIVAKASI</t>
  </si>
  <si>
    <t>rusticresearch2025@gmail.com</t>
  </si>
  <si>
    <t>919843082616</t>
  </si>
  <si>
    <t>NAME::SENTHIL BABU N P</t>
  </si>
  <si>
    <t>SH ANKUR JAIN</t>
  </si>
  <si>
    <t>INA100001158</t>
  </si>
  <si>
    <t>K-230, VIJAY RATTAN VIHAR,, SECT-15, PART-2, GURGAON</t>
  </si>
  <si>
    <t>ankurjain2100@gmail.com</t>
  </si>
  <si>
    <t>01244088950</t>
  </si>
  <si>
    <t>Flat No. 808, Peach Tower, L &amp; T Eden Park, M R Radha Main Road, Near Sipcot, Pudupakkam, Kanchipuram</t>
  </si>
  <si>
    <t>603103</t>
  </si>
  <si>
    <t>Feb 28, 2014</t>
  </si>
  <si>
    <t>NAME::SH ANKUR JAIN</t>
  </si>
  <si>
    <t>SH SURESH KUMAR NARULA</t>
  </si>
  <si>
    <t>INA100001877</t>
  </si>
  <si>
    <t>1397, SECT-25, PANCHKULA</t>
  </si>
  <si>
    <t>sureshcfp@gmail.com</t>
  </si>
  <si>
    <t>01722550396</t>
  </si>
  <si>
    <t>1397, Sect-25, Panchkula</t>
  </si>
  <si>
    <t>Jun 16, 2014</t>
  </si>
  <si>
    <t>NAME::SH SURESH KUMAR NARULA</t>
  </si>
  <si>
    <t>SHAILESHKUMAR K GADHIYA</t>
  </si>
  <si>
    <t>INH000020095</t>
  </si>
  <si>
    <t>SHAILESHKUMAR GADHIYA</t>
  </si>
  <si>
    <t>F203, NILKANTH PARK, NR PRASANT, SOC PALANPUR JAKAT NAKA, SURAT CITY</t>
  </si>
  <si>
    <t>info.shaileshgadhiya@gmail.com</t>
  </si>
  <si>
    <t>919426649447</t>
  </si>
  <si>
    <t>Mar 21, 2025</t>
  </si>
  <si>
    <t>NAME::SHAILESHKUMAR K GADHIYA</t>
  </si>
  <si>
    <t>SHANKARRAO BABASO KARPE</t>
  </si>
  <si>
    <t>INH000003259</t>
  </si>
  <si>
    <t>D-21, 2ND FLOOR,, GARDEN CITY, RADHIKA ROAD,</t>
  </si>
  <si>
    <t>shankar_karpe@rediffmail.com</t>
  </si>
  <si>
    <t>2162231411</t>
  </si>
  <si>
    <t>415003</t>
  </si>
  <si>
    <t>Shivshakti Bunglow, Satara Pandharpur Road, , Chimangaon, Koregaon,</t>
  </si>
  <si>
    <t>415501</t>
  </si>
  <si>
    <t>NAME::SHANKARRAO BABASO KARPE</t>
  </si>
  <si>
    <t>SHARAD MISHRA</t>
  </si>
  <si>
    <t>INH000005908</t>
  </si>
  <si>
    <t>ORBIT Terraces, 3RD FLOOR, WORK SQUARE, 64, N M JOSHI MARG, LOWER PAREL WEST</t>
  </si>
  <si>
    <t>mishra.sharad2803@gmail.com</t>
  </si>
  <si>
    <t>May 15, 2018</t>
  </si>
  <si>
    <t>NAME::SHARAD MISHRA</t>
  </si>
  <si>
    <t>INA000016791</t>
  </si>
  <si>
    <t>B 1006, UNIQUE AURUM, POONAM GARDEN</t>
  </si>
  <si>
    <t>ANANDKANKANI@LIVE.COM</t>
  </si>
  <si>
    <t>MIRA-BHAYANDAR</t>
  </si>
  <si>
    <t>Mar 23, 2022</t>
  </si>
  <si>
    <t>NAME::SHARAD SANKARAN</t>
  </si>
  <si>
    <t>SHARAN KAMAL MULCHANDANI</t>
  </si>
  <si>
    <t>INA000022835</t>
  </si>
  <si>
    <t>SHARAN MULCHANDANI</t>
  </si>
  <si>
    <t>557, New Colony ward no 60, Near Suraj Eye Institute Byramji Town, Sadar</t>
  </si>
  <si>
    <t>sharan.mulchandani@gmail.com</t>
  </si>
  <si>
    <t>00918793029872</t>
  </si>
  <si>
    <t>NAME::SHARAN KAMAL MULCHANDANI</t>
  </si>
  <si>
    <t>SHASHANK BANSAL</t>
  </si>
  <si>
    <t>INH000010715</t>
  </si>
  <si>
    <t>FRONT BLOCK, B-37/193 A, BIRDOPUR, MAHMOORGANJ</t>
  </si>
  <si>
    <t>BANSAL.SHASHANK12@GMAIL.COM</t>
  </si>
  <si>
    <t>919867705518</t>
  </si>
  <si>
    <t>NAME::SHASHANK BANSAL</t>
  </si>
  <si>
    <t>SHASHI KUMAR SINGH</t>
  </si>
  <si>
    <t>INA200012009</t>
  </si>
  <si>
    <t>SHASHI SINGH</t>
  </si>
  <si>
    <t>Hiranandani Upscale, Seawood, B-304, 5/63, OMR</t>
  </si>
  <si>
    <t>shashiksingh@yahoo.com</t>
  </si>
  <si>
    <t>NAME::SHASHI KUMAR SINGH</t>
  </si>
  <si>
    <t>SHEKHAR KISHORE</t>
  </si>
  <si>
    <t>INH000028194</t>
  </si>
  <si>
    <t>S/O Nand Kishore Prasad, 47, Road No-9A, Indrapuri</t>
  </si>
  <si>
    <t>shekharkishore1998@gmail.com</t>
  </si>
  <si>
    <t>00009546920938</t>
  </si>
  <si>
    <t>NAME::SHEKHAR KISHORE</t>
  </si>
  <si>
    <t>SHEO NARAYAN</t>
  </si>
  <si>
    <t>INA000022844</t>
  </si>
  <si>
    <t>Flat 1601, Block B SyNo 146, Aparna, Serene Park, Kondapur Masjid Banda Road,Kondapur</t>
  </si>
  <si>
    <t>SheoNarayan@gmail.com</t>
  </si>
  <si>
    <t>00919848118803</t>
  </si>
  <si>
    <t>NAME::SHEO NARAYAN</t>
  </si>
  <si>
    <t>SHERASIYA RIYAZUDIN RASUL</t>
  </si>
  <si>
    <t>INH000022057</t>
  </si>
  <si>
    <t>SHERASIYA RASUL</t>
  </si>
  <si>
    <t>Near Primary Healthcare Centre, Panchasar, Wankaner</t>
  </si>
  <si>
    <t>researchsultan1@gmail.com</t>
  </si>
  <si>
    <t>919624529677</t>
  </si>
  <si>
    <t>363621</t>
  </si>
  <si>
    <t>NAME::SHERASIYA RIYAZUDIN RASUL</t>
  </si>
  <si>
    <t>SHILPA LIMAYE</t>
  </si>
  <si>
    <t>INH000022312</t>
  </si>
  <si>
    <t>Gb Road, 302 A Angelica Pride Park</t>
  </si>
  <si>
    <t>cashilpalimaye@gmail.com</t>
  </si>
  <si>
    <t>919321282761</t>
  </si>
  <si>
    <t>NAME::SHILPA LIMAYE</t>
  </si>
  <si>
    <t>SHIV PAWAN PANDEY</t>
  </si>
  <si>
    <t>INH000026530</t>
  </si>
  <si>
    <t>SHIV PANDEY</t>
  </si>
  <si>
    <t>B WING 712 JP North Aviva, Vinay Nagar Mira road East</t>
  </si>
  <si>
    <t>shivpandeyresearch@gmail.com</t>
  </si>
  <si>
    <t>0009702365472</t>
  </si>
  <si>
    <t>NAME::SHIV PAWAN PANDEY</t>
  </si>
  <si>
    <t>SHIVAM PRAMOD DHASKAT</t>
  </si>
  <si>
    <t>INH000018610</t>
  </si>
  <si>
    <t>SHIVAM DHASKAT</t>
  </si>
  <si>
    <t>H NO 187by3, TA TIUSA, SHENDOLA BK, Amravati</t>
  </si>
  <si>
    <t>shivamdhaskat2000@gmail.com</t>
  </si>
  <si>
    <t>917304407705</t>
  </si>
  <si>
    <t>444701</t>
  </si>
  <si>
    <t>NAME::SHIVAM PRAMOD DHASKAT</t>
  </si>
  <si>
    <t>SHIVANGI CHANDEL</t>
  </si>
  <si>
    <t>INA000010104</t>
  </si>
  <si>
    <t>SHIVANGI  CHANDEL</t>
  </si>
  <si>
    <t>28 sarthak nagar, c sector</t>
  </si>
  <si>
    <t>shivangi.chandel12@gmail.com</t>
  </si>
  <si>
    <t>Mar 20, 2018</t>
  </si>
  <si>
    <t>NAME::SHIVANGI CHANDEL</t>
  </si>
  <si>
    <t>SHIVANSH KARIWALA</t>
  </si>
  <si>
    <t>INH000016931</t>
  </si>
  <si>
    <t>H81 MAKER TOWERS GD SOMANI MARG, CUFFE PARADE</t>
  </si>
  <si>
    <t>shivanshkariwala@gmail.com</t>
  </si>
  <si>
    <t>NAME::SHIVANSH KARIWALA</t>
  </si>
  <si>
    <t>SHIVENDRA SAHAI</t>
  </si>
  <si>
    <t>INH000028307</t>
  </si>
  <si>
    <t>KH 103, Kavi Nagar, Ghaziabad</t>
  </si>
  <si>
    <t>sahai.shivendra@gmail.com</t>
  </si>
  <si>
    <t>00009717265750</t>
  </si>
  <si>
    <t>NAME::SHIVENDRA SAHAI</t>
  </si>
  <si>
    <t>SHOMITA SAHA</t>
  </si>
  <si>
    <t>INA000017994</t>
  </si>
  <si>
    <t>SHOMITA   SAHA</t>
  </si>
  <si>
    <t>Tower 4, 16E, South city Residences, 375,Prince Anwar Shah Road, PO Jodhpur Park</t>
  </si>
  <si>
    <t>shomita138@gmail.com</t>
  </si>
  <si>
    <t>919836518404</t>
  </si>
  <si>
    <t>700068</t>
  </si>
  <si>
    <t>NAME::SHOMITA SAHA</t>
  </si>
  <si>
    <t>SHRI RAJU R J</t>
  </si>
  <si>
    <t>INA200004482</t>
  </si>
  <si>
    <t>NO.698 FIRST FLOOR, 4TH MAIN, 22ND CROSS, VIDYARANYAPURAM</t>
  </si>
  <si>
    <t>investwithraju@gmail.com</t>
  </si>
  <si>
    <t>MYSORE</t>
  </si>
  <si>
    <t>570008</t>
  </si>
  <si>
    <t>NAME::SHRI RAJU R J</t>
  </si>
  <si>
    <t>SHRI. AMIT BHADANG</t>
  </si>
  <si>
    <t>INA000000854</t>
  </si>
  <si>
    <t>301, BUILDING ? 3B, SIDDHACHAL COMPLEX, PHASE-6, VASANT VIHAR,, THANE WEST,</t>
  </si>
  <si>
    <t>amitbhadang2000@yahoo.co.in</t>
  </si>
  <si>
    <t>9821479745</t>
  </si>
  <si>
    <t>301, Building  3B, Siddhachal Complex, Phase-6, Vasant Vihar, Thane West,</t>
  </si>
  <si>
    <t>Jan 13, 2014</t>
  </si>
  <si>
    <t>NAME::SHRI AMIT BHADANG</t>
  </si>
  <si>
    <t>INH000023676</t>
  </si>
  <si>
    <t>Shubham Gupta</t>
  </si>
  <si>
    <t>HOUSE NO 25, PLOT NO OLD-13, RIGHT PORTION 1ST FLOOR, BLK-L, SHASTRI, LANDMARK NEAR PNB BANK ROAD,</t>
  </si>
  <si>
    <t>investorniti@gmail.com</t>
  </si>
  <si>
    <t>918448070428</t>
  </si>
  <si>
    <t>NAME::SHUBHAM GUPTA</t>
  </si>
  <si>
    <t>SHUBHAM JAJODIA</t>
  </si>
  <si>
    <t>INH000017462</t>
  </si>
  <si>
    <t>15, Sai Homes Colony, Near Shiv Mandir, Vidya Nagar</t>
  </si>
  <si>
    <t>sjajodia7@gmail.com</t>
  </si>
  <si>
    <t>919669377967</t>
  </si>
  <si>
    <t>495001</t>
  </si>
  <si>
    <t>NAME::SHUBHAM JAJODIA</t>
  </si>
  <si>
    <t>SHWETANK DEV</t>
  </si>
  <si>
    <t>INA000021571</t>
  </si>
  <si>
    <t>E-504, Nagarjuna Apts, Mayur Vihar Ph 1, Delhi</t>
  </si>
  <si>
    <t>dev.shwetank@gmail.com</t>
  </si>
  <si>
    <t>00919930059067</t>
  </si>
  <si>
    <t>110096</t>
  </si>
  <si>
    <t>A5/101, World Spa Ease, Sector 30, Gurugram, Haryana</t>
  </si>
  <si>
    <t>NAME::SHWETANK DEV</t>
  </si>
  <si>
    <t>SHYAMU R RELWANI</t>
  </si>
  <si>
    <t>INH000018735</t>
  </si>
  <si>
    <t>TF44 SIDDHESHWAR HALLMARK, AJWA ROAD,</t>
  </si>
  <si>
    <t>SHYAMU.RELWANI@GMAIL.COM</t>
  </si>
  <si>
    <t>009898880117</t>
  </si>
  <si>
    <t>NAME::SHYAMU R RELWANI</t>
  </si>
  <si>
    <t>SIMI BHAUMIK</t>
  </si>
  <si>
    <t>INH300003306</t>
  </si>
  <si>
    <t>B-1, Flat No.5Jhilam Apartment, Kali Chatterjee Avenue, Garia Main Road Rajpur-Sonarpur Municipality</t>
  </si>
  <si>
    <t>simibhaumik@gmail.com</t>
  </si>
  <si>
    <t>Jul 28, 2016</t>
  </si>
  <si>
    <t>NAME::SIMI BHAUMIK</t>
  </si>
  <si>
    <t>SNEHA VASUDEO</t>
  </si>
  <si>
    <t>INH000012616</t>
  </si>
  <si>
    <t>358K, 3rd floor, Gangaram Khatri Wadi,, Behind Thakurdwar Post office</t>
  </si>
  <si>
    <t>vasudeosneha28@gmail.com</t>
  </si>
  <si>
    <t>358K, 3rd floor, Gangaram Khatri Wadi, Behind Thakurdwar Post office</t>
  </si>
  <si>
    <t>Jul 28, 2023</t>
  </si>
  <si>
    <t>NAME::SNEHA VASUDEO</t>
  </si>
  <si>
    <t>SOMRAJ DUTTA</t>
  </si>
  <si>
    <t>INA300016695</t>
  </si>
  <si>
    <t>113A/3 SARAT GHOSH GARDEN ROAD, OPPOSITE DELHI PUBLIC SCHOOL KASBA</t>
  </si>
  <si>
    <t>SDSOMRAJ25@GMAIL.COM</t>
  </si>
  <si>
    <t>913324050501</t>
  </si>
  <si>
    <t>700031</t>
  </si>
  <si>
    <t>115/T SARAT GHOSH GARDEN ROAD, SHRISHTI APARTMENTS</t>
  </si>
  <si>
    <t>NAME::SOMRAJ DUTTA</t>
  </si>
  <si>
    <t>SONAM JAIN</t>
  </si>
  <si>
    <t>INH000012661</t>
  </si>
  <si>
    <t>FLAT NO. 203 GRAND BRIJ BIHARI ENCLAVE, MANDIRI GALI NEAR KALI MANDIR BANS GHAT</t>
  </si>
  <si>
    <t>casonamjain26@gmail.com</t>
  </si>
  <si>
    <t>Aug 11, 2023</t>
  </si>
  <si>
    <t>NAME::SONAM JAIN</t>
  </si>
  <si>
    <t>SONKAR REEMA BRIJLAL</t>
  </si>
  <si>
    <t>INH000022394</t>
  </si>
  <si>
    <t>Reema Sonkar</t>
  </si>
  <si>
    <t>Flat No A502 5th Floor Sai Mannat, Sector 34A Kharghar</t>
  </si>
  <si>
    <t>reemasonkar@gmail.com</t>
  </si>
  <si>
    <t>919920664442</t>
  </si>
  <si>
    <t>NAME::SONKAR REEMA BRIJLAL</t>
  </si>
  <si>
    <t>SOURABH BAJAJ</t>
  </si>
  <si>
    <t>INH000013378</t>
  </si>
  <si>
    <t>SOURABH  BAJAJ</t>
  </si>
  <si>
    <t>SCO No. 136, First Floor,, Tau Devi Lal Complex, Yamuna Nagar</t>
  </si>
  <si>
    <t>CABAJAJ.SMA@GMAIL.COM</t>
  </si>
  <si>
    <t>SCO No. 136, First Floor, Tau Devi Lal Complex, Yamuna Nagar</t>
  </si>
  <si>
    <t>NAME::SOURABH BAJAJ</t>
  </si>
  <si>
    <t>SOURABH GHOSH</t>
  </si>
  <si>
    <t>INA000018674</t>
  </si>
  <si>
    <t>Sourabh Ghosh</t>
  </si>
  <si>
    <t>AKASHLEENA, FLAT 4A, 83 PURBACHAL ROAD , NORTH, HALTU</t>
  </si>
  <si>
    <t>SBHGHOSH@GMAIL.COM</t>
  </si>
  <si>
    <t>919874066699</t>
  </si>
  <si>
    <t>700078</t>
  </si>
  <si>
    <t>NAME::SOURABH GHOSH</t>
  </si>
  <si>
    <t>SREEHARI G</t>
  </si>
  <si>
    <t>INA000018887</t>
  </si>
  <si>
    <t>SREEHARI GUDI</t>
  </si>
  <si>
    <t>2-49,  KARUMURU</t>
  </si>
  <si>
    <t>sreeharigudi86@gmail.com</t>
  </si>
  <si>
    <t>00000864829345</t>
  </si>
  <si>
    <t>NAME::SREEHARI G</t>
  </si>
  <si>
    <t>SREEKUMARAN M</t>
  </si>
  <si>
    <t>INH000023959</t>
  </si>
  <si>
    <t>SREEKUMARAN  MOHANAN</t>
  </si>
  <si>
    <t>TC 4/2221, KAVUVILA VEEDU, KURAVANKONAM, KOWDIAR PO,</t>
  </si>
  <si>
    <t>sreekumar04@gmail.com</t>
  </si>
  <si>
    <t>919020055441</t>
  </si>
  <si>
    <t>695003</t>
  </si>
  <si>
    <t>NAME::SREEKUMARAN M</t>
  </si>
  <si>
    <t>SREENIVASA SARMA BHAGAVATHULA</t>
  </si>
  <si>
    <t>INH000013439</t>
  </si>
  <si>
    <t>SREENIVASA BHAGAVATHULA</t>
  </si>
  <si>
    <t>18-4-137/201, Railway Colony</t>
  </si>
  <si>
    <t>marketmarvels@gmail.com</t>
  </si>
  <si>
    <t>918341880260</t>
  </si>
  <si>
    <t>H No11-13-231 A Road Number 5, Alkapuri Colony, Hyderabad Ranga Reddy</t>
  </si>
  <si>
    <t>NAME::SREENIVASA SARMA BHAGAVATHULA</t>
  </si>
  <si>
    <t>SRIKANTH UDAYAGIRI</t>
  </si>
  <si>
    <t>INA200007371</t>
  </si>
  <si>
    <t>11-16-87, REPALLE, REPALLE</t>
  </si>
  <si>
    <t>srikanth.udayagiri89@gmail.com</t>
  </si>
  <si>
    <t>Mar 28, 2017</t>
  </si>
  <si>
    <t>NAME::SRIKANTH UDAYAGIRI</t>
  </si>
  <si>
    <t>SRINIVASAN SUBRAMANIAN</t>
  </si>
  <si>
    <t>INA200007177</t>
  </si>
  <si>
    <t>A2- 304, AWHO Sandeep Vihar, Seegehalli, Whitefield, Bangalore-560067</t>
  </si>
  <si>
    <t>srinisubs968@gmail.com</t>
  </si>
  <si>
    <t>NAME::SRINIVASAN SUBRAMANIAN</t>
  </si>
  <si>
    <t>SRIRAM R</t>
  </si>
  <si>
    <t>INA000017976</t>
  </si>
  <si>
    <t>Sriram Rajaram</t>
  </si>
  <si>
    <t>8/75 Sravishta, VK Road,, RA Puram, Chennai 600028</t>
  </si>
  <si>
    <t>sriram0508@gmail.com</t>
  </si>
  <si>
    <t>919699085560</t>
  </si>
  <si>
    <t>No 10, Ganesh Ram Apartments, Flat 2D, Srnivasa Avenue Road, RA Puram, Chennai 600028</t>
  </si>
  <si>
    <t>NAME::SRIRAM R</t>
  </si>
  <si>
    <t>STOCK GENIUS</t>
  </si>
  <si>
    <t>INH000010618</t>
  </si>
  <si>
    <t>Sayyed Zainulabedin</t>
  </si>
  <si>
    <t>2D2A, Gundecha Onclave, Kherani Road, Next to Post office, Sakinaka Andheri East</t>
  </si>
  <si>
    <t>zarin.sayyed2015@gmail.com</t>
  </si>
  <si>
    <t>0912262397825</t>
  </si>
  <si>
    <t>NAME::STOCK GENIUS</t>
  </si>
  <si>
    <t>STOCK READER</t>
  </si>
  <si>
    <t>INH000022923</t>
  </si>
  <si>
    <t>Anany Agarwal</t>
  </si>
  <si>
    <t>H . NO S-2/350 C-1,, SIKRAUL, VARANASI,</t>
  </si>
  <si>
    <t>ananyagrawal48@gmail.com</t>
  </si>
  <si>
    <t>917800405720</t>
  </si>
  <si>
    <t>221002</t>
  </si>
  <si>
    <t>H . NO S-2/350 C-1, SIKRAUL, VARANASI,</t>
  </si>
  <si>
    <t>NAME::STOCK READER</t>
  </si>
  <si>
    <t>SUDHANSHU KUMAR SINGH</t>
  </si>
  <si>
    <t>INH000020651</t>
  </si>
  <si>
    <t>SUDHANSHU SINGH</t>
  </si>
  <si>
    <t>Gangotri Nagar Near Hanuman Mandir, Paranpur</t>
  </si>
  <si>
    <t>researchanalystsudhanshu@gmail.com</t>
  </si>
  <si>
    <t>917007665401</t>
  </si>
  <si>
    <t>AZAMGARH</t>
  </si>
  <si>
    <t>276001</t>
  </si>
  <si>
    <t>NAME::SUDHANSHU KUMAR SINGH</t>
  </si>
  <si>
    <t>SUDHANSHU SHEKHAR PATEL</t>
  </si>
  <si>
    <t>INA000009719</t>
  </si>
  <si>
    <t>SUDHANSHU PATEL</t>
  </si>
  <si>
    <t>341, Avinash Garden City, Baloda Bazar Road, Near DPS School, Semariya</t>
  </si>
  <si>
    <t>patel.sudhanshu@gmail.com</t>
  </si>
  <si>
    <t>493111</t>
  </si>
  <si>
    <t>Feb 06, 2018</t>
  </si>
  <si>
    <t>NAME::SUDHANSHU SHEKHAR PATEL</t>
  </si>
  <si>
    <t>SUDHINDRA HOSKOTE KRISHNACHAR</t>
  </si>
  <si>
    <t>INA200005315</t>
  </si>
  <si>
    <t>Sudhindra Krihsnachar</t>
  </si>
  <si>
    <t>#1024, 15TH MAIN, BTM LAYOUT, , 1ST STAGE</t>
  </si>
  <si>
    <t>Sudhindra.hk@gmail.com</t>
  </si>
  <si>
    <t>919886755892</t>
  </si>
  <si>
    <t>#1024, 15th Main, BTM Layout, , 1st Stage</t>
  </si>
  <si>
    <t>NAME::SUDHINDRA HOSKOTE KRISHNACHAR</t>
  </si>
  <si>
    <t>SUDIP BANDYOPADHYAY</t>
  </si>
  <si>
    <t>INH000013031</t>
  </si>
  <si>
    <t>UNIT NO, T- 2B, 5TH FLOOR, B -WING,, PHOENIX HOUSE, S B MARG, LOWER PAREL (W),</t>
  </si>
  <si>
    <t>sudiprmoney@gmail.com</t>
  </si>
  <si>
    <t>2301, West Wing, World One, World Tower, Senapati Bapat Marg, Upper Worli,</t>
  </si>
  <si>
    <t>NAME::SUDIP BANDYOPADHYAY</t>
  </si>
  <si>
    <t>SUGAM KUMAR KASHYAP</t>
  </si>
  <si>
    <t>INH000011325</t>
  </si>
  <si>
    <t>SUGAM  KASHYAP</t>
  </si>
  <si>
    <t>A-7,BRINDAWAN COLONY TULSI, POST-NEORA TULSI D/C</t>
  </si>
  <si>
    <t>sugam2410@gmail.com</t>
  </si>
  <si>
    <t>493114</t>
  </si>
  <si>
    <t>NAME::SUGAM KUMAR KASHYAP</t>
  </si>
  <si>
    <t>SUHANI ADILABADKAR</t>
  </si>
  <si>
    <t>INH200003240</t>
  </si>
  <si>
    <t>FLAT NO. 14, MAHESHWARI RESIDENCY, 3 HILLFORT STREET ADARSH NAGAR MAIN ROAD</t>
  </si>
  <si>
    <t>suhani.adilabadkar@gmail.com</t>
  </si>
  <si>
    <t>9701063320</t>
  </si>
  <si>
    <t>500063</t>
  </si>
  <si>
    <t>NAME::SUHANI ADILABADKAR</t>
  </si>
  <si>
    <t>SUJAN SINGH</t>
  </si>
  <si>
    <t>INA000020864</t>
  </si>
  <si>
    <t>SUJAN  SINGH</t>
  </si>
  <si>
    <t>E 264, GALI 8, EAST VINOD NAGAR,, CHILLA  SARODA KHADAR,</t>
  </si>
  <si>
    <t>singh.sujan.ia@gmail.com</t>
  </si>
  <si>
    <t>00919650314914</t>
  </si>
  <si>
    <t>E 264, GALI 8, EAST VINOD NAGAR, CHILLA  SARODA KHADAR,</t>
  </si>
  <si>
    <t>NAME::SUJAN SINGH</t>
  </si>
  <si>
    <t>SUMAN SHANDIL</t>
  </si>
  <si>
    <t>INA100013205</t>
  </si>
  <si>
    <t>Flat No. 2301, Floor No. 23, Building Name Bhoomi Elite,, sector 28 Nerul, Navi Mumbai</t>
  </si>
  <si>
    <t>shandil910@gmail.com</t>
  </si>
  <si>
    <t>Flat No. 2301, Floor No. 23, Building Name Bhoomi Elite, sector 28 Nerul, Navi Mumbai</t>
  </si>
  <si>
    <t>NAME::SUMAN SHANDIL</t>
  </si>
  <si>
    <t>SUMAN TIWARI</t>
  </si>
  <si>
    <t>INA300016871</t>
  </si>
  <si>
    <t>Suman Tiwari</t>
  </si>
  <si>
    <t>Kalaberia, Sivtala RB Park, PO - Rajarhat Bishnupur</t>
  </si>
  <si>
    <t>iift.suman@gmail.com</t>
  </si>
  <si>
    <t>700135</t>
  </si>
  <si>
    <t>May 23, 2022</t>
  </si>
  <si>
    <t>NAME::SUMAN TIWARI</t>
  </si>
  <si>
    <t>SUMANTH REDDY R</t>
  </si>
  <si>
    <t>INH000013110</t>
  </si>
  <si>
    <t>SUMANTH R</t>
  </si>
  <si>
    <t>Co Dr Rajashekar Reddy H V, No. 403 Kamadhenu Residence, 3rd Cross Sonnappa Layout,, Enliven Badminton Academy, Bhuvaneshwari Nagar</t>
  </si>
  <si>
    <t>sumanthreddyr.31@gmail.com</t>
  </si>
  <si>
    <t>Co Dr Rajashekar Reddy H V, No. 403 Kamadhenu Residence, 3rd Cross Sonnappa Layout, Enliven Badminton Academy, Bhuvaneshwari Nagar</t>
  </si>
  <si>
    <t>NAME::SUMANTH REDDY R</t>
  </si>
  <si>
    <t>SUMIT KALRA</t>
  </si>
  <si>
    <t>INA000022905</t>
  </si>
  <si>
    <t>House No 981, Sector 3, Part 1,Rewari</t>
  </si>
  <si>
    <t>sumitkalra82@gmail.com</t>
  </si>
  <si>
    <t>000919958377931</t>
  </si>
  <si>
    <t>NAME::SUMIT KALRA</t>
  </si>
  <si>
    <t>SUMIT KUMAR WAGHMARE</t>
  </si>
  <si>
    <t>INA200013099</t>
  </si>
  <si>
    <t>SUMIT WAGHMARE</t>
  </si>
  <si>
    <t>CLASSIC ARENA 1549/2662 AECS LYT A BLOCK, NEAR HDFC BANK HOSUR ROAD SINGASANDRA VILLAGE</t>
  </si>
  <si>
    <t>sumit.waghmare86@gmail.com</t>
  </si>
  <si>
    <t>NAME::SUMIT KUMAR WAGHMARE</t>
  </si>
  <si>
    <t>SUNIL KAMDAR</t>
  </si>
  <si>
    <t>INH000005935</t>
  </si>
  <si>
    <t>PS-5, 2ND FLOOR, BSE ROTUNDA BLDG, DALAL STREET, FORT</t>
  </si>
  <si>
    <t>ackanalytics1@gmail.com</t>
  </si>
  <si>
    <t>May 24, 2018</t>
  </si>
  <si>
    <t>NAME::SUNIL KAMDAR</t>
  </si>
  <si>
    <t>SUNIL MAHADEV GHADAGE</t>
  </si>
  <si>
    <t>INA000022543</t>
  </si>
  <si>
    <t>Sunil Ghadage</t>
  </si>
  <si>
    <t>S No 72/1 A/3, Westside County, Building D, Flat no 404, Pimple Gurav</t>
  </si>
  <si>
    <t>sunilghadage9@gmail.com</t>
  </si>
  <si>
    <t>411061</t>
  </si>
  <si>
    <t>NAME::SUNIL MAHADEV GHADAGE</t>
  </si>
  <si>
    <t>SUPREME NIFTY TRADERS</t>
  </si>
  <si>
    <t>INH000027733</t>
  </si>
  <si>
    <t>Anil Shetti</t>
  </si>
  <si>
    <t>H No. 4903/87, Kapileshwar Road,, 2nd Cross, Ramamestri Adda,</t>
  </si>
  <si>
    <t>researchbyanil@gmail.com</t>
  </si>
  <si>
    <t>0009611913443</t>
  </si>
  <si>
    <t>590001</t>
  </si>
  <si>
    <t>NAME::SUPREME NIFTY TRADERS</t>
  </si>
  <si>
    <t>SURENDRA JAUHARI</t>
  </si>
  <si>
    <t>INA000021474</t>
  </si>
  <si>
    <t>GF 32A, LOTUS PLAZA MARKET, INDIRAPURAM,</t>
  </si>
  <si>
    <t>surendra.jauharii@gmail.com</t>
  </si>
  <si>
    <t>00919310177272</t>
  </si>
  <si>
    <t>NAME::SURENDRA JAUHARI</t>
  </si>
  <si>
    <t>SURESH CHANDRA DEY</t>
  </si>
  <si>
    <t>INH000027478</t>
  </si>
  <si>
    <t>SURESH DEY</t>
  </si>
  <si>
    <t>No.36&amp;37, LK NO 331/635-1 G C Muni Reddy Building, Narasimha Reddy Layout garvebhavipalya</t>
  </si>
  <si>
    <t>sureshdeyra@gmail.com</t>
  </si>
  <si>
    <t>006363229754</t>
  </si>
  <si>
    <t>NAME::SURESH CHANDRA DEY</t>
  </si>
  <si>
    <t>SURESH SHRIRAM SHARMA</t>
  </si>
  <si>
    <t>INH000000651</t>
  </si>
  <si>
    <t>203, RAVI JANGID ESTATE, MIRA ROAD EAST</t>
  </si>
  <si>
    <t>chartist50@gmail.com</t>
  </si>
  <si>
    <t>9892532183</t>
  </si>
  <si>
    <t>203, Ravi Jangid Estate, Mira Road East</t>
  </si>
  <si>
    <t>NAME::SURESH SHRIRAM SHARMA</t>
  </si>
  <si>
    <t>SURYADEV BANDARI</t>
  </si>
  <si>
    <t>INH200004693</t>
  </si>
  <si>
    <t>FLAT.307, SUNAINA TOWERS, PLOT.1-30-168,, NEW BOWENPALLY, SECUNDERABAD</t>
  </si>
  <si>
    <t>suryadev.goud@gmail.com</t>
  </si>
  <si>
    <t>500011</t>
  </si>
  <si>
    <t>FLAT.307, SUNAINA TOWERS, PLOT.1-30-168, NEW BOWENPALLY, SECUNDERABAD</t>
  </si>
  <si>
    <t>Apr 03, 2017</t>
  </si>
  <si>
    <t>NAME::SURYADEV BANDARI</t>
  </si>
  <si>
    <t>SUSANTH K V</t>
  </si>
  <si>
    <t>INH000014863</t>
  </si>
  <si>
    <t>SUSANTH V</t>
  </si>
  <si>
    <t>S/O E Surendran, Nest,, Near S N Library, Azhikode</t>
  </si>
  <si>
    <t>susanthsureain@gmail.com</t>
  </si>
  <si>
    <t>CALICUT</t>
  </si>
  <si>
    <t>670009</t>
  </si>
  <si>
    <t>S/O E Surendran, Nest, Near S N Library, Azhikode</t>
  </si>
  <si>
    <t>NAME::SUSANTH K V</t>
  </si>
  <si>
    <t>SUSHIL KUMAR</t>
  </si>
  <si>
    <t>INH100009433</t>
  </si>
  <si>
    <t>Plot No. 152P, LGF (Basement), area 1200 sq. ft., Sector-38, Medicity Road, Near Bhaktawar Singh Chowk, Gurugram</t>
  </si>
  <si>
    <t>sushilalewa@gmail.com</t>
  </si>
  <si>
    <t>NAME::SUSHIL KUMAR</t>
  </si>
  <si>
    <t>SUVASIS DEBATA</t>
  </si>
  <si>
    <t>INH000014793</t>
  </si>
  <si>
    <t>Plot no- 22/3182, Sriram Nagar, Nuapada,, P.O/ P.S. Madhupatna</t>
  </si>
  <si>
    <t>suvasisdebata5@gmail.com</t>
  </si>
  <si>
    <t>CUTTACK</t>
  </si>
  <si>
    <t>753010</t>
  </si>
  <si>
    <t>Plot no- 22/3182, Sriram Nagar, Nuapada, P.O/ P.S. Madhupatna</t>
  </si>
  <si>
    <t>NAME::SUVASIS DEBATA</t>
  </si>
  <si>
    <t>SWAPNIL DHANANJAY KENDHE</t>
  </si>
  <si>
    <t>INA000008738</t>
  </si>
  <si>
    <t>SWAPNIL KENDHE</t>
  </si>
  <si>
    <t>PLOT NUMBER 8, OLD KAILAS NAGAR, POST AYODHYA NAGAR</t>
  </si>
  <si>
    <t>swapnil.kendhe100@gmail.com</t>
  </si>
  <si>
    <t>440024</t>
  </si>
  <si>
    <t>NAME::SWAPNIL DHANANJAY KENDHE</t>
  </si>
  <si>
    <t>SWAPNIL SANJAY SHINDE</t>
  </si>
  <si>
    <t>INH000018504</t>
  </si>
  <si>
    <t>C1709, Vighnaharta co operative Housing Society, Mahadev Palav Marg, Near Currey Road,, Mumbai City</t>
  </si>
  <si>
    <t>optionoraclebusiness@gmail.com</t>
  </si>
  <si>
    <t>918097478866</t>
  </si>
  <si>
    <t>C1709, Vighnaharta co operative Housing Society, Mahadev Palav Marg, Near Currey Road, Mumbai City</t>
  </si>
  <si>
    <t>NAME::SWAPNIL SANJAY SHINDE</t>
  </si>
  <si>
    <t>SWATI VIJAY</t>
  </si>
  <si>
    <t>INH000020697</t>
  </si>
  <si>
    <t>HNO 164, Karni Vihar, Near Rawat P.G Girls College, Ajmer Road, PO Shyam Nagar</t>
  </si>
  <si>
    <t>swativijay021@gmail.com</t>
  </si>
  <si>
    <t>919461958050</t>
  </si>
  <si>
    <t>NAME::SWATI VIJAY</t>
  </si>
  <si>
    <t>Sachin Motilal Neema</t>
  </si>
  <si>
    <t>INA000008826</t>
  </si>
  <si>
    <t>Sachin Neema</t>
  </si>
  <si>
    <t>15, Green Villa, Himalaya Society, Ghatkopar(W),</t>
  </si>
  <si>
    <t>neemasachin@gmail.com</t>
  </si>
  <si>
    <t>400084</t>
  </si>
  <si>
    <t>B-17, Kalyan Sagar, Plot no 152, Garodia Nagar, Ghatkopar</t>
  </si>
  <si>
    <t>Nov 03, 2017</t>
  </si>
  <si>
    <t>NAME::SACHIN MOTILAL NEEMA</t>
  </si>
  <si>
    <t>Safal Tom</t>
  </si>
  <si>
    <t>INH000021766</t>
  </si>
  <si>
    <t>Kurisummoottil House, Perumpanchy, P.O., Kottayam</t>
  </si>
  <si>
    <t>rasafaltom@gmail.com</t>
  </si>
  <si>
    <t>918075886827</t>
  </si>
  <si>
    <t>NAME::SAFAL TOM</t>
  </si>
  <si>
    <t>INH000016436</t>
  </si>
  <si>
    <t>House No. A -3/1 , Rana Pratap Bagh, Malka Ganj, North Delhi</t>
  </si>
  <si>
    <t>compoundingcalls@gmail.com</t>
  </si>
  <si>
    <t>NAME::SAGAR AGARWAL</t>
  </si>
  <si>
    <t>Sahejpal Singh Grewal</t>
  </si>
  <si>
    <t>INH000026929</t>
  </si>
  <si>
    <t>Sahejpal  Grewal</t>
  </si>
  <si>
    <t>H No 3026, Phase 7, Sector 61, SAS Nagar</t>
  </si>
  <si>
    <t>grewalsahejpalsingh@gmail.com</t>
  </si>
  <si>
    <t>NAME::SAHEJPAL SINGH GREWAL</t>
  </si>
  <si>
    <t>Sahil Bhadviya</t>
  </si>
  <si>
    <t>INH000018391</t>
  </si>
  <si>
    <t>23 D Adarsh nagar, university road</t>
  </si>
  <si>
    <t>sahilbhadviya@gmail.com</t>
  </si>
  <si>
    <t>NAME::SAHIL BHADVIYA</t>
  </si>
  <si>
    <t>Sahil Dhingra</t>
  </si>
  <si>
    <t>INH000013101</t>
  </si>
  <si>
    <t>4/271 , subhash nagar</t>
  </si>
  <si>
    <t>Dhingrasahil48@gmail.com</t>
  </si>
  <si>
    <t>NAME::SAHIL DHINGRA</t>
  </si>
  <si>
    <t>Sahil Mehta</t>
  </si>
  <si>
    <t>INH000023214</t>
  </si>
  <si>
    <t>Office No. M-3, Mezzanine Floor, Plot No. A-31-34, Jaina Extn, Commercial Complex, Mukherjee Ngr</t>
  </si>
  <si>
    <t>sahilmehtasm01@gmail.com</t>
  </si>
  <si>
    <t>918384030046</t>
  </si>
  <si>
    <t>W-17, w block, Naveen shahdara , Delhi 110032</t>
  </si>
  <si>
    <t>NAME::SAHIL MEHTA</t>
  </si>
  <si>
    <t>Sai Prasad Himmatrao Holkar</t>
  </si>
  <si>
    <t>INH000019901</t>
  </si>
  <si>
    <t>Sai Prasad Holkar</t>
  </si>
  <si>
    <t>Shrikrushna Nagarnandurkhi Road, , Shirdi</t>
  </si>
  <si>
    <t>ra.saiprasadholkar@gmail.com</t>
  </si>
  <si>
    <t>918308900769</t>
  </si>
  <si>
    <t>423107</t>
  </si>
  <si>
    <t>NAME::SAI PRASAD HIMMATRAO HOLKAR</t>
  </si>
  <si>
    <t>Sajjan Kumar</t>
  </si>
  <si>
    <t>INA200010393</t>
  </si>
  <si>
    <t>21,2B Cross,Hanuman Layout,Manorayanpalya,Sultanpalya, main road,R.T.nagar post</t>
  </si>
  <si>
    <t>kumarsajjan50@gmail.com</t>
  </si>
  <si>
    <t>NAME::SAJJAN KUMAR</t>
  </si>
  <si>
    <t>Sakshi Gaurav Jalan</t>
  </si>
  <si>
    <t>INA000020581</t>
  </si>
  <si>
    <t>Sakshi Jalan</t>
  </si>
  <si>
    <t>605, Unique Tower, Off S. V. Road, Goregaon West, Mumbai</t>
  </si>
  <si>
    <t>basant.advisors@gmail.com</t>
  </si>
  <si>
    <t>919820101250</t>
  </si>
  <si>
    <t>NAME::SAKSHI GAURAV JALAN</t>
  </si>
  <si>
    <t>INH000021313</t>
  </si>
  <si>
    <t>605, UNIQUE TOWER, S V ROAD,, GOREGAON WEST</t>
  </si>
  <si>
    <t>9102228783633</t>
  </si>
  <si>
    <t>605, UNIQUE TOWER, S V ROAD, GOREGAON WEST</t>
  </si>
  <si>
    <t>Sami Ahmad Sajjad</t>
  </si>
  <si>
    <t>INH000020819</t>
  </si>
  <si>
    <t>Sami Ahmad</t>
  </si>
  <si>
    <t>KH NO 146 D 55 Shankar Vihar Colony, Loni Sadullabad Ghaziabad</t>
  </si>
  <si>
    <t>samisajjad786@gmail.com</t>
  </si>
  <si>
    <t>919953262896</t>
  </si>
  <si>
    <t>201102</t>
  </si>
  <si>
    <t>NAME::SAMI AHMAD SAJJAD</t>
  </si>
  <si>
    <t>INH000013147</t>
  </si>
  <si>
    <t>247 Sector 16 ground floor ,Sector, 16 ,Panchkula ,Panchkula ,Haryana</t>
  </si>
  <si>
    <t>corrutechcartonz@gmail.com</t>
  </si>
  <si>
    <t>134108</t>
  </si>
  <si>
    <t>NAME::SANDEEP GUPTA</t>
  </si>
  <si>
    <t>Sandeep Kushwah</t>
  </si>
  <si>
    <t>INH000027690</t>
  </si>
  <si>
    <t>PE-61, Gyanshila City Colony, Dhabli</t>
  </si>
  <si>
    <t>mahajan384509@gmail.com</t>
  </si>
  <si>
    <t>00009752286006</t>
  </si>
  <si>
    <t>NAME::SANDEEP KUSHWAH</t>
  </si>
  <si>
    <t>Sandesh Nandode</t>
  </si>
  <si>
    <t>INH000006475</t>
  </si>
  <si>
    <t>D/104, Parikshit Premium Park Co op HSG Ltd, Bolinj Road, Behind Hotel On The Way</t>
  </si>
  <si>
    <t>nandode74@gmail.com</t>
  </si>
  <si>
    <t>MANIK SMRUTI, OPP. PADMANABH SWAMI MANDIR, TEMBHODE, PALGHAR WEST</t>
  </si>
  <si>
    <t>401404</t>
  </si>
  <si>
    <t>Oct 22, 2018</t>
  </si>
  <si>
    <t>NAME::SANDESH NANDODE</t>
  </si>
  <si>
    <t>Sandhyavandanam Sandeep Rao</t>
  </si>
  <si>
    <t>INH000013059</t>
  </si>
  <si>
    <t>Sandeep Rao</t>
  </si>
  <si>
    <t>No. 1345, 25th Main, , HSR Layout, 2nd Sector</t>
  </si>
  <si>
    <t>mysandz@gmail.com</t>
  </si>
  <si>
    <t>919686270062</t>
  </si>
  <si>
    <t>Sep 21, 2023</t>
  </si>
  <si>
    <t>NAME::SANDHYAVANDANAM SANDEEP RAO</t>
  </si>
  <si>
    <t>Sanidhya Arvind Mishra</t>
  </si>
  <si>
    <t>INA000021456</t>
  </si>
  <si>
    <t>Sanidhya Mishra</t>
  </si>
  <si>
    <t>B-9/101,Gagangiri Enclave,Barave Road,Khadakpada,, Kalyan (W)</t>
  </si>
  <si>
    <t>mishrasanidhya786@gmail.com</t>
  </si>
  <si>
    <t>00919082173664</t>
  </si>
  <si>
    <t>B-9/101,Gagangiri Enclave,Barave Road,Khadakpada, Kalyan (W)</t>
  </si>
  <si>
    <t>NAME::SANIDHYA ARVIND MISHRA</t>
  </si>
  <si>
    <t>Sanjay Rajput</t>
  </si>
  <si>
    <t>INH000026354</t>
  </si>
  <si>
    <t>Ward N 18 Makan N 11 Tah Harsud Gram Lahadpurraiyat Lahadpur Mal West Nimar</t>
  </si>
  <si>
    <t>sanjaysingh357083@gmail.com</t>
  </si>
  <si>
    <t>007617302301</t>
  </si>
  <si>
    <t>450116</t>
  </si>
  <si>
    <t>NAME::SANJAY RAJPUT</t>
  </si>
  <si>
    <t>Sanjeev Kumar</t>
  </si>
  <si>
    <t>INH000028024</t>
  </si>
  <si>
    <t>Ganga Dhar Mandal, Maharaj Ghat Road, Bari Khanjarpur, Bhagalpur,</t>
  </si>
  <si>
    <t>sanjeevkmr23@gmail.com</t>
  </si>
  <si>
    <t>009709402816</t>
  </si>
  <si>
    <t>812001</t>
  </si>
  <si>
    <t>NAME::SANJEEV KUMAR</t>
  </si>
  <si>
    <t>Sanjeev Prakash</t>
  </si>
  <si>
    <t>INH000027423</t>
  </si>
  <si>
    <t>Greenwich A, 805, Grand Omaxe Sector 93B</t>
  </si>
  <si>
    <t>research.sanjeevp@gmail.com</t>
  </si>
  <si>
    <t>00009211423801</t>
  </si>
  <si>
    <t>NAME::SANJEEV PRAKASH</t>
  </si>
  <si>
    <t>Sanjoy Ghosh</t>
  </si>
  <si>
    <t>INH000021696</t>
  </si>
  <si>
    <t>47/89,Krishna Nagar,Ward No142</t>
  </si>
  <si>
    <t>sghoshmar2016@gmail.com</t>
  </si>
  <si>
    <t>918017424099</t>
  </si>
  <si>
    <t>NAME::SANJOY GHOSH</t>
  </si>
  <si>
    <t>Sanskriti Samadhiya</t>
  </si>
  <si>
    <t>INH000026293</t>
  </si>
  <si>
    <t>166, Officer Colony Bhagat, Singh, Ward Khurai, Khurai Sagar</t>
  </si>
  <si>
    <t>sanskritisamadiya@gmail.com</t>
  </si>
  <si>
    <t>006265695355</t>
  </si>
  <si>
    <t>NAME::SANSKRITI SAMADHIYA</t>
  </si>
  <si>
    <t>Santosh Kumar Karmraj Pasi</t>
  </si>
  <si>
    <t>INH000009533</t>
  </si>
  <si>
    <t>Santosh Kumar Pasi</t>
  </si>
  <si>
    <t>FlatC001, Akar Pinnacle, Near BMC DattapadaSchool, DattapadaRoad,Dattapada,Borivali E</t>
  </si>
  <si>
    <t>santoshpasi@yahoo.com</t>
  </si>
  <si>
    <t>919820200550</t>
  </si>
  <si>
    <t>Flat D-303, Akar Pinnacle, Near BMC Dattapada School, Dattapada Road, Dattapada, Borivali (E)</t>
  </si>
  <si>
    <t>NAME::SANTOSH KUMAR KARMRAJ PASI</t>
  </si>
  <si>
    <t>Sanyam Vaish</t>
  </si>
  <si>
    <t>INH100008638</t>
  </si>
  <si>
    <t>C-3 Nehru Vihar Street No 7, Dayalpur</t>
  </si>
  <si>
    <t>sanyamv93@gmail.com</t>
  </si>
  <si>
    <t>NAME::SANYAM VAISH</t>
  </si>
  <si>
    <t>Sapna Tiwari</t>
  </si>
  <si>
    <t>INA100007675</t>
  </si>
  <si>
    <t>O - 503, Green Valley Apartments, Plot No 18, Sector 22, Dwarka</t>
  </si>
  <si>
    <t>sapna3031@gmail.com</t>
  </si>
  <si>
    <t>NAME::SAPNA TIWARI</t>
  </si>
  <si>
    <t>Saranya Mani</t>
  </si>
  <si>
    <t>INH000023126</t>
  </si>
  <si>
    <t>D. No. 2/529, Lakshmipuram,, Erumapalayam</t>
  </si>
  <si>
    <t>charugopi3666@gmail.com</t>
  </si>
  <si>
    <t>918524091700</t>
  </si>
  <si>
    <t>636015</t>
  </si>
  <si>
    <t>Sep 02, 2025</t>
  </si>
  <si>
    <t>NAME::SARANYA MANI</t>
  </si>
  <si>
    <t>Sarjeet Rathi</t>
  </si>
  <si>
    <t>INH000026947</t>
  </si>
  <si>
    <t>Gram Kota, House no. 113, Khandewla, Kota Khandewla 1 Tauru mewat</t>
  </si>
  <si>
    <t>sarjeetrathi0001@gmail.com</t>
  </si>
  <si>
    <t>122105</t>
  </si>
  <si>
    <t>NAME::SARJEET RATHI</t>
  </si>
  <si>
    <t>Sathyamoorthy N</t>
  </si>
  <si>
    <t>INA200014353</t>
  </si>
  <si>
    <t>No.3944, 1st Floor, TNHB, 5th Main Road, Ayyapakkam</t>
  </si>
  <si>
    <t>n_sathyamoorthy@yahoo.com</t>
  </si>
  <si>
    <t>Dec 30, 2019</t>
  </si>
  <si>
    <t>NAME::SATHYAMOORTHY N</t>
  </si>
  <si>
    <t>Satish Rajamouli Vemula</t>
  </si>
  <si>
    <t>INH000020581</t>
  </si>
  <si>
    <t>Satish Vemula</t>
  </si>
  <si>
    <t>House No 1466 Flat No 201 2nd Floor Jangid Complex, Riddhi Apartment Kamtghar Bhiwandi</t>
  </si>
  <si>
    <t>vemulasatish77@gmail.com</t>
  </si>
  <si>
    <t>919398381212</t>
  </si>
  <si>
    <t>421305</t>
  </si>
  <si>
    <t>NAME::SATISH RAJAMOULI VEMULA</t>
  </si>
  <si>
    <t>Saumya Agarwal</t>
  </si>
  <si>
    <t>INH000027496</t>
  </si>
  <si>
    <t>Saumya  Agarwal</t>
  </si>
  <si>
    <t>H.No 521 C, 53 Civil Line, Uttarakhand, Roorkee</t>
  </si>
  <si>
    <t>saumyaagr2002@gmail.com</t>
  </si>
  <si>
    <t>00009045802756</t>
  </si>
  <si>
    <t>NAME::SAUMYA AGARWAL</t>
  </si>
  <si>
    <t>Saurabh Gupta</t>
  </si>
  <si>
    <t>INH000020800</t>
  </si>
  <si>
    <t>Saurabh  Gupta</t>
  </si>
  <si>
    <t>D182, Second Floor, Vivek Vihar Phase 1</t>
  </si>
  <si>
    <t>saurabhgupta612@gmail.com</t>
  </si>
  <si>
    <t>919650535063</t>
  </si>
  <si>
    <t>NAME::SAURABH GUPTA</t>
  </si>
  <si>
    <t>Shah Meghna Kewal</t>
  </si>
  <si>
    <t>INH000020590</t>
  </si>
  <si>
    <t>Shah Kewal</t>
  </si>
  <si>
    <t>Sajan Apartment, Flat No. B 304, Ramdevnagar,, Anandnagar Cross Road, Satellite</t>
  </si>
  <si>
    <t>meghnanagaria@ymail.com</t>
  </si>
  <si>
    <t>919967099419</t>
  </si>
  <si>
    <t>Sajan Apartment, Flat No. B 304, Ramdevnagar, Anandnagar Cross Road, Satellite</t>
  </si>
  <si>
    <t>NAME::SHAH MEGHNA KEWAL</t>
  </si>
  <si>
    <t>Shahnawaz Sheikh</t>
  </si>
  <si>
    <t>INH000026664</t>
  </si>
  <si>
    <t>Shahnawaz  Sheikh</t>
  </si>
  <si>
    <t>Plot No. 10, Haribhau Upadhyay Nagar main, Near cine world cinema, Pushkar Road</t>
  </si>
  <si>
    <t>thelonebullra@gmail.com</t>
  </si>
  <si>
    <t>00000000000</t>
  </si>
  <si>
    <t>NAME::SHAHNAWAZ SHEIKH</t>
  </si>
  <si>
    <t>Shaikh Iftekhar Ahmed Sagir Ahmed</t>
  </si>
  <si>
    <t>INH000018586</t>
  </si>
  <si>
    <t>Iftekhar Ahmed Shaikh</t>
  </si>
  <si>
    <t>Sr No 48, Zakir Hussain Compound, Dandekar Pada Road, Near Loharpada, Valiv, Vasai East, Thane</t>
  </si>
  <si>
    <t>skiftekhar2975@gmail.com</t>
  </si>
  <si>
    <t>401208</t>
  </si>
  <si>
    <t>307, R 2 Building, MMRDA, Somanigram, Near Ram Mandir Railway Station, Goregaon West, Mumbai</t>
  </si>
  <si>
    <t>NAME::SHAIKH IFTEKHAR AHMED SAGIR AHMED</t>
  </si>
  <si>
    <t>Shaket Kapoor</t>
  </si>
  <si>
    <t>INH000014465</t>
  </si>
  <si>
    <t>Flat no 2002, Uniworld City Heights Towe- 8, Action Area III, P.S. New town, Rajarhat</t>
  </si>
  <si>
    <t>kapoorshaket@gmail.com</t>
  </si>
  <si>
    <t>700160</t>
  </si>
  <si>
    <t>NAME::SHAKET KAPOOR</t>
  </si>
  <si>
    <t>Shankar K</t>
  </si>
  <si>
    <t>INA000017505</t>
  </si>
  <si>
    <t>Shankar Krishnamurthy</t>
  </si>
  <si>
    <t>B/902, Mittal Park Tower 2, Raghunath Nagar</t>
  </si>
  <si>
    <t>shank_k@yahoo.com</t>
  </si>
  <si>
    <t>NAME::SHANKAR K</t>
  </si>
  <si>
    <t>Shankarnath K</t>
  </si>
  <si>
    <t>INH000022093</t>
  </si>
  <si>
    <t>SHANKAR NATH</t>
  </si>
  <si>
    <t>CGP 202, DLF Capital Green Phase 2, Shivaji Marg, New Delhi</t>
  </si>
  <si>
    <t>shankarnath@gmail.com</t>
  </si>
  <si>
    <t>919833234984</t>
  </si>
  <si>
    <t>NAME::SHANKARNATH K</t>
  </si>
  <si>
    <t>Sharad Jhunjhunwala</t>
  </si>
  <si>
    <t>INH000017204</t>
  </si>
  <si>
    <t>Radhika Vihar, 3rd Floor, 11/3M Old Ballygunge 2nd Lane</t>
  </si>
  <si>
    <t>sharadjhunjhunwala@hotmail.com</t>
  </si>
  <si>
    <t>NAME::SHARAD JHUNJHUNWALA</t>
  </si>
  <si>
    <t>Sharan Basant Lillaney</t>
  </si>
  <si>
    <t>INH000020101</t>
  </si>
  <si>
    <t>Sharan Lillaney</t>
  </si>
  <si>
    <t>4, 18, 7 Floor 1, Amaar Jyoti, Rafi Ahmed Kidwai Road,, Near wadala Bus Depot, Wadala West,</t>
  </si>
  <si>
    <t>sharanlillaney@gmail.com</t>
  </si>
  <si>
    <t>919819269681</t>
  </si>
  <si>
    <t>4, 18, 7 Floor 1, Amaar Jyoti, Rafi Ahmed Kidwai Road, Near wadala Bus Depot, Wadala West,</t>
  </si>
  <si>
    <t>NAME::SHARAN BASANT LILLANEY</t>
  </si>
  <si>
    <t>Sharebazaario</t>
  </si>
  <si>
    <t>INH000013323</t>
  </si>
  <si>
    <t>PAVAN FALIYA</t>
  </si>
  <si>
    <t>PLOT NO. 142, STREET NO.12, VASANT VATIKA, RANJIT SAGAR ROAD,</t>
  </si>
  <si>
    <t>PAVANFALIYA@GMAIL.COM</t>
  </si>
  <si>
    <t>Oct 11, 2023</t>
  </si>
  <si>
    <t>NAME::SHAREBAZAARIO</t>
  </si>
  <si>
    <t>Shashank Sunil Udupa</t>
  </si>
  <si>
    <t>INH000021207</t>
  </si>
  <si>
    <t>Shashank Udupa</t>
  </si>
  <si>
    <t>501 Josvic Apartment Greenfields, Ghalta Village Road Chembur Mumbai</t>
  </si>
  <si>
    <t>shanks.udupa@gmail.com</t>
  </si>
  <si>
    <t>919029490094</t>
  </si>
  <si>
    <t>NAME::SHASHANK SUNIL UDUPA</t>
  </si>
  <si>
    <t>Shashikant Nagar</t>
  </si>
  <si>
    <t>INH000011264</t>
  </si>
  <si>
    <t>83 LIG Vikas Nagar</t>
  </si>
  <si>
    <t>Jan 17, 2023</t>
  </si>
  <si>
    <t>NAME::SHASHIKANT NAGAR</t>
  </si>
  <si>
    <t>Shaziya Noor Mohammad Shaikh</t>
  </si>
  <si>
    <t>INH000025434</t>
  </si>
  <si>
    <t>Shaziya Mohammad Shaikh</t>
  </si>
  <si>
    <t>R N 2/A-53, Deonar Municipal Chawl, DM Colony, NR Maharashtra Matan Shop Govandi(W)</t>
  </si>
  <si>
    <t>shaziyanms@gmail.com</t>
  </si>
  <si>
    <t>NAME::SHAZIYA NOOR MOHAMMAD SHAIKH</t>
  </si>
  <si>
    <t>Shefali Garg</t>
  </si>
  <si>
    <t>INA000018355</t>
  </si>
  <si>
    <t>Shefali  Garg</t>
  </si>
  <si>
    <t>House No. 464, First Floor,, Sector 45</t>
  </si>
  <si>
    <t>shefaligarg29@gmail.com</t>
  </si>
  <si>
    <t>917898371667</t>
  </si>
  <si>
    <t>House No. 464, First Floor, Sector 45</t>
  </si>
  <si>
    <t>NAME::SHEFALI GARG</t>
  </si>
  <si>
    <t>Shibu Kunjappy</t>
  </si>
  <si>
    <t>INA000013466</t>
  </si>
  <si>
    <t>LILY - 412, A - BLOCK, TALPURI INTERNATIONAL COLONY</t>
  </si>
  <si>
    <t>hib31@hotmail.com</t>
  </si>
  <si>
    <t>490006</t>
  </si>
  <si>
    <t>NAME::SHIBU KUNJAPPY</t>
  </si>
  <si>
    <t>Shilpi Maheshwari</t>
  </si>
  <si>
    <t>INA000019682</t>
  </si>
  <si>
    <t>Flat No. C/1101, Vill. Vesu, Rajhans Cremona, Surat</t>
  </si>
  <si>
    <t>cashilpi91@gmail.com</t>
  </si>
  <si>
    <t>919672372998</t>
  </si>
  <si>
    <t>NAME::SHILPI MAHESHWARI</t>
  </si>
  <si>
    <t>Shishir Agarwal</t>
  </si>
  <si>
    <t>INA000020703</t>
  </si>
  <si>
    <t>1702,17F, Hiranandani Parks, Chatsworth II, Senthamangalam, Village Kanchipura, Chennai, Tamil Nadu</t>
  </si>
  <si>
    <t>shishir75@yahoo.com</t>
  </si>
  <si>
    <t>00919967556892</t>
  </si>
  <si>
    <t>NAME::SHISHIR AGARWAL</t>
  </si>
  <si>
    <t>ShivamGoel</t>
  </si>
  <si>
    <t>INH100009707</t>
  </si>
  <si>
    <t>Shivam Goel</t>
  </si>
  <si>
    <t>106 Kautilya Apartments Sector 6, Vasundhara</t>
  </si>
  <si>
    <t>shivamgoel@gmail.com</t>
  </si>
  <si>
    <t>NAME::SHIVAMGOEL</t>
  </si>
  <si>
    <t>Shivangi Patel</t>
  </si>
  <si>
    <t>INH000026752</t>
  </si>
  <si>
    <t>Ward 9 Station road Gurra station, Hoshangabad</t>
  </si>
  <si>
    <t>shivangipatel6647@gmail.com</t>
  </si>
  <si>
    <t>919243069500</t>
  </si>
  <si>
    <t>461111</t>
  </si>
  <si>
    <t>NAME::SHIVANGI PATEL</t>
  </si>
  <si>
    <t>Shivani Shailash Goyal</t>
  </si>
  <si>
    <t>INH000019275</t>
  </si>
  <si>
    <t>Shivani Goyal</t>
  </si>
  <si>
    <t>Row House 6, Shamail Complex, Balaji Nagar, Opposite Railway Station, Bhayander West</t>
  </si>
  <si>
    <t>shivanigoyal2302@gmail.com</t>
  </si>
  <si>
    <t>918108183000</t>
  </si>
  <si>
    <t>NAME::SHIVANI SHAILASH GOYAL</t>
  </si>
  <si>
    <t>Shivendru Shekhar</t>
  </si>
  <si>
    <t>INH000027469</t>
  </si>
  <si>
    <t>Flat 712, Grace City Apartments, Barra-8, Meharbaan Singh Ka Purva</t>
  </si>
  <si>
    <t>shivendru39@gmail.com</t>
  </si>
  <si>
    <t>007275703243</t>
  </si>
  <si>
    <t>NAME::SHIVENDRU SHEKHAR</t>
  </si>
  <si>
    <t>Shobhit Khare</t>
  </si>
  <si>
    <t>INA000007313</t>
  </si>
  <si>
    <t>Flat Number 704A, Cosmic Heights, Bhakti Park, Near Imax, Wadala (East)</t>
  </si>
  <si>
    <t>khare.shobhit@gmail.com</t>
  </si>
  <si>
    <t>Office No 11, Third Floor, Royal Tower, Sainik Nagar, Viman Nagar Roa</t>
  </si>
  <si>
    <t>Mar 20, 2017</t>
  </si>
  <si>
    <t>NAME::SHOBHIT KHARE</t>
  </si>
  <si>
    <t>Shomesh Kumar</t>
  </si>
  <si>
    <t>INA200015088</t>
  </si>
  <si>
    <t>SHOMESH KUMAR</t>
  </si>
  <si>
    <t>501, Srivastsa, Plot 66/67, Methodist Colony, Begumpet</t>
  </si>
  <si>
    <t>shomeshk@gmail.com</t>
  </si>
  <si>
    <t>Sep 04, 2020</t>
  </si>
  <si>
    <t>NAME::SHOMESH KUMAR</t>
  </si>
  <si>
    <t>Shree Ram Raut</t>
  </si>
  <si>
    <t>INH000012537</t>
  </si>
  <si>
    <t>Shree  Raut</t>
  </si>
  <si>
    <t>A-47 Ground Floor, Gali Number 06 East Vinod Nagar</t>
  </si>
  <si>
    <t>mail4shreeram@gmail.com</t>
  </si>
  <si>
    <t>251 2nd Floor, Vardhman Sunrise Plaza Vashundhara Enclave</t>
  </si>
  <si>
    <t>Jul 11, 2023</t>
  </si>
  <si>
    <t>NAME::SHREE RAM RAUT</t>
  </si>
  <si>
    <t>Shreenath Infotech</t>
  </si>
  <si>
    <t>INH000017976</t>
  </si>
  <si>
    <t>Sunil Yadav</t>
  </si>
  <si>
    <t>101 102, Rafael Tower, Main Saket Square, Old Palasia</t>
  </si>
  <si>
    <t>shreenathinfotech5@gmail.com</t>
  </si>
  <si>
    <t>House No. 01, Matoshree Height, Ramchandra Nagar, MR 03 Road, Dewas</t>
  </si>
  <si>
    <t>Jul 26, 2024</t>
  </si>
  <si>
    <t>NAME::SHREENATH INFOTECH</t>
  </si>
  <si>
    <t>Shrikant Pandey</t>
  </si>
  <si>
    <t>INH000023986</t>
  </si>
  <si>
    <t>Flat- 601, Jaya Garden, Building-4, Silver Park Road, Opp Hetal Park Bldg., Mira Road East</t>
  </si>
  <si>
    <t>shrikantpandey781@gmail.com</t>
  </si>
  <si>
    <t>918928601645</t>
  </si>
  <si>
    <t>NAME::SHRIKANT PANDEY</t>
  </si>
  <si>
    <t>Shriram Sreenivasan</t>
  </si>
  <si>
    <t>INH000010131</t>
  </si>
  <si>
    <t>C3001, Runwal Pride, Behind R Mall, Mulund West</t>
  </si>
  <si>
    <t>shriram00.s@gmail.com</t>
  </si>
  <si>
    <t>919987958715</t>
  </si>
  <si>
    <t>NAME::SHRIRAM SREENIVASAN</t>
  </si>
  <si>
    <t>Shruti Subhashchander Bhatia</t>
  </si>
  <si>
    <t>INA000018939</t>
  </si>
  <si>
    <t>Shruti Bhatia</t>
  </si>
  <si>
    <t>A-706, Icon Apartments,, Sector Chi 3, Greater Noida,</t>
  </si>
  <si>
    <t>shruti_bhatia@yahoo.com</t>
  </si>
  <si>
    <t>919575800154</t>
  </si>
  <si>
    <t>A-706, Icon Apartments, Sector Chi 3, Greater Noida,</t>
  </si>
  <si>
    <t>NAME::SHRUTI SUBHASHCHANDER BHATIA</t>
  </si>
  <si>
    <t>Shubham Jaiswal</t>
  </si>
  <si>
    <t>INA000022206</t>
  </si>
  <si>
    <t>20/235 Saket Nagar mandir road, Deoria</t>
  </si>
  <si>
    <t>ria.shubhamjaiswal@gmail.com</t>
  </si>
  <si>
    <t>00917503556594</t>
  </si>
  <si>
    <t>NAME::SHUBHAM JAISWAL</t>
  </si>
  <si>
    <t>Shubham Kumar</t>
  </si>
  <si>
    <t>INH000028079</t>
  </si>
  <si>
    <t>Shubham  Kumar</t>
  </si>
  <si>
    <t>Plot no. 356, Shahpur, Danapur, Patna</t>
  </si>
  <si>
    <t>shubhamkumar.vision@gmail.com</t>
  </si>
  <si>
    <t>00009472633151</t>
  </si>
  <si>
    <t>NAME::SHUBHAM KUMAR</t>
  </si>
  <si>
    <t>Shubham Rajendra Jain</t>
  </si>
  <si>
    <t>INH000013554</t>
  </si>
  <si>
    <t>Bldg No 2, E,1304, Agarwal Residency, Shankar Lane, Near Jain Mandir, kandivali (w)</t>
  </si>
  <si>
    <t>jain98703@gmail.com</t>
  </si>
  <si>
    <t>919870531111</t>
  </si>
  <si>
    <t>Nov 02, 2023</t>
  </si>
  <si>
    <t>NAME::SHUBHAM RAJENDRA JAIN</t>
  </si>
  <si>
    <t>Shweta Saluja</t>
  </si>
  <si>
    <t>INH000016904</t>
  </si>
  <si>
    <t>85, Sant Nagarm Swiniwaspuri, South Delhi</t>
  </si>
  <si>
    <t>shwetasaluja88@gmail.com</t>
  </si>
  <si>
    <t>NAME::SHWETA SALUJA</t>
  </si>
  <si>
    <t>Shyam Sharma</t>
  </si>
  <si>
    <t>INH000028033</t>
  </si>
  <si>
    <t>Pioneer Convent School Mahalaxmi Nagar</t>
  </si>
  <si>
    <t>sharmashyam934@gmail.com</t>
  </si>
  <si>
    <t>0009826144509</t>
  </si>
  <si>
    <t>NAME::SHYAM SHARMA</t>
  </si>
  <si>
    <t>Siddharth Rai Mangala</t>
  </si>
  <si>
    <t>INH000024693</t>
  </si>
  <si>
    <t>Siddharth Mangala</t>
  </si>
  <si>
    <t>17/40 New Dhan Mandi,, 3rd Block</t>
  </si>
  <si>
    <t>jaimaagroup333@gmail.com</t>
  </si>
  <si>
    <t>919999560623</t>
  </si>
  <si>
    <t>Jan 14, 2026</t>
  </si>
  <si>
    <t>NAME::SIDDHARTH RAI MANGALA</t>
  </si>
  <si>
    <t>Siddharth Shrivastava</t>
  </si>
  <si>
    <t>INH000017587</t>
  </si>
  <si>
    <t>Santoshi Nagar Road,, Tikrapara,</t>
  </si>
  <si>
    <t>shrivastavasiddharth2023@gmail.com</t>
  </si>
  <si>
    <t>114 B Zone Business Space, Nipaniya,</t>
  </si>
  <si>
    <t>NAME::SIDDHARTH SHRIVASTAVA</t>
  </si>
  <si>
    <t>Smit Hiren Ruparel</t>
  </si>
  <si>
    <t>INH000023515</t>
  </si>
  <si>
    <t>Smit Ruparel</t>
  </si>
  <si>
    <t>A-201, Ishwar Swaroop., 3rd Mamletdar wadi road,, Malad (west), Mumbai-64, Maharastra, India</t>
  </si>
  <si>
    <t>smitr80@gmail.com</t>
  </si>
  <si>
    <t>9102228886334</t>
  </si>
  <si>
    <t>NAME::SMIT HIREN RUPAREL</t>
  </si>
  <si>
    <t>Solomon Henry Pinto</t>
  </si>
  <si>
    <t>INH000009630</t>
  </si>
  <si>
    <t>Solomon  Pinto</t>
  </si>
  <si>
    <t>A 701,Blue Fortuna, Marol Military Road, Andheri East</t>
  </si>
  <si>
    <t>solomon.pinto@gmail.com</t>
  </si>
  <si>
    <t>May 24, 2022</t>
  </si>
  <si>
    <t>NAME::SOLOMON HENRY PINTO</t>
  </si>
  <si>
    <t>Somil Pushpakant Visaria</t>
  </si>
  <si>
    <t>INH000022695</t>
  </si>
  <si>
    <t>Somil Visaria</t>
  </si>
  <si>
    <t>Room No. 1, 2nd Floor, Matru Chhaya, M.G. Road, Near Railway Station, Mulund West, Mumbai</t>
  </si>
  <si>
    <t>somil.visaria@gmail.com</t>
  </si>
  <si>
    <t>919029726744</t>
  </si>
  <si>
    <t>NAME::SOMIL PUSHPAKANT VISARIA</t>
  </si>
  <si>
    <t>Sonali Talreja</t>
  </si>
  <si>
    <t>INH000012698</t>
  </si>
  <si>
    <t>Sonali  Talreja</t>
  </si>
  <si>
    <t>Municipal ward No.22,first floor,Property No.22B1016609500, Behind block No.A-54</t>
  </si>
  <si>
    <t>sktalreja193@gmail.com</t>
  </si>
  <si>
    <t>NAME::SONALI TALREJA</t>
  </si>
  <si>
    <t>Sony Joseph</t>
  </si>
  <si>
    <t>INH200004815</t>
  </si>
  <si>
    <t>Joseph Land,Kaipuzha north.p.o, Kulanada via</t>
  </si>
  <si>
    <t>sonymentor@gmail.com</t>
  </si>
  <si>
    <t>689503</t>
  </si>
  <si>
    <t>NAME::SONY JOSEPH</t>
  </si>
  <si>
    <t>Sparsh Jindal</t>
  </si>
  <si>
    <t>INH000015367</t>
  </si>
  <si>
    <t>6189/A, Nicholson Road, Ambala Cantt.</t>
  </si>
  <si>
    <t>sparshinvest9@gmail.com</t>
  </si>
  <si>
    <t>919728973811</t>
  </si>
  <si>
    <t>133001</t>
  </si>
  <si>
    <t>NAME::SPARSH JINDAL</t>
  </si>
  <si>
    <t>Srayance Jain</t>
  </si>
  <si>
    <t>INH000008419</t>
  </si>
  <si>
    <t>H N-7 GANESH VIHAR COLONY, GONER ROAD</t>
  </si>
  <si>
    <t>srayance.jain@gmail.com</t>
  </si>
  <si>
    <t>NAME::SRAYANCE JAIN</t>
  </si>
  <si>
    <t>Sridhar Nagarajan</t>
  </si>
  <si>
    <t>INA000018027</t>
  </si>
  <si>
    <t>Villa 100, Purva Sound of Water,, Chikkakammanahalli, Begur Hobli, Begur Koppa Road, Kammanahalli Village</t>
  </si>
  <si>
    <t>sridhar.naga@gmail.com</t>
  </si>
  <si>
    <t>919986541839</t>
  </si>
  <si>
    <t>Villa 100, Purva Sound of Water, Chikkakammanahalli, Begur Hobli, Begur Koppa Road, Kammanahalli Village</t>
  </si>
  <si>
    <t>NAME::SRIDHAR NAGARAJAN</t>
  </si>
  <si>
    <t>Srikanth Keshavamurthy</t>
  </si>
  <si>
    <t>INH200007432</t>
  </si>
  <si>
    <t>SRIKANTH KESHAVAMURTHY</t>
  </si>
  <si>
    <t>B2-1021 gokulam apartments, vasantha vallabha nagar, kanakapura road</t>
  </si>
  <si>
    <t>SKAVADHANI@GMAIL.COM</t>
  </si>
  <si>
    <t>Oct 15, 2019</t>
  </si>
  <si>
    <t>NAME::SRIKANTH KESHAVAMURTHY</t>
  </si>
  <si>
    <t>Srikrishna M S</t>
  </si>
  <si>
    <t>INA000022385</t>
  </si>
  <si>
    <t>Jansons School of Business,, Karumathampatti,</t>
  </si>
  <si>
    <t>srikrishna.ms23@gmail.com</t>
  </si>
  <si>
    <t>000919663025090</t>
  </si>
  <si>
    <t>641659</t>
  </si>
  <si>
    <t>NAME::SRIKRISHNA M S</t>
  </si>
  <si>
    <t>Srinivas P</t>
  </si>
  <si>
    <t>INA000022756</t>
  </si>
  <si>
    <t>Srinivas Palani</t>
  </si>
  <si>
    <t>4/7 First floor, Nethaji Nagar1st street, Opposite to Yokesh hospital,, Villivakkam.</t>
  </si>
  <si>
    <t>palanisrinivas95@gmail.com</t>
  </si>
  <si>
    <t>00918637458393</t>
  </si>
  <si>
    <t>600049</t>
  </si>
  <si>
    <t>NAME::SRINIVAS P</t>
  </si>
  <si>
    <t>Sriram Jayaraman</t>
  </si>
  <si>
    <t>INA200011976</t>
  </si>
  <si>
    <t>B207, Chartered Madhura Apts, Uttarahalli Main road, Uttarahalli</t>
  </si>
  <si>
    <t>jayaram.sriram@gmail.com</t>
  </si>
  <si>
    <t>Nov 05, 2018</t>
  </si>
  <si>
    <t>NAME::SRIRAM JAYARAMAN</t>
  </si>
  <si>
    <t>Stock Roots</t>
  </si>
  <si>
    <t>INH000016621</t>
  </si>
  <si>
    <t>Pradeep Goyal</t>
  </si>
  <si>
    <t>H NO 153/18, FRIENDS COLONY</t>
  </si>
  <si>
    <t>capradeepgoyal@gmail.com</t>
  </si>
  <si>
    <t>NAME::STOCK ROOTS</t>
  </si>
  <si>
    <t>Subrat Shukla</t>
  </si>
  <si>
    <t>INH000026974</t>
  </si>
  <si>
    <t>7A 1A Jondhwal Teliyarganj</t>
  </si>
  <si>
    <t>subrat12105@gmail.com</t>
  </si>
  <si>
    <t>919555453050</t>
  </si>
  <si>
    <t>211004</t>
  </si>
  <si>
    <t>NAME::SUBRAT SHUKLA</t>
  </si>
  <si>
    <t>Suda Bhanu Prasad</t>
  </si>
  <si>
    <t>INA200009050</t>
  </si>
  <si>
    <t>Bhanu  Suda</t>
  </si>
  <si>
    <t>Gf1, Block 14, Ntr Apartments, Peddapuram, East Godavari, Andhra Pradesh 533437</t>
  </si>
  <si>
    <t>bhanuprasadcfp@yahoo.in</t>
  </si>
  <si>
    <t>533437</t>
  </si>
  <si>
    <t>Nov 15, 2017</t>
  </si>
  <si>
    <t>NAME::SUDA BHANU PRASAD</t>
  </si>
  <si>
    <t>Sudhir Verma</t>
  </si>
  <si>
    <t>INH000015455</t>
  </si>
  <si>
    <t>65 &amp; 66A Anustha Residency,, Junwani</t>
  </si>
  <si>
    <t>stoxsense24@gmail.com</t>
  </si>
  <si>
    <t>918217721284</t>
  </si>
  <si>
    <t>65 &amp; 66A Anustha Residency, Junwani</t>
  </si>
  <si>
    <t>NAME::SUDHIR VERMA</t>
  </si>
  <si>
    <t>Sudip Brahmachary</t>
  </si>
  <si>
    <t>INH000011042</t>
  </si>
  <si>
    <t>15u Lenin Sarani PO MALLICKPARA SERAMPORE</t>
  </si>
  <si>
    <t>sudipsrp@gmail.com</t>
  </si>
  <si>
    <t>712203</t>
  </si>
  <si>
    <t>NAME::SUDIP BRAHMACHARY</t>
  </si>
  <si>
    <t>Suhani Sandip Katariya</t>
  </si>
  <si>
    <t>INH000026257</t>
  </si>
  <si>
    <t>Suhani Katariya</t>
  </si>
  <si>
    <t>Dattatraya D CO-OP Soopp Water Pumping</t>
  </si>
  <si>
    <t>casuhanikatariya@gmail.com</t>
  </si>
  <si>
    <t>007768881441</t>
  </si>
  <si>
    <t>NAME::SUHANI SANDIP KATARIYA</t>
  </si>
  <si>
    <t>Suhas Fruitwala</t>
  </si>
  <si>
    <t>INH000010432</t>
  </si>
  <si>
    <t>G-5 Aum complex, Mota mandir, Holi chakla, Bhagatalaav</t>
  </si>
  <si>
    <t>fruitwalasuhas@gmail.com</t>
  </si>
  <si>
    <t>NAME::SUHAS FRUITWALA</t>
  </si>
  <si>
    <t>Suhas Suresh Shetiya</t>
  </si>
  <si>
    <t>INA200014982</t>
  </si>
  <si>
    <t>Suhas Shetiya</t>
  </si>
  <si>
    <t>805, Syndicate Bank Colony,, Nagarbavi road, Moodalpalya</t>
  </si>
  <si>
    <t>suhasshetiya@gmail.com</t>
  </si>
  <si>
    <t>805, Syndicate Bank Colony, Nagarbavi road, Moodalpalya</t>
  </si>
  <si>
    <t>NAME::SUHAS SURESH SHETIYA</t>
  </si>
  <si>
    <t>Sujay Chaudhari</t>
  </si>
  <si>
    <t>INH000009746</t>
  </si>
  <si>
    <t>SUJAY CHAUDHARI</t>
  </si>
  <si>
    <t>Office 322 West Avenue Sr No 2 Hissa No 2B,3B PUNE City</t>
  </si>
  <si>
    <t>tradeflaircap@gmail.com</t>
  </si>
  <si>
    <t>919022390698</t>
  </si>
  <si>
    <t>NAME::SUJAY CHAUDHARI</t>
  </si>
  <si>
    <t>Sumit Khare</t>
  </si>
  <si>
    <t>INH000013615</t>
  </si>
  <si>
    <t>Sumit  Khare</t>
  </si>
  <si>
    <t>H No. 7 Sachidanand Nagar, Sector- B,, Nizamuddin Road,</t>
  </si>
  <si>
    <t>kharesumit856@gmail.com</t>
  </si>
  <si>
    <t>H No. 7 Sachidanand Nagar, Sector- B, Nizamuddin Road,</t>
  </si>
  <si>
    <t>NAME::SUMIT KHARE</t>
  </si>
  <si>
    <t>Sumit Kumar Singh</t>
  </si>
  <si>
    <t>INA100010004</t>
  </si>
  <si>
    <t>Sumit Singh</t>
  </si>
  <si>
    <t>B 301, Prerana Apartment, Plot no 8, Sector 56</t>
  </si>
  <si>
    <t>singhsumitkumar@gmail.com</t>
  </si>
  <si>
    <t>Mar 08, 2018</t>
  </si>
  <si>
    <t>NAME::SUMIT KUMAR SINGH</t>
  </si>
  <si>
    <t>INH000014261</t>
  </si>
  <si>
    <t>4th Floor, Laxmi Heights, Plot No. 57, Narendra  Nagar,, Paneriyon Ki Madri, Main Road, Opposite  Hansa Palace, Hiran Magri Sector 4,</t>
  </si>
  <si>
    <t>sunilgurjar7971@gmail.com</t>
  </si>
  <si>
    <t>918286408438</t>
  </si>
  <si>
    <t>4th Floor, Laxmi Heights, Plot No. 57, Narendra  Nagar, Paneriyon Ki Madri, Main Road, Opposite  Hansa Palace, Hiran Magri Sector 4,</t>
  </si>
  <si>
    <t>NAME::SUNIL GURJAR</t>
  </si>
  <si>
    <t>Sunil Vyas</t>
  </si>
  <si>
    <t>INA000022215</t>
  </si>
  <si>
    <t>7A55 , 4TH PULIYA ,CHB, JODHPUR</t>
  </si>
  <si>
    <t>sunielvyas@gmail.com</t>
  </si>
  <si>
    <t>NAME::SUNIL VYAS</t>
  </si>
  <si>
    <t>Suraj Ramakrishnan</t>
  </si>
  <si>
    <t>INA000016144</t>
  </si>
  <si>
    <t>Office No. 7, Bhoomi Mall, Plot no 9, CBD Belapur</t>
  </si>
  <si>
    <t>surajr.316@gmail.com</t>
  </si>
  <si>
    <t>Aug 25, 2021</t>
  </si>
  <si>
    <t>NAME::SURAJ RAMAKRISHNAN</t>
  </si>
  <si>
    <t>Suraj Sakaria N</t>
  </si>
  <si>
    <t>INH000027885</t>
  </si>
  <si>
    <t>Suraj Sakaria</t>
  </si>
  <si>
    <t>2102 B, Bridgewood, Hiranandhani Upscale, Siruseri, OMR</t>
  </si>
  <si>
    <t>suraj.sn.uk@gmail.com</t>
  </si>
  <si>
    <t>009840596929</t>
  </si>
  <si>
    <t>600130</t>
  </si>
  <si>
    <t>NAME::SURAJ SAKARIA N</t>
  </si>
  <si>
    <t>Sushilkumar Baljitsingh Chauhan</t>
  </si>
  <si>
    <t>INH000020369</t>
  </si>
  <si>
    <t>Sushilkumar  Chauhan</t>
  </si>
  <si>
    <t>F.N08,JAY NARAYAN APTSB,H, NAGZI HOSPITAL,WADALA NASHIK</t>
  </si>
  <si>
    <t>chauhansushil1@gmail.com</t>
  </si>
  <si>
    <t>919370652331</t>
  </si>
  <si>
    <t>442206</t>
  </si>
  <si>
    <t>May 02, 2025</t>
  </si>
  <si>
    <t>NAME::SUSHILKUMAR BALJITSINGH CHAUHAN</t>
  </si>
  <si>
    <t>Sushilkumar D Pardeshi</t>
  </si>
  <si>
    <t>INA000020305</t>
  </si>
  <si>
    <t>No 37 12th cross 4th main, wilson Garden south adugodi Bangalore</t>
  </si>
  <si>
    <t>pardeshi.sushil@gmail.com</t>
  </si>
  <si>
    <t>919902488299</t>
  </si>
  <si>
    <t>560030</t>
  </si>
  <si>
    <t>NAME::SUSHILKUMAR D PARDESHI</t>
  </si>
  <si>
    <t>Susmit Mukherjee</t>
  </si>
  <si>
    <t>INH300008030</t>
  </si>
  <si>
    <t>6/47, Netaji Nagar, Kolkata, Regent Estate</t>
  </si>
  <si>
    <t>aadityaherenow@gmail.com</t>
  </si>
  <si>
    <t>700092</t>
  </si>
  <si>
    <t>Dec 28, 2020</t>
  </si>
  <si>
    <t>NAME::SUSMIT MUKHERJEE</t>
  </si>
  <si>
    <t>Susmita Sahoo</t>
  </si>
  <si>
    <t>INH000019150</t>
  </si>
  <si>
    <t>1605 Crystal nearby Yashoda HI Tech, city Aurorealty Kohinoor Hyderabad</t>
  </si>
  <si>
    <t>25susmita.sahoo@gmail.com</t>
  </si>
  <si>
    <t>918763412621</t>
  </si>
  <si>
    <t>500085</t>
  </si>
  <si>
    <t>NAME::SUSMITA SAHOO</t>
  </si>
  <si>
    <t>Suyash Srivastava</t>
  </si>
  <si>
    <t>INH000014483</t>
  </si>
  <si>
    <t>RV-204, Sunrise Apartments, Sector P, Mansarovar, Kanpur Road, LDA Colony</t>
  </si>
  <si>
    <t>suyash57@gmail.com</t>
  </si>
  <si>
    <t>226012</t>
  </si>
  <si>
    <t>NAME::SUYASH SRIVASTAVA</t>
  </si>
  <si>
    <t>Swapnil Satish Nadkar</t>
  </si>
  <si>
    <t>INA000018595</t>
  </si>
  <si>
    <t>Swapnil Nadkar</t>
  </si>
  <si>
    <t>702, Abhijyot Square, near SG Highway, Near Matrix tower,, behind Divya Bhaskar press, Makarba</t>
  </si>
  <si>
    <t>swapnil.nadkar@gmail.com</t>
  </si>
  <si>
    <t>918128994229</t>
  </si>
  <si>
    <t>Flat no 901, One49 Apartments, Opp Aryan Opulence, behind Abhishree Corporate, Ambli-Bopal Road, Bopal</t>
  </si>
  <si>
    <t>NAME::SWAPNIL SATISH NADKAR</t>
  </si>
  <si>
    <t>Syam Kumar Reddy Adapa</t>
  </si>
  <si>
    <t>INH000018869</t>
  </si>
  <si>
    <t>FlatNo504,Jasvik Green Avenue, KPHB 5th Phase,, Kukatpally Housing Board Colony, Kukatpally,</t>
  </si>
  <si>
    <t>syam.2024.ra@gmail.com</t>
  </si>
  <si>
    <t>919866611995</t>
  </si>
  <si>
    <t>FlatNo504,Jasvik Green Avenue, KPHB 5th Phase, Kukatpally Housing Board Colony, Kukatpally,</t>
  </si>
  <si>
    <t>NAME::SYAM KUMAR REDDY ADAPA</t>
  </si>
  <si>
    <t>T Priya</t>
  </si>
  <si>
    <t>INH000028291</t>
  </si>
  <si>
    <t>Thirupathi Priya</t>
  </si>
  <si>
    <t>P 305 Oxygen By Urbantree,Pushkin Street,Perumbakkam</t>
  </si>
  <si>
    <t>itpriya29@gmail.com</t>
  </si>
  <si>
    <t>009360278722</t>
  </si>
  <si>
    <t>600100</t>
  </si>
  <si>
    <t>NAME::T PRIYA</t>
  </si>
  <si>
    <t>TANISHK OJHA</t>
  </si>
  <si>
    <t>INH000015136</t>
  </si>
  <si>
    <t>0208, Samane Ghat, Nagwa, Varanasi, Uttar Pradesh</t>
  </si>
  <si>
    <t>tanishkojha@icloud.com</t>
  </si>
  <si>
    <t>919918445568</t>
  </si>
  <si>
    <t>221005</t>
  </si>
  <si>
    <t>N1/65, D-6, Shashi Nagar Colony, Nagwa, Varanasi</t>
  </si>
  <si>
    <t>icloud.com</t>
  </si>
  <si>
    <t>NAME::TANISHK OJHA</t>
  </si>
  <si>
    <t>TAURUS ANALYTICS</t>
  </si>
  <si>
    <t>INH000025276</t>
  </si>
  <si>
    <t>RISHABH YEOLEKAR</t>
  </si>
  <si>
    <t>N-401 S.G BUSINESS HUB S.G.HIGHWAY NEAR SOLA BHAGWAT</t>
  </si>
  <si>
    <t>yeolekarrishabh@gmail.com</t>
  </si>
  <si>
    <t>NAME::TAURUS ANALYTICS</t>
  </si>
  <si>
    <t>TEJAS NAIK</t>
  </si>
  <si>
    <t>INH000016551</t>
  </si>
  <si>
    <t>401, Reelicon Claramount Pune Satara Road, Pune Near Walwekar Lawans Pune</t>
  </si>
  <si>
    <t>tejasnaik26@gmail.com</t>
  </si>
  <si>
    <t>918888863863</t>
  </si>
  <si>
    <t>NAME::TEJAS NAIK</t>
  </si>
  <si>
    <t>TEJASWI SANGA</t>
  </si>
  <si>
    <t>INA200015176</t>
  </si>
  <si>
    <t>1-4-75/201-b, habsiguda 8, sri sai landmark, jamai osmania</t>
  </si>
  <si>
    <t>tejaswisanga@hotmail.com</t>
  </si>
  <si>
    <t>500007</t>
  </si>
  <si>
    <t>NAME::TEJASWI SANGA</t>
  </si>
  <si>
    <t>TEJINDER SINGH BHANDOHAL</t>
  </si>
  <si>
    <t>INH000015385</t>
  </si>
  <si>
    <t>C/O Karnail Singh, H.No. 627, Mandir Wali Gali, Century Enclave, Dulladi, Nabha</t>
  </si>
  <si>
    <t>tejinder.s.bhandohal@gmail.com</t>
  </si>
  <si>
    <t>919888824665</t>
  </si>
  <si>
    <t>147201</t>
  </si>
  <si>
    <t>NAME::TEJINDER SINGH BHANDOHAL</t>
  </si>
  <si>
    <t>THAMARAPALLIL ABRAHAM JOSEPH</t>
  </si>
  <si>
    <t>INA000018115</t>
  </si>
  <si>
    <t>ABRAHAM THAMARAPALLIL</t>
  </si>
  <si>
    <t>THAMARAPALLIL OFFICE,WARD NO-9 /342,OLD  BOAT JETTY ROAD,, THIRUVANVANDOOR PANCHAYAT, KALLISSERY P O,</t>
  </si>
  <si>
    <t>abyjoseph11@gmail.com</t>
  </si>
  <si>
    <t>919847050776</t>
  </si>
  <si>
    <t>689124</t>
  </si>
  <si>
    <t>FLAT NO C-2, 2ND FLOOR,MAYFAIR BUILDING, CHACKOLAS COLONY,THEVARA,KOCHI</t>
  </si>
  <si>
    <t>682015</t>
  </si>
  <si>
    <t>Jun 22, 2023</t>
  </si>
  <si>
    <t>NAME::THAMARAPALLIL ABRAHAM JOSEPH</t>
  </si>
  <si>
    <t>THORIA JIGNESH</t>
  </si>
  <si>
    <t>INA000019549</t>
  </si>
  <si>
    <t>JIGNESH THORIA</t>
  </si>
  <si>
    <t>31, MUKTABA SOCIETY, NR NEW VEGETABLE MARKET,, DHOLKA, AHMEDABAD</t>
  </si>
  <si>
    <t>cajigsthoria@gmail.com</t>
  </si>
  <si>
    <t>91009722840502</t>
  </si>
  <si>
    <t>382225</t>
  </si>
  <si>
    <t>31, MUKTABA SOCIETY, NR NEW VEGETABLE MARKET, DHOLKA, AHMEDABAD</t>
  </si>
  <si>
    <t>Sep 13, 2024</t>
  </si>
  <si>
    <t>NAME::THORIA JIGNESH</t>
  </si>
  <si>
    <t>THRASU THALATAM</t>
  </si>
  <si>
    <t>INH000014377</t>
  </si>
  <si>
    <t>2-9, RAMALAYAM STREET, CHANDRAMPALEM,, SAMARLAKOTA MANDALAM, EAST GODAVARI,</t>
  </si>
  <si>
    <t>thrasuca@gmail.com</t>
  </si>
  <si>
    <t>533450</t>
  </si>
  <si>
    <t>2-9, RAMALAYAM STREET, CHANDRAMPALEM, SAMARLAKOTA MANDALAM, EAST GODAVARI,</t>
  </si>
  <si>
    <t>NAME::THRASU THALATAM</t>
  </si>
  <si>
    <t>TRADE WITH TREND</t>
  </si>
  <si>
    <t>INH000015710</t>
  </si>
  <si>
    <t>PRASENJIT SARKAR</t>
  </si>
  <si>
    <t>New Colony, Bindeshwari Path, Hazaribagh</t>
  </si>
  <si>
    <t>Tradewithtrend78@gmail.com</t>
  </si>
  <si>
    <t>919508143740</t>
  </si>
  <si>
    <t>HAZARIBAGH</t>
  </si>
  <si>
    <t>NAME::TRADE WITH TREND</t>
  </si>
  <si>
    <t>TRUPTI NILESH VEDAK</t>
  </si>
  <si>
    <t>INA000007252</t>
  </si>
  <si>
    <t>Trupti vedak</t>
  </si>
  <si>
    <t>A-2404 ASTERIA, (TOWER 1), COURTYARD, POKHARAN ROAD NO.2</t>
  </si>
  <si>
    <t>truptivedak24@gmail.com</t>
  </si>
  <si>
    <t>919004609641</t>
  </si>
  <si>
    <t>C 5, Madhuri CHS, Gunsagar Nagar, station road kalwa</t>
  </si>
  <si>
    <t>Mar 09, 2017</t>
  </si>
  <si>
    <t>NAME::TRUPTI NILESH VEDAK</t>
  </si>
  <si>
    <t>TUSHAR JAIN</t>
  </si>
  <si>
    <t>INH000025160</t>
  </si>
  <si>
    <t>4/282, SFS, Agarwal Farm, Mansarovar, Jaipur</t>
  </si>
  <si>
    <t>tushaar.jain28@gmail.com</t>
  </si>
  <si>
    <t>919818310203</t>
  </si>
  <si>
    <t>NAME::TUSHAR JAIN</t>
  </si>
  <si>
    <t>Tapankumar Dhirajlal Doshi</t>
  </si>
  <si>
    <t>INH000015516</t>
  </si>
  <si>
    <t>Tapankumar DOSHI</t>
  </si>
  <si>
    <t>B/401 chinmay crystal, 489 bodakdev</t>
  </si>
  <si>
    <t>tapydoshi@gmail.com</t>
  </si>
  <si>
    <t>919726483113</t>
  </si>
  <si>
    <t>NAME::TAPANKUMAR DHIRAJLAL DOSHI</t>
  </si>
  <si>
    <t>Tarun Shandil</t>
  </si>
  <si>
    <t>INH100009336</t>
  </si>
  <si>
    <t>14 PO, Garkhal 1224, Vill, Samol Kasauli</t>
  </si>
  <si>
    <t>tarunshandil@gmail.com</t>
  </si>
  <si>
    <t>SHIMLA</t>
  </si>
  <si>
    <t>HIMACHAL PRADESH</t>
  </si>
  <si>
    <t>173201</t>
  </si>
  <si>
    <t>NAME::TARUN SHANDIL</t>
  </si>
  <si>
    <t>Tasneem Press wala</t>
  </si>
  <si>
    <t>INH000026716</t>
  </si>
  <si>
    <t>Tasneem  Press wala</t>
  </si>
  <si>
    <t>Flat 202, Aman Palace, 74 Veer sawarkar nagar, Opp. Manik bagh Bridge</t>
  </si>
  <si>
    <t>ca.tasneem@gmail.com</t>
  </si>
  <si>
    <t>NAME::TASNEEM PRESS WALA</t>
  </si>
  <si>
    <t>Tejas Bansal</t>
  </si>
  <si>
    <t>INH000021261</t>
  </si>
  <si>
    <t>S P Mukharjee Road, Near Maheshwari Bhawan, Khalpara Silliguri</t>
  </si>
  <si>
    <t>tejasbansal2002@gmail.com</t>
  </si>
  <si>
    <t>917908238575</t>
  </si>
  <si>
    <t>734005</t>
  </si>
  <si>
    <t>NAME::TEJAS BANSAL</t>
  </si>
  <si>
    <t>Thacker Bhavesh H</t>
  </si>
  <si>
    <t>INH000020907</t>
  </si>
  <si>
    <t>Bhavesh Thacker</t>
  </si>
  <si>
    <t>Office no 4, First Floor, Anjani - 4, Ward 12/C,, Near City Police Station, Gandhidham, Kutch, Gujarat</t>
  </si>
  <si>
    <t>dr.bhaveshthacker@gmail.com</t>
  </si>
  <si>
    <t>917069615556</t>
  </si>
  <si>
    <t>370201</t>
  </si>
  <si>
    <t>Office no 4, First Floor, Anjani - 4, Ward 12/C, Near City Police Station, Gandhidham, Kutch, Gujarat</t>
  </si>
  <si>
    <t>NAME::THACKER BHAVESH H</t>
  </si>
  <si>
    <t>Tilak Raj Singh Chouhan</t>
  </si>
  <si>
    <t>INH000026080</t>
  </si>
  <si>
    <t>Tilak Raj  Singh Chouhan</t>
  </si>
  <si>
    <t>Kanasiya Naka, Kanasiya, Ujjain</t>
  </si>
  <si>
    <t>ramfinancial1111@gmail.com</t>
  </si>
  <si>
    <t>919203634533</t>
  </si>
  <si>
    <t>456770</t>
  </si>
  <si>
    <t>NAME::TILAK RAJ SINGH CHOUHAN</t>
  </si>
  <si>
    <t>Trading Cafe India</t>
  </si>
  <si>
    <t>INH000013767</t>
  </si>
  <si>
    <t>Chinmay Dudhane</t>
  </si>
  <si>
    <t>Unit A 35, Hirji Mistri Ancillary Bhavan,, Shankar Tekari, Udhyognagar,</t>
  </si>
  <si>
    <t>tradingcafeindia@gmail.com</t>
  </si>
  <si>
    <t>361004</t>
  </si>
  <si>
    <t>Unit A 35, Hirji Mistri Ancillary Bhavan, Shankar Tekari, Udhyognagar,</t>
  </si>
  <si>
    <t>NAME::TRADING CAFE INDIA</t>
  </si>
  <si>
    <t>Trading Zone</t>
  </si>
  <si>
    <t>INH000016250</t>
  </si>
  <si>
    <t>Virendrasingh  Rathod</t>
  </si>
  <si>
    <t>House Number 6045G, Balaji Nagar Extension, Near Sainath School</t>
  </si>
  <si>
    <t>virendrasingh1709@gmail.com</t>
  </si>
  <si>
    <t>NAME::TRADING ZONE</t>
  </si>
  <si>
    <t>Tushar Gerg</t>
  </si>
  <si>
    <t>INH000027654</t>
  </si>
  <si>
    <t>A-302, Plumeria Garden Estate, Omicron Sector 3</t>
  </si>
  <si>
    <t>tushar0708@gmail.com</t>
  </si>
  <si>
    <t>00009997976746</t>
  </si>
  <si>
    <t>NAME::TUSHAR GERG</t>
  </si>
  <si>
    <t>Tushar Goswami</t>
  </si>
  <si>
    <t>INH000019141</t>
  </si>
  <si>
    <t>TUSHAR GOSWAMI</t>
  </si>
  <si>
    <t>House No 912, First Floor, Sector 16, NA,</t>
  </si>
  <si>
    <t>cstushargoswami14@gmail.com</t>
  </si>
  <si>
    <t>919818091848</t>
  </si>
  <si>
    <t>NAME::TUSHAR GOSWAMI</t>
  </si>
  <si>
    <t>Tushar Sharma</t>
  </si>
  <si>
    <t>INA000021377</t>
  </si>
  <si>
    <t>2241, PHASE 10 Sector 64, Mohali (S.A.S. NAGAR)</t>
  </si>
  <si>
    <t>tspsharma@gmail.com</t>
  </si>
  <si>
    <t>00917508330001</t>
  </si>
  <si>
    <t>NAME::TUSHAR SHARMA</t>
  </si>
  <si>
    <t>UMANG RAJESH BHUTADA</t>
  </si>
  <si>
    <t>INH000023001</t>
  </si>
  <si>
    <t>Umang Bhutada</t>
  </si>
  <si>
    <t>28, Sant Gadge Baba Nagar, Sandeep Mangalam</t>
  </si>
  <si>
    <t>umangbhutada100@gmail.com</t>
  </si>
  <si>
    <t>919156666999</t>
  </si>
  <si>
    <t>NAME::UMANG RAJESH BHUTADA</t>
  </si>
  <si>
    <t>UMESH KARNE</t>
  </si>
  <si>
    <t>INH000005962</t>
  </si>
  <si>
    <t>Flat No 304 Bldg No 6 Vihang Shantivan, Near Rutu Park Majiwade</t>
  </si>
  <si>
    <t>UMESHKARNE@GMAIL.COM</t>
  </si>
  <si>
    <t>NAME::UMESH KARNE</t>
  </si>
  <si>
    <t>UPMA BHATNAGAR</t>
  </si>
  <si>
    <t>INH000026327</t>
  </si>
  <si>
    <t>UPMA  BHATNAGAR</t>
  </si>
  <si>
    <t>458 Krishna Nagar, Bharatpur,</t>
  </si>
  <si>
    <t>upmabhatnagar93@gmail.com</t>
  </si>
  <si>
    <t>009899946396</t>
  </si>
  <si>
    <t>BHARATPUR</t>
  </si>
  <si>
    <t>321001</t>
  </si>
  <si>
    <t>NAME::UPMA BHATNAGAR</t>
  </si>
  <si>
    <t>UPMARKET</t>
  </si>
  <si>
    <t>INH000008394</t>
  </si>
  <si>
    <t>AJINKYA LOKHANDE</t>
  </si>
  <si>
    <t>Flat no. 402, BL. No. A 4, Bhujbal Township, Near Eklavya College,</t>
  </si>
  <si>
    <t>info.upmarkettrader@gmail.com</t>
  </si>
  <si>
    <t>May 19, 2021</t>
  </si>
  <si>
    <t>NAME::UPMARKET</t>
  </si>
  <si>
    <t>UTTAM SINGH BAIS</t>
  </si>
  <si>
    <t>INH000011255</t>
  </si>
  <si>
    <t>UTTAM BAIS</t>
  </si>
  <si>
    <t>C 60, GROUND FLOOR, T.P. NAGAR GAYASUDDINPUR, UPARHAR PARGANA, TAHSIL SADAR</t>
  </si>
  <si>
    <t>sauttamsingh@gmail.com</t>
  </si>
  <si>
    <t>Second Floor, Shri TMD Complex, Rewa Road</t>
  </si>
  <si>
    <t>NAME::UTTAM SINGH BAIS</t>
  </si>
  <si>
    <t>Ujjawal Maheshwari</t>
  </si>
  <si>
    <t>INH000022659</t>
  </si>
  <si>
    <t>A27, Marwar Nagar, Behind Railway Station, Mahamandir, Jodhpur Kachery</t>
  </si>
  <si>
    <t>ujjawalmaheshwari2000@yahoo.com</t>
  </si>
  <si>
    <t>342006</t>
  </si>
  <si>
    <t>NAME::UJJAWAL MAHESHWARI</t>
  </si>
  <si>
    <t>Umesh Sharma</t>
  </si>
  <si>
    <t>INH000015622</t>
  </si>
  <si>
    <t>House No 10A PH 3 Landmark NA DDA, Janta Flats Ashok Vihar New Delhi</t>
  </si>
  <si>
    <t>chartanalysis.us@gmail.com</t>
  </si>
  <si>
    <t>NAME::UMESH SHARMA</t>
  </si>
  <si>
    <t>Upasana Mondal</t>
  </si>
  <si>
    <t>INA200011684</t>
  </si>
  <si>
    <t>C S 3 Second Floor, Building C, CD Zen Gardens,, Near Maria Hall</t>
  </si>
  <si>
    <t>upasanamondal@yahoo.co.in</t>
  </si>
  <si>
    <t>BENAULIM</t>
  </si>
  <si>
    <t>403716</t>
  </si>
  <si>
    <t>C S 3 Second Floor, Building C, CD Zen Gardens, Near Maria Hall</t>
  </si>
  <si>
    <t>Sep 12, 2018</t>
  </si>
  <si>
    <t>NAME::UPASANA MONDAL</t>
  </si>
  <si>
    <t>VACHASPATI JHA</t>
  </si>
  <si>
    <t>INH000019530</t>
  </si>
  <si>
    <t>Flat No 813, Tower 10C, Amaryllis Apartment, New Rohtak Road Karol Bagh</t>
  </si>
  <si>
    <t>vjha55@gmail.com</t>
  </si>
  <si>
    <t>919934311314</t>
  </si>
  <si>
    <t>NAME::VACHASPATI JHA</t>
  </si>
  <si>
    <t>VAIBHAV BADJATYA</t>
  </si>
  <si>
    <t>INA100004590</t>
  </si>
  <si>
    <t>Flat No 301, Tower 3, Soham Tropical Lagoon, Ghodbunder Road, Thane West Near anand Nagar Bus Depot</t>
  </si>
  <si>
    <t>badjatyaca@yahoo.co.in</t>
  </si>
  <si>
    <t>7312417336</t>
  </si>
  <si>
    <t>FLAT NO. W2B-74, WELLINGTON ESTATE, DLF PHASE 5, CHAKARPUR(74)</t>
  </si>
  <si>
    <t>NAME::VAIBHAV BADJATYA</t>
  </si>
  <si>
    <t>VAIBHAV LALITBHAI PITHVA</t>
  </si>
  <si>
    <t>INH000022145</t>
  </si>
  <si>
    <t>VAIBHAV PITHVA</t>
  </si>
  <si>
    <t>SHOP NO. 138 THIRD FLOOR , GRUHAM ICON KOSAD GAM SURAT</t>
  </si>
  <si>
    <t>pithvavaibhav4@gmail.com</t>
  </si>
  <si>
    <t>917226840145</t>
  </si>
  <si>
    <t>NAME::VAIBHAV LALITBHAI PITHVA</t>
  </si>
  <si>
    <t>VAIBHAVKUMAR HARSHADBHAI SODVADIYA</t>
  </si>
  <si>
    <t>INH000011389</t>
  </si>
  <si>
    <t>VAIBHAVKUMAR SODVADIYA</t>
  </si>
  <si>
    <t>B-201, SHAGUN RESIDENCY, YOGICHOWK, PUNAGAM</t>
  </si>
  <si>
    <t>svaibhav2911@gmail.com</t>
  </si>
  <si>
    <t>NAME::VAIBHAVKUMAR HARSHADBHAI SODVADIYA</t>
  </si>
  <si>
    <t>VANSHIKA DUTT</t>
  </si>
  <si>
    <t>INH000022251</t>
  </si>
  <si>
    <t>B-7/1-B S/F, Street No-7, Near Park, Vasant Vihar</t>
  </si>
  <si>
    <t>ra.vanshikadutt@outlook.com</t>
  </si>
  <si>
    <t>919311023059</t>
  </si>
  <si>
    <t>110057</t>
  </si>
  <si>
    <t>NAME::VANSHIKA DUTT</t>
  </si>
  <si>
    <t>VARDHARAJAN M</t>
  </si>
  <si>
    <t>INA200014715</t>
  </si>
  <si>
    <t>MURUGESAN VARDHARAJAN</t>
  </si>
  <si>
    <t>Flat No.303, 3rd Floor, Shashwathi Residency, 3rd Main ROad, Off Bannerghata Road, Kamakshi Layout, Gottigere</t>
  </si>
  <si>
    <t>rajeshkannanm1@yahoo.com</t>
  </si>
  <si>
    <t>560083</t>
  </si>
  <si>
    <t>NAME::VARDHARAJAN M</t>
  </si>
  <si>
    <t>VARUN GUPTA</t>
  </si>
  <si>
    <t>INH000023320</t>
  </si>
  <si>
    <t>17, JAI SANTOSHI MATA, CGHS LTD., 102, IP EXTN, PATPARGANJ</t>
  </si>
  <si>
    <t>varungupta.688@gmail.com</t>
  </si>
  <si>
    <t>919811140137</t>
  </si>
  <si>
    <t>NAME::VARUN GUPTA</t>
  </si>
  <si>
    <t>VARUN KUMAR</t>
  </si>
  <si>
    <t>INH000024833</t>
  </si>
  <si>
    <t>E2 94 MDDA COLONY KEDARPURAM NEAR SHAMMI DIARY, Dehradoon</t>
  </si>
  <si>
    <t>varunkumartimes@gmail.com</t>
  </si>
  <si>
    <t>NAME::VARUN KUMAR</t>
  </si>
  <si>
    <t>VARUN RAJESH SONTAKKE</t>
  </si>
  <si>
    <t>INH000026053</t>
  </si>
  <si>
    <t>VARUN SONTAKKE</t>
  </si>
  <si>
    <t>F-201, Konark Indrayu Enclave-2,, NIBM Undri Road, Kondhwa</t>
  </si>
  <si>
    <t>varunsontakke18@gmail.com</t>
  </si>
  <si>
    <t>F-201, Konark Indrayu Enclave-2, NIBM Undri Road, Kondhwa</t>
  </si>
  <si>
    <t>NAME::VARUN RAJESH SONTAKKE</t>
  </si>
  <si>
    <t>VEDIKA GOYAL</t>
  </si>
  <si>
    <t>INH000027274</t>
  </si>
  <si>
    <t>Banarhat Bazar, Banarhat Tea Garden, P.O. Banarhat, District Jalpaiguri</t>
  </si>
  <si>
    <t>vedikagoyal27@gmail.com</t>
  </si>
  <si>
    <t>JALPAIGURI</t>
  </si>
  <si>
    <t>735202</t>
  </si>
  <si>
    <t>NAME::VEDIKA GOYAL</t>
  </si>
  <si>
    <t>VENKATA SUBRAHMANYAM GUTALA</t>
  </si>
  <si>
    <t>INH200009795</t>
  </si>
  <si>
    <t>SUBRAHMANYAM GUTALA</t>
  </si>
  <si>
    <t>Flat No. 401, Jyothi Sowghagya Apartments, Road No. 3 A, Shanti Nagar, Masab Tank</t>
  </si>
  <si>
    <t>gvsgutala@gmail.com</t>
  </si>
  <si>
    <t>NAME::VENKATA SUBRAHMANYAM GUTALA</t>
  </si>
  <si>
    <t>VENKTESH PRASAD SHUKLA</t>
  </si>
  <si>
    <t>INA000018735</t>
  </si>
  <si>
    <t>101 ML Tower, 916 R Mahalaxmi Nagar,</t>
  </si>
  <si>
    <t>venktesh.shukl@gmail.com</t>
  </si>
  <si>
    <t>917987472053</t>
  </si>
  <si>
    <t>NAME::VENKTESH PRASAD SHUKLA</t>
  </si>
  <si>
    <t>VIBHORE GUPTA</t>
  </si>
  <si>
    <t>INH000019257</t>
  </si>
  <si>
    <t>D 300 UG FLOOR BLOCK D PLOT NO 18 B HIG II TYPE, SPS RESIDENCY INDIRAPURAM</t>
  </si>
  <si>
    <t>datapointsresearch@gmail.com</t>
  </si>
  <si>
    <t>918882511195</t>
  </si>
  <si>
    <t>NAME::VIBHORE GUPTA</t>
  </si>
  <si>
    <t>VIDUPULAPATI V NAMBI VISHNU TEJA</t>
  </si>
  <si>
    <t>INH000024736</t>
  </si>
  <si>
    <t>VIDUPULAPATI V  VISHNU TEJA</t>
  </si>
  <si>
    <t>27-3-213, Arunamma Street, 3rd Main Road, Balaji Nagar, Near Annapurna Apartment</t>
  </si>
  <si>
    <t>vishnutejavvn@gmail.com</t>
  </si>
  <si>
    <t>919032120771</t>
  </si>
  <si>
    <t>NELLORE</t>
  </si>
  <si>
    <t>524002</t>
  </si>
  <si>
    <t>NAME::VIDUPULAPATI V NAMBI VISHNU TEJA</t>
  </si>
  <si>
    <t>VIJAY KUMAR GUPTA</t>
  </si>
  <si>
    <t>INH000020226</t>
  </si>
  <si>
    <t>VIJAY GUPTA</t>
  </si>
  <si>
    <t>FlatNo86, Ajanta Apartment, IPExtension, Patparganj,East Delhi</t>
  </si>
  <si>
    <t>researchanalystvijay@gmail.com</t>
  </si>
  <si>
    <t>918860039282</t>
  </si>
  <si>
    <t>Apr 08, 2025</t>
  </si>
  <si>
    <t>NAME::VIJAY KUMAR GUPTA</t>
  </si>
  <si>
    <t>VIJAY KUMAR PATHAK</t>
  </si>
  <si>
    <t>INH100005048</t>
  </si>
  <si>
    <t>VIJAY PATHAK</t>
  </si>
  <si>
    <t>A-BUNGLOW, OPP HANSRAJ COLLEGE</t>
  </si>
  <si>
    <t>VIJAYKUMARPATHAK@GMAIL.COM</t>
  </si>
  <si>
    <t>A-40,DOUBLE STOREY BUILDING, MAIN ROAD ,MALKAGNAJ</t>
  </si>
  <si>
    <t>NAME::VIJAY KUMAR PATHAK</t>
  </si>
  <si>
    <t>VIJAY KUMAR SHARMA</t>
  </si>
  <si>
    <t>INA000021997</t>
  </si>
  <si>
    <t>VIJAY  SHARMA</t>
  </si>
  <si>
    <t>3/8 Ashirwad Enclave,, Chakrata Road,</t>
  </si>
  <si>
    <t>vksharma62@gmail.com</t>
  </si>
  <si>
    <t>000919410396666</t>
  </si>
  <si>
    <t>3/8 Ashirwad Enclave, Chakrata Road,</t>
  </si>
  <si>
    <t>NAME::VIJAY KUMAR SHARMA</t>
  </si>
  <si>
    <t>VIJAYA GOWRI MULAKALA</t>
  </si>
  <si>
    <t>INA200011392</t>
  </si>
  <si>
    <t>VIJAYA MULAKALA</t>
  </si>
  <si>
    <t>Flat no. 704, B Block, Tower 4, Adarsh Palm Retreat, Bellandur</t>
  </si>
  <si>
    <t>GOWRI.VIJAYA@GMAIL.COM</t>
  </si>
  <si>
    <t>0918074610810</t>
  </si>
  <si>
    <t>Aug 10, 2018</t>
  </si>
  <si>
    <t>NAME::VIJAYA GOWRI MULAKALA</t>
  </si>
  <si>
    <t>VIJAYA KUMAR SUBRAMANIYAN</t>
  </si>
  <si>
    <t>INH000013688</t>
  </si>
  <si>
    <t>VIJAYA SUBRAMANIYAN</t>
  </si>
  <si>
    <t>745, 2ND FLR, SURVEY PREMIER PLATINA, AECS LAYOUT, B , BLOCK, OPP SHOW OFF BAKERY SINGASANDRA, KUDLU GATE, BOMMANAHALLI,</t>
  </si>
  <si>
    <t>capitalriseresearchservices@gmail.com</t>
  </si>
  <si>
    <t>918722005757</t>
  </si>
  <si>
    <t>NAME::VIJAYA KUMAR SUBRAMANIYAN</t>
  </si>
  <si>
    <t>VIKALP MISHRA</t>
  </si>
  <si>
    <t>INH000025391</t>
  </si>
  <si>
    <t>Shri Ram Nath Mishra, Shiv E Colony, Lakhimpur</t>
  </si>
  <si>
    <t>vikalpm100@gmail.com</t>
  </si>
  <si>
    <t>262701</t>
  </si>
  <si>
    <t>NAME::VIKALP MISHRA</t>
  </si>
  <si>
    <t>VIKAS NAGRANI</t>
  </si>
  <si>
    <t>INH000021623</t>
  </si>
  <si>
    <t>385 ,XG , RISHI NAGAR, LUDHIANA</t>
  </si>
  <si>
    <t>vikasnagranica@yahoo.in</t>
  </si>
  <si>
    <t>919417266596</t>
  </si>
  <si>
    <t>NAME::VIKAS NAGRANI</t>
  </si>
  <si>
    <t>VIKASH BAGARIA</t>
  </si>
  <si>
    <t>INH300008155</t>
  </si>
  <si>
    <t>212,GIRISH GHOSH ROAD, 4TH FLOOR, OFFICE NO 430, FORUM RANGOLI MALL,BELUR, HOWRAH</t>
  </si>
  <si>
    <t>vikashbagaria@live.com</t>
  </si>
  <si>
    <t>711202</t>
  </si>
  <si>
    <t>NAME::VIKASH BAGARIA</t>
  </si>
  <si>
    <t>VIMAL K</t>
  </si>
  <si>
    <t>INH200007724</t>
  </si>
  <si>
    <t>No.429,3rd Floor,10th G Main, 75th Cross,, 6th Block, Rajajinagar,</t>
  </si>
  <si>
    <t>vimash@rediffmail.com</t>
  </si>
  <si>
    <t>No.429,3rd Floor,10th G Main, 75th Cross, 6th Block, Rajajinagar,</t>
  </si>
  <si>
    <t>NAME::VIMAL K</t>
  </si>
  <si>
    <t>VINAY AGRAWAL</t>
  </si>
  <si>
    <t>INH000004501</t>
  </si>
  <si>
    <t>13-B,2ND FLOOR,PUSHPKUNJ COMPLEX, 26 CENTRAL BAZAAR ROAD RAMDASPETH</t>
  </si>
  <si>
    <t>vinay.ngp@gmail.com</t>
  </si>
  <si>
    <t>Nov 30, 2016</t>
  </si>
  <si>
    <t>NAME::VINAY AGRAWAL</t>
  </si>
  <si>
    <t>VINAYAK ARUN KINI</t>
  </si>
  <si>
    <t>INA000021304</t>
  </si>
  <si>
    <t>Vinayak Kini</t>
  </si>
  <si>
    <t>339, 4th BLOCK KORAMANGALA</t>
  </si>
  <si>
    <t>personifi25@gmail.com</t>
  </si>
  <si>
    <t>00919611617202</t>
  </si>
  <si>
    <t>NAME::VINAYAK ARUN KINI</t>
  </si>
  <si>
    <t>VINAYAK B PATIL</t>
  </si>
  <si>
    <t>INA000022552</t>
  </si>
  <si>
    <t>Shop No. 3, Ground Floor, Patil Complex, Vijayapura Road,, Near Indian Oil Petrol Pump, Devarhipparagi, Vijayapura,</t>
  </si>
  <si>
    <t>vbp.dh28@gmail.com</t>
  </si>
  <si>
    <t>00917899610795</t>
  </si>
  <si>
    <t>BIJAPUR</t>
  </si>
  <si>
    <t>586115</t>
  </si>
  <si>
    <t>Shop No. 3, Ground Floor, Patil Complex, Vijayapura Road, Near Indian Oil Petrol Pump, Devarhipparagi, Vijayapura,</t>
  </si>
  <si>
    <t>NAME::VINAYAK B PATIL</t>
  </si>
  <si>
    <t>VINAYAK SAVANUR</t>
  </si>
  <si>
    <t>INA200015246</t>
  </si>
  <si>
    <t>VINAYAK  SAVANUR</t>
  </si>
  <si>
    <t>SUNNIDHI, HNO LIG-42, 6TH CROSS NAVANAGAR HUBLI</t>
  </si>
  <si>
    <t>VINAY.SAVANUR@GMAIL.COM</t>
  </si>
  <si>
    <t>Sep 30, 2020</t>
  </si>
  <si>
    <t>NAME::VINAYAK SAVANUR</t>
  </si>
  <si>
    <t>VINOD KANAIYALAL DAS</t>
  </si>
  <si>
    <t>INA000016214</t>
  </si>
  <si>
    <t>VINOD  DAS</t>
  </si>
  <si>
    <t>A-2/304, Grand square, Ghodbundar Road, Anand Nagar, Behind Bhakti Apartment</t>
  </si>
  <si>
    <t>vinod.das9@gmail.com</t>
  </si>
  <si>
    <t>Oct 06, 2021</t>
  </si>
  <si>
    <t>NAME::VINOD KANAIYALAL DAS</t>
  </si>
  <si>
    <t>VIPIN KHANDELWAL</t>
  </si>
  <si>
    <t>INA000003643</t>
  </si>
  <si>
    <t>1102, Tower 9, Skyi Songbirds, Paud Road, Bhugoan</t>
  </si>
  <si>
    <t>vipin.khandelwal@gmail.com</t>
  </si>
  <si>
    <t>9920371082</t>
  </si>
  <si>
    <t>412115</t>
  </si>
  <si>
    <t>Flat No. 4, Aditya Apartments, Plot No. 55, Sector 19, Nerul East</t>
  </si>
  <si>
    <t>NAME::VIPIN KHANDELWAL</t>
  </si>
  <si>
    <t>VIPIN KUMAR</t>
  </si>
  <si>
    <t>INH000027876</t>
  </si>
  <si>
    <t>RZ H-280-II, New H No. 36 Kh No. 62/23/1 Gali No. 9 Rajnagar, Palam Colony</t>
  </si>
  <si>
    <t>vipinvibes1545@gmail.com</t>
  </si>
  <si>
    <t>919717543554</t>
  </si>
  <si>
    <t>NAME::VIPIN KUMAR</t>
  </si>
  <si>
    <t>VIPUL KAUSHIK</t>
  </si>
  <si>
    <t>INH000024116</t>
  </si>
  <si>
    <t>Flat No 110, Plot No 31, Suruchi Apartment, Sector-10, Dwarka</t>
  </si>
  <si>
    <t>vipultheresearchanalyst@gmail.com</t>
  </si>
  <si>
    <t>NAME::VIPUL KAUSHIK</t>
  </si>
  <si>
    <t>VISHAL DINESHBHAI KARIYA</t>
  </si>
  <si>
    <t>INH000028510</t>
  </si>
  <si>
    <t>VISHAL KARIYA</t>
  </si>
  <si>
    <t>D 602, Sahid Sukhdev Township, 150 Ft Road, Opposite Dwarkadhish Heights, Shital Park,, Rajkot Municipal Corporation OG,</t>
  </si>
  <si>
    <t>vishalkariya.vk@gmail.com</t>
  </si>
  <si>
    <t>00008866332929</t>
  </si>
  <si>
    <t>NAME::VISHAL DINESHBHAI KARIYA</t>
  </si>
  <si>
    <t>VISHAL RAVINDRA BHURKE</t>
  </si>
  <si>
    <t>INH000018106</t>
  </si>
  <si>
    <t>VISHAL BHURKE</t>
  </si>
  <si>
    <t>Flat No 204, Building M10, F Wing, Sundar Vihar Hotel, Pratiksha Nagar</t>
  </si>
  <si>
    <t>vishalbhurke04@gmail.com</t>
  </si>
  <si>
    <t>NAME::VISHAL RAVINDRA BHURKE</t>
  </si>
  <si>
    <t>Vaibhav Jain</t>
  </si>
  <si>
    <t>INH000015437</t>
  </si>
  <si>
    <t>112, Goyal Nagar</t>
  </si>
  <si>
    <t>ravaibhavjain@gmail.com</t>
  </si>
  <si>
    <t>NAME::VAIBHAV JAIN</t>
  </si>
  <si>
    <t>Vaibhav Pandey</t>
  </si>
  <si>
    <t>INA000017666</t>
  </si>
  <si>
    <t>House No.49, MDC Sector 4, Panchkula, mansa Devi Sector</t>
  </si>
  <si>
    <t>Vaibhavpandeyg@gmail.com</t>
  </si>
  <si>
    <t>01723564845</t>
  </si>
  <si>
    <t>134114</t>
  </si>
  <si>
    <t>NAME::VAIBHAV PANDEY</t>
  </si>
  <si>
    <t>Vaibhav pandey</t>
  </si>
  <si>
    <t>INH000017347</t>
  </si>
  <si>
    <t>176, Rail Nagar, Shobha baton ki Dhaani, AIIMS road jodhpur</t>
  </si>
  <si>
    <t>vaibhavpandey16188@gmail.com</t>
  </si>
  <si>
    <t>Valuation Mantra</t>
  </si>
  <si>
    <t>INH000022215</t>
  </si>
  <si>
    <t>Naresh Pattivatiath</t>
  </si>
  <si>
    <t>No.16, Flat No.5, 4th Main Begur, Road, Viratnagar, Bommanahalli</t>
  </si>
  <si>
    <t>nareshbahrain@gmail.com</t>
  </si>
  <si>
    <t>919964001727</t>
  </si>
  <si>
    <t>NAME::VALUATION MANTRA</t>
  </si>
  <si>
    <t>Varalakshmi Balaji</t>
  </si>
  <si>
    <t>INH000010104</t>
  </si>
  <si>
    <t>Varalakshmi  Balaji</t>
  </si>
  <si>
    <t>C1406, Mantri Tranquil Apaprtment, Gubbalala Gate , Off Kanakpura Road, Gubbalala Gate , Off Kanakpura Road</t>
  </si>
  <si>
    <t>LAKSHMIBALAJIE@GMAIL.COM</t>
  </si>
  <si>
    <t>NAME::VARALAKSHMI BALAJI</t>
  </si>
  <si>
    <t>Varsha Vasant Shingate</t>
  </si>
  <si>
    <t>INA000016427</t>
  </si>
  <si>
    <t>Varsha Shingate</t>
  </si>
  <si>
    <t>Office No. 103, 'Rajdhani Complex',Pune-Satara Road,, near Shankar Maharaj Math, Dhankawadi,</t>
  </si>
  <si>
    <t>varshavshingate@gmail.com</t>
  </si>
  <si>
    <t>411043</t>
  </si>
  <si>
    <t>Vasantotsav Bungalow, Digvijay Lane no.1, near Nagraj Mandir, Santoshnagar, Katraj,</t>
  </si>
  <si>
    <t>NAME::VARSHA VASANT SHINGATE</t>
  </si>
  <si>
    <t>Vasiraju Sundar Raja</t>
  </si>
  <si>
    <t>INH200007025</t>
  </si>
  <si>
    <t>Vasiraju Raja</t>
  </si>
  <si>
    <t>546 road no 9 filmnagar jubileehills</t>
  </si>
  <si>
    <t>vsrtaurus@gmail.com</t>
  </si>
  <si>
    <t>NAME::VASIRAJU SUNDAR RAJA</t>
  </si>
  <si>
    <t>Vedant Kelkar</t>
  </si>
  <si>
    <t>INH000019266</t>
  </si>
  <si>
    <t>Flat no.1,Mulund Chitralekha,Deshmukhwadi, Mithagar Road,Mulund East</t>
  </si>
  <si>
    <t>vedantkelkar31@gmail.com</t>
  </si>
  <si>
    <t>919699914339</t>
  </si>
  <si>
    <t>NAME::VEDANT KELKAR</t>
  </si>
  <si>
    <t>Vedika Dhruvin Bhanusali</t>
  </si>
  <si>
    <t>INH000024666</t>
  </si>
  <si>
    <t>Vedika  Bhanu</t>
  </si>
  <si>
    <t>1102, C-Wing, Olive Building, Dindayal Upadhyay Marg, Neptune CHS Beside Croma Mulund (W)</t>
  </si>
  <si>
    <t>vedikabhanushali28@gmail.com</t>
  </si>
  <si>
    <t>919004211888</t>
  </si>
  <si>
    <t>NAME::VEDIKA DHRUVIN BHANUSALI</t>
  </si>
  <si>
    <t>Venkateshwaran Subramanian</t>
  </si>
  <si>
    <t>INA000012175</t>
  </si>
  <si>
    <t>E 203, Green Meadows, Behind Mhasoba Temple, Nashik Pune Road, Nashik Road</t>
  </si>
  <si>
    <t>venkatsubr@gmail.com</t>
  </si>
  <si>
    <t>NAME::VENKATESHWARAN SUBRAMANIAN</t>
  </si>
  <si>
    <t>Vibhuti Sharma</t>
  </si>
  <si>
    <t>INH000025647</t>
  </si>
  <si>
    <t>H. No. 105 Nehru Nagar Gali A-2 BLK, West Sant Nagar Burari West Sant Nagar</t>
  </si>
  <si>
    <t>vibhutisharma.research@gmail.com</t>
  </si>
  <si>
    <t>0919953824704</t>
  </si>
  <si>
    <t>NAME::VIBHUTI SHARMA</t>
  </si>
  <si>
    <t>Vidit Khare</t>
  </si>
  <si>
    <t>INH000026549</t>
  </si>
  <si>
    <t>Bm 120 Housing Bord Colony, Pithampur, S O Dhar Infront of Krishna Temple, Pithampur</t>
  </si>
  <si>
    <t>shrrvidit@gmail.com</t>
  </si>
  <si>
    <t>454775</t>
  </si>
  <si>
    <t>NAME::VIDIT KHARE</t>
  </si>
  <si>
    <t>Vignesh Sudhir</t>
  </si>
  <si>
    <t>INH000014021</t>
  </si>
  <si>
    <t>A1/57, First Floor, Freedom Fighter Enclave, IGNOU Road, Neb Sarai</t>
  </si>
  <si>
    <t>vigneshsudhir@hotmail.com</t>
  </si>
  <si>
    <t>110068</t>
  </si>
  <si>
    <t>NAME::VIGNESH SUDHIR</t>
  </si>
  <si>
    <t>Vijay Krishna Yadav</t>
  </si>
  <si>
    <t>INH000024958</t>
  </si>
  <si>
    <t>Vijay  Yadav</t>
  </si>
  <si>
    <t>HOUSE NO. 3, , KESTO RESIDENCY, SECTOR -6, JANKIPURAM EXTENSION, LUCKNOW, U.P.-</t>
  </si>
  <si>
    <t>vijayk757000@gmail.com</t>
  </si>
  <si>
    <t>917570002513</t>
  </si>
  <si>
    <t>226021</t>
  </si>
  <si>
    <t>NAME::VIJAY KRISHNA YADAV</t>
  </si>
  <si>
    <t>Vijay Kumar Gupta</t>
  </si>
  <si>
    <t>INH000023296</t>
  </si>
  <si>
    <t>A-54, IDC Apartment, Plot No. 8C, , Opp Sec 11 Dwarka Metro Station, Dwarka</t>
  </si>
  <si>
    <t>vkguptaca@gmail.com</t>
  </si>
  <si>
    <t>919871174091</t>
  </si>
  <si>
    <t>Vijay Laxmi</t>
  </si>
  <si>
    <t>INH000009782</t>
  </si>
  <si>
    <t>Plot No. 36, Sunita Mansion, Behind Sahani Complex, Ghuggus on Mhatardevi Road</t>
  </si>
  <si>
    <t>vijay.laxmi636@gmail.com</t>
  </si>
  <si>
    <t>CHANDRAPUR</t>
  </si>
  <si>
    <t>442505</t>
  </si>
  <si>
    <t>NAME::VIJAY LAXMI</t>
  </si>
  <si>
    <t>Vijay Malik</t>
  </si>
  <si>
    <t>INH100008364</t>
  </si>
  <si>
    <t>H. No. 664, Near Ekta Park,, Sector 15A, Hisar,</t>
  </si>
  <si>
    <t>dr.vijaymalik@gmail.com</t>
  </si>
  <si>
    <t>125001</t>
  </si>
  <si>
    <t>H. No. 664, Near Ekta Park, Sector 15A, Hisar,</t>
  </si>
  <si>
    <t>NAME::VIJAY MALIK</t>
  </si>
  <si>
    <t>Vijay Porwal</t>
  </si>
  <si>
    <t>INH000028158</t>
  </si>
  <si>
    <t>House No 191 Shri Royal Krishna Colony AB Road, Near Emerald Heights School PO Rau</t>
  </si>
  <si>
    <t>Ravijayporwal@gmail.com</t>
  </si>
  <si>
    <t>00007000029202</t>
  </si>
  <si>
    <t>NAME::VIJAY PORWAL</t>
  </si>
  <si>
    <t>Vijay kumar Gupta</t>
  </si>
  <si>
    <t>INA000021881</t>
  </si>
  <si>
    <t>A 54, IDC Apartment, Plot No. 8C, Opp Sec 11 Dwarka Metro Station</t>
  </si>
  <si>
    <t>00919871174091</t>
  </si>
  <si>
    <t>Feb 18, 2026</t>
  </si>
  <si>
    <t>Vijaykumar Srichand</t>
  </si>
  <si>
    <t>INA000020837</t>
  </si>
  <si>
    <t>Flat No. A-1202, No-23/48, D Rajgopal Roa,, Next To Vaibhav Theatre, Geddalahalli</t>
  </si>
  <si>
    <t>vijayschawla@yahoo.co.in</t>
  </si>
  <si>
    <t>00919845143880</t>
  </si>
  <si>
    <t>Flat No. A-1202, No-23/48, D Rajgopal Roa, Next To Vaibhav Theatre, Geddalahalli</t>
  </si>
  <si>
    <t>NAME::VIJAYKUMAR SRICHAND</t>
  </si>
  <si>
    <t>Vikas Baldi</t>
  </si>
  <si>
    <t>INH000022260</t>
  </si>
  <si>
    <t>Flat No. 401 Royal Garden 20/3, New Palasia</t>
  </si>
  <si>
    <t>vikasbaldi05@gmail.com</t>
  </si>
  <si>
    <t>919425063290</t>
  </si>
  <si>
    <t>NAME::VIKAS BALDI</t>
  </si>
  <si>
    <t>Vikas Dimaniya</t>
  </si>
  <si>
    <t>INA000020271</t>
  </si>
  <si>
    <t>Vikas  Dimaniya</t>
  </si>
  <si>
    <t>183/1 Nai Mandi Kaser Khera, Meerut Uttar Pradesh</t>
  </si>
  <si>
    <t>vdimaniya@gmail.com</t>
  </si>
  <si>
    <t>00919599927746</t>
  </si>
  <si>
    <t>NAME::VIKAS DIMANIYA</t>
  </si>
  <si>
    <t>Vimulsinh Solanki</t>
  </si>
  <si>
    <t>INH000021410</t>
  </si>
  <si>
    <t>TF- 336, Siddharth Magnum Plus, Tarsali, Vadodara, , Near Bansal Mall Tarsali Danteshwar road,</t>
  </si>
  <si>
    <t>solankivimul@gmail.com</t>
  </si>
  <si>
    <t>918320377785</t>
  </si>
  <si>
    <t>390009</t>
  </si>
  <si>
    <t>D-24 Manavmandir Society opposite Surya Nagar Bus , Stop Near Uday Clinic Waghodia Road Vadodara</t>
  </si>
  <si>
    <t>NAME::VIMULSINH SOLANKI</t>
  </si>
  <si>
    <t>Vinay KULKARNI</t>
  </si>
  <si>
    <t>INH000005157</t>
  </si>
  <si>
    <t>E-1/5, Anant, Chintamani Nagar, Bibewewadi</t>
  </si>
  <si>
    <t>csvinayk@gmail.com</t>
  </si>
  <si>
    <t>919850996716</t>
  </si>
  <si>
    <t>NAME::VINAY KULKARNI</t>
  </si>
  <si>
    <t>Vinay Kumar Sharma</t>
  </si>
  <si>
    <t>INH000026956</t>
  </si>
  <si>
    <t>Vinay  Sharma</t>
  </si>
  <si>
    <t>Krishan Kumar Sharma, 62, Krishan Kunj Extension, Part-2, Laxmi Nagar, Gandhi Nagar</t>
  </si>
  <si>
    <t>vinaysharma0407@gmail.com</t>
  </si>
  <si>
    <t>00009953766808</t>
  </si>
  <si>
    <t>NAME::VINAY KUMAR SHARMA</t>
  </si>
  <si>
    <t>Vinay Kumar Taparia</t>
  </si>
  <si>
    <t>INH000018276</t>
  </si>
  <si>
    <t>Vinay  Taparia</t>
  </si>
  <si>
    <t>Flat No 1604 Tower No 6, Lotus Boulevard sector 100</t>
  </si>
  <si>
    <t>vinaytaparia@gmail.com</t>
  </si>
  <si>
    <t>NAME::VINAY KUMAR TAPARIA</t>
  </si>
  <si>
    <t>Vinay Prakash Tiwari</t>
  </si>
  <si>
    <t>INA100010837</t>
  </si>
  <si>
    <t>RAM PRASAD TIWARI, HOUSE NO. 385,, LOT NO 2, HANUMANPUR, MUGHALSARAI</t>
  </si>
  <si>
    <t>investingdaddy@gmail.com</t>
  </si>
  <si>
    <t>RAM PRASAD TIWARI, HOUSE NO. 385, LOT NO 2, HANUMANPUR, MUGHALSARAI</t>
  </si>
  <si>
    <t>Jun 18, 2018</t>
  </si>
  <si>
    <t>NAME::VINAY PRAKASH TIWARI</t>
  </si>
  <si>
    <t>Vinay Suneja</t>
  </si>
  <si>
    <t>INH000020183</t>
  </si>
  <si>
    <t>vinay Suneja</t>
  </si>
  <si>
    <t>GBP No 32 Ground Floor New Market, Timarpur</t>
  </si>
  <si>
    <t>vinaysuneja@gmail.com</t>
  </si>
  <si>
    <t>919599449376</t>
  </si>
  <si>
    <t>NAME::VINAY SUNEJA</t>
  </si>
  <si>
    <t>Vinayak Gautam</t>
  </si>
  <si>
    <t>INH100009992</t>
  </si>
  <si>
    <t>1/11575 Street No 2, Subhash Park Ext Naveen Shahdara</t>
  </si>
  <si>
    <t>vinayak.gautam@gmail.com</t>
  </si>
  <si>
    <t>NAME::VINAYAK GAUTAM</t>
  </si>
  <si>
    <t>Vineet Ashwinikumar Chawla</t>
  </si>
  <si>
    <t>INH000008190</t>
  </si>
  <si>
    <t>Vineet Chawla</t>
  </si>
  <si>
    <t>202, DA Business Centre, Pinnacle Corporate Park, Near Trade Centre, Bandra Kurla Complex</t>
  </si>
  <si>
    <t>vineetchawla01@hotmail.com</t>
  </si>
  <si>
    <t>25 Red Cross road, Opposite south Indian bank, Sadar, Nagpur</t>
  </si>
  <si>
    <t>NAME::VINEET ASHWINIKUMAR CHAWLA</t>
  </si>
  <si>
    <t>Vineet Kumar Meel</t>
  </si>
  <si>
    <t>INH000024417</t>
  </si>
  <si>
    <t>Vineet Meel</t>
  </si>
  <si>
    <t>F 4 E Sundar Vihar Ram Nagar  Vistar sodala</t>
  </si>
  <si>
    <t>vineetjatsikar02@gmail.com</t>
  </si>
  <si>
    <t>009351176900</t>
  </si>
  <si>
    <t>NAME::VINEET KUMAR MEEL</t>
  </si>
  <si>
    <t>Vineet Kumar Saxena</t>
  </si>
  <si>
    <t>INH000013855</t>
  </si>
  <si>
    <t>Vineet Saxena</t>
  </si>
  <si>
    <t>H-201, Marvel Fria, Lohegaon Road</t>
  </si>
  <si>
    <t>vineetsaxena09@gmail.com</t>
  </si>
  <si>
    <t>NAME::VINEET KUMAR SAXENA</t>
  </si>
  <si>
    <t>Vineet Mukesh Rajani</t>
  </si>
  <si>
    <t>INH000010511</t>
  </si>
  <si>
    <t>Vineet Rajani</t>
  </si>
  <si>
    <t>Megafarm Inn, At Avkali, Post Metgutad, Taluka Mahabaleshwar</t>
  </si>
  <si>
    <t>vinitrajani.15@gmail.com</t>
  </si>
  <si>
    <t>412806</t>
  </si>
  <si>
    <t>NAME::VINEET MUKESH RAJANI</t>
  </si>
  <si>
    <t>Vineet Sahni</t>
  </si>
  <si>
    <t>INH000018522</t>
  </si>
  <si>
    <t>Mahika, Sr No 30 1 7, Near Spatgiri Society, Baner</t>
  </si>
  <si>
    <t>sahnivin@yahoo.com</t>
  </si>
  <si>
    <t>NAME::VINEET SAHNI</t>
  </si>
  <si>
    <t>Vinit Aggarwal</t>
  </si>
  <si>
    <t>INH000016676</t>
  </si>
  <si>
    <t>C-3/54-A Main Wazirabad Road Yamuna Vihar, next to PNB,  service lane</t>
  </si>
  <si>
    <t>vinitk.aggarwal@gmail.com</t>
  </si>
  <si>
    <t>01142644275</t>
  </si>
  <si>
    <t>NAME::VINIT AGGARWAL</t>
  </si>
  <si>
    <t>Vinit kumar sancheti</t>
  </si>
  <si>
    <t>INH000016241</t>
  </si>
  <si>
    <t>Vinit Sancheti</t>
  </si>
  <si>
    <t>G 802, CIVITECH SAMPRITI, SECTOR 77</t>
  </si>
  <si>
    <t>Cavinitsancheti@yahoo.com</t>
  </si>
  <si>
    <t>NAME::VINIT KUMAR SANCHETI</t>
  </si>
  <si>
    <t>Vinith Oscar Dcosta</t>
  </si>
  <si>
    <t>INH000022367</t>
  </si>
  <si>
    <t>Vinith Dcosta</t>
  </si>
  <si>
    <t>Inland Residency, Valencia, Souterpet</t>
  </si>
  <si>
    <t>vinith.oscar@gmail.com</t>
  </si>
  <si>
    <t>916363015791</t>
  </si>
  <si>
    <t>575002</t>
  </si>
  <si>
    <t>NAME::VINITH OSCAR DCOSTA</t>
  </si>
  <si>
    <t>Vipin Dixena</t>
  </si>
  <si>
    <t>INH000014076</t>
  </si>
  <si>
    <t>F - 9, Mahamaya Plaza, Near Mundra Hospital, Mangla Road</t>
  </si>
  <si>
    <t>dixenavipin@gmail.com</t>
  </si>
  <si>
    <t>NAME::VIPIN DIXENA</t>
  </si>
  <si>
    <t>Vipin Hariram Yadav</t>
  </si>
  <si>
    <t>INH000025522</t>
  </si>
  <si>
    <t>Vipin Yadav</t>
  </si>
  <si>
    <t>4 6 Ramsevak Singh Chawl, Kurar Village Malad Near Ramesh Hotel</t>
  </si>
  <si>
    <t>vipinhyadav56@gmail.com</t>
  </si>
  <si>
    <t>NAME::VIPIN HARIRAM YADAV</t>
  </si>
  <si>
    <t>Vipin Krishnan</t>
  </si>
  <si>
    <t>INH000027672</t>
  </si>
  <si>
    <t>TC 7/1517-1, Krishna Kripa KRWA 67, Periyar Lane Kattachal Road, Thirumala PO</t>
  </si>
  <si>
    <t>vipinukn@gmail.com</t>
  </si>
  <si>
    <t>695006</t>
  </si>
  <si>
    <t>NAME::VIPIN KRISHNAN</t>
  </si>
  <si>
    <t>Vipin Sharma</t>
  </si>
  <si>
    <t>INH000018540</t>
  </si>
  <si>
    <t>HN 18 99, Behnan Purwa, Gomti Nagar Police Station,, Gomti Nagar</t>
  </si>
  <si>
    <t>vipinsharma.research@gmail.com</t>
  </si>
  <si>
    <t>919250105366</t>
  </si>
  <si>
    <t>HN 18 99, Behnan Purwa, Gomti Nagar Police Station, Gomti Nagar</t>
  </si>
  <si>
    <t>NAME::VIPIN SHARMA</t>
  </si>
  <si>
    <t>Viral Arun Parekh</t>
  </si>
  <si>
    <t>INA000022039</t>
  </si>
  <si>
    <t>Viral Parekh</t>
  </si>
  <si>
    <t>203 Modi House,Bajaj Cross Road,, Nr Kandivali Bus Depot, Kandivali (West)</t>
  </si>
  <si>
    <t>viralparekh724@gmail.com</t>
  </si>
  <si>
    <t>00919136180722</t>
  </si>
  <si>
    <t>NAME::VIRAL ARUN PAREKH</t>
  </si>
  <si>
    <t>Vishal Shekhar</t>
  </si>
  <si>
    <t>INA300011636</t>
  </si>
  <si>
    <t>Road No - 6 C, Manorma Bhawan, Rajendra Nagar</t>
  </si>
  <si>
    <t>vs.vishalshekhar@gmail.com</t>
  </si>
  <si>
    <t>800016</t>
  </si>
  <si>
    <t>Sep 05, 2018</t>
  </si>
  <si>
    <t>NAME::VISHAL SHEKHAR</t>
  </si>
  <si>
    <t>Vishal Trehan</t>
  </si>
  <si>
    <t>INH000016816</t>
  </si>
  <si>
    <t>Flat 1006, Floor 10, Tower G Corona Optus,, Sector 37C, Gurgaon, Haryana</t>
  </si>
  <si>
    <t>vishaltrehan_ra_inh000016816@outlook.com</t>
  </si>
  <si>
    <t>919711490798</t>
  </si>
  <si>
    <t>Flat 1006, Floor 10, Tower G Corona Optus, Sector 37C, Gurgaon, Haryana</t>
  </si>
  <si>
    <t>NAME::VISHAL TREHAN</t>
  </si>
  <si>
    <t>Vishal VallabhBhai Bhingaradiya</t>
  </si>
  <si>
    <t>INH000010706</t>
  </si>
  <si>
    <t>Vishal Bhingaradiya</t>
  </si>
  <si>
    <t>26, Vandana Soc- 2, Bhid Bhanjan Pachhad, Nana Varachha</t>
  </si>
  <si>
    <t>vishalbhingradiya0@gmail.com</t>
  </si>
  <si>
    <t>NAME::VISHAL VALLABHBHAI BHINGARADIYA</t>
  </si>
  <si>
    <t>Vishnu M</t>
  </si>
  <si>
    <t>INA000021696</t>
  </si>
  <si>
    <t>Vishnu   M</t>
  </si>
  <si>
    <t>Karamukku Pisharam, Pulakkattukara, PO Chittissery,</t>
  </si>
  <si>
    <t>vishnu.vm66@gmail.com</t>
  </si>
  <si>
    <t>918129340018</t>
  </si>
  <si>
    <t>680301</t>
  </si>
  <si>
    <t>NAME::VISHNU M</t>
  </si>
  <si>
    <t>Vishnu Sunder</t>
  </si>
  <si>
    <t>INH000018984</t>
  </si>
  <si>
    <t>Vellappalli Madom, Onamthuruthu P.O, Kottayam, Keral</t>
  </si>
  <si>
    <t>vishnusunder3@gmail.com</t>
  </si>
  <si>
    <t>918281089527</t>
  </si>
  <si>
    <t>686602</t>
  </si>
  <si>
    <t>NAME::VISHNU SUNDER</t>
  </si>
  <si>
    <t>Vishrav Technologies</t>
  </si>
  <si>
    <t>INA000020934</t>
  </si>
  <si>
    <t>Chandresh Malpani</t>
  </si>
  <si>
    <t>No. 15/1, 18th Cross, Malleshwaram,</t>
  </si>
  <si>
    <t>chandresh.malpani@gmail.com</t>
  </si>
  <si>
    <t>00919712536259</t>
  </si>
  <si>
    <t>NAME::VISHRAV TECHNOLOGIES</t>
  </si>
  <si>
    <t>Vishwesh Diware</t>
  </si>
  <si>
    <t>INH000020776</t>
  </si>
  <si>
    <t>N 99 Reshimbag</t>
  </si>
  <si>
    <t>researchvishwesh@gmail.com</t>
  </si>
  <si>
    <t>918055990955</t>
  </si>
  <si>
    <t>440009</t>
  </si>
  <si>
    <t>NAME::VISHWESH DIWARE</t>
  </si>
  <si>
    <t>Vispi</t>
  </si>
  <si>
    <t>INH000005740</t>
  </si>
  <si>
    <t>Vispi Buhariwala</t>
  </si>
  <si>
    <t>FlatNo9,Abbasi Building,3rdFloor,, P.B. Marg,Corner of Grant Road</t>
  </si>
  <si>
    <t>vispi.buhariwala@gmail.com</t>
  </si>
  <si>
    <t>FlatNo9,Abbasi Building,3rdFloor, P.B. Marg,Corner of Grant Road</t>
  </si>
  <si>
    <t>Mar 09, 2018</t>
  </si>
  <si>
    <t>NAME::VISPI</t>
  </si>
  <si>
    <t>Vivek Gupta</t>
  </si>
  <si>
    <t>INA000020554</t>
  </si>
  <si>
    <t>Flat No-65, RPS, , Sheikh Sarai Phase I,</t>
  </si>
  <si>
    <t>vivek203@yahoo.com</t>
  </si>
  <si>
    <t>00919958836060</t>
  </si>
  <si>
    <t>NAME::VIVEK GUPTA</t>
  </si>
  <si>
    <t>Vivek KR Singh</t>
  </si>
  <si>
    <t>INH000010812</t>
  </si>
  <si>
    <t>Plot No. 15 and 16 , KH No. 281 &amp; 289 , Near peer Baba Mazar , Nijampur,</t>
  </si>
  <si>
    <t>viveksinghlko24@gmail.com</t>
  </si>
  <si>
    <t>NAME::VIVEK KR SINGH</t>
  </si>
  <si>
    <t>Vivek Kumar</t>
  </si>
  <si>
    <t>INH000021915</t>
  </si>
  <si>
    <t>Vivek  Kumar</t>
  </si>
  <si>
    <t>741, Mokhra Khas 101</t>
  </si>
  <si>
    <t>vivekmalik3003@icloud.com</t>
  </si>
  <si>
    <t>919050606305</t>
  </si>
  <si>
    <t>124022</t>
  </si>
  <si>
    <t>NAME::VIVEK KUMAR</t>
  </si>
  <si>
    <t>Vivek Lochan Sharma</t>
  </si>
  <si>
    <t>INH000023083</t>
  </si>
  <si>
    <t>VIVEK LOCHAN</t>
  </si>
  <si>
    <t>PR NO NO10050006000 GAGANGIRI NAGAR MINAKSHI NAGAR , MASACHAPADA ROAD Mira Road NEAR HANUMAN MANDIR</t>
  </si>
  <si>
    <t>viveklochansharma@gmail.com</t>
  </si>
  <si>
    <t>919930839921</t>
  </si>
  <si>
    <t>NAME::VIVEK LOCHAN SHARMA</t>
  </si>
  <si>
    <t>Vivek P Dhumale</t>
  </si>
  <si>
    <t>INH000009153</t>
  </si>
  <si>
    <t>Vivek Dhumale</t>
  </si>
  <si>
    <t>Delight A, 2E/27, Aditya garden City, Phase II,, Near RMD College,Warje</t>
  </si>
  <si>
    <t>vivekitengg@hotmail.com</t>
  </si>
  <si>
    <t>411058</t>
  </si>
  <si>
    <t>Delight A, 2E/27, Aditya garden City, Phase II, Near RMD College,Warje</t>
  </si>
  <si>
    <t>Feb 22, 2022</t>
  </si>
  <si>
    <t>NAME::VIVEK P DHUMALE</t>
  </si>
  <si>
    <t>Vivek Sagar</t>
  </si>
  <si>
    <t>INH100005525</t>
  </si>
  <si>
    <t>65-A, Pocket A-11, Kalkaji Extension</t>
  </si>
  <si>
    <t>Vivek.sagar@outlook.com</t>
  </si>
  <si>
    <t>NAME::VIVEK SAGAR</t>
  </si>
  <si>
    <t>Vivek awad</t>
  </si>
  <si>
    <t>INH000021863</t>
  </si>
  <si>
    <t>vivek awad</t>
  </si>
  <si>
    <t>24/7- Kanchanpura, Maxi Road, M.L. Nagar, Ujjain</t>
  </si>
  <si>
    <t>awadvivek026@gmail.com</t>
  </si>
  <si>
    <t>918770990951</t>
  </si>
  <si>
    <t>NAME::VIVEK AWAD</t>
  </si>
  <si>
    <t>Vivek prashant</t>
  </si>
  <si>
    <t>INH200006929</t>
  </si>
  <si>
    <t>vivek prashant</t>
  </si>
  <si>
    <t>Plot No Cts 254, Part Off B S Devshi Marg,, Govandi East</t>
  </si>
  <si>
    <t>vivek.prashant53@gmail.com</t>
  </si>
  <si>
    <t>919742411510</t>
  </si>
  <si>
    <t>Plot No Cts 254, Part Off B S Devshi Marg, Govandi East</t>
  </si>
  <si>
    <t>Mar 15, 2019</t>
  </si>
  <si>
    <t>NAME::VIVEK PRASHANT</t>
  </si>
  <si>
    <t>Vrinda Bhadula</t>
  </si>
  <si>
    <t>INH000015464</t>
  </si>
  <si>
    <t>Office No. 454, 4th Floor, Block D and E, Chandigarh City Center, Vip Road, Zikarpur</t>
  </si>
  <si>
    <t>vrinda.bhadula@gmail.com</t>
  </si>
  <si>
    <t>ZIRAKPUR</t>
  </si>
  <si>
    <t>NAME::VRINDA BHADULA</t>
  </si>
  <si>
    <t>WAHAB KHAN</t>
  </si>
  <si>
    <t>INH000016029</t>
  </si>
  <si>
    <t>B-149, Upper Ground Floor, Left Side F/P, Old No. 507, Shahhen Bagh, Abul Fazal Enclave Part-II</t>
  </si>
  <si>
    <t>wahab.analyst@gmail.com</t>
  </si>
  <si>
    <t>NAME::WAHAB KHAN</t>
  </si>
  <si>
    <t>WOLF CLUB</t>
  </si>
  <si>
    <t>INH000017277</t>
  </si>
  <si>
    <t>MANJEET KAUSHIK</t>
  </si>
  <si>
    <t>Flat No 209 Jahaz Apartment, Inder Enclave Paschim Vihar Delhi</t>
  </si>
  <si>
    <t>mail.wolfclub@gmail.com</t>
  </si>
  <si>
    <t>NAME::WOLF CLUB</t>
  </si>
  <si>
    <t>Wealocity Analytics</t>
  </si>
  <si>
    <t>INH000017213</t>
  </si>
  <si>
    <t>Nareshkumar Kutikuppala</t>
  </si>
  <si>
    <t>Flat No. 202, Block 2-, Diamond Estates, CBCID Officers Colony, Hydernagar</t>
  </si>
  <si>
    <t>k.naresh.k@gmail.com</t>
  </si>
  <si>
    <t>NAME::WEALOCITY ANALYTICS</t>
  </si>
  <si>
    <t>YASH CHOUHAN</t>
  </si>
  <si>
    <t>INH000025355</t>
  </si>
  <si>
    <t>YASH  CHOUHAN</t>
  </si>
  <si>
    <t>263 Pushp Kunj Shivaji Nagar Back of Mitra Niwas  , Kishangarh</t>
  </si>
  <si>
    <t>yashchauhanresearchanalyst@gmail.com</t>
  </si>
  <si>
    <t>NAME::YASH CHOUHAN</t>
  </si>
  <si>
    <t>YASH HASMUKHLAL CHOUHAN</t>
  </si>
  <si>
    <t>INH000026497</t>
  </si>
  <si>
    <t>101, Nisha Apartment, Shivsena lane, Bhayander West</t>
  </si>
  <si>
    <t>chouhany281@gmail.com</t>
  </si>
  <si>
    <t>918080487984</t>
  </si>
  <si>
    <t>NAME::YASH HASMUKHLAL CHOUHAN</t>
  </si>
  <si>
    <t>YASH MAHESH JAISWAL</t>
  </si>
  <si>
    <t>INH000027353</t>
  </si>
  <si>
    <t>YASH JAISWAL</t>
  </si>
  <si>
    <t>41, Karmbhumi Society, Near Gopal Chowk, Kunj Mall Nava Naroda</t>
  </si>
  <si>
    <t>yj2929@gmail.com</t>
  </si>
  <si>
    <t>0007698786186</t>
  </si>
  <si>
    <t>382345</t>
  </si>
  <si>
    <t>NAME::YASH MAHESH JAISWAL</t>
  </si>
  <si>
    <t>YASH RAJESHBHAI HIRPARA</t>
  </si>
  <si>
    <t>INH000026655</t>
  </si>
  <si>
    <t>YASH HIRPARA</t>
  </si>
  <si>
    <t>Pragati IT World, Office No 215,, 2nd Floor, Yogi Chowk,</t>
  </si>
  <si>
    <t>rayashhirpara@gmail.com</t>
  </si>
  <si>
    <t>00006359105961</t>
  </si>
  <si>
    <t>Pragati IT World, Office No 215, 2nd Floor, Yogi Chowk,</t>
  </si>
  <si>
    <t>NAME::YASH RAJESHBHAI HIRPARA</t>
  </si>
  <si>
    <t>YOGESH AJMIRE</t>
  </si>
  <si>
    <t>INA000015367</t>
  </si>
  <si>
    <t>SHOP NO.26,A.M.C MARKET,NEAR RAJAPETH POLISH STATION, BELOW HOTEL GRESS IN,RAJAPETH</t>
  </si>
  <si>
    <t>AJMIRE89@GMAIL.COM</t>
  </si>
  <si>
    <t>444607</t>
  </si>
  <si>
    <t>NAME::YOGESH AJMIRE</t>
  </si>
  <si>
    <t>YOGESHWAR VASHISHTHA</t>
  </si>
  <si>
    <t>INH000027168</t>
  </si>
  <si>
    <t>Royce BLDG, Flat No 602, Rodas Enclave, Hiranandani Estate, G B Road</t>
  </si>
  <si>
    <t>yogeshwar.vashishtha@gmail.com</t>
  </si>
  <si>
    <t>0009967070595</t>
  </si>
  <si>
    <t>NAME::YOGESHWAR VASHISHTHA</t>
  </si>
  <si>
    <t>YOHAN IMRAN DOKA</t>
  </si>
  <si>
    <t>INH000028529</t>
  </si>
  <si>
    <t>YOHAN  DOKA</t>
  </si>
  <si>
    <t>5-B, 403, New MHADA Colony, Vinoba Bhave Nagar,, Near AC Barkat School, CTS No. 916(PT), 917(PT), 918(PT), 922, Kurla (West), Mumbai</t>
  </si>
  <si>
    <t>Yohandoka7865@gmail.com</t>
  </si>
  <si>
    <t>00009664765786</t>
  </si>
  <si>
    <t>NAME::YOHAN IMRAN DOKA</t>
  </si>
  <si>
    <t>YUKTI MITTAL</t>
  </si>
  <si>
    <t>INH000027070</t>
  </si>
  <si>
    <t>Maa Vaishnoupuram, Jagatpur, Bareilly</t>
  </si>
  <si>
    <t>yuktimittal5@gmail.com</t>
  </si>
  <si>
    <t>917906369670</t>
  </si>
  <si>
    <t>NAME::YUKTI MITTAL</t>
  </si>
  <si>
    <t>Yagnesh Patel</t>
  </si>
  <si>
    <t>INH000016320</t>
  </si>
  <si>
    <t>Shop No.F-31,1st Floor, , Atlanta Business Hub,  VIP Road,Vesu,</t>
  </si>
  <si>
    <t>yagneshresearch@gmail.com</t>
  </si>
  <si>
    <t>NAME::YAGNESH PATEL</t>
  </si>
  <si>
    <t>Yamuna Prasad Maurya</t>
  </si>
  <si>
    <t>INH000027803</t>
  </si>
  <si>
    <t>Yamuna Maurya</t>
  </si>
  <si>
    <t>0,0, Gram Nonar, Post Tulsi Ashram, Nonar, District Chandauli</t>
  </si>
  <si>
    <t>yamunaandassociates@gmail.com</t>
  </si>
  <si>
    <t>0007070524130</t>
  </si>
  <si>
    <t>232102</t>
  </si>
  <si>
    <t>NAME::YAMUNA PRASAD MAURYA</t>
  </si>
  <si>
    <t>Yash Dahiya</t>
  </si>
  <si>
    <t>INH000018993</t>
  </si>
  <si>
    <t>2 15 Top Floor, West Patel Nagar</t>
  </si>
  <si>
    <t>yashdahiya60@gmail.com</t>
  </si>
  <si>
    <t>917678352253</t>
  </si>
  <si>
    <t>NAME::YASH DAHIYA</t>
  </si>
  <si>
    <t>Yashdeep Kothari</t>
  </si>
  <si>
    <t>INH000021270</t>
  </si>
  <si>
    <t>16, MOGRAWADI, NEAR GULAB BAGH, UDAIPUR</t>
  </si>
  <si>
    <t>yashdeepkothari@gmail.com</t>
  </si>
  <si>
    <t>919460381682</t>
  </si>
  <si>
    <t>NAME::YASHDEEP KOTHARI</t>
  </si>
  <si>
    <t>Yeshwant Bhisham Valecha</t>
  </si>
  <si>
    <t>INH000027593</t>
  </si>
  <si>
    <t>Yeshwant  Valecha</t>
  </si>
  <si>
    <t>A-13 A wing Chintamani 2 society, Siddhivinayak Mandir Mithbandar Road, Natu Paranpe Colony, Thane east</t>
  </si>
  <si>
    <t>valechayeshwant@gmail.com</t>
  </si>
  <si>
    <t>00009724926927</t>
  </si>
  <si>
    <t>NAME::YESHWANT BHISHAM VALECHA</t>
  </si>
  <si>
    <t>Yogesh Kukadia Chhaganbhai</t>
  </si>
  <si>
    <t>INA000010113</t>
  </si>
  <si>
    <t>Yogesh Chhaganbhai</t>
  </si>
  <si>
    <t>95/898 GHB PALAN PUR PATIA , RANDER ROAD</t>
  </si>
  <si>
    <t>yogeshkukadiabsim@gmail.com</t>
  </si>
  <si>
    <t>107 PRISTINE SRI KRISHNA 2, KAMMASANDRA ROAD</t>
  </si>
  <si>
    <t>NAME::YOGESH KUKADIA CHHAGANBHAI</t>
  </si>
  <si>
    <t>Yogesh Verma</t>
  </si>
  <si>
    <t>INH000025294</t>
  </si>
  <si>
    <t>Plot No H-1/9-A KH. No. 90/6 Additional Floor Portion Ground Floor RIT Delhi</t>
  </si>
  <si>
    <t>officialyogeshverma@gmail.com</t>
  </si>
  <si>
    <t>919716550160</t>
  </si>
  <si>
    <t>NAME::YOGESH VERMA</t>
  </si>
  <si>
    <t>ZAFAR IQBAL</t>
  </si>
  <si>
    <t>INH000011787</t>
  </si>
  <si>
    <t>450/19 MUFTIGANJ NEAR NAGAR PALIKA SCHOOL, MALLAHI TOLA 2ND THAKURGANJ</t>
  </si>
  <si>
    <t>ZAFAR.8687@GMAIL.COM</t>
  </si>
  <si>
    <t>226003</t>
  </si>
  <si>
    <t>NAME::ZAFAR IQBAL</t>
  </si>
  <si>
    <t>anand kumar rathi</t>
  </si>
  <si>
    <t>INH000014890</t>
  </si>
  <si>
    <t>anand rathi</t>
  </si>
  <si>
    <t>h.no 6-26-1511, near jain mandir, gurubabadi road</t>
  </si>
  <si>
    <t>anandrathi12@gmail.com</t>
  </si>
  <si>
    <t>NIZAMABAD</t>
  </si>
  <si>
    <t>503002</t>
  </si>
  <si>
    <t>NAME::ANAND KUMAR RATHI</t>
  </si>
  <si>
    <t>anujkumar lalitbhai kargathra</t>
  </si>
  <si>
    <t>INH000011820</t>
  </si>
  <si>
    <t>Anujkumar Kargathra</t>
  </si>
  <si>
    <t>Shyam vardhaman nagar-2,kolki road,upleta,Rajkot</t>
  </si>
  <si>
    <t>gajjaranuj6@gmail.com</t>
  </si>
  <si>
    <t>360490</t>
  </si>
  <si>
    <t>NAME::ANUJKUMAR LALITBHAI KARGATHRA</t>
  </si>
  <si>
    <t>jUPITERR TECHNOLOGIES</t>
  </si>
  <si>
    <t>INA100010147</t>
  </si>
  <si>
    <t>Piyush Gupta</t>
  </si>
  <si>
    <t>B-58 1st Floor Harpal Nagar</t>
  </si>
  <si>
    <t>piyush20gup@gmail.com</t>
  </si>
  <si>
    <t>NAME::JUPITERR TECHNOLOGIES</t>
  </si>
  <si>
    <t>mohammed yusuf gaffoor</t>
  </si>
  <si>
    <t>INA200008389</t>
  </si>
  <si>
    <t>mohammed gaffoor</t>
  </si>
  <si>
    <t>no 938 21st cross hbr layout 1st, block behind narendra theatre</t>
  </si>
  <si>
    <t>usufg@hotmail.com</t>
  </si>
  <si>
    <t>NAME::MOHAMMED YUSUF GAFFOOR</t>
  </si>
  <si>
    <t>nitin sood</t>
  </si>
  <si>
    <t>INA100012075</t>
  </si>
  <si>
    <t>3RD FLOOR, RAMESH NIVAAS, STOKES PLACE</t>
  </si>
  <si>
    <t>nitinsud10@gmail.com</t>
  </si>
  <si>
    <t>171002</t>
  </si>
  <si>
    <t>Nov 19, 2018</t>
  </si>
  <si>
    <t>NAME::NITIN SOOD</t>
  </si>
  <si>
    <t>panelil vishnu menon</t>
  </si>
  <si>
    <t>INH200007256</t>
  </si>
  <si>
    <t>vishnu panelil</t>
  </si>
  <si>
    <t>Cabin I, Brindavan Business Centre, Manimala Road, Edappally</t>
  </si>
  <si>
    <t>vithu33@gmail.com</t>
  </si>
  <si>
    <t>919895848414</t>
  </si>
  <si>
    <t>Panelil House, Nithya Sahaya, Matha Church, Cheranallur,</t>
  </si>
  <si>
    <t>682034</t>
  </si>
  <si>
    <t>NAME::PANELIL VISHNU MENON</t>
  </si>
  <si>
    <t>sachinkumar dayaram gupta</t>
  </si>
  <si>
    <t>INH000021748</t>
  </si>
  <si>
    <t>sachinkumar gupta</t>
  </si>
  <si>
    <t>room no.- 3409, sanjay gandhi nagar digha,, belapur road, near balaji hospital, navi mumba</t>
  </si>
  <si>
    <t>sachingupta112112@gmail.com</t>
  </si>
  <si>
    <t>919892523451</t>
  </si>
  <si>
    <t>room no.- 3409, sanjay gandhi nagar digha, belapur road, near balaji hospital, navi mumba</t>
  </si>
  <si>
    <t>NAME::SACHINKUMAR DAYARAM GUPTA</t>
  </si>
  <si>
    <t>sankalp chaturvedi</t>
  </si>
  <si>
    <t>INH000014119</t>
  </si>
  <si>
    <t>b 41 jyoti nagar opposite , jyoti nagar police station</t>
  </si>
  <si>
    <t>csankalp@gmail.com</t>
  </si>
  <si>
    <t>NAME::SANKALP CHATURVEDI</t>
  </si>
  <si>
    <t>saravana kumar</t>
  </si>
  <si>
    <t>INH000023108</t>
  </si>
  <si>
    <t>Saravana Kumar</t>
  </si>
  <si>
    <t>16/5/14A vellaiyan kovil street, anaimalai , pollachi</t>
  </si>
  <si>
    <t>saravanakumar1840@gmail.com</t>
  </si>
  <si>
    <t>918072005130</t>
  </si>
  <si>
    <t>642104</t>
  </si>
  <si>
    <t>NAME::SARAVANA KUMAR</t>
  </si>
  <si>
    <t>vibhor varshney</t>
  </si>
  <si>
    <t>INH100005419</t>
  </si>
  <si>
    <t>a-101 lohiya nagar</t>
  </si>
  <si>
    <t>nakulvibhor@gmail.com</t>
  </si>
  <si>
    <t>Nov 14, 2017</t>
  </si>
  <si>
    <t>NAME::VIBHOR VARSHNEY</t>
  </si>
  <si>
    <t>5paisa Capital Limited</t>
  </si>
  <si>
    <t>INH000025188</t>
  </si>
  <si>
    <t>RAVINDRA KALVANKAR</t>
  </si>
  <si>
    <t>IIFL House, Sun Infotech Park, Road No. 16V, B 23, MIDC, thane Industrial Area, Wagle Estate</t>
  </si>
  <si>
    <t>regulatorycompliance@5paisa.com</t>
  </si>
  <si>
    <t>0009867571300</t>
  </si>
  <si>
    <t>5paisa.com</t>
  </si>
  <si>
    <t>DOMAIN::5paisa.com</t>
  </si>
  <si>
    <t>large_enterprise_slow_sales_cycle</t>
  </si>
  <si>
    <t>ADITYA BIRLA MONEY LIMITED</t>
  </si>
  <si>
    <t>INP000003757</t>
  </si>
  <si>
    <t>Ravishankar Gopalan</t>
  </si>
  <si>
    <t>Indian Rayon Compound, Veraval</t>
  </si>
  <si>
    <t>04439140403</t>
  </si>
  <si>
    <t>362266</t>
  </si>
  <si>
    <t>ALi Centre, 53, Greams Road</t>
  </si>
  <si>
    <t>Aug 14, 2016</t>
  </si>
  <si>
    <t>NAME::ADITYA BIRLA MONEY LIMITED</t>
  </si>
  <si>
    <t>INH000002145</t>
  </si>
  <si>
    <t>Amit  Lahoti</t>
  </si>
  <si>
    <t>Indian Rayon Compound,Verava</t>
  </si>
  <si>
    <t>amit.lahoti@adityabirlacapital.com</t>
  </si>
  <si>
    <t>00007678006510</t>
  </si>
  <si>
    <t>Sai Sagar, Plot No. M7, Thiru Vi Ka Industrial Estate, Guindy,</t>
  </si>
  <si>
    <t>adityabirlacapital.com</t>
  </si>
  <si>
    <t>DOMAIN::adityabirlacapital.com</t>
  </si>
  <si>
    <t>AMBIT CAPITAL PRIVATE LIMITED</t>
  </si>
  <si>
    <t>INH000000313</t>
  </si>
  <si>
    <t>Manish Dubey</t>
  </si>
  <si>
    <t>449, AMBIT HOUSE,SENAPATI BAPAT MARG,, LOWER PAREL,</t>
  </si>
  <si>
    <t>compliance@ambit.co</t>
  </si>
  <si>
    <t>9102268603252</t>
  </si>
  <si>
    <t>449, AMBIT HOUSE,SENAPATI BAPAT MARG, LOWER PAREL,</t>
  </si>
  <si>
    <t>Apr 15, 2015</t>
  </si>
  <si>
    <t>ambit.co</t>
  </si>
  <si>
    <t>DOMAIN::ambit.co</t>
  </si>
  <si>
    <t>AMBIT INVESTMENT ADVISORS PRIVATE LIMITED</t>
  </si>
  <si>
    <t>INP000005059</t>
  </si>
  <si>
    <t>Ambit house 449, senapati Bapat Marg, lower parel</t>
  </si>
  <si>
    <t>9102268601319</t>
  </si>
  <si>
    <t>2103 One Lodha Place, Senpati Bapat Marg Lower Parel</t>
  </si>
  <si>
    <t>Apr 07, 2016</t>
  </si>
  <si>
    <t>ANGEL ONE LIMITED</t>
  </si>
  <si>
    <t>INA000008172</t>
  </si>
  <si>
    <t>Bineet Jha</t>
  </si>
  <si>
    <t>601, 6th Floor, Ackruti Star, Central Road,, MIDC, Andheri East</t>
  </si>
  <si>
    <t>compliance@angelbroking.com</t>
  </si>
  <si>
    <t>9102240003600</t>
  </si>
  <si>
    <t>601, 6th Floor, Ackruti Star, Central Road, MIDC, Andheri East</t>
  </si>
  <si>
    <t>angelbroking.com</t>
  </si>
  <si>
    <t>DOMAIN::angelbroking.com</t>
  </si>
  <si>
    <t>INP000001546</t>
  </si>
  <si>
    <t>Mr. Kamlesh Gujar</t>
  </si>
  <si>
    <t>601, 6th Floor, Ackruti Star, Central Road, MIDC, Andheri (East)</t>
  </si>
  <si>
    <t>39413940  5335</t>
  </si>
  <si>
    <t>GROUND FLOOR, AKRUTI TRADE CENTRE, MIDC, ANDHERI (E)</t>
  </si>
  <si>
    <t>Jan 16, 2015</t>
  </si>
  <si>
    <t>NAME::ANGEL ONE LIMITED</t>
  </si>
  <si>
    <t>AXIS ASSET MANAGEMENT COMPANY LIMITED</t>
  </si>
  <si>
    <t>INP000003534</t>
  </si>
  <si>
    <t>Darshan Kapadia</t>
  </si>
  <si>
    <t>One Lodha Place, 22nd and 23rd Floor,, Senapati Bapat Marg, Lower Parel,</t>
  </si>
  <si>
    <t>compliance@axismf.com</t>
  </si>
  <si>
    <t>9102263111209</t>
  </si>
  <si>
    <t>One Lodha Place, 22nd and 23rd Floor, Senapati Bapat Marg, Lower Parel,</t>
  </si>
  <si>
    <t>Jan 04, 2016</t>
  </si>
  <si>
    <t>axismf.com</t>
  </si>
  <si>
    <t>DOMAIN::axismf.com</t>
  </si>
  <si>
    <t>AXIS CAPITAL LIMITED</t>
  </si>
  <si>
    <t>INH000002434</t>
  </si>
  <si>
    <t>Vilma Mathias Gangahar</t>
  </si>
  <si>
    <t>compliance@axiscap.in</t>
  </si>
  <si>
    <t>919920572482</t>
  </si>
  <si>
    <t>Dec 04, 2015</t>
  </si>
  <si>
    <t>axiscap.in</t>
  </si>
  <si>
    <t>DOMAIN::axiscap.in</t>
  </si>
  <si>
    <t>AXIS SECURITIES LIMITED</t>
  </si>
  <si>
    <t>INA000000615</t>
  </si>
  <si>
    <t>Rajiv Kejriwal</t>
  </si>
  <si>
    <t>Unit 002, Building - A, Agastya Corporate Park,, Piramal Realty, Kamani Junction, Kurla West,</t>
  </si>
  <si>
    <t>rajiv.kejriwal@axissecurities.in</t>
  </si>
  <si>
    <t>0918879665752</t>
  </si>
  <si>
    <t>Unit 002, Building - A, Agastya Corporate Park, Piramal Realty, Kamani Junction, Kurla West,</t>
  </si>
  <si>
    <t>axissecurities.in</t>
  </si>
  <si>
    <t>DOMAIN::axissecurities.in</t>
  </si>
  <si>
    <t>INP000000654</t>
  </si>
  <si>
    <t>Mr Jayan Nair</t>
  </si>
  <si>
    <t>Unit 002, Building-A, Agastya Corporate Park, Piramal Realty,Kamani Junction,Kurla West</t>
  </si>
  <si>
    <t>24255436</t>
  </si>
  <si>
    <t>13TH FLOOR, MAKER TOWER 'F', CUFFE PARADE</t>
  </si>
  <si>
    <t>400 005</t>
  </si>
  <si>
    <t>Jul 16, 2014</t>
  </si>
  <si>
    <t>NAME::AXIS SECURITIES LIMITED</t>
  </si>
  <si>
    <t>INH000000297</t>
  </si>
  <si>
    <t>Unit No 002, Building A, Agastya Corporate Park, Piramal Realty,Kurla West</t>
  </si>
  <si>
    <t>09188796657</t>
  </si>
  <si>
    <t>Apr 13, 2015</t>
  </si>
  <si>
    <t>Ambit Wealth Private Limited</t>
  </si>
  <si>
    <t>INP000007465</t>
  </si>
  <si>
    <t>Shailesh Adukia</t>
  </si>
  <si>
    <t>Ambit House, 449 Senapati Bapat Marg</t>
  </si>
  <si>
    <t>gpc.compliance@ambit.co</t>
  </si>
  <si>
    <t>917666104082</t>
  </si>
  <si>
    <t>INH000012494</t>
  </si>
  <si>
    <t>Ambit House, 449 Senapati Bapat Marg, Lower Parel, Mumbai</t>
  </si>
  <si>
    <t>9102268601814</t>
  </si>
  <si>
    <t>Angel One Investment Managers &amp; Advisors Private Limited</t>
  </si>
  <si>
    <t>INA000019804</t>
  </si>
  <si>
    <t>Nipun Doshi</t>
  </si>
  <si>
    <t>Office No. 601, 6th Floor, Ackruti Star, Ackruti Star Pocket 5, Central Road,Marol, MIDC Andheri</t>
  </si>
  <si>
    <t>compliance@angeloneim.in</t>
  </si>
  <si>
    <t>0002240003600</t>
  </si>
  <si>
    <t>angeloneim.in</t>
  </si>
  <si>
    <t>DOMAIN::angeloneim.in</t>
  </si>
  <si>
    <t>Angel One Investment Services Private Limited</t>
  </si>
  <si>
    <t>INH000020305</t>
  </si>
  <si>
    <t>Shivkumar Kotian</t>
  </si>
  <si>
    <t>601, 6th Floor Ackruti Star, Central Road, MIDC,, Chakala MIDC</t>
  </si>
  <si>
    <t>compliance@ionic.in</t>
  </si>
  <si>
    <t>02202240003600</t>
  </si>
  <si>
    <t>601, 6th Floor Ackruti Star, Central Road, MIDC, Chakala MIDC</t>
  </si>
  <si>
    <t>ionic.in</t>
  </si>
  <si>
    <t>DOMAIN::ionic.in</t>
  </si>
  <si>
    <t>Angel One Limited</t>
  </si>
  <si>
    <t>INH000000164</t>
  </si>
  <si>
    <t>G-1, AKRUTI TRADE CENTRE,, MIDC, ROAD NO.7,ANDHERI (EAST),</t>
  </si>
  <si>
    <t>compliance@angelone.in</t>
  </si>
  <si>
    <t>919820697950</t>
  </si>
  <si>
    <t>6th Floor, Akruti Star, MIDC, Central Road,Andheri (East),</t>
  </si>
  <si>
    <t>Mar 19, 2015</t>
  </si>
  <si>
    <t>BAJAJ CAPITAL INVESTMENT ADVISERS PRIVATE LIMITED</t>
  </si>
  <si>
    <t>INA100001398</t>
  </si>
  <si>
    <t>Reena Kumari</t>
  </si>
  <si>
    <t>506, 5TH FLOOR, BAJAJ HOUSE, 97, NEHRU PLACE, NEW DELHI</t>
  </si>
  <si>
    <t>reenakumari@bajajcapital.com</t>
  </si>
  <si>
    <t>1166161111</t>
  </si>
  <si>
    <t>506, 5th Floor, Bajaj House, 97, Nehru Place, New Delhi</t>
  </si>
  <si>
    <t>bajajcapital.com</t>
  </si>
  <si>
    <t>DOMAIN::bajajcapital.com</t>
  </si>
  <si>
    <t>BAJAJ CAPITAL MARKETS LIMITED</t>
  </si>
  <si>
    <t>INH100002862</t>
  </si>
  <si>
    <t>97, BAJAJ HOUSE, NEHRU PLACE</t>
  </si>
  <si>
    <t>jaipalsk@bajajcapital.com</t>
  </si>
  <si>
    <t>2241693000</t>
  </si>
  <si>
    <t>403-404, 4th Floor, Sidharrth Building, 96, Nehru Place</t>
  </si>
  <si>
    <t>BAJAJ FINANCIAL SECURITIES LIMITED</t>
  </si>
  <si>
    <t>INH000010043</t>
  </si>
  <si>
    <t>Boudhayan Ghosh</t>
  </si>
  <si>
    <t>BAJAJ AUTO LIMITED COMPLEX, MUMBAI PUNE ROAD, AKURDI</t>
  </si>
  <si>
    <t>compliance_legal@bajajbroking.in</t>
  </si>
  <si>
    <t>919226046484</t>
  </si>
  <si>
    <t>411035</t>
  </si>
  <si>
    <t>BAJAJ FINANCIAL SECURITIES LIMITED, 1ST FLOOR, MATRI IT PARK, TOWER B, UNIT 9-10, VIMAN NAGAR</t>
  </si>
  <si>
    <t>Oct 10, 2022</t>
  </si>
  <si>
    <t>bajajbroking.in</t>
  </si>
  <si>
    <t>DOMAIN::bajajbroking.in</t>
  </si>
  <si>
    <t>BARCLAYS SECURITIES (INDIA) PRIVATE LIMITED</t>
  </si>
  <si>
    <t>INA000000391</t>
  </si>
  <si>
    <t>Mridula Iyengar</t>
  </si>
  <si>
    <t>Nirlon Knowledge Park, Level 9, Block B 6, Off Western Express Highway, Goregaon East</t>
  </si>
  <si>
    <t>mridula.iyengar@barclays.com</t>
  </si>
  <si>
    <t>02261754187</t>
  </si>
  <si>
    <t>208, Ceejay House, Shiv Sagar Estate, Goregaon (East),</t>
  </si>
  <si>
    <t>barclays.com</t>
  </si>
  <si>
    <t>DOMAIN::barclays.com</t>
  </si>
  <si>
    <t>INH000001519</t>
  </si>
  <si>
    <t>Nirlon Knowledge Park Level 9, Block B-6 Off Western Express Highway Goregaon East</t>
  </si>
  <si>
    <t>208, Ceejay House, Shivsagar Estate, Dr A. Beasant Road, Worli,</t>
  </si>
  <si>
    <t>Aug 24, 2015</t>
  </si>
  <si>
    <t>BNP PARIBAS SECURITIES INDIA PVT LTD</t>
  </si>
  <si>
    <t>INH000000792</t>
  </si>
  <si>
    <t>KAREN D'SOUZA</t>
  </si>
  <si>
    <t>5TH FLOOR, BNP PARIBAS HOUSE,, 1 NORTH AVENUE, MAKER MAXITY BANDRA (E),</t>
  </si>
  <si>
    <t>karen.dsouza@asia.bnpparibas.com</t>
  </si>
  <si>
    <t>022 61964356</t>
  </si>
  <si>
    <t>5th Floor, BNP Paribas House, 1 North Avenue, Maker Maxity Bandra (E),</t>
  </si>
  <si>
    <t>asia.bnpparibas.com</t>
  </si>
  <si>
    <t>DOMAIN::asia.bnpparibas.com</t>
  </si>
  <si>
    <t>Bajaj Alternate Investment Management Limited</t>
  </si>
  <si>
    <t>INP000009904</t>
  </si>
  <si>
    <t>Shivam Pandey</t>
  </si>
  <si>
    <t>S NO 208/1B Bajaj Finserv House Vimannagar Lohagaon, S NO 208/1B Bajaj Finserv House Vimannagar Lohagaon</t>
  </si>
  <si>
    <t>shivam.pandey39@bajajfinserv.in</t>
  </si>
  <si>
    <t>02269050900690</t>
  </si>
  <si>
    <t>Floor 16 B Wing The Capital G Block BKC</t>
  </si>
  <si>
    <t>bajajfinserv.in</t>
  </si>
  <si>
    <t>DOMAIN::bajajfinserv.in</t>
  </si>
  <si>
    <t>Bajaj Finserv Direct Limited</t>
  </si>
  <si>
    <t>INA000016083</t>
  </si>
  <si>
    <t>Akshara Manisundar</t>
  </si>
  <si>
    <t>Bajaj Auto Limited Complex, Mumbai-Pune Road, Akurdi</t>
  </si>
  <si>
    <t>akshara.manisundar@bajajfinservdirect.in</t>
  </si>
  <si>
    <t>0919003292356</t>
  </si>
  <si>
    <t>4th floor, B2 Building, Cerebrum IT Park, Kumar City, Kalyani Nagar</t>
  </si>
  <si>
    <t>Aug 11, 2021</t>
  </si>
  <si>
    <t>bajajfinservdirect.in</t>
  </si>
  <si>
    <t>DOMAIN::bajajfinservdirect.in</t>
  </si>
  <si>
    <t>Bandhan AMC Limited</t>
  </si>
  <si>
    <t>INP000008534</t>
  </si>
  <si>
    <t>Vijayalaxmi Khatri</t>
  </si>
  <si>
    <t>6th floor Tower 1C One World Centre, 841 Senapati Bapat Marg Jupiter Mill Compound</t>
  </si>
  <si>
    <t>vijayalaxmi.khatri@bandhanamc.com</t>
  </si>
  <si>
    <t>9102243422737</t>
  </si>
  <si>
    <t>bandhanamc.com</t>
  </si>
  <si>
    <t>DOMAIN::bandhanamc.com</t>
  </si>
  <si>
    <t>Baroda BNP Paribas Asset Management India Private Limited</t>
  </si>
  <si>
    <t>INP000003716</t>
  </si>
  <si>
    <t>Nisha  Sanjeev</t>
  </si>
  <si>
    <t>Crescenzo, 7th Floor, G-Block,, Bandra Kurla Complex</t>
  </si>
  <si>
    <t>nisha.sanjeev@barodabnpparibasmf.in</t>
  </si>
  <si>
    <t>9102269209649</t>
  </si>
  <si>
    <t>09102269209649</t>
  </si>
  <si>
    <t>201A 2nd floor Crescenzo Parinee, C 38 and 39 G Block Bandra Kurla Complex</t>
  </si>
  <si>
    <t>barodabnpparibasmf.in</t>
  </si>
  <si>
    <t>DOMAIN::barodabnpparibasmf.in</t>
  </si>
  <si>
    <t>BofA Securities India Limited</t>
  </si>
  <si>
    <t>INH000000503</t>
  </si>
  <si>
    <t>NISHITH MEHTA</t>
  </si>
  <si>
    <t>Express Towers, 16th Floor, NARIMAN POINT</t>
  </si>
  <si>
    <t>nishith.mehta@ml.com</t>
  </si>
  <si>
    <t>2266328000</t>
  </si>
  <si>
    <t>May 27, 2015</t>
  </si>
  <si>
    <t>ml.com</t>
  </si>
  <si>
    <t>DOMAIN::ml.com</t>
  </si>
  <si>
    <t>CANARA BANK SECURITIES LTD.</t>
  </si>
  <si>
    <t>INH000001253</t>
  </si>
  <si>
    <t>MR. K. V. KAMATH</t>
  </si>
  <si>
    <t>7TH FLOOR, MAKER CHAMBER III,, NARIMAN POINT,</t>
  </si>
  <si>
    <t>compliance@canmoney.in</t>
  </si>
  <si>
    <t>2243603822</t>
  </si>
  <si>
    <t>7th Floor, Maker Chamber III, Nariman Point,</t>
  </si>
  <si>
    <t>canmoney.in</t>
  </si>
  <si>
    <t>DOMAIN::canmoney.in</t>
  </si>
  <si>
    <t>CENTRUM BROKING LIMITED</t>
  </si>
  <si>
    <t>INH000001469</t>
  </si>
  <si>
    <t>Chintan  K Madiya</t>
  </si>
  <si>
    <t>Level 9 Centrum House,  C.S.T. Road , Vidyanagari Marg, Kalina Santacruz East</t>
  </si>
  <si>
    <t>chintan.madiya@centrum.co.in</t>
  </si>
  <si>
    <t>02242159023</t>
  </si>
  <si>
    <t>Centrum House, C.S.T. Road, Vidyanagari Marg, Kalina, Santacruz (East)</t>
  </si>
  <si>
    <t>centrum.co.in</t>
  </si>
  <si>
    <t>DOMAIN::centrum.co.in</t>
  </si>
  <si>
    <t>CENTRUM INVESTMENT ADVISORS LIMITED</t>
  </si>
  <si>
    <t>INA000001761</t>
  </si>
  <si>
    <t>Centrum House, CST Road, Vidyanagari Marg, , Kalina, Santacruz East</t>
  </si>
  <si>
    <t>akshay.vora@centrum.co.in</t>
  </si>
  <si>
    <t>00919833770407</t>
  </si>
  <si>
    <t>Centrum House, CST Road, Vidyanagri Marg, Kalina, Santacruz East,</t>
  </si>
  <si>
    <t>May 20, 2014</t>
  </si>
  <si>
    <t>CHOLAMANDALAM SECURITIES LIMITED.</t>
  </si>
  <si>
    <t>INH200000402</t>
  </si>
  <si>
    <t>Gayathri Srinivasan</t>
  </si>
  <si>
    <t>NO.2, DARE HOUSE,, N.S.C BOSE ROAD, PARRYS,</t>
  </si>
  <si>
    <t>gayathrir@chola.murugappa.com</t>
  </si>
  <si>
    <t>04440047226</t>
  </si>
  <si>
    <t>No.2, Dare House, N.S.C Bose Road, Parrys,</t>
  </si>
  <si>
    <t>May 04, 2015</t>
  </si>
  <si>
    <t>chola.murugappa.com</t>
  </si>
  <si>
    <t>DOMAIN::chola.murugappa.com</t>
  </si>
  <si>
    <t>CITIGROUP GLOBAL MARKETS INDIA PRIVATE LIMITED</t>
  </si>
  <si>
    <t>INH000000438</t>
  </si>
  <si>
    <t>Vishal Bohra</t>
  </si>
  <si>
    <t>1202, 12TH FLOOR, FIRST INTERNATIONAL FINANCE CENTRE,, G BLOCK, BANDRA KURLA COMPLEX, BANDRA EAST</t>
  </si>
  <si>
    <t>cgmcompliance@citi.com</t>
  </si>
  <si>
    <t>02261759994</t>
  </si>
  <si>
    <t>1202, 12th Floor, First International Finance Centre, G Block, Bandra Kurla Complex, Bandra East</t>
  </si>
  <si>
    <t>May 08, 2015</t>
  </si>
  <si>
    <t>citi.com</t>
  </si>
  <si>
    <t>DOMAIN::citi.com</t>
  </si>
  <si>
    <t>Centrum Finverse Limited</t>
  </si>
  <si>
    <t>INH000018337</t>
  </si>
  <si>
    <t>ROHIT JAIN</t>
  </si>
  <si>
    <t>Centrum House, CST Road, Vidyanagari Marg, Kalina,, Santacruz East</t>
  </si>
  <si>
    <t>finversecomp@centrum.co.in</t>
  </si>
  <si>
    <t>912242159486</t>
  </si>
  <si>
    <t>Centrum House, CST Road, Vidyanagari Marg, Kalina, Santacruz East</t>
  </si>
  <si>
    <t>Centrum Investment Advisors Limited</t>
  </si>
  <si>
    <t>INP000007535</t>
  </si>
  <si>
    <t>Centrum House, CST Road Vidyanagari Marg  Santacruz East</t>
  </si>
  <si>
    <t>9102242159000</t>
  </si>
  <si>
    <t>9102242159533</t>
  </si>
  <si>
    <t>Sep 06, 2022</t>
  </si>
  <si>
    <t>DAM CAPITAL ADVISORS LIMITED</t>
  </si>
  <si>
    <t>INH000000131</t>
  </si>
  <si>
    <t>AMIT GANGNAIK</t>
  </si>
  <si>
    <t>One BKC, Tower C, 15th Floor,, Unit No. 1511, Bandra Kurla Complex,</t>
  </si>
  <si>
    <t>IDFCSEC.IE@IDFC.COM</t>
  </si>
  <si>
    <t>One BKC, Tower C, 15th Floor, Unit No. 1511, Bandra Kurla Complex,</t>
  </si>
  <si>
    <t>Oct 05, 2020</t>
  </si>
  <si>
    <t>idfc.com</t>
  </si>
  <si>
    <t>DOMAIN::idfc.com</t>
  </si>
  <si>
    <t>DEUTSCHE EQUITIES INDIA PRIVATE LIMITED</t>
  </si>
  <si>
    <t>INH000001741</t>
  </si>
  <si>
    <t>JEKKIN SHAH</t>
  </si>
  <si>
    <t>FLOOR 14, THE CAPITAL,, C-70, G BLOCK,BANDRA KURLA COMPLEX,</t>
  </si>
  <si>
    <t>jekkin.shah@db.com</t>
  </si>
  <si>
    <t>2271801317</t>
  </si>
  <si>
    <t>Floor 14, The Capital, C-70, G Block,Bandra Kurla Complex,</t>
  </si>
  <si>
    <t>db.com</t>
  </si>
  <si>
    <t>DOMAIN::db.com</t>
  </si>
  <si>
    <t>DEUTSCHE INVESTMENTS INDIA PRIVATE LIMITED</t>
  </si>
  <si>
    <t>INP000002825</t>
  </si>
  <si>
    <t>Sanjiv Nagar</t>
  </si>
  <si>
    <t>Nirlon Knowledge Park, Block B-1,, Western Express Highway, Goregaon(East)</t>
  </si>
  <si>
    <t>6658 4578</t>
  </si>
  <si>
    <t>Jul 25, 2008</t>
  </si>
  <si>
    <t>NAME::DEUTSCHE INVESTMENTS INDIA PRIVATE LIMITED</t>
  </si>
  <si>
    <t>EDELWEISS ASSET MANAGEMENT LIMITED</t>
  </si>
  <si>
    <t>INP000004631</t>
  </si>
  <si>
    <t>Radhika Gupta</t>
  </si>
  <si>
    <t>Edelweiss House, Off CST Road, Kalina</t>
  </si>
  <si>
    <t>022 4088 5670</t>
  </si>
  <si>
    <t>NAME::EDELWEISS ASSET MANAGEMENT LIMITED</t>
  </si>
  <si>
    <t>Edelweiss Global Wealth Management Limited</t>
  </si>
  <si>
    <t>INP000008880</t>
  </si>
  <si>
    <t>Hetal Pandit</t>
  </si>
  <si>
    <t>Edelweiss House, Off. C.S.T. Road,, Kalina,</t>
  </si>
  <si>
    <t>pms.compliance@edelweissfin.com</t>
  </si>
  <si>
    <t>9102240795199</t>
  </si>
  <si>
    <t>Edelweiss House, Off. C.S.T. Road, Kalina,</t>
  </si>
  <si>
    <t>edelweissfin.com</t>
  </si>
  <si>
    <t>DOMAIN::edelweissfin.com</t>
  </si>
  <si>
    <t>FRANKLIN TEMPLETON ASSET MANAGEMENT (INDIA) PRIVATE LIMITED</t>
  </si>
  <si>
    <t>INP000000464</t>
  </si>
  <si>
    <t>SHILPA SHETTY</t>
  </si>
  <si>
    <t>Level 4, Wockhardt Towers,, Bandra Kurla Complex, Bandra (East)</t>
  </si>
  <si>
    <t>67519100</t>
  </si>
  <si>
    <t>Level 4, Wockhardt Towers, Bandra Kurla Complex, Bandra (East)</t>
  </si>
  <si>
    <t>NAME::FRANKLIN TEMPLETON ASSET MANAGEMENT INDIA PRIVATE LIMITED</t>
  </si>
  <si>
    <t>FYERS ASSET MANAGEMENT PRIVATE LIMITED</t>
  </si>
  <si>
    <t>INP000008659</t>
  </si>
  <si>
    <t>Vikram Kumar</t>
  </si>
  <si>
    <t>901-902 Brigade Magnum, Flr9 Wing A, SYNO104&amp;106/8, Kodigehalli, Bangalore North,</t>
  </si>
  <si>
    <t>compliance-pms@fyers.in</t>
  </si>
  <si>
    <t>0000008867215635</t>
  </si>
  <si>
    <t>fyers.in</t>
  </si>
  <si>
    <t>DOMAIN::fyers.in</t>
  </si>
  <si>
    <t>GOLDMAN SACHS (INDIA) SECURITIES PRIVATE LIMITED</t>
  </si>
  <si>
    <t>INH000001493</t>
  </si>
  <si>
    <t>Anil Rajput</t>
  </si>
  <si>
    <t>9thand10th Floor, AscentWorli, Sudam Kalu Ahire Marg, Worli</t>
  </si>
  <si>
    <t>gs-sdc-mumbai@gs.com</t>
  </si>
  <si>
    <t>919820748422</t>
  </si>
  <si>
    <t>Aug 21, 2015</t>
  </si>
  <si>
    <t>gs.com</t>
  </si>
  <si>
    <t>DOMAIN::gs.com</t>
  </si>
  <si>
    <t>Groww Invest Tech Private Limited</t>
  </si>
  <si>
    <t>INH200008662</t>
  </si>
  <si>
    <t>Gaurav  Seth</t>
  </si>
  <si>
    <t>No.11, 2nd floor, 80 Feet Road,, 4th Block, S.T Bed, Koramangala</t>
  </si>
  <si>
    <t>compliance@groww.in</t>
  </si>
  <si>
    <t>01101111111111</t>
  </si>
  <si>
    <t>No.11, 2nd floor, 80 Feet Road, 4th Block, S.T Bed, Koramangala</t>
  </si>
  <si>
    <t>groww.in</t>
  </si>
  <si>
    <t>DOMAIN::groww.in</t>
  </si>
  <si>
    <t>Groww Wealth Tech Private Limited</t>
  </si>
  <si>
    <t>INP000009065</t>
  </si>
  <si>
    <t>Rrijuwarsh L</t>
  </si>
  <si>
    <t>4th Floor, Smartworks, Vaishnavi Tech Park, South Tower, Sarjapur Main Road</t>
  </si>
  <si>
    <t>rriju.l@groww.in</t>
  </si>
  <si>
    <t>9108069601300</t>
  </si>
  <si>
    <t>HDFC ASSET MANAGEMENT COMPANY LIMITED</t>
  </si>
  <si>
    <t>INP000000506</t>
  </si>
  <si>
    <t>Supriya Sapre</t>
  </si>
  <si>
    <t>HDFC HOUSE, 2ND FLOOR, H T PAREKH MARG, 165 166 BACKBAY RECLAMATION, CHURCHGATE</t>
  </si>
  <si>
    <t>supriyas@hdfcfund.com</t>
  </si>
  <si>
    <t>9102266580185</t>
  </si>
  <si>
    <t>hdfcfund.com</t>
  </si>
  <si>
    <t>DOMAIN::hdfcfund.com</t>
  </si>
  <si>
    <t>HDFC SECURITIES LIMITED</t>
  </si>
  <si>
    <t>INA000011538</t>
  </si>
  <si>
    <t>MURLI KARKERA</t>
  </si>
  <si>
    <t>I Think Techno Campus Building-B, 'Alpha', 8th Floor, Opp. Crompton Greaves, Near Kanjurmarg Station, Kanjurmarg(East),</t>
  </si>
  <si>
    <t>murli.karkera@hdfcsec.com</t>
  </si>
  <si>
    <t>02202230750052</t>
  </si>
  <si>
    <t>Aug 23, 2018</t>
  </si>
  <si>
    <t>hdfcsec.com</t>
  </si>
  <si>
    <t>DOMAIN::hdfcsec.com</t>
  </si>
  <si>
    <t>INH000002475</t>
  </si>
  <si>
    <t>Murli Karkera</t>
  </si>
  <si>
    <t>I THINK TECHNO CAMPUS, BUILDING B, ALPHA, OFFICE FLOOR 8, NEAR KANJURMARG STATION, KANJURMARG (EAST)</t>
  </si>
  <si>
    <t>Murli.Karkera@hdfcsec.com</t>
  </si>
  <si>
    <t>0919619796819</t>
  </si>
  <si>
    <t>I Think Techno Campus, Building B, Alpha, Office Floor 8, Near Kanjurmarg Station, Kanjurmarg (East)</t>
  </si>
  <si>
    <t>HSBC ASSET MANAGEMENT (INDIA) PVT. LTD.</t>
  </si>
  <si>
    <t>INP000001322</t>
  </si>
  <si>
    <t>Denny Thomas</t>
  </si>
  <si>
    <t>9-11 Floors, NESCO IT Park, Building no. 3, , Western Express Highway, Goregaon (East), Mumbai - 400063</t>
  </si>
  <si>
    <t>66145111</t>
  </si>
  <si>
    <t>314, DN Road, Fort</t>
  </si>
  <si>
    <t>Sep 16, 2014</t>
  </si>
  <si>
    <t>NAME::HSBC ASSET MANAGEMENT INDIA PVT LTD</t>
  </si>
  <si>
    <t>HSBC SECURITIES AND CAPITAL MARKETS (INDIA) PRIVATE LIMITED</t>
  </si>
  <si>
    <t>INH000001287</t>
  </si>
  <si>
    <t>JITENDRA SRIRAM</t>
  </si>
  <si>
    <t>52/60 MAHATMA GANDHI ROAD, FORT</t>
  </si>
  <si>
    <t>jitendrasriram@hsbc.co.in</t>
  </si>
  <si>
    <t>02222681271</t>
  </si>
  <si>
    <t>52/60 Mahatma Gandhi Road, Fort</t>
  </si>
  <si>
    <t>Aug 07, 2015</t>
  </si>
  <si>
    <t>hsbc.co.in</t>
  </si>
  <si>
    <t>DOMAIN::hsbc.co.in</t>
  </si>
  <si>
    <t>ICICI Investment Management Company Ltd</t>
  </si>
  <si>
    <t>INA000013785</t>
  </si>
  <si>
    <t>Preksha Kedia</t>
  </si>
  <si>
    <t>ICICI Investment Management Company Ltd, ICICI Bank Towers Bandra-Kurla Complex Mumbai</t>
  </si>
  <si>
    <t>preksha.kedia@iciciinvestments.com</t>
  </si>
  <si>
    <t>919004418633</t>
  </si>
  <si>
    <t>Aug 14, 2019</t>
  </si>
  <si>
    <t>iciciinvestments.com</t>
  </si>
  <si>
    <t>DOMAIN::iciciinvestments.com</t>
  </si>
  <si>
    <t>ICICI PRUDENTIAL ASSET MANAGEMENT COMPANY LTD.</t>
  </si>
  <si>
    <t>INP000000373</t>
  </si>
  <si>
    <t>Rakesh Shetty</t>
  </si>
  <si>
    <t>12TH FLOOR, NARAIN MANZIL, 23, BARAKHAMBA ROAD,</t>
  </si>
  <si>
    <t>rakesh_shetty@icicipruamc.com</t>
  </si>
  <si>
    <t>00002242090579</t>
  </si>
  <si>
    <t>2nd Floor, Block B 2, Nirlon Knowledge Park, Off Western Express Highway, Goregaon East</t>
  </si>
  <si>
    <t>icicipruamc.com</t>
  </si>
  <si>
    <t>DOMAIN::icicipruamc.com</t>
  </si>
  <si>
    <t>ICICI SECURITIES LIMITED</t>
  </si>
  <si>
    <t>INA000000094</t>
  </si>
  <si>
    <t>Nirav Shah</t>
  </si>
  <si>
    <t>ICICI VENTURE HOUSE, APPASAHEB MARATHE MARG, PRABHADEVI</t>
  </si>
  <si>
    <t>nirav.shah@icicisecurities.com</t>
  </si>
  <si>
    <t>91009167997629</t>
  </si>
  <si>
    <t>ICICI Centre, H.T.Parekh Marg, Near Juinagar Railway Station</t>
  </si>
  <si>
    <t>Aug 05, 2013</t>
  </si>
  <si>
    <t>icicisecurities.com</t>
  </si>
  <si>
    <t>DOMAIN::icicisecurities.com</t>
  </si>
  <si>
    <t>ICICI SECURITIES LIMITED.</t>
  </si>
  <si>
    <t>INH000000990</t>
  </si>
  <si>
    <t>MR. ATUL AGRAWAL</t>
  </si>
  <si>
    <t>Atul.agrawas@icicisecurities.com</t>
  </si>
  <si>
    <t>022 40701105</t>
  </si>
  <si>
    <t>Shree Sawan Knowledge Park,Plot No. D-507, TTC Industrial Area,Near Juinagar Railway Station,</t>
  </si>
  <si>
    <t>ICICI Venture Funds Management Company Limited</t>
  </si>
  <si>
    <t>INP000008604</t>
  </si>
  <si>
    <t>Deepti  Paliwal</t>
  </si>
  <si>
    <t>ICICI Venture House, Ground floor, , Appasaheb Marathe Marg, Prabhadevi,</t>
  </si>
  <si>
    <t>deepti.paliwal@iciciventure.com</t>
  </si>
  <si>
    <t>910222233667777</t>
  </si>
  <si>
    <t>Co. Legal and Compliance Department, ICICI Venture House, , Ground floor, Appasaheb Marathe Marg, Prabhadevi,</t>
  </si>
  <si>
    <t>iciciventure.com</t>
  </si>
  <si>
    <t>DOMAIN::iciciventure.com</t>
  </si>
  <si>
    <t>IDBI CAPITAL MARKET SERVICES LTD</t>
  </si>
  <si>
    <t>INP000000209</t>
  </si>
  <si>
    <t>Christina Fernandes</t>
  </si>
  <si>
    <t>3rd Floor, Mafatlal Centre, ,  NARIMAN  POINT,</t>
  </si>
  <si>
    <t>43221212</t>
  </si>
  <si>
    <t>5th Floor, Mafatlal centre,</t>
  </si>
  <si>
    <t>NAME::IDBI CAPITAL MARKET SERVICES LTD</t>
  </si>
  <si>
    <t>IDBI Capital Markets &amp; Securities Limited</t>
  </si>
  <si>
    <t>INA000011802</t>
  </si>
  <si>
    <t>Christina Dsouza</t>
  </si>
  <si>
    <t>3rd Floor, Mafatlal Centre, Nariman Point</t>
  </si>
  <si>
    <t>christina.dsouza@idbicapital.com</t>
  </si>
  <si>
    <t>idbicapital.com</t>
  </si>
  <si>
    <t>DOMAIN::idbicapital.com</t>
  </si>
  <si>
    <t>IDBI Capital Markets and Securities Ltd</t>
  </si>
  <si>
    <t>INH000002459</t>
  </si>
  <si>
    <t>Pushkar Vartak</t>
  </si>
  <si>
    <t>6th FLOOR, IDBI Tower, WTC, Cuffe Parade</t>
  </si>
  <si>
    <t>compliance@idbicapital.com</t>
  </si>
  <si>
    <t>9102222171700</t>
  </si>
  <si>
    <t>6th Floor, IDBI TOWER, WTC, CUFFEPARADE</t>
  </si>
  <si>
    <t>Dec 16, 2015</t>
  </si>
  <si>
    <t>IIFL Capital Asset Management Limited</t>
  </si>
  <si>
    <t>INA000019956</t>
  </si>
  <si>
    <t>Prashant Parmar</t>
  </si>
  <si>
    <t>Gr Flr 01 Hubtown Solaris, Saiwadi, N S Phadke Road, Andheri East</t>
  </si>
  <si>
    <t>prashant.parmar6@iiflcapital.com</t>
  </si>
  <si>
    <t>00919029240089</t>
  </si>
  <si>
    <t>iiflcapital.com</t>
  </si>
  <si>
    <t>DOMAIN::iiflcapital.com</t>
  </si>
  <si>
    <t>INP000009445</t>
  </si>
  <si>
    <t>Gr flr 01 Hubtown Solaries Saiwadi N S Phadke Road, Andheri East Mumbai</t>
  </si>
  <si>
    <t>prashant.parmar@iiflcapital.com</t>
  </si>
  <si>
    <t>91002261086300</t>
  </si>
  <si>
    <t>IIFL Capital Services Limited</t>
  </si>
  <si>
    <t>INH000000248</t>
  </si>
  <si>
    <t>Pawan Kumar Jain</t>
  </si>
  <si>
    <t>IIFL HOUSE, SUN INFOTECH PARK,ROAD NO. 16V, PLOT NO.B-23,, THANE INDUSTRIAL AREA,WAGLE ESTATE</t>
  </si>
  <si>
    <t>pawan.jain@iiflcap.com</t>
  </si>
  <si>
    <t>02224646427</t>
  </si>
  <si>
    <t>IIFL Centre, B Wing, Trade Centre,Kamala Mills Compund, Off Senapati Bapat Marg,Lower Parel</t>
  </si>
  <si>
    <t>iiflcap.com</t>
  </si>
  <si>
    <t>DOMAIN::iiflcap.com</t>
  </si>
  <si>
    <t>INDIABULLS SECURITIES LIMITED</t>
  </si>
  <si>
    <t>INH000022358</t>
  </si>
  <si>
    <t>Sangeeta Dahiya</t>
  </si>
  <si>
    <t>A-2, First Floor, Kirti Nagar</t>
  </si>
  <si>
    <t>sandahiya@dhani.com</t>
  </si>
  <si>
    <t>911246685970</t>
  </si>
  <si>
    <t>Plot no 108 5th Floor IT Park, Udyog Vihar Phase I</t>
  </si>
  <si>
    <t>dhani.com</t>
  </si>
  <si>
    <t>DOMAIN::dhani.com</t>
  </si>
  <si>
    <t>INVESTEC CAPITAL SERVICES (INDIA) PRIVATE LIMITED</t>
  </si>
  <si>
    <t>INH000000263</t>
  </si>
  <si>
    <t>MS. INDU SINGH</t>
  </si>
  <si>
    <t>1103/1104, Parinee Cresenzo, Bandra Kurla Complex, BANDRA KURLA COMPLEX, BANDRA -EAST</t>
  </si>
  <si>
    <t>Indu.Singh@investec.co.in</t>
  </si>
  <si>
    <t>2261367401</t>
  </si>
  <si>
    <t>Unit no ? 902, 9th Floor, THE CAPITAL, Plot no C-70, G Block, Bandra Kurla Complex, Bandra (East)</t>
  </si>
  <si>
    <t>Mar 30, 2015</t>
  </si>
  <si>
    <t>investec.co.in</t>
  </si>
  <si>
    <t>DOMAIN::investec.co.in</t>
  </si>
  <si>
    <t>IndusInd Securities Limited</t>
  </si>
  <si>
    <t>INH000002384</t>
  </si>
  <si>
    <t>Akshay Narkar</t>
  </si>
  <si>
    <t>11th Floor, R-Tech IT Park, Western Express Highway, Goregaon ( East)</t>
  </si>
  <si>
    <t>compliance@indusindmoney.com</t>
  </si>
  <si>
    <t>0919320188213</t>
  </si>
  <si>
    <t>indusindmoney.com</t>
  </si>
  <si>
    <t>DOMAIN::indusindmoney.com</t>
  </si>
  <si>
    <t>JM FINANCIAL INSTITUTIONAL SECURITIES LIMITED</t>
  </si>
  <si>
    <t>INH000000610</t>
  </si>
  <si>
    <t>SUNNY SHAH</t>
  </si>
  <si>
    <t>7TH FLOOR, CNERGY, APPASAHEB MARATHE MARG, PRABHADEVI</t>
  </si>
  <si>
    <t>sunny.shah@jmfl.com</t>
  </si>
  <si>
    <t>912266303383</t>
  </si>
  <si>
    <t>Jun 15, 2015</t>
  </si>
  <si>
    <t>jmfl.com</t>
  </si>
  <si>
    <t>DOMAIN::jmfl.com</t>
  </si>
  <si>
    <t>JM FINANCIAL SERVICES LIMITED</t>
  </si>
  <si>
    <t>INA000012351</t>
  </si>
  <si>
    <t>Amar Agarwal</t>
  </si>
  <si>
    <t>7th Floor, Cnergy, Appasaheb Marathe Marg, Prabhadevi</t>
  </si>
  <si>
    <t>compliance.jmfs@jmfl.com</t>
  </si>
  <si>
    <t>912266303030</t>
  </si>
  <si>
    <t>5th Floor, Cnergy, Appasaheb Marathe Marg, Prabhadevi</t>
  </si>
  <si>
    <t>INH000001196</t>
  </si>
  <si>
    <t>AMAR  AGRAWAL</t>
  </si>
  <si>
    <t>7TH FLOOR, CNERGY, APPASAHEB MARATHE MARG, PRABHADEVI, MUMBAI</t>
  </si>
  <si>
    <t>91522660303</t>
  </si>
  <si>
    <t>Jul 31, 2015</t>
  </si>
  <si>
    <t>JM Financial Asset Management Limited</t>
  </si>
  <si>
    <t>INP000009719</t>
  </si>
  <si>
    <t>Mrituanjay  Singh</t>
  </si>
  <si>
    <t>7th Floor Cnergy, Appasaheb Marathe Marg, Prabhadevi, Mumbai 400025</t>
  </si>
  <si>
    <t>mrituanjay.singh@jmfl.com</t>
  </si>
  <si>
    <t>9102261987777</t>
  </si>
  <si>
    <t>Office B, 8th Floor Cnergy, Appasaheb Marathe Marg, Prabhadevi, Mumbai 400025.</t>
  </si>
  <si>
    <t>JM Financial Limited</t>
  </si>
  <si>
    <t>INP000008455</t>
  </si>
  <si>
    <t>AKSHAY VORA</t>
  </si>
  <si>
    <t>7th Floor, Cnergy, Appasaheb Marathe Marg,  Prabhadevi,</t>
  </si>
  <si>
    <t>AKSHAY.VORA@JMFL.COM</t>
  </si>
  <si>
    <t>9122266303030</t>
  </si>
  <si>
    <t>5th Floor, Cnergy, Appasaheb Marathe Marg</t>
  </si>
  <si>
    <t>KARVY CAPITAL LIMITED</t>
  </si>
  <si>
    <t>INP000004524</t>
  </si>
  <si>
    <t>Mr. Rakesh Asawa</t>
  </si>
  <si>
    <t>101 and 201 1st and 2nd Floor Gujrals Plot No 167, CST Road Kalina Santacruz East</t>
  </si>
  <si>
    <t>022 6149 1605</t>
  </si>
  <si>
    <t>702, Hallmark Business Plaza, Sant Dnyaneshwar Marg, Off. Bandra Kurla Complex</t>
  </si>
  <si>
    <t>Jun 10, 2017</t>
  </si>
  <si>
    <t>NAME::KARVY CAPITAL LIMITED</t>
  </si>
  <si>
    <t>KOTAK MAHINDRA ASSET MANAGEMENT COMPANY LTD</t>
  </si>
  <si>
    <t>INP000000837</t>
  </si>
  <si>
    <t>SANDEEP KAMATH</t>
  </si>
  <si>
    <t>36 - 38A Nariman Bhavan, 227, NARIMAN POINT,</t>
  </si>
  <si>
    <t>02266056940</t>
  </si>
  <si>
    <t>5A, 5TH FLOOR, BAKHTAWAR, 229, NARIMAN POINT,</t>
  </si>
  <si>
    <t>NAME::KOTAK MAHINDRA ASSET MANAGEMENT COMPANY LTD</t>
  </si>
  <si>
    <t>KOTAK SECURITIES LIMITED</t>
  </si>
  <si>
    <t>INH000000586</t>
  </si>
  <si>
    <t>MANOJ AGARWAL</t>
  </si>
  <si>
    <t>27 BKC, C27, G BLOCK, BANDRA KURLA COMPLEX,, BANDRA EAST</t>
  </si>
  <si>
    <t>manoj.agarwal@kotak.com</t>
  </si>
  <si>
    <t>2242858214</t>
  </si>
  <si>
    <t>8th Floor, Kotak infinity, Bldg No. 21, Infinity Park, Off Eastern Express Highway, Gen A. K Vaidya Marg,</t>
  </si>
  <si>
    <t>Jun 09, 2015</t>
  </si>
  <si>
    <t>kotak.com</t>
  </si>
  <si>
    <t>DOMAIN::kotak.com</t>
  </si>
  <si>
    <t>KOTAK SECURITIES LTD</t>
  </si>
  <si>
    <t>INP000000258</t>
  </si>
  <si>
    <t>MR. SANDEEP CHORDIA</t>
  </si>
  <si>
    <t>BAKHTAWAR, 1ST FLOOR, 229 NARIMAN POINT</t>
  </si>
  <si>
    <t>02266056205</t>
  </si>
  <si>
    <t>KOTAK INFINITY, BUILDING NO 21, 6TH FLOOR, INFINITY PARK, OFF WESTERN EXPRESS HIGHWAY, GENERAL A K VAIDYA MARG ,MALAD (E)</t>
  </si>
  <si>
    <t>NAME::KOTAK SECURITIES LTD</t>
  </si>
  <si>
    <t>Kotak Alternate Asset Managers Limited</t>
  </si>
  <si>
    <t>INA000012519</t>
  </si>
  <si>
    <t>Sanjay Mitra</t>
  </si>
  <si>
    <t>27BKC, 7th Floor, Plot No. C-27, G Block, Bandra Kurla Complex, Bandra East</t>
  </si>
  <si>
    <t>sanjay.mitra@kotak.com</t>
  </si>
  <si>
    <t>912243360000</t>
  </si>
  <si>
    <t>MACQUARIE CAPITAL SECURITIES (INDIA) PVT. LTD.</t>
  </si>
  <si>
    <t>INH000000545</t>
  </si>
  <si>
    <t>Gitanjali  Mehta Chugh</t>
  </si>
  <si>
    <t>92, LEVEL 9, 2 NORTH AVENUE, MAKER MAXITY,, BANDRA KURLA COMPLEX,</t>
  </si>
  <si>
    <t>Gitanjali.mehta@macquarie.com</t>
  </si>
  <si>
    <t>02267204000</t>
  </si>
  <si>
    <t>92, Level 9, 2 North Avenue, Maker Maxity, Bandra Kurla Complex,</t>
  </si>
  <si>
    <t>Jun 04, 2015</t>
  </si>
  <si>
    <t>macquarie.com</t>
  </si>
  <si>
    <t>DOMAIN::macquarie.com</t>
  </si>
  <si>
    <t>MIRAE ASSET CAPITAL MARKETS INDIA PRIVATE LIMITED</t>
  </si>
  <si>
    <t>INH000007526</t>
  </si>
  <si>
    <t>Gajanan Parkar</t>
  </si>
  <si>
    <t>1st Floor Tower 4, Equinox Business Park, LBS Marg, Off BKC, Kurla West, Mumbai</t>
  </si>
  <si>
    <t>macm.compliance@miraeassetcm.com</t>
  </si>
  <si>
    <t>918169626581</t>
  </si>
  <si>
    <t>1st Floor, Tower 4, Equinox Business Park, LBS Marg, Off BKC, Kurla (West)</t>
  </si>
  <si>
    <t>miraeassetcm.com</t>
  </si>
  <si>
    <t>DOMAIN::miraeassetcm.com</t>
  </si>
  <si>
    <t>MIRAE ASSET INVESTMENT MANAGERS INDIA PRIVATE LIMITED</t>
  </si>
  <si>
    <t>INP000009409</t>
  </si>
  <si>
    <t>PAYAL SUTHAR</t>
  </si>
  <si>
    <t>UNIT 606 6TH FLOOR WINDSR BLDG, OFF CST ROAD KALINA SANTACRUZ EAST</t>
  </si>
  <si>
    <t>Compliance@miraeassetmf.co.in</t>
  </si>
  <si>
    <t>9102267800300</t>
  </si>
  <si>
    <t>Apr 25, 2025</t>
  </si>
  <si>
    <t>miraeassetmf.co.in</t>
  </si>
  <si>
    <t>DOMAIN::miraeassetmf.co.in</t>
  </si>
  <si>
    <t>MORGAN STANLEY INDIA COMPANY PRIVATE LIMITED</t>
  </si>
  <si>
    <t>INH000001105</t>
  </si>
  <si>
    <t>ANIL RAJPUT</t>
  </si>
  <si>
    <t>Altimus, Level 39,40, PandurangBudhkarMarg,Worli,</t>
  </si>
  <si>
    <t>iniedcompl@morganstanley.com</t>
  </si>
  <si>
    <t>022 6118 1507</t>
  </si>
  <si>
    <t>morganstanley.com</t>
  </si>
  <si>
    <t>DOMAIN::morganstanley.com</t>
  </si>
  <si>
    <t>MOTILAL OSWAL WEALTH LIMITED</t>
  </si>
  <si>
    <t>INA000021094</t>
  </si>
  <si>
    <t>Motilal Oswal Tower, Rahimtullah Sayani Road, Opp. Parel ST Depot, Prabhadevi</t>
  </si>
  <si>
    <t>Vivek.Gupta@motilaloswal.com</t>
  </si>
  <si>
    <t>00919819198683</t>
  </si>
  <si>
    <t>INP000004409</t>
  </si>
  <si>
    <t>parag telang</t>
  </si>
  <si>
    <t>Motilal Oswal Tower, Rahimtullah Sayani Road, Opp. Parel ST Depot,, Prabhadevi, Mumbai</t>
  </si>
  <si>
    <t>39804228</t>
  </si>
  <si>
    <t>Palm Spring Centre, 2nd Floor, Palm Court, Link Road, Malad West, Mumbai</t>
  </si>
  <si>
    <t>Nov 29, 2015</t>
  </si>
  <si>
    <t>NAME::MOTILAL OSWAL WEALTH LIMITED</t>
  </si>
  <si>
    <t>Motilal Oswal Financial Services Limited</t>
  </si>
  <si>
    <t>INH000000412</t>
  </si>
  <si>
    <t>NEERAJ AGARWAL</t>
  </si>
  <si>
    <t>MOTILAL OSWAL TOWER,RAHIMTULLAH SAYANI ROAD,, OPPOSITE PAREL ST DEPOT,</t>
  </si>
  <si>
    <t>neeraj.agarwal@motilaloswal.com</t>
  </si>
  <si>
    <t>2230801636</t>
  </si>
  <si>
    <t>Motilal Oswal Tower,Rahimtullah Sayani Road, Opposite Parel ST Depot,</t>
  </si>
  <si>
    <t>NOMURA FINANCIAL ADVISORY AND SECURITIES (INDIA) PRIVATE LIMITED</t>
  </si>
  <si>
    <t>INH000001014</t>
  </si>
  <si>
    <t>JYOTI VINEET TANDON</t>
  </si>
  <si>
    <t>CEEJAY HOUSE, LEVEL-11,, DR. ANNIE BESANT ROAD, WORLI,</t>
  </si>
  <si>
    <t>Jyoti.Tandon@nomura.com</t>
  </si>
  <si>
    <t>022 40374901</t>
  </si>
  <si>
    <t>Ceejay House, Level-11, Dr. Annie Besant Road, Worli,</t>
  </si>
  <si>
    <t>nomura.com</t>
  </si>
  <si>
    <t>DOMAIN::nomura.com</t>
  </si>
  <si>
    <t>NUVAMA ASSET MANAGEMENT LIMITED</t>
  </si>
  <si>
    <t>INP000007207</t>
  </si>
  <si>
    <t>Pinky Dutta</t>
  </si>
  <si>
    <t>801- 804, Wing A, Building No. 3, Inspire BKC, G Block, Bandra Kurla Complex,</t>
  </si>
  <si>
    <t>NAML.compliance@nuvama.com</t>
  </si>
  <si>
    <t>91222240094400</t>
  </si>
  <si>
    <t>May 04, 2021</t>
  </si>
  <si>
    <t>nuvama.com</t>
  </si>
  <si>
    <t>DOMAIN::nuvama.com</t>
  </si>
  <si>
    <t>NUVAMA WEALTH MANAGEMENT LIMITED</t>
  </si>
  <si>
    <t>INH000011316</t>
  </si>
  <si>
    <t>Abhijit Talekar</t>
  </si>
  <si>
    <t>801 to 804 Wing A Building No 3, Inspire BKC G Block BKC</t>
  </si>
  <si>
    <t>researchcompliance@nuvama.com</t>
  </si>
  <si>
    <t>09190045104</t>
  </si>
  <si>
    <t>Jan 27, 2023</t>
  </si>
  <si>
    <t>Nippon Life India AIF Management Limited</t>
  </si>
  <si>
    <t>INP000008242</t>
  </si>
  <si>
    <t>Shruti Parekh</t>
  </si>
  <si>
    <t>20th Floor, 2001, Tower A, Peninsula Business Park, Ganapatrao Kadam Marg, Lower Parel</t>
  </si>
  <si>
    <t>Shruti.Parekh@nipponindiaim.com</t>
  </si>
  <si>
    <t>910229199878621</t>
  </si>
  <si>
    <t>Aug 21, 2023</t>
  </si>
  <si>
    <t>nipponindiaim.com</t>
  </si>
  <si>
    <t>DOMAIN::nipponindiaim.com</t>
  </si>
  <si>
    <t>Nippon Life India Asset Management Limited</t>
  </si>
  <si>
    <t>INP000007085</t>
  </si>
  <si>
    <t>Muneesh  Sud</t>
  </si>
  <si>
    <t>30th Floor, One Lodha Place, Senapati Bapat Marg, Lower Parel,</t>
  </si>
  <si>
    <t>compliance@nipponindiaim.com</t>
  </si>
  <si>
    <t>9102268087000</t>
  </si>
  <si>
    <t>20th Floor, 2001, Tower A, Peninsula Business Park, Ganpatrao Kadam, Marg, Lower Parel,</t>
  </si>
  <si>
    <t>Nuvama Trusteeship Company Limited</t>
  </si>
  <si>
    <t>INA000022154</t>
  </si>
  <si>
    <t>Ashis Sarangi</t>
  </si>
  <si>
    <t>8th Floor, 801 804, Wing A, Building No. 3, Inspire BKC,, G Block, Bandra Kurla Complex, Bandra East,</t>
  </si>
  <si>
    <t>ashis.sarangi@nuvama.com</t>
  </si>
  <si>
    <t>00919739002742</t>
  </si>
  <si>
    <t>Nuvama Wealth Management Limited</t>
  </si>
  <si>
    <t>INA000018364</t>
  </si>
  <si>
    <t>801- 804, Wing A, Building No. 3,, Inspire BKC, G Block, Bandra Kurla Complex, Bandra East</t>
  </si>
  <si>
    <t>91229004510449</t>
  </si>
  <si>
    <t>801- 804, Wing A, Building No. 3, Inspire BKC, G Block, Bandra Kurla Complex, Bandra East</t>
  </si>
  <si>
    <t>Nuvama Wealth and Investment Limited</t>
  </si>
  <si>
    <t>INH000011103</t>
  </si>
  <si>
    <t>Namita Godbole</t>
  </si>
  <si>
    <t>801 to 804, Wing A, Building No. 3, Inspire BKC,, G Block, Bandra Kurla Complex, Bandra East,</t>
  </si>
  <si>
    <t>complianceofficer.nwil@nuvama.com</t>
  </si>
  <si>
    <t>09198205849</t>
  </si>
  <si>
    <t>Eight Floor 801 to 804, Inspire BKC G Block, BKC Main Road, Bandra Kurla Complex, Bandra East</t>
  </si>
  <si>
    <t>Dec 16, 2022</t>
  </si>
  <si>
    <t>Nuvama and Cushman &amp; Wakefield Management Private Limited</t>
  </si>
  <si>
    <t>INP000009737</t>
  </si>
  <si>
    <t>Nishad Manjrekar</t>
  </si>
  <si>
    <t>801, 804, Wing A, Building No. 3, Inspire BKC, G Block, Bandra Kurla Complex, Bandra East, Mumbai</t>
  </si>
  <si>
    <t>Nishad.Manjrekar@nuvama.com</t>
  </si>
  <si>
    <t>9102266203030</t>
  </si>
  <si>
    <t>Paytm Money Limited</t>
  </si>
  <si>
    <t>INH000020086</t>
  </si>
  <si>
    <t>Neeraj Gogai</t>
  </si>
  <si>
    <t>136, 1st Floor, Devika Tower, Nehru Place</t>
  </si>
  <si>
    <t>neeraj.gogoi@paytmmoney.com</t>
  </si>
  <si>
    <t>91091679169</t>
  </si>
  <si>
    <t>The Hub, 8 2, Sarjapur Main Road</t>
  </si>
  <si>
    <t>paytmmoney.com</t>
  </si>
  <si>
    <t>DOMAIN::paytmmoney.com</t>
  </si>
  <si>
    <t>PhonePe Wealth Broking Private Limited</t>
  </si>
  <si>
    <t>INH000013387</t>
  </si>
  <si>
    <t>Vikram  Jain</t>
  </si>
  <si>
    <t>Office 2, Floor 3, Wing A, Block A, Salarpuria Softzone, Bellandur, Varthur Hobli, Outer Ring Road, Bangalore, Bangalore South</t>
  </si>
  <si>
    <t>vikram.jain@phonepe.com</t>
  </si>
  <si>
    <t>Office -2, No. 80/1, 81/1 and 81/2, Floor 3, 4, 5, 6, 7, Wing A, Block A Salarpuria Softzone, Servic</t>
  </si>
  <si>
    <t>phonepe.com</t>
  </si>
  <si>
    <t>DOMAIN::phonepe.com</t>
  </si>
  <si>
    <t>Prabhudas Lilladher Private Limited</t>
  </si>
  <si>
    <t>INA000018267</t>
  </si>
  <si>
    <t>Roshan Jagannath Jamdare</t>
  </si>
  <si>
    <t>3rd Floor, Sadhana House, 570,, PB Marg, Worli, Mumbai</t>
  </si>
  <si>
    <t>Co@plindia.com</t>
  </si>
  <si>
    <t>917208879830</t>
  </si>
  <si>
    <t>3rd Floor, Sadhana House, 570, PB Marg, Worli, Mumbai</t>
  </si>
  <si>
    <t>INP000008279</t>
  </si>
  <si>
    <t>Snehal Kathrani</t>
  </si>
  <si>
    <t>3rd Floor, Sadhana House, 570, P.B. Marg, Behind Mahindra Towers, Worli</t>
  </si>
  <si>
    <t>snehalkathrani@plindia.com</t>
  </si>
  <si>
    <t>9102266322420</t>
  </si>
  <si>
    <t>INH000000271</t>
  </si>
  <si>
    <t>Roshan Jamdare</t>
  </si>
  <si>
    <t>3rd Floor, Sadhana House , 570, P.B. Marg, Worli</t>
  </si>
  <si>
    <t>RELIANCE WEALTH MANAGEMENT LIMITED</t>
  </si>
  <si>
    <t>INP000002353</t>
  </si>
  <si>
    <t>Chinmoy Das</t>
  </si>
  <si>
    <t>Reliance Centre, 4th floor, North Wing,, Off. Western Express Highway, Santacruz (East)</t>
  </si>
  <si>
    <t>022  3320 1212</t>
  </si>
  <si>
    <t>11th Floor, R Tech IT Park, Western Express Highway, Goregaon (E)</t>
  </si>
  <si>
    <t>Oct 16, 2016</t>
  </si>
  <si>
    <t>NAME::RELIANCE WEALTH MANAGEMENT LIMITED</t>
  </si>
  <si>
    <t>Religare Broking Limited</t>
  </si>
  <si>
    <t>INH100006977</t>
  </si>
  <si>
    <t>Neha Grover</t>
  </si>
  <si>
    <t>802 -815B, 8th Floor, Gopal Das Bhawan, , 28-Barakhamba Road, Connaught Place,</t>
  </si>
  <si>
    <t>compliance@religare.com</t>
  </si>
  <si>
    <t>0917428369292</t>
  </si>
  <si>
    <t>2nd Floor, A-3, 4, 5, , Club 125, Sector - 125,</t>
  </si>
  <si>
    <t>Mar 29, 2019</t>
  </si>
  <si>
    <t>religare.com</t>
  </si>
  <si>
    <t>DOMAIN::religare.com</t>
  </si>
  <si>
    <t>SBI CAPITAL MARKETS LIMITED</t>
  </si>
  <si>
    <t>INH000007429</t>
  </si>
  <si>
    <t>BHASKAR  CHAKRABORTY</t>
  </si>
  <si>
    <t>1501, 15th Floor, A and B Wing, Parinee Crescenzo Building , G Block, Bandra Kurla Complex, Bandra East</t>
  </si>
  <si>
    <t>bhaskar.chakraborty@sbicaps.com</t>
  </si>
  <si>
    <t>Oct 14, 2019</t>
  </si>
  <si>
    <t>sbicaps.com</t>
  </si>
  <si>
    <t>DOMAIN::sbicaps.com</t>
  </si>
  <si>
    <t>SBI FUNDS MANAGEMENT LIMITED</t>
  </si>
  <si>
    <t>INP000000852</t>
  </si>
  <si>
    <t>Vinaya Datar</t>
  </si>
  <si>
    <t>9th floor, Crescenzo, C 38 and 39, G Block, Bandra Kurla Complex, Bandra East</t>
  </si>
  <si>
    <t>022 61793091</t>
  </si>
  <si>
    <t>Jan 16, 2004</t>
  </si>
  <si>
    <t>NAME::SBI FUNDS MANAGEMENT LIMITED</t>
  </si>
  <si>
    <t>SBICAP SECURITIES LIMITED</t>
  </si>
  <si>
    <t>INH000000602</t>
  </si>
  <si>
    <t>Srijith Menon</t>
  </si>
  <si>
    <t>191, MAKER TOWER, ?F?, CUFFE PARADE</t>
  </si>
  <si>
    <t>Compliancecorporate@sbicapsec.com</t>
  </si>
  <si>
    <t>009188796759</t>
  </si>
  <si>
    <t>Mafatlal Chambers, 2nd Floor, N.M. Joshi Marg, Lower Parel,</t>
  </si>
  <si>
    <t>sbicapsec.com</t>
  </si>
  <si>
    <t>DOMAIN::sbicapsec.com</t>
  </si>
  <si>
    <t>STANDARD CHARTERED BANK</t>
  </si>
  <si>
    <t>INH000002814</t>
  </si>
  <si>
    <t>Ashutosh Sharma</t>
  </si>
  <si>
    <t>CRESCENZO, 7TH FLOOR,PLOT NO. C-38 &amp; 39,, G- BLOCK, BANDRA KURLA COMPLEX,</t>
  </si>
  <si>
    <t>Scb_sebicompliance@sc.com</t>
  </si>
  <si>
    <t>919920940972</t>
  </si>
  <si>
    <t>Crescenzo, 7th Floor,Plot no. C-38 &amp; 39, G- Block, Bandra Kurla Complex,</t>
  </si>
  <si>
    <t>sc.com</t>
  </si>
  <si>
    <t>DOMAIN::sc.com</t>
  </si>
  <si>
    <t>STANDARD CHARTERED SECURITIES (INDIA) LTD</t>
  </si>
  <si>
    <t>INH000000966</t>
  </si>
  <si>
    <t>JOGINDER SINGH</t>
  </si>
  <si>
    <t>2ND FLOOR, 23-25 M.G. ROAD,, FORT,</t>
  </si>
  <si>
    <t>joginder.singh@sc.com</t>
  </si>
  <si>
    <t>022 61355934</t>
  </si>
  <si>
    <t>2nd Floor, 23-25 M.G. Road, Fort,</t>
  </si>
  <si>
    <t>Sharekhan Limited</t>
  </si>
  <si>
    <t>INP000005786</t>
  </si>
  <si>
    <t>Joby Meledan</t>
  </si>
  <si>
    <t>1st Floor, Tower 3, Equinox Business Park,, LBS Marg, Off BKC , Kurla (west)</t>
  </si>
  <si>
    <t>joby@sharekhan.com</t>
  </si>
  <si>
    <t>02202261169000</t>
  </si>
  <si>
    <t>10th Floor Gigaplex Bldg No 9 Raheja Mindspace, Airoli Knowledge Park Rd MSEB Staf Colony TTC Industrial Area Airoli Navi Mumbai</t>
  </si>
  <si>
    <t>sharekhan.com</t>
  </si>
  <si>
    <t>DOMAIN::sharekhan.com</t>
  </si>
  <si>
    <t>INH000006183</t>
  </si>
  <si>
    <t>The Ruby, 18th Floor, , 29 Senapati Bapat Marg,</t>
  </si>
  <si>
    <t>9102262263303</t>
  </si>
  <si>
    <t>Standard Chartered Securities India Limited</t>
  </si>
  <si>
    <t>INA000014580</t>
  </si>
  <si>
    <t>Julie  Badani</t>
  </si>
  <si>
    <t>2nd Floor, 23-25 M. G. Road, Fort</t>
  </si>
  <si>
    <t>julie.badani@sc.com</t>
  </si>
  <si>
    <t>Mar 17, 2020</t>
  </si>
  <si>
    <t>TATA SECURITIES LIMITED</t>
  </si>
  <si>
    <t>INH000002053</t>
  </si>
  <si>
    <t>BINEET JHA</t>
  </si>
  <si>
    <t>11th Floor Tower A Peninsula Business Park, Ganpatrao Kadam Marg Lower Parel</t>
  </si>
  <si>
    <t>bineet.jha@tatacapital.com</t>
  </si>
  <si>
    <t>2261827831</t>
  </si>
  <si>
    <t>Matulya Centre A, Senapati Bapat Marg, Empire Complex, Lower Parel</t>
  </si>
  <si>
    <t>tatacapital.com</t>
  </si>
  <si>
    <t>DOMAIN::tatacapital.com</t>
  </si>
  <si>
    <t>THE HONGKONG AND SHANGHAI BANKING CORPOR</t>
  </si>
  <si>
    <t>INP000000795</t>
  </si>
  <si>
    <t>JASMINE BATLIWALLA</t>
  </si>
  <si>
    <t>INDIA AREA MANAGEMENT, 52/60 MAHATMA GANDHI  ROAD,, FORT</t>
  </si>
  <si>
    <t>2268 1068</t>
  </si>
  <si>
    <t>PRIVATE BANKING, 52/60 MAHATMA GANDHI  ROAD, FORT,</t>
  </si>
  <si>
    <t>May 01, 2015</t>
  </si>
  <si>
    <t>NAME::THE HONGKONG AND SHANGHAI BANKING CORPOR</t>
  </si>
  <si>
    <t>Tata Asset Management Private Limited</t>
  </si>
  <si>
    <t>INP000001058</t>
  </si>
  <si>
    <t>1903 B Wing Parinee Crescenzo G Block, BKC, Bandra East,</t>
  </si>
  <si>
    <t>912266578222</t>
  </si>
  <si>
    <t>Mafatlal Centre 9th Floor, Nariman Point</t>
  </si>
  <si>
    <t>NAME::TATA ASSET MANAGEMENT PRIVATE LIMITED</t>
  </si>
  <si>
    <t>UBS SECURITIES INDIA PRIVATE LIMITED</t>
  </si>
  <si>
    <t>INH000001204</t>
  </si>
  <si>
    <t>Parameshwaran Shivaramakrishnan</t>
  </si>
  <si>
    <t>2 byF, 3 NORTH AVENUE, MAKER MAXITY, BANDRA KURLA COMPLEX, BANDRA East</t>
  </si>
  <si>
    <t>ol-ubs-sec-compliance@ubs.com</t>
  </si>
  <si>
    <t>002261556183</t>
  </si>
  <si>
    <t>ubs.com</t>
  </si>
  <si>
    <t>DOMAIN::ubs.com</t>
  </si>
  <si>
    <t>UPSTOX SECURITIES PRIVATE LIMITED</t>
  </si>
  <si>
    <t>INA000020484</t>
  </si>
  <si>
    <t>Vibhuti  Harsh</t>
  </si>
  <si>
    <t>809, New Delhi House, Barakhamba Road, Connaught Place, Delhi Central, Delhi</t>
  </si>
  <si>
    <t>legal@rksv.in</t>
  </si>
  <si>
    <t>00919833048891</t>
  </si>
  <si>
    <t>30th Floor, Sunshine Towers, Senapati Bapat Marg, Dadar West, Mumbai</t>
  </si>
  <si>
    <t>rksv.in</t>
  </si>
  <si>
    <t>DOMAIN::rksv.in</t>
  </si>
  <si>
    <t>UTI Alternatives Private Limited</t>
  </si>
  <si>
    <t>INP000007526</t>
  </si>
  <si>
    <t>Ayushi Mittal</t>
  </si>
  <si>
    <t>UTI Tower, GN Block, Bandra Kurla Complex, Bandra East</t>
  </si>
  <si>
    <t>ayushi.mittal@uti.co.in</t>
  </si>
  <si>
    <t>910008447011387</t>
  </si>
  <si>
    <t>The Circle, 5th Floor, Huda City Centre Metro Station</t>
  </si>
  <si>
    <t>uti.co.in</t>
  </si>
  <si>
    <t>DOMAIN::uti.co.in</t>
  </si>
  <si>
    <t>Upstox Securities Private Limited</t>
  </si>
  <si>
    <t>INH000020208</t>
  </si>
  <si>
    <t>Kapil Jaikalyani</t>
  </si>
  <si>
    <t>809, New Delhi House, Barakhamba Road, Connaught Place</t>
  </si>
  <si>
    <t>core_compliance@rksv.in</t>
  </si>
  <si>
    <t>919833639563</t>
  </si>
  <si>
    <t>30th Floor, Sunshine Towers, Senapati Bapat Marg</t>
  </si>
  <si>
    <t>YES SECURITIES (INDIA) LIMITED</t>
  </si>
  <si>
    <t>INH000002376</t>
  </si>
  <si>
    <t>RAKESH GUPTA</t>
  </si>
  <si>
    <t>602 A, 6th Floor, Tower 1 and 2, One International Center, SENAPATI BAPAT MARG, ELPHINSTONE ROAD</t>
  </si>
  <si>
    <t>rakesh.gupta@yessecuritiesltd.in</t>
  </si>
  <si>
    <t>2233477747</t>
  </si>
  <si>
    <t>YES BANK, Tower IFC 2, 19th Floor, Senapati Bapat Marg, Elphinstone Road</t>
  </si>
  <si>
    <t>yessecuritiesltd.in</t>
  </si>
  <si>
    <t>DOMAIN::yessecuritiesltd.in</t>
  </si>
  <si>
    <t>YES SECURITIES INDIA LIMITED</t>
  </si>
  <si>
    <t>INA000007331</t>
  </si>
  <si>
    <t>VAIBHAV  PUROHIT</t>
  </si>
  <si>
    <t>UNIT NO 602A,6TH FLOOR,TOWER 1&amp;2,, IFC,SENAPATI BAPAT MARG,ELPHINSTONE ROAD</t>
  </si>
  <si>
    <t>vaibhav.purohit@yessecuritiesltd.in</t>
  </si>
  <si>
    <t>UNIT NO 602A,6TH FLOOR,TOWER 1&amp;2, IFC,SENAPATI BAPAT MARG,ELPHINSTONE ROAD</t>
  </si>
  <si>
    <t>NAME::FINWIZARD TECHNOLOGY PRIVATE LIMITED</t>
  </si>
  <si>
    <t>missing_core_identifier; no_contact_channel</t>
  </si>
  <si>
    <t>360 ONE Capital Market Private Limited</t>
  </si>
  <si>
    <t>INH300000211</t>
  </si>
  <si>
    <t>7, Lyons Range, 3rd Floor, Room No. 3  4</t>
  </si>
  <si>
    <t>NAME::360 ONE CAPITAL MARKET PRIVATE LIMITED</t>
  </si>
  <si>
    <t>no_contact_channel</t>
  </si>
  <si>
    <t>ABANS BROKING SERVICES PRIVATE LIMITED</t>
  </si>
  <si>
    <t>INP000006484</t>
  </si>
  <si>
    <t>NAME::ABANS BROKING SERVICES PRIVATE LIMITED</t>
  </si>
  <si>
    <t>INH000006369</t>
  </si>
  <si>
    <t>36/37/38A, Floor-3, Nariman Bhavan Backbay Reclamation</t>
  </si>
  <si>
    <t>Sep 11, 2018</t>
  </si>
  <si>
    <t>ACME INVESTMENT ADVISORS PRIVATE LIMITED</t>
  </si>
  <si>
    <t>INA000017718</t>
  </si>
  <si>
    <t>F 23 1 Lane F 23 Block F Krishna Nagar Gandhi Nagar Delhi</t>
  </si>
  <si>
    <t>622 Tower B 6th Floor World Trade Tower Sector 16 Noida</t>
  </si>
  <si>
    <t>NAME::ACME INVESTMENT ADVISORS PRIVATE LIMITED</t>
  </si>
  <si>
    <t>AD STREETBULLS RESEARCH SERVICES</t>
  </si>
  <si>
    <t>INH000012254</t>
  </si>
  <si>
    <t>NAME::AD STREETBULLS RESEARCH SERVICES</t>
  </si>
  <si>
    <t>ADROIT FINANCIAL SERVICES PRIVATE LIMITED</t>
  </si>
  <si>
    <t>INP000005349</t>
  </si>
  <si>
    <t>401-402, 4th Floor, , Angel Mega Mall, Kaushambi</t>
  </si>
  <si>
    <t>401-402, 4th Floor, Angel Mega Mall, Kaushambi</t>
  </si>
  <si>
    <t>NAME::ADROIT FINANCIAL SERVICES PRIVATE LIMITED</t>
  </si>
  <si>
    <t>ALANKIT ASSIGNMENTS LTD.</t>
  </si>
  <si>
    <t>INP000001363</t>
  </si>
  <si>
    <t>205-208, ANARKALI COMPLEX,, JHANDEWALAN EXTN.,</t>
  </si>
  <si>
    <t>110055</t>
  </si>
  <si>
    <t>ALANKIT HOUSE, 2E/21, JHANDEWALAN EXTN.,</t>
  </si>
  <si>
    <t>110 055</t>
  </si>
  <si>
    <t>Oct 01, 2014</t>
  </si>
  <si>
    <t>NAME::ALANKIT ASSIGNMENTS LTD</t>
  </si>
  <si>
    <t>ALMONDZ GLOBAL SECURITIES LIMITED</t>
  </si>
  <si>
    <t>INH100004872</t>
  </si>
  <si>
    <t>F-33/3 Okhla Industrial Area, Phase II</t>
  </si>
  <si>
    <t>Jun 06, 2017</t>
  </si>
  <si>
    <t>NAME::ALMONDZ GLOBAL SECURITIES LIMITED</t>
  </si>
  <si>
    <t>ALPHA ALTERNATIVES FUND ADVISORS LLP</t>
  </si>
  <si>
    <t>INP000006518</t>
  </si>
  <si>
    <t>NAME::ALPHA ALTERNATIVES FUND ADVISORS LLP</t>
  </si>
  <si>
    <t>AVENDUS WEALTH MANAGEMENT PRIVATE LTD</t>
  </si>
  <si>
    <t>INP000005257</t>
  </si>
  <si>
    <t>Apr 23, 2016</t>
  </si>
  <si>
    <t>NAME::AVENDUS WEALTH MANAGEMENT PRIVATE LTD</t>
  </si>
  <si>
    <t>INP000006457</t>
  </si>
  <si>
    <t>NAME::ABAKKUS ASSET MANAGER PRIVATE LIMITED</t>
  </si>
  <si>
    <t>INP000008321</t>
  </si>
  <si>
    <t>Avendus Investment Managers Private Limited</t>
  </si>
  <si>
    <t>INP000006174</t>
  </si>
  <si>
    <t>NAME::AVENDUS INVESTMENT MANAGERS PRIVATE LIMITED</t>
  </si>
  <si>
    <t>Avendus PE Investment Advisors Private Limited</t>
  </si>
  <si>
    <t>INP000008774</t>
  </si>
  <si>
    <t>NAME::AVENDUS PE INVESTMENT ADVISORS PRIVATE LIMITED</t>
  </si>
  <si>
    <t>Avendus Wealth Management Private Limited</t>
  </si>
  <si>
    <t>INA000006527</t>
  </si>
  <si>
    <t>Sep 09, 2016</t>
  </si>
  <si>
    <t>NAME::AVENDUS WEALTH MANAGEMENT PRIVATE LIMITED</t>
  </si>
  <si>
    <t>BAY CAPITAL INVESTMENT ADVISORS PRIVATE LIMITED</t>
  </si>
  <si>
    <t>INP000005208</t>
  </si>
  <si>
    <t>14th Floor, Bhaktawar, Opp NCPA, Nariman Point</t>
  </si>
  <si>
    <t>14TH FLOOR,BHAKTAWAR TOWER, NARIMAN POINT</t>
  </si>
  <si>
    <t>NAME::BAY CAPITAL INVESTMENT ADVISORS PRIVATE LIMITED</t>
  </si>
  <si>
    <t>BELLWETHER CAPITAL PRIVATE LIMITED</t>
  </si>
  <si>
    <t>INP000000910</t>
  </si>
  <si>
    <t>508 RAHEJA CHAMBERS, FREE PRESS JOURNAL ROAD, NARIMAN POINT,</t>
  </si>
  <si>
    <t>NAME::BELLWETHER CAPITAL PRIVATE LIMITED</t>
  </si>
  <si>
    <t>BR Fiduciary Investment Advisory LLP</t>
  </si>
  <si>
    <t>INA000019433</t>
  </si>
  <si>
    <t>404, Neptune Prime, Nr. ABS Tower, OP Road, Racecourse, Vadodara</t>
  </si>
  <si>
    <t>NAME::BR FIDUCIARY INVESTMENT ADVISORY LLP</t>
  </si>
  <si>
    <t>BRAINSTORMERZ RESEARCH AND DATA ANALYTICS PRIVATE LIMITED</t>
  </si>
  <si>
    <t>INH000009719</t>
  </si>
  <si>
    <t>Jun 07, 2022</t>
  </si>
  <si>
    <t>NAME::BRAINSTORMERZ RESEARCH AND DATA ANALYTICS PRIVATE LIMITED</t>
  </si>
  <si>
    <t>BUOYANT CAPITAL PRIVATE LIMITED</t>
  </si>
  <si>
    <t>INP000005000</t>
  </si>
  <si>
    <t>Feb 01, 2016</t>
  </si>
  <si>
    <t>NAME::BUOYANT CAPITAL PRIVATE LIMITED</t>
  </si>
  <si>
    <t>Bastion Research House LLP</t>
  </si>
  <si>
    <t>INH000023199</t>
  </si>
  <si>
    <t>Shop No. U-11 Upper Ground, VIP Plaza Vesu</t>
  </si>
  <si>
    <t>NAME::BASTION RESEARCH HOUSE LLP</t>
  </si>
  <si>
    <t>Blue Ashva India LLP</t>
  </si>
  <si>
    <t>INP000008057</t>
  </si>
  <si>
    <t>NAME::BLUE ASHVA INDIA LLP</t>
  </si>
  <si>
    <t>Brightseeds Advisors LLP</t>
  </si>
  <si>
    <t>INP000008996</t>
  </si>
  <si>
    <t>Shreya Gala</t>
  </si>
  <si>
    <t>OFFICE NO. 319, HIVE 67 ICON, POISAR GYMKHANA ROAD, LOKMANYA TILKA NAGAR, POISAR, NEAR RAGHULEELA MALL, KANDIVALI WEST, MUMBAI</t>
  </si>
  <si>
    <t>NAME::BRIGHTSEEDS ADVISORS LLP</t>
  </si>
  <si>
    <t>Coheron Wealth private Limited</t>
  </si>
  <si>
    <t>INP000009922</t>
  </si>
  <si>
    <t>Rupali Sinha</t>
  </si>
  <si>
    <t>16TH FLOOR 1609 CODENAME ONE LODHA PLACE, SENAPATI BAPAT MARG LOWER PAREL</t>
  </si>
  <si>
    <t>NAME::COHERON WEALTH PRIVATE LIMITED</t>
  </si>
  <si>
    <t>Creaegis Investment Advisers Private Limited</t>
  </si>
  <si>
    <t>INA200014061</t>
  </si>
  <si>
    <t>NAME::CREAEGIS INVESTMENT ADVISERS PRIVATE LIMITED</t>
  </si>
  <si>
    <t>DGS CAPITAL MANAGEMENT PRIVATE LIMITED</t>
  </si>
  <si>
    <t>INP000004870</t>
  </si>
  <si>
    <t>M-116, First Floor, Connaught Place, Outer Circle</t>
  </si>
  <si>
    <t>1109 JMD Megapolis, Sohna Road, Sector 48</t>
  </si>
  <si>
    <t>NAME::DGS CAPITAL MANAGEMENT PRIVATE LIMITED</t>
  </si>
  <si>
    <t>DSIJ WEALTH ADVISORY PRIVATE LIMITED</t>
  </si>
  <si>
    <t>INP000009940</t>
  </si>
  <si>
    <t>Abhishek Chitre</t>
  </si>
  <si>
    <t>Office No. 409, SR No. 101/A/1, CTS No. 2069/A/1 SBH K Pune City, Yerwada, Pune</t>
  </si>
  <si>
    <t>NAME::DSIJ WEALTH ADVISORY PRIVATE LIMITED</t>
  </si>
  <si>
    <t>EKLAVYA CAPITAL ADVISORS LLP</t>
  </si>
  <si>
    <t>INP000005265</t>
  </si>
  <si>
    <t>H-3, Siddh Apartment, 107 IP Extension</t>
  </si>
  <si>
    <t>UGF 27, Block C, Omaxe Gurgaon Mall, Sohna Road</t>
  </si>
  <si>
    <t>Nov 01, 2016</t>
  </si>
  <si>
    <t>NAME::EKLAVYA CAPITAL ADVISORS LLP</t>
  </si>
  <si>
    <t>INP000003021</t>
  </si>
  <si>
    <t>Nov 03, 2014</t>
  </si>
  <si>
    <t>NAME::ELITE WEALTH LIMITED</t>
  </si>
  <si>
    <t>ESCORP ASSET MANAGEMENT LIMITED</t>
  </si>
  <si>
    <t>INP000005372</t>
  </si>
  <si>
    <t>60, Khatau Building, Grd Floor, Alkesh Dinesh Modi Marg, Fort</t>
  </si>
  <si>
    <t>718-A, P.J.Towers, , Dalal Street, Fort</t>
  </si>
  <si>
    <t>Apr 06, 2017</t>
  </si>
  <si>
    <t>NAME::ESCORP ASSET MANAGEMENT LIMITED</t>
  </si>
  <si>
    <t>East Green Advisors LLP</t>
  </si>
  <si>
    <t>INP000008075</t>
  </si>
  <si>
    <t>NAME::EAST GREEN ADVISORS LLP</t>
  </si>
  <si>
    <t>FIDENT ASSET MANAGEMENT PRIVATE LIMITED</t>
  </si>
  <si>
    <t>INP000008482</t>
  </si>
  <si>
    <t>Dec 14, 2023</t>
  </si>
  <si>
    <t>NAME::FIDENT ASSET MANAGEMENT PRIVATE LIMITED</t>
  </si>
  <si>
    <t>FOREVER RESEARCH</t>
  </si>
  <si>
    <t>INH000022783</t>
  </si>
  <si>
    <t>NAME::FOREVER RESEARCH</t>
  </si>
  <si>
    <t>INA000002751</t>
  </si>
  <si>
    <t>NAME::FORT CAPITAL INVESTMENT ADVISORY PRIVATE LIMITED</t>
  </si>
  <si>
    <t>Fintoo Wealth Private Limited</t>
  </si>
  <si>
    <t>INA000020031</t>
  </si>
  <si>
    <t>NAME::FINTOO WEALTH PRIVATE LIMITED</t>
  </si>
  <si>
    <t>GIRIK WEALTH ADVISORS PRIVATE LIMITED</t>
  </si>
  <si>
    <t>INP000003369</t>
  </si>
  <si>
    <t>609 Maker Chambers 5, Nariman Point</t>
  </si>
  <si>
    <t>NAME::GIRIK WEALTH ADVISORS PRIVATE LIMITED</t>
  </si>
  <si>
    <t>GOSTOCKS FINTECH PRIVATE LIMITED</t>
  </si>
  <si>
    <t>INH000023551</t>
  </si>
  <si>
    <t>GROUND FLOOR AI 118 RAGAS AVENUE 8TH MAIN RD, SHANTHI COLONY ANNA NAGAR</t>
  </si>
  <si>
    <t>NAME::GOSTOCKS FINTECH PRIVATE LIMITED</t>
  </si>
  <si>
    <t>GOSTOCKS INVESTMENT MANAGERS PRIVATE LIMITED</t>
  </si>
  <si>
    <t>INP000010016</t>
  </si>
  <si>
    <t>Aadhityan R</t>
  </si>
  <si>
    <t>No 29 by 12, Flat 8D, 8th Floor, Riaz Garden, Kodambakkam High Road, Numbambakkam</t>
  </si>
  <si>
    <t>NAME::GOSTOCKS INVESTMENT MANAGERS PRIVATE LIMITED</t>
  </si>
  <si>
    <t>GUARDIAN ADVISORS PVT LTD</t>
  </si>
  <si>
    <t>INP000001819</t>
  </si>
  <si>
    <t>Aug 16, 2015</t>
  </si>
  <si>
    <t>NAME::GUARDIAN ADVISORS PVT LTD</t>
  </si>
  <si>
    <t>HAWMS Equities Private Limited</t>
  </si>
  <si>
    <t>INP000010089</t>
  </si>
  <si>
    <t>Adwaith Vijay</t>
  </si>
  <si>
    <t>55/749, First Floor, Parappilil Lane, Panampilly Nagar, Ernakulam</t>
  </si>
  <si>
    <t>NAME::HAWMS EQUITIES PRIVATE LIMITED</t>
  </si>
  <si>
    <t>INFINITY ALTERNATIVES INVESTMENT MANAGERS PRIVATE LIMITED</t>
  </si>
  <si>
    <t>INP000004813</t>
  </si>
  <si>
    <t>Manu Pande</t>
  </si>
  <si>
    <t>B 402, 4th Floor, Vivarea, M A Road, Jacob Circle,</t>
  </si>
  <si>
    <t>402, 4th Floor, B Wing, Vivarea, M A Road</t>
  </si>
  <si>
    <t>Sep 18, 2015</t>
  </si>
  <si>
    <t>NAME::INFINITY ALTERNATIVES INVESTMENT MANAGERS PRIVATE LIMITED</t>
  </si>
  <si>
    <t>International Money Matters Private Limited</t>
  </si>
  <si>
    <t>INA200010676</t>
  </si>
  <si>
    <t>NAME::INTERNATIONAL MONEY MATTERS PRIVATE LIMITED</t>
  </si>
  <si>
    <t>JANAK MERCHANT SECURITIES PVT LTD</t>
  </si>
  <si>
    <t>INP000001215</t>
  </si>
  <si>
    <t>JAIDEEP JANAK MERCHANT</t>
  </si>
  <si>
    <t>108 Sahajanand Complex, 2416 East Street</t>
  </si>
  <si>
    <t>7 M.G. ROAD, 13, BASEMENT , WONDERLAND,</t>
  </si>
  <si>
    <t>Jun 01, 2017</t>
  </si>
  <si>
    <t>NAME::JANAK MERCHANT SECURITIES PVT LTD</t>
  </si>
  <si>
    <t>JEETAY INVESTMENTS PVT LTD</t>
  </si>
  <si>
    <t>INP000000993</t>
  </si>
  <si>
    <t>58, MAKER TOWERS 'F', CUFFE PARADE</t>
  </si>
  <si>
    <t>NAME::JEETAY INVESTMENTS PVT LTD</t>
  </si>
  <si>
    <t>JWA Wealth Private Limited</t>
  </si>
  <si>
    <t>INA000021146</t>
  </si>
  <si>
    <t>NAME::JWA WEALTH PRIVATE LIMITED</t>
  </si>
  <si>
    <t>KRCHOKSEY SHARES AND SECURITIES PVT. LTD.</t>
  </si>
  <si>
    <t>INH000001295</t>
  </si>
  <si>
    <t>Aug 11, 2015</t>
  </si>
  <si>
    <t>NAME::KRCHOKSEY SHARES AND SECURITIES PVT LTD</t>
  </si>
  <si>
    <t>INP000009968</t>
  </si>
  <si>
    <t>Durgesh Solanki</t>
  </si>
  <si>
    <t>UNIT 02, OLSEN SPACES 4TH FLOOR, SITE NO. 41, AGARA VILLAGE, 12TH MAIN ROAD, 14TH CRS HSR LYT SEC 06</t>
  </si>
  <si>
    <t>NAME::KORMAN CAPITAL INVESTMENT ADVISORS LLP</t>
  </si>
  <si>
    <t>LKP SECURITIES LTD</t>
  </si>
  <si>
    <t>INP000005299</t>
  </si>
  <si>
    <t>203, Embassy Centre, Nariman Point</t>
  </si>
  <si>
    <t>211, Embassy Centre, Nariman Point,</t>
  </si>
  <si>
    <t>Dec 15, 2016</t>
  </si>
  <si>
    <t>NAME::LKP SECURITIES LTD</t>
  </si>
  <si>
    <t>Ladderup Asset Managers Private Limited</t>
  </si>
  <si>
    <t>INP000007775</t>
  </si>
  <si>
    <t>NAME::LADDERUP ASSET MANAGERS PRIVATE LIMITED</t>
  </si>
  <si>
    <t>MARWADI CHANDARANA  INTERMEDIARIES BROKERS PRIVATE LIMITED</t>
  </si>
  <si>
    <t>INA000021517</t>
  </si>
  <si>
    <t>NAME::MARWADI CHANDARANA INTERMEDIARIES BROKERS PRIVATE LIMITED</t>
  </si>
  <si>
    <t>MONEYDHAN INVESTMENT ADVISORY INDIA LLP</t>
  </si>
  <si>
    <t>INA000018984</t>
  </si>
  <si>
    <t>7 433 Alumavunchodu Thangalam Kothamangalam Kothamangalam, Kothamangalam Ernakulam Kerala</t>
  </si>
  <si>
    <t>686691</t>
  </si>
  <si>
    <t>NAME::MONEYDHAN INVESTMENT ADVISORY INDIA LLP</t>
  </si>
  <si>
    <t>MULTI-ACT EQUITY CONSULTANCY PVT LTD</t>
  </si>
  <si>
    <t>INP000002965</t>
  </si>
  <si>
    <t>Nidhi Wig</t>
  </si>
  <si>
    <t>Ground Floor, ICC Chambers - I, Saki Vihar Road, Opp. Santogen Mills, Powai</t>
  </si>
  <si>
    <t>2nd floor, ICC Chambers - II, Powai, Saki Vihar Road, Opp Santogen Mills</t>
  </si>
  <si>
    <t>Oct 14, 2014</t>
  </si>
  <si>
    <t>NAME::MULTI ACT EQUITY CONSULTANCY PVT LTD</t>
  </si>
  <si>
    <t>Marcellus Investment Managers Private Limited</t>
  </si>
  <si>
    <t>INP000006183</t>
  </si>
  <si>
    <t>NAME::MARCELLUS INVESTMENT MANAGERS PRIVATE LIMITED</t>
  </si>
  <si>
    <t>INP000009977</t>
  </si>
  <si>
    <t>903, Lodha Supremus, Dr. E Moses Road, Worli Naka, Mumbai - 400018</t>
  </si>
  <si>
    <t>NAME::MEHTA EQUITIES PRIVATE LIMITED</t>
  </si>
  <si>
    <t>Mercer Wealth India Private Limited</t>
  </si>
  <si>
    <t>INA200000571</t>
  </si>
  <si>
    <t>No 112, AKR Tech Park, B Block, 7th Mile Hosur Road,, Krishna Reddy Industrail Area, Bengaluru</t>
  </si>
  <si>
    <t>NAME::MERCER WEALTH INDIA PRIVATE LIMITED</t>
  </si>
  <si>
    <t>Modern Algos Pvt Ltd</t>
  </si>
  <si>
    <t>INH200009935</t>
  </si>
  <si>
    <t>H.No. 6-3-1192/1/1, Office No. 212,, Whitehouse, Block II Begumpet,</t>
  </si>
  <si>
    <t>NAME::MODERN ALGOS PVT LTD</t>
  </si>
  <si>
    <t>Moneybloom Advisory Services LLP</t>
  </si>
  <si>
    <t>INA200011046</t>
  </si>
  <si>
    <t>NAME::MONEYBLOOM ADVISORY SERVICES LLP</t>
  </si>
  <si>
    <t>NINE RIVERS CAPITAL HOLDINGS PRIVATE LIMITED</t>
  </si>
  <si>
    <t>INP000004169</t>
  </si>
  <si>
    <t>Nov 15, 2014</t>
  </si>
  <si>
    <t>NAME::NINE RIVERS CAPITAL HOLDINGS PRIVATE LIMITED</t>
  </si>
  <si>
    <t>Nexedge Investment Adviser Private Limited</t>
  </si>
  <si>
    <t>INA000019992</t>
  </si>
  <si>
    <t>NAME::NEXEDGE INVESTMENT ADVISER PRIVATE LIMITED</t>
  </si>
  <si>
    <t>OHM PORTFOLIO EQUI RESEARCH PVT LTD.</t>
  </si>
  <si>
    <t>INP000001389</t>
  </si>
  <si>
    <t>155 C MITTAL TOWERS, NARIMAN POINT</t>
  </si>
  <si>
    <t>151/152 C MITTAL TOWERS, NARIMAN POINT</t>
  </si>
  <si>
    <t>NAME::OHM PORTFOLIO EQUI RESEARCH PVT LTD</t>
  </si>
  <si>
    <t>OLD BRIDGE CAPITAL MANAGEMENT PVT. LTD.</t>
  </si>
  <si>
    <t>INP000005174</t>
  </si>
  <si>
    <t>Jun 22, 2016</t>
  </si>
  <si>
    <t>NAME::OLD BRIDGE CAPITAL MANAGEMENT PVT LTD</t>
  </si>
  <si>
    <t>P.C.S SECURITIES LIMITED</t>
  </si>
  <si>
    <t>INP000002338</t>
  </si>
  <si>
    <t>6-3-1090/B/1 AND 2 MAYANK TOWERS 5TH FLOOR, RAJBHAVAN ROAD SOMAJIGUDA</t>
  </si>
  <si>
    <t>500027</t>
  </si>
  <si>
    <t>3-1-336, Esamia Bazar</t>
  </si>
  <si>
    <t>NAME::P C S SECURITIES LIMITED</t>
  </si>
  <si>
    <t>PARAG PARIKH FINANCIAL ADVISORY SERVICES LIMITED</t>
  </si>
  <si>
    <t>INP000000241</t>
  </si>
  <si>
    <t>NAME::PARAG PARIKH FINANCIAL ADVISORY SERVICES LIMITED</t>
  </si>
  <si>
    <t>PATERSON SECURITIES PRIVATE LTD</t>
  </si>
  <si>
    <t>INP000005422</t>
  </si>
  <si>
    <t>No :3  Bhavani mansion , IV lane Nugambakkam high road</t>
  </si>
  <si>
    <t>May 04, 2017</t>
  </si>
  <si>
    <t>NAME::PATERSON SECURITIES PRIVATE LTD</t>
  </si>
  <si>
    <t>PINPOINT INVESTMENT ADVISORY SERVICES INDIA LLP</t>
  </si>
  <si>
    <t>INA000016728</t>
  </si>
  <si>
    <t>Unit No. 715 on the 7th Floor in C Wing, ONE BKC, G Block,, Bandra Kurla Complex, Bandra East</t>
  </si>
  <si>
    <t>Unit No. 715 on the 7th Floor in C Wing, ONE BKC, G Block, Bandra Kurla Complex, Bandra East</t>
  </si>
  <si>
    <t>Feb 25, 2022</t>
  </si>
  <si>
    <t>NAME::PINPOINT INVESTMENT ADVISORY SERVICES INDIA LLP</t>
  </si>
  <si>
    <t>PRITHVI FINMART PRIVATE LIMITED</t>
  </si>
  <si>
    <t>INP000004441</t>
  </si>
  <si>
    <t>A1502 15th Floor, O2 commercial Premises, OPP Asha nagar  	, Block Sector Mulund West pin 400080</t>
  </si>
  <si>
    <t>6 B Corpora, Near Shangrila Biscuit Company, LBS Marg, Bhandup (west)</t>
  </si>
  <si>
    <t>Mar 28, 2016</t>
  </si>
  <si>
    <t>NAME::PRITHVI FINMART PRIVATE LIMITED</t>
  </si>
  <si>
    <t>Punyasa Capital Advisors LLP</t>
  </si>
  <si>
    <t>INA000020110</t>
  </si>
  <si>
    <t>A 47/F, DDA FLATS MUNIRKA, Munirka, South Delhi</t>
  </si>
  <si>
    <t>NAME::PUNYASA CAPITAL ADVISORS LLP</t>
  </si>
  <si>
    <t>QUEST INVESTMENT ADVISORS PVT. LTD.</t>
  </si>
  <si>
    <t>INP000001421</t>
  </si>
  <si>
    <t>NAME::QUEST INVESTMENT ADVISORS PVT LTD</t>
  </si>
  <si>
    <t>R. WADIWALA SECURITIES PRIVATE LIMITED</t>
  </si>
  <si>
    <t>INP000004045</t>
  </si>
  <si>
    <t>9/2003-4, VISHNUPRIYA,, LIMDA CHOWK, MAIN ROAD.</t>
  </si>
  <si>
    <t>9/2003-4, VISHNUPRIYA, LIMDA CHOWK, MAIN ROAD</t>
  </si>
  <si>
    <t>NAME::R WADIWALA SECURITIES PRIVATE LIMITED</t>
  </si>
  <si>
    <t>RAGHAV RESEARCH SERVICES LLP</t>
  </si>
  <si>
    <t>INH000020031</t>
  </si>
  <si>
    <t>NAME::RAGHAV RESEARCH SERVICES LLP</t>
  </si>
  <si>
    <t>Rudo Wealth Investment Advisory Private Limited</t>
  </si>
  <si>
    <t>INA000019503</t>
  </si>
  <si>
    <t>4th Floor, D Site No.1 Kacharakanihalli,, HRBR Layout 2nd Block Jhanavi Road, Horamavu, Bangalore North,</t>
  </si>
  <si>
    <t>4th Floor, D Site No.1 Kacharakanihalli, HRBR Layout 2nd Block Jhanavi Road, Horamavu, Bangalore North,</t>
  </si>
  <si>
    <t>Aug 12, 2024</t>
  </si>
  <si>
    <t>NAME::RUDO WEALTH INVESTMENT ADVISORY PRIVATE LIMITED</t>
  </si>
  <si>
    <t>SANCTUM WEALTH PRIVATE LIMITED</t>
  </si>
  <si>
    <t>INP000005067</t>
  </si>
  <si>
    <t>Mr Neeraj Sirur</t>
  </si>
  <si>
    <t>1401, Tower 2, 14th floor, One International Center, Senapati Bapat Marg, Elphinstone Road</t>
  </si>
  <si>
    <t>Unit 1501, Tower 2B, , One Indiabulls Center, Jupiter Mills Compound, S Bapat Marg, Lower Parel</t>
  </si>
  <si>
    <t>NAME::SANCTUM WEALTH PRIVATE LIMITED</t>
  </si>
  <si>
    <t>SAVVY CAPITAL ADVISORS LLP</t>
  </si>
  <si>
    <t>INP000005331</t>
  </si>
  <si>
    <t>OFFICE NO.1, SHUBHAM APARTMENT, OPP. ESIS HOSPITAL, AKURLI ROAD, KANDIVALI EAST</t>
  </si>
  <si>
    <t>Feb 22, 2017</t>
  </si>
  <si>
    <t>NAME::SAVVY CAPITAL ADVISORS LLP</t>
  </si>
  <si>
    <t>SCIENT CAPITAL PRIVATE LIMITED</t>
  </si>
  <si>
    <t>INP000005166</t>
  </si>
  <si>
    <t>NAME::SCIENT CAPITAL PRIVATE LIMITED</t>
  </si>
  <si>
    <t>SHEPHERDS HILL FINANCIAL ADVISORS LLP</t>
  </si>
  <si>
    <t>INP000004748</t>
  </si>
  <si>
    <t>1302 Silver Spring, Shirley Rajan Rd, Rizvi Complex</t>
  </si>
  <si>
    <t>B-5 STC Society, NS Phadke Marg</t>
  </si>
  <si>
    <t>NAME::SHEPHERDS HILL FINANCIAL ADVISORS LLP</t>
  </si>
  <si>
    <t>SOLDIERS FIELD INVESTMENTS PRIVATE LIMITED</t>
  </si>
  <si>
    <t>INP000004318</t>
  </si>
  <si>
    <t>Third Floor, 140 Nehru Market, Opposite Lady Shri Ram College, Zamrudpur</t>
  </si>
  <si>
    <t>NAME::SOLDIERS FIELD INVESTMENTS PRIVATE LIMITED</t>
  </si>
  <si>
    <t>INH000001121</t>
  </si>
  <si>
    <t>Jul 21, 2015</t>
  </si>
  <si>
    <t>NAME::STOCKHOLDING SERVICES LIMITED</t>
  </si>
  <si>
    <t>Sammaan Asset Management Limited</t>
  </si>
  <si>
    <t>INP100007709</t>
  </si>
  <si>
    <t>NAME::SAMMAAN ASSET MANAGEMENT LIMITED</t>
  </si>
  <si>
    <t>Sanford C. Bernstein India Private Limited</t>
  </si>
  <si>
    <t>INH000006378</t>
  </si>
  <si>
    <t>Level 3A, 4th Floor, First International Financial Centre, Plot Nos C54 and C55, G Block, , Bandra Kurla Complex, Bandra East</t>
  </si>
  <si>
    <t>Level 3A, 4th Floor, First International Financial Centre, Plot Nos C-54 and C-55, G Block, Near CBI Office,   Bandra Kurla Complex,</t>
  </si>
  <si>
    <t>NAME::SANFORD C BERNSTEIN INDIA PRIVATE LIMITED</t>
  </si>
  <si>
    <t>Shreeyam Securities Limited</t>
  </si>
  <si>
    <t>INH100005792</t>
  </si>
  <si>
    <t>NAME::SHREEYAM SECURITIES LIMITED</t>
  </si>
  <si>
    <t>Spark Institutional Equities Private Limited</t>
  </si>
  <si>
    <t>INH200009722</t>
  </si>
  <si>
    <t>NAME::SPARK INSTITUTIONAL EQUITIES PRIVATE LIMITED</t>
  </si>
  <si>
    <t>INH200008954</t>
  </si>
  <si>
    <t>Dec 14, 2021</t>
  </si>
  <si>
    <t>NAME::SPARK PWM PRIVATE LIMITED</t>
  </si>
  <si>
    <t>TCG ADVISORY SERVICES PRIVATE LIMITED</t>
  </si>
  <si>
    <t>INP000005133</t>
  </si>
  <si>
    <t>TCG FINANCIAL CENTRE 11TH AND 12TH FLOORS, PLOT NO C 53 G BLOCK BKC BANDRA EAST</t>
  </si>
  <si>
    <t>IL &amp;FS Financial center</t>
  </si>
  <si>
    <t>NAME::TCG ADVISORY SERVICES PRIVATE LIMITED</t>
  </si>
  <si>
    <t>TRUSTLINE HOLDING PVT. LTD.</t>
  </si>
  <si>
    <t>INP000002254</t>
  </si>
  <si>
    <t>6/13, 3rd  Floor, Eastern Wing, North Avenue, Kesava Perumalpuram, R.A. Puram,</t>
  </si>
  <si>
    <t>39/19, IInd Floor, Aspen Court, 6th Main Road, Raja Annamalaipuram</t>
  </si>
  <si>
    <t>NAME::TRUSTLINE HOLDING PVT LTD</t>
  </si>
  <si>
    <t>Titiksha Wealth Private Limited</t>
  </si>
  <si>
    <t>INA000019497</t>
  </si>
  <si>
    <t>2, Nehru Nagar society, Dumas Road, Surat</t>
  </si>
  <si>
    <t>NAME::TITIKSHA WEALTH PRIVATE LIMITED</t>
  </si>
  <si>
    <t>TruInvest Advisors</t>
  </si>
  <si>
    <t>INH000023375</t>
  </si>
  <si>
    <t>Flat No. D-4/22, Second Floor,, DLF Exclusive Floors, DLF Phase-V</t>
  </si>
  <si>
    <t>NAME::TRUINVEST ADVISORS</t>
  </si>
  <si>
    <t>True North Managers LLP</t>
  </si>
  <si>
    <t>INP000008002</t>
  </si>
  <si>
    <t>Paras Nayyar</t>
  </si>
  <si>
    <t>NAME::TRUE NORTH MANAGERS LLP</t>
  </si>
  <si>
    <t>VARANIUM CAPITAL ADVISORS PRIVATE LIMITED</t>
  </si>
  <si>
    <t>INP000005281</t>
  </si>
  <si>
    <t>1416 14th floor One Lodha Place, Senapati Bapat Marg Lower Parel Delisle Road</t>
  </si>
  <si>
    <t>603, 6th Floor, Lodha Supremus, Senapati Bapat Marg, Lower Parel</t>
  </si>
  <si>
    <t>Dec 08, 2016</t>
  </si>
  <si>
    <t>NAME::VARANIUM CAPITAL ADVISORS PRIVATE LIMITED</t>
  </si>
  <si>
    <t>INP000008330</t>
  </si>
  <si>
    <t>Oct 04, 2023</t>
  </si>
  <si>
    <t>NAME::VIVRITI ASSET MANAGEMENT PRIVATE LIMITED</t>
  </si>
  <si>
    <t>WEALTH INDIA FINANCIAL SERVICES PVT. LTD</t>
  </si>
  <si>
    <t>INA200002429</t>
  </si>
  <si>
    <t>Nov 26, 2014</t>
  </si>
  <si>
    <t>NAME::WEALTH INDIA FINANCIAL SERVICES PVT LTD</t>
  </si>
  <si>
    <t>WEALTHBRIDGE CAPITAL ADVISORS PRIVATE LIMITED</t>
  </si>
  <si>
    <t>INP000005240</t>
  </si>
  <si>
    <t>82 GUNROCK ENCLAVE (FF), PHASE 1</t>
  </si>
  <si>
    <t>82 GUNROCK ENCLAVE (FF), PHASE 1, SECUNDERABAD</t>
  </si>
  <si>
    <t>Sep 26, 2016</t>
  </si>
  <si>
    <t>NAME::WEALTHBRIDGE CAPITAL ADVISORS PRIVATE LIMITED</t>
  </si>
  <si>
    <t>ANAND D NANAVATI (PROPRIETOR OF ARYA ADVISORY SERVICE)</t>
  </si>
  <si>
    <t>INA000005846</t>
  </si>
  <si>
    <t>Mar 07, 2017</t>
  </si>
  <si>
    <t>NAME::ANAND D NANAVATI PROPRIETOR OF ARYA ADVISORY SERVICE</t>
  </si>
  <si>
    <t>no_contact_channel; individual_missing_email_low_priority</t>
  </si>
  <si>
    <t>AVINASH GORAKSHAKAR</t>
  </si>
  <si>
    <t>INH000001071</t>
  </si>
  <si>
    <t>NAME::AVINASH GORAKSHAKAR</t>
  </si>
  <si>
    <t>Anup Tiwari</t>
  </si>
  <si>
    <t>INH000008969</t>
  </si>
  <si>
    <t>NAME::ANUP TIWARI</t>
  </si>
  <si>
    <t>Arul Valan Lawrence</t>
  </si>
  <si>
    <t>INA000008604</t>
  </si>
  <si>
    <t>C117 Westend Raheja Vihar, Chandivali Andheri East</t>
  </si>
  <si>
    <t>NAME::ARUL VALAN LAWRENCE</t>
  </si>
  <si>
    <t>Bharat Rathode Proprietor TradeAura Research</t>
  </si>
  <si>
    <t>INH000010292</t>
  </si>
  <si>
    <t>2ND FLOOR, 345 346 NO 54 PU 4,  , COMMERCIAL INDORE</t>
  </si>
  <si>
    <t>NAME::BHARAT RATHODE PROPRIETOR TRADEAURA RESEARCH</t>
  </si>
  <si>
    <t>DICHOLKAR RAVINDRA A</t>
  </si>
  <si>
    <t>INH000021438</t>
  </si>
  <si>
    <t>B 105, Building No. 2, Sankalp CHS, Near Mars, Hotel, Navpada, Marol Naka Andheri East</t>
  </si>
  <si>
    <t>NAME::DICHOLKAR RAVINDRA A</t>
  </si>
  <si>
    <t>Deepthi Rai proprietor of FIINASPIIRA RESEARCH SERVICES</t>
  </si>
  <si>
    <t>INH000012333</t>
  </si>
  <si>
    <t>90/2-B, 9th Main, 13th cross, Ideal Homes Layout, Phase I, Behind Nimishamba Temple, Rajarajeshwari Nagar</t>
  </si>
  <si>
    <t>May 22, 2023</t>
  </si>
  <si>
    <t>NAME::DEEPTHI RAI PROPRIETOR OF FIINASPIIRA RESEARCH SERVICES</t>
  </si>
  <si>
    <t>Devraj Dhagat</t>
  </si>
  <si>
    <t>INA000017888</t>
  </si>
  <si>
    <t>B-56 VIP Estate Shankar Nagar , Khamardih Raipur</t>
  </si>
  <si>
    <t>492007</t>
  </si>
  <si>
    <t>NAME::DEVRAJ DHAGAT</t>
  </si>
  <si>
    <t>JITENDRA PRATAP SINGH SOLANKI</t>
  </si>
  <si>
    <t>INA100000184</t>
  </si>
  <si>
    <t>C-2026, Windsor Paradise-II,, Village-Noor Nagar, Raj Nagar Extension,</t>
  </si>
  <si>
    <t>201017</t>
  </si>
  <si>
    <t>C-2026, Windsor Paradise-II, Village-Noor Nagar, Raj Nagar Extension,</t>
  </si>
  <si>
    <t>Oct 09, 2013</t>
  </si>
  <si>
    <t>NAME::JITENDRA PRATAP SINGH SOLANKI</t>
  </si>
  <si>
    <t>Kathed Ishwar Popatlal</t>
  </si>
  <si>
    <t>INH000024374</t>
  </si>
  <si>
    <t>House No. 2285, Ishwar Traders,, Adte Bazar,</t>
  </si>
  <si>
    <t>House No. 2285, Ishwar Traders, Adte Bazar,</t>
  </si>
  <si>
    <t>NAME::KATHED ISHWAR POPATLAL</t>
  </si>
  <si>
    <t>M R Sai Praveen</t>
  </si>
  <si>
    <t>INH000023560</t>
  </si>
  <si>
    <t>12, Ground Floor, Sai Northwood Layout, Gantiganahalli, Yelahanka, Bangalore</t>
  </si>
  <si>
    <t>NAME::M R SAI PRAVEEN</t>
  </si>
  <si>
    <t>Milind Jagannath More Proprietor of MUKUR Financial Planners and Consultants</t>
  </si>
  <si>
    <t>INA000017930</t>
  </si>
  <si>
    <t>M13 Fourth Floor Fourth Floor Shree Mahesh Building,, Uma Mahesh Co.Op Soc Mahatma Phule Road, Mulund East</t>
  </si>
  <si>
    <t>Office N0.110 1st Floor Kateeleshwari Arcade, L.B.S Road, Mulund West Mumbai</t>
  </si>
  <si>
    <t>May 18, 2023</t>
  </si>
  <si>
    <t>NAME::MILIND JAGANNATH MORE PROPRIETOR OF MUKUR FINANCIAL PLANNERS AND CONSULTANTS</t>
  </si>
  <si>
    <t>NEERAJ KUMAR JAIN PROPRIETOR  of CAPITAL PRIDE</t>
  </si>
  <si>
    <t>INA000008792</t>
  </si>
  <si>
    <t>NAME::NEERAJ KUMAR JAIN PROPRIETOR OF CAPITAL PRIDE</t>
  </si>
  <si>
    <t>Nihar Dutia</t>
  </si>
  <si>
    <t>INH000026026</t>
  </si>
  <si>
    <t>Shakti nagar, 28/14 ground floor</t>
  </si>
  <si>
    <t>NAME::NIHAR DUTIA</t>
  </si>
  <si>
    <t>Nithin Kumar Anchan (Sole proprietor of XLSquare Research Services)</t>
  </si>
  <si>
    <t>INH200007779</t>
  </si>
  <si>
    <t>No.75, Second Floor, Classic Copper Arch, 1st Main Road, Panduranga Nagar, Bannerghatta Road</t>
  </si>
  <si>
    <t>Sep 29, 2020</t>
  </si>
  <si>
    <t>NAME::NITHIN KUMAR ANCHAN SOLE PROPRIETOR OF XLSQUARE RESEARCH SERVICES</t>
  </si>
  <si>
    <t>Rama Subramanyam Nimmagadda</t>
  </si>
  <si>
    <t>INA000017693</t>
  </si>
  <si>
    <t>VILLA 91, Lakshmi Vihar Phase 2, , NALLAGANDLA, Lingampally,</t>
  </si>
  <si>
    <t>500019</t>
  </si>
  <si>
    <t>NAME::RAMA SUBRAMANYAM NIMMAGADDA</t>
  </si>
  <si>
    <t>Roshni S Pardeshi</t>
  </si>
  <si>
    <t>INH000004608</t>
  </si>
  <si>
    <t>Feb 17, 2017</t>
  </si>
  <si>
    <t>NAME::ROSHNI S PARDESHI</t>
  </si>
  <si>
    <t>Rounaq Bakshi</t>
  </si>
  <si>
    <t>INH000022747</t>
  </si>
  <si>
    <t>House No-6, Road No-8,, East Punjab Bagh, New Delhi</t>
  </si>
  <si>
    <t>House No-6, Road No-8, East Punjab Bagh, New Delhi</t>
  </si>
  <si>
    <t>NAME::ROUNAQ BAKSHI</t>
  </si>
  <si>
    <t>Sahil Rohmehtra</t>
  </si>
  <si>
    <t>INH000010478</t>
  </si>
  <si>
    <t>NAME::SAHIL ROHMEHTRA</t>
  </si>
  <si>
    <t>Sheikh Imran Uz Zaman</t>
  </si>
  <si>
    <t>INA100011775</t>
  </si>
  <si>
    <t>Oct 03, 2018</t>
  </si>
  <si>
    <t>NAME::SHEIKH IMRAN UZ ZAMAN</t>
  </si>
  <si>
    <t>Sumit Bapusaheb Kamblaykar</t>
  </si>
  <si>
    <t>INH000023047</t>
  </si>
  <si>
    <t>T-19,Flat No-1905,Runawal Garden,, Phase 2, Kalyan Ghariwali (N.V)</t>
  </si>
  <si>
    <t>T-19,Flat No-1905,Runawal Garden, Phase 2, Kalyan Ghariwali (N.V)</t>
  </si>
  <si>
    <t>NAME::SUMIT BAPUSAHEB KAMBLAYKAR</t>
  </si>
  <si>
    <t>Trade Encore</t>
  </si>
  <si>
    <t>INH000009269</t>
  </si>
  <si>
    <t>C/O Aster Coworking, 301, Trimurti Honey Gold, Ashok Nagar, Range Hill Rd, above Axis Bank,, Shivajinagar, Pune - 411007</t>
  </si>
  <si>
    <t>Mar 30, 2022</t>
  </si>
  <si>
    <t>NAME::TRADE ENCORE</t>
  </si>
  <si>
    <t>VARUN SURESH MALHOTRA</t>
  </si>
  <si>
    <t>INA100013445</t>
  </si>
  <si>
    <t>Flat 1801, Tower 01, Escape Apartment,, Unitech Escape, Sector 50, Nirvana Country,</t>
  </si>
  <si>
    <t>NAME::VARUN SURESH MALHOTRA</t>
  </si>
  <si>
    <t>Vinay Simon George</t>
  </si>
  <si>
    <t>INA000018142</t>
  </si>
  <si>
    <t>9/2, 15th Avenue, Harrington Road</t>
  </si>
  <si>
    <t>600031</t>
  </si>
  <si>
    <t>NAME::VINAY SIMON GEORGE</t>
  </si>
  <si>
    <t>Vivek Soni Proprietor  Easy Trade Insights</t>
  </si>
  <si>
    <t>INH000022419</t>
  </si>
  <si>
    <t>SHOP NO. 1 GROUND FLOOR RAJRANI TOWER NEAR GRAMIN , MADHYANCHAL BANK HAT ROAD GARHA COLONY</t>
  </si>
  <si>
    <t>NAME::VIVEK SONI PROPRIETOR EASY TRADE INSIGHTS</t>
  </si>
  <si>
    <t>Aditya Birla Sun Life AMC Limited</t>
  </si>
  <si>
    <t>INP000000597</t>
  </si>
  <si>
    <t>Feb 01, 2017</t>
  </si>
  <si>
    <t>NAME::ADITYA BIRLA SUN LIFE AMC LIMITED</t>
  </si>
  <si>
    <t>no_contact_channel; large_enterprise_slow_sales_cycle</t>
  </si>
  <si>
    <t>INP000009117</t>
  </si>
  <si>
    <t>NAME::ANGEL ONE INVESTMENT MANAGERS ADVISORS PRIVATE LIMITED</t>
  </si>
  <si>
    <t>INP000002585</t>
  </si>
  <si>
    <t>Nirlon Knowledge Park, Level 9, Block B-6, Off Western Express Highway, Goregaon East, Mumbai</t>
  </si>
  <si>
    <t>Mar 25, 2017</t>
  </si>
  <si>
    <t>NAME::BARCLAYS SECURITIES INDIA PRIVATE LIMITED</t>
  </si>
  <si>
    <t>INP000004060</t>
  </si>
  <si>
    <t>Apr 25, 2017</t>
  </si>
  <si>
    <t>NAME::ICICI SECURITIES LIMITED</t>
  </si>
  <si>
    <t>INA000000623</t>
  </si>
  <si>
    <t>NAME::IIFL CAPITAL SERVICES LIMITED</t>
  </si>
  <si>
    <t>KOTAK ALTERNATE ASSET MANAGERS LIMITED</t>
  </si>
  <si>
    <t>INP000004987</t>
  </si>
  <si>
    <t>Jan 20, 2016</t>
  </si>
  <si>
    <t>NAME::KOTAK ALTERNATE ASSET MANAGERS LIMITED</t>
  </si>
  <si>
    <t>MOTILAL OSWAL ASSET MANAGEMENT COMPANY LIMITED</t>
  </si>
  <si>
    <t>INP000000670</t>
  </si>
  <si>
    <t>10th Floor, Motilal Oswal Tower, , Rahimtullah Sayani Road, Prabhadevi</t>
  </si>
  <si>
    <t>2nd FLOOR, PALM SPRING CENTRE, PALM COURT COMPLEX, NEW LINK ROAD, MALAD (W),</t>
  </si>
  <si>
    <t>NAME::MOTILAL OSWAL ASSET MANAGEMENT COMPANY LIMITED</t>
  </si>
  <si>
    <t>Reliance Securities Limited</t>
  </si>
  <si>
    <t>INA000014410</t>
  </si>
  <si>
    <t>Jan 24, 2020</t>
  </si>
  <si>
    <t>NAME::RELIANCE SECURITIES LIMITED</t>
  </si>
  <si>
    <t>STANDARD CHARTERED SECURITIES (INDIA) LIMITED</t>
  </si>
  <si>
    <t>INP000003542</t>
  </si>
  <si>
    <t>Jan 18, 2016</t>
  </si>
  <si>
    <t>NAME::STANDARD CHARTERED SECURITIES INDIA LIMITED</t>
  </si>
  <si>
    <t>UTI ASSET MANAGEMENT COMPANY PVT LTD</t>
  </si>
  <si>
    <t>INP000000860</t>
  </si>
  <si>
    <t>UTI TOWER, GN BLOCK,, BANDRA-KURLA COMPLEX,</t>
  </si>
  <si>
    <t>UTI TOWER, GN BLOCK, BANDRA-KURLA COMPLEX,</t>
  </si>
  <si>
    <t>NAME::UTI ASSET MANAGEMENT COMPANY PVT LTD</t>
  </si>
  <si>
    <t>SEBI Accessibility Leads - Summary</t>
  </si>
  <si>
    <t>Total rows processed</t>
  </si>
  <si>
    <t>Counts by Sheet</t>
  </si>
  <si>
    <t>Qualified Leads</t>
  </si>
  <si>
    <t>Need Manual Review</t>
  </si>
  <si>
    <t>Excluded Leads</t>
  </si>
  <si>
    <t>Counts by Source Category</t>
  </si>
  <si>
    <t>Counts by Email Type</t>
  </si>
  <si>
    <t>Counts by Entity Type</t>
  </si>
  <si>
    <t>Counts by Lead Bucket</t>
  </si>
  <si>
    <t>Excluded Leads by Exclusion Reason</t>
  </si>
  <si>
    <t>(rows may carry more than one reason)</t>
  </si>
  <si>
    <t>individual_missing_email_low_priority</t>
  </si>
  <si>
    <t>missing_core_identifier</t>
  </si>
  <si>
    <t>Top 20 'A' Grade Leads (Qualified Leads sheet, by lead_priority_score)</t>
  </si>
  <si>
    <t>Source Category</t>
  </si>
  <si>
    <t>Priority Score</t>
  </si>
  <si>
    <t>Lead Bucket</t>
  </si>
  <si>
    <t>Registered Office Email</t>
  </si>
  <si>
    <t>Correspondence Email</t>
  </si>
  <si>
    <t>City / State</t>
  </si>
  <si>
    <t>CHENNAI, TAMIL NADU</t>
  </si>
  <si>
    <t>BANGALORE, KARNATAKA</t>
  </si>
  <si>
    <t>MUMBAI, MAHARASHTRA</t>
  </si>
  <si>
    <t>NEW DELHI, NATIONAL CAPITAL TERRITORY OF DELHI</t>
  </si>
  <si>
    <t>KOLKATA, WEST BENGAL</t>
  </si>
  <si>
    <t>GURUGRAM, HARYANA</t>
  </si>
  <si>
    <t>pragatichothe001</t>
  </si>
  <si>
    <t>pragatichothe002</t>
  </si>
  <si>
    <t>Shiv Gupta</t>
  </si>
  <si>
    <t>John K</t>
  </si>
  <si>
    <t>kannan</t>
  </si>
  <si>
    <t>anupam shingh</t>
  </si>
  <si>
    <t>vinoy</t>
  </si>
  <si>
    <t>devang</t>
  </si>
  <si>
    <t>vivek</t>
  </si>
  <si>
    <t>rajat</t>
  </si>
  <si>
    <t>sushil</t>
  </si>
  <si>
    <t>dinesh ahuja</t>
  </si>
  <si>
    <t>anil shulka</t>
  </si>
  <si>
    <t>sanjeev</t>
  </si>
  <si>
    <t>parikh brijesh</t>
  </si>
  <si>
    <t>punit jain</t>
  </si>
  <si>
    <t>amitkumar gupta</t>
  </si>
  <si>
    <t>dhaval</t>
  </si>
  <si>
    <t>milanvaishnav</t>
  </si>
  <si>
    <t>milanvaishnav@mymoneyplant.co.in</t>
  </si>
  <si>
    <t>raju satpute</t>
  </si>
  <si>
    <t>badal bharti</t>
  </si>
  <si>
    <t>nehal joshipura</t>
  </si>
  <si>
    <t>adi agrawal</t>
  </si>
  <si>
    <t>raju</t>
  </si>
  <si>
    <t>team</t>
  </si>
  <si>
    <t>Sent</t>
  </si>
  <si>
    <t>Not delivered</t>
  </si>
  <si>
    <t>Pending</t>
  </si>
  <si>
    <t>company_website</t>
  </si>
  <si>
    <t>company_name</t>
  </si>
  <si>
    <t>recipients_name</t>
  </si>
  <si>
    <t>recipients_email_id</t>
  </si>
  <si>
    <t>mail_send_from</t>
  </si>
  <si>
    <t>mail_send_date</t>
  </si>
  <si>
    <t>mail_status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</si>
</sst>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sz val="11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rgb="FFFFFFFF"/>
      <name val="Arial"/>
      <family val="2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6" fillId="0" borderId="0" xfId="0" applyFont="1"/>
    <xf numFmtId="0" fontId="7" fillId="0" borderId="0" xfId="1"/>
    <xf numFmtId="0" fontId="6" fillId="3" borderId="0" xfId="0" applyFont="1" applyFill="1"/>
    <xf numFmtId="0" fontId="2" fillId="3" borderId="0" xfId="0" applyFont="1" applyFill="1"/>
    <xf numFmtId="0" fontId="7" fillId="3" borderId="0" xfId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7" fillId="5" borderId="0" xfId="1" applyFill="1"/>
    <xf numFmtId="0" fontId="8" fillId="2" borderId="0" xfId="0" applyFont="1" applyFill="1" applyAlignment="1">
      <alignment horizontal="center" vertical="center"/>
    </xf>
    <xf numFmtId="0" fontId="6" fillId="5" borderId="0" xfId="0" applyFont="1" applyFill="1"/>
    <xf numFmtId="0" fontId="8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2" fillId="5" borderId="0" xfId="0" applyNumberFormat="1" applyFont="1" applyFill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center" vertical="center"/>
    </xf>
    <xf numFmtId="14" fontId="2" fillId="4" borderId="0" xfId="0" applyNumberFormat="1" applyFont="1" applyFill="1" applyAlignment="1">
      <alignment horizontal="left"/>
    </xf>
    <xf numFmtId="0" fontId="6" fillId="6" borderId="0" xfId="0" applyFont="1" applyFill="1"/>
    <xf numFmtId="0" fontId="7" fillId="6" borderId="0" xfId="1" applyFill="1"/>
    <xf numFmtId="0" fontId="7" fillId="6" borderId="0" xfId="1" applyFill="1" applyAlignment="1">
      <alignment horizontal="center" vertical="center"/>
    </xf>
    <xf numFmtId="0" fontId="7" fillId="6" borderId="0" xfId="1" applyFill="1" applyAlignment="1">
      <alignment horizontal="left"/>
    </xf>
    <xf numFmtId="0" fontId="2" fillId="6" borderId="0" xfId="0" applyFont="1" applyFill="1"/>
    <xf numFmtId="0" fontId="0" fillId="6" borderId="0" xfId="0" applyFill="1"/>
    <xf numFmtId="14" fontId="6" fillId="3" borderId="0" xfId="0" applyNumberFormat="1" applyFont="1" applyFill="1" applyAlignment="1">
      <alignment horizontal="left"/>
    </xf>
    <xf numFmtId="14" fontId="6" fillId="5" borderId="0" xfId="0" applyNumberFormat="1" applyFont="1" applyFill="1" applyAlignment="1">
      <alignment horizontal="left"/>
    </xf>
    <xf numFmtId="14" fontId="6" fillId="4" borderId="0" xfId="0" applyNumberFormat="1" applyFont="1" applyFill="1" applyAlignment="1">
      <alignment horizontal="left"/>
    </xf>
    <xf numFmtId="14" fontId="6" fillId="6" borderId="0" xfId="0" applyNumberFormat="1" applyFont="1" applyFill="1" applyAlignment="1">
      <alignment horizontal="left"/>
    </xf>
    <xf numFmtId="14" fontId="6" fillId="7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12"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ill>
        <patternFill>
          <bgColor rgb="FFF2F2F2"/>
        </patternFill>
      </fill>
    </dxf>
    <dxf>
      <fill>
        <patternFill>
          <bgColor rgb="FFFFF2C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idhant@sre.co.in" TargetMode="External"/><Relationship Id="rId18" Type="http://schemas.openxmlformats.org/officeDocument/2006/relationships/hyperlink" Target="mailto:compliance@credentglobal.com" TargetMode="External"/><Relationship Id="rId26" Type="http://schemas.openxmlformats.org/officeDocument/2006/relationships/hyperlink" Target="mailto:shilpa.dadhich@waterfieldadvisors.com" TargetMode="External"/><Relationship Id="rId21" Type="http://schemas.openxmlformats.org/officeDocument/2006/relationships/hyperlink" Target="mailto:compliance@conceptinvestwell.com" TargetMode="External"/><Relationship Id="rId34" Type="http://schemas.openxmlformats.org/officeDocument/2006/relationships/hyperlink" Target="mailto:pravin.mayekar@finnovate.in" TargetMode="External"/><Relationship Id="rId7" Type="http://schemas.openxmlformats.org/officeDocument/2006/relationships/hyperlink" Target="mailto:compliance@emkayglobal.com" TargetMode="External"/><Relationship Id="rId12" Type="http://schemas.openxmlformats.org/officeDocument/2006/relationships/hyperlink" Target="mailto:PMS@EUREKASEC.COM" TargetMode="External"/><Relationship Id="rId17" Type="http://schemas.openxmlformats.org/officeDocument/2006/relationships/hyperlink" Target="mailto:compliance@fortcapital.in" TargetMode="External"/><Relationship Id="rId25" Type="http://schemas.openxmlformats.org/officeDocument/2006/relationships/hyperlink" Target="mailto:vibhati@turtlewealth.in" TargetMode="External"/><Relationship Id="rId33" Type="http://schemas.openxmlformats.org/officeDocument/2006/relationships/hyperlink" Target="mailto:lijo.varghese@abakkusinvest.com" TargetMode="External"/><Relationship Id="rId2" Type="http://schemas.openxmlformats.org/officeDocument/2006/relationships/hyperlink" Target="mailto:sandhya@way2wealth.com" TargetMode="External"/><Relationship Id="rId16" Type="http://schemas.openxmlformats.org/officeDocument/2006/relationships/hyperlink" Target="mailto:cs@greenportfolio.co" TargetMode="External"/><Relationship Id="rId20" Type="http://schemas.openxmlformats.org/officeDocument/2006/relationships/hyperlink" Target="mailto:compliance@entrust.co.in" TargetMode="External"/><Relationship Id="rId29" Type="http://schemas.openxmlformats.org/officeDocument/2006/relationships/hyperlink" Target="mailto:s.saradapriya@fundsindia.com" TargetMode="External"/><Relationship Id="rId1" Type="http://schemas.openxmlformats.org/officeDocument/2006/relationships/hyperlink" Target="mailto:compliance@unificap.com" TargetMode="External"/><Relationship Id="rId6" Type="http://schemas.openxmlformats.org/officeDocument/2006/relationships/hyperlink" Target="mailto:skg@righthorizons.com" TargetMode="External"/><Relationship Id="rId11" Type="http://schemas.openxmlformats.org/officeDocument/2006/relationships/hyperlink" Target="mailto:compliance@renaissanceinvest.in" TargetMode="External"/><Relationship Id="rId24" Type="http://schemas.openxmlformats.org/officeDocument/2006/relationships/hyperlink" Target="mailto:vikassethi@smcindiaonline.com" TargetMode="External"/><Relationship Id="rId32" Type="http://schemas.openxmlformats.org/officeDocument/2006/relationships/hyperlink" Target="mailto:rashmikant.talati@sicomoro.in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mailto:bhushankoli@alfaccurate.com" TargetMode="External"/><Relationship Id="rId15" Type="http://schemas.openxmlformats.org/officeDocument/2006/relationships/hyperlink" Target="mailto:regcompliance@iiflw.com" TargetMode="External"/><Relationship Id="rId23" Type="http://schemas.openxmlformats.org/officeDocument/2006/relationships/hyperlink" Target="mailto:compliance@firstglobal.in" TargetMode="External"/><Relationship Id="rId28" Type="http://schemas.openxmlformats.org/officeDocument/2006/relationships/hyperlink" Target="mailto:operations@apricuswealth.in" TargetMode="External"/><Relationship Id="rId36" Type="http://schemas.openxmlformats.org/officeDocument/2006/relationships/hyperlink" Target="mailto:milanvaishnav@mymoneyplant.co.in" TargetMode="External"/><Relationship Id="rId10" Type="http://schemas.openxmlformats.org/officeDocument/2006/relationships/hyperlink" Target="mailto:compliance@buglerock.asia" TargetMode="External"/><Relationship Id="rId19" Type="http://schemas.openxmlformats.org/officeDocument/2006/relationships/hyperlink" Target="mailto:eam.compliance@sparkcapital.in" TargetMode="External"/><Relationship Id="rId31" Type="http://schemas.openxmlformats.org/officeDocument/2006/relationships/hyperlink" Target="mailto:compliance_pms@systematixgroup.in" TargetMode="External"/><Relationship Id="rId4" Type="http://schemas.openxmlformats.org/officeDocument/2006/relationships/hyperlink" Target="mailto:gautamgupta@globecapital.com" TargetMode="External"/><Relationship Id="rId9" Type="http://schemas.openxmlformats.org/officeDocument/2006/relationships/hyperlink" Target="mailto:compliance.moalts@motilaloswal.com" TargetMode="External"/><Relationship Id="rId14" Type="http://schemas.openxmlformats.org/officeDocument/2006/relationships/hyperlink" Target="mailto:complianceofficer@acm.co.in" TargetMode="External"/><Relationship Id="rId22" Type="http://schemas.openxmlformats.org/officeDocument/2006/relationships/hyperlink" Target="mailto:nikhil@wealthfirst.biz" TargetMode="External"/><Relationship Id="rId27" Type="http://schemas.openxmlformats.org/officeDocument/2006/relationships/hyperlink" Target="mailto:pragati.gholap@almondz.com" TargetMode="External"/><Relationship Id="rId30" Type="http://schemas.openxmlformats.org/officeDocument/2006/relationships/hyperlink" Target="mailto:bhavana@primeinvestor.in" TargetMode="External"/><Relationship Id="rId35" Type="http://schemas.openxmlformats.org/officeDocument/2006/relationships/hyperlink" Target="mailto:caudayalakshmi@nbhava.com" TargetMode="External"/><Relationship Id="rId8" Type="http://schemas.openxmlformats.org/officeDocument/2006/relationships/hyperlink" Target="mailto:pmscompliance@360.one" TargetMode="External"/><Relationship Id="rId3" Type="http://schemas.openxmlformats.org/officeDocument/2006/relationships/hyperlink" Target="mailto:co.pms@trustgroup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613"/>
  <sheetViews>
    <sheetView tabSelected="1" zoomScaleNormal="100" workbookViewId="0">
      <pane ySplit="1" topLeftCell="A62" activePane="bottomLeft" state="frozen"/>
      <selection pane="bottomLeft" activeCell="A122" sqref="A122"/>
    </sheetView>
  </sheetViews>
  <sheetFormatPr defaultColWidth="8.6640625" defaultRowHeight="14.25" x14ac:dyDescent="0.45"/>
  <cols>
    <col min="1" max="1" width="42.19921875" customWidth="1"/>
    <col min="2" max="2" width="42" customWidth="1"/>
    <col min="3" max="3" width="21.59765625" customWidth="1"/>
    <col min="4" max="4" width="34.1328125" customWidth="1"/>
    <col min="5" max="5" width="31.46484375" style="26" bestFit="1" customWidth="1"/>
    <col min="6" max="6" width="17.53125" style="22" bestFit="1" customWidth="1"/>
    <col min="7" max="7" width="14.53125" style="22" bestFit="1" customWidth="1"/>
    <col min="8" max="8" width="16.33203125" bestFit="1" customWidth="1"/>
    <col min="9" max="9" width="28.06640625" bestFit="1" customWidth="1"/>
    <col min="10" max="10" width="20.19921875" bestFit="1" customWidth="1"/>
    <col min="11" max="11" width="176.19921875" bestFit="1" customWidth="1"/>
    <col min="12" max="12" width="31.6640625" bestFit="1" customWidth="1"/>
    <col min="13" max="13" width="25.1328125" bestFit="1" customWidth="1"/>
    <col min="14" max="14" width="25.53125" bestFit="1" customWidth="1"/>
    <col min="15" max="15" width="40.59765625" bestFit="1" customWidth="1"/>
    <col min="16" max="16" width="29.46484375" bestFit="1" customWidth="1"/>
    <col min="17" max="17" width="167.59765625" bestFit="1" customWidth="1"/>
    <col min="18" max="18" width="28.796875" bestFit="1" customWidth="1"/>
    <col min="19" max="19" width="31.06640625" bestFit="1" customWidth="1"/>
    <col min="20" max="20" width="24.53125" bestFit="1" customWidth="1"/>
    <col min="21" max="21" width="25.265625" bestFit="1" customWidth="1"/>
    <col min="22" max="22" width="40.59765625" bestFit="1" customWidth="1"/>
    <col min="23" max="23" width="28.796875" bestFit="1" customWidth="1"/>
    <col min="24" max="24" width="17.46484375" bestFit="1" customWidth="1"/>
    <col min="25" max="25" width="14.9296875" bestFit="1" customWidth="1"/>
    <col min="26" max="26" width="12.59765625" bestFit="1" customWidth="1"/>
    <col min="27" max="27" width="17.1328125" bestFit="1" customWidth="1"/>
    <col min="28" max="28" width="20.46484375" bestFit="1" customWidth="1"/>
    <col min="29" max="29" width="20.6640625" bestFit="1" customWidth="1"/>
    <col min="31" max="31" width="18.53125" bestFit="1" customWidth="1"/>
    <col min="32" max="32" width="19.6640625" bestFit="1" customWidth="1"/>
    <col min="33" max="33" width="29.59765625" bestFit="1" customWidth="1"/>
    <col min="34" max="34" width="23.06640625" bestFit="1" customWidth="1"/>
    <col min="36" max="36" width="96.265625" bestFit="1" customWidth="1"/>
    <col min="37" max="37" width="21.59765625" bestFit="1" customWidth="1"/>
    <col min="38" max="38" width="18.6640625" bestFit="1" customWidth="1"/>
    <col min="39" max="39" width="49.73046875" bestFit="1" customWidth="1"/>
  </cols>
  <sheetData>
    <row r="1" spans="1:39" x14ac:dyDescent="0.45">
      <c r="A1" s="18" t="s">
        <v>28002</v>
      </c>
      <c r="B1" s="18" t="s">
        <v>28001</v>
      </c>
      <c r="C1" s="18" t="s">
        <v>28003</v>
      </c>
      <c r="D1" s="18" t="s">
        <v>28004</v>
      </c>
      <c r="E1" s="18" t="s">
        <v>28005</v>
      </c>
      <c r="F1" s="20" t="s">
        <v>28006</v>
      </c>
      <c r="G1" s="20" t="s">
        <v>28007</v>
      </c>
      <c r="H1" s="1" t="s">
        <v>28</v>
      </c>
      <c r="I1" s="1" t="s">
        <v>23</v>
      </c>
      <c r="J1" s="1" t="s">
        <v>1</v>
      </c>
      <c r="K1" s="1" t="s">
        <v>3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E1" s="1" t="s">
        <v>24</v>
      </c>
      <c r="AF1" s="1" t="s">
        <v>25</v>
      </c>
      <c r="AG1" s="1" t="s">
        <v>26</v>
      </c>
      <c r="AH1" s="1" t="s">
        <v>27</v>
      </c>
      <c r="AJ1" s="1" t="s">
        <v>29</v>
      </c>
      <c r="AK1" s="1" t="s">
        <v>30</v>
      </c>
      <c r="AL1" s="1" t="s">
        <v>31</v>
      </c>
      <c r="AM1" s="1" t="s">
        <v>32</v>
      </c>
    </row>
    <row r="2" spans="1:39" s="12" customFormat="1" x14ac:dyDescent="0.45">
      <c r="A2" s="9" t="s">
        <v>33</v>
      </c>
      <c r="B2" s="9"/>
      <c r="C2" s="10" t="s">
        <v>35</v>
      </c>
      <c r="D2" s="11" t="s">
        <v>37</v>
      </c>
      <c r="E2" s="23" t="s">
        <v>27973</v>
      </c>
      <c r="F2" s="28">
        <v>46202</v>
      </c>
      <c r="G2" s="37" t="s">
        <v>27998</v>
      </c>
      <c r="H2" s="10" t="s">
        <v>50</v>
      </c>
      <c r="I2" s="10" t="s">
        <v>47</v>
      </c>
      <c r="J2" s="10" t="s">
        <v>34</v>
      </c>
      <c r="K2" s="10" t="s">
        <v>36</v>
      </c>
      <c r="L2" s="10" t="s">
        <v>38</v>
      </c>
      <c r="M2" s="10" t="s">
        <v>38</v>
      </c>
      <c r="N2" s="10" t="s">
        <v>39</v>
      </c>
      <c r="O2" s="10" t="s">
        <v>40</v>
      </c>
      <c r="P2" s="10" t="s">
        <v>41</v>
      </c>
      <c r="Q2" s="10" t="s">
        <v>42</v>
      </c>
      <c r="R2" s="10"/>
      <c r="S2" s="10"/>
      <c r="T2" s="10"/>
      <c r="U2" s="10" t="s">
        <v>39</v>
      </c>
      <c r="V2" s="10" t="s">
        <v>40</v>
      </c>
      <c r="W2" s="10" t="s">
        <v>41</v>
      </c>
      <c r="X2" s="10" t="s">
        <v>43</v>
      </c>
      <c r="Y2" s="10" t="s">
        <v>44</v>
      </c>
      <c r="Z2" s="10"/>
      <c r="AA2" s="10" t="s">
        <v>45</v>
      </c>
      <c r="AB2" s="10" t="s">
        <v>46</v>
      </c>
      <c r="AC2" s="10" t="s">
        <v>45</v>
      </c>
      <c r="AE2" s="10" t="s">
        <v>48</v>
      </c>
      <c r="AF2" s="10" t="s">
        <v>49</v>
      </c>
      <c r="AG2" s="10">
        <v>100</v>
      </c>
      <c r="AH2" s="10">
        <v>100</v>
      </c>
      <c r="AJ2" s="10" t="s">
        <v>51</v>
      </c>
      <c r="AK2" s="10"/>
      <c r="AL2" s="10"/>
      <c r="AM2" s="10" t="s">
        <v>52</v>
      </c>
    </row>
    <row r="3" spans="1:39" s="12" customFormat="1" x14ac:dyDescent="0.45">
      <c r="A3" s="9" t="s">
        <v>53</v>
      </c>
      <c r="B3" s="9"/>
      <c r="C3" s="10" t="s">
        <v>55</v>
      </c>
      <c r="D3" s="11" t="s">
        <v>57</v>
      </c>
      <c r="E3" s="23" t="s">
        <v>27973</v>
      </c>
      <c r="F3" s="28">
        <v>46202</v>
      </c>
      <c r="G3" s="37" t="s">
        <v>27998</v>
      </c>
      <c r="H3" s="10" t="s">
        <v>50</v>
      </c>
      <c r="I3" s="10" t="s">
        <v>64</v>
      </c>
      <c r="J3" s="10" t="s">
        <v>54</v>
      </c>
      <c r="K3" s="10" t="s">
        <v>56</v>
      </c>
      <c r="L3" s="10" t="s">
        <v>58</v>
      </c>
      <c r="M3" s="10" t="s">
        <v>58</v>
      </c>
      <c r="N3" s="10" t="s">
        <v>59</v>
      </c>
      <c r="O3" s="10" t="s">
        <v>60</v>
      </c>
      <c r="P3" s="10" t="s">
        <v>61</v>
      </c>
      <c r="Q3" s="10" t="s">
        <v>62</v>
      </c>
      <c r="R3" s="10"/>
      <c r="S3" s="10"/>
      <c r="T3" s="10"/>
      <c r="U3" s="10" t="s">
        <v>59</v>
      </c>
      <c r="V3" s="10" t="s">
        <v>60</v>
      </c>
      <c r="W3" s="10" t="s">
        <v>61</v>
      </c>
      <c r="X3" s="10" t="s">
        <v>63</v>
      </c>
      <c r="Y3" s="10" t="s">
        <v>44</v>
      </c>
      <c r="Z3" s="10"/>
      <c r="AA3" s="10" t="s">
        <v>45</v>
      </c>
      <c r="AB3" s="10" t="s">
        <v>46</v>
      </c>
      <c r="AC3" s="10" t="s">
        <v>45</v>
      </c>
      <c r="AE3" s="10" t="s">
        <v>48</v>
      </c>
      <c r="AF3" s="10" t="s">
        <v>49</v>
      </c>
      <c r="AG3" s="10">
        <v>100</v>
      </c>
      <c r="AH3" s="10">
        <v>100</v>
      </c>
      <c r="AJ3" s="10" t="s">
        <v>65</v>
      </c>
      <c r="AK3" s="10"/>
      <c r="AL3" s="10"/>
      <c r="AM3" s="10" t="s">
        <v>52</v>
      </c>
    </row>
    <row r="4" spans="1:39" s="12" customFormat="1" x14ac:dyDescent="0.45">
      <c r="A4" s="9" t="s">
        <v>66</v>
      </c>
      <c r="B4" s="9"/>
      <c r="C4" s="9" t="s">
        <v>68</v>
      </c>
      <c r="D4" s="11" t="s">
        <v>70</v>
      </c>
      <c r="E4" s="23" t="s">
        <v>27973</v>
      </c>
      <c r="F4" s="28">
        <v>46202</v>
      </c>
      <c r="G4" s="37" t="s">
        <v>27998</v>
      </c>
      <c r="H4" s="10" t="s">
        <v>50</v>
      </c>
      <c r="I4" s="10" t="s">
        <v>77</v>
      </c>
      <c r="J4" s="10" t="s">
        <v>67</v>
      </c>
      <c r="K4" s="10" t="s">
        <v>69</v>
      </c>
      <c r="L4" s="10" t="s">
        <v>71</v>
      </c>
      <c r="M4" s="10" t="s">
        <v>71</v>
      </c>
      <c r="N4" s="10" t="s">
        <v>72</v>
      </c>
      <c r="O4" s="10" t="s">
        <v>73</v>
      </c>
      <c r="P4" s="10" t="s">
        <v>74</v>
      </c>
      <c r="Q4" s="10" t="s">
        <v>75</v>
      </c>
      <c r="R4" s="10"/>
      <c r="S4" s="10"/>
      <c r="T4" s="10"/>
      <c r="U4" s="10" t="s">
        <v>72</v>
      </c>
      <c r="V4" s="10" t="s">
        <v>73</v>
      </c>
      <c r="W4" s="10" t="s">
        <v>74</v>
      </c>
      <c r="X4" s="10" t="s">
        <v>76</v>
      </c>
      <c r="Y4" s="10" t="s">
        <v>44</v>
      </c>
      <c r="Z4" s="10"/>
      <c r="AA4" s="10" t="s">
        <v>45</v>
      </c>
      <c r="AB4" s="10" t="s">
        <v>46</v>
      </c>
      <c r="AC4" s="10" t="s">
        <v>45</v>
      </c>
      <c r="AE4" s="10" t="s">
        <v>48</v>
      </c>
      <c r="AF4" s="10" t="s">
        <v>49</v>
      </c>
      <c r="AG4" s="10">
        <v>100</v>
      </c>
      <c r="AH4" s="10">
        <v>100</v>
      </c>
      <c r="AJ4" s="10" t="s">
        <v>78</v>
      </c>
      <c r="AK4" s="10"/>
      <c r="AL4" s="10"/>
      <c r="AM4" s="10" t="s">
        <v>52</v>
      </c>
    </row>
    <row r="5" spans="1:39" s="12" customFormat="1" x14ac:dyDescent="0.45">
      <c r="A5" s="9" t="s">
        <v>79</v>
      </c>
      <c r="B5" s="9"/>
      <c r="C5" s="9" t="s">
        <v>81</v>
      </c>
      <c r="D5" s="11" t="s">
        <v>83</v>
      </c>
      <c r="E5" s="23" t="s">
        <v>27973</v>
      </c>
      <c r="F5" s="28">
        <v>46202</v>
      </c>
      <c r="G5" s="37" t="s">
        <v>27998</v>
      </c>
      <c r="H5" s="10" t="s">
        <v>50</v>
      </c>
      <c r="I5" s="10" t="s">
        <v>89</v>
      </c>
      <c r="J5" s="10" t="s">
        <v>80</v>
      </c>
      <c r="K5" s="10" t="s">
        <v>82</v>
      </c>
      <c r="L5" s="10" t="s">
        <v>84</v>
      </c>
      <c r="M5" s="10" t="s">
        <v>84</v>
      </c>
      <c r="N5" s="10" t="s">
        <v>85</v>
      </c>
      <c r="O5" s="10" t="s">
        <v>86</v>
      </c>
      <c r="P5" s="10" t="s">
        <v>87</v>
      </c>
      <c r="Q5" s="10" t="s">
        <v>82</v>
      </c>
      <c r="R5" s="10"/>
      <c r="S5" s="10"/>
      <c r="T5" s="10"/>
      <c r="U5" s="10" t="s">
        <v>85</v>
      </c>
      <c r="V5" s="10" t="s">
        <v>86</v>
      </c>
      <c r="W5" s="10" t="s">
        <v>87</v>
      </c>
      <c r="X5" s="10" t="s">
        <v>88</v>
      </c>
      <c r="Y5" s="10" t="s">
        <v>44</v>
      </c>
      <c r="Z5" s="10"/>
      <c r="AA5" s="10" t="s">
        <v>45</v>
      </c>
      <c r="AB5" s="10" t="s">
        <v>46</v>
      </c>
      <c r="AC5" s="10" t="s">
        <v>45</v>
      </c>
      <c r="AE5" s="10" t="s">
        <v>48</v>
      </c>
      <c r="AF5" s="10" t="s">
        <v>49</v>
      </c>
      <c r="AG5" s="10">
        <v>100</v>
      </c>
      <c r="AH5" s="10">
        <v>100</v>
      </c>
      <c r="AJ5" s="10" t="s">
        <v>90</v>
      </c>
      <c r="AK5" s="10"/>
      <c r="AL5" s="10"/>
      <c r="AM5" s="10" t="s">
        <v>52</v>
      </c>
    </row>
    <row r="6" spans="1:39" s="12" customFormat="1" x14ac:dyDescent="0.45">
      <c r="A6" s="9" t="s">
        <v>91</v>
      </c>
      <c r="B6" s="9"/>
      <c r="C6" s="9" t="s">
        <v>93</v>
      </c>
      <c r="D6" s="11" t="s">
        <v>95</v>
      </c>
      <c r="E6" s="23" t="s">
        <v>27973</v>
      </c>
      <c r="F6" s="28">
        <v>46202</v>
      </c>
      <c r="G6" s="37" t="s">
        <v>27998</v>
      </c>
      <c r="H6" s="10" t="s">
        <v>50</v>
      </c>
      <c r="I6" s="10" t="s">
        <v>100</v>
      </c>
      <c r="J6" s="10" t="s">
        <v>92</v>
      </c>
      <c r="K6" s="10" t="s">
        <v>94</v>
      </c>
      <c r="L6" s="10" t="s">
        <v>96</v>
      </c>
      <c r="M6" s="10" t="s">
        <v>97</v>
      </c>
      <c r="N6" s="10" t="s">
        <v>72</v>
      </c>
      <c r="O6" s="10" t="s">
        <v>73</v>
      </c>
      <c r="P6" s="10" t="s">
        <v>98</v>
      </c>
      <c r="Q6" s="10" t="s">
        <v>94</v>
      </c>
      <c r="R6" s="10"/>
      <c r="S6" s="10"/>
      <c r="T6" s="10"/>
      <c r="U6" s="10" t="s">
        <v>72</v>
      </c>
      <c r="V6" s="10" t="s">
        <v>73</v>
      </c>
      <c r="W6" s="10" t="s">
        <v>98</v>
      </c>
      <c r="X6" s="10" t="s">
        <v>99</v>
      </c>
      <c r="Y6" s="10" t="s">
        <v>44</v>
      </c>
      <c r="Z6" s="10"/>
      <c r="AA6" s="10" t="s">
        <v>45</v>
      </c>
      <c r="AB6" s="10" t="s">
        <v>46</v>
      </c>
      <c r="AC6" s="10" t="s">
        <v>45</v>
      </c>
      <c r="AE6" s="10" t="s">
        <v>48</v>
      </c>
      <c r="AF6" s="10" t="s">
        <v>49</v>
      </c>
      <c r="AG6" s="10">
        <v>100</v>
      </c>
      <c r="AH6" s="10">
        <v>100</v>
      </c>
      <c r="AJ6" s="10" t="s">
        <v>101</v>
      </c>
      <c r="AK6" s="10"/>
      <c r="AL6" s="10"/>
      <c r="AM6" s="10" t="s">
        <v>52</v>
      </c>
    </row>
    <row r="7" spans="1:39" s="36" customFormat="1" x14ac:dyDescent="0.45">
      <c r="A7" s="31" t="s">
        <v>102</v>
      </c>
      <c r="B7" s="31"/>
      <c r="C7" s="31" t="s">
        <v>104</v>
      </c>
      <c r="D7" s="32" t="s">
        <v>106</v>
      </c>
      <c r="E7" s="33"/>
      <c r="F7" s="34"/>
      <c r="G7" s="40" t="s">
        <v>27998</v>
      </c>
      <c r="H7" s="35" t="s">
        <v>50</v>
      </c>
      <c r="I7" s="35" t="s">
        <v>111</v>
      </c>
      <c r="J7" s="35" t="s">
        <v>103</v>
      </c>
      <c r="K7" s="35" t="s">
        <v>105</v>
      </c>
      <c r="L7" s="35" t="s">
        <v>107</v>
      </c>
      <c r="M7" s="35" t="s">
        <v>107</v>
      </c>
      <c r="N7" s="35" t="s">
        <v>59</v>
      </c>
      <c r="O7" s="35" t="s">
        <v>60</v>
      </c>
      <c r="P7" s="35" t="s">
        <v>108</v>
      </c>
      <c r="Q7" s="35" t="s">
        <v>109</v>
      </c>
      <c r="R7" s="35"/>
      <c r="S7" s="35"/>
      <c r="T7" s="35"/>
      <c r="U7" s="35" t="s">
        <v>59</v>
      </c>
      <c r="V7" s="35" t="s">
        <v>60</v>
      </c>
      <c r="W7" s="35" t="s">
        <v>108</v>
      </c>
      <c r="X7" s="35" t="s">
        <v>110</v>
      </c>
      <c r="Y7" s="35" t="s">
        <v>44</v>
      </c>
      <c r="Z7" s="35"/>
      <c r="AA7" s="35" t="s">
        <v>45</v>
      </c>
      <c r="AB7" s="35" t="s">
        <v>46</v>
      </c>
      <c r="AC7" s="35" t="s">
        <v>45</v>
      </c>
      <c r="AE7" s="35" t="s">
        <v>48</v>
      </c>
      <c r="AF7" s="35" t="s">
        <v>49</v>
      </c>
      <c r="AG7" s="35">
        <v>100</v>
      </c>
      <c r="AH7" s="35">
        <v>100</v>
      </c>
      <c r="AJ7" s="35" t="s">
        <v>112</v>
      </c>
      <c r="AK7" s="35"/>
      <c r="AL7" s="35"/>
      <c r="AM7" s="35" t="s">
        <v>52</v>
      </c>
    </row>
    <row r="8" spans="1:39" s="12" customFormat="1" x14ac:dyDescent="0.45">
      <c r="A8" s="9" t="s">
        <v>113</v>
      </c>
      <c r="B8" s="9"/>
      <c r="C8" s="9" t="s">
        <v>115</v>
      </c>
      <c r="D8" s="11" t="s">
        <v>117</v>
      </c>
      <c r="E8" s="23" t="s">
        <v>27973</v>
      </c>
      <c r="F8" s="28">
        <v>46202</v>
      </c>
      <c r="G8" s="37" t="s">
        <v>27998</v>
      </c>
      <c r="H8" s="10" t="s">
        <v>50</v>
      </c>
      <c r="I8" s="10" t="s">
        <v>122</v>
      </c>
      <c r="J8" s="10" t="s">
        <v>114</v>
      </c>
      <c r="K8" s="10" t="s">
        <v>116</v>
      </c>
      <c r="L8" s="10" t="s">
        <v>118</v>
      </c>
      <c r="M8" s="10" t="s">
        <v>118</v>
      </c>
      <c r="N8" s="10" t="s">
        <v>72</v>
      </c>
      <c r="O8" s="10" t="s">
        <v>73</v>
      </c>
      <c r="P8" s="10" t="s">
        <v>119</v>
      </c>
      <c r="Q8" s="10" t="s">
        <v>120</v>
      </c>
      <c r="R8" s="10"/>
      <c r="S8" s="10"/>
      <c r="T8" s="10"/>
      <c r="U8" s="10" t="s">
        <v>72</v>
      </c>
      <c r="V8" s="10" t="s">
        <v>73</v>
      </c>
      <c r="W8" s="10" t="s">
        <v>98</v>
      </c>
      <c r="X8" s="10" t="s">
        <v>121</v>
      </c>
      <c r="Y8" s="10" t="s">
        <v>44</v>
      </c>
      <c r="Z8" s="10"/>
      <c r="AA8" s="10" t="s">
        <v>45</v>
      </c>
      <c r="AB8" s="10" t="s">
        <v>46</v>
      </c>
      <c r="AC8" s="10" t="s">
        <v>45</v>
      </c>
      <c r="AE8" s="10" t="s">
        <v>48</v>
      </c>
      <c r="AF8" s="10" t="s">
        <v>49</v>
      </c>
      <c r="AG8" s="10">
        <v>100</v>
      </c>
      <c r="AH8" s="10">
        <v>100</v>
      </c>
      <c r="AJ8" s="10" t="s">
        <v>123</v>
      </c>
      <c r="AK8" s="10"/>
      <c r="AL8" s="10"/>
      <c r="AM8" s="10" t="s">
        <v>52</v>
      </c>
    </row>
    <row r="9" spans="1:39" s="12" customFormat="1" x14ac:dyDescent="0.45">
      <c r="A9" s="9" t="s">
        <v>124</v>
      </c>
      <c r="B9" s="9"/>
      <c r="C9" s="9" t="s">
        <v>126</v>
      </c>
      <c r="D9" s="11" t="s">
        <v>128</v>
      </c>
      <c r="E9" s="23" t="s">
        <v>27973</v>
      </c>
      <c r="F9" s="28">
        <v>46202</v>
      </c>
      <c r="G9" s="37" t="s">
        <v>27998</v>
      </c>
      <c r="H9" s="10" t="s">
        <v>50</v>
      </c>
      <c r="I9" s="10" t="s">
        <v>132</v>
      </c>
      <c r="J9" s="10" t="s">
        <v>125</v>
      </c>
      <c r="K9" s="10" t="s">
        <v>127</v>
      </c>
      <c r="L9" s="10" t="s">
        <v>129</v>
      </c>
      <c r="M9" s="10" t="s">
        <v>129</v>
      </c>
      <c r="N9" s="10" t="s">
        <v>72</v>
      </c>
      <c r="O9" s="10" t="s">
        <v>73</v>
      </c>
      <c r="P9" s="10" t="s">
        <v>98</v>
      </c>
      <c r="Q9" s="10" t="s">
        <v>130</v>
      </c>
      <c r="R9" s="10"/>
      <c r="S9" s="10"/>
      <c r="T9" s="10"/>
      <c r="U9" s="10" t="s">
        <v>72</v>
      </c>
      <c r="V9" s="10" t="s">
        <v>73</v>
      </c>
      <c r="W9" s="10" t="s">
        <v>98</v>
      </c>
      <c r="X9" s="10" t="s">
        <v>131</v>
      </c>
      <c r="Y9" s="10" t="s">
        <v>44</v>
      </c>
      <c r="Z9" s="10"/>
      <c r="AA9" s="10" t="s">
        <v>45</v>
      </c>
      <c r="AB9" s="10" t="s">
        <v>46</v>
      </c>
      <c r="AC9" s="10" t="s">
        <v>45</v>
      </c>
      <c r="AE9" s="10" t="s">
        <v>48</v>
      </c>
      <c r="AF9" s="10" t="s">
        <v>49</v>
      </c>
      <c r="AG9" s="10">
        <v>100</v>
      </c>
      <c r="AH9" s="10">
        <v>100</v>
      </c>
      <c r="AJ9" s="10" t="s">
        <v>133</v>
      </c>
      <c r="AK9" s="10"/>
      <c r="AL9" s="10"/>
      <c r="AM9" s="10" t="s">
        <v>52</v>
      </c>
    </row>
    <row r="10" spans="1:39" s="12" customFormat="1" x14ac:dyDescent="0.45">
      <c r="A10" s="9" t="s">
        <v>134</v>
      </c>
      <c r="B10" s="9"/>
      <c r="C10" s="9" t="s">
        <v>136</v>
      </c>
      <c r="D10" s="11" t="s">
        <v>138</v>
      </c>
      <c r="E10" s="23" t="s">
        <v>27973</v>
      </c>
      <c r="F10" s="28">
        <v>46202</v>
      </c>
      <c r="G10" s="37" t="s">
        <v>27998</v>
      </c>
      <c r="H10" s="10" t="s">
        <v>50</v>
      </c>
      <c r="I10" s="10" t="s">
        <v>143</v>
      </c>
      <c r="J10" s="10" t="s">
        <v>135</v>
      </c>
      <c r="K10" s="10" t="s">
        <v>137</v>
      </c>
      <c r="L10" s="10" t="s">
        <v>139</v>
      </c>
      <c r="M10" s="10" t="s">
        <v>139</v>
      </c>
      <c r="N10" s="10" t="s">
        <v>72</v>
      </c>
      <c r="O10" s="10" t="s">
        <v>73</v>
      </c>
      <c r="P10" s="10" t="s">
        <v>140</v>
      </c>
      <c r="Q10" s="10" t="s">
        <v>141</v>
      </c>
      <c r="R10" s="10"/>
      <c r="S10" s="10"/>
      <c r="T10" s="10"/>
      <c r="U10" s="10" t="s">
        <v>72</v>
      </c>
      <c r="V10" s="10" t="s">
        <v>73</v>
      </c>
      <c r="W10" s="10" t="s">
        <v>140</v>
      </c>
      <c r="X10" s="10" t="s">
        <v>142</v>
      </c>
      <c r="Y10" s="10" t="s">
        <v>44</v>
      </c>
      <c r="Z10" s="10"/>
      <c r="AA10" s="10" t="s">
        <v>45</v>
      </c>
      <c r="AB10" s="10" t="s">
        <v>46</v>
      </c>
      <c r="AC10" s="10" t="s">
        <v>45</v>
      </c>
      <c r="AE10" s="10" t="s">
        <v>48</v>
      </c>
      <c r="AF10" s="10" t="s">
        <v>49</v>
      </c>
      <c r="AG10" s="10">
        <v>100</v>
      </c>
      <c r="AH10" s="10">
        <v>100</v>
      </c>
      <c r="AJ10" s="10" t="s">
        <v>144</v>
      </c>
      <c r="AK10" s="10"/>
      <c r="AL10" s="10"/>
      <c r="AM10" s="10" t="s">
        <v>52</v>
      </c>
    </row>
    <row r="11" spans="1:39" s="12" customFormat="1" x14ac:dyDescent="0.45">
      <c r="A11" s="9" t="s">
        <v>145</v>
      </c>
      <c r="B11" s="9"/>
      <c r="C11" s="9" t="s">
        <v>147</v>
      </c>
      <c r="D11" s="11" t="s">
        <v>149</v>
      </c>
      <c r="E11" s="23" t="s">
        <v>27973</v>
      </c>
      <c r="F11" s="28">
        <v>46202</v>
      </c>
      <c r="G11" s="37" t="s">
        <v>27998</v>
      </c>
      <c r="H11" s="10" t="s">
        <v>50</v>
      </c>
      <c r="I11" s="10" t="s">
        <v>154</v>
      </c>
      <c r="J11" s="10" t="s">
        <v>146</v>
      </c>
      <c r="K11" s="10" t="s">
        <v>148</v>
      </c>
      <c r="L11" s="10" t="s">
        <v>150</v>
      </c>
      <c r="M11" s="10"/>
      <c r="N11" s="10" t="s">
        <v>59</v>
      </c>
      <c r="O11" s="10" t="s">
        <v>60</v>
      </c>
      <c r="P11" s="10" t="s">
        <v>151</v>
      </c>
      <c r="Q11" s="10" t="s">
        <v>152</v>
      </c>
      <c r="R11" s="10"/>
      <c r="S11" s="10"/>
      <c r="T11" s="10"/>
      <c r="U11" s="10" t="s">
        <v>72</v>
      </c>
      <c r="V11" s="10" t="s">
        <v>73</v>
      </c>
      <c r="W11" s="10" t="s">
        <v>98</v>
      </c>
      <c r="X11" s="10" t="s">
        <v>153</v>
      </c>
      <c r="Y11" s="10" t="s">
        <v>44</v>
      </c>
      <c r="Z11" s="10"/>
      <c r="AA11" s="10" t="s">
        <v>45</v>
      </c>
      <c r="AB11" s="10" t="s">
        <v>46</v>
      </c>
      <c r="AC11" s="10" t="s">
        <v>45</v>
      </c>
      <c r="AE11" s="10" t="s">
        <v>48</v>
      </c>
      <c r="AF11" s="10" t="s">
        <v>49</v>
      </c>
      <c r="AG11" s="10">
        <v>100</v>
      </c>
      <c r="AH11" s="10">
        <v>100</v>
      </c>
      <c r="AJ11" s="10" t="s">
        <v>155</v>
      </c>
      <c r="AK11" s="10"/>
      <c r="AL11" s="10"/>
      <c r="AM11" s="10" t="s">
        <v>52</v>
      </c>
    </row>
    <row r="12" spans="1:39" s="12" customFormat="1" x14ac:dyDescent="0.45">
      <c r="A12" s="9" t="s">
        <v>156</v>
      </c>
      <c r="B12" s="9"/>
      <c r="C12" s="9" t="s">
        <v>158</v>
      </c>
      <c r="D12" s="11" t="s">
        <v>160</v>
      </c>
      <c r="E12" s="23" t="s">
        <v>27973</v>
      </c>
      <c r="F12" s="28">
        <v>46202</v>
      </c>
      <c r="G12" s="37" t="s">
        <v>27998</v>
      </c>
      <c r="H12" s="10" t="s">
        <v>50</v>
      </c>
      <c r="I12" s="10" t="s">
        <v>165</v>
      </c>
      <c r="J12" s="10" t="s">
        <v>157</v>
      </c>
      <c r="K12" s="10" t="s">
        <v>159</v>
      </c>
      <c r="L12" s="10" t="s">
        <v>161</v>
      </c>
      <c r="M12" s="10"/>
      <c r="N12" s="10" t="s">
        <v>72</v>
      </c>
      <c r="O12" s="10" t="s">
        <v>73</v>
      </c>
      <c r="P12" s="10" t="s">
        <v>162</v>
      </c>
      <c r="Q12" s="10" t="s">
        <v>163</v>
      </c>
      <c r="R12" s="10"/>
      <c r="S12" s="10"/>
      <c r="T12" s="10"/>
      <c r="U12" s="10" t="s">
        <v>72</v>
      </c>
      <c r="V12" s="10" t="s">
        <v>73</v>
      </c>
      <c r="W12" s="10" t="s">
        <v>162</v>
      </c>
      <c r="X12" s="10" t="s">
        <v>164</v>
      </c>
      <c r="Y12" s="10" t="s">
        <v>44</v>
      </c>
      <c r="Z12" s="10"/>
      <c r="AA12" s="10" t="s">
        <v>45</v>
      </c>
      <c r="AB12" s="10" t="s">
        <v>46</v>
      </c>
      <c r="AC12" s="10" t="s">
        <v>45</v>
      </c>
      <c r="AE12" s="10" t="s">
        <v>48</v>
      </c>
      <c r="AF12" s="10" t="s">
        <v>49</v>
      </c>
      <c r="AG12" s="10">
        <v>100</v>
      </c>
      <c r="AH12" s="10">
        <v>100</v>
      </c>
      <c r="AJ12" s="10" t="s">
        <v>166</v>
      </c>
      <c r="AK12" s="10"/>
      <c r="AL12" s="10"/>
      <c r="AM12" s="10" t="s">
        <v>52</v>
      </c>
    </row>
    <row r="13" spans="1:39" s="12" customFormat="1" x14ac:dyDescent="0.45">
      <c r="A13" s="9" t="s">
        <v>167</v>
      </c>
      <c r="B13" s="9"/>
      <c r="C13" s="10" t="s">
        <v>169</v>
      </c>
      <c r="D13" s="11" t="s">
        <v>171</v>
      </c>
      <c r="E13" s="23" t="s">
        <v>27973</v>
      </c>
      <c r="F13" s="28">
        <v>46202</v>
      </c>
      <c r="G13" s="37" t="s">
        <v>27998</v>
      </c>
      <c r="H13" s="10" t="s">
        <v>50</v>
      </c>
      <c r="I13" s="10" t="s">
        <v>179</v>
      </c>
      <c r="J13" s="10" t="s">
        <v>168</v>
      </c>
      <c r="K13" s="10" t="s">
        <v>170</v>
      </c>
      <c r="L13" s="10" t="s">
        <v>172</v>
      </c>
      <c r="M13" s="10" t="s">
        <v>173</v>
      </c>
      <c r="N13" s="10" t="s">
        <v>174</v>
      </c>
      <c r="O13" s="10" t="s">
        <v>175</v>
      </c>
      <c r="P13" s="10" t="s">
        <v>176</v>
      </c>
      <c r="Q13" s="10" t="s">
        <v>177</v>
      </c>
      <c r="R13" s="10"/>
      <c r="S13" s="10"/>
      <c r="T13" s="10"/>
      <c r="U13" s="10" t="s">
        <v>174</v>
      </c>
      <c r="V13" s="10" t="s">
        <v>175</v>
      </c>
      <c r="W13" s="10" t="s">
        <v>176</v>
      </c>
      <c r="X13" s="10" t="s">
        <v>178</v>
      </c>
      <c r="Y13" s="10" t="s">
        <v>44</v>
      </c>
      <c r="Z13" s="10"/>
      <c r="AA13" s="10" t="s">
        <v>45</v>
      </c>
      <c r="AB13" s="10" t="s">
        <v>46</v>
      </c>
      <c r="AC13" s="10" t="s">
        <v>45</v>
      </c>
      <c r="AE13" s="10" t="s">
        <v>48</v>
      </c>
      <c r="AF13" s="10" t="s">
        <v>49</v>
      </c>
      <c r="AG13" s="10">
        <v>100</v>
      </c>
      <c r="AH13" s="10">
        <v>100</v>
      </c>
      <c r="AJ13" s="10" t="s">
        <v>180</v>
      </c>
      <c r="AK13" s="10"/>
      <c r="AL13" s="10"/>
      <c r="AM13" s="10" t="s">
        <v>52</v>
      </c>
    </row>
    <row r="14" spans="1:39" s="12" customFormat="1" x14ac:dyDescent="0.45">
      <c r="A14" s="10" t="s">
        <v>181</v>
      </c>
      <c r="B14" s="10"/>
      <c r="C14" s="9" t="s">
        <v>183</v>
      </c>
      <c r="D14" s="11" t="s">
        <v>185</v>
      </c>
      <c r="E14" s="23" t="s">
        <v>27973</v>
      </c>
      <c r="F14" s="28">
        <v>46202</v>
      </c>
      <c r="G14" s="37" t="s">
        <v>27998</v>
      </c>
      <c r="H14" s="10" t="s">
        <v>50</v>
      </c>
      <c r="I14" s="10" t="s">
        <v>189</v>
      </c>
      <c r="J14" s="10" t="s">
        <v>182</v>
      </c>
      <c r="K14" s="10" t="s">
        <v>184</v>
      </c>
      <c r="L14" s="10" t="s">
        <v>186</v>
      </c>
      <c r="M14" s="10" t="s">
        <v>186</v>
      </c>
      <c r="N14" s="10" t="s">
        <v>72</v>
      </c>
      <c r="O14" s="10" t="s">
        <v>73</v>
      </c>
      <c r="P14" s="10" t="s">
        <v>187</v>
      </c>
      <c r="Q14" s="10"/>
      <c r="R14" s="10"/>
      <c r="S14" s="10"/>
      <c r="T14" s="10"/>
      <c r="U14" s="10"/>
      <c r="V14" s="10"/>
      <c r="W14" s="10"/>
      <c r="X14" s="10" t="s">
        <v>188</v>
      </c>
      <c r="Y14" s="10" t="s">
        <v>44</v>
      </c>
      <c r="Z14" s="10"/>
      <c r="AA14" s="10" t="s">
        <v>45</v>
      </c>
      <c r="AB14" s="10" t="s">
        <v>46</v>
      </c>
      <c r="AC14" s="10" t="s">
        <v>45</v>
      </c>
      <c r="AE14" s="10" t="s">
        <v>48</v>
      </c>
      <c r="AF14" s="10" t="s">
        <v>49</v>
      </c>
      <c r="AG14" s="10">
        <v>100</v>
      </c>
      <c r="AH14" s="10">
        <v>100</v>
      </c>
      <c r="AJ14" s="10" t="s">
        <v>190</v>
      </c>
      <c r="AK14" s="10"/>
      <c r="AL14" s="10"/>
      <c r="AM14" s="10" t="s">
        <v>52</v>
      </c>
    </row>
    <row r="15" spans="1:39" s="12" customFormat="1" x14ac:dyDescent="0.45">
      <c r="A15" s="10" t="s">
        <v>191</v>
      </c>
      <c r="B15" s="10"/>
      <c r="C15" s="10" t="s">
        <v>193</v>
      </c>
      <c r="D15" s="11" t="s">
        <v>195</v>
      </c>
      <c r="E15" s="23" t="s">
        <v>27973</v>
      </c>
      <c r="F15" s="28">
        <v>46202</v>
      </c>
      <c r="G15" s="37" t="s">
        <v>27998</v>
      </c>
      <c r="H15" s="10" t="s">
        <v>50</v>
      </c>
      <c r="I15" s="10" t="s">
        <v>200</v>
      </c>
      <c r="J15" s="10" t="s">
        <v>192</v>
      </c>
      <c r="K15" s="10" t="s">
        <v>194</v>
      </c>
      <c r="L15" s="10" t="s">
        <v>196</v>
      </c>
      <c r="M15" s="10"/>
      <c r="N15" s="10" t="s">
        <v>72</v>
      </c>
      <c r="O15" s="10" t="s">
        <v>73</v>
      </c>
      <c r="P15" s="10" t="s">
        <v>197</v>
      </c>
      <c r="Q15" s="10" t="s">
        <v>194</v>
      </c>
      <c r="R15" s="10"/>
      <c r="S15" s="10"/>
      <c r="T15" s="10"/>
      <c r="U15" s="10" t="s">
        <v>72</v>
      </c>
      <c r="V15" s="10" t="s">
        <v>73</v>
      </c>
      <c r="W15" s="10" t="s">
        <v>197</v>
      </c>
      <c r="X15" s="10" t="s">
        <v>198</v>
      </c>
      <c r="Y15" s="10" t="s">
        <v>44</v>
      </c>
      <c r="Z15" s="10"/>
      <c r="AA15" s="10" t="s">
        <v>45</v>
      </c>
      <c r="AB15" s="10" t="s">
        <v>199</v>
      </c>
      <c r="AC15" s="10" t="s">
        <v>45</v>
      </c>
      <c r="AE15" s="10" t="s">
        <v>48</v>
      </c>
      <c r="AF15" s="10" t="s">
        <v>49</v>
      </c>
      <c r="AG15" s="10">
        <v>100</v>
      </c>
      <c r="AH15" s="10">
        <v>100</v>
      </c>
      <c r="AJ15" s="10" t="s">
        <v>201</v>
      </c>
      <c r="AK15" s="10"/>
      <c r="AL15" s="10"/>
      <c r="AM15" s="10" t="s">
        <v>52</v>
      </c>
    </row>
    <row r="16" spans="1:39" s="12" customFormat="1" x14ac:dyDescent="0.45">
      <c r="A16" s="10" t="s">
        <v>202</v>
      </c>
      <c r="B16" s="10"/>
      <c r="C16" s="10" t="s">
        <v>204</v>
      </c>
      <c r="D16" s="11" t="s">
        <v>206</v>
      </c>
      <c r="E16" s="23" t="s">
        <v>27973</v>
      </c>
      <c r="F16" s="28">
        <v>46202</v>
      </c>
      <c r="G16" s="37" t="s">
        <v>27998</v>
      </c>
      <c r="H16" s="10" t="s">
        <v>50</v>
      </c>
      <c r="I16" s="10" t="s">
        <v>208</v>
      </c>
      <c r="J16" s="10" t="s">
        <v>203</v>
      </c>
      <c r="K16" s="10" t="s">
        <v>205</v>
      </c>
      <c r="L16" s="10" t="s">
        <v>129</v>
      </c>
      <c r="M16" s="10" t="s">
        <v>129</v>
      </c>
      <c r="N16" s="10" t="s">
        <v>72</v>
      </c>
      <c r="O16" s="10" t="s">
        <v>73</v>
      </c>
      <c r="P16" s="10" t="s">
        <v>98</v>
      </c>
      <c r="Q16" s="10" t="s">
        <v>130</v>
      </c>
      <c r="R16" s="10"/>
      <c r="S16" s="10"/>
      <c r="T16" s="10"/>
      <c r="U16" s="10" t="s">
        <v>72</v>
      </c>
      <c r="V16" s="10" t="s">
        <v>73</v>
      </c>
      <c r="W16" s="10" t="s">
        <v>98</v>
      </c>
      <c r="X16" s="10" t="s">
        <v>207</v>
      </c>
      <c r="Y16" s="10" t="s">
        <v>44</v>
      </c>
      <c r="Z16" s="10"/>
      <c r="AA16" s="10" t="s">
        <v>45</v>
      </c>
      <c r="AB16" s="10" t="s">
        <v>46</v>
      </c>
      <c r="AC16" s="10" t="s">
        <v>45</v>
      </c>
      <c r="AE16" s="10" t="s">
        <v>48</v>
      </c>
      <c r="AF16" s="10" t="s">
        <v>49</v>
      </c>
      <c r="AG16" s="10">
        <v>100</v>
      </c>
      <c r="AH16" s="10">
        <v>100</v>
      </c>
      <c r="AJ16" s="10" t="s">
        <v>209</v>
      </c>
      <c r="AK16" s="10"/>
      <c r="AL16" s="10"/>
      <c r="AM16" s="10" t="s">
        <v>52</v>
      </c>
    </row>
    <row r="17" spans="1:39" s="12" customFormat="1" x14ac:dyDescent="0.45">
      <c r="A17" s="10" t="s">
        <v>210</v>
      </c>
      <c r="B17" s="10"/>
      <c r="C17" s="10" t="s">
        <v>212</v>
      </c>
      <c r="D17" s="11" t="s">
        <v>214</v>
      </c>
      <c r="E17" s="23" t="s">
        <v>27973</v>
      </c>
      <c r="F17" s="28">
        <v>46202</v>
      </c>
      <c r="G17" s="37" t="s">
        <v>27998</v>
      </c>
      <c r="H17" s="10" t="s">
        <v>50</v>
      </c>
      <c r="I17" s="10" t="s">
        <v>224</v>
      </c>
      <c r="J17" s="10" t="s">
        <v>211</v>
      </c>
      <c r="K17" s="10" t="s">
        <v>213</v>
      </c>
      <c r="L17" s="10" t="s">
        <v>215</v>
      </c>
      <c r="M17" s="10" t="s">
        <v>215</v>
      </c>
      <c r="N17" s="10" t="s">
        <v>216</v>
      </c>
      <c r="O17" s="10" t="s">
        <v>217</v>
      </c>
      <c r="P17" s="10" t="s">
        <v>218</v>
      </c>
      <c r="Q17" s="10" t="s">
        <v>219</v>
      </c>
      <c r="R17" s="10"/>
      <c r="S17" s="10"/>
      <c r="T17" s="10"/>
      <c r="U17" s="10" t="s">
        <v>220</v>
      </c>
      <c r="V17" s="10" t="s">
        <v>221</v>
      </c>
      <c r="W17" s="10" t="s">
        <v>222</v>
      </c>
      <c r="X17" s="10" t="s">
        <v>223</v>
      </c>
      <c r="Y17" s="10" t="s">
        <v>44</v>
      </c>
      <c r="Z17" s="10"/>
      <c r="AA17" s="10" t="s">
        <v>45</v>
      </c>
      <c r="AB17" s="10" t="s">
        <v>199</v>
      </c>
      <c r="AC17" s="10" t="s">
        <v>45</v>
      </c>
      <c r="AE17" s="10" t="s">
        <v>48</v>
      </c>
      <c r="AF17" s="10" t="s">
        <v>49</v>
      </c>
      <c r="AG17" s="10">
        <v>100</v>
      </c>
      <c r="AH17" s="10">
        <v>100</v>
      </c>
      <c r="AJ17" s="10" t="s">
        <v>225</v>
      </c>
      <c r="AK17" s="10"/>
      <c r="AL17" s="10"/>
      <c r="AM17" s="10" t="s">
        <v>52</v>
      </c>
    </row>
    <row r="18" spans="1:39" s="12" customFormat="1" x14ac:dyDescent="0.45">
      <c r="A18" s="9" t="s">
        <v>226</v>
      </c>
      <c r="B18" s="9"/>
      <c r="C18" s="10" t="s">
        <v>228</v>
      </c>
      <c r="D18" s="11" t="s">
        <v>230</v>
      </c>
      <c r="E18" s="23" t="s">
        <v>27973</v>
      </c>
      <c r="F18" s="28">
        <v>46202</v>
      </c>
      <c r="G18" s="37" t="s">
        <v>27998</v>
      </c>
      <c r="H18" s="10" t="s">
        <v>50</v>
      </c>
      <c r="I18" s="10" t="s">
        <v>235</v>
      </c>
      <c r="J18" s="10" t="s">
        <v>227</v>
      </c>
      <c r="K18" s="10" t="s">
        <v>229</v>
      </c>
      <c r="L18" s="10" t="s">
        <v>231</v>
      </c>
      <c r="M18" s="10" t="s">
        <v>231</v>
      </c>
      <c r="N18" s="10" t="s">
        <v>72</v>
      </c>
      <c r="O18" s="10" t="s">
        <v>73</v>
      </c>
      <c r="P18" s="10" t="s">
        <v>232</v>
      </c>
      <c r="Q18" s="10" t="s">
        <v>233</v>
      </c>
      <c r="R18" s="10"/>
      <c r="S18" s="10"/>
      <c r="T18" s="10"/>
      <c r="U18" s="10" t="s">
        <v>72</v>
      </c>
      <c r="V18" s="10" t="s">
        <v>73</v>
      </c>
      <c r="W18" s="10" t="s">
        <v>232</v>
      </c>
      <c r="X18" s="10" t="s">
        <v>234</v>
      </c>
      <c r="Y18" s="10" t="s">
        <v>44</v>
      </c>
      <c r="Z18" s="10"/>
      <c r="AA18" s="10" t="s">
        <v>45</v>
      </c>
      <c r="AB18" s="10" t="s">
        <v>46</v>
      </c>
      <c r="AC18" s="10" t="s">
        <v>45</v>
      </c>
      <c r="AE18" s="10" t="s">
        <v>48</v>
      </c>
      <c r="AF18" s="10" t="s">
        <v>49</v>
      </c>
      <c r="AG18" s="10">
        <v>100</v>
      </c>
      <c r="AH18" s="10">
        <v>100</v>
      </c>
      <c r="AJ18" s="10" t="s">
        <v>236</v>
      </c>
      <c r="AK18" s="10"/>
      <c r="AL18" s="10"/>
      <c r="AM18" s="10" t="s">
        <v>52</v>
      </c>
    </row>
    <row r="19" spans="1:39" s="12" customFormat="1" x14ac:dyDescent="0.45">
      <c r="A19" s="10" t="s">
        <v>237</v>
      </c>
      <c r="B19" s="10"/>
      <c r="C19" s="10" t="s">
        <v>239</v>
      </c>
      <c r="D19" s="11" t="s">
        <v>241</v>
      </c>
      <c r="E19" s="23" t="s">
        <v>27973</v>
      </c>
      <c r="F19" s="28">
        <v>46202</v>
      </c>
      <c r="G19" s="37" t="s">
        <v>27998</v>
      </c>
      <c r="H19" s="10" t="s">
        <v>50</v>
      </c>
      <c r="I19" s="10" t="s">
        <v>246</v>
      </c>
      <c r="J19" s="10" t="s">
        <v>238</v>
      </c>
      <c r="K19" s="10" t="s">
        <v>240</v>
      </c>
      <c r="L19" s="10" t="s">
        <v>242</v>
      </c>
      <c r="M19" s="10" t="s">
        <v>242</v>
      </c>
      <c r="N19" s="10" t="s">
        <v>72</v>
      </c>
      <c r="O19" s="10" t="s">
        <v>73</v>
      </c>
      <c r="P19" s="10" t="s">
        <v>243</v>
      </c>
      <c r="Q19" s="10" t="s">
        <v>244</v>
      </c>
      <c r="R19" s="10"/>
      <c r="S19" s="10"/>
      <c r="T19" s="10"/>
      <c r="U19" s="10" t="s">
        <v>72</v>
      </c>
      <c r="V19" s="10" t="s">
        <v>73</v>
      </c>
      <c r="W19" s="10" t="s">
        <v>74</v>
      </c>
      <c r="X19" s="10" t="s">
        <v>245</v>
      </c>
      <c r="Y19" s="10" t="s">
        <v>44</v>
      </c>
      <c r="Z19" s="10"/>
      <c r="AA19" s="10" t="s">
        <v>45</v>
      </c>
      <c r="AB19" s="10" t="s">
        <v>199</v>
      </c>
      <c r="AC19" s="10" t="s">
        <v>45</v>
      </c>
      <c r="AE19" s="10" t="s">
        <v>48</v>
      </c>
      <c r="AF19" s="10" t="s">
        <v>49</v>
      </c>
      <c r="AG19" s="10">
        <v>100</v>
      </c>
      <c r="AH19" s="10">
        <v>100</v>
      </c>
      <c r="AJ19" s="10" t="s">
        <v>247</v>
      </c>
      <c r="AK19" s="10"/>
      <c r="AL19" s="10"/>
      <c r="AM19" s="10" t="s">
        <v>52</v>
      </c>
    </row>
    <row r="20" spans="1:39" s="12" customFormat="1" x14ac:dyDescent="0.45">
      <c r="A20" s="10" t="s">
        <v>248</v>
      </c>
      <c r="B20" s="10"/>
      <c r="C20" s="10" t="s">
        <v>250</v>
      </c>
      <c r="D20" s="11" t="s">
        <v>252</v>
      </c>
      <c r="E20" s="23" t="s">
        <v>27973</v>
      </c>
      <c r="F20" s="28">
        <v>46202</v>
      </c>
      <c r="G20" s="37" t="s">
        <v>27998</v>
      </c>
      <c r="H20" s="10" t="s">
        <v>50</v>
      </c>
      <c r="I20" s="10" t="s">
        <v>258</v>
      </c>
      <c r="J20" s="10" t="s">
        <v>249</v>
      </c>
      <c r="K20" s="10" t="s">
        <v>251</v>
      </c>
      <c r="L20" s="10" t="s">
        <v>253</v>
      </c>
      <c r="M20" s="10" t="s">
        <v>253</v>
      </c>
      <c r="N20" s="10" t="s">
        <v>39</v>
      </c>
      <c r="O20" s="10" t="s">
        <v>40</v>
      </c>
      <c r="P20" s="10" t="s">
        <v>254</v>
      </c>
      <c r="Q20" s="10" t="s">
        <v>255</v>
      </c>
      <c r="R20" s="10"/>
      <c r="S20" s="10"/>
      <c r="T20" s="10"/>
      <c r="U20" s="10" t="s">
        <v>39</v>
      </c>
      <c r="V20" s="10" t="s">
        <v>40</v>
      </c>
      <c r="W20" s="10" t="s">
        <v>256</v>
      </c>
      <c r="X20" s="10" t="s">
        <v>257</v>
      </c>
      <c r="Y20" s="10" t="s">
        <v>44</v>
      </c>
      <c r="Z20" s="10"/>
      <c r="AA20" s="10" t="s">
        <v>45</v>
      </c>
      <c r="AB20" s="10" t="s">
        <v>46</v>
      </c>
      <c r="AC20" s="10" t="s">
        <v>45</v>
      </c>
      <c r="AE20" s="10" t="s">
        <v>48</v>
      </c>
      <c r="AF20" s="10" t="s">
        <v>49</v>
      </c>
      <c r="AG20" s="10">
        <v>100</v>
      </c>
      <c r="AH20" s="10">
        <v>100</v>
      </c>
      <c r="AJ20" s="10" t="s">
        <v>259</v>
      </c>
      <c r="AK20" s="10"/>
      <c r="AL20" s="10"/>
      <c r="AM20" s="10" t="s">
        <v>52</v>
      </c>
    </row>
    <row r="21" spans="1:39" s="12" customFormat="1" x14ac:dyDescent="0.45">
      <c r="A21" s="10" t="s">
        <v>260</v>
      </c>
      <c r="B21" s="10"/>
      <c r="C21" s="10" t="s">
        <v>262</v>
      </c>
      <c r="D21" s="11" t="s">
        <v>264</v>
      </c>
      <c r="E21" s="23" t="s">
        <v>27973</v>
      </c>
      <c r="F21" s="28">
        <v>46202</v>
      </c>
      <c r="G21" s="37" t="s">
        <v>27998</v>
      </c>
      <c r="H21" s="10" t="s">
        <v>50</v>
      </c>
      <c r="I21" s="10" t="s">
        <v>269</v>
      </c>
      <c r="J21" s="10" t="s">
        <v>261</v>
      </c>
      <c r="K21" s="10" t="s">
        <v>263</v>
      </c>
      <c r="L21" s="10" t="s">
        <v>265</v>
      </c>
      <c r="M21" s="10" t="s">
        <v>265</v>
      </c>
      <c r="N21" s="10" t="s">
        <v>59</v>
      </c>
      <c r="O21" s="10" t="s">
        <v>60</v>
      </c>
      <c r="P21" s="10" t="s">
        <v>266</v>
      </c>
      <c r="Q21" s="10" t="s">
        <v>267</v>
      </c>
      <c r="R21" s="10"/>
      <c r="S21" s="10"/>
      <c r="T21" s="10"/>
      <c r="U21" s="10" t="s">
        <v>59</v>
      </c>
      <c r="V21" s="10" t="s">
        <v>60</v>
      </c>
      <c r="W21" s="10" t="s">
        <v>266</v>
      </c>
      <c r="X21" s="10" t="s">
        <v>268</v>
      </c>
      <c r="Y21" s="10" t="s">
        <v>44</v>
      </c>
      <c r="Z21" s="10"/>
      <c r="AA21" s="10" t="s">
        <v>45</v>
      </c>
      <c r="AB21" s="10" t="s">
        <v>46</v>
      </c>
      <c r="AC21" s="10" t="s">
        <v>45</v>
      </c>
      <c r="AE21" s="10" t="s">
        <v>48</v>
      </c>
      <c r="AF21" s="10" t="s">
        <v>49</v>
      </c>
      <c r="AG21" s="10">
        <v>100</v>
      </c>
      <c r="AH21" s="10">
        <v>100</v>
      </c>
      <c r="AJ21" s="10" t="s">
        <v>270</v>
      </c>
      <c r="AK21" s="10"/>
      <c r="AL21" s="10"/>
      <c r="AM21" s="10" t="s">
        <v>52</v>
      </c>
    </row>
    <row r="22" spans="1:39" s="12" customFormat="1" x14ac:dyDescent="0.45">
      <c r="A22" s="10" t="s">
        <v>271</v>
      </c>
      <c r="B22" s="10"/>
      <c r="C22" s="10" t="s">
        <v>273</v>
      </c>
      <c r="D22" s="11" t="s">
        <v>275</v>
      </c>
      <c r="E22" s="23" t="s">
        <v>27973</v>
      </c>
      <c r="F22" s="28">
        <v>46202</v>
      </c>
      <c r="G22" s="37" t="s">
        <v>27998</v>
      </c>
      <c r="H22" s="10" t="s">
        <v>50</v>
      </c>
      <c r="I22" s="10" t="s">
        <v>282</v>
      </c>
      <c r="J22" s="10" t="s">
        <v>272</v>
      </c>
      <c r="K22" s="10" t="s">
        <v>274</v>
      </c>
      <c r="L22" s="10" t="s">
        <v>276</v>
      </c>
      <c r="M22" s="10" t="s">
        <v>276</v>
      </c>
      <c r="N22" s="10" t="s">
        <v>277</v>
      </c>
      <c r="O22" s="10" t="s">
        <v>278</v>
      </c>
      <c r="P22" s="10" t="s">
        <v>279</v>
      </c>
      <c r="Q22" s="10" t="s">
        <v>280</v>
      </c>
      <c r="R22" s="10"/>
      <c r="S22" s="10"/>
      <c r="T22" s="10"/>
      <c r="U22" s="10" t="s">
        <v>277</v>
      </c>
      <c r="V22" s="10" t="s">
        <v>278</v>
      </c>
      <c r="W22" s="10" t="s">
        <v>279</v>
      </c>
      <c r="X22" s="10" t="s">
        <v>281</v>
      </c>
      <c r="Y22" s="10" t="s">
        <v>44</v>
      </c>
      <c r="Z22" s="10"/>
      <c r="AA22" s="10" t="s">
        <v>45</v>
      </c>
      <c r="AB22" s="10" t="s">
        <v>46</v>
      </c>
      <c r="AC22" s="10" t="s">
        <v>45</v>
      </c>
      <c r="AE22" s="10" t="s">
        <v>48</v>
      </c>
      <c r="AF22" s="10" t="s">
        <v>49</v>
      </c>
      <c r="AG22" s="10">
        <v>100</v>
      </c>
      <c r="AH22" s="10">
        <v>100</v>
      </c>
      <c r="AJ22" s="10" t="s">
        <v>283</v>
      </c>
      <c r="AK22" s="10"/>
      <c r="AL22" s="10"/>
      <c r="AM22" s="10" t="s">
        <v>52</v>
      </c>
    </row>
    <row r="23" spans="1:39" s="12" customFormat="1" x14ac:dyDescent="0.45">
      <c r="A23" s="10" t="s">
        <v>284</v>
      </c>
      <c r="B23" s="10"/>
      <c r="C23" s="10" t="s">
        <v>286</v>
      </c>
      <c r="D23" s="11" t="s">
        <v>288</v>
      </c>
      <c r="E23" s="23" t="s">
        <v>27973</v>
      </c>
      <c r="F23" s="28">
        <v>46202</v>
      </c>
      <c r="G23" s="37" t="s">
        <v>27998</v>
      </c>
      <c r="H23" s="10" t="s">
        <v>50</v>
      </c>
      <c r="I23" s="10" t="s">
        <v>294</v>
      </c>
      <c r="J23" s="10" t="s">
        <v>285</v>
      </c>
      <c r="K23" s="10" t="s">
        <v>287</v>
      </c>
      <c r="L23" s="10" t="s">
        <v>289</v>
      </c>
      <c r="M23" s="10" t="s">
        <v>289</v>
      </c>
      <c r="N23" s="10" t="s">
        <v>290</v>
      </c>
      <c r="O23" s="10" t="s">
        <v>278</v>
      </c>
      <c r="P23" s="10" t="s">
        <v>291</v>
      </c>
      <c r="Q23" s="10" t="s">
        <v>292</v>
      </c>
      <c r="R23" s="10"/>
      <c r="S23" s="10"/>
      <c r="T23" s="10"/>
      <c r="U23" s="10" t="s">
        <v>290</v>
      </c>
      <c r="V23" s="10" t="s">
        <v>278</v>
      </c>
      <c r="W23" s="10" t="s">
        <v>291</v>
      </c>
      <c r="X23" s="10" t="s">
        <v>293</v>
      </c>
      <c r="Y23" s="10" t="s">
        <v>44</v>
      </c>
      <c r="Z23" s="10"/>
      <c r="AA23" s="10" t="s">
        <v>45</v>
      </c>
      <c r="AB23" s="10" t="s">
        <v>46</v>
      </c>
      <c r="AC23" s="10" t="s">
        <v>45</v>
      </c>
      <c r="AE23" s="10" t="s">
        <v>48</v>
      </c>
      <c r="AF23" s="10" t="s">
        <v>49</v>
      </c>
      <c r="AG23" s="10">
        <v>100</v>
      </c>
      <c r="AH23" s="10">
        <v>100</v>
      </c>
      <c r="AJ23" s="10" t="s">
        <v>295</v>
      </c>
      <c r="AK23" s="10"/>
      <c r="AL23" s="10"/>
      <c r="AM23" s="10" t="s">
        <v>52</v>
      </c>
    </row>
    <row r="24" spans="1:39" s="12" customFormat="1" x14ac:dyDescent="0.45">
      <c r="A24" s="10" t="s">
        <v>296</v>
      </c>
      <c r="B24" s="10"/>
      <c r="C24" s="10" t="s">
        <v>298</v>
      </c>
      <c r="D24" s="10" t="s">
        <v>300</v>
      </c>
      <c r="E24" s="23" t="s">
        <v>27973</v>
      </c>
      <c r="F24" s="28">
        <v>46202</v>
      </c>
      <c r="G24" s="37" t="s">
        <v>27998</v>
      </c>
      <c r="H24" s="10" t="s">
        <v>50</v>
      </c>
      <c r="I24" s="10" t="s">
        <v>304</v>
      </c>
      <c r="J24" s="10" t="s">
        <v>297</v>
      </c>
      <c r="K24" s="10" t="s">
        <v>299</v>
      </c>
      <c r="L24" s="10" t="s">
        <v>301</v>
      </c>
      <c r="M24" s="10" t="s">
        <v>301</v>
      </c>
      <c r="N24" s="10" t="s">
        <v>72</v>
      </c>
      <c r="O24" s="10" t="s">
        <v>73</v>
      </c>
      <c r="P24" s="10" t="s">
        <v>74</v>
      </c>
      <c r="Q24" s="10" t="s">
        <v>302</v>
      </c>
      <c r="R24" s="10"/>
      <c r="S24" s="10"/>
      <c r="T24" s="10"/>
      <c r="U24" s="10" t="s">
        <v>72</v>
      </c>
      <c r="V24" s="10" t="s">
        <v>73</v>
      </c>
      <c r="W24" s="10" t="s">
        <v>74</v>
      </c>
      <c r="X24" s="10" t="s">
        <v>303</v>
      </c>
      <c r="Y24" s="10" t="s">
        <v>44</v>
      </c>
      <c r="Z24" s="10"/>
      <c r="AA24" s="10" t="s">
        <v>45</v>
      </c>
      <c r="AB24" s="10" t="s">
        <v>46</v>
      </c>
      <c r="AC24" s="10" t="s">
        <v>45</v>
      </c>
      <c r="AE24" s="10" t="s">
        <v>48</v>
      </c>
      <c r="AF24" s="10" t="s">
        <v>49</v>
      </c>
      <c r="AG24" s="10">
        <v>100</v>
      </c>
      <c r="AH24" s="10">
        <v>100</v>
      </c>
      <c r="AJ24" s="10" t="s">
        <v>305</v>
      </c>
      <c r="AK24" s="10"/>
      <c r="AL24" s="10"/>
      <c r="AM24" s="10" t="s">
        <v>52</v>
      </c>
    </row>
    <row r="25" spans="1:39" s="12" customFormat="1" x14ac:dyDescent="0.45">
      <c r="A25" s="10" t="s">
        <v>306</v>
      </c>
      <c r="B25" s="10"/>
      <c r="C25" s="10" t="s">
        <v>308</v>
      </c>
      <c r="D25" s="10" t="s">
        <v>310</v>
      </c>
      <c r="E25" s="23" t="s">
        <v>27973</v>
      </c>
      <c r="F25" s="28">
        <v>46202</v>
      </c>
      <c r="G25" s="37" t="s">
        <v>27998</v>
      </c>
      <c r="H25" s="10" t="s">
        <v>50</v>
      </c>
      <c r="I25" s="10" t="s">
        <v>316</v>
      </c>
      <c r="J25" s="10" t="s">
        <v>307</v>
      </c>
      <c r="K25" s="10" t="s">
        <v>309</v>
      </c>
      <c r="L25" s="10" t="s">
        <v>311</v>
      </c>
      <c r="M25" s="10" t="s">
        <v>311</v>
      </c>
      <c r="N25" s="10" t="s">
        <v>312</v>
      </c>
      <c r="O25" s="10" t="s">
        <v>313</v>
      </c>
      <c r="P25" s="10" t="s">
        <v>314</v>
      </c>
      <c r="Q25" s="10" t="s">
        <v>309</v>
      </c>
      <c r="R25" s="10"/>
      <c r="S25" s="10"/>
      <c r="T25" s="10"/>
      <c r="U25" s="10" t="s">
        <v>312</v>
      </c>
      <c r="V25" s="10" t="s">
        <v>313</v>
      </c>
      <c r="W25" s="10" t="s">
        <v>314</v>
      </c>
      <c r="X25" s="10" t="s">
        <v>315</v>
      </c>
      <c r="Y25" s="10" t="s">
        <v>44</v>
      </c>
      <c r="Z25" s="10"/>
      <c r="AA25" s="10" t="s">
        <v>45</v>
      </c>
      <c r="AB25" s="10" t="s">
        <v>46</v>
      </c>
      <c r="AC25" s="10" t="s">
        <v>45</v>
      </c>
      <c r="AE25" s="10" t="s">
        <v>48</v>
      </c>
      <c r="AF25" s="10" t="s">
        <v>49</v>
      </c>
      <c r="AG25" s="10">
        <v>100</v>
      </c>
      <c r="AH25" s="10">
        <v>100</v>
      </c>
      <c r="AJ25" s="10" t="s">
        <v>317</v>
      </c>
      <c r="AK25" s="10"/>
      <c r="AL25" s="10"/>
      <c r="AM25" s="10" t="s">
        <v>52</v>
      </c>
    </row>
    <row r="26" spans="1:39" s="12" customFormat="1" x14ac:dyDescent="0.45">
      <c r="A26" s="10" t="s">
        <v>318</v>
      </c>
      <c r="B26" s="10"/>
      <c r="C26" s="10" t="s">
        <v>320</v>
      </c>
      <c r="D26" s="11" t="s">
        <v>322</v>
      </c>
      <c r="E26" s="23" t="s">
        <v>27973</v>
      </c>
      <c r="F26" s="28">
        <v>46202</v>
      </c>
      <c r="G26" s="37" t="s">
        <v>27998</v>
      </c>
      <c r="H26" s="10" t="s">
        <v>50</v>
      </c>
      <c r="I26" s="10" t="s">
        <v>328</v>
      </c>
      <c r="J26" s="10" t="s">
        <v>319</v>
      </c>
      <c r="K26" s="10" t="s">
        <v>321</v>
      </c>
      <c r="L26" s="10" t="s">
        <v>323</v>
      </c>
      <c r="M26" s="10"/>
      <c r="N26" s="10" t="s">
        <v>324</v>
      </c>
      <c r="O26" s="10" t="s">
        <v>73</v>
      </c>
      <c r="P26" s="10" t="s">
        <v>87</v>
      </c>
      <c r="Q26" s="10" t="s">
        <v>325</v>
      </c>
      <c r="R26" s="10"/>
      <c r="S26" s="10"/>
      <c r="T26" s="10"/>
      <c r="U26" s="10" t="s">
        <v>324</v>
      </c>
      <c r="V26" s="10" t="s">
        <v>73</v>
      </c>
      <c r="W26" s="10" t="s">
        <v>326</v>
      </c>
      <c r="X26" s="10" t="s">
        <v>327</v>
      </c>
      <c r="Y26" s="10" t="s">
        <v>44</v>
      </c>
      <c r="Z26" s="10"/>
      <c r="AA26" s="10" t="s">
        <v>45</v>
      </c>
      <c r="AB26" s="10" t="s">
        <v>46</v>
      </c>
      <c r="AC26" s="10" t="s">
        <v>45</v>
      </c>
      <c r="AE26" s="10" t="s">
        <v>48</v>
      </c>
      <c r="AF26" s="10" t="s">
        <v>49</v>
      </c>
      <c r="AG26" s="10">
        <v>100</v>
      </c>
      <c r="AH26" s="10">
        <v>100</v>
      </c>
      <c r="AJ26" s="10" t="s">
        <v>329</v>
      </c>
      <c r="AK26" s="10"/>
      <c r="AL26" s="10"/>
      <c r="AM26" s="10" t="s">
        <v>52</v>
      </c>
    </row>
    <row r="27" spans="1:39" s="12" customFormat="1" x14ac:dyDescent="0.45">
      <c r="A27" s="10" t="s">
        <v>330</v>
      </c>
      <c r="B27" s="10"/>
      <c r="C27" s="10" t="s">
        <v>332</v>
      </c>
      <c r="D27" s="11" t="s">
        <v>334</v>
      </c>
      <c r="E27" s="23" t="s">
        <v>27973</v>
      </c>
      <c r="F27" s="28">
        <v>46202</v>
      </c>
      <c r="G27" s="37" t="s">
        <v>27998</v>
      </c>
      <c r="H27" s="10" t="s">
        <v>50</v>
      </c>
      <c r="I27" s="10" t="s">
        <v>338</v>
      </c>
      <c r="J27" s="10" t="s">
        <v>331</v>
      </c>
      <c r="K27" s="10" t="s">
        <v>333</v>
      </c>
      <c r="L27" s="10" t="s">
        <v>335</v>
      </c>
      <c r="M27" s="10" t="s">
        <v>335</v>
      </c>
      <c r="N27" s="10" t="s">
        <v>85</v>
      </c>
      <c r="O27" s="10" t="s">
        <v>86</v>
      </c>
      <c r="P27" s="10" t="s">
        <v>336</v>
      </c>
      <c r="Q27" s="10" t="s">
        <v>333</v>
      </c>
      <c r="R27" s="10"/>
      <c r="S27" s="10"/>
      <c r="T27" s="10"/>
      <c r="U27" s="10" t="s">
        <v>85</v>
      </c>
      <c r="V27" s="10" t="s">
        <v>86</v>
      </c>
      <c r="W27" s="10" t="s">
        <v>336</v>
      </c>
      <c r="X27" s="10" t="s">
        <v>337</v>
      </c>
      <c r="Y27" s="10" t="s">
        <v>44</v>
      </c>
      <c r="Z27" s="10"/>
      <c r="AA27" s="10" t="s">
        <v>45</v>
      </c>
      <c r="AB27" s="10" t="s">
        <v>46</v>
      </c>
      <c r="AC27" s="10" t="s">
        <v>45</v>
      </c>
      <c r="AE27" s="10" t="s">
        <v>48</v>
      </c>
      <c r="AF27" s="10" t="s">
        <v>49</v>
      </c>
      <c r="AG27" s="10">
        <v>100</v>
      </c>
      <c r="AH27" s="10">
        <v>100</v>
      </c>
      <c r="AJ27" s="10" t="s">
        <v>339</v>
      </c>
      <c r="AK27" s="10"/>
      <c r="AL27" s="10"/>
      <c r="AM27" s="10" t="s">
        <v>52</v>
      </c>
    </row>
    <row r="28" spans="1:39" s="12" customFormat="1" x14ac:dyDescent="0.45">
      <c r="A28" s="10" t="s">
        <v>340</v>
      </c>
      <c r="B28" s="10"/>
      <c r="C28" s="10" t="s">
        <v>342</v>
      </c>
      <c r="D28" s="11" t="s">
        <v>344</v>
      </c>
      <c r="E28" s="23" t="s">
        <v>27973</v>
      </c>
      <c r="F28" s="28">
        <v>46202</v>
      </c>
      <c r="G28" s="37" t="s">
        <v>27998</v>
      </c>
      <c r="H28" s="10" t="s">
        <v>50</v>
      </c>
      <c r="I28" s="10" t="s">
        <v>347</v>
      </c>
      <c r="J28" s="10" t="s">
        <v>341</v>
      </c>
      <c r="K28" s="10" t="s">
        <v>343</v>
      </c>
      <c r="L28" s="10" t="s">
        <v>345</v>
      </c>
      <c r="M28" s="10" t="s">
        <v>345</v>
      </c>
      <c r="N28" s="10" t="s">
        <v>277</v>
      </c>
      <c r="O28" s="10" t="s">
        <v>278</v>
      </c>
      <c r="P28" s="10" t="s">
        <v>279</v>
      </c>
      <c r="Q28" s="10" t="s">
        <v>343</v>
      </c>
      <c r="R28" s="10"/>
      <c r="S28" s="10"/>
      <c r="T28" s="10"/>
      <c r="U28" s="10" t="s">
        <v>277</v>
      </c>
      <c r="V28" s="10" t="s">
        <v>278</v>
      </c>
      <c r="W28" s="10" t="s">
        <v>279</v>
      </c>
      <c r="X28" s="10" t="s">
        <v>346</v>
      </c>
      <c r="Y28" s="10" t="s">
        <v>44</v>
      </c>
      <c r="Z28" s="10"/>
      <c r="AA28" s="10" t="s">
        <v>45</v>
      </c>
      <c r="AB28" s="10" t="s">
        <v>46</v>
      </c>
      <c r="AC28" s="10" t="s">
        <v>45</v>
      </c>
      <c r="AE28" s="10" t="s">
        <v>48</v>
      </c>
      <c r="AF28" s="10" t="s">
        <v>49</v>
      </c>
      <c r="AG28" s="10">
        <v>100</v>
      </c>
      <c r="AH28" s="10">
        <v>100</v>
      </c>
      <c r="AJ28" s="10" t="s">
        <v>348</v>
      </c>
      <c r="AK28" s="10"/>
      <c r="AL28" s="10"/>
      <c r="AM28" s="10" t="s">
        <v>52</v>
      </c>
    </row>
    <row r="29" spans="1:39" s="12" customFormat="1" x14ac:dyDescent="0.45">
      <c r="A29" s="9" t="s">
        <v>349</v>
      </c>
      <c r="B29" s="9"/>
      <c r="C29" s="10" t="s">
        <v>351</v>
      </c>
      <c r="D29" s="10" t="s">
        <v>353</v>
      </c>
      <c r="E29" s="23" t="s">
        <v>27973</v>
      </c>
      <c r="F29" s="28">
        <v>46202</v>
      </c>
      <c r="G29" s="37" t="s">
        <v>27998</v>
      </c>
      <c r="H29" s="10" t="s">
        <v>50</v>
      </c>
      <c r="I29" s="10" t="s">
        <v>357</v>
      </c>
      <c r="J29" s="10" t="s">
        <v>350</v>
      </c>
      <c r="K29" s="10" t="s">
        <v>352</v>
      </c>
      <c r="L29" s="10" t="s">
        <v>354</v>
      </c>
      <c r="M29" s="10" t="s">
        <v>354</v>
      </c>
      <c r="N29" s="10" t="s">
        <v>277</v>
      </c>
      <c r="O29" s="10" t="s">
        <v>278</v>
      </c>
      <c r="P29" s="10" t="s">
        <v>279</v>
      </c>
      <c r="Q29" s="10" t="s">
        <v>355</v>
      </c>
      <c r="R29" s="10"/>
      <c r="S29" s="10"/>
      <c r="T29" s="10"/>
      <c r="U29" s="10" t="s">
        <v>277</v>
      </c>
      <c r="V29" s="10" t="s">
        <v>278</v>
      </c>
      <c r="W29" s="10" t="s">
        <v>279</v>
      </c>
      <c r="X29" s="10" t="s">
        <v>356</v>
      </c>
      <c r="Y29" s="10" t="s">
        <v>44</v>
      </c>
      <c r="Z29" s="10"/>
      <c r="AA29" s="10" t="s">
        <v>45</v>
      </c>
      <c r="AB29" s="10" t="s">
        <v>199</v>
      </c>
      <c r="AC29" s="10" t="s">
        <v>45</v>
      </c>
      <c r="AE29" s="10" t="s">
        <v>48</v>
      </c>
      <c r="AF29" s="10" t="s">
        <v>49</v>
      </c>
      <c r="AG29" s="10">
        <v>100</v>
      </c>
      <c r="AH29" s="10">
        <v>100</v>
      </c>
      <c r="AJ29" s="10" t="s">
        <v>358</v>
      </c>
      <c r="AK29" s="10"/>
      <c r="AL29" s="10"/>
      <c r="AM29" s="10" t="s">
        <v>52</v>
      </c>
    </row>
    <row r="30" spans="1:39" s="12" customFormat="1" x14ac:dyDescent="0.45">
      <c r="A30" s="10" t="s">
        <v>359</v>
      </c>
      <c r="B30" s="10"/>
      <c r="C30" s="10" t="s">
        <v>361</v>
      </c>
      <c r="D30" s="10" t="s">
        <v>363</v>
      </c>
      <c r="E30" s="23" t="s">
        <v>27973</v>
      </c>
      <c r="F30" s="28">
        <v>46202</v>
      </c>
      <c r="G30" s="37" t="s">
        <v>27998</v>
      </c>
      <c r="H30" s="10" t="s">
        <v>50</v>
      </c>
      <c r="I30" s="10" t="s">
        <v>366</v>
      </c>
      <c r="J30" s="10" t="s">
        <v>360</v>
      </c>
      <c r="K30" s="10" t="s">
        <v>362</v>
      </c>
      <c r="L30" s="10" t="s">
        <v>364</v>
      </c>
      <c r="M30" s="10"/>
      <c r="N30" s="10" t="s">
        <v>59</v>
      </c>
      <c r="O30" s="10" t="s">
        <v>60</v>
      </c>
      <c r="P30" s="10" t="s">
        <v>151</v>
      </c>
      <c r="Q30" s="10" t="s">
        <v>362</v>
      </c>
      <c r="R30" s="10"/>
      <c r="S30" s="10"/>
      <c r="T30" s="10"/>
      <c r="U30" s="10" t="s">
        <v>59</v>
      </c>
      <c r="V30" s="10" t="s">
        <v>60</v>
      </c>
      <c r="W30" s="10" t="s">
        <v>151</v>
      </c>
      <c r="X30" s="10" t="s">
        <v>365</v>
      </c>
      <c r="Y30" s="10" t="s">
        <v>44</v>
      </c>
      <c r="Z30" s="10"/>
      <c r="AA30" s="10" t="s">
        <v>45</v>
      </c>
      <c r="AB30" s="10" t="s">
        <v>46</v>
      </c>
      <c r="AC30" s="10" t="s">
        <v>45</v>
      </c>
      <c r="AE30" s="10" t="s">
        <v>48</v>
      </c>
      <c r="AF30" s="10" t="s">
        <v>49</v>
      </c>
      <c r="AG30" s="10">
        <v>100</v>
      </c>
      <c r="AH30" s="10">
        <v>100</v>
      </c>
      <c r="AJ30" s="10" t="s">
        <v>367</v>
      </c>
      <c r="AK30" s="10"/>
      <c r="AL30" s="10"/>
      <c r="AM30" s="10" t="s">
        <v>52</v>
      </c>
    </row>
    <row r="31" spans="1:39" s="12" customFormat="1" x14ac:dyDescent="0.45">
      <c r="A31" s="10" t="s">
        <v>368</v>
      </c>
      <c r="B31" s="10"/>
      <c r="C31" s="10" t="s">
        <v>204</v>
      </c>
      <c r="D31" s="10" t="s">
        <v>371</v>
      </c>
      <c r="E31" s="23" t="s">
        <v>27973</v>
      </c>
      <c r="F31" s="28">
        <v>46202</v>
      </c>
      <c r="G31" s="37" t="s">
        <v>27998</v>
      </c>
      <c r="H31" s="10" t="s">
        <v>50</v>
      </c>
      <c r="I31" s="10" t="s">
        <v>376</v>
      </c>
      <c r="J31" s="10" t="s">
        <v>369</v>
      </c>
      <c r="K31" s="10" t="s">
        <v>370</v>
      </c>
      <c r="L31" s="10" t="s">
        <v>372</v>
      </c>
      <c r="M31" s="10" t="s">
        <v>372</v>
      </c>
      <c r="N31" s="10" t="s">
        <v>72</v>
      </c>
      <c r="O31" s="10" t="s">
        <v>73</v>
      </c>
      <c r="P31" s="10" t="s">
        <v>373</v>
      </c>
      <c r="Q31" s="10" t="s">
        <v>374</v>
      </c>
      <c r="R31" s="10"/>
      <c r="S31" s="10"/>
      <c r="T31" s="10"/>
      <c r="U31" s="10" t="s">
        <v>72</v>
      </c>
      <c r="V31" s="10" t="s">
        <v>73</v>
      </c>
      <c r="W31" s="10" t="s">
        <v>373</v>
      </c>
      <c r="X31" s="10" t="s">
        <v>375</v>
      </c>
      <c r="Y31" s="10" t="s">
        <v>44</v>
      </c>
      <c r="Z31" s="10"/>
      <c r="AA31" s="10" t="s">
        <v>45</v>
      </c>
      <c r="AB31" s="10" t="s">
        <v>46</v>
      </c>
      <c r="AC31" s="10" t="s">
        <v>45</v>
      </c>
      <c r="AE31" s="10" t="s">
        <v>48</v>
      </c>
      <c r="AF31" s="10" t="s">
        <v>49</v>
      </c>
      <c r="AG31" s="10">
        <v>100</v>
      </c>
      <c r="AH31" s="10">
        <v>100</v>
      </c>
      <c r="AJ31" s="10" t="s">
        <v>377</v>
      </c>
      <c r="AK31" s="10"/>
      <c r="AL31" s="10"/>
      <c r="AM31" s="10" t="s">
        <v>52</v>
      </c>
    </row>
    <row r="32" spans="1:39" s="12" customFormat="1" x14ac:dyDescent="0.45">
      <c r="A32" s="10" t="s">
        <v>378</v>
      </c>
      <c r="B32" s="10"/>
      <c r="C32" s="10" t="s">
        <v>380</v>
      </c>
      <c r="D32" s="10" t="s">
        <v>382</v>
      </c>
      <c r="E32" s="23" t="s">
        <v>27973</v>
      </c>
      <c r="F32" s="28">
        <v>46202</v>
      </c>
      <c r="G32" s="37" t="s">
        <v>27998</v>
      </c>
      <c r="H32" s="10" t="s">
        <v>50</v>
      </c>
      <c r="I32" s="10" t="s">
        <v>387</v>
      </c>
      <c r="J32" s="10" t="s">
        <v>379</v>
      </c>
      <c r="K32" s="10" t="s">
        <v>381</v>
      </c>
      <c r="L32" s="10" t="s">
        <v>383</v>
      </c>
      <c r="M32" s="10"/>
      <c r="N32" s="10" t="s">
        <v>384</v>
      </c>
      <c r="O32" s="10" t="s">
        <v>73</v>
      </c>
      <c r="P32" s="10" t="s">
        <v>385</v>
      </c>
      <c r="Q32" s="10" t="s">
        <v>381</v>
      </c>
      <c r="R32" s="10"/>
      <c r="S32" s="10"/>
      <c r="T32" s="10"/>
      <c r="U32" s="10" t="s">
        <v>384</v>
      </c>
      <c r="V32" s="10" t="s">
        <v>73</v>
      </c>
      <c r="W32" s="10" t="s">
        <v>385</v>
      </c>
      <c r="X32" s="10" t="s">
        <v>386</v>
      </c>
      <c r="Y32" s="10" t="s">
        <v>44</v>
      </c>
      <c r="Z32" s="10"/>
      <c r="AA32" s="10" t="s">
        <v>45</v>
      </c>
      <c r="AB32" s="10" t="s">
        <v>199</v>
      </c>
      <c r="AC32" s="10" t="s">
        <v>45</v>
      </c>
      <c r="AE32" s="10" t="s">
        <v>48</v>
      </c>
      <c r="AF32" s="10" t="s">
        <v>49</v>
      </c>
      <c r="AG32" s="10">
        <v>100</v>
      </c>
      <c r="AH32" s="10">
        <v>100</v>
      </c>
      <c r="AJ32" s="10" t="s">
        <v>388</v>
      </c>
      <c r="AK32" s="10"/>
      <c r="AL32" s="10"/>
      <c r="AM32" s="10" t="s">
        <v>52</v>
      </c>
    </row>
    <row r="33" spans="1:39" s="12" customFormat="1" x14ac:dyDescent="0.45">
      <c r="A33" s="10" t="s">
        <v>389</v>
      </c>
      <c r="B33" s="10"/>
      <c r="C33" s="10" t="s">
        <v>391</v>
      </c>
      <c r="D33" s="10" t="s">
        <v>393</v>
      </c>
      <c r="E33" s="23" t="s">
        <v>27973</v>
      </c>
      <c r="F33" s="28">
        <v>46202</v>
      </c>
      <c r="G33" s="37" t="s">
        <v>27998</v>
      </c>
      <c r="H33" s="10" t="s">
        <v>50</v>
      </c>
      <c r="I33" s="10" t="s">
        <v>398</v>
      </c>
      <c r="J33" s="10" t="s">
        <v>390</v>
      </c>
      <c r="K33" s="10" t="s">
        <v>392</v>
      </c>
      <c r="L33" s="10" t="s">
        <v>394</v>
      </c>
      <c r="M33" s="10" t="s">
        <v>394</v>
      </c>
      <c r="N33" s="10" t="s">
        <v>72</v>
      </c>
      <c r="O33" s="10" t="s">
        <v>73</v>
      </c>
      <c r="P33" s="10" t="s">
        <v>98</v>
      </c>
      <c r="Q33" s="10" t="s">
        <v>395</v>
      </c>
      <c r="R33" s="10"/>
      <c r="S33" s="10"/>
      <c r="T33" s="10"/>
      <c r="U33" s="10" t="s">
        <v>290</v>
      </c>
      <c r="V33" s="10" t="s">
        <v>278</v>
      </c>
      <c r="W33" s="10" t="s">
        <v>396</v>
      </c>
      <c r="X33" s="10" t="s">
        <v>397</v>
      </c>
      <c r="Y33" s="10" t="s">
        <v>44</v>
      </c>
      <c r="Z33" s="10"/>
      <c r="AA33" s="10" t="s">
        <v>45</v>
      </c>
      <c r="AB33" s="10" t="s">
        <v>46</v>
      </c>
      <c r="AC33" s="10" t="s">
        <v>45</v>
      </c>
      <c r="AE33" s="10" t="s">
        <v>48</v>
      </c>
      <c r="AF33" s="10" t="s">
        <v>49</v>
      </c>
      <c r="AG33" s="10">
        <v>100</v>
      </c>
      <c r="AH33" s="10">
        <v>100</v>
      </c>
      <c r="AJ33" s="10" t="s">
        <v>399</v>
      </c>
      <c r="AK33" s="10"/>
      <c r="AL33" s="10"/>
      <c r="AM33" s="10" t="s">
        <v>52</v>
      </c>
    </row>
    <row r="34" spans="1:39" s="12" customFormat="1" x14ac:dyDescent="0.45">
      <c r="A34" s="10" t="s">
        <v>400</v>
      </c>
      <c r="B34" s="10"/>
      <c r="C34" s="10" t="s">
        <v>402</v>
      </c>
      <c r="D34" s="10" t="s">
        <v>404</v>
      </c>
      <c r="E34" s="23" t="s">
        <v>27973</v>
      </c>
      <c r="F34" s="28">
        <v>46202</v>
      </c>
      <c r="G34" s="37" t="s">
        <v>27998</v>
      </c>
      <c r="H34" s="10" t="s">
        <v>50</v>
      </c>
      <c r="I34" s="10" t="s">
        <v>407</v>
      </c>
      <c r="J34" s="10" t="s">
        <v>401</v>
      </c>
      <c r="K34" s="10" t="s">
        <v>403</v>
      </c>
      <c r="L34" s="10" t="s">
        <v>405</v>
      </c>
      <c r="M34" s="10" t="s">
        <v>405</v>
      </c>
      <c r="N34" s="10" t="s">
        <v>277</v>
      </c>
      <c r="O34" s="10" t="s">
        <v>278</v>
      </c>
      <c r="P34" s="10" t="s">
        <v>279</v>
      </c>
      <c r="Q34" s="10"/>
      <c r="R34" s="10"/>
      <c r="S34" s="10"/>
      <c r="T34" s="10"/>
      <c r="U34" s="10"/>
      <c r="V34" s="10"/>
      <c r="W34" s="10"/>
      <c r="X34" s="10" t="s">
        <v>406</v>
      </c>
      <c r="Y34" s="10" t="s">
        <v>44</v>
      </c>
      <c r="Z34" s="10"/>
      <c r="AA34" s="10" t="s">
        <v>45</v>
      </c>
      <c r="AB34" s="10" t="s">
        <v>199</v>
      </c>
      <c r="AC34" s="10" t="s">
        <v>45</v>
      </c>
      <c r="AE34" s="10" t="s">
        <v>48</v>
      </c>
      <c r="AF34" s="10" t="s">
        <v>49</v>
      </c>
      <c r="AG34" s="10">
        <v>100</v>
      </c>
      <c r="AH34" s="10">
        <v>100</v>
      </c>
      <c r="AJ34" s="10" t="s">
        <v>408</v>
      </c>
      <c r="AK34" s="10"/>
      <c r="AL34" s="10"/>
      <c r="AM34" s="10" t="s">
        <v>52</v>
      </c>
    </row>
    <row r="35" spans="1:39" s="12" customFormat="1" x14ac:dyDescent="0.45">
      <c r="A35" s="10" t="s">
        <v>409</v>
      </c>
      <c r="B35" s="10"/>
      <c r="C35" s="10" t="s">
        <v>411</v>
      </c>
      <c r="D35" s="10" t="s">
        <v>413</v>
      </c>
      <c r="E35" s="23" t="s">
        <v>27973</v>
      </c>
      <c r="F35" s="28">
        <v>46202</v>
      </c>
      <c r="G35" s="37" t="s">
        <v>27998</v>
      </c>
      <c r="H35" s="10" t="s">
        <v>50</v>
      </c>
      <c r="I35" s="10" t="s">
        <v>416</v>
      </c>
      <c r="J35" s="10" t="s">
        <v>410</v>
      </c>
      <c r="K35" s="10" t="s">
        <v>412</v>
      </c>
      <c r="L35" s="10" t="s">
        <v>414</v>
      </c>
      <c r="M35" s="10" t="s">
        <v>414</v>
      </c>
      <c r="N35" s="10" t="s">
        <v>72</v>
      </c>
      <c r="O35" s="10" t="s">
        <v>73</v>
      </c>
      <c r="P35" s="10" t="s">
        <v>232</v>
      </c>
      <c r="Q35" s="10" t="s">
        <v>412</v>
      </c>
      <c r="R35" s="10"/>
      <c r="S35" s="10"/>
      <c r="T35" s="10"/>
      <c r="U35" s="10" t="s">
        <v>72</v>
      </c>
      <c r="V35" s="10" t="s">
        <v>73</v>
      </c>
      <c r="W35" s="10" t="s">
        <v>232</v>
      </c>
      <c r="X35" s="10" t="s">
        <v>415</v>
      </c>
      <c r="Y35" s="10" t="s">
        <v>44</v>
      </c>
      <c r="Z35" s="10"/>
      <c r="AA35" s="10" t="s">
        <v>45</v>
      </c>
      <c r="AB35" s="10" t="s">
        <v>46</v>
      </c>
      <c r="AC35" s="10" t="s">
        <v>45</v>
      </c>
      <c r="AE35" s="10" t="s">
        <v>48</v>
      </c>
      <c r="AF35" s="10" t="s">
        <v>49</v>
      </c>
      <c r="AG35" s="10">
        <v>100</v>
      </c>
      <c r="AH35" s="10">
        <v>100</v>
      </c>
      <c r="AJ35" s="10" t="s">
        <v>417</v>
      </c>
      <c r="AK35" s="10"/>
      <c r="AL35" s="10"/>
      <c r="AM35" s="10" t="s">
        <v>52</v>
      </c>
    </row>
    <row r="36" spans="1:39" s="12" customFormat="1" x14ac:dyDescent="0.45">
      <c r="A36" s="10" t="s">
        <v>418</v>
      </c>
      <c r="B36" s="10"/>
      <c r="C36" s="10" t="s">
        <v>420</v>
      </c>
      <c r="D36" s="10" t="s">
        <v>422</v>
      </c>
      <c r="E36" s="23" t="s">
        <v>27973</v>
      </c>
      <c r="F36" s="28">
        <v>46202</v>
      </c>
      <c r="G36" s="37" t="s">
        <v>27998</v>
      </c>
      <c r="H36" s="10" t="s">
        <v>50</v>
      </c>
      <c r="I36" s="10" t="s">
        <v>427</v>
      </c>
      <c r="J36" s="10" t="s">
        <v>419</v>
      </c>
      <c r="K36" s="10" t="s">
        <v>421</v>
      </c>
      <c r="L36" s="10" t="s">
        <v>423</v>
      </c>
      <c r="M36" s="10"/>
      <c r="N36" s="10" t="s">
        <v>424</v>
      </c>
      <c r="O36" s="10" t="s">
        <v>217</v>
      </c>
      <c r="P36" s="10" t="s">
        <v>218</v>
      </c>
      <c r="Q36" s="10" t="s">
        <v>425</v>
      </c>
      <c r="R36" s="10"/>
      <c r="S36" s="10"/>
      <c r="T36" s="10"/>
      <c r="U36" s="10" t="s">
        <v>424</v>
      </c>
      <c r="V36" s="10" t="s">
        <v>217</v>
      </c>
      <c r="W36" s="10" t="s">
        <v>218</v>
      </c>
      <c r="X36" s="10" t="s">
        <v>426</v>
      </c>
      <c r="Y36" s="10" t="s">
        <v>44</v>
      </c>
      <c r="Z36" s="10"/>
      <c r="AA36" s="10" t="s">
        <v>45</v>
      </c>
      <c r="AB36" s="10" t="s">
        <v>46</v>
      </c>
      <c r="AC36" s="10" t="s">
        <v>45</v>
      </c>
      <c r="AE36" s="10" t="s">
        <v>48</v>
      </c>
      <c r="AF36" s="10" t="s">
        <v>49</v>
      </c>
      <c r="AG36" s="10">
        <v>100</v>
      </c>
      <c r="AH36" s="10">
        <v>100</v>
      </c>
      <c r="AJ36" s="10" t="s">
        <v>428</v>
      </c>
      <c r="AK36" s="10"/>
      <c r="AL36" s="10"/>
      <c r="AM36" s="10" t="s">
        <v>52</v>
      </c>
    </row>
    <row r="37" spans="1:39" s="16" customFormat="1" x14ac:dyDescent="0.45">
      <c r="A37" s="15" t="s">
        <v>429</v>
      </c>
      <c r="B37" s="15"/>
      <c r="C37" s="15" t="s">
        <v>431</v>
      </c>
      <c r="D37" s="15" t="s">
        <v>433</v>
      </c>
      <c r="E37" s="24" t="s">
        <v>27972</v>
      </c>
      <c r="F37" s="27">
        <v>46202</v>
      </c>
      <c r="G37" s="38" t="s">
        <v>27998</v>
      </c>
      <c r="H37" s="15" t="s">
        <v>50</v>
      </c>
      <c r="I37" s="15" t="s">
        <v>436</v>
      </c>
      <c r="J37" s="15" t="s">
        <v>430</v>
      </c>
      <c r="K37" s="15" t="s">
        <v>432</v>
      </c>
      <c r="L37" s="15" t="s">
        <v>434</v>
      </c>
      <c r="M37" s="15" t="s">
        <v>434</v>
      </c>
      <c r="N37" s="15" t="s">
        <v>72</v>
      </c>
      <c r="O37" s="15" t="s">
        <v>73</v>
      </c>
      <c r="P37" s="15" t="s">
        <v>74</v>
      </c>
      <c r="Q37" s="15" t="s">
        <v>432</v>
      </c>
      <c r="R37" s="15"/>
      <c r="S37" s="15"/>
      <c r="T37" s="15"/>
      <c r="U37" s="15" t="s">
        <v>72</v>
      </c>
      <c r="V37" s="15" t="s">
        <v>73</v>
      </c>
      <c r="W37" s="15" t="s">
        <v>74</v>
      </c>
      <c r="X37" s="15" t="s">
        <v>435</v>
      </c>
      <c r="Y37" s="15" t="s">
        <v>44</v>
      </c>
      <c r="Z37" s="15"/>
      <c r="AA37" s="15" t="s">
        <v>45</v>
      </c>
      <c r="AB37" s="15" t="s">
        <v>46</v>
      </c>
      <c r="AC37" s="15" t="s">
        <v>45</v>
      </c>
      <c r="AE37" s="15" t="s">
        <v>48</v>
      </c>
      <c r="AF37" s="15" t="s">
        <v>49</v>
      </c>
      <c r="AG37" s="15">
        <v>100</v>
      </c>
      <c r="AH37" s="15">
        <v>100</v>
      </c>
      <c r="AJ37" s="15" t="s">
        <v>437</v>
      </c>
      <c r="AK37" s="15"/>
      <c r="AL37" s="15"/>
      <c r="AM37" s="15" t="s">
        <v>52</v>
      </c>
    </row>
    <row r="38" spans="1:39" s="16" customFormat="1" x14ac:dyDescent="0.45">
      <c r="A38" s="15" t="s">
        <v>438</v>
      </c>
      <c r="B38" s="15"/>
      <c r="C38" s="15" t="s">
        <v>440</v>
      </c>
      <c r="D38" s="15" t="s">
        <v>442</v>
      </c>
      <c r="E38" s="24" t="s">
        <v>27972</v>
      </c>
      <c r="F38" s="27">
        <v>46202</v>
      </c>
      <c r="G38" s="38" t="s">
        <v>27998</v>
      </c>
      <c r="H38" s="15" t="s">
        <v>50</v>
      </c>
      <c r="I38" s="15" t="s">
        <v>445</v>
      </c>
      <c r="J38" s="15" t="s">
        <v>439</v>
      </c>
      <c r="K38" s="15" t="s">
        <v>441</v>
      </c>
      <c r="L38" s="15" t="s">
        <v>443</v>
      </c>
      <c r="M38" s="15" t="s">
        <v>443</v>
      </c>
      <c r="N38" s="15" t="s">
        <v>72</v>
      </c>
      <c r="O38" s="15" t="s">
        <v>73</v>
      </c>
      <c r="P38" s="15" t="s">
        <v>140</v>
      </c>
      <c r="Q38" s="15" t="s">
        <v>441</v>
      </c>
      <c r="R38" s="15"/>
      <c r="S38" s="15"/>
      <c r="T38" s="15"/>
      <c r="U38" s="15" t="s">
        <v>72</v>
      </c>
      <c r="V38" s="15" t="s">
        <v>73</v>
      </c>
      <c r="W38" s="15" t="s">
        <v>140</v>
      </c>
      <c r="X38" s="15" t="s">
        <v>444</v>
      </c>
      <c r="Y38" s="15" t="s">
        <v>44</v>
      </c>
      <c r="Z38" s="15"/>
      <c r="AA38" s="15" t="s">
        <v>45</v>
      </c>
      <c r="AB38" s="15" t="s">
        <v>46</v>
      </c>
      <c r="AC38" s="15" t="s">
        <v>45</v>
      </c>
      <c r="AE38" s="15" t="s">
        <v>48</v>
      </c>
      <c r="AF38" s="15" t="s">
        <v>49</v>
      </c>
      <c r="AG38" s="15">
        <v>100</v>
      </c>
      <c r="AH38" s="15">
        <v>100</v>
      </c>
      <c r="AJ38" s="15" t="s">
        <v>446</v>
      </c>
      <c r="AK38" s="15"/>
      <c r="AL38" s="15"/>
      <c r="AM38" s="15" t="s">
        <v>52</v>
      </c>
    </row>
    <row r="39" spans="1:39" s="16" customFormat="1" x14ac:dyDescent="0.45">
      <c r="A39" s="15" t="s">
        <v>447</v>
      </c>
      <c r="B39" s="15"/>
      <c r="C39" s="15" t="s">
        <v>449</v>
      </c>
      <c r="D39" s="15" t="s">
        <v>451</v>
      </c>
      <c r="E39" s="24" t="s">
        <v>27972</v>
      </c>
      <c r="F39" s="27">
        <v>46202</v>
      </c>
      <c r="G39" s="38" t="s">
        <v>27998</v>
      </c>
      <c r="H39" s="15" t="s">
        <v>50</v>
      </c>
      <c r="I39" s="15" t="s">
        <v>456</v>
      </c>
      <c r="J39" s="15" t="s">
        <v>448</v>
      </c>
      <c r="K39" s="15" t="s">
        <v>450</v>
      </c>
      <c r="L39" s="15" t="s">
        <v>452</v>
      </c>
      <c r="M39" s="15" t="s">
        <v>452</v>
      </c>
      <c r="N39" s="15" t="s">
        <v>39</v>
      </c>
      <c r="O39" s="15" t="s">
        <v>40</v>
      </c>
      <c r="P39" s="15" t="s">
        <v>453</v>
      </c>
      <c r="Q39" s="15" t="s">
        <v>454</v>
      </c>
      <c r="R39" s="15"/>
      <c r="S39" s="15"/>
      <c r="T39" s="15"/>
      <c r="U39" s="15" t="s">
        <v>39</v>
      </c>
      <c r="V39" s="15" t="s">
        <v>40</v>
      </c>
      <c r="W39" s="15" t="s">
        <v>453</v>
      </c>
      <c r="X39" s="15" t="s">
        <v>455</v>
      </c>
      <c r="Y39" s="15" t="s">
        <v>44</v>
      </c>
      <c r="Z39" s="15"/>
      <c r="AA39" s="15" t="s">
        <v>45</v>
      </c>
      <c r="AB39" s="15" t="s">
        <v>199</v>
      </c>
      <c r="AC39" s="15" t="s">
        <v>45</v>
      </c>
      <c r="AE39" s="15" t="s">
        <v>48</v>
      </c>
      <c r="AF39" s="15" t="s">
        <v>49</v>
      </c>
      <c r="AG39" s="15">
        <v>100</v>
      </c>
      <c r="AH39" s="15">
        <v>100</v>
      </c>
      <c r="AJ39" s="15" t="s">
        <v>457</v>
      </c>
      <c r="AK39" s="15"/>
      <c r="AL39" s="15"/>
      <c r="AM39" s="15" t="s">
        <v>52</v>
      </c>
    </row>
    <row r="40" spans="1:39" s="16" customFormat="1" x14ac:dyDescent="0.45">
      <c r="A40" s="15" t="s">
        <v>458</v>
      </c>
      <c r="B40" s="15"/>
      <c r="C40" s="15" t="s">
        <v>460</v>
      </c>
      <c r="D40" s="17" t="s">
        <v>462</v>
      </c>
      <c r="E40" s="24" t="s">
        <v>27972</v>
      </c>
      <c r="F40" s="27">
        <v>46202</v>
      </c>
      <c r="G40" s="38" t="s">
        <v>27998</v>
      </c>
      <c r="H40" s="15" t="s">
        <v>50</v>
      </c>
      <c r="I40" s="15" t="s">
        <v>466</v>
      </c>
      <c r="J40" s="15" t="s">
        <v>459</v>
      </c>
      <c r="K40" s="15" t="s">
        <v>461</v>
      </c>
      <c r="L40" s="15" t="s">
        <v>463</v>
      </c>
      <c r="M40" s="15" t="s">
        <v>463</v>
      </c>
      <c r="N40" s="15" t="s">
        <v>72</v>
      </c>
      <c r="O40" s="15" t="s">
        <v>73</v>
      </c>
      <c r="P40" s="15" t="s">
        <v>464</v>
      </c>
      <c r="Q40" s="15" t="s">
        <v>461</v>
      </c>
      <c r="R40" s="15"/>
      <c r="S40" s="15"/>
      <c r="T40" s="15"/>
      <c r="U40" s="15" t="s">
        <v>72</v>
      </c>
      <c r="V40" s="15" t="s">
        <v>73</v>
      </c>
      <c r="W40" s="15" t="s">
        <v>464</v>
      </c>
      <c r="X40" s="15" t="s">
        <v>465</v>
      </c>
      <c r="Y40" s="15" t="s">
        <v>44</v>
      </c>
      <c r="Z40" s="15"/>
      <c r="AA40" s="15" t="s">
        <v>45</v>
      </c>
      <c r="AB40" s="15" t="s">
        <v>46</v>
      </c>
      <c r="AC40" s="15" t="s">
        <v>45</v>
      </c>
      <c r="AE40" s="15" t="s">
        <v>48</v>
      </c>
      <c r="AF40" s="15" t="s">
        <v>49</v>
      </c>
      <c r="AG40" s="15">
        <v>100</v>
      </c>
      <c r="AH40" s="15">
        <v>100</v>
      </c>
      <c r="AJ40" s="15" t="s">
        <v>467</v>
      </c>
      <c r="AK40" s="15"/>
      <c r="AL40" s="15"/>
      <c r="AM40" s="15" t="s">
        <v>52</v>
      </c>
    </row>
    <row r="41" spans="1:39" s="14" customFormat="1" x14ac:dyDescent="0.45">
      <c r="A41" s="13" t="s">
        <v>468</v>
      </c>
      <c r="B41" s="13"/>
      <c r="C41" s="13" t="s">
        <v>470</v>
      </c>
      <c r="D41" s="13" t="s">
        <v>472</v>
      </c>
      <c r="E41" s="29" t="s">
        <v>27972</v>
      </c>
      <c r="F41" s="30">
        <v>46202</v>
      </c>
      <c r="G41" s="39" t="s">
        <v>27999</v>
      </c>
      <c r="H41" s="13" t="s">
        <v>50</v>
      </c>
      <c r="I41" s="13" t="s">
        <v>476</v>
      </c>
      <c r="J41" s="13" t="s">
        <v>469</v>
      </c>
      <c r="K41" s="13" t="s">
        <v>471</v>
      </c>
      <c r="L41" s="13" t="s">
        <v>473</v>
      </c>
      <c r="M41" s="13" t="s">
        <v>473</v>
      </c>
      <c r="N41" s="13" t="s">
        <v>72</v>
      </c>
      <c r="O41" s="13" t="s">
        <v>73</v>
      </c>
      <c r="P41" s="13" t="s">
        <v>474</v>
      </c>
      <c r="Q41" s="13" t="s">
        <v>475</v>
      </c>
      <c r="R41" s="13"/>
      <c r="S41" s="13"/>
      <c r="T41" s="13"/>
      <c r="U41" s="13" t="s">
        <v>72</v>
      </c>
      <c r="V41" s="13" t="s">
        <v>73</v>
      </c>
      <c r="W41" s="13" t="s">
        <v>98</v>
      </c>
      <c r="X41" s="13" t="s">
        <v>465</v>
      </c>
      <c r="Y41" s="13" t="s">
        <v>44</v>
      </c>
      <c r="Z41" s="13"/>
      <c r="AA41" s="13" t="s">
        <v>45</v>
      </c>
      <c r="AB41" s="13" t="s">
        <v>199</v>
      </c>
      <c r="AC41" s="13" t="s">
        <v>45</v>
      </c>
      <c r="AE41" s="13" t="s">
        <v>48</v>
      </c>
      <c r="AF41" s="13" t="s">
        <v>49</v>
      </c>
      <c r="AG41" s="13">
        <v>100</v>
      </c>
      <c r="AH41" s="13">
        <v>100</v>
      </c>
      <c r="AJ41" s="13" t="s">
        <v>477</v>
      </c>
      <c r="AK41" s="13"/>
      <c r="AL41" s="13"/>
      <c r="AM41" s="13" t="s">
        <v>52</v>
      </c>
    </row>
    <row r="42" spans="1:39" s="16" customFormat="1" x14ac:dyDescent="0.45">
      <c r="A42" s="15" t="s">
        <v>478</v>
      </c>
      <c r="B42" s="15"/>
      <c r="C42" s="15" t="s">
        <v>480</v>
      </c>
      <c r="D42" s="15" t="s">
        <v>482</v>
      </c>
      <c r="E42" s="24" t="s">
        <v>27972</v>
      </c>
      <c r="F42" s="27">
        <v>46202</v>
      </c>
      <c r="G42" s="38" t="s">
        <v>27998</v>
      </c>
      <c r="H42" s="15" t="s">
        <v>50</v>
      </c>
      <c r="I42" s="15" t="s">
        <v>486</v>
      </c>
      <c r="J42" s="15" t="s">
        <v>479</v>
      </c>
      <c r="K42" s="15" t="s">
        <v>481</v>
      </c>
      <c r="L42" s="15" t="s">
        <v>483</v>
      </c>
      <c r="M42" s="15" t="s">
        <v>483</v>
      </c>
      <c r="N42" s="15" t="s">
        <v>72</v>
      </c>
      <c r="O42" s="15" t="s">
        <v>73</v>
      </c>
      <c r="P42" s="15" t="s">
        <v>484</v>
      </c>
      <c r="Q42" s="15" t="s">
        <v>481</v>
      </c>
      <c r="R42" s="15"/>
      <c r="S42" s="15"/>
      <c r="T42" s="15"/>
      <c r="U42" s="15" t="s">
        <v>72</v>
      </c>
      <c r="V42" s="15" t="s">
        <v>73</v>
      </c>
      <c r="W42" s="15" t="s">
        <v>484</v>
      </c>
      <c r="X42" s="15" t="s">
        <v>485</v>
      </c>
      <c r="Y42" s="15" t="s">
        <v>44</v>
      </c>
      <c r="Z42" s="15"/>
      <c r="AA42" s="15" t="s">
        <v>45</v>
      </c>
      <c r="AB42" s="15" t="s">
        <v>199</v>
      </c>
      <c r="AC42" s="15" t="s">
        <v>45</v>
      </c>
      <c r="AE42" s="15" t="s">
        <v>48</v>
      </c>
      <c r="AF42" s="15" t="s">
        <v>49</v>
      </c>
      <c r="AG42" s="15">
        <v>100</v>
      </c>
      <c r="AH42" s="15">
        <v>100</v>
      </c>
      <c r="AJ42" s="15" t="s">
        <v>487</v>
      </c>
      <c r="AK42" s="15"/>
      <c r="AL42" s="15"/>
      <c r="AM42" s="15" t="s">
        <v>52</v>
      </c>
    </row>
    <row r="43" spans="1:39" s="16" customFormat="1" x14ac:dyDescent="0.45">
      <c r="A43" s="15" t="s">
        <v>488</v>
      </c>
      <c r="B43" s="15"/>
      <c r="C43" s="15" t="s">
        <v>490</v>
      </c>
      <c r="D43" s="15" t="s">
        <v>492</v>
      </c>
      <c r="E43" s="24" t="s">
        <v>27972</v>
      </c>
      <c r="F43" s="27">
        <v>46202</v>
      </c>
      <c r="G43" s="38" t="s">
        <v>27998</v>
      </c>
      <c r="H43" s="15" t="s">
        <v>50</v>
      </c>
      <c r="I43" s="15" t="s">
        <v>496</v>
      </c>
      <c r="J43" s="15" t="s">
        <v>489</v>
      </c>
      <c r="K43" s="15" t="s">
        <v>491</v>
      </c>
      <c r="L43" s="15" t="s">
        <v>493</v>
      </c>
      <c r="M43" s="15" t="s">
        <v>493</v>
      </c>
      <c r="N43" s="15" t="s">
        <v>72</v>
      </c>
      <c r="O43" s="15" t="s">
        <v>73</v>
      </c>
      <c r="P43" s="15" t="s">
        <v>484</v>
      </c>
      <c r="Q43" s="15" t="s">
        <v>494</v>
      </c>
      <c r="R43" s="15"/>
      <c r="S43" s="15"/>
      <c r="T43" s="15"/>
      <c r="U43" s="15" t="s">
        <v>72</v>
      </c>
      <c r="V43" s="15" t="s">
        <v>73</v>
      </c>
      <c r="W43" s="15" t="s">
        <v>484</v>
      </c>
      <c r="X43" s="15" t="s">
        <v>495</v>
      </c>
      <c r="Y43" s="15" t="s">
        <v>44</v>
      </c>
      <c r="Z43" s="15"/>
      <c r="AA43" s="15" t="s">
        <v>45</v>
      </c>
      <c r="AB43" s="15" t="s">
        <v>199</v>
      </c>
      <c r="AC43" s="15" t="s">
        <v>45</v>
      </c>
      <c r="AE43" s="15" t="s">
        <v>48</v>
      </c>
      <c r="AF43" s="15" t="s">
        <v>49</v>
      </c>
      <c r="AG43" s="15">
        <v>100</v>
      </c>
      <c r="AH43" s="15">
        <v>100</v>
      </c>
      <c r="AJ43" s="15" t="s">
        <v>497</v>
      </c>
      <c r="AK43" s="15"/>
      <c r="AL43" s="15"/>
      <c r="AM43" s="15" t="s">
        <v>52</v>
      </c>
    </row>
    <row r="44" spans="1:39" s="16" customFormat="1" x14ac:dyDescent="0.45">
      <c r="A44" s="15" t="s">
        <v>498</v>
      </c>
      <c r="B44" s="15"/>
      <c r="C44" s="15" t="s">
        <v>500</v>
      </c>
      <c r="D44" s="15" t="s">
        <v>502</v>
      </c>
      <c r="E44" s="24" t="s">
        <v>27972</v>
      </c>
      <c r="F44" s="27">
        <v>46202</v>
      </c>
      <c r="G44" s="38" t="s">
        <v>27998</v>
      </c>
      <c r="H44" s="15" t="s">
        <v>50</v>
      </c>
      <c r="I44" s="15" t="s">
        <v>506</v>
      </c>
      <c r="J44" s="15" t="s">
        <v>499</v>
      </c>
      <c r="K44" s="15" t="s">
        <v>501</v>
      </c>
      <c r="L44" s="15" t="s">
        <v>503</v>
      </c>
      <c r="M44" s="15" t="s">
        <v>503</v>
      </c>
      <c r="N44" s="15" t="s">
        <v>72</v>
      </c>
      <c r="O44" s="15" t="s">
        <v>73</v>
      </c>
      <c r="P44" s="15" t="s">
        <v>74</v>
      </c>
      <c r="Q44" s="15" t="s">
        <v>504</v>
      </c>
      <c r="R44" s="15"/>
      <c r="S44" s="15"/>
      <c r="T44" s="15"/>
      <c r="U44" s="15" t="s">
        <v>312</v>
      </c>
      <c r="V44" s="15" t="s">
        <v>313</v>
      </c>
      <c r="W44" s="15" t="s">
        <v>314</v>
      </c>
      <c r="X44" s="15" t="s">
        <v>505</v>
      </c>
      <c r="Y44" s="15" t="s">
        <v>44</v>
      </c>
      <c r="Z44" s="15"/>
      <c r="AA44" s="15" t="s">
        <v>45</v>
      </c>
      <c r="AB44" s="15" t="s">
        <v>199</v>
      </c>
      <c r="AC44" s="15" t="s">
        <v>45</v>
      </c>
      <c r="AE44" s="15" t="s">
        <v>48</v>
      </c>
      <c r="AF44" s="15" t="s">
        <v>49</v>
      </c>
      <c r="AG44" s="15">
        <v>100</v>
      </c>
      <c r="AH44" s="15">
        <v>100</v>
      </c>
      <c r="AJ44" s="15" t="s">
        <v>507</v>
      </c>
      <c r="AK44" s="15"/>
      <c r="AL44" s="15"/>
      <c r="AM44" s="15" t="s">
        <v>52</v>
      </c>
    </row>
    <row r="45" spans="1:39" s="16" customFormat="1" x14ac:dyDescent="0.45">
      <c r="A45" s="15" t="s">
        <v>508</v>
      </c>
      <c r="B45" s="15"/>
      <c r="C45" s="15" t="s">
        <v>510</v>
      </c>
      <c r="D45" s="15" t="s">
        <v>512</v>
      </c>
      <c r="E45" s="24" t="s">
        <v>27972</v>
      </c>
      <c r="F45" s="27">
        <v>46202</v>
      </c>
      <c r="G45" s="38" t="s">
        <v>27998</v>
      </c>
      <c r="H45" s="15" t="s">
        <v>50</v>
      </c>
      <c r="I45" s="15" t="s">
        <v>518</v>
      </c>
      <c r="J45" s="15" t="s">
        <v>509</v>
      </c>
      <c r="K45" s="15" t="s">
        <v>511</v>
      </c>
      <c r="L45" s="15" t="s">
        <v>513</v>
      </c>
      <c r="M45" s="15" t="s">
        <v>513</v>
      </c>
      <c r="N45" s="15" t="s">
        <v>72</v>
      </c>
      <c r="O45" s="15" t="s">
        <v>73</v>
      </c>
      <c r="P45" s="15" t="s">
        <v>514</v>
      </c>
      <c r="Q45" s="15" t="s">
        <v>515</v>
      </c>
      <c r="R45" s="15"/>
      <c r="S45" s="15"/>
      <c r="T45" s="15"/>
      <c r="U45" s="15" t="s">
        <v>72</v>
      </c>
      <c r="V45" s="15" t="s">
        <v>73</v>
      </c>
      <c r="W45" s="15" t="s">
        <v>516</v>
      </c>
      <c r="X45" s="15" t="s">
        <v>517</v>
      </c>
      <c r="Y45" s="15" t="s">
        <v>44</v>
      </c>
      <c r="Z45" s="15"/>
      <c r="AA45" s="15" t="s">
        <v>45</v>
      </c>
      <c r="AB45" s="15" t="s">
        <v>199</v>
      </c>
      <c r="AC45" s="15" t="s">
        <v>45</v>
      </c>
      <c r="AE45" s="15" t="s">
        <v>48</v>
      </c>
      <c r="AF45" s="15" t="s">
        <v>49</v>
      </c>
      <c r="AG45" s="15">
        <v>100</v>
      </c>
      <c r="AH45" s="15">
        <v>100</v>
      </c>
      <c r="AJ45" s="15" t="s">
        <v>519</v>
      </c>
      <c r="AK45" s="15"/>
      <c r="AL45" s="15"/>
      <c r="AM45" s="15" t="s">
        <v>52</v>
      </c>
    </row>
    <row r="46" spans="1:39" s="16" customFormat="1" x14ac:dyDescent="0.45">
      <c r="A46" s="15" t="s">
        <v>520</v>
      </c>
      <c r="B46" s="15"/>
      <c r="C46" s="15" t="s">
        <v>522</v>
      </c>
      <c r="D46" s="15" t="s">
        <v>524</v>
      </c>
      <c r="E46" s="24" t="s">
        <v>27972</v>
      </c>
      <c r="F46" s="27">
        <v>46202</v>
      </c>
      <c r="G46" s="38" t="s">
        <v>27998</v>
      </c>
      <c r="H46" s="15" t="s">
        <v>50</v>
      </c>
      <c r="I46" s="15" t="s">
        <v>527</v>
      </c>
      <c r="J46" s="15" t="s">
        <v>521</v>
      </c>
      <c r="K46" s="15" t="s">
        <v>523</v>
      </c>
      <c r="L46" s="15" t="s">
        <v>525</v>
      </c>
      <c r="M46" s="15" t="s">
        <v>525</v>
      </c>
      <c r="N46" s="15" t="s">
        <v>72</v>
      </c>
      <c r="O46" s="15" t="s">
        <v>73</v>
      </c>
      <c r="P46" s="15" t="s">
        <v>74</v>
      </c>
      <c r="Q46" s="15" t="s">
        <v>523</v>
      </c>
      <c r="R46" s="15"/>
      <c r="S46" s="15"/>
      <c r="T46" s="15"/>
      <c r="U46" s="15" t="s">
        <v>72</v>
      </c>
      <c r="V46" s="15" t="s">
        <v>73</v>
      </c>
      <c r="W46" s="15" t="s">
        <v>74</v>
      </c>
      <c r="X46" s="15" t="s">
        <v>526</v>
      </c>
      <c r="Y46" s="15" t="s">
        <v>44</v>
      </c>
      <c r="Z46" s="15"/>
      <c r="AA46" s="15" t="s">
        <v>45</v>
      </c>
      <c r="AB46" s="15" t="s">
        <v>46</v>
      </c>
      <c r="AC46" s="15" t="s">
        <v>45</v>
      </c>
      <c r="AE46" s="15" t="s">
        <v>48</v>
      </c>
      <c r="AF46" s="15" t="s">
        <v>49</v>
      </c>
      <c r="AG46" s="15">
        <v>100</v>
      </c>
      <c r="AH46" s="15">
        <v>100</v>
      </c>
      <c r="AJ46" s="15" t="s">
        <v>528</v>
      </c>
      <c r="AK46" s="15"/>
      <c r="AL46" s="15"/>
      <c r="AM46" s="15" t="s">
        <v>52</v>
      </c>
    </row>
    <row r="47" spans="1:39" s="16" customFormat="1" x14ac:dyDescent="0.45">
      <c r="A47" s="15" t="s">
        <v>529</v>
      </c>
      <c r="B47" s="15"/>
      <c r="C47" s="15" t="s">
        <v>531</v>
      </c>
      <c r="D47" s="15" t="s">
        <v>533</v>
      </c>
      <c r="E47" s="24" t="s">
        <v>27972</v>
      </c>
      <c r="F47" s="27">
        <v>46202</v>
      </c>
      <c r="G47" s="38" t="s">
        <v>27998</v>
      </c>
      <c r="H47" s="15" t="s">
        <v>50</v>
      </c>
      <c r="I47" s="15" t="s">
        <v>540</v>
      </c>
      <c r="J47" s="15" t="s">
        <v>530</v>
      </c>
      <c r="K47" s="15" t="s">
        <v>532</v>
      </c>
      <c r="L47" s="15" t="s">
        <v>534</v>
      </c>
      <c r="M47" s="15" t="s">
        <v>535</v>
      </c>
      <c r="N47" s="15" t="s">
        <v>536</v>
      </c>
      <c r="O47" s="15" t="s">
        <v>537</v>
      </c>
      <c r="P47" s="15" t="s">
        <v>538</v>
      </c>
      <c r="Q47" s="15" t="s">
        <v>532</v>
      </c>
      <c r="R47" s="15"/>
      <c r="S47" s="15"/>
      <c r="T47" s="15"/>
      <c r="U47" s="15" t="s">
        <v>536</v>
      </c>
      <c r="V47" s="15" t="s">
        <v>537</v>
      </c>
      <c r="W47" s="15" t="s">
        <v>538</v>
      </c>
      <c r="X47" s="15" t="s">
        <v>539</v>
      </c>
      <c r="Y47" s="15" t="s">
        <v>44</v>
      </c>
      <c r="Z47" s="15"/>
      <c r="AA47" s="15" t="s">
        <v>45</v>
      </c>
      <c r="AB47" s="15" t="s">
        <v>46</v>
      </c>
      <c r="AC47" s="15" t="s">
        <v>45</v>
      </c>
      <c r="AE47" s="15" t="s">
        <v>48</v>
      </c>
      <c r="AF47" s="15" t="s">
        <v>49</v>
      </c>
      <c r="AG47" s="15">
        <v>100</v>
      </c>
      <c r="AH47" s="15">
        <v>100</v>
      </c>
      <c r="AJ47" s="15" t="s">
        <v>541</v>
      </c>
      <c r="AK47" s="15"/>
      <c r="AL47" s="15"/>
      <c r="AM47" s="15" t="s">
        <v>52</v>
      </c>
    </row>
    <row r="48" spans="1:39" s="16" customFormat="1" x14ac:dyDescent="0.45">
      <c r="A48" s="15" t="s">
        <v>542</v>
      </c>
      <c r="B48" s="15"/>
      <c r="C48" s="15" t="s">
        <v>544</v>
      </c>
      <c r="D48" s="15" t="s">
        <v>546</v>
      </c>
      <c r="E48" s="24" t="s">
        <v>27972</v>
      </c>
      <c r="F48" s="27">
        <v>46202</v>
      </c>
      <c r="G48" s="38" t="s">
        <v>27998</v>
      </c>
      <c r="H48" s="15" t="s">
        <v>50</v>
      </c>
      <c r="I48" s="15" t="s">
        <v>549</v>
      </c>
      <c r="J48" s="15" t="s">
        <v>543</v>
      </c>
      <c r="K48" s="15" t="s">
        <v>545</v>
      </c>
      <c r="L48" s="15" t="s">
        <v>547</v>
      </c>
      <c r="M48" s="15"/>
      <c r="N48" s="15" t="s">
        <v>72</v>
      </c>
      <c r="O48" s="15" t="s">
        <v>73</v>
      </c>
      <c r="P48" s="15" t="s">
        <v>373</v>
      </c>
      <c r="Q48" s="15" t="s">
        <v>545</v>
      </c>
      <c r="R48" s="15"/>
      <c r="S48" s="15"/>
      <c r="T48" s="15"/>
      <c r="U48" s="15" t="s">
        <v>72</v>
      </c>
      <c r="V48" s="15" t="s">
        <v>73</v>
      </c>
      <c r="W48" s="15" t="s">
        <v>373</v>
      </c>
      <c r="X48" s="15" t="s">
        <v>548</v>
      </c>
      <c r="Y48" s="15" t="s">
        <v>44</v>
      </c>
      <c r="Z48" s="15"/>
      <c r="AA48" s="15" t="s">
        <v>45</v>
      </c>
      <c r="AB48" s="15" t="s">
        <v>46</v>
      </c>
      <c r="AC48" s="15" t="s">
        <v>45</v>
      </c>
      <c r="AE48" s="15" t="s">
        <v>48</v>
      </c>
      <c r="AF48" s="15" t="s">
        <v>49</v>
      </c>
      <c r="AG48" s="15">
        <v>100</v>
      </c>
      <c r="AH48" s="15">
        <v>100</v>
      </c>
      <c r="AJ48" s="15" t="s">
        <v>550</v>
      </c>
      <c r="AK48" s="15"/>
      <c r="AL48" s="15"/>
      <c r="AM48" s="15" t="s">
        <v>52</v>
      </c>
    </row>
    <row r="49" spans="1:39" s="16" customFormat="1" x14ac:dyDescent="0.45">
      <c r="A49" s="15" t="s">
        <v>551</v>
      </c>
      <c r="B49" s="15"/>
      <c r="C49" s="15" t="s">
        <v>553</v>
      </c>
      <c r="D49" s="15" t="s">
        <v>555</v>
      </c>
      <c r="E49" s="24" t="s">
        <v>27972</v>
      </c>
      <c r="F49" s="27">
        <v>46202</v>
      </c>
      <c r="G49" s="38" t="s">
        <v>27998</v>
      </c>
      <c r="H49" s="15" t="s">
        <v>50</v>
      </c>
      <c r="I49" s="15" t="s">
        <v>561</v>
      </c>
      <c r="J49" s="15" t="s">
        <v>552</v>
      </c>
      <c r="K49" s="15" t="s">
        <v>554</v>
      </c>
      <c r="L49" s="15" t="s">
        <v>556</v>
      </c>
      <c r="M49" s="15"/>
      <c r="N49" s="15" t="s">
        <v>384</v>
      </c>
      <c r="O49" s="15" t="s">
        <v>73</v>
      </c>
      <c r="P49" s="15" t="s">
        <v>557</v>
      </c>
      <c r="Q49" s="15" t="s">
        <v>558</v>
      </c>
      <c r="R49" s="15"/>
      <c r="S49" s="15"/>
      <c r="T49" s="15"/>
      <c r="U49" s="15" t="s">
        <v>384</v>
      </c>
      <c r="V49" s="15" t="s">
        <v>73</v>
      </c>
      <c r="W49" s="15" t="s">
        <v>559</v>
      </c>
      <c r="X49" s="15" t="s">
        <v>560</v>
      </c>
      <c r="Y49" s="15" t="s">
        <v>44</v>
      </c>
      <c r="Z49" s="15"/>
      <c r="AA49" s="15" t="s">
        <v>45</v>
      </c>
      <c r="AB49" s="15" t="s">
        <v>46</v>
      </c>
      <c r="AC49" s="15" t="s">
        <v>45</v>
      </c>
      <c r="AE49" s="15" t="s">
        <v>48</v>
      </c>
      <c r="AF49" s="15" t="s">
        <v>49</v>
      </c>
      <c r="AG49" s="15">
        <v>100</v>
      </c>
      <c r="AH49" s="15">
        <v>100</v>
      </c>
      <c r="AJ49" s="15" t="s">
        <v>562</v>
      </c>
      <c r="AK49" s="15"/>
      <c r="AL49" s="15"/>
      <c r="AM49" s="15" t="s">
        <v>52</v>
      </c>
    </row>
    <row r="50" spans="1:39" s="16" customFormat="1" x14ac:dyDescent="0.45">
      <c r="A50" s="15" t="s">
        <v>563</v>
      </c>
      <c r="B50" s="15"/>
      <c r="C50" s="15" t="s">
        <v>565</v>
      </c>
      <c r="D50" s="15" t="s">
        <v>567</v>
      </c>
      <c r="E50" s="24" t="s">
        <v>27972</v>
      </c>
      <c r="F50" s="27">
        <v>46202</v>
      </c>
      <c r="G50" s="38" t="s">
        <v>27998</v>
      </c>
      <c r="H50" s="15" t="s">
        <v>50</v>
      </c>
      <c r="I50" s="15" t="s">
        <v>571</v>
      </c>
      <c r="J50" s="15" t="s">
        <v>564</v>
      </c>
      <c r="K50" s="15" t="s">
        <v>566</v>
      </c>
      <c r="L50" s="15" t="s">
        <v>568</v>
      </c>
      <c r="M50" s="15" t="s">
        <v>568</v>
      </c>
      <c r="N50" s="15" t="s">
        <v>85</v>
      </c>
      <c r="O50" s="15" t="s">
        <v>86</v>
      </c>
      <c r="P50" s="15" t="s">
        <v>569</v>
      </c>
      <c r="Q50" s="15" t="s">
        <v>566</v>
      </c>
      <c r="R50" s="15"/>
      <c r="S50" s="15"/>
      <c r="T50" s="15"/>
      <c r="U50" s="15" t="s">
        <v>85</v>
      </c>
      <c r="V50" s="15" t="s">
        <v>86</v>
      </c>
      <c r="W50" s="15" t="s">
        <v>569</v>
      </c>
      <c r="X50" s="15" t="s">
        <v>570</v>
      </c>
      <c r="Y50" s="15" t="s">
        <v>44</v>
      </c>
      <c r="Z50" s="15"/>
      <c r="AA50" s="15" t="s">
        <v>45</v>
      </c>
      <c r="AB50" s="15" t="s">
        <v>46</v>
      </c>
      <c r="AC50" s="15" t="s">
        <v>45</v>
      </c>
      <c r="AE50" s="15" t="s">
        <v>48</v>
      </c>
      <c r="AF50" s="15" t="s">
        <v>49</v>
      </c>
      <c r="AG50" s="15">
        <v>100</v>
      </c>
      <c r="AH50" s="15">
        <v>100</v>
      </c>
      <c r="AJ50" s="15" t="s">
        <v>572</v>
      </c>
      <c r="AK50" s="15"/>
      <c r="AL50" s="15"/>
      <c r="AM50" s="15" t="s">
        <v>52</v>
      </c>
    </row>
    <row r="51" spans="1:39" s="16" customFormat="1" x14ac:dyDescent="0.45">
      <c r="A51" s="15" t="s">
        <v>573</v>
      </c>
      <c r="B51" s="15"/>
      <c r="C51" s="15" t="s">
        <v>575</v>
      </c>
      <c r="D51" s="17" t="s">
        <v>577</v>
      </c>
      <c r="E51" s="24" t="s">
        <v>27972</v>
      </c>
      <c r="F51" s="27">
        <v>46202</v>
      </c>
      <c r="G51" s="38" t="s">
        <v>27998</v>
      </c>
      <c r="H51" s="15" t="s">
        <v>50</v>
      </c>
      <c r="I51" s="15" t="s">
        <v>581</v>
      </c>
      <c r="J51" s="15" t="s">
        <v>574</v>
      </c>
      <c r="K51" s="15" t="s">
        <v>576</v>
      </c>
      <c r="L51" s="15" t="s">
        <v>578</v>
      </c>
      <c r="M51" s="15" t="s">
        <v>578</v>
      </c>
      <c r="N51" s="15" t="s">
        <v>85</v>
      </c>
      <c r="O51" s="15" t="s">
        <v>86</v>
      </c>
      <c r="P51" s="15" t="s">
        <v>579</v>
      </c>
      <c r="Q51" s="15" t="s">
        <v>576</v>
      </c>
      <c r="R51" s="15"/>
      <c r="S51" s="15"/>
      <c r="T51" s="15"/>
      <c r="U51" s="15" t="s">
        <v>85</v>
      </c>
      <c r="V51" s="15" t="s">
        <v>86</v>
      </c>
      <c r="W51" s="15" t="s">
        <v>579</v>
      </c>
      <c r="X51" s="15" t="s">
        <v>580</v>
      </c>
      <c r="Y51" s="15" t="s">
        <v>44</v>
      </c>
      <c r="Z51" s="15"/>
      <c r="AA51" s="15" t="s">
        <v>45</v>
      </c>
      <c r="AB51" s="15" t="s">
        <v>199</v>
      </c>
      <c r="AC51" s="15" t="s">
        <v>45</v>
      </c>
      <c r="AE51" s="15" t="s">
        <v>48</v>
      </c>
      <c r="AF51" s="15" t="s">
        <v>49</v>
      </c>
      <c r="AG51" s="15">
        <v>100</v>
      </c>
      <c r="AH51" s="15">
        <v>100</v>
      </c>
      <c r="AJ51" s="15" t="s">
        <v>582</v>
      </c>
      <c r="AK51" s="15"/>
      <c r="AL51" s="15"/>
      <c r="AM51" s="15" t="s">
        <v>52</v>
      </c>
    </row>
    <row r="52" spans="1:39" s="16" customFormat="1" x14ac:dyDescent="0.45">
      <c r="A52" s="15" t="s">
        <v>583</v>
      </c>
      <c r="B52" s="15"/>
      <c r="C52" s="15" t="s">
        <v>585</v>
      </c>
      <c r="D52" s="15" t="s">
        <v>587</v>
      </c>
      <c r="E52" s="24" t="s">
        <v>27972</v>
      </c>
      <c r="F52" s="27">
        <v>46202</v>
      </c>
      <c r="G52" s="38" t="s">
        <v>27998</v>
      </c>
      <c r="H52" s="15" t="s">
        <v>50</v>
      </c>
      <c r="I52" s="15" t="s">
        <v>590</v>
      </c>
      <c r="J52" s="15" t="s">
        <v>584</v>
      </c>
      <c r="K52" s="15" t="s">
        <v>586</v>
      </c>
      <c r="L52" s="15" t="s">
        <v>588</v>
      </c>
      <c r="M52" s="15"/>
      <c r="N52" s="15" t="s">
        <v>72</v>
      </c>
      <c r="O52" s="15" t="s">
        <v>73</v>
      </c>
      <c r="P52" s="15" t="s">
        <v>484</v>
      </c>
      <c r="Q52" s="15" t="s">
        <v>586</v>
      </c>
      <c r="R52" s="15"/>
      <c r="S52" s="15"/>
      <c r="T52" s="15"/>
      <c r="U52" s="15" t="s">
        <v>72</v>
      </c>
      <c r="V52" s="15" t="s">
        <v>73</v>
      </c>
      <c r="W52" s="15" t="s">
        <v>484</v>
      </c>
      <c r="X52" s="15" t="s">
        <v>589</v>
      </c>
      <c r="Y52" s="15" t="s">
        <v>44</v>
      </c>
      <c r="Z52" s="15"/>
      <c r="AA52" s="15" t="s">
        <v>45</v>
      </c>
      <c r="AB52" s="15" t="s">
        <v>46</v>
      </c>
      <c r="AC52" s="15" t="s">
        <v>45</v>
      </c>
      <c r="AE52" s="15" t="s">
        <v>48</v>
      </c>
      <c r="AF52" s="15" t="s">
        <v>49</v>
      </c>
      <c r="AG52" s="15">
        <v>100</v>
      </c>
      <c r="AH52" s="15">
        <v>100</v>
      </c>
      <c r="AJ52" s="15" t="s">
        <v>591</v>
      </c>
      <c r="AK52" s="15"/>
      <c r="AL52" s="15"/>
      <c r="AM52" s="15" t="s">
        <v>52</v>
      </c>
    </row>
    <row r="53" spans="1:39" s="16" customFormat="1" x14ac:dyDescent="0.45">
      <c r="A53" s="15" t="s">
        <v>592</v>
      </c>
      <c r="B53" s="15"/>
      <c r="C53" s="15" t="s">
        <v>594</v>
      </c>
      <c r="D53" s="15" t="s">
        <v>596</v>
      </c>
      <c r="E53" s="24" t="s">
        <v>27972</v>
      </c>
      <c r="F53" s="27">
        <v>46202</v>
      </c>
      <c r="G53" s="38" t="s">
        <v>27998</v>
      </c>
      <c r="H53" s="15" t="s">
        <v>50</v>
      </c>
      <c r="I53" s="15" t="s">
        <v>599</v>
      </c>
      <c r="J53" s="15" t="s">
        <v>593</v>
      </c>
      <c r="K53" s="15" t="s">
        <v>595</v>
      </c>
      <c r="L53" s="15" t="s">
        <v>597</v>
      </c>
      <c r="M53" s="15"/>
      <c r="N53" s="15" t="s">
        <v>72</v>
      </c>
      <c r="O53" s="15" t="s">
        <v>73</v>
      </c>
      <c r="P53" s="15" t="s">
        <v>98</v>
      </c>
      <c r="Q53" s="15" t="s">
        <v>595</v>
      </c>
      <c r="R53" s="15"/>
      <c r="S53" s="15"/>
      <c r="T53" s="15"/>
      <c r="U53" s="15" t="s">
        <v>72</v>
      </c>
      <c r="V53" s="15" t="s">
        <v>73</v>
      </c>
      <c r="W53" s="15" t="s">
        <v>98</v>
      </c>
      <c r="X53" s="15" t="s">
        <v>598</v>
      </c>
      <c r="Y53" s="15" t="s">
        <v>44</v>
      </c>
      <c r="Z53" s="15"/>
      <c r="AA53" s="15" t="s">
        <v>45</v>
      </c>
      <c r="AB53" s="15" t="s">
        <v>46</v>
      </c>
      <c r="AC53" s="15" t="s">
        <v>45</v>
      </c>
      <c r="AE53" s="15" t="s">
        <v>48</v>
      </c>
      <c r="AF53" s="15" t="s">
        <v>49</v>
      </c>
      <c r="AG53" s="15">
        <v>100</v>
      </c>
      <c r="AH53" s="15">
        <v>100</v>
      </c>
      <c r="AJ53" s="15" t="s">
        <v>600</v>
      </c>
      <c r="AK53" s="15"/>
      <c r="AL53" s="15"/>
      <c r="AM53" s="15" t="s">
        <v>52</v>
      </c>
    </row>
    <row r="54" spans="1:39" s="16" customFormat="1" x14ac:dyDescent="0.45">
      <c r="A54" s="15" t="s">
        <v>601</v>
      </c>
      <c r="B54" s="15"/>
      <c r="C54" s="15" t="s">
        <v>603</v>
      </c>
      <c r="D54" s="15" t="s">
        <v>605</v>
      </c>
      <c r="E54" s="24" t="s">
        <v>27972</v>
      </c>
      <c r="F54" s="27">
        <v>46202</v>
      </c>
      <c r="G54" s="38" t="s">
        <v>27998</v>
      </c>
      <c r="H54" s="15" t="s">
        <v>50</v>
      </c>
      <c r="I54" s="15" t="s">
        <v>611</v>
      </c>
      <c r="J54" s="15" t="s">
        <v>602</v>
      </c>
      <c r="K54" s="15" t="s">
        <v>604</v>
      </c>
      <c r="L54" s="15" t="s">
        <v>606</v>
      </c>
      <c r="M54" s="15" t="s">
        <v>606</v>
      </c>
      <c r="N54" s="15" t="s">
        <v>72</v>
      </c>
      <c r="O54" s="15" t="s">
        <v>73</v>
      </c>
      <c r="P54" s="15" t="s">
        <v>607</v>
      </c>
      <c r="Q54" s="15" t="s">
        <v>608</v>
      </c>
      <c r="R54" s="15"/>
      <c r="S54" s="15"/>
      <c r="T54" s="15"/>
      <c r="U54" s="15" t="s">
        <v>72</v>
      </c>
      <c r="V54" s="15" t="s">
        <v>73</v>
      </c>
      <c r="W54" s="15" t="s">
        <v>609</v>
      </c>
      <c r="X54" s="15" t="s">
        <v>610</v>
      </c>
      <c r="Y54" s="15" t="s">
        <v>44</v>
      </c>
      <c r="Z54" s="15"/>
      <c r="AA54" s="15" t="s">
        <v>45</v>
      </c>
      <c r="AB54" s="15" t="s">
        <v>199</v>
      </c>
      <c r="AC54" s="15" t="s">
        <v>45</v>
      </c>
      <c r="AE54" s="15" t="s">
        <v>48</v>
      </c>
      <c r="AF54" s="15" t="s">
        <v>49</v>
      </c>
      <c r="AG54" s="15">
        <v>100</v>
      </c>
      <c r="AH54" s="15">
        <v>100</v>
      </c>
      <c r="AJ54" s="15" t="s">
        <v>612</v>
      </c>
      <c r="AK54" s="15"/>
      <c r="AL54" s="15"/>
      <c r="AM54" s="15" t="s">
        <v>52</v>
      </c>
    </row>
    <row r="55" spans="1:39" s="16" customFormat="1" x14ac:dyDescent="0.45">
      <c r="A55" s="15" t="s">
        <v>613</v>
      </c>
      <c r="B55" s="15"/>
      <c r="C55" s="15" t="s">
        <v>615</v>
      </c>
      <c r="D55" s="15" t="s">
        <v>617</v>
      </c>
      <c r="E55" s="24" t="s">
        <v>27972</v>
      </c>
      <c r="F55" s="27">
        <v>46202</v>
      </c>
      <c r="G55" s="38" t="s">
        <v>27998</v>
      </c>
      <c r="H55" s="15" t="s">
        <v>50</v>
      </c>
      <c r="I55" s="15" t="s">
        <v>621</v>
      </c>
      <c r="J55" s="15" t="s">
        <v>614</v>
      </c>
      <c r="K55" s="15" t="s">
        <v>616</v>
      </c>
      <c r="L55" s="15" t="s">
        <v>618</v>
      </c>
      <c r="M55" s="15"/>
      <c r="N55" s="15" t="s">
        <v>72</v>
      </c>
      <c r="O55" s="15" t="s">
        <v>73</v>
      </c>
      <c r="P55" s="15" t="s">
        <v>373</v>
      </c>
      <c r="Q55" s="15" t="s">
        <v>619</v>
      </c>
      <c r="R55" s="15"/>
      <c r="S55" s="15"/>
      <c r="T55" s="15"/>
      <c r="U55" s="15" t="s">
        <v>72</v>
      </c>
      <c r="V55" s="15" t="s">
        <v>73</v>
      </c>
      <c r="W55" s="15" t="s">
        <v>98</v>
      </c>
      <c r="X55" s="15" t="s">
        <v>620</v>
      </c>
      <c r="Y55" s="15" t="s">
        <v>44</v>
      </c>
      <c r="Z55" s="15"/>
      <c r="AA55" s="15" t="s">
        <v>45</v>
      </c>
      <c r="AB55" s="15" t="s">
        <v>46</v>
      </c>
      <c r="AC55" s="15" t="s">
        <v>45</v>
      </c>
      <c r="AE55" s="15" t="s">
        <v>48</v>
      </c>
      <c r="AF55" s="15" t="s">
        <v>49</v>
      </c>
      <c r="AG55" s="15">
        <v>100</v>
      </c>
      <c r="AH55" s="15">
        <v>100</v>
      </c>
      <c r="AJ55" s="15" t="s">
        <v>622</v>
      </c>
      <c r="AK55" s="15"/>
      <c r="AL55" s="15"/>
      <c r="AM55" s="15" t="s">
        <v>52</v>
      </c>
    </row>
    <row r="56" spans="1:39" s="16" customFormat="1" x14ac:dyDescent="0.45">
      <c r="A56" s="15" t="s">
        <v>623</v>
      </c>
      <c r="B56" s="15"/>
      <c r="C56" s="15" t="s">
        <v>625</v>
      </c>
      <c r="D56" s="15" t="s">
        <v>627</v>
      </c>
      <c r="E56" s="24" t="s">
        <v>27972</v>
      </c>
      <c r="F56" s="27">
        <v>46202</v>
      </c>
      <c r="G56" s="38" t="s">
        <v>27998</v>
      </c>
      <c r="H56" s="15" t="s">
        <v>50</v>
      </c>
      <c r="I56" s="15" t="s">
        <v>633</v>
      </c>
      <c r="J56" s="15" t="s">
        <v>624</v>
      </c>
      <c r="K56" s="15" t="s">
        <v>626</v>
      </c>
      <c r="L56" s="15" t="s">
        <v>628</v>
      </c>
      <c r="M56" s="15" t="s">
        <v>628</v>
      </c>
      <c r="N56" s="15" t="s">
        <v>85</v>
      </c>
      <c r="O56" s="15" t="s">
        <v>86</v>
      </c>
      <c r="P56" s="15" t="s">
        <v>629</v>
      </c>
      <c r="Q56" s="15" t="s">
        <v>630</v>
      </c>
      <c r="R56" s="15"/>
      <c r="S56" s="15"/>
      <c r="T56" s="15"/>
      <c r="U56" s="15" t="s">
        <v>85</v>
      </c>
      <c r="V56" s="15" t="s">
        <v>86</v>
      </c>
      <c r="W56" s="15" t="s">
        <v>631</v>
      </c>
      <c r="X56" s="15" t="s">
        <v>632</v>
      </c>
      <c r="Y56" s="15" t="s">
        <v>44</v>
      </c>
      <c r="Z56" s="15"/>
      <c r="AA56" s="15" t="s">
        <v>45</v>
      </c>
      <c r="AB56" s="15" t="s">
        <v>46</v>
      </c>
      <c r="AC56" s="15" t="s">
        <v>45</v>
      </c>
      <c r="AE56" s="15" t="s">
        <v>48</v>
      </c>
      <c r="AF56" s="15" t="s">
        <v>49</v>
      </c>
      <c r="AG56" s="15">
        <v>100</v>
      </c>
      <c r="AH56" s="15">
        <v>100</v>
      </c>
      <c r="AJ56" s="15" t="s">
        <v>634</v>
      </c>
      <c r="AK56" s="15"/>
      <c r="AL56" s="15"/>
      <c r="AM56" s="15" t="s">
        <v>52</v>
      </c>
    </row>
    <row r="57" spans="1:39" s="16" customFormat="1" x14ac:dyDescent="0.45">
      <c r="A57" s="15" t="s">
        <v>635</v>
      </c>
      <c r="B57" s="15"/>
      <c r="C57" s="15" t="s">
        <v>637</v>
      </c>
      <c r="D57" s="15" t="s">
        <v>639</v>
      </c>
      <c r="E57" s="24" t="s">
        <v>27972</v>
      </c>
      <c r="F57" s="27">
        <v>46202</v>
      </c>
      <c r="G57" s="38" t="s">
        <v>27998</v>
      </c>
      <c r="H57" s="15" t="s">
        <v>50</v>
      </c>
      <c r="I57" s="15" t="s">
        <v>643</v>
      </c>
      <c r="J57" s="15" t="s">
        <v>636</v>
      </c>
      <c r="K57" s="15" t="s">
        <v>638</v>
      </c>
      <c r="L57" s="15" t="s">
        <v>640</v>
      </c>
      <c r="M57" s="15" t="s">
        <v>640</v>
      </c>
      <c r="N57" s="15" t="s">
        <v>536</v>
      </c>
      <c r="O57" s="15" t="s">
        <v>537</v>
      </c>
      <c r="P57" s="15" t="s">
        <v>641</v>
      </c>
      <c r="Q57" s="15" t="s">
        <v>638</v>
      </c>
      <c r="R57" s="15"/>
      <c r="S57" s="15"/>
      <c r="T57" s="15"/>
      <c r="U57" s="15" t="s">
        <v>536</v>
      </c>
      <c r="V57" s="15" t="s">
        <v>537</v>
      </c>
      <c r="W57" s="15" t="s">
        <v>641</v>
      </c>
      <c r="X57" s="15" t="s">
        <v>642</v>
      </c>
      <c r="Y57" s="15" t="s">
        <v>44</v>
      </c>
      <c r="Z57" s="15"/>
      <c r="AA57" s="15" t="s">
        <v>45</v>
      </c>
      <c r="AB57" s="15" t="s">
        <v>46</v>
      </c>
      <c r="AC57" s="15" t="s">
        <v>45</v>
      </c>
      <c r="AE57" s="15" t="s">
        <v>48</v>
      </c>
      <c r="AF57" s="15" t="s">
        <v>49</v>
      </c>
      <c r="AG57" s="15">
        <v>100</v>
      </c>
      <c r="AH57" s="15">
        <v>100</v>
      </c>
      <c r="AJ57" s="15" t="s">
        <v>644</v>
      </c>
      <c r="AK57" s="15"/>
      <c r="AL57" s="15"/>
      <c r="AM57" s="15" t="s">
        <v>52</v>
      </c>
    </row>
    <row r="58" spans="1:39" s="16" customFormat="1" x14ac:dyDescent="0.45">
      <c r="A58" s="15" t="s">
        <v>645</v>
      </c>
      <c r="B58" s="15"/>
      <c r="C58" s="15" t="s">
        <v>647</v>
      </c>
      <c r="D58" s="15" t="s">
        <v>649</v>
      </c>
      <c r="E58" s="24" t="s">
        <v>27972</v>
      </c>
      <c r="F58" s="27">
        <v>46202</v>
      </c>
      <c r="G58" s="38" t="s">
        <v>27998</v>
      </c>
      <c r="H58" s="15" t="s">
        <v>50</v>
      </c>
      <c r="I58" s="15" t="s">
        <v>654</v>
      </c>
      <c r="J58" s="15" t="s">
        <v>646</v>
      </c>
      <c r="K58" s="15" t="s">
        <v>648</v>
      </c>
      <c r="L58" s="15" t="s">
        <v>650</v>
      </c>
      <c r="M58" s="15"/>
      <c r="N58" s="15" t="s">
        <v>651</v>
      </c>
      <c r="O58" s="15" t="s">
        <v>86</v>
      </c>
      <c r="P58" s="15" t="s">
        <v>87</v>
      </c>
      <c r="Q58" s="15" t="s">
        <v>652</v>
      </c>
      <c r="R58" s="15"/>
      <c r="S58" s="15"/>
      <c r="T58" s="15"/>
      <c r="U58" s="15" t="s">
        <v>85</v>
      </c>
      <c r="V58" s="15" t="s">
        <v>86</v>
      </c>
      <c r="W58" s="15" t="s">
        <v>87</v>
      </c>
      <c r="X58" s="15" t="s">
        <v>653</v>
      </c>
      <c r="Y58" s="15" t="s">
        <v>44</v>
      </c>
      <c r="Z58" s="15"/>
      <c r="AA58" s="15" t="s">
        <v>45</v>
      </c>
      <c r="AB58" s="15" t="s">
        <v>46</v>
      </c>
      <c r="AC58" s="15" t="s">
        <v>45</v>
      </c>
      <c r="AE58" s="15" t="s">
        <v>48</v>
      </c>
      <c r="AF58" s="15" t="s">
        <v>49</v>
      </c>
      <c r="AG58" s="15">
        <v>100</v>
      </c>
      <c r="AH58" s="15">
        <v>100</v>
      </c>
      <c r="AJ58" s="15" t="s">
        <v>655</v>
      </c>
      <c r="AK58" s="15"/>
      <c r="AL58" s="15"/>
      <c r="AM58" s="15" t="s">
        <v>52</v>
      </c>
    </row>
    <row r="59" spans="1:39" s="16" customFormat="1" x14ac:dyDescent="0.45">
      <c r="A59" s="15" t="s">
        <v>656</v>
      </c>
      <c r="B59" s="15"/>
      <c r="C59" s="15" t="s">
        <v>658</v>
      </c>
      <c r="D59" s="17" t="s">
        <v>660</v>
      </c>
      <c r="E59" s="24" t="s">
        <v>27972</v>
      </c>
      <c r="F59" s="27">
        <v>46202</v>
      </c>
      <c r="G59" s="38" t="s">
        <v>27998</v>
      </c>
      <c r="H59" s="15" t="s">
        <v>50</v>
      </c>
      <c r="I59" s="15" t="s">
        <v>663</v>
      </c>
      <c r="J59" s="15" t="s">
        <v>657</v>
      </c>
      <c r="K59" s="15" t="s">
        <v>659</v>
      </c>
      <c r="L59" s="15" t="s">
        <v>661</v>
      </c>
      <c r="M59" s="15" t="s">
        <v>661</v>
      </c>
      <c r="N59" s="15" t="s">
        <v>85</v>
      </c>
      <c r="O59" s="15" t="s">
        <v>86</v>
      </c>
      <c r="P59" s="15" t="s">
        <v>87</v>
      </c>
      <c r="Q59" s="15" t="s">
        <v>659</v>
      </c>
      <c r="R59" s="15"/>
      <c r="S59" s="15"/>
      <c r="T59" s="15"/>
      <c r="U59" s="15" t="s">
        <v>85</v>
      </c>
      <c r="V59" s="15" t="s">
        <v>86</v>
      </c>
      <c r="W59" s="15" t="s">
        <v>87</v>
      </c>
      <c r="X59" s="15" t="s">
        <v>662</v>
      </c>
      <c r="Y59" s="15" t="s">
        <v>44</v>
      </c>
      <c r="Z59" s="15"/>
      <c r="AA59" s="15" t="s">
        <v>45</v>
      </c>
      <c r="AB59" s="15" t="s">
        <v>199</v>
      </c>
      <c r="AC59" s="15" t="s">
        <v>45</v>
      </c>
      <c r="AE59" s="15" t="s">
        <v>48</v>
      </c>
      <c r="AF59" s="15" t="s">
        <v>49</v>
      </c>
      <c r="AG59" s="15">
        <v>100</v>
      </c>
      <c r="AH59" s="15">
        <v>100</v>
      </c>
      <c r="AJ59" s="15" t="s">
        <v>664</v>
      </c>
      <c r="AK59" s="15"/>
      <c r="AL59" s="15"/>
      <c r="AM59" s="15" t="s">
        <v>52</v>
      </c>
    </row>
    <row r="60" spans="1:39" s="16" customFormat="1" x14ac:dyDescent="0.45">
      <c r="A60" s="15" t="s">
        <v>665</v>
      </c>
      <c r="B60" s="15"/>
      <c r="C60" s="15" t="s">
        <v>667</v>
      </c>
      <c r="D60" s="15" t="s">
        <v>669</v>
      </c>
      <c r="E60" s="24" t="s">
        <v>27972</v>
      </c>
      <c r="F60" s="27">
        <v>46202</v>
      </c>
      <c r="G60" s="38" t="s">
        <v>27998</v>
      </c>
      <c r="H60" s="15" t="s">
        <v>50</v>
      </c>
      <c r="I60" s="15" t="s">
        <v>673</v>
      </c>
      <c r="J60" s="15" t="s">
        <v>666</v>
      </c>
      <c r="K60" s="15" t="s">
        <v>668</v>
      </c>
      <c r="L60" s="15" t="s">
        <v>670</v>
      </c>
      <c r="M60" s="15" t="s">
        <v>670</v>
      </c>
      <c r="N60" s="15" t="s">
        <v>290</v>
      </c>
      <c r="O60" s="15" t="s">
        <v>278</v>
      </c>
      <c r="P60" s="15" t="s">
        <v>671</v>
      </c>
      <c r="Q60" s="15" t="s">
        <v>668</v>
      </c>
      <c r="R60" s="15"/>
      <c r="S60" s="15"/>
      <c r="T60" s="15"/>
      <c r="U60" s="15" t="s">
        <v>290</v>
      </c>
      <c r="V60" s="15" t="s">
        <v>278</v>
      </c>
      <c r="W60" s="15" t="s">
        <v>671</v>
      </c>
      <c r="X60" s="15" t="s">
        <v>672</v>
      </c>
      <c r="Y60" s="15" t="s">
        <v>44</v>
      </c>
      <c r="Z60" s="15"/>
      <c r="AA60" s="15" t="s">
        <v>45</v>
      </c>
      <c r="AB60" s="15" t="s">
        <v>46</v>
      </c>
      <c r="AC60" s="15" t="s">
        <v>45</v>
      </c>
      <c r="AE60" s="15" t="s">
        <v>48</v>
      </c>
      <c r="AF60" s="15" t="s">
        <v>49</v>
      </c>
      <c r="AG60" s="15">
        <v>100</v>
      </c>
      <c r="AH60" s="15">
        <v>100</v>
      </c>
      <c r="AJ60" s="15" t="s">
        <v>674</v>
      </c>
      <c r="AK60" s="15"/>
      <c r="AL60" s="15"/>
      <c r="AM60" s="15" t="s">
        <v>52</v>
      </c>
    </row>
    <row r="61" spans="1:39" s="16" customFormat="1" x14ac:dyDescent="0.45">
      <c r="A61" s="15" t="s">
        <v>675</v>
      </c>
      <c r="B61" s="15"/>
      <c r="C61" s="15" t="s">
        <v>677</v>
      </c>
      <c r="D61" s="17" t="s">
        <v>679</v>
      </c>
      <c r="E61" s="24" t="s">
        <v>27972</v>
      </c>
      <c r="F61" s="27">
        <v>46202</v>
      </c>
      <c r="G61" s="38" t="s">
        <v>27998</v>
      </c>
      <c r="H61" s="15" t="s">
        <v>50</v>
      </c>
      <c r="I61" s="15" t="s">
        <v>683</v>
      </c>
      <c r="J61" s="15" t="s">
        <v>676</v>
      </c>
      <c r="K61" s="15" t="s">
        <v>678</v>
      </c>
      <c r="L61" s="15" t="s">
        <v>680</v>
      </c>
      <c r="M61" s="15" t="s">
        <v>680</v>
      </c>
      <c r="N61" s="15" t="s">
        <v>39</v>
      </c>
      <c r="O61" s="15" t="s">
        <v>40</v>
      </c>
      <c r="P61" s="15" t="s">
        <v>41</v>
      </c>
      <c r="Q61" s="15" t="s">
        <v>681</v>
      </c>
      <c r="R61" s="15"/>
      <c r="S61" s="15"/>
      <c r="T61" s="15"/>
      <c r="U61" s="15" t="s">
        <v>39</v>
      </c>
      <c r="V61" s="15" t="s">
        <v>40</v>
      </c>
      <c r="W61" s="15" t="s">
        <v>41</v>
      </c>
      <c r="X61" s="15" t="s">
        <v>682</v>
      </c>
      <c r="Y61" s="15" t="s">
        <v>44</v>
      </c>
      <c r="Z61" s="15"/>
      <c r="AA61" s="15" t="s">
        <v>45</v>
      </c>
      <c r="AB61" s="15" t="s">
        <v>46</v>
      </c>
      <c r="AC61" s="15" t="s">
        <v>45</v>
      </c>
      <c r="AE61" s="15" t="s">
        <v>48</v>
      </c>
      <c r="AF61" s="15" t="s">
        <v>49</v>
      </c>
      <c r="AG61" s="15">
        <v>100</v>
      </c>
      <c r="AH61" s="15">
        <v>100</v>
      </c>
      <c r="AJ61" s="15" t="s">
        <v>684</v>
      </c>
      <c r="AK61" s="15"/>
      <c r="AL61" s="15"/>
      <c r="AM61" s="15" t="s">
        <v>52</v>
      </c>
    </row>
    <row r="62" spans="1:39" s="16" customFormat="1" x14ac:dyDescent="0.45">
      <c r="A62" s="15" t="s">
        <v>685</v>
      </c>
      <c r="B62" s="15"/>
      <c r="C62" s="15" t="s">
        <v>687</v>
      </c>
      <c r="D62" s="15" t="s">
        <v>689</v>
      </c>
      <c r="E62" s="24" t="s">
        <v>27972</v>
      </c>
      <c r="F62" s="27">
        <v>46202</v>
      </c>
      <c r="G62" s="38" t="s">
        <v>27998</v>
      </c>
      <c r="H62" s="15" t="s">
        <v>50</v>
      </c>
      <c r="I62" s="15" t="s">
        <v>693</v>
      </c>
      <c r="J62" s="15" t="s">
        <v>686</v>
      </c>
      <c r="K62" s="15" t="s">
        <v>688</v>
      </c>
      <c r="L62" s="15" t="s">
        <v>690</v>
      </c>
      <c r="M62" s="15"/>
      <c r="N62" s="15" t="s">
        <v>536</v>
      </c>
      <c r="O62" s="15" t="s">
        <v>537</v>
      </c>
      <c r="P62" s="15" t="s">
        <v>691</v>
      </c>
      <c r="Q62" s="15" t="s">
        <v>688</v>
      </c>
      <c r="R62" s="15"/>
      <c r="S62" s="15"/>
      <c r="T62" s="15"/>
      <c r="U62" s="15" t="s">
        <v>536</v>
      </c>
      <c r="V62" s="15" t="s">
        <v>537</v>
      </c>
      <c r="W62" s="15" t="s">
        <v>691</v>
      </c>
      <c r="X62" s="15" t="s">
        <v>692</v>
      </c>
      <c r="Y62" s="15" t="s">
        <v>44</v>
      </c>
      <c r="Z62" s="15"/>
      <c r="AA62" s="15" t="s">
        <v>45</v>
      </c>
      <c r="AB62" s="15" t="s">
        <v>46</v>
      </c>
      <c r="AC62" s="15" t="s">
        <v>45</v>
      </c>
      <c r="AE62" s="15" t="s">
        <v>48</v>
      </c>
      <c r="AF62" s="15" t="s">
        <v>49</v>
      </c>
      <c r="AG62" s="15">
        <v>100</v>
      </c>
      <c r="AH62" s="15">
        <v>100</v>
      </c>
      <c r="AJ62" s="15" t="s">
        <v>694</v>
      </c>
      <c r="AK62" s="15"/>
      <c r="AL62" s="15"/>
      <c r="AM62" s="15" t="s">
        <v>52</v>
      </c>
    </row>
    <row r="63" spans="1:39" s="16" customFormat="1" x14ac:dyDescent="0.45">
      <c r="A63" s="15" t="s">
        <v>695</v>
      </c>
      <c r="B63" s="15"/>
      <c r="C63" s="15" t="s">
        <v>697</v>
      </c>
      <c r="D63" s="15" t="s">
        <v>699</v>
      </c>
      <c r="E63" s="24" t="s">
        <v>27972</v>
      </c>
      <c r="F63" s="27">
        <v>46202</v>
      </c>
      <c r="G63" s="38" t="s">
        <v>27998</v>
      </c>
      <c r="H63" s="15" t="s">
        <v>50</v>
      </c>
      <c r="I63" s="15" t="s">
        <v>702</v>
      </c>
      <c r="J63" s="15" t="s">
        <v>696</v>
      </c>
      <c r="K63" s="15" t="s">
        <v>698</v>
      </c>
      <c r="L63" s="15" t="s">
        <v>700</v>
      </c>
      <c r="M63" s="15" t="s">
        <v>700</v>
      </c>
      <c r="N63" s="15" t="s">
        <v>277</v>
      </c>
      <c r="O63" s="15" t="s">
        <v>278</v>
      </c>
      <c r="P63" s="15" t="s">
        <v>279</v>
      </c>
      <c r="Q63" s="15" t="s">
        <v>698</v>
      </c>
      <c r="R63" s="15"/>
      <c r="S63" s="15"/>
      <c r="T63" s="15"/>
      <c r="U63" s="15" t="s">
        <v>277</v>
      </c>
      <c r="V63" s="15" t="s">
        <v>278</v>
      </c>
      <c r="W63" s="15" t="s">
        <v>279</v>
      </c>
      <c r="X63" s="15" t="s">
        <v>701</v>
      </c>
      <c r="Y63" s="15" t="s">
        <v>44</v>
      </c>
      <c r="Z63" s="15"/>
      <c r="AA63" s="15" t="s">
        <v>45</v>
      </c>
      <c r="AB63" s="15" t="s">
        <v>46</v>
      </c>
      <c r="AC63" s="15" t="s">
        <v>45</v>
      </c>
      <c r="AE63" s="15" t="s">
        <v>48</v>
      </c>
      <c r="AF63" s="15" t="s">
        <v>49</v>
      </c>
      <c r="AG63" s="15">
        <v>100</v>
      </c>
      <c r="AH63" s="15">
        <v>100</v>
      </c>
      <c r="AJ63" s="15" t="s">
        <v>703</v>
      </c>
      <c r="AK63" s="15"/>
      <c r="AL63" s="15"/>
      <c r="AM63" s="15" t="s">
        <v>52</v>
      </c>
    </row>
    <row r="64" spans="1:39" s="16" customFormat="1" x14ac:dyDescent="0.45">
      <c r="A64" s="15" t="s">
        <v>704</v>
      </c>
      <c r="B64" s="15"/>
      <c r="C64" s="15" t="s">
        <v>706</v>
      </c>
      <c r="D64" s="15" t="s">
        <v>708</v>
      </c>
      <c r="E64" s="24" t="s">
        <v>27972</v>
      </c>
      <c r="F64" s="27">
        <v>46202</v>
      </c>
      <c r="G64" s="38" t="s">
        <v>27998</v>
      </c>
      <c r="H64" s="15" t="s">
        <v>50</v>
      </c>
      <c r="I64" s="15" t="s">
        <v>712</v>
      </c>
      <c r="J64" s="15" t="s">
        <v>705</v>
      </c>
      <c r="K64" s="15" t="s">
        <v>707</v>
      </c>
      <c r="L64" s="15" t="s">
        <v>709</v>
      </c>
      <c r="M64" s="15" t="s">
        <v>709</v>
      </c>
      <c r="N64" s="15" t="s">
        <v>72</v>
      </c>
      <c r="O64" s="15" t="s">
        <v>73</v>
      </c>
      <c r="P64" s="15" t="s">
        <v>74</v>
      </c>
      <c r="Q64" s="15" t="s">
        <v>710</v>
      </c>
      <c r="R64" s="15"/>
      <c r="S64" s="15"/>
      <c r="T64" s="15"/>
      <c r="U64" s="15" t="s">
        <v>72</v>
      </c>
      <c r="V64" s="15" t="s">
        <v>73</v>
      </c>
      <c r="W64" s="15" t="s">
        <v>74</v>
      </c>
      <c r="X64" s="15" t="s">
        <v>711</v>
      </c>
      <c r="Y64" s="15" t="s">
        <v>44</v>
      </c>
      <c r="Z64" s="15"/>
      <c r="AA64" s="15" t="s">
        <v>45</v>
      </c>
      <c r="AB64" s="15" t="s">
        <v>199</v>
      </c>
      <c r="AC64" s="15" t="s">
        <v>45</v>
      </c>
      <c r="AE64" s="15" t="s">
        <v>48</v>
      </c>
      <c r="AF64" s="15" t="s">
        <v>49</v>
      </c>
      <c r="AG64" s="15">
        <v>100</v>
      </c>
      <c r="AH64" s="15">
        <v>100</v>
      </c>
      <c r="AJ64" s="15" t="s">
        <v>713</v>
      </c>
      <c r="AK64" s="15"/>
      <c r="AL64" s="15"/>
      <c r="AM64" s="15" t="s">
        <v>52</v>
      </c>
    </row>
    <row r="65" spans="1:39" s="16" customFormat="1" x14ac:dyDescent="0.45">
      <c r="A65" s="15" t="s">
        <v>714</v>
      </c>
      <c r="B65" s="15"/>
      <c r="C65" s="15" t="s">
        <v>716</v>
      </c>
      <c r="D65" s="15" t="s">
        <v>718</v>
      </c>
      <c r="E65" s="24" t="s">
        <v>27972</v>
      </c>
      <c r="F65" s="27">
        <v>46202</v>
      </c>
      <c r="G65" s="38" t="s">
        <v>27998</v>
      </c>
      <c r="H65" s="15" t="s">
        <v>50</v>
      </c>
      <c r="I65" s="15" t="s">
        <v>724</v>
      </c>
      <c r="J65" s="15" t="s">
        <v>715</v>
      </c>
      <c r="K65" s="15" t="s">
        <v>717</v>
      </c>
      <c r="L65" s="15" t="s">
        <v>719</v>
      </c>
      <c r="M65" s="15" t="s">
        <v>719</v>
      </c>
      <c r="N65" s="15" t="s">
        <v>72</v>
      </c>
      <c r="O65" s="15" t="s">
        <v>73</v>
      </c>
      <c r="P65" s="15" t="s">
        <v>720</v>
      </c>
      <c r="Q65" s="15" t="s">
        <v>721</v>
      </c>
      <c r="R65" s="15"/>
      <c r="S65" s="15"/>
      <c r="T65" s="15"/>
      <c r="U65" s="15" t="s">
        <v>72</v>
      </c>
      <c r="V65" s="15" t="s">
        <v>73</v>
      </c>
      <c r="W65" s="15" t="s">
        <v>722</v>
      </c>
      <c r="X65" s="15" t="s">
        <v>723</v>
      </c>
      <c r="Y65" s="15" t="s">
        <v>44</v>
      </c>
      <c r="Z65" s="15"/>
      <c r="AA65" s="15" t="s">
        <v>45</v>
      </c>
      <c r="AB65" s="15" t="s">
        <v>46</v>
      </c>
      <c r="AC65" s="15" t="s">
        <v>45</v>
      </c>
      <c r="AE65" s="15" t="s">
        <v>48</v>
      </c>
      <c r="AF65" s="15" t="s">
        <v>49</v>
      </c>
      <c r="AG65" s="15">
        <v>100</v>
      </c>
      <c r="AH65" s="15">
        <v>100</v>
      </c>
      <c r="AJ65" s="15" t="s">
        <v>725</v>
      </c>
      <c r="AK65" s="15"/>
      <c r="AL65" s="15"/>
      <c r="AM65" s="15" t="s">
        <v>52</v>
      </c>
    </row>
    <row r="66" spans="1:39" s="16" customFormat="1" x14ac:dyDescent="0.45">
      <c r="A66" s="15" t="s">
        <v>726</v>
      </c>
      <c r="B66" s="15"/>
      <c r="C66" s="15" t="s">
        <v>728</v>
      </c>
      <c r="D66" s="17" t="s">
        <v>730</v>
      </c>
      <c r="E66" s="24" t="s">
        <v>27972</v>
      </c>
      <c r="F66" s="27">
        <v>46202</v>
      </c>
      <c r="G66" s="38" t="s">
        <v>27998</v>
      </c>
      <c r="H66" s="15" t="s">
        <v>50</v>
      </c>
      <c r="I66" s="15" t="s">
        <v>734</v>
      </c>
      <c r="J66" s="15" t="s">
        <v>727</v>
      </c>
      <c r="K66" s="15" t="s">
        <v>729</v>
      </c>
      <c r="L66" s="15" t="s">
        <v>731</v>
      </c>
      <c r="M66" s="15"/>
      <c r="N66" s="15" t="s">
        <v>39</v>
      </c>
      <c r="O66" s="15" t="s">
        <v>40</v>
      </c>
      <c r="P66" s="15" t="s">
        <v>732</v>
      </c>
      <c r="Q66" s="15" t="s">
        <v>729</v>
      </c>
      <c r="R66" s="15"/>
      <c r="S66" s="15"/>
      <c r="T66" s="15"/>
      <c r="U66" s="15" t="s">
        <v>39</v>
      </c>
      <c r="V66" s="15" t="s">
        <v>40</v>
      </c>
      <c r="W66" s="15" t="s">
        <v>732</v>
      </c>
      <c r="X66" s="15" t="s">
        <v>733</v>
      </c>
      <c r="Y66" s="15" t="s">
        <v>44</v>
      </c>
      <c r="Z66" s="15"/>
      <c r="AA66" s="15" t="s">
        <v>45</v>
      </c>
      <c r="AB66" s="15" t="s">
        <v>199</v>
      </c>
      <c r="AC66" s="15" t="s">
        <v>45</v>
      </c>
      <c r="AE66" s="15" t="s">
        <v>48</v>
      </c>
      <c r="AF66" s="15" t="s">
        <v>49</v>
      </c>
      <c r="AG66" s="15">
        <v>100</v>
      </c>
      <c r="AH66" s="15">
        <v>100</v>
      </c>
      <c r="AJ66" s="15" t="s">
        <v>735</v>
      </c>
      <c r="AK66" s="15"/>
      <c r="AL66" s="15"/>
      <c r="AM66" s="15" t="s">
        <v>52</v>
      </c>
    </row>
    <row r="67" spans="1:39" s="16" customFormat="1" x14ac:dyDescent="0.45">
      <c r="A67" s="15" t="s">
        <v>736</v>
      </c>
      <c r="B67" s="15"/>
      <c r="C67" s="15" t="s">
        <v>738</v>
      </c>
      <c r="D67" s="17" t="s">
        <v>740</v>
      </c>
      <c r="E67" s="24" t="s">
        <v>27972</v>
      </c>
      <c r="F67" s="27">
        <v>46203</v>
      </c>
      <c r="G67" s="38" t="s">
        <v>27998</v>
      </c>
      <c r="H67" s="15" t="s">
        <v>50</v>
      </c>
      <c r="I67" s="15" t="s">
        <v>744</v>
      </c>
      <c r="J67" s="15" t="s">
        <v>737</v>
      </c>
      <c r="K67" s="15" t="s">
        <v>739</v>
      </c>
      <c r="L67" s="15" t="s">
        <v>741</v>
      </c>
      <c r="M67" s="15" t="s">
        <v>742</v>
      </c>
      <c r="N67" s="15" t="s">
        <v>72</v>
      </c>
      <c r="O67" s="15" t="s">
        <v>73</v>
      </c>
      <c r="P67" s="15" t="s">
        <v>74</v>
      </c>
      <c r="Q67" s="15" t="s">
        <v>739</v>
      </c>
      <c r="R67" s="15"/>
      <c r="S67" s="15"/>
      <c r="T67" s="15"/>
      <c r="U67" s="15" t="s">
        <v>72</v>
      </c>
      <c r="V67" s="15" t="s">
        <v>73</v>
      </c>
      <c r="W67" s="15" t="s">
        <v>74</v>
      </c>
      <c r="X67" s="15" t="s">
        <v>743</v>
      </c>
      <c r="Y67" s="15" t="s">
        <v>44</v>
      </c>
      <c r="Z67" s="15"/>
      <c r="AA67" s="15" t="s">
        <v>45</v>
      </c>
      <c r="AB67" s="15" t="s">
        <v>46</v>
      </c>
      <c r="AC67" s="15" t="s">
        <v>45</v>
      </c>
      <c r="AE67" s="15" t="s">
        <v>48</v>
      </c>
      <c r="AF67" s="15" t="s">
        <v>49</v>
      </c>
      <c r="AG67" s="15">
        <v>100</v>
      </c>
      <c r="AH67" s="15">
        <v>100</v>
      </c>
      <c r="AJ67" s="15" t="s">
        <v>745</v>
      </c>
      <c r="AK67" s="15"/>
      <c r="AL67" s="15"/>
      <c r="AM67" s="15" t="s">
        <v>52</v>
      </c>
    </row>
    <row r="68" spans="1:39" s="16" customFormat="1" x14ac:dyDescent="0.45">
      <c r="A68" s="15" t="s">
        <v>746</v>
      </c>
      <c r="B68" s="15"/>
      <c r="C68" s="15" t="s">
        <v>748</v>
      </c>
      <c r="D68" s="17" t="s">
        <v>750</v>
      </c>
      <c r="E68" s="24" t="s">
        <v>27972</v>
      </c>
      <c r="F68" s="27">
        <v>46203</v>
      </c>
      <c r="G68" s="38" t="s">
        <v>27998</v>
      </c>
      <c r="H68" s="15" t="s">
        <v>50</v>
      </c>
      <c r="I68" s="15" t="s">
        <v>753</v>
      </c>
      <c r="J68" s="15" t="s">
        <v>747</v>
      </c>
      <c r="K68" s="15" t="s">
        <v>749</v>
      </c>
      <c r="L68" s="15" t="s">
        <v>751</v>
      </c>
      <c r="M68" s="15" t="s">
        <v>751</v>
      </c>
      <c r="N68" s="15" t="s">
        <v>72</v>
      </c>
      <c r="O68" s="15" t="s">
        <v>73</v>
      </c>
      <c r="P68" s="15" t="s">
        <v>373</v>
      </c>
      <c r="Q68" s="15" t="s">
        <v>749</v>
      </c>
      <c r="R68" s="15"/>
      <c r="S68" s="15"/>
      <c r="T68" s="15"/>
      <c r="U68" s="15" t="s">
        <v>72</v>
      </c>
      <c r="V68" s="15" t="s">
        <v>73</v>
      </c>
      <c r="W68" s="15" t="s">
        <v>373</v>
      </c>
      <c r="X68" s="15" t="s">
        <v>752</v>
      </c>
      <c r="Y68" s="15" t="s">
        <v>44</v>
      </c>
      <c r="Z68" s="15"/>
      <c r="AA68" s="15" t="s">
        <v>45</v>
      </c>
      <c r="AB68" s="15" t="s">
        <v>199</v>
      </c>
      <c r="AC68" s="15" t="s">
        <v>45</v>
      </c>
      <c r="AE68" s="15" t="s">
        <v>48</v>
      </c>
      <c r="AF68" s="15" t="s">
        <v>49</v>
      </c>
      <c r="AG68" s="15">
        <v>100</v>
      </c>
      <c r="AH68" s="15">
        <v>100</v>
      </c>
      <c r="AJ68" s="15" t="s">
        <v>754</v>
      </c>
      <c r="AK68" s="15"/>
      <c r="AL68" s="15"/>
      <c r="AM68" s="15" t="s">
        <v>52</v>
      </c>
    </row>
    <row r="69" spans="1:39" s="16" customFormat="1" x14ac:dyDescent="0.45">
      <c r="A69" s="15" t="s">
        <v>755</v>
      </c>
      <c r="B69" s="15"/>
      <c r="C69" s="15" t="s">
        <v>757</v>
      </c>
      <c r="D69" s="17" t="s">
        <v>759</v>
      </c>
      <c r="E69" s="24" t="s">
        <v>27972</v>
      </c>
      <c r="F69" s="27">
        <v>46203</v>
      </c>
      <c r="G69" s="38" t="s">
        <v>27998</v>
      </c>
      <c r="H69" s="15" t="s">
        <v>50</v>
      </c>
      <c r="I69" s="15" t="s">
        <v>764</v>
      </c>
      <c r="J69" s="15" t="s">
        <v>756</v>
      </c>
      <c r="K69" s="15" t="s">
        <v>758</v>
      </c>
      <c r="L69" s="15" t="s">
        <v>760</v>
      </c>
      <c r="M69" s="15" t="s">
        <v>760</v>
      </c>
      <c r="N69" s="15" t="s">
        <v>72</v>
      </c>
      <c r="O69" s="15" t="s">
        <v>73</v>
      </c>
      <c r="P69" s="15" t="s">
        <v>761</v>
      </c>
      <c r="Q69" s="15" t="s">
        <v>762</v>
      </c>
      <c r="R69" s="15"/>
      <c r="S69" s="15"/>
      <c r="T69" s="15"/>
      <c r="U69" s="15" t="s">
        <v>72</v>
      </c>
      <c r="V69" s="15" t="s">
        <v>73</v>
      </c>
      <c r="W69" s="15" t="s">
        <v>761</v>
      </c>
      <c r="X69" s="15" t="s">
        <v>763</v>
      </c>
      <c r="Y69" s="15" t="s">
        <v>44</v>
      </c>
      <c r="Z69" s="15"/>
      <c r="AA69" s="15" t="s">
        <v>45</v>
      </c>
      <c r="AB69" s="15" t="s">
        <v>46</v>
      </c>
      <c r="AC69" s="15" t="s">
        <v>45</v>
      </c>
      <c r="AE69" s="15" t="s">
        <v>48</v>
      </c>
      <c r="AF69" s="15" t="s">
        <v>49</v>
      </c>
      <c r="AG69" s="15">
        <v>100</v>
      </c>
      <c r="AH69" s="15">
        <v>100</v>
      </c>
      <c r="AJ69" s="15" t="s">
        <v>765</v>
      </c>
      <c r="AK69" s="15"/>
      <c r="AL69" s="15"/>
      <c r="AM69" s="15" t="s">
        <v>52</v>
      </c>
    </row>
    <row r="70" spans="1:39" s="16" customFormat="1" x14ac:dyDescent="0.45">
      <c r="A70" s="15" t="s">
        <v>766</v>
      </c>
      <c r="B70" s="15"/>
      <c r="C70" s="15" t="s">
        <v>768</v>
      </c>
      <c r="D70" s="15" t="s">
        <v>770</v>
      </c>
      <c r="E70" s="24" t="s">
        <v>27972</v>
      </c>
      <c r="F70" s="27">
        <v>46203</v>
      </c>
      <c r="G70" s="38" t="s">
        <v>27998</v>
      </c>
      <c r="H70" s="15" t="s">
        <v>50</v>
      </c>
      <c r="I70" s="15" t="s">
        <v>774</v>
      </c>
      <c r="J70" s="15" t="s">
        <v>767</v>
      </c>
      <c r="K70" s="15" t="s">
        <v>769</v>
      </c>
      <c r="L70" s="15" t="s">
        <v>771</v>
      </c>
      <c r="M70" s="15"/>
      <c r="N70" s="15" t="s">
        <v>174</v>
      </c>
      <c r="O70" s="15" t="s">
        <v>175</v>
      </c>
      <c r="P70" s="15" t="s">
        <v>772</v>
      </c>
      <c r="Q70" s="15" t="s">
        <v>769</v>
      </c>
      <c r="R70" s="15"/>
      <c r="S70" s="15"/>
      <c r="T70" s="15"/>
      <c r="U70" s="15" t="s">
        <v>174</v>
      </c>
      <c r="V70" s="15" t="s">
        <v>175</v>
      </c>
      <c r="W70" s="15" t="s">
        <v>772</v>
      </c>
      <c r="X70" s="15" t="s">
        <v>773</v>
      </c>
      <c r="Y70" s="15" t="s">
        <v>44</v>
      </c>
      <c r="Z70" s="15"/>
      <c r="AA70" s="15" t="s">
        <v>45</v>
      </c>
      <c r="AB70" s="15" t="s">
        <v>46</v>
      </c>
      <c r="AC70" s="15" t="s">
        <v>45</v>
      </c>
      <c r="AE70" s="15" t="s">
        <v>48</v>
      </c>
      <c r="AF70" s="15" t="s">
        <v>49</v>
      </c>
      <c r="AG70" s="15">
        <v>100</v>
      </c>
      <c r="AH70" s="15">
        <v>100</v>
      </c>
      <c r="AJ70" s="15" t="s">
        <v>775</v>
      </c>
      <c r="AK70" s="15"/>
      <c r="AL70" s="15"/>
      <c r="AM70" s="15" t="s">
        <v>52</v>
      </c>
    </row>
    <row r="71" spans="1:39" s="16" customFormat="1" x14ac:dyDescent="0.45">
      <c r="A71" s="15" t="s">
        <v>776</v>
      </c>
      <c r="B71" s="15"/>
      <c r="C71" s="15" t="s">
        <v>778</v>
      </c>
      <c r="D71" s="15" t="s">
        <v>780</v>
      </c>
      <c r="E71" s="24" t="s">
        <v>27972</v>
      </c>
      <c r="F71" s="27">
        <v>46203</v>
      </c>
      <c r="G71" s="38" t="s">
        <v>27998</v>
      </c>
      <c r="H71" s="15" t="s">
        <v>50</v>
      </c>
      <c r="I71" s="15" t="s">
        <v>783</v>
      </c>
      <c r="J71" s="15" t="s">
        <v>777</v>
      </c>
      <c r="K71" s="15" t="s">
        <v>779</v>
      </c>
      <c r="L71" s="15" t="s">
        <v>781</v>
      </c>
      <c r="M71" s="15" t="s">
        <v>781</v>
      </c>
      <c r="N71" s="15" t="s">
        <v>216</v>
      </c>
      <c r="O71" s="15" t="s">
        <v>217</v>
      </c>
      <c r="P71" s="15" t="s">
        <v>218</v>
      </c>
      <c r="Q71" s="15"/>
      <c r="R71" s="15"/>
      <c r="S71" s="15"/>
      <c r="T71" s="15"/>
      <c r="U71" s="15"/>
      <c r="V71" s="15"/>
      <c r="W71" s="15"/>
      <c r="X71" s="15" t="s">
        <v>782</v>
      </c>
      <c r="Y71" s="15" t="s">
        <v>44</v>
      </c>
      <c r="Z71" s="15"/>
      <c r="AA71" s="15" t="s">
        <v>45</v>
      </c>
      <c r="AB71" s="15" t="s">
        <v>46</v>
      </c>
      <c r="AC71" s="15" t="s">
        <v>45</v>
      </c>
      <c r="AE71" s="15" t="s">
        <v>48</v>
      </c>
      <c r="AF71" s="15" t="s">
        <v>49</v>
      </c>
      <c r="AG71" s="15">
        <v>100</v>
      </c>
      <c r="AH71" s="15">
        <v>100</v>
      </c>
      <c r="AJ71" s="15" t="s">
        <v>784</v>
      </c>
      <c r="AK71" s="15"/>
      <c r="AL71" s="15"/>
      <c r="AM71" s="15" t="s">
        <v>52</v>
      </c>
    </row>
    <row r="72" spans="1:39" s="16" customFormat="1" x14ac:dyDescent="0.45">
      <c r="A72" s="19" t="s">
        <v>785</v>
      </c>
      <c r="B72" s="19"/>
      <c r="C72" s="15" t="s">
        <v>787</v>
      </c>
      <c r="D72" s="15" t="s">
        <v>789</v>
      </c>
      <c r="E72" s="24" t="s">
        <v>27972</v>
      </c>
      <c r="F72" s="27">
        <v>46203</v>
      </c>
      <c r="G72" s="38" t="s">
        <v>27998</v>
      </c>
      <c r="H72" s="15" t="s">
        <v>50</v>
      </c>
      <c r="I72" s="15" t="s">
        <v>793</v>
      </c>
      <c r="J72" s="15" t="s">
        <v>786</v>
      </c>
      <c r="K72" s="15" t="s">
        <v>788</v>
      </c>
      <c r="L72" s="15" t="s">
        <v>790</v>
      </c>
      <c r="M72" s="15" t="s">
        <v>790</v>
      </c>
      <c r="N72" s="15" t="s">
        <v>72</v>
      </c>
      <c r="O72" s="15" t="s">
        <v>73</v>
      </c>
      <c r="P72" s="15" t="s">
        <v>791</v>
      </c>
      <c r="Q72" s="15"/>
      <c r="R72" s="15"/>
      <c r="S72" s="15"/>
      <c r="T72" s="15"/>
      <c r="U72" s="15"/>
      <c r="V72" s="15"/>
      <c r="W72" s="15"/>
      <c r="X72" s="15" t="s">
        <v>792</v>
      </c>
      <c r="Y72" s="15" t="s">
        <v>44</v>
      </c>
      <c r="Z72" s="15"/>
      <c r="AA72" s="15" t="s">
        <v>45</v>
      </c>
      <c r="AB72" s="15" t="s">
        <v>46</v>
      </c>
      <c r="AC72" s="15" t="s">
        <v>45</v>
      </c>
      <c r="AE72" s="15" t="s">
        <v>48</v>
      </c>
      <c r="AF72" s="15" t="s">
        <v>49</v>
      </c>
      <c r="AG72" s="15">
        <v>100</v>
      </c>
      <c r="AH72" s="15">
        <v>100</v>
      </c>
      <c r="AJ72" s="15" t="s">
        <v>794</v>
      </c>
      <c r="AK72" s="15"/>
      <c r="AL72" s="15"/>
      <c r="AM72" s="15" t="s">
        <v>52</v>
      </c>
    </row>
    <row r="73" spans="1:39" s="16" customFormat="1" x14ac:dyDescent="0.45">
      <c r="A73" s="15" t="s">
        <v>795</v>
      </c>
      <c r="B73" s="15"/>
      <c r="C73" s="15" t="s">
        <v>797</v>
      </c>
      <c r="D73" s="17" t="s">
        <v>799</v>
      </c>
      <c r="E73" s="24" t="s">
        <v>27972</v>
      </c>
      <c r="F73" s="27">
        <v>46203</v>
      </c>
      <c r="G73" s="38" t="s">
        <v>27998</v>
      </c>
      <c r="H73" s="15" t="s">
        <v>50</v>
      </c>
      <c r="I73" s="15" t="s">
        <v>802</v>
      </c>
      <c r="J73" s="15" t="s">
        <v>796</v>
      </c>
      <c r="K73" s="15" t="s">
        <v>798</v>
      </c>
      <c r="L73" s="15" t="s">
        <v>800</v>
      </c>
      <c r="M73" s="15" t="s">
        <v>800</v>
      </c>
      <c r="N73" s="15" t="s">
        <v>72</v>
      </c>
      <c r="O73" s="15" t="s">
        <v>73</v>
      </c>
      <c r="P73" s="15" t="s">
        <v>791</v>
      </c>
      <c r="Q73" s="15"/>
      <c r="R73" s="15"/>
      <c r="S73" s="15"/>
      <c r="T73" s="15"/>
      <c r="U73" s="15"/>
      <c r="V73" s="15"/>
      <c r="W73" s="15"/>
      <c r="X73" s="15" t="s">
        <v>801</v>
      </c>
      <c r="Y73" s="15" t="s">
        <v>44</v>
      </c>
      <c r="Z73" s="15"/>
      <c r="AA73" s="15" t="s">
        <v>45</v>
      </c>
      <c r="AB73" s="15" t="s">
        <v>46</v>
      </c>
      <c r="AC73" s="15" t="s">
        <v>45</v>
      </c>
      <c r="AE73" s="15" t="s">
        <v>48</v>
      </c>
      <c r="AF73" s="15" t="s">
        <v>49</v>
      </c>
      <c r="AG73" s="15">
        <v>100</v>
      </c>
      <c r="AH73" s="15">
        <v>100</v>
      </c>
      <c r="AJ73" s="15" t="s">
        <v>803</v>
      </c>
      <c r="AK73" s="15"/>
      <c r="AL73" s="15"/>
      <c r="AM73" s="15" t="s">
        <v>52</v>
      </c>
    </row>
    <row r="74" spans="1:39" s="16" customFormat="1" x14ac:dyDescent="0.45">
      <c r="A74" s="15" t="s">
        <v>804</v>
      </c>
      <c r="B74" s="15"/>
      <c r="C74" s="15" t="s">
        <v>806</v>
      </c>
      <c r="D74" s="15" t="s">
        <v>808</v>
      </c>
      <c r="E74" s="24" t="s">
        <v>27972</v>
      </c>
      <c r="F74" s="27">
        <v>46203</v>
      </c>
      <c r="G74" s="38" t="s">
        <v>27998</v>
      </c>
      <c r="H74" s="15" t="s">
        <v>50</v>
      </c>
      <c r="I74" s="15" t="s">
        <v>811</v>
      </c>
      <c r="J74" s="15" t="s">
        <v>805</v>
      </c>
      <c r="K74" s="15" t="s">
        <v>807</v>
      </c>
      <c r="L74" s="15" t="s">
        <v>809</v>
      </c>
      <c r="M74" s="15" t="s">
        <v>809</v>
      </c>
      <c r="N74" s="15" t="s">
        <v>174</v>
      </c>
      <c r="O74" s="15" t="s">
        <v>175</v>
      </c>
      <c r="P74" s="15" t="s">
        <v>810</v>
      </c>
      <c r="Q74" s="15"/>
      <c r="R74" s="15"/>
      <c r="S74" s="15"/>
      <c r="T74" s="15"/>
      <c r="U74" s="15"/>
      <c r="V74" s="15"/>
      <c r="W74" s="15"/>
      <c r="X74" s="15" t="s">
        <v>801</v>
      </c>
      <c r="Y74" s="15" t="s">
        <v>44</v>
      </c>
      <c r="Z74" s="15"/>
      <c r="AA74" s="15" t="s">
        <v>45</v>
      </c>
      <c r="AB74" s="15" t="s">
        <v>46</v>
      </c>
      <c r="AC74" s="15" t="s">
        <v>45</v>
      </c>
      <c r="AE74" s="15" t="s">
        <v>48</v>
      </c>
      <c r="AF74" s="15" t="s">
        <v>49</v>
      </c>
      <c r="AG74" s="15">
        <v>100</v>
      </c>
      <c r="AH74" s="15">
        <v>100</v>
      </c>
      <c r="AJ74" s="15" t="s">
        <v>812</v>
      </c>
      <c r="AK74" s="15"/>
      <c r="AL74" s="15"/>
      <c r="AM74" s="15" t="s">
        <v>52</v>
      </c>
    </row>
    <row r="75" spans="1:39" s="16" customFormat="1" x14ac:dyDescent="0.45">
      <c r="A75" s="15" t="s">
        <v>813</v>
      </c>
      <c r="B75" s="15"/>
      <c r="C75" s="15" t="s">
        <v>815</v>
      </c>
      <c r="D75" s="15" t="s">
        <v>817</v>
      </c>
      <c r="E75" s="24" t="s">
        <v>27972</v>
      </c>
      <c r="F75" s="27">
        <v>46203</v>
      </c>
      <c r="G75" s="38" t="s">
        <v>27998</v>
      </c>
      <c r="H75" s="15" t="s">
        <v>50</v>
      </c>
      <c r="I75" s="15" t="s">
        <v>822</v>
      </c>
      <c r="J75" s="15" t="s">
        <v>814</v>
      </c>
      <c r="K75" s="15" t="s">
        <v>816</v>
      </c>
      <c r="L75" s="15" t="s">
        <v>818</v>
      </c>
      <c r="M75" s="15" t="s">
        <v>818</v>
      </c>
      <c r="N75" s="15" t="s">
        <v>72</v>
      </c>
      <c r="O75" s="15" t="s">
        <v>73</v>
      </c>
      <c r="P75" s="15" t="s">
        <v>464</v>
      </c>
      <c r="Q75" s="15" t="s">
        <v>819</v>
      </c>
      <c r="R75" s="15"/>
      <c r="S75" s="15"/>
      <c r="T75" s="15"/>
      <c r="U75" s="15" t="s">
        <v>72</v>
      </c>
      <c r="V75" s="15" t="s">
        <v>73</v>
      </c>
      <c r="W75" s="15" t="s">
        <v>464</v>
      </c>
      <c r="X75" s="15" t="s">
        <v>820</v>
      </c>
      <c r="Y75" s="15" t="s">
        <v>44</v>
      </c>
      <c r="Z75" s="15"/>
      <c r="AA75" s="15" t="s">
        <v>821</v>
      </c>
      <c r="AB75" s="15" t="s">
        <v>46</v>
      </c>
      <c r="AC75" s="15" t="s">
        <v>821</v>
      </c>
      <c r="AE75" s="15" t="s">
        <v>48</v>
      </c>
      <c r="AF75" s="15" t="s">
        <v>49</v>
      </c>
      <c r="AG75" s="15">
        <v>100</v>
      </c>
      <c r="AH75" s="15">
        <v>97</v>
      </c>
      <c r="AJ75" s="15" t="s">
        <v>823</v>
      </c>
      <c r="AK75" s="15"/>
      <c r="AL75" s="15"/>
      <c r="AM75" s="15" t="s">
        <v>52</v>
      </c>
    </row>
    <row r="76" spans="1:39" s="16" customFormat="1" x14ac:dyDescent="0.45">
      <c r="A76" s="15" t="s">
        <v>824</v>
      </c>
      <c r="B76" s="15"/>
      <c r="C76" s="15" t="s">
        <v>826</v>
      </c>
      <c r="D76" s="15" t="s">
        <v>828</v>
      </c>
      <c r="E76" s="24" t="s">
        <v>27972</v>
      </c>
      <c r="F76" s="27">
        <v>46203</v>
      </c>
      <c r="G76" s="38" t="s">
        <v>27998</v>
      </c>
      <c r="H76" s="15" t="s">
        <v>50</v>
      </c>
      <c r="I76" s="15" t="s">
        <v>834</v>
      </c>
      <c r="J76" s="15" t="s">
        <v>825</v>
      </c>
      <c r="K76" s="15" t="s">
        <v>827</v>
      </c>
      <c r="L76" s="15" t="s">
        <v>829</v>
      </c>
      <c r="M76" s="15" t="s">
        <v>829</v>
      </c>
      <c r="N76" s="15" t="s">
        <v>72</v>
      </c>
      <c r="O76" s="15" t="s">
        <v>73</v>
      </c>
      <c r="P76" s="15" t="s">
        <v>830</v>
      </c>
      <c r="Q76" s="15" t="s">
        <v>831</v>
      </c>
      <c r="R76" s="15"/>
      <c r="S76" s="15"/>
      <c r="T76" s="15"/>
      <c r="U76" s="15" t="s">
        <v>384</v>
      </c>
      <c r="V76" s="15" t="s">
        <v>73</v>
      </c>
      <c r="W76" s="15" t="s">
        <v>832</v>
      </c>
      <c r="X76" s="15" t="s">
        <v>833</v>
      </c>
      <c r="Y76" s="15" t="s">
        <v>44</v>
      </c>
      <c r="Z76" s="15"/>
      <c r="AA76" s="15" t="s">
        <v>821</v>
      </c>
      <c r="AB76" s="15" t="s">
        <v>199</v>
      </c>
      <c r="AC76" s="15" t="s">
        <v>821</v>
      </c>
      <c r="AE76" s="15" t="s">
        <v>48</v>
      </c>
      <c r="AF76" s="15" t="s">
        <v>49</v>
      </c>
      <c r="AG76" s="15">
        <v>100</v>
      </c>
      <c r="AH76" s="15">
        <v>97</v>
      </c>
      <c r="AJ76" s="15" t="s">
        <v>835</v>
      </c>
      <c r="AK76" s="15"/>
      <c r="AL76" s="15"/>
      <c r="AM76" s="15" t="s">
        <v>52</v>
      </c>
    </row>
    <row r="77" spans="1:39" s="14" customFormat="1" x14ac:dyDescent="0.45">
      <c r="A77" s="13" t="s">
        <v>836</v>
      </c>
      <c r="B77" s="13"/>
      <c r="C77" s="13" t="s">
        <v>838</v>
      </c>
      <c r="D77" s="13" t="s">
        <v>840</v>
      </c>
      <c r="E77" s="29" t="s">
        <v>27972</v>
      </c>
      <c r="F77" s="30">
        <v>46203</v>
      </c>
      <c r="G77" s="39" t="s">
        <v>27999</v>
      </c>
      <c r="H77" s="13" t="s">
        <v>50</v>
      </c>
      <c r="I77" s="13" t="s">
        <v>844</v>
      </c>
      <c r="J77" s="13" t="s">
        <v>837</v>
      </c>
      <c r="K77" s="13" t="s">
        <v>839</v>
      </c>
      <c r="L77" s="13" t="s">
        <v>841</v>
      </c>
      <c r="M77" s="13" t="s">
        <v>841</v>
      </c>
      <c r="N77" s="13" t="s">
        <v>72</v>
      </c>
      <c r="O77" s="13" t="s">
        <v>73</v>
      </c>
      <c r="P77" s="13" t="s">
        <v>187</v>
      </c>
      <c r="Q77" s="13" t="s">
        <v>842</v>
      </c>
      <c r="R77" s="13"/>
      <c r="S77" s="13"/>
      <c r="T77" s="13"/>
      <c r="U77" s="13" t="s">
        <v>72</v>
      </c>
      <c r="V77" s="13" t="s">
        <v>73</v>
      </c>
      <c r="W77" s="13" t="s">
        <v>187</v>
      </c>
      <c r="X77" s="13" t="s">
        <v>843</v>
      </c>
      <c r="Y77" s="13" t="s">
        <v>44</v>
      </c>
      <c r="Z77" s="13"/>
      <c r="AA77" s="13" t="s">
        <v>821</v>
      </c>
      <c r="AB77" s="13" t="s">
        <v>46</v>
      </c>
      <c r="AC77" s="13" t="s">
        <v>821</v>
      </c>
      <c r="AE77" s="13" t="s">
        <v>48</v>
      </c>
      <c r="AF77" s="13" t="s">
        <v>49</v>
      </c>
      <c r="AG77" s="13">
        <v>100</v>
      </c>
      <c r="AH77" s="13">
        <v>97</v>
      </c>
      <c r="AJ77" s="13" t="s">
        <v>845</v>
      </c>
      <c r="AK77" s="13"/>
      <c r="AL77" s="13"/>
      <c r="AM77" s="13" t="s">
        <v>52</v>
      </c>
    </row>
    <row r="78" spans="1:39" s="14" customFormat="1" x14ac:dyDescent="0.45">
      <c r="A78" s="13" t="s">
        <v>846</v>
      </c>
      <c r="B78" s="13"/>
      <c r="C78" s="13" t="s">
        <v>848</v>
      </c>
      <c r="D78" s="13" t="s">
        <v>850</v>
      </c>
      <c r="E78" s="29" t="s">
        <v>27972</v>
      </c>
      <c r="F78" s="30">
        <v>46203</v>
      </c>
      <c r="G78" s="41" t="s">
        <v>27999</v>
      </c>
      <c r="H78" s="13" t="s">
        <v>50</v>
      </c>
      <c r="I78" s="13" t="s">
        <v>855</v>
      </c>
      <c r="J78" s="13" t="s">
        <v>847</v>
      </c>
      <c r="K78" s="13" t="s">
        <v>849</v>
      </c>
      <c r="L78" s="13" t="s">
        <v>851</v>
      </c>
      <c r="M78" s="13" t="s">
        <v>851</v>
      </c>
      <c r="N78" s="13" t="s">
        <v>290</v>
      </c>
      <c r="O78" s="13" t="s">
        <v>278</v>
      </c>
      <c r="P78" s="13" t="s">
        <v>852</v>
      </c>
      <c r="Q78" s="13" t="s">
        <v>853</v>
      </c>
      <c r="R78" s="13"/>
      <c r="S78" s="13"/>
      <c r="T78" s="13"/>
      <c r="U78" s="13" t="s">
        <v>290</v>
      </c>
      <c r="V78" s="13" t="s">
        <v>278</v>
      </c>
      <c r="W78" s="13" t="s">
        <v>852</v>
      </c>
      <c r="X78" s="13" t="s">
        <v>854</v>
      </c>
      <c r="Y78" s="13" t="s">
        <v>44</v>
      </c>
      <c r="Z78" s="13"/>
      <c r="AA78" s="13" t="s">
        <v>821</v>
      </c>
      <c r="AB78" s="13" t="s">
        <v>46</v>
      </c>
      <c r="AC78" s="13" t="s">
        <v>821</v>
      </c>
      <c r="AE78" s="13" t="s">
        <v>48</v>
      </c>
      <c r="AF78" s="13" t="s">
        <v>49</v>
      </c>
      <c r="AG78" s="13">
        <v>100</v>
      </c>
      <c r="AH78" s="13">
        <v>97</v>
      </c>
      <c r="AJ78" s="13" t="s">
        <v>856</v>
      </c>
      <c r="AK78" s="13"/>
      <c r="AL78" s="13"/>
      <c r="AM78" s="13" t="s">
        <v>52</v>
      </c>
    </row>
    <row r="79" spans="1:39" s="16" customFormat="1" x14ac:dyDescent="0.45">
      <c r="A79" s="15" t="s">
        <v>857</v>
      </c>
      <c r="B79" s="15"/>
      <c r="C79" s="15" t="s">
        <v>859</v>
      </c>
      <c r="D79" s="15" t="s">
        <v>861</v>
      </c>
      <c r="E79" s="24" t="s">
        <v>27972</v>
      </c>
      <c r="F79" s="27">
        <v>46203</v>
      </c>
      <c r="G79" s="38" t="s">
        <v>27998</v>
      </c>
      <c r="H79" s="15" t="s">
        <v>50</v>
      </c>
      <c r="I79" s="15" t="s">
        <v>865</v>
      </c>
      <c r="J79" s="15" t="s">
        <v>858</v>
      </c>
      <c r="K79" s="15" t="s">
        <v>860</v>
      </c>
      <c r="L79" s="15" t="s">
        <v>862</v>
      </c>
      <c r="M79" s="15" t="s">
        <v>862</v>
      </c>
      <c r="N79" s="15" t="s">
        <v>72</v>
      </c>
      <c r="O79" s="15" t="s">
        <v>73</v>
      </c>
      <c r="P79" s="15" t="s">
        <v>464</v>
      </c>
      <c r="Q79" s="15" t="s">
        <v>863</v>
      </c>
      <c r="R79" s="15"/>
      <c r="S79" s="15"/>
      <c r="T79" s="15"/>
      <c r="U79" s="15" t="s">
        <v>72</v>
      </c>
      <c r="V79" s="15" t="s">
        <v>73</v>
      </c>
      <c r="W79" s="15" t="s">
        <v>187</v>
      </c>
      <c r="X79" s="15" t="s">
        <v>864</v>
      </c>
      <c r="Y79" s="15" t="s">
        <v>44</v>
      </c>
      <c r="Z79" s="15"/>
      <c r="AA79" s="15" t="s">
        <v>821</v>
      </c>
      <c r="AB79" s="15" t="s">
        <v>46</v>
      </c>
      <c r="AC79" s="15" t="s">
        <v>821</v>
      </c>
      <c r="AE79" s="15" t="s">
        <v>48</v>
      </c>
      <c r="AF79" s="15" t="s">
        <v>49</v>
      </c>
      <c r="AG79" s="15">
        <v>100</v>
      </c>
      <c r="AH79" s="15">
        <v>97</v>
      </c>
      <c r="AJ79" s="15" t="s">
        <v>866</v>
      </c>
      <c r="AK79" s="15"/>
      <c r="AL79" s="15"/>
      <c r="AM79" s="15" t="s">
        <v>52</v>
      </c>
    </row>
    <row r="80" spans="1:39" s="16" customFormat="1" x14ac:dyDescent="0.45">
      <c r="A80" s="15" t="s">
        <v>867</v>
      </c>
      <c r="B80" s="15"/>
      <c r="C80" s="15" t="s">
        <v>869</v>
      </c>
      <c r="D80" s="15" t="s">
        <v>871</v>
      </c>
      <c r="E80" s="24" t="s">
        <v>27972</v>
      </c>
      <c r="F80" s="27">
        <v>46203</v>
      </c>
      <c r="G80" s="38" t="s">
        <v>27998</v>
      </c>
      <c r="H80" s="15" t="s">
        <v>50</v>
      </c>
      <c r="I80" s="15" t="s">
        <v>877</v>
      </c>
      <c r="J80" s="15" t="s">
        <v>868</v>
      </c>
      <c r="K80" s="15" t="s">
        <v>870</v>
      </c>
      <c r="L80" s="15" t="s">
        <v>872</v>
      </c>
      <c r="M80" s="15" t="s">
        <v>872</v>
      </c>
      <c r="N80" s="15" t="s">
        <v>85</v>
      </c>
      <c r="O80" s="15" t="s">
        <v>86</v>
      </c>
      <c r="P80" s="15" t="s">
        <v>873</v>
      </c>
      <c r="Q80" s="15" t="s">
        <v>874</v>
      </c>
      <c r="R80" s="15"/>
      <c r="S80" s="15"/>
      <c r="T80" s="15"/>
      <c r="U80" s="15" t="s">
        <v>216</v>
      </c>
      <c r="V80" s="15" t="s">
        <v>217</v>
      </c>
      <c r="W80" s="15" t="s">
        <v>875</v>
      </c>
      <c r="X80" s="15" t="s">
        <v>876</v>
      </c>
      <c r="Y80" s="15" t="s">
        <v>44</v>
      </c>
      <c r="Z80" s="15"/>
      <c r="AA80" s="15" t="s">
        <v>821</v>
      </c>
      <c r="AB80" s="15" t="s">
        <v>199</v>
      </c>
      <c r="AC80" s="15" t="s">
        <v>821</v>
      </c>
      <c r="AE80" s="15" t="s">
        <v>48</v>
      </c>
      <c r="AF80" s="15" t="s">
        <v>49</v>
      </c>
      <c r="AG80" s="15">
        <v>100</v>
      </c>
      <c r="AH80" s="15">
        <v>97</v>
      </c>
      <c r="AJ80" s="15" t="s">
        <v>878</v>
      </c>
      <c r="AK80" s="15"/>
      <c r="AL80" s="15"/>
      <c r="AM80" s="15" t="s">
        <v>52</v>
      </c>
    </row>
    <row r="81" spans="1:39" s="16" customFormat="1" x14ac:dyDescent="0.45">
      <c r="A81" s="15" t="s">
        <v>879</v>
      </c>
      <c r="B81" s="15"/>
      <c r="C81" s="15" t="s">
        <v>881</v>
      </c>
      <c r="D81" s="15" t="s">
        <v>883</v>
      </c>
      <c r="E81" s="24" t="s">
        <v>27972</v>
      </c>
      <c r="F81" s="27">
        <v>46203</v>
      </c>
      <c r="G81" s="38" t="s">
        <v>27998</v>
      </c>
      <c r="H81" s="15" t="s">
        <v>50</v>
      </c>
      <c r="I81" s="15" t="s">
        <v>886</v>
      </c>
      <c r="J81" s="15" t="s">
        <v>880</v>
      </c>
      <c r="K81" s="15" t="s">
        <v>882</v>
      </c>
      <c r="L81" s="15" t="s">
        <v>884</v>
      </c>
      <c r="M81" s="15" t="s">
        <v>884</v>
      </c>
      <c r="N81" s="15" t="s">
        <v>59</v>
      </c>
      <c r="O81" s="15" t="s">
        <v>60</v>
      </c>
      <c r="P81" s="15" t="s">
        <v>151</v>
      </c>
      <c r="Q81" s="15"/>
      <c r="R81" s="15"/>
      <c r="S81" s="15"/>
      <c r="T81" s="15"/>
      <c r="U81" s="15"/>
      <c r="V81" s="15"/>
      <c r="W81" s="15"/>
      <c r="X81" s="15" t="s">
        <v>885</v>
      </c>
      <c r="Y81" s="15" t="s">
        <v>44</v>
      </c>
      <c r="Z81" s="15"/>
      <c r="AA81" s="15" t="s">
        <v>821</v>
      </c>
      <c r="AB81" s="15" t="s">
        <v>199</v>
      </c>
      <c r="AC81" s="15" t="s">
        <v>821</v>
      </c>
      <c r="AE81" s="15" t="s">
        <v>48</v>
      </c>
      <c r="AF81" s="15" t="s">
        <v>49</v>
      </c>
      <c r="AG81" s="15">
        <v>100</v>
      </c>
      <c r="AH81" s="15">
        <v>97</v>
      </c>
      <c r="AJ81" s="15" t="s">
        <v>887</v>
      </c>
      <c r="AK81" s="15"/>
      <c r="AL81" s="15"/>
      <c r="AM81" s="15" t="s">
        <v>52</v>
      </c>
    </row>
    <row r="82" spans="1:39" s="16" customFormat="1" x14ac:dyDescent="0.45">
      <c r="A82" s="15" t="s">
        <v>888</v>
      </c>
      <c r="B82" s="15"/>
      <c r="C82" s="15" t="s">
        <v>890</v>
      </c>
      <c r="D82" s="15" t="s">
        <v>892</v>
      </c>
      <c r="E82" s="24" t="s">
        <v>27972</v>
      </c>
      <c r="F82" s="27">
        <v>46203</v>
      </c>
      <c r="G82" s="38" t="s">
        <v>27998</v>
      </c>
      <c r="H82" s="15" t="s">
        <v>50</v>
      </c>
      <c r="I82" s="15" t="s">
        <v>896</v>
      </c>
      <c r="J82" s="15" t="s">
        <v>889</v>
      </c>
      <c r="K82" s="15" t="s">
        <v>891</v>
      </c>
      <c r="L82" s="15" t="s">
        <v>893</v>
      </c>
      <c r="M82" s="15" t="s">
        <v>893</v>
      </c>
      <c r="N82" s="15" t="s">
        <v>290</v>
      </c>
      <c r="O82" s="15" t="s">
        <v>278</v>
      </c>
      <c r="P82" s="15" t="s">
        <v>291</v>
      </c>
      <c r="Q82" s="15" t="s">
        <v>894</v>
      </c>
      <c r="R82" s="15"/>
      <c r="S82" s="15"/>
      <c r="T82" s="15"/>
      <c r="U82" s="15" t="s">
        <v>290</v>
      </c>
      <c r="V82" s="15" t="s">
        <v>278</v>
      </c>
      <c r="W82" s="15" t="s">
        <v>291</v>
      </c>
      <c r="X82" s="15" t="s">
        <v>895</v>
      </c>
      <c r="Y82" s="15" t="s">
        <v>44</v>
      </c>
      <c r="Z82" s="15"/>
      <c r="AA82" s="15" t="s">
        <v>821</v>
      </c>
      <c r="AB82" s="15" t="s">
        <v>46</v>
      </c>
      <c r="AC82" s="15" t="s">
        <v>821</v>
      </c>
      <c r="AE82" s="15" t="s">
        <v>48</v>
      </c>
      <c r="AF82" s="15" t="s">
        <v>49</v>
      </c>
      <c r="AG82" s="15">
        <v>100</v>
      </c>
      <c r="AH82" s="15">
        <v>97</v>
      </c>
      <c r="AJ82" s="15" t="s">
        <v>897</v>
      </c>
      <c r="AK82" s="15"/>
      <c r="AL82" s="15"/>
      <c r="AM82" s="15" t="s">
        <v>52</v>
      </c>
    </row>
    <row r="83" spans="1:39" s="16" customFormat="1" x14ac:dyDescent="0.45">
      <c r="A83" s="15" t="s">
        <v>898</v>
      </c>
      <c r="B83" s="15"/>
      <c r="C83" s="15" t="s">
        <v>900</v>
      </c>
      <c r="D83" s="15" t="s">
        <v>902</v>
      </c>
      <c r="E83" s="24" t="s">
        <v>27972</v>
      </c>
      <c r="F83" s="27">
        <v>46203</v>
      </c>
      <c r="G83" s="38" t="s">
        <v>27998</v>
      </c>
      <c r="H83" s="15" t="s">
        <v>50</v>
      </c>
      <c r="I83" s="15" t="s">
        <v>905</v>
      </c>
      <c r="J83" s="15" t="s">
        <v>899</v>
      </c>
      <c r="K83" s="15" t="s">
        <v>901</v>
      </c>
      <c r="L83" s="15" t="s">
        <v>903</v>
      </c>
      <c r="M83" s="15" t="s">
        <v>903</v>
      </c>
      <c r="N83" s="15" t="s">
        <v>72</v>
      </c>
      <c r="O83" s="15" t="s">
        <v>73</v>
      </c>
      <c r="P83" s="15" t="s">
        <v>74</v>
      </c>
      <c r="Q83" s="15" t="s">
        <v>901</v>
      </c>
      <c r="R83" s="15"/>
      <c r="S83" s="15"/>
      <c r="T83" s="15"/>
      <c r="U83" s="15" t="s">
        <v>72</v>
      </c>
      <c r="V83" s="15" t="s">
        <v>73</v>
      </c>
      <c r="W83" s="15" t="s">
        <v>74</v>
      </c>
      <c r="X83" s="15" t="s">
        <v>904</v>
      </c>
      <c r="Y83" s="15" t="s">
        <v>44</v>
      </c>
      <c r="Z83" s="15"/>
      <c r="AA83" s="15" t="s">
        <v>821</v>
      </c>
      <c r="AB83" s="15" t="s">
        <v>199</v>
      </c>
      <c r="AC83" s="15" t="s">
        <v>821</v>
      </c>
      <c r="AE83" s="15" t="s">
        <v>48</v>
      </c>
      <c r="AF83" s="15" t="s">
        <v>49</v>
      </c>
      <c r="AG83" s="15">
        <v>100</v>
      </c>
      <c r="AH83" s="15">
        <v>97</v>
      </c>
      <c r="AJ83" s="15" t="s">
        <v>906</v>
      </c>
      <c r="AK83" s="15"/>
      <c r="AL83" s="15"/>
      <c r="AM83" s="15" t="s">
        <v>52</v>
      </c>
    </row>
    <row r="84" spans="1:39" s="16" customFormat="1" x14ac:dyDescent="0.45">
      <c r="A84" s="15" t="s">
        <v>907</v>
      </c>
      <c r="B84" s="15"/>
      <c r="C84" s="15" t="s">
        <v>909</v>
      </c>
      <c r="D84" s="15" t="s">
        <v>911</v>
      </c>
      <c r="E84" s="24" t="s">
        <v>27972</v>
      </c>
      <c r="F84" s="27">
        <v>46203</v>
      </c>
      <c r="G84" s="38" t="s">
        <v>27998</v>
      </c>
      <c r="H84" s="15" t="s">
        <v>50</v>
      </c>
      <c r="I84" s="15" t="s">
        <v>915</v>
      </c>
      <c r="J84" s="15" t="s">
        <v>908</v>
      </c>
      <c r="K84" s="15" t="s">
        <v>910</v>
      </c>
      <c r="L84" s="15" t="s">
        <v>912</v>
      </c>
      <c r="M84" s="15" t="s">
        <v>912</v>
      </c>
      <c r="N84" s="15" t="s">
        <v>72</v>
      </c>
      <c r="O84" s="15" t="s">
        <v>73</v>
      </c>
      <c r="P84" s="15" t="s">
        <v>913</v>
      </c>
      <c r="Q84" s="15"/>
      <c r="R84" s="15"/>
      <c r="S84" s="15"/>
      <c r="T84" s="15"/>
      <c r="U84" s="15"/>
      <c r="V84" s="15"/>
      <c r="W84" s="15"/>
      <c r="X84" s="15" t="s">
        <v>914</v>
      </c>
      <c r="Y84" s="15" t="s">
        <v>44</v>
      </c>
      <c r="Z84" s="15"/>
      <c r="AA84" s="15" t="s">
        <v>821</v>
      </c>
      <c r="AB84" s="15" t="s">
        <v>46</v>
      </c>
      <c r="AC84" s="15" t="s">
        <v>821</v>
      </c>
      <c r="AE84" s="15" t="s">
        <v>48</v>
      </c>
      <c r="AF84" s="15" t="s">
        <v>49</v>
      </c>
      <c r="AG84" s="15">
        <v>100</v>
      </c>
      <c r="AH84" s="15">
        <v>97</v>
      </c>
      <c r="AJ84" s="15" t="s">
        <v>916</v>
      </c>
      <c r="AK84" s="15"/>
      <c r="AL84" s="15"/>
      <c r="AM84" s="15" t="s">
        <v>52</v>
      </c>
    </row>
    <row r="85" spans="1:39" s="16" customFormat="1" x14ac:dyDescent="0.45">
      <c r="A85" s="15" t="s">
        <v>917</v>
      </c>
      <c r="B85" s="15"/>
      <c r="C85" s="15" t="s">
        <v>919</v>
      </c>
      <c r="D85" s="15" t="s">
        <v>921</v>
      </c>
      <c r="E85" s="24" t="s">
        <v>27972</v>
      </c>
      <c r="F85" s="27">
        <v>46203</v>
      </c>
      <c r="G85" s="38" t="s">
        <v>27998</v>
      </c>
      <c r="H85" s="15" t="s">
        <v>50</v>
      </c>
      <c r="I85" s="15" t="s">
        <v>925</v>
      </c>
      <c r="J85" s="15" t="s">
        <v>918</v>
      </c>
      <c r="K85" s="15" t="s">
        <v>920</v>
      </c>
      <c r="L85" s="15" t="s">
        <v>922</v>
      </c>
      <c r="M85" s="15" t="s">
        <v>922</v>
      </c>
      <c r="N85" s="15" t="s">
        <v>72</v>
      </c>
      <c r="O85" s="15" t="s">
        <v>73</v>
      </c>
      <c r="P85" s="15" t="s">
        <v>464</v>
      </c>
      <c r="Q85" s="15" t="s">
        <v>920</v>
      </c>
      <c r="R85" s="15" t="s">
        <v>923</v>
      </c>
      <c r="S85" s="15"/>
      <c r="T85" s="15"/>
      <c r="U85" s="15" t="s">
        <v>72</v>
      </c>
      <c r="V85" s="15" t="s">
        <v>73</v>
      </c>
      <c r="W85" s="15" t="s">
        <v>464</v>
      </c>
      <c r="X85" s="15" t="s">
        <v>924</v>
      </c>
      <c r="Y85" s="15" t="s">
        <v>44</v>
      </c>
      <c r="Z85" s="15"/>
      <c r="AA85" s="15" t="s">
        <v>821</v>
      </c>
      <c r="AB85" s="15" t="s">
        <v>199</v>
      </c>
      <c r="AC85" s="15" t="s">
        <v>821</v>
      </c>
      <c r="AE85" s="15" t="s">
        <v>48</v>
      </c>
      <c r="AF85" s="15" t="s">
        <v>49</v>
      </c>
      <c r="AG85" s="15">
        <v>100</v>
      </c>
      <c r="AH85" s="15">
        <v>97</v>
      </c>
      <c r="AJ85" s="15" t="s">
        <v>926</v>
      </c>
      <c r="AK85" s="15"/>
      <c r="AL85" s="15"/>
      <c r="AM85" s="15" t="s">
        <v>52</v>
      </c>
    </row>
    <row r="86" spans="1:39" s="16" customFormat="1" x14ac:dyDescent="0.45">
      <c r="A86" s="15" t="s">
        <v>927</v>
      </c>
      <c r="B86" s="15"/>
      <c r="C86" s="15" t="s">
        <v>929</v>
      </c>
      <c r="D86" s="15" t="s">
        <v>931</v>
      </c>
      <c r="E86" s="24" t="s">
        <v>27972</v>
      </c>
      <c r="F86" s="27">
        <v>46203</v>
      </c>
      <c r="G86" s="38" t="s">
        <v>27998</v>
      </c>
      <c r="H86" s="15" t="s">
        <v>50</v>
      </c>
      <c r="I86" s="15" t="s">
        <v>934</v>
      </c>
      <c r="J86" s="15" t="s">
        <v>928</v>
      </c>
      <c r="K86" s="15" t="s">
        <v>930</v>
      </c>
      <c r="L86" s="15" t="s">
        <v>932</v>
      </c>
      <c r="M86" s="15" t="s">
        <v>932</v>
      </c>
      <c r="N86" s="15" t="s">
        <v>72</v>
      </c>
      <c r="O86" s="15" t="s">
        <v>73</v>
      </c>
      <c r="P86" s="15" t="s">
        <v>98</v>
      </c>
      <c r="Q86" s="15" t="s">
        <v>930</v>
      </c>
      <c r="R86" s="15"/>
      <c r="S86" s="15"/>
      <c r="T86" s="15"/>
      <c r="U86" s="15" t="s">
        <v>72</v>
      </c>
      <c r="V86" s="15" t="s">
        <v>73</v>
      </c>
      <c r="W86" s="15" t="s">
        <v>98</v>
      </c>
      <c r="X86" s="15" t="s">
        <v>933</v>
      </c>
      <c r="Y86" s="15" t="s">
        <v>44</v>
      </c>
      <c r="Z86" s="15"/>
      <c r="AA86" s="15" t="s">
        <v>821</v>
      </c>
      <c r="AB86" s="15" t="s">
        <v>199</v>
      </c>
      <c r="AC86" s="15" t="s">
        <v>821</v>
      </c>
      <c r="AE86" s="15" t="s">
        <v>48</v>
      </c>
      <c r="AF86" s="15" t="s">
        <v>49</v>
      </c>
      <c r="AG86" s="15">
        <v>100</v>
      </c>
      <c r="AH86" s="15">
        <v>97</v>
      </c>
      <c r="AJ86" s="15" t="s">
        <v>935</v>
      </c>
      <c r="AK86" s="15"/>
      <c r="AL86" s="15"/>
      <c r="AM86" s="15" t="s">
        <v>52</v>
      </c>
    </row>
    <row r="87" spans="1:39" s="16" customFormat="1" x14ac:dyDescent="0.45">
      <c r="A87" s="15" t="s">
        <v>936</v>
      </c>
      <c r="B87" s="15"/>
      <c r="C87" s="15" t="s">
        <v>938</v>
      </c>
      <c r="D87" s="15" t="s">
        <v>940</v>
      </c>
      <c r="E87" s="24" t="s">
        <v>27972</v>
      </c>
      <c r="F87" s="27">
        <v>46203</v>
      </c>
      <c r="G87" s="38" t="s">
        <v>27998</v>
      </c>
      <c r="H87" s="15" t="s">
        <v>50</v>
      </c>
      <c r="I87" s="15" t="s">
        <v>943</v>
      </c>
      <c r="J87" s="15" t="s">
        <v>937</v>
      </c>
      <c r="K87" s="15" t="s">
        <v>939</v>
      </c>
      <c r="L87" s="15" t="s">
        <v>941</v>
      </c>
      <c r="M87" s="15" t="s">
        <v>941</v>
      </c>
      <c r="N87" s="15" t="s">
        <v>174</v>
      </c>
      <c r="O87" s="15" t="s">
        <v>175</v>
      </c>
      <c r="P87" s="15" t="s">
        <v>176</v>
      </c>
      <c r="Q87" s="15" t="s">
        <v>939</v>
      </c>
      <c r="R87" s="15"/>
      <c r="S87" s="15"/>
      <c r="T87" s="15"/>
      <c r="U87" s="15" t="s">
        <v>174</v>
      </c>
      <c r="V87" s="15" t="s">
        <v>175</v>
      </c>
      <c r="W87" s="15" t="s">
        <v>176</v>
      </c>
      <c r="X87" s="15" t="s">
        <v>942</v>
      </c>
      <c r="Y87" s="15" t="s">
        <v>44</v>
      </c>
      <c r="Z87" s="15"/>
      <c r="AA87" s="15" t="s">
        <v>821</v>
      </c>
      <c r="AB87" s="15" t="s">
        <v>46</v>
      </c>
      <c r="AC87" s="15" t="s">
        <v>821</v>
      </c>
      <c r="AE87" s="15" t="s">
        <v>48</v>
      </c>
      <c r="AF87" s="15" t="s">
        <v>49</v>
      </c>
      <c r="AG87" s="15">
        <v>100</v>
      </c>
      <c r="AH87" s="15">
        <v>97</v>
      </c>
      <c r="AJ87" s="15" t="s">
        <v>944</v>
      </c>
      <c r="AK87" s="15"/>
      <c r="AL87" s="15"/>
      <c r="AM87" s="15" t="s">
        <v>52</v>
      </c>
    </row>
    <row r="88" spans="1:39" s="16" customFormat="1" x14ac:dyDescent="0.45">
      <c r="A88" s="15" t="s">
        <v>945</v>
      </c>
      <c r="B88" s="15"/>
      <c r="C88" s="15" t="s">
        <v>947</v>
      </c>
      <c r="D88" s="15" t="s">
        <v>949</v>
      </c>
      <c r="E88" s="24" t="s">
        <v>27972</v>
      </c>
      <c r="F88" s="27">
        <v>46203</v>
      </c>
      <c r="G88" s="38" t="s">
        <v>27998</v>
      </c>
      <c r="H88" s="15" t="s">
        <v>50</v>
      </c>
      <c r="I88" s="15" t="s">
        <v>955</v>
      </c>
      <c r="J88" s="15" t="s">
        <v>946</v>
      </c>
      <c r="K88" s="15" t="s">
        <v>948</v>
      </c>
      <c r="L88" s="15" t="s">
        <v>950</v>
      </c>
      <c r="M88" s="15" t="s">
        <v>950</v>
      </c>
      <c r="N88" s="15" t="s">
        <v>384</v>
      </c>
      <c r="O88" s="15" t="s">
        <v>73</v>
      </c>
      <c r="P88" s="15" t="s">
        <v>951</v>
      </c>
      <c r="Q88" s="15" t="s">
        <v>952</v>
      </c>
      <c r="R88" s="15"/>
      <c r="S88" s="15"/>
      <c r="T88" s="15"/>
      <c r="U88" s="15" t="s">
        <v>384</v>
      </c>
      <c r="V88" s="15" t="s">
        <v>73</v>
      </c>
      <c r="W88" s="15" t="s">
        <v>953</v>
      </c>
      <c r="X88" s="15" t="s">
        <v>954</v>
      </c>
      <c r="Y88" s="15" t="s">
        <v>44</v>
      </c>
      <c r="Z88" s="15"/>
      <c r="AA88" s="15" t="s">
        <v>821</v>
      </c>
      <c r="AB88" s="15" t="s">
        <v>46</v>
      </c>
      <c r="AC88" s="15" t="s">
        <v>821</v>
      </c>
      <c r="AE88" s="15" t="s">
        <v>48</v>
      </c>
      <c r="AF88" s="15" t="s">
        <v>49</v>
      </c>
      <c r="AG88" s="15">
        <v>100</v>
      </c>
      <c r="AH88" s="15">
        <v>97</v>
      </c>
      <c r="AJ88" s="15" t="s">
        <v>956</v>
      </c>
      <c r="AK88" s="15"/>
      <c r="AL88" s="15"/>
      <c r="AM88" s="15" t="s">
        <v>52</v>
      </c>
    </row>
    <row r="89" spans="1:39" s="16" customFormat="1" x14ac:dyDescent="0.45">
      <c r="A89" s="15" t="s">
        <v>957</v>
      </c>
      <c r="B89" s="15"/>
      <c r="C89" s="15" t="s">
        <v>959</v>
      </c>
      <c r="D89" s="15" t="s">
        <v>961</v>
      </c>
      <c r="E89" s="24" t="s">
        <v>27972</v>
      </c>
      <c r="F89" s="27">
        <v>46203</v>
      </c>
      <c r="G89" s="38" t="s">
        <v>27998</v>
      </c>
      <c r="H89" s="15" t="s">
        <v>50</v>
      </c>
      <c r="I89" s="15" t="s">
        <v>964</v>
      </c>
      <c r="J89" s="15" t="s">
        <v>958</v>
      </c>
      <c r="K89" s="15" t="s">
        <v>960</v>
      </c>
      <c r="L89" s="15" t="s">
        <v>962</v>
      </c>
      <c r="M89" s="15" t="s">
        <v>962</v>
      </c>
      <c r="N89" s="15" t="s">
        <v>72</v>
      </c>
      <c r="O89" s="15" t="s">
        <v>73</v>
      </c>
      <c r="P89" s="15" t="s">
        <v>74</v>
      </c>
      <c r="Q89" s="15" t="s">
        <v>960</v>
      </c>
      <c r="R89" s="15"/>
      <c r="S89" s="15"/>
      <c r="T89" s="15"/>
      <c r="U89" s="15" t="s">
        <v>72</v>
      </c>
      <c r="V89" s="15" t="s">
        <v>73</v>
      </c>
      <c r="W89" s="15" t="s">
        <v>74</v>
      </c>
      <c r="X89" s="15" t="s">
        <v>963</v>
      </c>
      <c r="Y89" s="15" t="s">
        <v>44</v>
      </c>
      <c r="Z89" s="15"/>
      <c r="AA89" s="15" t="s">
        <v>821</v>
      </c>
      <c r="AB89" s="15" t="s">
        <v>199</v>
      </c>
      <c r="AC89" s="15" t="s">
        <v>821</v>
      </c>
      <c r="AE89" s="15" t="s">
        <v>48</v>
      </c>
      <c r="AF89" s="15" t="s">
        <v>49</v>
      </c>
      <c r="AG89" s="15">
        <v>100</v>
      </c>
      <c r="AH89" s="15">
        <v>97</v>
      </c>
      <c r="AJ89" s="15" t="s">
        <v>965</v>
      </c>
      <c r="AK89" s="15"/>
      <c r="AL89" s="15"/>
      <c r="AM89" s="15" t="s">
        <v>52</v>
      </c>
    </row>
    <row r="90" spans="1:39" s="16" customFormat="1" x14ac:dyDescent="0.45">
      <c r="A90" s="15" t="s">
        <v>966</v>
      </c>
      <c r="B90" s="15"/>
      <c r="C90" s="15" t="s">
        <v>968</v>
      </c>
      <c r="D90" s="15" t="s">
        <v>970</v>
      </c>
      <c r="E90" s="24" t="s">
        <v>27972</v>
      </c>
      <c r="F90" s="27">
        <v>46203</v>
      </c>
      <c r="G90" s="38" t="s">
        <v>27998</v>
      </c>
      <c r="H90" s="15" t="s">
        <v>50</v>
      </c>
      <c r="I90" s="15" t="s">
        <v>974</v>
      </c>
      <c r="J90" s="15" t="s">
        <v>967</v>
      </c>
      <c r="K90" s="15" t="s">
        <v>969</v>
      </c>
      <c r="L90" s="15" t="s">
        <v>971</v>
      </c>
      <c r="M90" s="15" t="s">
        <v>971</v>
      </c>
      <c r="N90" s="15" t="s">
        <v>72</v>
      </c>
      <c r="O90" s="15" t="s">
        <v>73</v>
      </c>
      <c r="P90" s="15" t="s">
        <v>464</v>
      </c>
      <c r="Q90" s="15" t="s">
        <v>972</v>
      </c>
      <c r="R90" s="15"/>
      <c r="S90" s="15"/>
      <c r="T90" s="15"/>
      <c r="U90" s="15" t="s">
        <v>72</v>
      </c>
      <c r="V90" s="15" t="s">
        <v>73</v>
      </c>
      <c r="W90" s="15" t="s">
        <v>464</v>
      </c>
      <c r="X90" s="15" t="s">
        <v>973</v>
      </c>
      <c r="Y90" s="15" t="s">
        <v>44</v>
      </c>
      <c r="Z90" s="15"/>
      <c r="AA90" s="15" t="s">
        <v>821</v>
      </c>
      <c r="AB90" s="15" t="s">
        <v>199</v>
      </c>
      <c r="AC90" s="15" t="s">
        <v>821</v>
      </c>
      <c r="AE90" s="15" t="s">
        <v>48</v>
      </c>
      <c r="AF90" s="15" t="s">
        <v>49</v>
      </c>
      <c r="AG90" s="15">
        <v>100</v>
      </c>
      <c r="AH90" s="15">
        <v>97</v>
      </c>
      <c r="AJ90" s="15" t="s">
        <v>975</v>
      </c>
      <c r="AK90" s="15"/>
      <c r="AL90" s="15"/>
      <c r="AM90" s="15" t="s">
        <v>52</v>
      </c>
    </row>
    <row r="91" spans="1:39" s="14" customFormat="1" x14ac:dyDescent="0.45">
      <c r="A91" s="13" t="s">
        <v>976</v>
      </c>
      <c r="B91" s="13"/>
      <c r="C91" s="13" t="s">
        <v>978</v>
      </c>
      <c r="D91" s="13" t="s">
        <v>980</v>
      </c>
      <c r="E91" s="29" t="s">
        <v>27972</v>
      </c>
      <c r="F91" s="30">
        <v>46203</v>
      </c>
      <c r="G91" s="41" t="s">
        <v>27999</v>
      </c>
      <c r="H91" s="13" t="s">
        <v>50</v>
      </c>
      <c r="I91" s="13" t="s">
        <v>984</v>
      </c>
      <c r="J91" s="13" t="s">
        <v>977</v>
      </c>
      <c r="K91" s="13" t="s">
        <v>979</v>
      </c>
      <c r="L91" s="13" t="s">
        <v>981</v>
      </c>
      <c r="M91" s="13" t="s">
        <v>981</v>
      </c>
      <c r="N91" s="13" t="s">
        <v>651</v>
      </c>
      <c r="O91" s="13" t="s">
        <v>86</v>
      </c>
      <c r="P91" s="13" t="s">
        <v>982</v>
      </c>
      <c r="Q91" s="13" t="s">
        <v>983</v>
      </c>
      <c r="R91" s="13"/>
      <c r="S91" s="13"/>
      <c r="T91" s="13"/>
      <c r="U91" s="13" t="s">
        <v>651</v>
      </c>
      <c r="V91" s="13" t="s">
        <v>86</v>
      </c>
      <c r="W91" s="13" t="s">
        <v>982</v>
      </c>
      <c r="X91" s="13" t="s">
        <v>245</v>
      </c>
      <c r="Y91" s="13" t="s">
        <v>44</v>
      </c>
      <c r="Z91" s="13"/>
      <c r="AA91" s="13" t="s">
        <v>821</v>
      </c>
      <c r="AB91" s="13" t="s">
        <v>199</v>
      </c>
      <c r="AC91" s="13" t="s">
        <v>821</v>
      </c>
      <c r="AE91" s="13" t="s">
        <v>48</v>
      </c>
      <c r="AF91" s="13" t="s">
        <v>49</v>
      </c>
      <c r="AG91" s="13">
        <v>100</v>
      </c>
      <c r="AH91" s="13">
        <v>97</v>
      </c>
      <c r="AJ91" s="13" t="s">
        <v>985</v>
      </c>
      <c r="AK91" s="13"/>
      <c r="AL91" s="13"/>
      <c r="AM91" s="13" t="s">
        <v>52</v>
      </c>
    </row>
    <row r="92" spans="1:39" s="16" customFormat="1" x14ac:dyDescent="0.45">
      <c r="A92" s="15" t="s">
        <v>986</v>
      </c>
      <c r="B92" s="15"/>
      <c r="C92" s="15" t="s">
        <v>988</v>
      </c>
      <c r="D92" s="15" t="s">
        <v>990</v>
      </c>
      <c r="E92" s="24" t="s">
        <v>27972</v>
      </c>
      <c r="F92" s="27">
        <v>46203</v>
      </c>
      <c r="G92" s="38" t="s">
        <v>27998</v>
      </c>
      <c r="H92" s="15" t="s">
        <v>50</v>
      </c>
      <c r="I92" s="15" t="s">
        <v>994</v>
      </c>
      <c r="J92" s="15" t="s">
        <v>987</v>
      </c>
      <c r="K92" s="15" t="s">
        <v>989</v>
      </c>
      <c r="L92" s="15" t="s">
        <v>991</v>
      </c>
      <c r="M92" s="15" t="s">
        <v>991</v>
      </c>
      <c r="N92" s="15" t="s">
        <v>59</v>
      </c>
      <c r="O92" s="15" t="s">
        <v>60</v>
      </c>
      <c r="P92" s="15" t="s">
        <v>992</v>
      </c>
      <c r="Q92" s="15" t="s">
        <v>989</v>
      </c>
      <c r="R92" s="15"/>
      <c r="S92" s="15"/>
      <c r="T92" s="15"/>
      <c r="U92" s="15" t="s">
        <v>59</v>
      </c>
      <c r="V92" s="15" t="s">
        <v>60</v>
      </c>
      <c r="W92" s="15" t="s">
        <v>992</v>
      </c>
      <c r="X92" s="15" t="s">
        <v>993</v>
      </c>
      <c r="Y92" s="15" t="s">
        <v>44</v>
      </c>
      <c r="Z92" s="15"/>
      <c r="AA92" s="15" t="s">
        <v>821</v>
      </c>
      <c r="AB92" s="15" t="s">
        <v>46</v>
      </c>
      <c r="AC92" s="15" t="s">
        <v>821</v>
      </c>
      <c r="AE92" s="15" t="s">
        <v>48</v>
      </c>
      <c r="AF92" s="15" t="s">
        <v>49</v>
      </c>
      <c r="AG92" s="15">
        <v>100</v>
      </c>
      <c r="AH92" s="15">
        <v>97</v>
      </c>
      <c r="AJ92" s="15" t="s">
        <v>995</v>
      </c>
      <c r="AK92" s="15"/>
      <c r="AL92" s="15"/>
      <c r="AM92" s="15" t="s">
        <v>52</v>
      </c>
    </row>
    <row r="93" spans="1:39" s="16" customFormat="1" x14ac:dyDescent="0.45">
      <c r="A93" s="15" t="s">
        <v>996</v>
      </c>
      <c r="B93" s="15"/>
      <c r="C93" s="15" t="s">
        <v>998</v>
      </c>
      <c r="D93" s="15" t="s">
        <v>1000</v>
      </c>
      <c r="E93" s="24" t="s">
        <v>27972</v>
      </c>
      <c r="F93" s="27">
        <v>46203</v>
      </c>
      <c r="G93" s="38" t="s">
        <v>27998</v>
      </c>
      <c r="H93" s="15" t="s">
        <v>50</v>
      </c>
      <c r="I93" s="15" t="s">
        <v>1004</v>
      </c>
      <c r="J93" s="15" t="s">
        <v>997</v>
      </c>
      <c r="K93" s="15" t="s">
        <v>999</v>
      </c>
      <c r="L93" s="15" t="s">
        <v>1001</v>
      </c>
      <c r="M93" s="15" t="s">
        <v>1001</v>
      </c>
      <c r="N93" s="15" t="s">
        <v>72</v>
      </c>
      <c r="O93" s="15" t="s">
        <v>73</v>
      </c>
      <c r="P93" s="15" t="s">
        <v>484</v>
      </c>
      <c r="Q93" s="15" t="s">
        <v>1002</v>
      </c>
      <c r="R93" s="15"/>
      <c r="S93" s="15"/>
      <c r="T93" s="15"/>
      <c r="U93" s="15" t="s">
        <v>72</v>
      </c>
      <c r="V93" s="15" t="s">
        <v>73</v>
      </c>
      <c r="W93" s="15" t="s">
        <v>484</v>
      </c>
      <c r="X93" s="15" t="s">
        <v>1003</v>
      </c>
      <c r="Y93" s="15" t="s">
        <v>44</v>
      </c>
      <c r="Z93" s="15"/>
      <c r="AA93" s="15" t="s">
        <v>821</v>
      </c>
      <c r="AB93" s="15" t="s">
        <v>199</v>
      </c>
      <c r="AC93" s="15" t="s">
        <v>821</v>
      </c>
      <c r="AE93" s="15" t="s">
        <v>48</v>
      </c>
      <c r="AF93" s="15" t="s">
        <v>49</v>
      </c>
      <c r="AG93" s="15">
        <v>100</v>
      </c>
      <c r="AH93" s="15">
        <v>97</v>
      </c>
      <c r="AJ93" s="15" t="s">
        <v>1005</v>
      </c>
      <c r="AK93" s="15"/>
      <c r="AL93" s="15"/>
      <c r="AM93" s="15" t="s">
        <v>52</v>
      </c>
    </row>
    <row r="94" spans="1:39" s="16" customFormat="1" x14ac:dyDescent="0.45">
      <c r="A94" s="15" t="s">
        <v>1006</v>
      </c>
      <c r="B94" s="15"/>
      <c r="C94" s="15" t="s">
        <v>1008</v>
      </c>
      <c r="D94" s="15" t="s">
        <v>1010</v>
      </c>
      <c r="E94" s="24" t="s">
        <v>27972</v>
      </c>
      <c r="F94" s="27">
        <v>46203</v>
      </c>
      <c r="G94" s="38" t="s">
        <v>27998</v>
      </c>
      <c r="H94" s="15" t="s">
        <v>50</v>
      </c>
      <c r="I94" s="15" t="s">
        <v>1015</v>
      </c>
      <c r="J94" s="15" t="s">
        <v>1007</v>
      </c>
      <c r="K94" s="15" t="s">
        <v>1009</v>
      </c>
      <c r="L94" s="15" t="s">
        <v>1011</v>
      </c>
      <c r="M94" s="15" t="s">
        <v>1011</v>
      </c>
      <c r="N94" s="15" t="s">
        <v>384</v>
      </c>
      <c r="O94" s="15" t="s">
        <v>73</v>
      </c>
      <c r="P94" s="15" t="s">
        <v>1012</v>
      </c>
      <c r="Q94" s="15" t="s">
        <v>1013</v>
      </c>
      <c r="R94" s="15"/>
      <c r="S94" s="15"/>
      <c r="T94" s="15"/>
      <c r="U94" s="15" t="s">
        <v>384</v>
      </c>
      <c r="V94" s="15" t="s">
        <v>73</v>
      </c>
      <c r="W94" s="15" t="s">
        <v>951</v>
      </c>
      <c r="X94" s="15" t="s">
        <v>1014</v>
      </c>
      <c r="Y94" s="15" t="s">
        <v>44</v>
      </c>
      <c r="Z94" s="15"/>
      <c r="AA94" s="15" t="s">
        <v>821</v>
      </c>
      <c r="AB94" s="15" t="s">
        <v>46</v>
      </c>
      <c r="AC94" s="15" t="s">
        <v>821</v>
      </c>
      <c r="AE94" s="15" t="s">
        <v>48</v>
      </c>
      <c r="AF94" s="15" t="s">
        <v>49</v>
      </c>
      <c r="AG94" s="15">
        <v>100</v>
      </c>
      <c r="AH94" s="15">
        <v>97</v>
      </c>
      <c r="AJ94" s="15" t="s">
        <v>1016</v>
      </c>
      <c r="AK94" s="15"/>
      <c r="AL94" s="15"/>
      <c r="AM94" s="15" t="s">
        <v>52</v>
      </c>
    </row>
    <row r="95" spans="1:39" s="16" customFormat="1" x14ac:dyDescent="0.45">
      <c r="A95" s="15" t="s">
        <v>1017</v>
      </c>
      <c r="B95" s="15"/>
      <c r="C95" s="15" t="s">
        <v>1019</v>
      </c>
      <c r="D95" s="15" t="s">
        <v>1021</v>
      </c>
      <c r="E95" s="24" t="s">
        <v>27972</v>
      </c>
      <c r="F95" s="27">
        <v>46203</v>
      </c>
      <c r="G95" s="38" t="s">
        <v>27998</v>
      </c>
      <c r="H95" s="15" t="s">
        <v>50</v>
      </c>
      <c r="I95" s="15" t="s">
        <v>1027</v>
      </c>
      <c r="J95" s="15" t="s">
        <v>1018</v>
      </c>
      <c r="K95" s="15" t="s">
        <v>1020</v>
      </c>
      <c r="L95" s="15" t="s">
        <v>1022</v>
      </c>
      <c r="M95" s="15" t="s">
        <v>1022</v>
      </c>
      <c r="N95" s="15" t="s">
        <v>1023</v>
      </c>
      <c r="O95" s="15" t="s">
        <v>73</v>
      </c>
      <c r="P95" s="15" t="s">
        <v>1024</v>
      </c>
      <c r="Q95" s="15" t="s">
        <v>1025</v>
      </c>
      <c r="R95" s="15"/>
      <c r="S95" s="15"/>
      <c r="T95" s="15"/>
      <c r="U95" s="15" t="s">
        <v>384</v>
      </c>
      <c r="V95" s="15" t="s">
        <v>73</v>
      </c>
      <c r="W95" s="15" t="s">
        <v>832</v>
      </c>
      <c r="X95" s="15" t="s">
        <v>1026</v>
      </c>
      <c r="Y95" s="15" t="s">
        <v>44</v>
      </c>
      <c r="Z95" s="15"/>
      <c r="AA95" s="15" t="s">
        <v>821</v>
      </c>
      <c r="AB95" s="15" t="s">
        <v>46</v>
      </c>
      <c r="AC95" s="15" t="s">
        <v>821</v>
      </c>
      <c r="AE95" s="15" t="s">
        <v>48</v>
      </c>
      <c r="AF95" s="15" t="s">
        <v>49</v>
      </c>
      <c r="AG95" s="15">
        <v>100</v>
      </c>
      <c r="AH95" s="15">
        <v>97</v>
      </c>
      <c r="AJ95" s="15" t="s">
        <v>1028</v>
      </c>
      <c r="AK95" s="15"/>
      <c r="AL95" s="15"/>
      <c r="AM95" s="15" t="s">
        <v>52</v>
      </c>
    </row>
    <row r="96" spans="1:39" s="16" customFormat="1" x14ac:dyDescent="0.45">
      <c r="A96" s="15" t="s">
        <v>1029</v>
      </c>
      <c r="B96" s="15"/>
      <c r="C96" s="15" t="s">
        <v>1031</v>
      </c>
      <c r="D96" s="15" t="s">
        <v>1033</v>
      </c>
      <c r="E96" s="24" t="s">
        <v>27972</v>
      </c>
      <c r="F96" s="27">
        <v>46203</v>
      </c>
      <c r="G96" s="38" t="s">
        <v>27998</v>
      </c>
      <c r="H96" s="15" t="s">
        <v>50</v>
      </c>
      <c r="I96" s="15" t="s">
        <v>1038</v>
      </c>
      <c r="J96" s="15" t="s">
        <v>1030</v>
      </c>
      <c r="K96" s="15" t="s">
        <v>1032</v>
      </c>
      <c r="L96" s="15" t="s">
        <v>1034</v>
      </c>
      <c r="M96" s="15" t="s">
        <v>1034</v>
      </c>
      <c r="N96" s="15" t="s">
        <v>72</v>
      </c>
      <c r="O96" s="15" t="s">
        <v>73</v>
      </c>
      <c r="P96" s="15" t="s">
        <v>1035</v>
      </c>
      <c r="Q96" s="15" t="s">
        <v>1036</v>
      </c>
      <c r="R96" s="15"/>
      <c r="S96" s="15"/>
      <c r="T96" s="15"/>
      <c r="U96" s="15" t="s">
        <v>72</v>
      </c>
      <c r="V96" s="15" t="s">
        <v>73</v>
      </c>
      <c r="W96" s="15" t="s">
        <v>98</v>
      </c>
      <c r="X96" s="15" t="s">
        <v>1037</v>
      </c>
      <c r="Y96" s="15" t="s">
        <v>44</v>
      </c>
      <c r="Z96" s="15"/>
      <c r="AA96" s="15" t="s">
        <v>821</v>
      </c>
      <c r="AB96" s="15" t="s">
        <v>46</v>
      </c>
      <c r="AC96" s="15" t="s">
        <v>821</v>
      </c>
      <c r="AE96" s="15" t="s">
        <v>48</v>
      </c>
      <c r="AF96" s="15" t="s">
        <v>49</v>
      </c>
      <c r="AG96" s="15">
        <v>100</v>
      </c>
      <c r="AH96" s="15">
        <v>97</v>
      </c>
      <c r="AJ96" s="15" t="s">
        <v>1039</v>
      </c>
      <c r="AK96" s="15"/>
      <c r="AL96" s="15"/>
      <c r="AM96" s="15" t="s">
        <v>52</v>
      </c>
    </row>
    <row r="97" spans="1:39" s="12" customFormat="1" x14ac:dyDescent="0.45">
      <c r="A97" s="10" t="s">
        <v>1040</v>
      </c>
      <c r="B97" s="10"/>
      <c r="C97" s="10" t="s">
        <v>1042</v>
      </c>
      <c r="D97" s="10" t="s">
        <v>1044</v>
      </c>
      <c r="E97" s="23" t="s">
        <v>27973</v>
      </c>
      <c r="F97" s="28">
        <v>46203</v>
      </c>
      <c r="G97" s="37" t="s">
        <v>27998</v>
      </c>
      <c r="H97" s="10" t="s">
        <v>50</v>
      </c>
      <c r="I97" s="10" t="s">
        <v>1050</v>
      </c>
      <c r="J97" s="10" t="s">
        <v>1041</v>
      </c>
      <c r="K97" s="10" t="s">
        <v>1043</v>
      </c>
      <c r="L97" s="10" t="s">
        <v>1045</v>
      </c>
      <c r="M97" s="10" t="s">
        <v>1045</v>
      </c>
      <c r="N97" s="10" t="s">
        <v>72</v>
      </c>
      <c r="O97" s="10" t="s">
        <v>73</v>
      </c>
      <c r="P97" s="10" t="s">
        <v>1046</v>
      </c>
      <c r="Q97" s="10" t="s">
        <v>1047</v>
      </c>
      <c r="R97" s="10"/>
      <c r="S97" s="10"/>
      <c r="T97" s="10"/>
      <c r="U97" s="10" t="s">
        <v>312</v>
      </c>
      <c r="V97" s="10" t="s">
        <v>313</v>
      </c>
      <c r="W97" s="10" t="s">
        <v>1048</v>
      </c>
      <c r="X97" s="10" t="s">
        <v>1049</v>
      </c>
      <c r="Y97" s="10" t="s">
        <v>44</v>
      </c>
      <c r="Z97" s="10"/>
      <c r="AA97" s="10" t="s">
        <v>821</v>
      </c>
      <c r="AB97" s="10" t="s">
        <v>46</v>
      </c>
      <c r="AC97" s="10" t="s">
        <v>821</v>
      </c>
      <c r="AE97" s="10" t="s">
        <v>48</v>
      </c>
      <c r="AF97" s="10" t="s">
        <v>49</v>
      </c>
      <c r="AG97" s="10">
        <v>100</v>
      </c>
      <c r="AH97" s="10">
        <v>97</v>
      </c>
      <c r="AJ97" s="10" t="s">
        <v>1051</v>
      </c>
      <c r="AK97" s="10"/>
      <c r="AL97" s="10"/>
      <c r="AM97" s="10" t="s">
        <v>52</v>
      </c>
    </row>
    <row r="98" spans="1:39" s="12" customFormat="1" x14ac:dyDescent="0.45">
      <c r="A98" s="10" t="s">
        <v>1052</v>
      </c>
      <c r="B98" s="10"/>
      <c r="C98" s="10" t="s">
        <v>1054</v>
      </c>
      <c r="D98" s="10" t="s">
        <v>1056</v>
      </c>
      <c r="E98" s="23" t="s">
        <v>27973</v>
      </c>
      <c r="F98" s="28">
        <v>46203</v>
      </c>
      <c r="G98" s="37" t="s">
        <v>27998</v>
      </c>
      <c r="H98" s="10" t="s">
        <v>50</v>
      </c>
      <c r="I98" s="10" t="s">
        <v>1062</v>
      </c>
      <c r="J98" s="10" t="s">
        <v>1053</v>
      </c>
      <c r="K98" s="10" t="s">
        <v>1055</v>
      </c>
      <c r="L98" s="10" t="s">
        <v>1057</v>
      </c>
      <c r="M98" s="10" t="s">
        <v>1057</v>
      </c>
      <c r="N98" s="10" t="s">
        <v>277</v>
      </c>
      <c r="O98" s="10" t="s">
        <v>278</v>
      </c>
      <c r="P98" s="10" t="s">
        <v>1058</v>
      </c>
      <c r="Q98" s="10" t="s">
        <v>1059</v>
      </c>
      <c r="R98" s="10"/>
      <c r="S98" s="10"/>
      <c r="T98" s="10"/>
      <c r="U98" s="10" t="s">
        <v>277</v>
      </c>
      <c r="V98" s="10" t="s">
        <v>278</v>
      </c>
      <c r="W98" s="10" t="s">
        <v>1060</v>
      </c>
      <c r="X98" s="10" t="s">
        <v>1061</v>
      </c>
      <c r="Y98" s="10" t="s">
        <v>44</v>
      </c>
      <c r="Z98" s="10"/>
      <c r="AA98" s="10" t="s">
        <v>821</v>
      </c>
      <c r="AB98" s="10" t="s">
        <v>199</v>
      </c>
      <c r="AC98" s="10" t="s">
        <v>821</v>
      </c>
      <c r="AE98" s="10" t="s">
        <v>48</v>
      </c>
      <c r="AF98" s="10" t="s">
        <v>49</v>
      </c>
      <c r="AG98" s="10">
        <v>100</v>
      </c>
      <c r="AH98" s="10">
        <v>97</v>
      </c>
      <c r="AJ98" s="10" t="s">
        <v>1063</v>
      </c>
      <c r="AK98" s="10"/>
      <c r="AL98" s="10"/>
      <c r="AM98" s="10" t="s">
        <v>52</v>
      </c>
    </row>
    <row r="99" spans="1:39" s="12" customFormat="1" x14ac:dyDescent="0.45">
      <c r="A99" s="10" t="s">
        <v>1064</v>
      </c>
      <c r="B99" s="10"/>
      <c r="C99" s="10" t="s">
        <v>1066</v>
      </c>
      <c r="D99" s="11" t="s">
        <v>1068</v>
      </c>
      <c r="E99" s="23" t="s">
        <v>27973</v>
      </c>
      <c r="F99" s="28">
        <v>46203</v>
      </c>
      <c r="G99" s="37" t="s">
        <v>27998</v>
      </c>
      <c r="H99" s="10" t="s">
        <v>50</v>
      </c>
      <c r="I99" s="10" t="s">
        <v>1073</v>
      </c>
      <c r="J99" s="10" t="s">
        <v>1065</v>
      </c>
      <c r="K99" s="10" t="s">
        <v>1067</v>
      </c>
      <c r="L99" s="10" t="s">
        <v>1069</v>
      </c>
      <c r="M99" s="10" t="s">
        <v>1069</v>
      </c>
      <c r="N99" s="10" t="s">
        <v>536</v>
      </c>
      <c r="O99" s="10" t="s">
        <v>537</v>
      </c>
      <c r="P99" s="10" t="s">
        <v>1070</v>
      </c>
      <c r="Q99" s="10" t="s">
        <v>1071</v>
      </c>
      <c r="R99" s="10"/>
      <c r="S99" s="10"/>
      <c r="T99" s="10"/>
      <c r="U99" s="10" t="s">
        <v>536</v>
      </c>
      <c r="V99" s="10" t="s">
        <v>537</v>
      </c>
      <c r="W99" s="10" t="s">
        <v>1070</v>
      </c>
      <c r="X99" s="10" t="s">
        <v>1072</v>
      </c>
      <c r="Y99" s="10" t="s">
        <v>44</v>
      </c>
      <c r="Z99" s="10"/>
      <c r="AA99" s="10" t="s">
        <v>821</v>
      </c>
      <c r="AB99" s="10" t="s">
        <v>199</v>
      </c>
      <c r="AC99" s="10" t="s">
        <v>821</v>
      </c>
      <c r="AE99" s="10" t="s">
        <v>48</v>
      </c>
      <c r="AF99" s="10" t="s">
        <v>49</v>
      </c>
      <c r="AG99" s="10">
        <v>100</v>
      </c>
      <c r="AH99" s="10">
        <v>97</v>
      </c>
      <c r="AJ99" s="10" t="s">
        <v>1074</v>
      </c>
      <c r="AK99" s="10"/>
      <c r="AL99" s="10"/>
      <c r="AM99" s="10" t="s">
        <v>52</v>
      </c>
    </row>
    <row r="100" spans="1:39" s="12" customFormat="1" x14ac:dyDescent="0.45">
      <c r="A100" s="10" t="s">
        <v>1075</v>
      </c>
      <c r="B100" s="10"/>
      <c r="C100" s="10" t="s">
        <v>1077</v>
      </c>
      <c r="D100" s="10" t="s">
        <v>1079</v>
      </c>
      <c r="E100" s="23" t="s">
        <v>27973</v>
      </c>
      <c r="F100" s="28">
        <v>46203</v>
      </c>
      <c r="G100" s="37" t="s">
        <v>27998</v>
      </c>
      <c r="H100" s="10" t="s">
        <v>50</v>
      </c>
      <c r="I100" s="10" t="s">
        <v>1083</v>
      </c>
      <c r="J100" s="10" t="s">
        <v>1076</v>
      </c>
      <c r="K100" s="10" t="s">
        <v>1078</v>
      </c>
      <c r="L100" s="10" t="s">
        <v>1080</v>
      </c>
      <c r="M100" s="10" t="s">
        <v>1080</v>
      </c>
      <c r="N100" s="10" t="s">
        <v>72</v>
      </c>
      <c r="O100" s="10" t="s">
        <v>73</v>
      </c>
      <c r="P100" s="10" t="s">
        <v>791</v>
      </c>
      <c r="Q100" s="10" t="s">
        <v>1081</v>
      </c>
      <c r="R100" s="10"/>
      <c r="S100" s="10"/>
      <c r="T100" s="10"/>
      <c r="U100" s="10" t="s">
        <v>72</v>
      </c>
      <c r="V100" s="10" t="s">
        <v>73</v>
      </c>
      <c r="W100" s="10" t="s">
        <v>791</v>
      </c>
      <c r="X100" s="10" t="s">
        <v>1082</v>
      </c>
      <c r="Y100" s="10" t="s">
        <v>44</v>
      </c>
      <c r="Z100" s="10"/>
      <c r="AA100" s="10" t="s">
        <v>821</v>
      </c>
      <c r="AB100" s="10" t="s">
        <v>199</v>
      </c>
      <c r="AC100" s="10" t="s">
        <v>821</v>
      </c>
      <c r="AE100" s="10" t="s">
        <v>48</v>
      </c>
      <c r="AF100" s="10" t="s">
        <v>49</v>
      </c>
      <c r="AG100" s="10">
        <v>100</v>
      </c>
      <c r="AH100" s="10">
        <v>97</v>
      </c>
      <c r="AJ100" s="10" t="s">
        <v>1084</v>
      </c>
      <c r="AK100" s="10"/>
      <c r="AL100" s="10"/>
      <c r="AM100" s="10" t="s">
        <v>52</v>
      </c>
    </row>
    <row r="101" spans="1:39" s="12" customFormat="1" x14ac:dyDescent="0.45">
      <c r="A101" s="10" t="s">
        <v>1085</v>
      </c>
      <c r="B101" s="10"/>
      <c r="C101" s="10" t="s">
        <v>1087</v>
      </c>
      <c r="D101" s="10" t="s">
        <v>1089</v>
      </c>
      <c r="E101" s="23" t="s">
        <v>27973</v>
      </c>
      <c r="F101" s="28">
        <v>46203</v>
      </c>
      <c r="G101" s="37" t="s">
        <v>27998</v>
      </c>
      <c r="H101" s="10" t="s">
        <v>50</v>
      </c>
      <c r="I101" s="10" t="s">
        <v>1093</v>
      </c>
      <c r="J101" s="10" t="s">
        <v>1086</v>
      </c>
      <c r="K101" s="10" t="s">
        <v>1088</v>
      </c>
      <c r="L101" s="10" t="s">
        <v>1090</v>
      </c>
      <c r="M101" s="10" t="s">
        <v>1090</v>
      </c>
      <c r="N101" s="10" t="s">
        <v>536</v>
      </c>
      <c r="O101" s="10" t="s">
        <v>537</v>
      </c>
      <c r="P101" s="10" t="s">
        <v>1091</v>
      </c>
      <c r="Q101" s="10"/>
      <c r="R101" s="10"/>
      <c r="S101" s="10"/>
      <c r="T101" s="10"/>
      <c r="U101" s="10"/>
      <c r="V101" s="10"/>
      <c r="W101" s="10"/>
      <c r="X101" s="10" t="s">
        <v>1092</v>
      </c>
      <c r="Y101" s="10" t="s">
        <v>44</v>
      </c>
      <c r="Z101" s="10"/>
      <c r="AA101" s="10" t="s">
        <v>821</v>
      </c>
      <c r="AB101" s="10" t="s">
        <v>199</v>
      </c>
      <c r="AC101" s="10" t="s">
        <v>821</v>
      </c>
      <c r="AE101" s="10" t="s">
        <v>48</v>
      </c>
      <c r="AF101" s="10" t="s">
        <v>49</v>
      </c>
      <c r="AG101" s="10">
        <v>100</v>
      </c>
      <c r="AH101" s="10">
        <v>97</v>
      </c>
      <c r="AJ101" s="10" t="s">
        <v>1094</v>
      </c>
      <c r="AK101" s="10"/>
      <c r="AL101" s="10"/>
      <c r="AM101" s="10" t="s">
        <v>52</v>
      </c>
    </row>
    <row r="102" spans="1:39" s="12" customFormat="1" x14ac:dyDescent="0.45">
      <c r="A102" s="10" t="s">
        <v>1095</v>
      </c>
      <c r="B102" s="10"/>
      <c r="C102" s="9" t="s">
        <v>27977</v>
      </c>
      <c r="D102" s="10" t="s">
        <v>1098</v>
      </c>
      <c r="E102" s="23" t="s">
        <v>27973</v>
      </c>
      <c r="F102" s="28">
        <v>46203</v>
      </c>
      <c r="G102" s="37" t="s">
        <v>27998</v>
      </c>
      <c r="H102" s="10" t="s">
        <v>50</v>
      </c>
      <c r="I102" s="10" t="s">
        <v>1104</v>
      </c>
      <c r="J102" s="10" t="s">
        <v>1096</v>
      </c>
      <c r="K102" s="10" t="s">
        <v>1097</v>
      </c>
      <c r="L102" s="10" t="s">
        <v>1099</v>
      </c>
      <c r="M102" s="10" t="s">
        <v>1099</v>
      </c>
      <c r="N102" s="10" t="s">
        <v>59</v>
      </c>
      <c r="O102" s="10" t="s">
        <v>60</v>
      </c>
      <c r="P102" s="10" t="s">
        <v>1100</v>
      </c>
      <c r="Q102" s="10" t="s">
        <v>1101</v>
      </c>
      <c r="R102" s="10"/>
      <c r="S102" s="10"/>
      <c r="T102" s="10"/>
      <c r="U102" s="10" t="s">
        <v>59</v>
      </c>
      <c r="V102" s="10" t="s">
        <v>60</v>
      </c>
      <c r="W102" s="10" t="s">
        <v>1102</v>
      </c>
      <c r="X102" s="10" t="s">
        <v>1103</v>
      </c>
      <c r="Y102" s="10" t="s">
        <v>44</v>
      </c>
      <c r="Z102" s="10"/>
      <c r="AA102" s="10" t="s">
        <v>821</v>
      </c>
      <c r="AB102" s="10" t="s">
        <v>46</v>
      </c>
      <c r="AC102" s="10" t="s">
        <v>821</v>
      </c>
      <c r="AE102" s="10" t="s">
        <v>48</v>
      </c>
      <c r="AF102" s="10" t="s">
        <v>49</v>
      </c>
      <c r="AG102" s="10">
        <v>85</v>
      </c>
      <c r="AH102" s="10">
        <v>97</v>
      </c>
      <c r="AJ102" s="10" t="s">
        <v>1105</v>
      </c>
      <c r="AK102" s="10"/>
      <c r="AL102" s="10"/>
      <c r="AM102" s="10" t="s">
        <v>52</v>
      </c>
    </row>
    <row r="103" spans="1:39" s="12" customFormat="1" x14ac:dyDescent="0.45">
      <c r="A103" s="10" t="s">
        <v>1106</v>
      </c>
      <c r="B103" s="10"/>
      <c r="C103" s="10" t="s">
        <v>1108</v>
      </c>
      <c r="D103" s="10" t="s">
        <v>1110</v>
      </c>
      <c r="E103" s="23" t="s">
        <v>27973</v>
      </c>
      <c r="F103" s="28">
        <v>46203</v>
      </c>
      <c r="G103" s="37" t="s">
        <v>27998</v>
      </c>
      <c r="H103" s="10" t="s">
        <v>50</v>
      </c>
      <c r="I103" s="10" t="s">
        <v>1117</v>
      </c>
      <c r="J103" s="10" t="s">
        <v>1107</v>
      </c>
      <c r="K103" s="10" t="s">
        <v>1109</v>
      </c>
      <c r="L103" s="10" t="s">
        <v>1111</v>
      </c>
      <c r="M103" s="10" t="s">
        <v>1111</v>
      </c>
      <c r="N103" s="10"/>
      <c r="O103" s="10" t="s">
        <v>1112</v>
      </c>
      <c r="P103" s="10" t="s">
        <v>1113</v>
      </c>
      <c r="Q103" s="10" t="s">
        <v>1114</v>
      </c>
      <c r="R103" s="10"/>
      <c r="S103" s="10"/>
      <c r="T103" s="10"/>
      <c r="U103" s="10" t="s">
        <v>1115</v>
      </c>
      <c r="V103" s="10" t="s">
        <v>1112</v>
      </c>
      <c r="W103" s="10" t="s">
        <v>1113</v>
      </c>
      <c r="X103" s="10" t="s">
        <v>1116</v>
      </c>
      <c r="Y103" s="10" t="s">
        <v>44</v>
      </c>
      <c r="Z103" s="10"/>
      <c r="AA103" s="10" t="s">
        <v>45</v>
      </c>
      <c r="AB103" s="10" t="s">
        <v>199</v>
      </c>
      <c r="AC103" s="10" t="s">
        <v>45</v>
      </c>
      <c r="AE103" s="10" t="s">
        <v>48</v>
      </c>
      <c r="AF103" s="10" t="s">
        <v>49</v>
      </c>
      <c r="AG103" s="10">
        <v>100</v>
      </c>
      <c r="AH103" s="10">
        <v>95</v>
      </c>
      <c r="AJ103" s="10" t="s">
        <v>1118</v>
      </c>
      <c r="AK103" s="10"/>
      <c r="AL103" s="10"/>
      <c r="AM103" s="10" t="s">
        <v>52</v>
      </c>
    </row>
    <row r="104" spans="1:39" s="12" customFormat="1" x14ac:dyDescent="0.45">
      <c r="A104" s="10" t="s">
        <v>1119</v>
      </c>
      <c r="B104" s="10"/>
      <c r="C104" s="10" t="s">
        <v>1121</v>
      </c>
      <c r="D104" s="10" t="s">
        <v>1123</v>
      </c>
      <c r="E104" s="23" t="s">
        <v>27973</v>
      </c>
      <c r="F104" s="28">
        <v>46203</v>
      </c>
      <c r="G104" s="37" t="s">
        <v>27998</v>
      </c>
      <c r="H104" s="10" t="s">
        <v>50</v>
      </c>
      <c r="I104" s="10" t="s">
        <v>1128</v>
      </c>
      <c r="J104" s="10" t="s">
        <v>1120</v>
      </c>
      <c r="K104" s="10" t="s">
        <v>1122</v>
      </c>
      <c r="L104" s="10" t="s">
        <v>1124</v>
      </c>
      <c r="M104" s="10" t="s">
        <v>1124</v>
      </c>
      <c r="N104" s="10" t="s">
        <v>1125</v>
      </c>
      <c r="O104" s="10" t="s">
        <v>60</v>
      </c>
      <c r="P104" s="10" t="s">
        <v>1126</v>
      </c>
      <c r="Q104" s="10" t="s">
        <v>1122</v>
      </c>
      <c r="R104" s="10"/>
      <c r="S104" s="10"/>
      <c r="T104" s="10"/>
      <c r="U104" s="10" t="s">
        <v>1125</v>
      </c>
      <c r="V104" s="10" t="s">
        <v>60</v>
      </c>
      <c r="W104" s="10" t="s">
        <v>1126</v>
      </c>
      <c r="X104" s="10" t="s">
        <v>1127</v>
      </c>
      <c r="Y104" s="10" t="s">
        <v>44</v>
      </c>
      <c r="Z104" s="10"/>
      <c r="AA104" s="10" t="s">
        <v>45</v>
      </c>
      <c r="AB104" s="10" t="s">
        <v>46</v>
      </c>
      <c r="AC104" s="10" t="s">
        <v>45</v>
      </c>
      <c r="AE104" s="10" t="s">
        <v>48</v>
      </c>
      <c r="AF104" s="10" t="s">
        <v>49</v>
      </c>
      <c r="AG104" s="10">
        <v>100</v>
      </c>
      <c r="AH104" s="10">
        <v>95</v>
      </c>
      <c r="AJ104" s="10" t="s">
        <v>1129</v>
      </c>
      <c r="AK104" s="10"/>
      <c r="AL104" s="10"/>
      <c r="AM104" s="10" t="s">
        <v>52</v>
      </c>
    </row>
    <row r="105" spans="1:39" s="12" customFormat="1" x14ac:dyDescent="0.45">
      <c r="A105" s="10" t="s">
        <v>1130</v>
      </c>
      <c r="B105" s="10"/>
      <c r="C105" s="10" t="s">
        <v>1132</v>
      </c>
      <c r="D105" s="10" t="s">
        <v>1134</v>
      </c>
      <c r="E105" s="23" t="s">
        <v>27973</v>
      </c>
      <c r="F105" s="28">
        <v>46203</v>
      </c>
      <c r="G105" s="37" t="s">
        <v>27998</v>
      </c>
      <c r="H105" s="10" t="s">
        <v>50</v>
      </c>
      <c r="I105" s="10" t="s">
        <v>1140</v>
      </c>
      <c r="J105" s="10" t="s">
        <v>1131</v>
      </c>
      <c r="K105" s="10" t="s">
        <v>1133</v>
      </c>
      <c r="L105" s="10" t="s">
        <v>1135</v>
      </c>
      <c r="M105" s="10"/>
      <c r="N105" s="10" t="s">
        <v>1136</v>
      </c>
      <c r="O105" s="10" t="s">
        <v>1137</v>
      </c>
      <c r="P105" s="10" t="s">
        <v>1138</v>
      </c>
      <c r="Q105" s="10" t="s">
        <v>1139</v>
      </c>
      <c r="R105" s="10"/>
      <c r="S105" s="10"/>
      <c r="T105" s="10"/>
      <c r="U105" s="10" t="s">
        <v>1136</v>
      </c>
      <c r="V105" s="10" t="s">
        <v>1137</v>
      </c>
      <c r="W105" s="10" t="s">
        <v>1138</v>
      </c>
      <c r="X105" s="10" t="s">
        <v>356</v>
      </c>
      <c r="Y105" s="10" t="s">
        <v>44</v>
      </c>
      <c r="Z105" s="10"/>
      <c r="AA105" s="10" t="s">
        <v>45</v>
      </c>
      <c r="AB105" s="10" t="s">
        <v>46</v>
      </c>
      <c r="AC105" s="10" t="s">
        <v>45</v>
      </c>
      <c r="AE105" s="10" t="s">
        <v>48</v>
      </c>
      <c r="AF105" s="10" t="s">
        <v>49</v>
      </c>
      <c r="AG105" s="10">
        <v>100</v>
      </c>
      <c r="AH105" s="10">
        <v>95</v>
      </c>
      <c r="AJ105" s="10" t="s">
        <v>1141</v>
      </c>
      <c r="AK105" s="10"/>
      <c r="AL105" s="10"/>
      <c r="AM105" s="10" t="s">
        <v>52</v>
      </c>
    </row>
    <row r="106" spans="1:39" s="12" customFormat="1" x14ac:dyDescent="0.45">
      <c r="A106" s="10" t="s">
        <v>1142</v>
      </c>
      <c r="B106" s="10"/>
      <c r="C106" s="10" t="s">
        <v>1144</v>
      </c>
      <c r="D106" s="10" t="s">
        <v>1146</v>
      </c>
      <c r="E106" s="23" t="s">
        <v>27973</v>
      </c>
      <c r="F106" s="28">
        <v>46203</v>
      </c>
      <c r="G106" s="37" t="s">
        <v>27998</v>
      </c>
      <c r="H106" s="10" t="s">
        <v>50</v>
      </c>
      <c r="I106" s="10" t="s">
        <v>1153</v>
      </c>
      <c r="J106" s="10" t="s">
        <v>1143</v>
      </c>
      <c r="K106" s="10" t="s">
        <v>1145</v>
      </c>
      <c r="L106" s="10" t="s">
        <v>1147</v>
      </c>
      <c r="M106" s="10" t="s">
        <v>1147</v>
      </c>
      <c r="N106" s="10" t="s">
        <v>1148</v>
      </c>
      <c r="O106" s="10" t="s">
        <v>278</v>
      </c>
      <c r="P106" s="10" t="s">
        <v>1149</v>
      </c>
      <c r="Q106" s="10" t="s">
        <v>1150</v>
      </c>
      <c r="R106" s="10"/>
      <c r="S106" s="10"/>
      <c r="T106" s="10"/>
      <c r="U106" s="10" t="s">
        <v>216</v>
      </c>
      <c r="V106" s="10" t="s">
        <v>217</v>
      </c>
      <c r="W106" s="10" t="s">
        <v>1151</v>
      </c>
      <c r="X106" s="10" t="s">
        <v>1152</v>
      </c>
      <c r="Y106" s="10" t="s">
        <v>44</v>
      </c>
      <c r="Z106" s="10"/>
      <c r="AA106" s="10" t="s">
        <v>45</v>
      </c>
      <c r="AB106" s="10" t="s">
        <v>199</v>
      </c>
      <c r="AC106" s="10" t="s">
        <v>45</v>
      </c>
      <c r="AE106" s="10" t="s">
        <v>48</v>
      </c>
      <c r="AF106" s="10" t="s">
        <v>49</v>
      </c>
      <c r="AG106" s="10">
        <v>100</v>
      </c>
      <c r="AH106" s="10">
        <v>95</v>
      </c>
      <c r="AJ106" s="10" t="s">
        <v>1154</v>
      </c>
      <c r="AK106" s="10"/>
      <c r="AL106" s="10"/>
      <c r="AM106" s="10" t="s">
        <v>52</v>
      </c>
    </row>
    <row r="107" spans="1:39" s="12" customFormat="1" x14ac:dyDescent="0.45">
      <c r="A107" s="10" t="s">
        <v>1155</v>
      </c>
      <c r="B107" s="10"/>
      <c r="C107" s="10" t="s">
        <v>1157</v>
      </c>
      <c r="D107" s="10" t="s">
        <v>1159</v>
      </c>
      <c r="E107" s="23" t="s">
        <v>27973</v>
      </c>
      <c r="F107" s="28">
        <v>46203</v>
      </c>
      <c r="G107" s="37" t="s">
        <v>27998</v>
      </c>
      <c r="H107" s="10" t="s">
        <v>50</v>
      </c>
      <c r="I107" s="10" t="s">
        <v>1166</v>
      </c>
      <c r="J107" s="10" t="s">
        <v>1156</v>
      </c>
      <c r="K107" s="10" t="s">
        <v>1158</v>
      </c>
      <c r="L107" s="10" t="s">
        <v>1160</v>
      </c>
      <c r="M107" s="10" t="s">
        <v>1160</v>
      </c>
      <c r="N107" s="10" t="s">
        <v>1161</v>
      </c>
      <c r="O107" s="10" t="s">
        <v>221</v>
      </c>
      <c r="P107" s="10" t="s">
        <v>1162</v>
      </c>
      <c r="Q107" s="10" t="s">
        <v>1163</v>
      </c>
      <c r="R107" s="10"/>
      <c r="S107" s="10"/>
      <c r="T107" s="10"/>
      <c r="U107" s="10" t="s">
        <v>72</v>
      </c>
      <c r="V107" s="10" t="s">
        <v>73</v>
      </c>
      <c r="W107" s="10" t="s">
        <v>1164</v>
      </c>
      <c r="X107" s="10" t="s">
        <v>1165</v>
      </c>
      <c r="Y107" s="10" t="s">
        <v>44</v>
      </c>
      <c r="Z107" s="10"/>
      <c r="AA107" s="10" t="s">
        <v>45</v>
      </c>
      <c r="AB107" s="10" t="s">
        <v>199</v>
      </c>
      <c r="AC107" s="10" t="s">
        <v>45</v>
      </c>
      <c r="AE107" s="10" t="s">
        <v>48</v>
      </c>
      <c r="AF107" s="10" t="s">
        <v>49</v>
      </c>
      <c r="AG107" s="10">
        <v>100</v>
      </c>
      <c r="AH107" s="10">
        <v>95</v>
      </c>
      <c r="AJ107" s="10" t="s">
        <v>1167</v>
      </c>
      <c r="AK107" s="10"/>
      <c r="AL107" s="10"/>
      <c r="AM107" s="10" t="s">
        <v>52</v>
      </c>
    </row>
    <row r="108" spans="1:39" s="12" customFormat="1" x14ac:dyDescent="0.45">
      <c r="A108" s="10" t="s">
        <v>1168</v>
      </c>
      <c r="B108" s="10"/>
      <c r="C108" s="10" t="s">
        <v>1170</v>
      </c>
      <c r="D108" s="10" t="s">
        <v>1172</v>
      </c>
      <c r="E108" s="23" t="s">
        <v>27973</v>
      </c>
      <c r="F108" s="28">
        <v>46203</v>
      </c>
      <c r="G108" s="37" t="s">
        <v>27998</v>
      </c>
      <c r="H108" s="10" t="s">
        <v>50</v>
      </c>
      <c r="I108" s="10" t="s">
        <v>1179</v>
      </c>
      <c r="J108" s="10" t="s">
        <v>1169</v>
      </c>
      <c r="K108" s="10" t="s">
        <v>1171</v>
      </c>
      <c r="L108" s="10" t="s">
        <v>1173</v>
      </c>
      <c r="M108" s="10"/>
      <c r="N108" s="10" t="s">
        <v>1148</v>
      </c>
      <c r="O108" s="10" t="s">
        <v>278</v>
      </c>
      <c r="P108" s="10" t="s">
        <v>1149</v>
      </c>
      <c r="Q108" s="10" t="s">
        <v>1174</v>
      </c>
      <c r="R108" s="10"/>
      <c r="S108" s="10"/>
      <c r="T108" s="10"/>
      <c r="U108" s="10" t="s">
        <v>1175</v>
      </c>
      <c r="V108" s="10" t="s">
        <v>1176</v>
      </c>
      <c r="W108" s="10" t="s">
        <v>1177</v>
      </c>
      <c r="X108" s="10" t="s">
        <v>1178</v>
      </c>
      <c r="Y108" s="10" t="s">
        <v>44</v>
      </c>
      <c r="Z108" s="10"/>
      <c r="AA108" s="10" t="s">
        <v>45</v>
      </c>
      <c r="AB108" s="10" t="s">
        <v>199</v>
      </c>
      <c r="AC108" s="10" t="s">
        <v>45</v>
      </c>
      <c r="AE108" s="10" t="s">
        <v>48</v>
      </c>
      <c r="AF108" s="10" t="s">
        <v>49</v>
      </c>
      <c r="AG108" s="10">
        <v>100</v>
      </c>
      <c r="AH108" s="10">
        <v>95</v>
      </c>
      <c r="AJ108" s="10" t="s">
        <v>1180</v>
      </c>
      <c r="AK108" s="10"/>
      <c r="AL108" s="10"/>
      <c r="AM108" s="10" t="s">
        <v>52</v>
      </c>
    </row>
    <row r="109" spans="1:39" s="12" customFormat="1" x14ac:dyDescent="0.45">
      <c r="A109" s="10" t="s">
        <v>1181</v>
      </c>
      <c r="B109" s="10"/>
      <c r="C109" s="10" t="s">
        <v>1183</v>
      </c>
      <c r="D109" s="10" t="s">
        <v>1185</v>
      </c>
      <c r="E109" s="23" t="s">
        <v>27973</v>
      </c>
      <c r="F109" s="28">
        <v>46203</v>
      </c>
      <c r="G109" s="37" t="s">
        <v>27998</v>
      </c>
      <c r="H109" s="10" t="s">
        <v>50</v>
      </c>
      <c r="I109" s="10" t="s">
        <v>1191</v>
      </c>
      <c r="J109" s="10" t="s">
        <v>1182</v>
      </c>
      <c r="K109" s="10" t="s">
        <v>1184</v>
      </c>
      <c r="L109" s="10" t="s">
        <v>1186</v>
      </c>
      <c r="M109" s="10" t="s">
        <v>1186</v>
      </c>
      <c r="N109" s="10" t="s">
        <v>1148</v>
      </c>
      <c r="O109" s="10" t="s">
        <v>278</v>
      </c>
      <c r="P109" s="10" t="s">
        <v>1149</v>
      </c>
      <c r="Q109" s="10" t="s">
        <v>1187</v>
      </c>
      <c r="R109" s="10"/>
      <c r="S109" s="10"/>
      <c r="T109" s="10"/>
      <c r="U109" s="10" t="s">
        <v>1188</v>
      </c>
      <c r="V109" s="10" t="s">
        <v>221</v>
      </c>
      <c r="W109" s="10" t="s">
        <v>1189</v>
      </c>
      <c r="X109" s="10" t="s">
        <v>1190</v>
      </c>
      <c r="Y109" s="10" t="s">
        <v>44</v>
      </c>
      <c r="Z109" s="10"/>
      <c r="AA109" s="10" t="s">
        <v>45</v>
      </c>
      <c r="AB109" s="10" t="s">
        <v>46</v>
      </c>
      <c r="AC109" s="10" t="s">
        <v>45</v>
      </c>
      <c r="AE109" s="10" t="s">
        <v>48</v>
      </c>
      <c r="AF109" s="10" t="s">
        <v>49</v>
      </c>
      <c r="AG109" s="10">
        <v>100</v>
      </c>
      <c r="AH109" s="10">
        <v>95</v>
      </c>
      <c r="AJ109" s="10" t="s">
        <v>1192</v>
      </c>
      <c r="AK109" s="10"/>
      <c r="AL109" s="10"/>
      <c r="AM109" s="10" t="s">
        <v>52</v>
      </c>
    </row>
    <row r="110" spans="1:39" s="12" customFormat="1" x14ac:dyDescent="0.45">
      <c r="A110" s="10" t="s">
        <v>1193</v>
      </c>
      <c r="B110" s="10"/>
      <c r="C110" s="10" t="s">
        <v>1195</v>
      </c>
      <c r="D110" s="10" t="s">
        <v>1197</v>
      </c>
      <c r="E110" s="23" t="s">
        <v>27973</v>
      </c>
      <c r="F110" s="28">
        <v>46203</v>
      </c>
      <c r="G110" s="37" t="s">
        <v>27998</v>
      </c>
      <c r="H110" s="10" t="s">
        <v>50</v>
      </c>
      <c r="I110" s="10" t="s">
        <v>1200</v>
      </c>
      <c r="J110" s="10" t="s">
        <v>1194</v>
      </c>
      <c r="K110" s="10" t="s">
        <v>1196</v>
      </c>
      <c r="L110" s="10" t="s">
        <v>1198</v>
      </c>
      <c r="M110" s="10"/>
      <c r="N110" s="10" t="s">
        <v>1148</v>
      </c>
      <c r="O110" s="10" t="s">
        <v>278</v>
      </c>
      <c r="P110" s="10" t="s">
        <v>1149</v>
      </c>
      <c r="Q110" s="10" t="s">
        <v>1196</v>
      </c>
      <c r="R110" s="10"/>
      <c r="S110" s="10"/>
      <c r="T110" s="10"/>
      <c r="U110" s="10" t="s">
        <v>1148</v>
      </c>
      <c r="V110" s="10" t="s">
        <v>278</v>
      </c>
      <c r="W110" s="10" t="s">
        <v>1149</v>
      </c>
      <c r="X110" s="10" t="s">
        <v>1199</v>
      </c>
      <c r="Y110" s="10" t="s">
        <v>44</v>
      </c>
      <c r="Z110" s="10"/>
      <c r="AA110" s="10" t="s">
        <v>45</v>
      </c>
      <c r="AB110" s="10" t="s">
        <v>46</v>
      </c>
      <c r="AC110" s="10" t="s">
        <v>45</v>
      </c>
      <c r="AE110" s="10" t="s">
        <v>48</v>
      </c>
      <c r="AF110" s="10" t="s">
        <v>49</v>
      </c>
      <c r="AG110" s="10">
        <v>100</v>
      </c>
      <c r="AH110" s="10">
        <v>95</v>
      </c>
      <c r="AJ110" s="10" t="s">
        <v>1201</v>
      </c>
      <c r="AK110" s="10"/>
      <c r="AL110" s="10"/>
      <c r="AM110" s="10" t="s">
        <v>52</v>
      </c>
    </row>
    <row r="111" spans="1:39" s="12" customFormat="1" x14ac:dyDescent="0.45">
      <c r="A111" s="10" t="s">
        <v>1202</v>
      </c>
      <c r="B111" s="10"/>
      <c r="C111" s="10" t="s">
        <v>1204</v>
      </c>
      <c r="D111" s="10" t="s">
        <v>1206</v>
      </c>
      <c r="E111" s="23" t="s">
        <v>27973</v>
      </c>
      <c r="F111" s="28">
        <v>46203</v>
      </c>
      <c r="G111" s="37" t="s">
        <v>27998</v>
      </c>
      <c r="H111" s="10" t="s">
        <v>50</v>
      </c>
      <c r="I111" s="10" t="s">
        <v>1212</v>
      </c>
      <c r="J111" s="10" t="s">
        <v>1203</v>
      </c>
      <c r="K111" s="10" t="s">
        <v>1205</v>
      </c>
      <c r="L111" s="10" t="s">
        <v>1207</v>
      </c>
      <c r="M111" s="10" t="s">
        <v>1207</v>
      </c>
      <c r="N111" s="10" t="s">
        <v>1208</v>
      </c>
      <c r="O111" s="10" t="s">
        <v>1209</v>
      </c>
      <c r="P111" s="10" t="s">
        <v>1210</v>
      </c>
      <c r="Q111" s="10" t="s">
        <v>1205</v>
      </c>
      <c r="R111" s="10"/>
      <c r="S111" s="10"/>
      <c r="T111" s="10"/>
      <c r="U111" s="10" t="s">
        <v>1208</v>
      </c>
      <c r="V111" s="10" t="s">
        <v>1209</v>
      </c>
      <c r="W111" s="10" t="s">
        <v>1210</v>
      </c>
      <c r="X111" s="10" t="s">
        <v>1211</v>
      </c>
      <c r="Y111" s="10" t="s">
        <v>44</v>
      </c>
      <c r="Z111" s="10"/>
      <c r="AA111" s="10" t="s">
        <v>821</v>
      </c>
      <c r="AB111" s="10" t="s">
        <v>199</v>
      </c>
      <c r="AC111" s="10" t="s">
        <v>821</v>
      </c>
      <c r="AE111" s="10" t="s">
        <v>48</v>
      </c>
      <c r="AF111" s="10" t="s">
        <v>49</v>
      </c>
      <c r="AG111" s="10">
        <v>100</v>
      </c>
      <c r="AH111" s="10">
        <v>92</v>
      </c>
      <c r="AJ111" s="10" t="s">
        <v>1213</v>
      </c>
      <c r="AK111" s="10"/>
      <c r="AL111" s="10"/>
      <c r="AM111" s="10" t="s">
        <v>52</v>
      </c>
    </row>
    <row r="112" spans="1:39" s="12" customFormat="1" x14ac:dyDescent="0.45">
      <c r="A112" s="9" t="s">
        <v>1214</v>
      </c>
      <c r="B112" s="9"/>
      <c r="C112" s="10" t="s">
        <v>1216</v>
      </c>
      <c r="D112" s="10" t="s">
        <v>1218</v>
      </c>
      <c r="E112" s="23" t="s">
        <v>27973</v>
      </c>
      <c r="F112" s="28">
        <v>46203</v>
      </c>
      <c r="G112" s="37" t="s">
        <v>27998</v>
      </c>
      <c r="H112" s="10" t="s">
        <v>50</v>
      </c>
      <c r="I112" s="10" t="s">
        <v>1227</v>
      </c>
      <c r="J112" s="10" t="s">
        <v>1215</v>
      </c>
      <c r="K112" s="10" t="s">
        <v>1217</v>
      </c>
      <c r="L112" s="10" t="s">
        <v>1219</v>
      </c>
      <c r="M112" s="10" t="s">
        <v>1219</v>
      </c>
      <c r="N112" s="10" t="s">
        <v>1220</v>
      </c>
      <c r="O112" s="10" t="s">
        <v>1221</v>
      </c>
      <c r="P112" s="10" t="s">
        <v>1222</v>
      </c>
      <c r="Q112" s="10" t="s">
        <v>1223</v>
      </c>
      <c r="R112" s="10"/>
      <c r="S112" s="10"/>
      <c r="T112" s="10"/>
      <c r="U112" s="10" t="s">
        <v>1224</v>
      </c>
      <c r="V112" s="10" t="s">
        <v>278</v>
      </c>
      <c r="W112" s="10" t="s">
        <v>1225</v>
      </c>
      <c r="X112" s="10" t="s">
        <v>1226</v>
      </c>
      <c r="Y112" s="10" t="s">
        <v>44</v>
      </c>
      <c r="Z112" s="10"/>
      <c r="AA112" s="10" t="s">
        <v>821</v>
      </c>
      <c r="AB112" s="10" t="s">
        <v>46</v>
      </c>
      <c r="AC112" s="10" t="s">
        <v>821</v>
      </c>
      <c r="AE112" s="10" t="s">
        <v>48</v>
      </c>
      <c r="AF112" s="10" t="s">
        <v>49</v>
      </c>
      <c r="AG112" s="10">
        <v>100</v>
      </c>
      <c r="AH112" s="10">
        <v>92</v>
      </c>
      <c r="AJ112" s="10" t="s">
        <v>1228</v>
      </c>
      <c r="AK112" s="10"/>
      <c r="AL112" s="10"/>
      <c r="AM112" s="10" t="s">
        <v>52</v>
      </c>
    </row>
    <row r="113" spans="1:39" s="12" customFormat="1" x14ac:dyDescent="0.45">
      <c r="A113" s="10" t="s">
        <v>1229</v>
      </c>
      <c r="B113" s="10"/>
      <c r="C113" s="10" t="s">
        <v>1231</v>
      </c>
      <c r="D113" s="10" t="s">
        <v>1233</v>
      </c>
      <c r="E113" s="23" t="s">
        <v>27973</v>
      </c>
      <c r="F113" s="28">
        <v>46203</v>
      </c>
      <c r="G113" s="37" t="s">
        <v>27998</v>
      </c>
      <c r="H113" s="10" t="s">
        <v>50</v>
      </c>
      <c r="I113" s="10" t="s">
        <v>1240</v>
      </c>
      <c r="J113" s="10" t="s">
        <v>1230</v>
      </c>
      <c r="K113" s="10" t="s">
        <v>1232</v>
      </c>
      <c r="L113" s="10" t="s">
        <v>1234</v>
      </c>
      <c r="M113" s="10" t="s">
        <v>1234</v>
      </c>
      <c r="N113" s="10" t="s">
        <v>1235</v>
      </c>
      <c r="O113" s="10" t="s">
        <v>40</v>
      </c>
      <c r="P113" s="10" t="s">
        <v>1236</v>
      </c>
      <c r="Q113" s="10" t="s">
        <v>1237</v>
      </c>
      <c r="R113" s="10"/>
      <c r="S113" s="10"/>
      <c r="T113" s="10"/>
      <c r="U113" s="10" t="s">
        <v>39</v>
      </c>
      <c r="V113" s="10" t="s">
        <v>40</v>
      </c>
      <c r="W113" s="10" t="s">
        <v>1238</v>
      </c>
      <c r="X113" s="10" t="s">
        <v>1239</v>
      </c>
      <c r="Y113" s="10" t="s">
        <v>44</v>
      </c>
      <c r="Z113" s="10"/>
      <c r="AA113" s="10" t="s">
        <v>821</v>
      </c>
      <c r="AB113" s="10" t="s">
        <v>46</v>
      </c>
      <c r="AC113" s="10" t="s">
        <v>821</v>
      </c>
      <c r="AE113" s="10" t="s">
        <v>48</v>
      </c>
      <c r="AF113" s="10" t="s">
        <v>49</v>
      </c>
      <c r="AG113" s="10">
        <v>100</v>
      </c>
      <c r="AH113" s="10">
        <v>92</v>
      </c>
      <c r="AJ113" s="10" t="s">
        <v>1241</v>
      </c>
      <c r="AK113" s="10"/>
      <c r="AL113" s="10"/>
      <c r="AM113" s="10" t="s">
        <v>52</v>
      </c>
    </row>
    <row r="114" spans="1:39" s="12" customFormat="1" x14ac:dyDescent="0.45">
      <c r="A114" s="10" t="s">
        <v>1242</v>
      </c>
      <c r="B114" s="10"/>
      <c r="C114" s="10" t="s">
        <v>1244</v>
      </c>
      <c r="D114" s="10" t="s">
        <v>1246</v>
      </c>
      <c r="E114" s="23" t="s">
        <v>27973</v>
      </c>
      <c r="F114" s="28">
        <v>46203</v>
      </c>
      <c r="G114" s="37" t="s">
        <v>27998</v>
      </c>
      <c r="H114" s="10" t="s">
        <v>50</v>
      </c>
      <c r="I114" s="10" t="s">
        <v>1252</v>
      </c>
      <c r="J114" s="10" t="s">
        <v>1243</v>
      </c>
      <c r="K114" s="10" t="s">
        <v>1245</v>
      </c>
      <c r="L114" s="10" t="s">
        <v>1247</v>
      </c>
      <c r="M114" s="10" t="s">
        <v>1247</v>
      </c>
      <c r="N114" s="10" t="s">
        <v>1248</v>
      </c>
      <c r="O114" s="10" t="s">
        <v>1137</v>
      </c>
      <c r="P114" s="10" t="s">
        <v>1249</v>
      </c>
      <c r="Q114" s="10" t="s">
        <v>1250</v>
      </c>
      <c r="R114" s="10"/>
      <c r="S114" s="10"/>
      <c r="T114" s="10"/>
      <c r="U114" s="10" t="s">
        <v>1248</v>
      </c>
      <c r="V114" s="10" t="s">
        <v>1137</v>
      </c>
      <c r="W114" s="10" t="s">
        <v>1249</v>
      </c>
      <c r="X114" s="10" t="s">
        <v>1251</v>
      </c>
      <c r="Y114" s="10" t="s">
        <v>44</v>
      </c>
      <c r="Z114" s="10"/>
      <c r="AA114" s="10" t="s">
        <v>821</v>
      </c>
      <c r="AB114" s="10" t="s">
        <v>199</v>
      </c>
      <c r="AC114" s="10" t="s">
        <v>821</v>
      </c>
      <c r="AE114" s="10" t="s">
        <v>48</v>
      </c>
      <c r="AF114" s="10" t="s">
        <v>49</v>
      </c>
      <c r="AG114" s="10">
        <v>100</v>
      </c>
      <c r="AH114" s="10">
        <v>92</v>
      </c>
      <c r="AJ114" s="10" t="s">
        <v>1253</v>
      </c>
      <c r="AK114" s="10"/>
      <c r="AL114" s="10"/>
      <c r="AM114" s="10" t="s">
        <v>52</v>
      </c>
    </row>
    <row r="115" spans="1:39" s="12" customFormat="1" x14ac:dyDescent="0.45">
      <c r="A115" s="10" t="s">
        <v>1254</v>
      </c>
      <c r="B115" s="10"/>
      <c r="C115" s="10" t="s">
        <v>1256</v>
      </c>
      <c r="D115" s="10" t="s">
        <v>1258</v>
      </c>
      <c r="E115" s="23" t="s">
        <v>27973</v>
      </c>
      <c r="F115" s="28">
        <v>46203</v>
      </c>
      <c r="G115" s="37" t="s">
        <v>27998</v>
      </c>
      <c r="H115" s="10" t="s">
        <v>50</v>
      </c>
      <c r="I115" s="10" t="s">
        <v>1261</v>
      </c>
      <c r="J115" s="10" t="s">
        <v>1255</v>
      </c>
      <c r="K115" s="10" t="s">
        <v>1257</v>
      </c>
      <c r="L115" s="10" t="s">
        <v>1259</v>
      </c>
      <c r="M115" s="10" t="s">
        <v>1259</v>
      </c>
      <c r="N115" s="10" t="s">
        <v>1208</v>
      </c>
      <c r="O115" s="10" t="s">
        <v>1209</v>
      </c>
      <c r="P115" s="10" t="s">
        <v>1210</v>
      </c>
      <c r="Q115" s="10" t="s">
        <v>1257</v>
      </c>
      <c r="R115" s="10"/>
      <c r="S115" s="10"/>
      <c r="T115" s="10"/>
      <c r="U115" s="10" t="s">
        <v>1208</v>
      </c>
      <c r="V115" s="10" t="s">
        <v>1209</v>
      </c>
      <c r="W115" s="10" t="s">
        <v>1210</v>
      </c>
      <c r="X115" s="10" t="s">
        <v>1260</v>
      </c>
      <c r="Y115" s="10" t="s">
        <v>44</v>
      </c>
      <c r="Z115" s="10"/>
      <c r="AA115" s="10" t="s">
        <v>821</v>
      </c>
      <c r="AB115" s="10" t="s">
        <v>199</v>
      </c>
      <c r="AC115" s="10" t="s">
        <v>821</v>
      </c>
      <c r="AE115" s="10" t="s">
        <v>48</v>
      </c>
      <c r="AF115" s="10" t="s">
        <v>49</v>
      </c>
      <c r="AG115" s="10">
        <v>100</v>
      </c>
      <c r="AH115" s="10">
        <v>92</v>
      </c>
      <c r="AJ115" s="10" t="s">
        <v>1262</v>
      </c>
      <c r="AK115" s="10"/>
      <c r="AL115" s="10"/>
      <c r="AM115" s="10" t="s">
        <v>52</v>
      </c>
    </row>
    <row r="116" spans="1:39" s="12" customFormat="1" x14ac:dyDescent="0.45">
      <c r="A116" s="10" t="s">
        <v>1263</v>
      </c>
      <c r="B116" s="10"/>
      <c r="C116" s="10" t="s">
        <v>1265</v>
      </c>
      <c r="D116" s="10" t="s">
        <v>1267</v>
      </c>
      <c r="E116" s="23" t="s">
        <v>27973</v>
      </c>
      <c r="F116" s="28">
        <v>46203</v>
      </c>
      <c r="G116" s="37" t="s">
        <v>27998</v>
      </c>
      <c r="H116" s="10" t="s">
        <v>50</v>
      </c>
      <c r="I116" s="10" t="s">
        <v>1272</v>
      </c>
      <c r="J116" s="10" t="s">
        <v>1264</v>
      </c>
      <c r="K116" s="10" t="s">
        <v>1266</v>
      </c>
      <c r="L116" s="10" t="s">
        <v>1268</v>
      </c>
      <c r="M116" s="10" t="s">
        <v>1268</v>
      </c>
      <c r="N116" s="10" t="s">
        <v>1269</v>
      </c>
      <c r="O116" s="10" t="s">
        <v>1176</v>
      </c>
      <c r="P116" s="10" t="s">
        <v>1270</v>
      </c>
      <c r="Q116" s="10" t="s">
        <v>1266</v>
      </c>
      <c r="R116" s="10"/>
      <c r="S116" s="10"/>
      <c r="T116" s="10"/>
      <c r="U116" s="10" t="s">
        <v>1269</v>
      </c>
      <c r="V116" s="10" t="s">
        <v>1176</v>
      </c>
      <c r="W116" s="10" t="s">
        <v>1270</v>
      </c>
      <c r="X116" s="10" t="s">
        <v>1271</v>
      </c>
      <c r="Y116" s="10" t="s">
        <v>44</v>
      </c>
      <c r="Z116" s="10"/>
      <c r="AA116" s="10" t="s">
        <v>821</v>
      </c>
      <c r="AB116" s="10" t="s">
        <v>46</v>
      </c>
      <c r="AC116" s="10" t="s">
        <v>821</v>
      </c>
      <c r="AE116" s="10" t="s">
        <v>48</v>
      </c>
      <c r="AF116" s="10" t="s">
        <v>49</v>
      </c>
      <c r="AG116" s="10">
        <v>100</v>
      </c>
      <c r="AH116" s="10">
        <v>92</v>
      </c>
      <c r="AJ116" s="10" t="s">
        <v>1273</v>
      </c>
      <c r="AK116" s="10"/>
      <c r="AL116" s="10"/>
      <c r="AM116" s="10" t="s">
        <v>52</v>
      </c>
    </row>
    <row r="117" spans="1:39" s="12" customFormat="1" x14ac:dyDescent="0.45">
      <c r="A117" s="10" t="s">
        <v>1274</v>
      </c>
      <c r="B117" s="10"/>
      <c r="C117" s="10" t="s">
        <v>1276</v>
      </c>
      <c r="D117" s="10" t="s">
        <v>1278</v>
      </c>
      <c r="E117" s="23" t="s">
        <v>27973</v>
      </c>
      <c r="F117" s="28">
        <v>46203</v>
      </c>
      <c r="G117" s="37" t="s">
        <v>27998</v>
      </c>
      <c r="H117" s="10" t="s">
        <v>50</v>
      </c>
      <c r="I117" s="10" t="s">
        <v>1286</v>
      </c>
      <c r="J117" s="10" t="s">
        <v>1275</v>
      </c>
      <c r="K117" s="10" t="s">
        <v>1277</v>
      </c>
      <c r="L117" s="10" t="s">
        <v>1279</v>
      </c>
      <c r="M117" s="10" t="s">
        <v>1279</v>
      </c>
      <c r="N117" s="10" t="s">
        <v>1280</v>
      </c>
      <c r="O117" s="10" t="s">
        <v>1281</v>
      </c>
      <c r="P117" s="10" t="s">
        <v>1282</v>
      </c>
      <c r="Q117" s="10" t="s">
        <v>1283</v>
      </c>
      <c r="R117" s="10"/>
      <c r="S117" s="10"/>
      <c r="T117" s="10"/>
      <c r="U117" s="10" t="s">
        <v>536</v>
      </c>
      <c r="V117" s="10" t="s">
        <v>537</v>
      </c>
      <c r="W117" s="10" t="s">
        <v>1284</v>
      </c>
      <c r="X117" s="10" t="s">
        <v>1285</v>
      </c>
      <c r="Y117" s="10" t="s">
        <v>44</v>
      </c>
      <c r="Z117" s="10"/>
      <c r="AA117" s="10" t="s">
        <v>821</v>
      </c>
      <c r="AB117" s="10" t="s">
        <v>46</v>
      </c>
      <c r="AC117" s="10" t="s">
        <v>821</v>
      </c>
      <c r="AE117" s="10" t="s">
        <v>48</v>
      </c>
      <c r="AF117" s="10" t="s">
        <v>49</v>
      </c>
      <c r="AG117" s="10">
        <v>100</v>
      </c>
      <c r="AH117" s="10">
        <v>92</v>
      </c>
      <c r="AJ117" s="10" t="s">
        <v>1287</v>
      </c>
      <c r="AK117" s="10"/>
      <c r="AL117" s="10"/>
      <c r="AM117" s="10" t="s">
        <v>52</v>
      </c>
    </row>
    <row r="118" spans="1:39" s="12" customFormat="1" x14ac:dyDescent="0.45">
      <c r="A118" s="10" t="s">
        <v>1288</v>
      </c>
      <c r="B118" s="10"/>
      <c r="C118" s="10" t="s">
        <v>1290</v>
      </c>
      <c r="D118" s="10" t="s">
        <v>1292</v>
      </c>
      <c r="E118" s="23" t="s">
        <v>27973</v>
      </c>
      <c r="F118" s="28">
        <v>46203</v>
      </c>
      <c r="G118" s="37" t="s">
        <v>27998</v>
      </c>
      <c r="H118" s="10" t="s">
        <v>50</v>
      </c>
      <c r="I118" s="10" t="s">
        <v>1297</v>
      </c>
      <c r="J118" s="10" t="s">
        <v>1289</v>
      </c>
      <c r="K118" s="10" t="s">
        <v>1291</v>
      </c>
      <c r="L118" s="10" t="s">
        <v>1293</v>
      </c>
      <c r="M118" s="10" t="s">
        <v>1294</v>
      </c>
      <c r="N118" s="10" t="s">
        <v>72</v>
      </c>
      <c r="O118" s="10" t="s">
        <v>73</v>
      </c>
      <c r="P118" s="10" t="s">
        <v>1295</v>
      </c>
      <c r="Q118" s="10" t="s">
        <v>1291</v>
      </c>
      <c r="R118" s="10"/>
      <c r="S118" s="10"/>
      <c r="T118" s="10"/>
      <c r="U118" s="10" t="s">
        <v>72</v>
      </c>
      <c r="V118" s="10" t="s">
        <v>73</v>
      </c>
      <c r="W118" s="10" t="s">
        <v>1295</v>
      </c>
      <c r="X118" s="10" t="s">
        <v>1296</v>
      </c>
      <c r="Y118" s="10" t="s">
        <v>44</v>
      </c>
      <c r="Z118" s="10"/>
      <c r="AA118" s="10" t="s">
        <v>45</v>
      </c>
      <c r="AB118" s="10" t="s">
        <v>46</v>
      </c>
      <c r="AC118" s="10" t="s">
        <v>45</v>
      </c>
      <c r="AE118" s="10" t="s">
        <v>48</v>
      </c>
      <c r="AF118" s="10" t="s">
        <v>49</v>
      </c>
      <c r="AG118" s="10">
        <v>100</v>
      </c>
      <c r="AH118" s="10">
        <v>90</v>
      </c>
      <c r="AJ118" s="10" t="s">
        <v>1298</v>
      </c>
      <c r="AK118" s="10"/>
      <c r="AL118" s="10"/>
      <c r="AM118" s="10" t="s">
        <v>52</v>
      </c>
    </row>
    <row r="119" spans="1:39" s="12" customFormat="1" x14ac:dyDescent="0.45">
      <c r="A119" s="10" t="s">
        <v>1299</v>
      </c>
      <c r="B119" s="10"/>
      <c r="C119" s="10" t="s">
        <v>1301</v>
      </c>
      <c r="D119" s="10" t="s">
        <v>1303</v>
      </c>
      <c r="E119" s="23" t="s">
        <v>27973</v>
      </c>
      <c r="F119" s="28">
        <v>46203</v>
      </c>
      <c r="G119" s="37" t="s">
        <v>27998</v>
      </c>
      <c r="H119" s="10" t="s">
        <v>50</v>
      </c>
      <c r="I119" s="10" t="s">
        <v>1308</v>
      </c>
      <c r="J119" s="10" t="s">
        <v>1300</v>
      </c>
      <c r="K119" s="10" t="s">
        <v>1302</v>
      </c>
      <c r="L119" s="10" t="s">
        <v>1304</v>
      </c>
      <c r="M119" s="10" t="s">
        <v>1305</v>
      </c>
      <c r="N119" s="10" t="s">
        <v>72</v>
      </c>
      <c r="O119" s="10" t="s">
        <v>73</v>
      </c>
      <c r="P119" s="10" t="s">
        <v>187</v>
      </c>
      <c r="Q119" s="10" t="s">
        <v>1306</v>
      </c>
      <c r="R119" s="10"/>
      <c r="S119" s="10"/>
      <c r="T119" s="10"/>
      <c r="U119" s="10" t="s">
        <v>72</v>
      </c>
      <c r="V119" s="10" t="s">
        <v>73</v>
      </c>
      <c r="W119" s="10" t="s">
        <v>187</v>
      </c>
      <c r="X119" s="10" t="s">
        <v>1307</v>
      </c>
      <c r="Y119" s="10" t="s">
        <v>44</v>
      </c>
      <c r="Z119" s="10"/>
      <c r="AA119" s="10" t="s">
        <v>45</v>
      </c>
      <c r="AB119" s="10" t="s">
        <v>46</v>
      </c>
      <c r="AC119" s="10" t="s">
        <v>45</v>
      </c>
      <c r="AE119" s="10" t="s">
        <v>48</v>
      </c>
      <c r="AF119" s="10" t="s">
        <v>49</v>
      </c>
      <c r="AG119" s="10">
        <v>100</v>
      </c>
      <c r="AH119" s="10">
        <v>90</v>
      </c>
      <c r="AJ119" s="10" t="s">
        <v>1309</v>
      </c>
      <c r="AK119" s="10"/>
      <c r="AL119" s="10"/>
      <c r="AM119" s="10" t="s">
        <v>52</v>
      </c>
    </row>
    <row r="120" spans="1:39" s="12" customFormat="1" x14ac:dyDescent="0.45">
      <c r="A120" s="10" t="s">
        <v>1310</v>
      </c>
      <c r="B120" s="10"/>
      <c r="C120" s="10" t="s">
        <v>1312</v>
      </c>
      <c r="D120" s="10" t="s">
        <v>1314</v>
      </c>
      <c r="E120" s="23" t="s">
        <v>27973</v>
      </c>
      <c r="F120" s="28">
        <v>46203</v>
      </c>
      <c r="G120" s="37" t="s">
        <v>27998</v>
      </c>
      <c r="H120" s="10" t="s">
        <v>50</v>
      </c>
      <c r="I120" s="10" t="s">
        <v>1320</v>
      </c>
      <c r="J120" s="10" t="s">
        <v>1311</v>
      </c>
      <c r="K120" s="10" t="s">
        <v>1313</v>
      </c>
      <c r="L120" s="10" t="s">
        <v>1315</v>
      </c>
      <c r="M120" s="10" t="s">
        <v>1315</v>
      </c>
      <c r="N120" s="10" t="s">
        <v>174</v>
      </c>
      <c r="O120" s="10" t="s">
        <v>175</v>
      </c>
      <c r="P120" s="10" t="s">
        <v>1316</v>
      </c>
      <c r="Q120" s="10" t="s">
        <v>1317</v>
      </c>
      <c r="R120" s="10"/>
      <c r="S120" s="10"/>
      <c r="T120" s="10"/>
      <c r="U120" s="10" t="s">
        <v>174</v>
      </c>
      <c r="V120" s="10" t="s">
        <v>175</v>
      </c>
      <c r="W120" s="10" t="s">
        <v>1318</v>
      </c>
      <c r="X120" s="10" t="s">
        <v>1319</v>
      </c>
      <c r="Y120" s="10" t="s">
        <v>44</v>
      </c>
      <c r="Z120" s="10"/>
      <c r="AA120" s="10" t="s">
        <v>45</v>
      </c>
      <c r="AB120" s="10" t="s">
        <v>46</v>
      </c>
      <c r="AC120" s="10" t="s">
        <v>45</v>
      </c>
      <c r="AE120" s="10" t="s">
        <v>48</v>
      </c>
      <c r="AF120" s="10" t="s">
        <v>49</v>
      </c>
      <c r="AG120" s="10">
        <v>100</v>
      </c>
      <c r="AH120" s="10">
        <v>90</v>
      </c>
      <c r="AJ120" s="10" t="s">
        <v>1321</v>
      </c>
      <c r="AK120" s="10"/>
      <c r="AL120" s="10"/>
      <c r="AM120" s="10" t="s">
        <v>52</v>
      </c>
    </row>
    <row r="121" spans="1:39" s="12" customFormat="1" x14ac:dyDescent="0.45">
      <c r="A121" s="10" t="s">
        <v>1322</v>
      </c>
      <c r="B121" s="10"/>
      <c r="C121" s="10" t="s">
        <v>1324</v>
      </c>
      <c r="D121" s="10" t="s">
        <v>1326</v>
      </c>
      <c r="E121" s="23" t="s">
        <v>27973</v>
      </c>
      <c r="F121" s="28">
        <v>46203</v>
      </c>
      <c r="G121" s="37" t="s">
        <v>27998</v>
      </c>
      <c r="H121" s="10" t="s">
        <v>50</v>
      </c>
      <c r="I121" s="10" t="s">
        <v>1329</v>
      </c>
      <c r="J121" s="10" t="s">
        <v>1323</v>
      </c>
      <c r="K121" s="10" t="s">
        <v>1325</v>
      </c>
      <c r="L121" s="10" t="s">
        <v>1327</v>
      </c>
      <c r="M121" s="10" t="s">
        <v>1327</v>
      </c>
      <c r="N121" s="10" t="s">
        <v>72</v>
      </c>
      <c r="O121" s="10" t="s">
        <v>73</v>
      </c>
      <c r="P121" s="10" t="s">
        <v>484</v>
      </c>
      <c r="Q121" s="10" t="s">
        <v>1325</v>
      </c>
      <c r="R121" s="10"/>
      <c r="S121" s="10"/>
      <c r="T121" s="10"/>
      <c r="U121" s="10" t="s">
        <v>72</v>
      </c>
      <c r="V121" s="10" t="s">
        <v>73</v>
      </c>
      <c r="W121" s="10" t="s">
        <v>484</v>
      </c>
      <c r="X121" s="10" t="s">
        <v>1328</v>
      </c>
      <c r="Y121" s="10" t="s">
        <v>44</v>
      </c>
      <c r="Z121" s="10"/>
      <c r="AA121" s="10" t="s">
        <v>45</v>
      </c>
      <c r="AB121" s="10" t="s">
        <v>46</v>
      </c>
      <c r="AC121" s="10" t="s">
        <v>45</v>
      </c>
      <c r="AE121" s="10" t="s">
        <v>48</v>
      </c>
      <c r="AF121" s="10" t="s">
        <v>49</v>
      </c>
      <c r="AG121" s="10">
        <v>100</v>
      </c>
      <c r="AH121" s="10">
        <v>90</v>
      </c>
      <c r="AJ121" s="10" t="s">
        <v>1330</v>
      </c>
      <c r="AK121" s="10"/>
      <c r="AL121" s="10"/>
      <c r="AM121" s="10" t="s">
        <v>52</v>
      </c>
    </row>
    <row r="122" spans="1:39" s="12" customFormat="1" x14ac:dyDescent="0.45">
      <c r="A122" s="10" t="s">
        <v>1331</v>
      </c>
      <c r="B122" s="10"/>
      <c r="C122" s="10" t="s">
        <v>1333</v>
      </c>
      <c r="D122" s="10" t="s">
        <v>1335</v>
      </c>
      <c r="E122" s="23" t="s">
        <v>27973</v>
      </c>
      <c r="F122" s="28">
        <v>46203</v>
      </c>
      <c r="G122" s="37" t="s">
        <v>27998</v>
      </c>
      <c r="H122" s="10" t="s">
        <v>50</v>
      </c>
      <c r="I122" s="10" t="s">
        <v>1338</v>
      </c>
      <c r="J122" s="10" t="s">
        <v>1332</v>
      </c>
      <c r="K122" s="10" t="s">
        <v>1334</v>
      </c>
      <c r="L122" s="10" t="s">
        <v>1336</v>
      </c>
      <c r="M122" s="10" t="s">
        <v>1336</v>
      </c>
      <c r="N122" s="10" t="s">
        <v>72</v>
      </c>
      <c r="O122" s="10" t="s">
        <v>73</v>
      </c>
      <c r="P122" s="10" t="s">
        <v>187</v>
      </c>
      <c r="Q122" s="10" t="s">
        <v>1334</v>
      </c>
      <c r="R122" s="10"/>
      <c r="S122" s="10"/>
      <c r="T122" s="10"/>
      <c r="U122" s="10" t="s">
        <v>72</v>
      </c>
      <c r="V122" s="10" t="s">
        <v>73</v>
      </c>
      <c r="W122" s="10" t="s">
        <v>187</v>
      </c>
      <c r="X122" s="10" t="s">
        <v>1337</v>
      </c>
      <c r="Y122" s="10" t="s">
        <v>44</v>
      </c>
      <c r="Z122" s="10"/>
      <c r="AA122" s="10" t="s">
        <v>45</v>
      </c>
      <c r="AB122" s="10" t="s">
        <v>46</v>
      </c>
      <c r="AC122" s="10" t="s">
        <v>45</v>
      </c>
      <c r="AE122" s="10" t="s">
        <v>48</v>
      </c>
      <c r="AF122" s="10" t="s">
        <v>49</v>
      </c>
      <c r="AG122" s="10">
        <v>100</v>
      </c>
      <c r="AH122" s="10">
        <v>90</v>
      </c>
      <c r="AJ122" s="10" t="s">
        <v>1339</v>
      </c>
      <c r="AK122" s="10"/>
      <c r="AL122" s="10"/>
      <c r="AM122" s="10" t="s">
        <v>52</v>
      </c>
    </row>
    <row r="123" spans="1:39" s="12" customFormat="1" x14ac:dyDescent="0.45">
      <c r="A123" s="10" t="s">
        <v>1340</v>
      </c>
      <c r="B123" s="10"/>
      <c r="C123" s="10" t="s">
        <v>1342</v>
      </c>
      <c r="D123" s="10" t="s">
        <v>1344</v>
      </c>
      <c r="E123" s="23" t="s">
        <v>27973</v>
      </c>
      <c r="F123" s="28">
        <v>46203</v>
      </c>
      <c r="G123" s="37" t="s">
        <v>27998</v>
      </c>
      <c r="H123" s="10" t="s">
        <v>50</v>
      </c>
      <c r="I123" s="10" t="s">
        <v>1348</v>
      </c>
      <c r="J123" s="10" t="s">
        <v>1341</v>
      </c>
      <c r="K123" s="10" t="s">
        <v>1343</v>
      </c>
      <c r="L123" s="10" t="s">
        <v>1345</v>
      </c>
      <c r="M123" s="10"/>
      <c r="N123" s="10" t="s">
        <v>59</v>
      </c>
      <c r="O123" s="10" t="s">
        <v>60</v>
      </c>
      <c r="P123" s="10" t="s">
        <v>1346</v>
      </c>
      <c r="Q123" s="10" t="s">
        <v>1343</v>
      </c>
      <c r="R123" s="10"/>
      <c r="S123" s="10"/>
      <c r="T123" s="10"/>
      <c r="U123" s="10" t="s">
        <v>59</v>
      </c>
      <c r="V123" s="10" t="s">
        <v>60</v>
      </c>
      <c r="W123" s="10" t="s">
        <v>1346</v>
      </c>
      <c r="X123" s="10" t="s">
        <v>1347</v>
      </c>
      <c r="Y123" s="10" t="s">
        <v>44</v>
      </c>
      <c r="Z123" s="10"/>
      <c r="AA123" s="10" t="s">
        <v>45</v>
      </c>
      <c r="AB123" s="10" t="s">
        <v>46</v>
      </c>
      <c r="AC123" s="10" t="s">
        <v>45</v>
      </c>
      <c r="AE123" s="10" t="s">
        <v>48</v>
      </c>
      <c r="AF123" s="10" t="s">
        <v>49</v>
      </c>
      <c r="AG123" s="10">
        <v>100</v>
      </c>
      <c r="AH123" s="10">
        <v>90</v>
      </c>
      <c r="AJ123" s="10" t="s">
        <v>1349</v>
      </c>
      <c r="AK123" s="10"/>
      <c r="AL123" s="10"/>
      <c r="AM123" s="10" t="s">
        <v>52</v>
      </c>
    </row>
    <row r="124" spans="1:39" s="12" customFormat="1" x14ac:dyDescent="0.45">
      <c r="A124" s="10" t="s">
        <v>1350</v>
      </c>
      <c r="B124" s="10"/>
      <c r="C124" s="10" t="s">
        <v>1352</v>
      </c>
      <c r="D124" s="10" t="s">
        <v>1354</v>
      </c>
      <c r="E124" s="23" t="s">
        <v>27973</v>
      </c>
      <c r="F124" s="28">
        <v>46203</v>
      </c>
      <c r="G124" s="37" t="s">
        <v>27998</v>
      </c>
      <c r="H124" s="10" t="s">
        <v>50</v>
      </c>
      <c r="I124" s="10" t="s">
        <v>1358</v>
      </c>
      <c r="J124" s="10" t="s">
        <v>1351</v>
      </c>
      <c r="K124" s="10" t="s">
        <v>1353</v>
      </c>
      <c r="L124" s="10" t="s">
        <v>1355</v>
      </c>
      <c r="M124" s="10" t="s">
        <v>1355</v>
      </c>
      <c r="N124" s="10" t="s">
        <v>85</v>
      </c>
      <c r="O124" s="10" t="s">
        <v>86</v>
      </c>
      <c r="P124" s="10" t="s">
        <v>1356</v>
      </c>
      <c r="Q124" s="10" t="s">
        <v>1353</v>
      </c>
      <c r="R124" s="10"/>
      <c r="S124" s="10"/>
      <c r="T124" s="10"/>
      <c r="U124" s="10" t="s">
        <v>85</v>
      </c>
      <c r="V124" s="10" t="s">
        <v>86</v>
      </c>
      <c r="W124" s="10" t="s">
        <v>1356</v>
      </c>
      <c r="X124" s="10" t="s">
        <v>1357</v>
      </c>
      <c r="Y124" s="10" t="s">
        <v>44</v>
      </c>
      <c r="Z124" s="10"/>
      <c r="AA124" s="10" t="s">
        <v>45</v>
      </c>
      <c r="AB124" s="10" t="s">
        <v>46</v>
      </c>
      <c r="AC124" s="10" t="s">
        <v>45</v>
      </c>
      <c r="AE124" s="10" t="s">
        <v>48</v>
      </c>
      <c r="AF124" s="10" t="s">
        <v>49</v>
      </c>
      <c r="AG124" s="10">
        <v>100</v>
      </c>
      <c r="AH124" s="10">
        <v>90</v>
      </c>
      <c r="AJ124" s="10" t="s">
        <v>1359</v>
      </c>
      <c r="AK124" s="10"/>
      <c r="AL124" s="10"/>
      <c r="AM124" s="10" t="s">
        <v>52</v>
      </c>
    </row>
    <row r="125" spans="1:39" s="12" customFormat="1" x14ac:dyDescent="0.45">
      <c r="A125" s="10" t="s">
        <v>1360</v>
      </c>
      <c r="B125" s="10"/>
      <c r="C125" s="10" t="s">
        <v>1362</v>
      </c>
      <c r="D125" s="10" t="s">
        <v>1364</v>
      </c>
      <c r="E125" s="23" t="s">
        <v>27973</v>
      </c>
      <c r="F125" s="28">
        <v>46203</v>
      </c>
      <c r="G125" s="37" t="s">
        <v>27998</v>
      </c>
      <c r="H125" s="10" t="s">
        <v>50</v>
      </c>
      <c r="I125" s="10" t="s">
        <v>1368</v>
      </c>
      <c r="J125" s="10" t="s">
        <v>1361</v>
      </c>
      <c r="K125" s="10" t="s">
        <v>1363</v>
      </c>
      <c r="L125" s="10" t="s">
        <v>1365</v>
      </c>
      <c r="M125" s="10" t="s">
        <v>1365</v>
      </c>
      <c r="N125" s="10" t="s">
        <v>72</v>
      </c>
      <c r="O125" s="10" t="s">
        <v>73</v>
      </c>
      <c r="P125" s="10" t="s">
        <v>464</v>
      </c>
      <c r="Q125" s="10" t="s">
        <v>1366</v>
      </c>
      <c r="R125" s="10"/>
      <c r="S125" s="10"/>
      <c r="T125" s="10"/>
      <c r="U125" s="10" t="s">
        <v>72</v>
      </c>
      <c r="V125" s="10" t="s">
        <v>73</v>
      </c>
      <c r="W125" s="10" t="s">
        <v>464</v>
      </c>
      <c r="X125" s="10" t="s">
        <v>1367</v>
      </c>
      <c r="Y125" s="10" t="s">
        <v>44</v>
      </c>
      <c r="Z125" s="10"/>
      <c r="AA125" s="10" t="s">
        <v>45</v>
      </c>
      <c r="AB125" s="10" t="s">
        <v>46</v>
      </c>
      <c r="AC125" s="10" t="s">
        <v>45</v>
      </c>
      <c r="AE125" s="10" t="s">
        <v>48</v>
      </c>
      <c r="AF125" s="10" t="s">
        <v>49</v>
      </c>
      <c r="AG125" s="10">
        <v>100</v>
      </c>
      <c r="AH125" s="10">
        <v>90</v>
      </c>
      <c r="AJ125" s="10" t="s">
        <v>1369</v>
      </c>
      <c r="AK125" s="10"/>
      <c r="AL125" s="10"/>
      <c r="AM125" s="10" t="s">
        <v>52</v>
      </c>
    </row>
    <row r="126" spans="1:39" s="12" customFormat="1" x14ac:dyDescent="0.45">
      <c r="A126" s="10" t="s">
        <v>1370</v>
      </c>
      <c r="B126" s="10"/>
      <c r="C126" s="10" t="s">
        <v>1372</v>
      </c>
      <c r="D126" s="10" t="s">
        <v>1374</v>
      </c>
      <c r="E126" s="23" t="s">
        <v>27973</v>
      </c>
      <c r="F126" s="28">
        <v>46203</v>
      </c>
      <c r="G126" s="37" t="s">
        <v>27998</v>
      </c>
      <c r="H126" s="10" t="s">
        <v>50</v>
      </c>
      <c r="I126" s="10" t="s">
        <v>1379</v>
      </c>
      <c r="J126" s="10" t="s">
        <v>1371</v>
      </c>
      <c r="K126" s="10" t="s">
        <v>1373</v>
      </c>
      <c r="L126" s="10" t="s">
        <v>1375</v>
      </c>
      <c r="M126" s="10" t="s">
        <v>1375</v>
      </c>
      <c r="N126" s="10" t="s">
        <v>85</v>
      </c>
      <c r="O126" s="10" t="s">
        <v>86</v>
      </c>
      <c r="P126" s="10" t="s">
        <v>1376</v>
      </c>
      <c r="Q126" s="10" t="s">
        <v>1377</v>
      </c>
      <c r="R126" s="10"/>
      <c r="S126" s="10"/>
      <c r="T126" s="10"/>
      <c r="U126" s="10" t="s">
        <v>651</v>
      </c>
      <c r="V126" s="10" t="s">
        <v>86</v>
      </c>
      <c r="W126" s="10" t="s">
        <v>1376</v>
      </c>
      <c r="X126" s="10" t="s">
        <v>1378</v>
      </c>
      <c r="Y126" s="10" t="s">
        <v>44</v>
      </c>
      <c r="Z126" s="10"/>
      <c r="AA126" s="10" t="s">
        <v>45</v>
      </c>
      <c r="AB126" s="10" t="s">
        <v>46</v>
      </c>
      <c r="AC126" s="10" t="s">
        <v>45</v>
      </c>
      <c r="AE126" s="10" t="s">
        <v>48</v>
      </c>
      <c r="AF126" s="10" t="s">
        <v>49</v>
      </c>
      <c r="AG126" s="10">
        <v>100</v>
      </c>
      <c r="AH126" s="10">
        <v>90</v>
      </c>
      <c r="AJ126" s="10" t="s">
        <v>1380</v>
      </c>
      <c r="AK126" s="10"/>
      <c r="AL126" s="10"/>
      <c r="AM126" s="10" t="s">
        <v>52</v>
      </c>
    </row>
    <row r="127" spans="1:39" x14ac:dyDescent="0.45">
      <c r="A127" s="2" t="s">
        <v>1381</v>
      </c>
      <c r="B127" s="2"/>
      <c r="C127" s="2" t="s">
        <v>1383</v>
      </c>
      <c r="D127" s="2" t="s">
        <v>1385</v>
      </c>
      <c r="E127" s="25"/>
      <c r="F127" s="21"/>
      <c r="G127" s="42" t="s">
        <v>28000</v>
      </c>
      <c r="H127" s="2" t="s">
        <v>50</v>
      </c>
      <c r="I127" s="2" t="s">
        <v>1390</v>
      </c>
      <c r="J127" s="2" t="s">
        <v>1382</v>
      </c>
      <c r="K127" s="2" t="s">
        <v>1384</v>
      </c>
      <c r="L127" s="2" t="s">
        <v>1386</v>
      </c>
      <c r="M127" s="2" t="s">
        <v>1387</v>
      </c>
      <c r="N127" s="2" t="s">
        <v>72</v>
      </c>
      <c r="O127" s="2" t="s">
        <v>73</v>
      </c>
      <c r="P127" s="2" t="s">
        <v>1164</v>
      </c>
      <c r="Q127" s="2" t="s">
        <v>1388</v>
      </c>
      <c r="R127" s="2"/>
      <c r="S127" s="2"/>
      <c r="T127" s="2"/>
      <c r="U127" s="2" t="s">
        <v>72</v>
      </c>
      <c r="V127" s="2" t="s">
        <v>73</v>
      </c>
      <c r="W127" s="2" t="s">
        <v>1164</v>
      </c>
      <c r="X127" s="2" t="s">
        <v>1389</v>
      </c>
      <c r="Y127" s="2" t="s">
        <v>44</v>
      </c>
      <c r="Z127" s="2"/>
      <c r="AA127" s="2" t="s">
        <v>45</v>
      </c>
      <c r="AB127" s="2" t="s">
        <v>46</v>
      </c>
      <c r="AC127" s="2" t="s">
        <v>45</v>
      </c>
      <c r="AE127" s="2" t="s">
        <v>48</v>
      </c>
      <c r="AF127" s="2" t="s">
        <v>49</v>
      </c>
      <c r="AG127" s="2">
        <v>100</v>
      </c>
      <c r="AH127" s="2">
        <v>90</v>
      </c>
      <c r="AJ127" s="2" t="s">
        <v>1391</v>
      </c>
      <c r="AK127" s="2"/>
      <c r="AL127" s="2"/>
      <c r="AM127" s="2" t="s">
        <v>52</v>
      </c>
    </row>
    <row r="128" spans="1:39" x14ac:dyDescent="0.45">
      <c r="A128" s="2" t="s">
        <v>1392</v>
      </c>
      <c r="B128" s="2"/>
      <c r="C128" s="2" t="s">
        <v>1394</v>
      </c>
      <c r="D128" s="2" t="s">
        <v>1396</v>
      </c>
      <c r="E128" s="25"/>
      <c r="F128" s="21"/>
      <c r="G128" s="42" t="s">
        <v>28000</v>
      </c>
      <c r="H128" s="2" t="s">
        <v>50</v>
      </c>
      <c r="I128" s="2" t="s">
        <v>1400</v>
      </c>
      <c r="J128" s="2" t="s">
        <v>1393</v>
      </c>
      <c r="K128" s="2" t="s">
        <v>1395</v>
      </c>
      <c r="L128" s="2" t="s">
        <v>1397</v>
      </c>
      <c r="M128" s="2" t="s">
        <v>1397</v>
      </c>
      <c r="N128" s="2" t="s">
        <v>72</v>
      </c>
      <c r="O128" s="2" t="s">
        <v>73</v>
      </c>
      <c r="P128" s="2" t="s">
        <v>140</v>
      </c>
      <c r="Q128" s="2" t="s">
        <v>1398</v>
      </c>
      <c r="R128" s="2"/>
      <c r="S128" s="2"/>
      <c r="T128" s="2"/>
      <c r="U128" s="2" t="s">
        <v>72</v>
      </c>
      <c r="V128" s="2" t="s">
        <v>73</v>
      </c>
      <c r="W128" s="2" t="s">
        <v>140</v>
      </c>
      <c r="X128" s="2" t="s">
        <v>1399</v>
      </c>
      <c r="Y128" s="2" t="s">
        <v>44</v>
      </c>
      <c r="Z128" s="2"/>
      <c r="AA128" s="2" t="s">
        <v>45</v>
      </c>
      <c r="AB128" s="2" t="s">
        <v>46</v>
      </c>
      <c r="AC128" s="2" t="s">
        <v>45</v>
      </c>
      <c r="AE128" s="2" t="s">
        <v>48</v>
      </c>
      <c r="AF128" s="2" t="s">
        <v>49</v>
      </c>
      <c r="AG128" s="2">
        <v>100</v>
      </c>
      <c r="AH128" s="2">
        <v>90</v>
      </c>
      <c r="AJ128" s="2" t="s">
        <v>1401</v>
      </c>
      <c r="AK128" s="2"/>
      <c r="AL128" s="2"/>
      <c r="AM128" s="2" t="s">
        <v>52</v>
      </c>
    </row>
    <row r="129" spans="1:39" x14ac:dyDescent="0.45">
      <c r="A129" s="2" t="s">
        <v>1402</v>
      </c>
      <c r="B129" s="2"/>
      <c r="C129" s="2" t="s">
        <v>1404</v>
      </c>
      <c r="D129" s="2" t="s">
        <v>1406</v>
      </c>
      <c r="E129" s="25"/>
      <c r="F129" s="21"/>
      <c r="G129" s="42" t="s">
        <v>28000</v>
      </c>
      <c r="H129" s="2" t="s">
        <v>50</v>
      </c>
      <c r="I129" s="2" t="s">
        <v>1410</v>
      </c>
      <c r="J129" s="2" t="s">
        <v>1403</v>
      </c>
      <c r="K129" s="2" t="s">
        <v>1405</v>
      </c>
      <c r="L129" s="2" t="s">
        <v>1407</v>
      </c>
      <c r="M129" s="2" t="s">
        <v>1407</v>
      </c>
      <c r="N129" s="2" t="s">
        <v>72</v>
      </c>
      <c r="O129" s="2" t="s">
        <v>73</v>
      </c>
      <c r="P129" s="2" t="s">
        <v>74</v>
      </c>
      <c r="Q129" s="2" t="s">
        <v>1408</v>
      </c>
      <c r="R129" s="2"/>
      <c r="S129" s="2"/>
      <c r="T129" s="2"/>
      <c r="U129" s="2" t="s">
        <v>72</v>
      </c>
      <c r="V129" s="2" t="s">
        <v>73</v>
      </c>
      <c r="W129" s="2" t="s">
        <v>74</v>
      </c>
      <c r="X129" s="2" t="s">
        <v>1409</v>
      </c>
      <c r="Y129" s="2" t="s">
        <v>44</v>
      </c>
      <c r="Z129" s="2"/>
      <c r="AA129" s="2" t="s">
        <v>45</v>
      </c>
      <c r="AB129" s="2" t="s">
        <v>46</v>
      </c>
      <c r="AC129" s="2" t="s">
        <v>45</v>
      </c>
      <c r="AE129" s="2" t="s">
        <v>48</v>
      </c>
      <c r="AF129" s="2" t="s">
        <v>49</v>
      </c>
      <c r="AG129" s="2">
        <v>100</v>
      </c>
      <c r="AH129" s="2">
        <v>90</v>
      </c>
      <c r="AJ129" s="2" t="s">
        <v>1411</v>
      </c>
      <c r="AK129" s="2"/>
      <c r="AL129" s="2"/>
      <c r="AM129" s="2" t="s">
        <v>52</v>
      </c>
    </row>
    <row r="130" spans="1:39" x14ac:dyDescent="0.45">
      <c r="A130" s="2" t="s">
        <v>1412</v>
      </c>
      <c r="B130" s="2"/>
      <c r="C130" s="2" t="s">
        <v>1414</v>
      </c>
      <c r="D130" s="2" t="s">
        <v>1416</v>
      </c>
      <c r="E130" s="25"/>
      <c r="F130" s="21"/>
      <c r="G130" s="42" t="s">
        <v>28000</v>
      </c>
      <c r="H130" s="2" t="s">
        <v>50</v>
      </c>
      <c r="I130" s="2" t="s">
        <v>1420</v>
      </c>
      <c r="J130" s="2" t="s">
        <v>1413</v>
      </c>
      <c r="K130" s="2" t="s">
        <v>1415</v>
      </c>
      <c r="L130" s="2" t="s">
        <v>1417</v>
      </c>
      <c r="M130" s="2" t="s">
        <v>1417</v>
      </c>
      <c r="N130" s="2" t="s">
        <v>39</v>
      </c>
      <c r="O130" s="2" t="s">
        <v>40</v>
      </c>
      <c r="P130" s="2" t="s">
        <v>1418</v>
      </c>
      <c r="Q130" s="2" t="s">
        <v>1415</v>
      </c>
      <c r="R130" s="2"/>
      <c r="S130" s="2"/>
      <c r="T130" s="2"/>
      <c r="U130" s="2" t="s">
        <v>39</v>
      </c>
      <c r="V130" s="2" t="s">
        <v>40</v>
      </c>
      <c r="W130" s="2" t="s">
        <v>1418</v>
      </c>
      <c r="X130" s="2" t="s">
        <v>1419</v>
      </c>
      <c r="Y130" s="2" t="s">
        <v>44</v>
      </c>
      <c r="Z130" s="2"/>
      <c r="AA130" s="2" t="s">
        <v>45</v>
      </c>
      <c r="AB130" s="2" t="s">
        <v>46</v>
      </c>
      <c r="AC130" s="2" t="s">
        <v>45</v>
      </c>
      <c r="AE130" s="2" t="s">
        <v>48</v>
      </c>
      <c r="AF130" s="2" t="s">
        <v>49</v>
      </c>
      <c r="AG130" s="2">
        <v>100</v>
      </c>
      <c r="AH130" s="2">
        <v>90</v>
      </c>
      <c r="AJ130" s="2" t="s">
        <v>1421</v>
      </c>
      <c r="AK130" s="2"/>
      <c r="AL130" s="2"/>
      <c r="AM130" s="2" t="s">
        <v>52</v>
      </c>
    </row>
    <row r="131" spans="1:39" x14ac:dyDescent="0.45">
      <c r="A131" s="2" t="s">
        <v>1422</v>
      </c>
      <c r="B131" s="2"/>
      <c r="C131" s="2" t="s">
        <v>1424</v>
      </c>
      <c r="D131" s="2" t="s">
        <v>1426</v>
      </c>
      <c r="E131" s="25"/>
      <c r="F131" s="21"/>
      <c r="G131" s="42" t="s">
        <v>28000</v>
      </c>
      <c r="H131" s="2" t="s">
        <v>50</v>
      </c>
      <c r="I131" s="2" t="s">
        <v>1432</v>
      </c>
      <c r="J131" s="2" t="s">
        <v>1423</v>
      </c>
      <c r="K131" s="2" t="s">
        <v>1425</v>
      </c>
      <c r="L131" s="2" t="s">
        <v>1427</v>
      </c>
      <c r="M131" s="2" t="s">
        <v>1427</v>
      </c>
      <c r="N131" s="2" t="s">
        <v>536</v>
      </c>
      <c r="O131" s="2" t="s">
        <v>1281</v>
      </c>
      <c r="P131" s="2" t="s">
        <v>1428</v>
      </c>
      <c r="Q131" s="2" t="s">
        <v>1429</v>
      </c>
      <c r="R131" s="2"/>
      <c r="S131" s="2"/>
      <c r="T131" s="2"/>
      <c r="U131" s="2" t="s">
        <v>72</v>
      </c>
      <c r="V131" s="2" t="s">
        <v>73</v>
      </c>
      <c r="W131" s="2" t="s">
        <v>1430</v>
      </c>
      <c r="X131" s="2" t="s">
        <v>1431</v>
      </c>
      <c r="Y131" s="2" t="s">
        <v>44</v>
      </c>
      <c r="Z131" s="2"/>
      <c r="AA131" s="2" t="s">
        <v>45</v>
      </c>
      <c r="AB131" s="2" t="s">
        <v>46</v>
      </c>
      <c r="AC131" s="2" t="s">
        <v>45</v>
      </c>
      <c r="AE131" s="2" t="s">
        <v>48</v>
      </c>
      <c r="AF131" s="2" t="s">
        <v>49</v>
      </c>
      <c r="AG131" s="2">
        <v>100</v>
      </c>
      <c r="AH131" s="2">
        <v>90</v>
      </c>
      <c r="AJ131" s="2" t="s">
        <v>1433</v>
      </c>
      <c r="AK131" s="2"/>
      <c r="AL131" s="2"/>
      <c r="AM131" s="2" t="s">
        <v>52</v>
      </c>
    </row>
    <row r="132" spans="1:39" x14ac:dyDescent="0.45">
      <c r="A132" s="2" t="s">
        <v>1434</v>
      </c>
      <c r="B132" s="2"/>
      <c r="C132" s="2" t="s">
        <v>1436</v>
      </c>
      <c r="D132" s="2" t="s">
        <v>1438</v>
      </c>
      <c r="E132" s="25"/>
      <c r="F132" s="21"/>
      <c r="G132" s="42" t="s">
        <v>28000</v>
      </c>
      <c r="H132" s="2" t="s">
        <v>50</v>
      </c>
      <c r="I132" s="2" t="s">
        <v>1442</v>
      </c>
      <c r="J132" s="2" t="s">
        <v>1435</v>
      </c>
      <c r="K132" s="2" t="s">
        <v>1437</v>
      </c>
      <c r="L132" s="2" t="s">
        <v>1439</v>
      </c>
      <c r="M132" s="2" t="s">
        <v>1439</v>
      </c>
      <c r="N132" s="2" t="s">
        <v>72</v>
      </c>
      <c r="O132" s="2" t="s">
        <v>73</v>
      </c>
      <c r="P132" s="2" t="s">
        <v>484</v>
      </c>
      <c r="Q132" s="2" t="s">
        <v>1440</v>
      </c>
      <c r="R132" s="2"/>
      <c r="S132" s="2"/>
      <c r="T132" s="2"/>
      <c r="U132" s="2" t="s">
        <v>72</v>
      </c>
      <c r="V132" s="2" t="s">
        <v>73</v>
      </c>
      <c r="W132" s="2" t="s">
        <v>484</v>
      </c>
      <c r="X132" s="2" t="s">
        <v>1441</v>
      </c>
      <c r="Y132" s="2" t="s">
        <v>44</v>
      </c>
      <c r="Z132" s="2"/>
      <c r="AA132" s="2" t="s">
        <v>45</v>
      </c>
      <c r="AB132" s="2" t="s">
        <v>46</v>
      </c>
      <c r="AC132" s="2" t="s">
        <v>45</v>
      </c>
      <c r="AE132" s="2" t="s">
        <v>48</v>
      </c>
      <c r="AF132" s="2" t="s">
        <v>49</v>
      </c>
      <c r="AG132" s="2">
        <v>100</v>
      </c>
      <c r="AH132" s="2">
        <v>90</v>
      </c>
      <c r="AJ132" s="2" t="s">
        <v>1443</v>
      </c>
      <c r="AK132" s="2"/>
      <c r="AL132" s="2"/>
      <c r="AM132" s="2" t="s">
        <v>52</v>
      </c>
    </row>
    <row r="133" spans="1:39" x14ac:dyDescent="0.45">
      <c r="A133" s="2" t="s">
        <v>1444</v>
      </c>
      <c r="B133" s="2"/>
      <c r="C133" s="2" t="s">
        <v>1446</v>
      </c>
      <c r="D133" s="2" t="s">
        <v>1448</v>
      </c>
      <c r="E133" s="25"/>
      <c r="F133" s="21"/>
      <c r="G133" s="42" t="s">
        <v>28000</v>
      </c>
      <c r="H133" s="2" t="s">
        <v>50</v>
      </c>
      <c r="I133" s="2" t="s">
        <v>1452</v>
      </c>
      <c r="J133" s="2" t="s">
        <v>1445</v>
      </c>
      <c r="K133" s="2" t="s">
        <v>1447</v>
      </c>
      <c r="L133" s="2" t="s">
        <v>1449</v>
      </c>
      <c r="M133" s="2"/>
      <c r="N133" s="2" t="s">
        <v>72</v>
      </c>
      <c r="O133" s="2" t="s">
        <v>73</v>
      </c>
      <c r="P133" s="2" t="s">
        <v>1430</v>
      </c>
      <c r="Q133" s="2" t="s">
        <v>1450</v>
      </c>
      <c r="R133" s="2"/>
      <c r="S133" s="2"/>
      <c r="T133" s="2"/>
      <c r="U133" s="2" t="s">
        <v>72</v>
      </c>
      <c r="V133" s="2" t="s">
        <v>73</v>
      </c>
      <c r="W133" s="2" t="s">
        <v>74</v>
      </c>
      <c r="X133" s="2" t="s">
        <v>1451</v>
      </c>
      <c r="Y133" s="2" t="s">
        <v>44</v>
      </c>
      <c r="Z133" s="2"/>
      <c r="AA133" s="2" t="s">
        <v>45</v>
      </c>
      <c r="AB133" s="2" t="s">
        <v>46</v>
      </c>
      <c r="AC133" s="2" t="s">
        <v>45</v>
      </c>
      <c r="AE133" s="2" t="s">
        <v>48</v>
      </c>
      <c r="AF133" s="2" t="s">
        <v>49</v>
      </c>
      <c r="AG133" s="2">
        <v>100</v>
      </c>
      <c r="AH133" s="2">
        <v>90</v>
      </c>
      <c r="AJ133" s="2" t="s">
        <v>1453</v>
      </c>
      <c r="AK133" s="2"/>
      <c r="AL133" s="2"/>
      <c r="AM133" s="2" t="s">
        <v>52</v>
      </c>
    </row>
    <row r="134" spans="1:39" x14ac:dyDescent="0.45">
      <c r="A134" s="2" t="s">
        <v>1454</v>
      </c>
      <c r="B134" s="2"/>
      <c r="C134" s="2" t="s">
        <v>1456</v>
      </c>
      <c r="D134" s="2" t="s">
        <v>1458</v>
      </c>
      <c r="E134" s="25"/>
      <c r="F134" s="21"/>
      <c r="G134" s="42" t="s">
        <v>28000</v>
      </c>
      <c r="H134" s="2" t="s">
        <v>50</v>
      </c>
      <c r="I134" s="2" t="s">
        <v>1462</v>
      </c>
      <c r="J134" s="2" t="s">
        <v>1455</v>
      </c>
      <c r="K134" s="2" t="s">
        <v>1457</v>
      </c>
      <c r="L134" s="2" t="s">
        <v>1459</v>
      </c>
      <c r="M134" s="2" t="s">
        <v>1459</v>
      </c>
      <c r="N134" s="2" t="s">
        <v>290</v>
      </c>
      <c r="O134" s="2" t="s">
        <v>278</v>
      </c>
      <c r="P134" s="2" t="s">
        <v>1460</v>
      </c>
      <c r="Q134" s="2" t="s">
        <v>1457</v>
      </c>
      <c r="R134" s="2"/>
      <c r="S134" s="2"/>
      <c r="T134" s="2"/>
      <c r="U134" s="2" t="s">
        <v>290</v>
      </c>
      <c r="V134" s="2" t="s">
        <v>278</v>
      </c>
      <c r="W134" s="2" t="s">
        <v>1460</v>
      </c>
      <c r="X134" s="2" t="s">
        <v>1461</v>
      </c>
      <c r="Y134" s="2" t="s">
        <v>44</v>
      </c>
      <c r="Z134" s="2"/>
      <c r="AA134" s="2" t="s">
        <v>45</v>
      </c>
      <c r="AB134" s="2" t="s">
        <v>46</v>
      </c>
      <c r="AC134" s="2" t="s">
        <v>45</v>
      </c>
      <c r="AE134" s="2" t="s">
        <v>48</v>
      </c>
      <c r="AF134" s="2" t="s">
        <v>49</v>
      </c>
      <c r="AG134" s="2">
        <v>100</v>
      </c>
      <c r="AH134" s="2">
        <v>90</v>
      </c>
      <c r="AJ134" s="2" t="s">
        <v>1463</v>
      </c>
      <c r="AK134" s="2"/>
      <c r="AL134" s="2"/>
      <c r="AM134" s="2" t="s">
        <v>52</v>
      </c>
    </row>
    <row r="135" spans="1:39" x14ac:dyDescent="0.45">
      <c r="A135" s="2" t="s">
        <v>1464</v>
      </c>
      <c r="B135" s="2"/>
      <c r="C135" s="2" t="s">
        <v>1466</v>
      </c>
      <c r="D135" s="2" t="s">
        <v>1468</v>
      </c>
      <c r="E135" s="25"/>
      <c r="F135" s="21"/>
      <c r="G135" s="42" t="s">
        <v>28000</v>
      </c>
      <c r="H135" s="2" t="s">
        <v>50</v>
      </c>
      <c r="I135" s="2" t="s">
        <v>1471</v>
      </c>
      <c r="J135" s="2" t="s">
        <v>1465</v>
      </c>
      <c r="K135" s="2" t="s">
        <v>1467</v>
      </c>
      <c r="L135" s="2" t="s">
        <v>1469</v>
      </c>
      <c r="M135" s="2" t="s">
        <v>1469</v>
      </c>
      <c r="N135" s="2" t="s">
        <v>72</v>
      </c>
      <c r="O135" s="2" t="s">
        <v>73</v>
      </c>
      <c r="P135" s="2" t="s">
        <v>464</v>
      </c>
      <c r="Q135" s="2" t="s">
        <v>1470</v>
      </c>
      <c r="R135" s="2"/>
      <c r="S135" s="2"/>
      <c r="T135" s="2"/>
      <c r="U135" s="2" t="s">
        <v>72</v>
      </c>
      <c r="V135" s="2" t="s">
        <v>73</v>
      </c>
      <c r="W135" s="2" t="s">
        <v>464</v>
      </c>
      <c r="X135" s="2" t="s">
        <v>1389</v>
      </c>
      <c r="Y135" s="2" t="s">
        <v>44</v>
      </c>
      <c r="Z135" s="2"/>
      <c r="AA135" s="2" t="s">
        <v>45</v>
      </c>
      <c r="AB135" s="2" t="s">
        <v>46</v>
      </c>
      <c r="AC135" s="2" t="s">
        <v>45</v>
      </c>
      <c r="AE135" s="2" t="s">
        <v>48</v>
      </c>
      <c r="AF135" s="2" t="s">
        <v>49</v>
      </c>
      <c r="AG135" s="2">
        <v>100</v>
      </c>
      <c r="AH135" s="2">
        <v>90</v>
      </c>
      <c r="AJ135" s="2" t="s">
        <v>1472</v>
      </c>
      <c r="AK135" s="2"/>
      <c r="AL135" s="2"/>
      <c r="AM135" s="2" t="s">
        <v>52</v>
      </c>
    </row>
    <row r="136" spans="1:39" x14ac:dyDescent="0.45">
      <c r="A136" s="2" t="s">
        <v>1473</v>
      </c>
      <c r="B136" s="2"/>
      <c r="C136" s="2" t="s">
        <v>1475</v>
      </c>
      <c r="D136" s="2" t="s">
        <v>1477</v>
      </c>
      <c r="E136" s="25"/>
      <c r="F136" s="21"/>
      <c r="G136" s="42" t="s">
        <v>28000</v>
      </c>
      <c r="H136" s="2" t="s">
        <v>50</v>
      </c>
      <c r="I136" s="2" t="s">
        <v>1482</v>
      </c>
      <c r="J136" s="2" t="s">
        <v>1474</v>
      </c>
      <c r="K136" s="2" t="s">
        <v>1476</v>
      </c>
      <c r="L136" s="2" t="s">
        <v>1478</v>
      </c>
      <c r="M136" s="2" t="s">
        <v>1478</v>
      </c>
      <c r="N136" s="2" t="s">
        <v>72</v>
      </c>
      <c r="O136" s="2" t="s">
        <v>73</v>
      </c>
      <c r="P136" s="2" t="s">
        <v>1479</v>
      </c>
      <c r="Q136" s="2" t="s">
        <v>1480</v>
      </c>
      <c r="R136" s="2"/>
      <c r="S136" s="2"/>
      <c r="T136" s="2"/>
      <c r="U136" s="2" t="s">
        <v>72</v>
      </c>
      <c r="V136" s="2" t="s">
        <v>73</v>
      </c>
      <c r="W136" s="2" t="s">
        <v>791</v>
      </c>
      <c r="X136" s="2" t="s">
        <v>1481</v>
      </c>
      <c r="Y136" s="2" t="s">
        <v>44</v>
      </c>
      <c r="Z136" s="2"/>
      <c r="AA136" s="2" t="s">
        <v>45</v>
      </c>
      <c r="AB136" s="2" t="s">
        <v>46</v>
      </c>
      <c r="AC136" s="2" t="s">
        <v>45</v>
      </c>
      <c r="AE136" s="2" t="s">
        <v>48</v>
      </c>
      <c r="AF136" s="2" t="s">
        <v>49</v>
      </c>
      <c r="AG136" s="2">
        <v>100</v>
      </c>
      <c r="AH136" s="2">
        <v>90</v>
      </c>
      <c r="AJ136" s="2" t="s">
        <v>1483</v>
      </c>
      <c r="AK136" s="2"/>
      <c r="AL136" s="2"/>
      <c r="AM136" s="2" t="s">
        <v>52</v>
      </c>
    </row>
    <row r="137" spans="1:39" x14ac:dyDescent="0.45">
      <c r="A137" s="2" t="s">
        <v>1484</v>
      </c>
      <c r="B137" s="2"/>
      <c r="C137" s="2" t="s">
        <v>1486</v>
      </c>
      <c r="D137" s="2" t="s">
        <v>1488</v>
      </c>
      <c r="E137" s="25"/>
      <c r="F137" s="21"/>
      <c r="G137" s="42" t="s">
        <v>28000</v>
      </c>
      <c r="H137" s="2" t="s">
        <v>50</v>
      </c>
      <c r="I137" s="2" t="s">
        <v>1490</v>
      </c>
      <c r="J137" s="2" t="s">
        <v>1485</v>
      </c>
      <c r="K137" s="2" t="s">
        <v>1487</v>
      </c>
      <c r="L137" s="2" t="s">
        <v>1489</v>
      </c>
      <c r="M137" s="2" t="s">
        <v>1489</v>
      </c>
      <c r="N137" s="2" t="s">
        <v>72</v>
      </c>
      <c r="O137" s="2" t="s">
        <v>73</v>
      </c>
      <c r="P137" s="2" t="s">
        <v>98</v>
      </c>
      <c r="Q137" s="2" t="s">
        <v>1487</v>
      </c>
      <c r="R137" s="2"/>
      <c r="S137" s="2"/>
      <c r="T137" s="2"/>
      <c r="U137" s="2" t="s">
        <v>72</v>
      </c>
      <c r="V137" s="2" t="s">
        <v>73</v>
      </c>
      <c r="W137" s="2" t="s">
        <v>98</v>
      </c>
      <c r="X137" s="2" t="s">
        <v>1285</v>
      </c>
      <c r="Y137" s="2" t="s">
        <v>44</v>
      </c>
      <c r="Z137" s="2"/>
      <c r="AA137" s="2" t="s">
        <v>45</v>
      </c>
      <c r="AB137" s="2" t="s">
        <v>46</v>
      </c>
      <c r="AC137" s="2" t="s">
        <v>45</v>
      </c>
      <c r="AE137" s="2" t="s">
        <v>48</v>
      </c>
      <c r="AF137" s="2" t="s">
        <v>49</v>
      </c>
      <c r="AG137" s="2">
        <v>100</v>
      </c>
      <c r="AH137" s="2">
        <v>90</v>
      </c>
      <c r="AJ137" s="2" t="s">
        <v>1491</v>
      </c>
      <c r="AK137" s="2"/>
      <c r="AL137" s="2"/>
      <c r="AM137" s="2" t="s">
        <v>52</v>
      </c>
    </row>
    <row r="138" spans="1:39" x14ac:dyDescent="0.45">
      <c r="A138" s="2" t="s">
        <v>1492</v>
      </c>
      <c r="B138" s="2"/>
      <c r="C138" s="2" t="s">
        <v>1494</v>
      </c>
      <c r="D138" s="2" t="s">
        <v>1496</v>
      </c>
      <c r="E138" s="25"/>
      <c r="F138" s="21"/>
      <c r="G138" s="42" t="s">
        <v>28000</v>
      </c>
      <c r="H138" s="2" t="s">
        <v>50</v>
      </c>
      <c r="I138" s="2" t="s">
        <v>1499</v>
      </c>
      <c r="J138" s="2" t="s">
        <v>1493</v>
      </c>
      <c r="K138" s="2" t="s">
        <v>1495</v>
      </c>
      <c r="L138" s="2" t="s">
        <v>1497</v>
      </c>
      <c r="M138" s="2" t="s">
        <v>1497</v>
      </c>
      <c r="N138" s="2" t="s">
        <v>72</v>
      </c>
      <c r="O138" s="2" t="s">
        <v>73</v>
      </c>
      <c r="P138" s="2" t="s">
        <v>98</v>
      </c>
      <c r="Q138" s="2" t="s">
        <v>1495</v>
      </c>
      <c r="R138" s="2"/>
      <c r="S138" s="2"/>
      <c r="T138" s="2"/>
      <c r="U138" s="2" t="s">
        <v>72</v>
      </c>
      <c r="V138" s="2" t="s">
        <v>73</v>
      </c>
      <c r="W138" s="2" t="s">
        <v>98</v>
      </c>
      <c r="X138" s="2" t="s">
        <v>1498</v>
      </c>
      <c r="Y138" s="2" t="s">
        <v>44</v>
      </c>
      <c r="Z138" s="2"/>
      <c r="AA138" s="2" t="s">
        <v>45</v>
      </c>
      <c r="AB138" s="2" t="s">
        <v>46</v>
      </c>
      <c r="AC138" s="2" t="s">
        <v>45</v>
      </c>
      <c r="AE138" s="2" t="s">
        <v>48</v>
      </c>
      <c r="AF138" s="2" t="s">
        <v>49</v>
      </c>
      <c r="AG138" s="2">
        <v>100</v>
      </c>
      <c r="AH138" s="2">
        <v>90</v>
      </c>
      <c r="AJ138" s="2" t="s">
        <v>1500</v>
      </c>
      <c r="AK138" s="2"/>
      <c r="AL138" s="2"/>
      <c r="AM138" s="2" t="s">
        <v>52</v>
      </c>
    </row>
    <row r="139" spans="1:39" x14ac:dyDescent="0.45">
      <c r="A139" s="2" t="s">
        <v>1501</v>
      </c>
      <c r="B139" s="2"/>
      <c r="C139" s="2" t="s">
        <v>1503</v>
      </c>
      <c r="D139" s="2" t="s">
        <v>1505</v>
      </c>
      <c r="E139" s="25"/>
      <c r="F139" s="21"/>
      <c r="G139" s="42" t="s">
        <v>28000</v>
      </c>
      <c r="H139" s="2" t="s">
        <v>50</v>
      </c>
      <c r="I139" s="2" t="s">
        <v>1510</v>
      </c>
      <c r="J139" s="2" t="s">
        <v>1502</v>
      </c>
      <c r="K139" s="2" t="s">
        <v>1504</v>
      </c>
      <c r="L139" s="2" t="s">
        <v>1506</v>
      </c>
      <c r="M139" s="2" t="s">
        <v>1506</v>
      </c>
      <c r="N139" s="2" t="s">
        <v>651</v>
      </c>
      <c r="O139" s="2" t="s">
        <v>86</v>
      </c>
      <c r="P139" s="2" t="s">
        <v>1507</v>
      </c>
      <c r="Q139" s="2" t="s">
        <v>1508</v>
      </c>
      <c r="R139" s="2"/>
      <c r="S139" s="2"/>
      <c r="T139" s="2"/>
      <c r="U139" s="2" t="s">
        <v>1188</v>
      </c>
      <c r="V139" s="2" t="s">
        <v>221</v>
      </c>
      <c r="W139" s="2" t="s">
        <v>1189</v>
      </c>
      <c r="X139" s="2" t="s">
        <v>1509</v>
      </c>
      <c r="Y139" s="2" t="s">
        <v>44</v>
      </c>
      <c r="Z139" s="2"/>
      <c r="AA139" s="2" t="s">
        <v>45</v>
      </c>
      <c r="AB139" s="2" t="s">
        <v>46</v>
      </c>
      <c r="AC139" s="2" t="s">
        <v>45</v>
      </c>
      <c r="AE139" s="2" t="s">
        <v>48</v>
      </c>
      <c r="AF139" s="2" t="s">
        <v>49</v>
      </c>
      <c r="AG139" s="2">
        <v>100</v>
      </c>
      <c r="AH139" s="2">
        <v>90</v>
      </c>
      <c r="AJ139" s="2" t="s">
        <v>1511</v>
      </c>
      <c r="AK139" s="2"/>
      <c r="AL139" s="2"/>
      <c r="AM139" s="2" t="s">
        <v>52</v>
      </c>
    </row>
    <row r="140" spans="1:39" x14ac:dyDescent="0.45">
      <c r="A140" s="2" t="s">
        <v>1512</v>
      </c>
      <c r="B140" s="2"/>
      <c r="C140" s="2" t="s">
        <v>1514</v>
      </c>
      <c r="D140" s="2" t="s">
        <v>1516</v>
      </c>
      <c r="E140" s="25"/>
      <c r="F140" s="21"/>
      <c r="G140" s="42" t="s">
        <v>28000</v>
      </c>
      <c r="H140" s="2" t="s">
        <v>50</v>
      </c>
      <c r="I140" s="2" t="s">
        <v>1520</v>
      </c>
      <c r="J140" s="2" t="s">
        <v>1513</v>
      </c>
      <c r="K140" s="2" t="s">
        <v>1515</v>
      </c>
      <c r="L140" s="2" t="s">
        <v>1517</v>
      </c>
      <c r="M140" s="2" t="s">
        <v>1517</v>
      </c>
      <c r="N140" s="2" t="s">
        <v>72</v>
      </c>
      <c r="O140" s="2" t="s">
        <v>73</v>
      </c>
      <c r="P140" s="2" t="s">
        <v>98</v>
      </c>
      <c r="Q140" s="2" t="s">
        <v>1518</v>
      </c>
      <c r="R140" s="2"/>
      <c r="S140" s="2"/>
      <c r="T140" s="2"/>
      <c r="U140" s="2" t="s">
        <v>72</v>
      </c>
      <c r="V140" s="2" t="s">
        <v>73</v>
      </c>
      <c r="W140" s="2" t="s">
        <v>98</v>
      </c>
      <c r="X140" s="2" t="s">
        <v>1519</v>
      </c>
      <c r="Y140" s="2" t="s">
        <v>44</v>
      </c>
      <c r="Z140" s="2"/>
      <c r="AA140" s="2" t="s">
        <v>45</v>
      </c>
      <c r="AB140" s="2" t="s">
        <v>46</v>
      </c>
      <c r="AC140" s="2" t="s">
        <v>45</v>
      </c>
      <c r="AE140" s="2" t="s">
        <v>48</v>
      </c>
      <c r="AF140" s="2" t="s">
        <v>49</v>
      </c>
      <c r="AG140" s="2">
        <v>100</v>
      </c>
      <c r="AH140" s="2">
        <v>90</v>
      </c>
      <c r="AJ140" s="2" t="s">
        <v>1521</v>
      </c>
      <c r="AK140" s="2"/>
      <c r="AL140" s="2"/>
      <c r="AM140" s="2" t="s">
        <v>52</v>
      </c>
    </row>
    <row r="141" spans="1:39" x14ac:dyDescent="0.45">
      <c r="A141" s="2" t="s">
        <v>1522</v>
      </c>
      <c r="B141" s="2"/>
      <c r="C141" s="2" t="s">
        <v>1524</v>
      </c>
      <c r="D141" s="2" t="s">
        <v>1526</v>
      </c>
      <c r="E141" s="25"/>
      <c r="F141" s="21"/>
      <c r="G141" s="42" t="s">
        <v>28000</v>
      </c>
      <c r="H141" s="2" t="s">
        <v>50</v>
      </c>
      <c r="I141" s="2" t="s">
        <v>1530</v>
      </c>
      <c r="J141" s="2" t="s">
        <v>1523</v>
      </c>
      <c r="K141" s="2" t="s">
        <v>1525</v>
      </c>
      <c r="L141" s="2" t="s">
        <v>1527</v>
      </c>
      <c r="M141" s="2"/>
      <c r="N141" s="2" t="s">
        <v>72</v>
      </c>
      <c r="O141" s="2" t="s">
        <v>73</v>
      </c>
      <c r="P141" s="2" t="s">
        <v>474</v>
      </c>
      <c r="Q141" s="2" t="s">
        <v>1528</v>
      </c>
      <c r="R141" s="2"/>
      <c r="S141" s="2"/>
      <c r="T141" s="2"/>
      <c r="U141" s="2" t="s">
        <v>72</v>
      </c>
      <c r="V141" s="2" t="s">
        <v>73</v>
      </c>
      <c r="W141" s="2" t="s">
        <v>474</v>
      </c>
      <c r="X141" s="2" t="s">
        <v>1529</v>
      </c>
      <c r="Y141" s="2" t="s">
        <v>44</v>
      </c>
      <c r="Z141" s="2"/>
      <c r="AA141" s="2" t="s">
        <v>45</v>
      </c>
      <c r="AB141" s="2" t="s">
        <v>46</v>
      </c>
      <c r="AC141" s="2" t="s">
        <v>45</v>
      </c>
      <c r="AE141" s="2" t="s">
        <v>48</v>
      </c>
      <c r="AF141" s="2" t="s">
        <v>49</v>
      </c>
      <c r="AG141" s="2">
        <v>100</v>
      </c>
      <c r="AH141" s="2">
        <v>90</v>
      </c>
      <c r="AJ141" s="2" t="s">
        <v>1531</v>
      </c>
      <c r="AK141" s="2"/>
      <c r="AL141" s="2"/>
      <c r="AM141" s="2" t="s">
        <v>52</v>
      </c>
    </row>
    <row r="142" spans="1:39" x14ac:dyDescent="0.45">
      <c r="A142" s="2" t="s">
        <v>1532</v>
      </c>
      <c r="B142" s="2"/>
      <c r="C142" s="2" t="s">
        <v>1534</v>
      </c>
      <c r="D142" s="2" t="s">
        <v>1536</v>
      </c>
      <c r="E142" s="25"/>
      <c r="F142" s="21"/>
      <c r="G142" s="42" t="s">
        <v>28000</v>
      </c>
      <c r="H142" s="2" t="s">
        <v>50</v>
      </c>
      <c r="I142" s="2" t="s">
        <v>1538</v>
      </c>
      <c r="J142" s="2" t="s">
        <v>1533</v>
      </c>
      <c r="K142" s="2" t="s">
        <v>1535</v>
      </c>
      <c r="L142" s="2" t="s">
        <v>1537</v>
      </c>
      <c r="M142" s="2"/>
      <c r="N142" s="2" t="s">
        <v>72</v>
      </c>
      <c r="O142" s="2" t="s">
        <v>73</v>
      </c>
      <c r="P142" s="2" t="s">
        <v>74</v>
      </c>
      <c r="Q142" s="2" t="s">
        <v>1535</v>
      </c>
      <c r="R142" s="2"/>
      <c r="S142" s="2"/>
      <c r="T142" s="2"/>
      <c r="U142" s="2" t="s">
        <v>72</v>
      </c>
      <c r="V142" s="2" t="s">
        <v>73</v>
      </c>
      <c r="W142" s="2" t="s">
        <v>74</v>
      </c>
      <c r="X142" s="2" t="s">
        <v>178</v>
      </c>
      <c r="Y142" s="2" t="s">
        <v>44</v>
      </c>
      <c r="Z142" s="2"/>
      <c r="AA142" s="2" t="s">
        <v>45</v>
      </c>
      <c r="AB142" s="2" t="s">
        <v>46</v>
      </c>
      <c r="AC142" s="2" t="s">
        <v>45</v>
      </c>
      <c r="AE142" s="2" t="s">
        <v>48</v>
      </c>
      <c r="AF142" s="2" t="s">
        <v>49</v>
      </c>
      <c r="AG142" s="2">
        <v>100</v>
      </c>
      <c r="AH142" s="2">
        <v>90</v>
      </c>
      <c r="AJ142" s="2" t="s">
        <v>1539</v>
      </c>
      <c r="AK142" s="2"/>
      <c r="AL142" s="2"/>
      <c r="AM142" s="2" t="s">
        <v>52</v>
      </c>
    </row>
    <row r="143" spans="1:39" x14ac:dyDescent="0.45">
      <c r="A143" s="2" t="s">
        <v>1540</v>
      </c>
      <c r="B143" s="2"/>
      <c r="C143" s="2" t="s">
        <v>1542</v>
      </c>
      <c r="D143" s="2" t="s">
        <v>1544</v>
      </c>
      <c r="E143" s="25"/>
      <c r="F143" s="21"/>
      <c r="G143" s="42" t="s">
        <v>28000</v>
      </c>
      <c r="H143" s="2" t="s">
        <v>50</v>
      </c>
      <c r="I143" s="2" t="s">
        <v>1549</v>
      </c>
      <c r="J143" s="2" t="s">
        <v>1541</v>
      </c>
      <c r="K143" s="2" t="s">
        <v>1543</v>
      </c>
      <c r="L143" s="2" t="s">
        <v>1545</v>
      </c>
      <c r="M143" s="2"/>
      <c r="N143" s="2" t="s">
        <v>277</v>
      </c>
      <c r="O143" s="2" t="s">
        <v>278</v>
      </c>
      <c r="P143" s="2" t="s">
        <v>1546</v>
      </c>
      <c r="Q143" s="2" t="s">
        <v>1547</v>
      </c>
      <c r="R143" s="2"/>
      <c r="S143" s="2"/>
      <c r="T143" s="2"/>
      <c r="U143" s="2" t="s">
        <v>72</v>
      </c>
      <c r="V143" s="2" t="s">
        <v>73</v>
      </c>
      <c r="W143" s="2" t="s">
        <v>98</v>
      </c>
      <c r="X143" s="2" t="s">
        <v>1548</v>
      </c>
      <c r="Y143" s="2" t="s">
        <v>44</v>
      </c>
      <c r="Z143" s="2"/>
      <c r="AA143" s="2" t="s">
        <v>45</v>
      </c>
      <c r="AB143" s="2" t="s">
        <v>46</v>
      </c>
      <c r="AC143" s="2" t="s">
        <v>45</v>
      </c>
      <c r="AE143" s="2" t="s">
        <v>48</v>
      </c>
      <c r="AF143" s="2" t="s">
        <v>49</v>
      </c>
      <c r="AG143" s="2">
        <v>100</v>
      </c>
      <c r="AH143" s="2">
        <v>90</v>
      </c>
      <c r="AJ143" s="2" t="s">
        <v>1550</v>
      </c>
      <c r="AK143" s="2"/>
      <c r="AL143" s="2"/>
      <c r="AM143" s="2" t="s">
        <v>52</v>
      </c>
    </row>
    <row r="144" spans="1:39" x14ac:dyDescent="0.45">
      <c r="A144" s="2" t="s">
        <v>1551</v>
      </c>
      <c r="B144" s="2"/>
      <c r="C144" s="2" t="s">
        <v>1553</v>
      </c>
      <c r="D144" s="2" t="s">
        <v>1555</v>
      </c>
      <c r="E144" s="25"/>
      <c r="F144" s="21"/>
      <c r="G144" s="42" t="s">
        <v>28000</v>
      </c>
      <c r="H144" s="2" t="s">
        <v>50</v>
      </c>
      <c r="I144" s="2" t="s">
        <v>1560</v>
      </c>
      <c r="J144" s="2" t="s">
        <v>1552</v>
      </c>
      <c r="K144" s="2" t="s">
        <v>1554</v>
      </c>
      <c r="L144" s="2" t="s">
        <v>1556</v>
      </c>
      <c r="M144" s="2"/>
      <c r="N144" s="2" t="s">
        <v>72</v>
      </c>
      <c r="O144" s="2" t="s">
        <v>73</v>
      </c>
      <c r="P144" s="2" t="s">
        <v>1557</v>
      </c>
      <c r="Q144" s="2" t="s">
        <v>1558</v>
      </c>
      <c r="R144" s="2"/>
      <c r="S144" s="2"/>
      <c r="T144" s="2"/>
      <c r="U144" s="2" t="s">
        <v>72</v>
      </c>
      <c r="V144" s="2" t="s">
        <v>73</v>
      </c>
      <c r="W144" s="2" t="s">
        <v>1046</v>
      </c>
      <c r="X144" s="2" t="s">
        <v>1559</v>
      </c>
      <c r="Y144" s="2" t="s">
        <v>44</v>
      </c>
      <c r="Z144" s="2"/>
      <c r="AA144" s="2" t="s">
        <v>45</v>
      </c>
      <c r="AB144" s="2" t="s">
        <v>46</v>
      </c>
      <c r="AC144" s="2" t="s">
        <v>45</v>
      </c>
      <c r="AE144" s="2" t="s">
        <v>48</v>
      </c>
      <c r="AF144" s="2" t="s">
        <v>49</v>
      </c>
      <c r="AG144" s="2">
        <v>100</v>
      </c>
      <c r="AH144" s="2">
        <v>90</v>
      </c>
      <c r="AJ144" s="2" t="s">
        <v>1561</v>
      </c>
      <c r="AK144" s="2"/>
      <c r="AL144" s="2"/>
      <c r="AM144" s="2" t="s">
        <v>52</v>
      </c>
    </row>
    <row r="145" spans="1:39" x14ac:dyDescent="0.45">
      <c r="A145" s="2" t="s">
        <v>1562</v>
      </c>
      <c r="B145" s="2"/>
      <c r="C145" s="2" t="s">
        <v>1564</v>
      </c>
      <c r="D145" s="2" t="s">
        <v>1566</v>
      </c>
      <c r="E145" s="25"/>
      <c r="F145" s="21"/>
      <c r="G145" s="42" t="s">
        <v>28000</v>
      </c>
      <c r="H145" s="2" t="s">
        <v>50</v>
      </c>
      <c r="I145" s="2" t="s">
        <v>1571</v>
      </c>
      <c r="J145" s="2" t="s">
        <v>1563</v>
      </c>
      <c r="K145" s="2" t="s">
        <v>1565</v>
      </c>
      <c r="L145" s="2" t="s">
        <v>1567</v>
      </c>
      <c r="M145" s="2" t="s">
        <v>1567</v>
      </c>
      <c r="N145" s="2" t="s">
        <v>72</v>
      </c>
      <c r="O145" s="2" t="s">
        <v>73</v>
      </c>
      <c r="P145" s="2" t="s">
        <v>1568</v>
      </c>
      <c r="Q145" s="2" t="s">
        <v>1569</v>
      </c>
      <c r="R145" s="2"/>
      <c r="S145" s="2"/>
      <c r="T145" s="2"/>
      <c r="U145" s="2" t="s">
        <v>72</v>
      </c>
      <c r="V145" s="2" t="s">
        <v>73</v>
      </c>
      <c r="W145" s="2" t="s">
        <v>1568</v>
      </c>
      <c r="X145" s="2" t="s">
        <v>1570</v>
      </c>
      <c r="Y145" s="2" t="s">
        <v>44</v>
      </c>
      <c r="Z145" s="2"/>
      <c r="AA145" s="2" t="s">
        <v>45</v>
      </c>
      <c r="AB145" s="2" t="s">
        <v>46</v>
      </c>
      <c r="AC145" s="2" t="s">
        <v>45</v>
      </c>
      <c r="AE145" s="2" t="s">
        <v>48</v>
      </c>
      <c r="AF145" s="2" t="s">
        <v>49</v>
      </c>
      <c r="AG145" s="2">
        <v>100</v>
      </c>
      <c r="AH145" s="2">
        <v>90</v>
      </c>
      <c r="AJ145" s="2" t="s">
        <v>1572</v>
      </c>
      <c r="AK145" s="2"/>
      <c r="AL145" s="2"/>
      <c r="AM145" s="2" t="s">
        <v>52</v>
      </c>
    </row>
    <row r="146" spans="1:39" x14ac:dyDescent="0.45">
      <c r="A146" s="2" t="s">
        <v>1573</v>
      </c>
      <c r="B146" s="2"/>
      <c r="C146" s="2" t="s">
        <v>1575</v>
      </c>
      <c r="D146" s="2" t="s">
        <v>1577</v>
      </c>
      <c r="E146" s="25"/>
      <c r="F146" s="21"/>
      <c r="G146" s="42" t="s">
        <v>28000</v>
      </c>
      <c r="H146" s="2" t="s">
        <v>50</v>
      </c>
      <c r="I146" s="2" t="s">
        <v>1581</v>
      </c>
      <c r="J146" s="2" t="s">
        <v>1574</v>
      </c>
      <c r="K146" s="2" t="s">
        <v>1576</v>
      </c>
      <c r="L146" s="2" t="s">
        <v>1578</v>
      </c>
      <c r="M146" s="2" t="s">
        <v>1578</v>
      </c>
      <c r="N146" s="2" t="s">
        <v>72</v>
      </c>
      <c r="O146" s="2" t="s">
        <v>73</v>
      </c>
      <c r="P146" s="2" t="s">
        <v>119</v>
      </c>
      <c r="Q146" s="2" t="s">
        <v>1579</v>
      </c>
      <c r="R146" s="2"/>
      <c r="S146" s="2"/>
      <c r="T146" s="2"/>
      <c r="U146" s="2" t="s">
        <v>72</v>
      </c>
      <c r="V146" s="2" t="s">
        <v>73</v>
      </c>
      <c r="W146" s="2" t="s">
        <v>119</v>
      </c>
      <c r="X146" s="2" t="s">
        <v>1580</v>
      </c>
      <c r="Y146" s="2" t="s">
        <v>44</v>
      </c>
      <c r="Z146" s="2"/>
      <c r="AA146" s="2" t="s">
        <v>45</v>
      </c>
      <c r="AB146" s="2" t="s">
        <v>46</v>
      </c>
      <c r="AC146" s="2" t="s">
        <v>45</v>
      </c>
      <c r="AE146" s="2" t="s">
        <v>48</v>
      </c>
      <c r="AF146" s="2" t="s">
        <v>49</v>
      </c>
      <c r="AG146" s="2">
        <v>100</v>
      </c>
      <c r="AH146" s="2">
        <v>90</v>
      </c>
      <c r="AJ146" s="2" t="s">
        <v>1582</v>
      </c>
      <c r="AK146" s="2"/>
      <c r="AL146" s="2"/>
      <c r="AM146" s="2" t="s">
        <v>52</v>
      </c>
    </row>
    <row r="147" spans="1:39" x14ac:dyDescent="0.45">
      <c r="A147" s="2" t="s">
        <v>1583</v>
      </c>
      <c r="B147" s="2"/>
      <c r="C147" s="2" t="s">
        <v>1585</v>
      </c>
      <c r="D147" s="2" t="s">
        <v>1587</v>
      </c>
      <c r="E147" s="25"/>
      <c r="F147" s="21"/>
      <c r="G147" s="42" t="s">
        <v>28000</v>
      </c>
      <c r="H147" s="2" t="s">
        <v>50</v>
      </c>
      <c r="I147" s="2" t="s">
        <v>1591</v>
      </c>
      <c r="J147" s="2" t="s">
        <v>1584</v>
      </c>
      <c r="K147" s="2" t="s">
        <v>1586</v>
      </c>
      <c r="L147" s="2" t="s">
        <v>1588</v>
      </c>
      <c r="M147" s="2" t="s">
        <v>1588</v>
      </c>
      <c r="N147" s="2" t="s">
        <v>59</v>
      </c>
      <c r="O147" s="2" t="s">
        <v>60</v>
      </c>
      <c r="P147" s="2" t="s">
        <v>1589</v>
      </c>
      <c r="Q147" s="2" t="s">
        <v>1586</v>
      </c>
      <c r="R147" s="2"/>
      <c r="S147" s="2"/>
      <c r="T147" s="2"/>
      <c r="U147" s="2" t="s">
        <v>59</v>
      </c>
      <c r="V147" s="2" t="s">
        <v>60</v>
      </c>
      <c r="W147" s="2" t="s">
        <v>1589</v>
      </c>
      <c r="X147" s="2" t="s">
        <v>1590</v>
      </c>
      <c r="Y147" s="2" t="s">
        <v>44</v>
      </c>
      <c r="Z147" s="2"/>
      <c r="AA147" s="2" t="s">
        <v>45</v>
      </c>
      <c r="AB147" s="2" t="s">
        <v>46</v>
      </c>
      <c r="AC147" s="2" t="s">
        <v>45</v>
      </c>
      <c r="AE147" s="2" t="s">
        <v>48</v>
      </c>
      <c r="AF147" s="2" t="s">
        <v>49</v>
      </c>
      <c r="AG147" s="2">
        <v>100</v>
      </c>
      <c r="AH147" s="2">
        <v>90</v>
      </c>
      <c r="AJ147" s="2" t="s">
        <v>1592</v>
      </c>
      <c r="AK147" s="2"/>
      <c r="AL147" s="2"/>
      <c r="AM147" s="2" t="s">
        <v>52</v>
      </c>
    </row>
    <row r="148" spans="1:39" x14ac:dyDescent="0.45">
      <c r="A148" s="2" t="s">
        <v>1593</v>
      </c>
      <c r="B148" s="2"/>
      <c r="C148" s="2" t="s">
        <v>1595</v>
      </c>
      <c r="D148" s="2" t="s">
        <v>1597</v>
      </c>
      <c r="E148" s="25"/>
      <c r="F148" s="21"/>
      <c r="G148" s="42" t="s">
        <v>28000</v>
      </c>
      <c r="H148" s="2" t="s">
        <v>50</v>
      </c>
      <c r="I148" s="2" t="s">
        <v>1602</v>
      </c>
      <c r="J148" s="2" t="s">
        <v>1594</v>
      </c>
      <c r="K148" s="2" t="s">
        <v>1596</v>
      </c>
      <c r="L148" s="2" t="s">
        <v>1598</v>
      </c>
      <c r="M148" s="2" t="s">
        <v>1598</v>
      </c>
      <c r="N148" s="2" t="s">
        <v>72</v>
      </c>
      <c r="O148" s="2" t="s">
        <v>73</v>
      </c>
      <c r="P148" s="2" t="s">
        <v>1599</v>
      </c>
      <c r="Q148" s="2" t="s">
        <v>1600</v>
      </c>
      <c r="R148" s="2"/>
      <c r="S148" s="2"/>
      <c r="T148" s="2"/>
      <c r="U148" s="2" t="s">
        <v>72</v>
      </c>
      <c r="V148" s="2" t="s">
        <v>73</v>
      </c>
      <c r="W148" s="2" t="s">
        <v>187</v>
      </c>
      <c r="X148" s="2" t="s">
        <v>1601</v>
      </c>
      <c r="Y148" s="2" t="s">
        <v>44</v>
      </c>
      <c r="Z148" s="2"/>
      <c r="AA148" s="2" t="s">
        <v>45</v>
      </c>
      <c r="AB148" s="2" t="s">
        <v>46</v>
      </c>
      <c r="AC148" s="2" t="s">
        <v>45</v>
      </c>
      <c r="AE148" s="2" t="s">
        <v>48</v>
      </c>
      <c r="AF148" s="2" t="s">
        <v>49</v>
      </c>
      <c r="AG148" s="2">
        <v>100</v>
      </c>
      <c r="AH148" s="2">
        <v>90</v>
      </c>
      <c r="AJ148" s="2" t="s">
        <v>1603</v>
      </c>
      <c r="AK148" s="2"/>
      <c r="AL148" s="2"/>
      <c r="AM148" s="2" t="s">
        <v>52</v>
      </c>
    </row>
    <row r="149" spans="1:39" x14ac:dyDescent="0.45">
      <c r="A149" s="2" t="s">
        <v>1604</v>
      </c>
      <c r="B149" s="2"/>
      <c r="C149" s="2" t="s">
        <v>1606</v>
      </c>
      <c r="D149" s="2" t="s">
        <v>1608</v>
      </c>
      <c r="E149" s="25"/>
      <c r="F149" s="21"/>
      <c r="G149" s="42" t="s">
        <v>28000</v>
      </c>
      <c r="H149" s="2" t="s">
        <v>50</v>
      </c>
      <c r="I149" s="2" t="s">
        <v>1612</v>
      </c>
      <c r="J149" s="2" t="s">
        <v>1605</v>
      </c>
      <c r="K149" s="2" t="s">
        <v>1607</v>
      </c>
      <c r="L149" s="2" t="s">
        <v>1609</v>
      </c>
      <c r="M149" s="2"/>
      <c r="N149" s="2" t="s">
        <v>72</v>
      </c>
      <c r="O149" s="2" t="s">
        <v>73</v>
      </c>
      <c r="P149" s="2" t="s">
        <v>1610</v>
      </c>
      <c r="Q149" s="2" t="s">
        <v>1607</v>
      </c>
      <c r="R149" s="2"/>
      <c r="S149" s="2"/>
      <c r="T149" s="2"/>
      <c r="U149" s="2" t="s">
        <v>72</v>
      </c>
      <c r="V149" s="2" t="s">
        <v>73</v>
      </c>
      <c r="W149" s="2" t="s">
        <v>1610</v>
      </c>
      <c r="X149" s="2" t="s">
        <v>1611</v>
      </c>
      <c r="Y149" s="2" t="s">
        <v>44</v>
      </c>
      <c r="Z149" s="2"/>
      <c r="AA149" s="2" t="s">
        <v>45</v>
      </c>
      <c r="AB149" s="2" t="s">
        <v>46</v>
      </c>
      <c r="AC149" s="2" t="s">
        <v>45</v>
      </c>
      <c r="AE149" s="2" t="s">
        <v>48</v>
      </c>
      <c r="AF149" s="2" t="s">
        <v>49</v>
      </c>
      <c r="AG149" s="2">
        <v>100</v>
      </c>
      <c r="AH149" s="2">
        <v>90</v>
      </c>
      <c r="AJ149" s="2" t="s">
        <v>1613</v>
      </c>
      <c r="AK149" s="2"/>
      <c r="AL149" s="2"/>
      <c r="AM149" s="2" t="s">
        <v>52</v>
      </c>
    </row>
    <row r="150" spans="1:39" x14ac:dyDescent="0.45">
      <c r="A150" s="2" t="s">
        <v>1614</v>
      </c>
      <c r="B150" s="2"/>
      <c r="C150" s="2" t="s">
        <v>1616</v>
      </c>
      <c r="D150" s="2" t="s">
        <v>1618</v>
      </c>
      <c r="E150" s="25"/>
      <c r="F150" s="21"/>
      <c r="G150" s="42" t="s">
        <v>28000</v>
      </c>
      <c r="H150" s="2" t="s">
        <v>50</v>
      </c>
      <c r="I150" s="2" t="s">
        <v>1622</v>
      </c>
      <c r="J150" s="2" t="s">
        <v>1615</v>
      </c>
      <c r="K150" s="2" t="s">
        <v>1617</v>
      </c>
      <c r="L150" s="2" t="s">
        <v>1619</v>
      </c>
      <c r="M150" s="2" t="s">
        <v>1619</v>
      </c>
      <c r="N150" s="2" t="s">
        <v>72</v>
      </c>
      <c r="O150" s="2" t="s">
        <v>73</v>
      </c>
      <c r="P150" s="2" t="s">
        <v>243</v>
      </c>
      <c r="Q150" s="2" t="s">
        <v>1620</v>
      </c>
      <c r="R150" s="2"/>
      <c r="S150" s="2"/>
      <c r="T150" s="2"/>
      <c r="U150" s="2" t="s">
        <v>72</v>
      </c>
      <c r="V150" s="2" t="s">
        <v>73</v>
      </c>
      <c r="W150" s="2" t="s">
        <v>243</v>
      </c>
      <c r="X150" s="2" t="s">
        <v>1621</v>
      </c>
      <c r="Y150" s="2" t="s">
        <v>44</v>
      </c>
      <c r="Z150" s="2"/>
      <c r="AA150" s="2" t="s">
        <v>45</v>
      </c>
      <c r="AB150" s="2" t="s">
        <v>46</v>
      </c>
      <c r="AC150" s="2" t="s">
        <v>45</v>
      </c>
      <c r="AE150" s="2" t="s">
        <v>48</v>
      </c>
      <c r="AF150" s="2" t="s">
        <v>49</v>
      </c>
      <c r="AG150" s="2">
        <v>100</v>
      </c>
      <c r="AH150" s="2">
        <v>90</v>
      </c>
      <c r="AJ150" s="2" t="s">
        <v>1623</v>
      </c>
      <c r="AK150" s="2"/>
      <c r="AL150" s="2"/>
      <c r="AM150" s="2" t="s">
        <v>52</v>
      </c>
    </row>
    <row r="151" spans="1:39" x14ac:dyDescent="0.45">
      <c r="A151" s="2" t="s">
        <v>1624</v>
      </c>
      <c r="B151" s="2"/>
      <c r="C151" s="2" t="s">
        <v>1626</v>
      </c>
      <c r="D151" s="2" t="s">
        <v>1628</v>
      </c>
      <c r="E151" s="25"/>
      <c r="F151" s="21"/>
      <c r="G151" s="42" t="s">
        <v>28000</v>
      </c>
      <c r="H151" s="2" t="s">
        <v>50</v>
      </c>
      <c r="I151" s="2" t="s">
        <v>1632</v>
      </c>
      <c r="J151" s="2" t="s">
        <v>1625</v>
      </c>
      <c r="K151" s="2" t="s">
        <v>1627</v>
      </c>
      <c r="L151" s="2" t="s">
        <v>1629</v>
      </c>
      <c r="M151" s="2"/>
      <c r="N151" s="2" t="s">
        <v>39</v>
      </c>
      <c r="O151" s="2" t="s">
        <v>40</v>
      </c>
      <c r="P151" s="2" t="s">
        <v>1630</v>
      </c>
      <c r="Q151" s="2" t="s">
        <v>1627</v>
      </c>
      <c r="R151" s="2"/>
      <c r="S151" s="2"/>
      <c r="T151" s="2"/>
      <c r="U151" s="2" t="s">
        <v>39</v>
      </c>
      <c r="V151" s="2" t="s">
        <v>40</v>
      </c>
      <c r="W151" s="2" t="s">
        <v>1630</v>
      </c>
      <c r="X151" s="2" t="s">
        <v>1631</v>
      </c>
      <c r="Y151" s="2" t="s">
        <v>44</v>
      </c>
      <c r="Z151" s="2"/>
      <c r="AA151" s="2" t="s">
        <v>45</v>
      </c>
      <c r="AB151" s="2" t="s">
        <v>46</v>
      </c>
      <c r="AC151" s="2" t="s">
        <v>45</v>
      </c>
      <c r="AE151" s="2" t="s">
        <v>48</v>
      </c>
      <c r="AF151" s="2" t="s">
        <v>49</v>
      </c>
      <c r="AG151" s="2">
        <v>100</v>
      </c>
      <c r="AH151" s="2">
        <v>90</v>
      </c>
      <c r="AJ151" s="2" t="s">
        <v>1633</v>
      </c>
      <c r="AK151" s="2"/>
      <c r="AL151" s="2"/>
      <c r="AM151" s="2" t="s">
        <v>52</v>
      </c>
    </row>
    <row r="152" spans="1:39" x14ac:dyDescent="0.45">
      <c r="A152" s="2" t="s">
        <v>1634</v>
      </c>
      <c r="B152" s="2"/>
      <c r="C152" s="2" t="s">
        <v>1636</v>
      </c>
      <c r="D152" s="2" t="s">
        <v>1638</v>
      </c>
      <c r="E152" s="25"/>
      <c r="F152" s="21"/>
      <c r="G152" s="42" t="s">
        <v>28000</v>
      </c>
      <c r="H152" s="2" t="s">
        <v>50</v>
      </c>
      <c r="I152" s="2" t="s">
        <v>1643</v>
      </c>
      <c r="J152" s="2" t="s">
        <v>1635</v>
      </c>
      <c r="K152" s="2" t="s">
        <v>1637</v>
      </c>
      <c r="L152" s="2" t="s">
        <v>1639</v>
      </c>
      <c r="M152" s="2" t="s">
        <v>1639</v>
      </c>
      <c r="N152" s="2" t="s">
        <v>59</v>
      </c>
      <c r="O152" s="2" t="s">
        <v>60</v>
      </c>
      <c r="P152" s="2" t="s">
        <v>1640</v>
      </c>
      <c r="Q152" s="2" t="s">
        <v>1641</v>
      </c>
      <c r="R152" s="2"/>
      <c r="S152" s="2"/>
      <c r="T152" s="2"/>
      <c r="U152" s="2" t="s">
        <v>59</v>
      </c>
      <c r="V152" s="2" t="s">
        <v>60</v>
      </c>
      <c r="W152" s="2" t="s">
        <v>1640</v>
      </c>
      <c r="X152" s="2" t="s">
        <v>1642</v>
      </c>
      <c r="Y152" s="2" t="s">
        <v>44</v>
      </c>
      <c r="Z152" s="2"/>
      <c r="AA152" s="2" t="s">
        <v>45</v>
      </c>
      <c r="AB152" s="2" t="s">
        <v>46</v>
      </c>
      <c r="AC152" s="2" t="s">
        <v>45</v>
      </c>
      <c r="AE152" s="2" t="s">
        <v>48</v>
      </c>
      <c r="AF152" s="2" t="s">
        <v>49</v>
      </c>
      <c r="AG152" s="2">
        <v>100</v>
      </c>
      <c r="AH152" s="2">
        <v>90</v>
      </c>
      <c r="AJ152" s="2" t="s">
        <v>1644</v>
      </c>
      <c r="AK152" s="2"/>
      <c r="AL152" s="2"/>
      <c r="AM152" s="2" t="s">
        <v>52</v>
      </c>
    </row>
    <row r="153" spans="1:39" x14ac:dyDescent="0.45">
      <c r="A153" s="2" t="s">
        <v>1645</v>
      </c>
      <c r="B153" s="2"/>
      <c r="C153" s="2" t="s">
        <v>1647</v>
      </c>
      <c r="D153" s="2" t="s">
        <v>1649</v>
      </c>
      <c r="E153" s="25"/>
      <c r="F153" s="21"/>
      <c r="G153" s="42" t="s">
        <v>28000</v>
      </c>
      <c r="H153" s="2" t="s">
        <v>50</v>
      </c>
      <c r="I153" s="2" t="s">
        <v>1652</v>
      </c>
      <c r="J153" s="2" t="s">
        <v>1646</v>
      </c>
      <c r="K153" s="2" t="s">
        <v>1648</v>
      </c>
      <c r="L153" s="2" t="s">
        <v>1650</v>
      </c>
      <c r="M153" s="2" t="s">
        <v>1650</v>
      </c>
      <c r="N153" s="2" t="s">
        <v>174</v>
      </c>
      <c r="O153" s="2" t="s">
        <v>175</v>
      </c>
      <c r="P153" s="2" t="s">
        <v>1318</v>
      </c>
      <c r="Q153" s="2" t="s">
        <v>1648</v>
      </c>
      <c r="R153" s="2"/>
      <c r="S153" s="2"/>
      <c r="T153" s="2"/>
      <c r="U153" s="2" t="s">
        <v>174</v>
      </c>
      <c r="V153" s="2" t="s">
        <v>175</v>
      </c>
      <c r="W153" s="2" t="s">
        <v>1318</v>
      </c>
      <c r="X153" s="2" t="s">
        <v>1651</v>
      </c>
      <c r="Y153" s="2" t="s">
        <v>44</v>
      </c>
      <c r="Z153" s="2"/>
      <c r="AA153" s="2" t="s">
        <v>45</v>
      </c>
      <c r="AB153" s="2" t="s">
        <v>46</v>
      </c>
      <c r="AC153" s="2" t="s">
        <v>45</v>
      </c>
      <c r="AE153" s="2" t="s">
        <v>48</v>
      </c>
      <c r="AF153" s="2" t="s">
        <v>49</v>
      </c>
      <c r="AG153" s="2">
        <v>100</v>
      </c>
      <c r="AH153" s="2">
        <v>90</v>
      </c>
      <c r="AJ153" s="2" t="s">
        <v>1653</v>
      </c>
      <c r="AK153" s="2"/>
      <c r="AL153" s="2"/>
      <c r="AM153" s="2" t="s">
        <v>52</v>
      </c>
    </row>
    <row r="154" spans="1:39" x14ac:dyDescent="0.45">
      <c r="A154" s="2" t="s">
        <v>1654</v>
      </c>
      <c r="B154" s="2"/>
      <c r="C154" s="2" t="s">
        <v>1656</v>
      </c>
      <c r="D154" s="2" t="s">
        <v>1658</v>
      </c>
      <c r="E154" s="25"/>
      <c r="F154" s="21"/>
      <c r="G154" s="42" t="s">
        <v>28000</v>
      </c>
      <c r="H154" s="2" t="s">
        <v>50</v>
      </c>
      <c r="I154" s="2" t="s">
        <v>1662</v>
      </c>
      <c r="J154" s="2" t="s">
        <v>1655</v>
      </c>
      <c r="K154" s="2" t="s">
        <v>1657</v>
      </c>
      <c r="L154" s="2" t="s">
        <v>1659</v>
      </c>
      <c r="M154" s="2" t="s">
        <v>1659</v>
      </c>
      <c r="N154" s="2" t="s">
        <v>72</v>
      </c>
      <c r="O154" s="2" t="s">
        <v>73</v>
      </c>
      <c r="P154" s="2" t="s">
        <v>484</v>
      </c>
      <c r="Q154" s="2" t="s">
        <v>1660</v>
      </c>
      <c r="R154" s="2"/>
      <c r="S154" s="2"/>
      <c r="T154" s="2"/>
      <c r="U154" s="2" t="s">
        <v>72</v>
      </c>
      <c r="V154" s="2" t="s">
        <v>73</v>
      </c>
      <c r="W154" s="2" t="s">
        <v>791</v>
      </c>
      <c r="X154" s="2" t="s">
        <v>1661</v>
      </c>
      <c r="Y154" s="2" t="s">
        <v>44</v>
      </c>
      <c r="Z154" s="2"/>
      <c r="AA154" s="2" t="s">
        <v>45</v>
      </c>
      <c r="AB154" s="2" t="s">
        <v>46</v>
      </c>
      <c r="AC154" s="2" t="s">
        <v>45</v>
      </c>
      <c r="AE154" s="2" t="s">
        <v>48</v>
      </c>
      <c r="AF154" s="2" t="s">
        <v>49</v>
      </c>
      <c r="AG154" s="2">
        <v>100</v>
      </c>
      <c r="AH154" s="2">
        <v>90</v>
      </c>
      <c r="AJ154" s="2" t="s">
        <v>1663</v>
      </c>
      <c r="AK154" s="2"/>
      <c r="AL154" s="2"/>
      <c r="AM154" s="2" t="s">
        <v>52</v>
      </c>
    </row>
    <row r="155" spans="1:39" x14ac:dyDescent="0.45">
      <c r="A155" s="2" t="s">
        <v>1664</v>
      </c>
      <c r="B155" s="2"/>
      <c r="C155" s="2" t="s">
        <v>1666</v>
      </c>
      <c r="D155" s="2" t="s">
        <v>1668</v>
      </c>
      <c r="E155" s="25"/>
      <c r="F155" s="21"/>
      <c r="G155" s="42" t="s">
        <v>28000</v>
      </c>
      <c r="H155" s="2" t="s">
        <v>50</v>
      </c>
      <c r="I155" s="2" t="s">
        <v>1673</v>
      </c>
      <c r="J155" s="2" t="s">
        <v>1665</v>
      </c>
      <c r="K155" s="2" t="s">
        <v>1667</v>
      </c>
      <c r="L155" s="2" t="s">
        <v>1669</v>
      </c>
      <c r="M155" s="2" t="s">
        <v>1669</v>
      </c>
      <c r="N155" s="2" t="s">
        <v>72</v>
      </c>
      <c r="O155" s="2" t="s">
        <v>73</v>
      </c>
      <c r="P155" s="2" t="s">
        <v>1670</v>
      </c>
      <c r="Q155" s="2" t="s">
        <v>1671</v>
      </c>
      <c r="R155" s="2"/>
      <c r="S155" s="2"/>
      <c r="T155" s="2"/>
      <c r="U155" s="2" t="s">
        <v>72</v>
      </c>
      <c r="V155" s="2" t="s">
        <v>73</v>
      </c>
      <c r="W155" s="2" t="s">
        <v>1670</v>
      </c>
      <c r="X155" s="2" t="s">
        <v>1672</v>
      </c>
      <c r="Y155" s="2" t="s">
        <v>44</v>
      </c>
      <c r="Z155" s="2"/>
      <c r="AA155" s="2" t="s">
        <v>45</v>
      </c>
      <c r="AB155" s="2" t="s">
        <v>46</v>
      </c>
      <c r="AC155" s="2" t="s">
        <v>45</v>
      </c>
      <c r="AE155" s="2" t="s">
        <v>48</v>
      </c>
      <c r="AF155" s="2" t="s">
        <v>49</v>
      </c>
      <c r="AG155" s="2">
        <v>100</v>
      </c>
      <c r="AH155" s="2">
        <v>90</v>
      </c>
      <c r="AJ155" s="2" t="s">
        <v>1674</v>
      </c>
      <c r="AK155" s="2"/>
      <c r="AL155" s="2"/>
      <c r="AM155" s="2" t="s">
        <v>52</v>
      </c>
    </row>
    <row r="156" spans="1:39" x14ac:dyDescent="0.45">
      <c r="A156" s="2" t="s">
        <v>1675</v>
      </c>
      <c r="B156" s="2"/>
      <c r="C156" s="2" t="s">
        <v>1677</v>
      </c>
      <c r="D156" s="2" t="s">
        <v>1679</v>
      </c>
      <c r="E156" s="25"/>
      <c r="F156" s="21"/>
      <c r="G156" s="42" t="s">
        <v>28000</v>
      </c>
      <c r="H156" s="2" t="s">
        <v>50</v>
      </c>
      <c r="I156" s="2" t="s">
        <v>1684</v>
      </c>
      <c r="J156" s="2" t="s">
        <v>1676</v>
      </c>
      <c r="K156" s="2" t="s">
        <v>1678</v>
      </c>
      <c r="L156" s="2" t="s">
        <v>1680</v>
      </c>
      <c r="M156" s="2" t="s">
        <v>1680</v>
      </c>
      <c r="N156" s="2" t="s">
        <v>72</v>
      </c>
      <c r="O156" s="2" t="s">
        <v>73</v>
      </c>
      <c r="P156" s="2" t="s">
        <v>98</v>
      </c>
      <c r="Q156" s="2" t="s">
        <v>1681</v>
      </c>
      <c r="R156" s="2"/>
      <c r="S156" s="2"/>
      <c r="T156" s="2"/>
      <c r="U156" s="2" t="s">
        <v>72</v>
      </c>
      <c r="V156" s="2" t="s">
        <v>73</v>
      </c>
      <c r="W156" s="2" t="s">
        <v>1682</v>
      </c>
      <c r="X156" s="2" t="s">
        <v>1683</v>
      </c>
      <c r="Y156" s="2" t="s">
        <v>44</v>
      </c>
      <c r="Z156" s="2"/>
      <c r="AA156" s="2" t="s">
        <v>45</v>
      </c>
      <c r="AB156" s="2" t="s">
        <v>46</v>
      </c>
      <c r="AC156" s="2" t="s">
        <v>45</v>
      </c>
      <c r="AE156" s="2" t="s">
        <v>48</v>
      </c>
      <c r="AF156" s="2" t="s">
        <v>49</v>
      </c>
      <c r="AG156" s="2">
        <v>100</v>
      </c>
      <c r="AH156" s="2">
        <v>90</v>
      </c>
      <c r="AJ156" s="2" t="s">
        <v>1685</v>
      </c>
      <c r="AK156" s="2"/>
      <c r="AL156" s="2"/>
      <c r="AM156" s="2" t="s">
        <v>52</v>
      </c>
    </row>
    <row r="157" spans="1:39" x14ac:dyDescent="0.45">
      <c r="A157" s="2" t="s">
        <v>1686</v>
      </c>
      <c r="B157" s="2"/>
      <c r="C157" s="2" t="s">
        <v>1688</v>
      </c>
      <c r="D157" s="2" t="s">
        <v>1690</v>
      </c>
      <c r="E157" s="25"/>
      <c r="F157" s="21"/>
      <c r="G157" s="42" t="s">
        <v>28000</v>
      </c>
      <c r="H157" s="2" t="s">
        <v>50</v>
      </c>
      <c r="I157" s="2" t="s">
        <v>1693</v>
      </c>
      <c r="J157" s="2" t="s">
        <v>1687</v>
      </c>
      <c r="K157" s="2" t="s">
        <v>1689</v>
      </c>
      <c r="L157" s="2" t="s">
        <v>1691</v>
      </c>
      <c r="M157" s="2"/>
      <c r="N157" s="2" t="s">
        <v>72</v>
      </c>
      <c r="O157" s="2" t="s">
        <v>73</v>
      </c>
      <c r="P157" s="2" t="s">
        <v>373</v>
      </c>
      <c r="Q157" s="2" t="s">
        <v>1689</v>
      </c>
      <c r="R157" s="2"/>
      <c r="S157" s="2"/>
      <c r="T157" s="2"/>
      <c r="U157" s="2" t="s">
        <v>72</v>
      </c>
      <c r="V157" s="2" t="s">
        <v>73</v>
      </c>
      <c r="W157" s="2" t="s">
        <v>373</v>
      </c>
      <c r="X157" s="2" t="s">
        <v>1692</v>
      </c>
      <c r="Y157" s="2" t="s">
        <v>44</v>
      </c>
      <c r="Z157" s="2"/>
      <c r="AA157" s="2" t="s">
        <v>45</v>
      </c>
      <c r="AB157" s="2" t="s">
        <v>46</v>
      </c>
      <c r="AC157" s="2" t="s">
        <v>45</v>
      </c>
      <c r="AE157" s="2" t="s">
        <v>48</v>
      </c>
      <c r="AF157" s="2" t="s">
        <v>49</v>
      </c>
      <c r="AG157" s="2">
        <v>100</v>
      </c>
      <c r="AH157" s="2">
        <v>90</v>
      </c>
      <c r="AJ157" s="2" t="s">
        <v>1694</v>
      </c>
      <c r="AK157" s="2"/>
      <c r="AL157" s="2"/>
      <c r="AM157" s="2" t="s">
        <v>52</v>
      </c>
    </row>
    <row r="158" spans="1:39" x14ac:dyDescent="0.45">
      <c r="A158" s="2" t="s">
        <v>1695</v>
      </c>
      <c r="B158" s="2"/>
      <c r="C158" s="2" t="s">
        <v>1697</v>
      </c>
      <c r="D158" s="2" t="s">
        <v>1699</v>
      </c>
      <c r="E158" s="25"/>
      <c r="F158" s="21"/>
      <c r="G158" s="42" t="s">
        <v>28000</v>
      </c>
      <c r="H158" s="2" t="s">
        <v>50</v>
      </c>
      <c r="I158" s="2" t="s">
        <v>1703</v>
      </c>
      <c r="J158" s="2" t="s">
        <v>1696</v>
      </c>
      <c r="K158" s="2" t="s">
        <v>1698</v>
      </c>
      <c r="L158" s="2" t="s">
        <v>1700</v>
      </c>
      <c r="M158" s="2" t="s">
        <v>1700</v>
      </c>
      <c r="N158" s="2" t="s">
        <v>72</v>
      </c>
      <c r="O158" s="2" t="s">
        <v>73</v>
      </c>
      <c r="P158" s="2" t="s">
        <v>1599</v>
      </c>
      <c r="Q158" s="2" t="s">
        <v>1701</v>
      </c>
      <c r="R158" s="2"/>
      <c r="S158" s="2"/>
      <c r="T158" s="2"/>
      <c r="U158" s="2" t="s">
        <v>72</v>
      </c>
      <c r="V158" s="2" t="s">
        <v>73</v>
      </c>
      <c r="W158" s="2" t="s">
        <v>187</v>
      </c>
      <c r="X158" s="2" t="s">
        <v>1702</v>
      </c>
      <c r="Y158" s="2" t="s">
        <v>44</v>
      </c>
      <c r="Z158" s="2"/>
      <c r="AA158" s="2" t="s">
        <v>45</v>
      </c>
      <c r="AB158" s="2" t="s">
        <v>46</v>
      </c>
      <c r="AC158" s="2" t="s">
        <v>45</v>
      </c>
      <c r="AE158" s="2" t="s">
        <v>48</v>
      </c>
      <c r="AF158" s="2" t="s">
        <v>49</v>
      </c>
      <c r="AG158" s="2">
        <v>100</v>
      </c>
      <c r="AH158" s="2">
        <v>90</v>
      </c>
      <c r="AJ158" s="2" t="s">
        <v>1704</v>
      </c>
      <c r="AK158" s="2"/>
      <c r="AL158" s="2"/>
      <c r="AM158" s="2" t="s">
        <v>52</v>
      </c>
    </row>
    <row r="159" spans="1:39" x14ac:dyDescent="0.45">
      <c r="A159" s="2" t="s">
        <v>1705</v>
      </c>
      <c r="B159" s="2"/>
      <c r="C159" s="2" t="s">
        <v>1707</v>
      </c>
      <c r="D159" s="2" t="s">
        <v>1709</v>
      </c>
      <c r="E159" s="25"/>
      <c r="F159" s="21"/>
      <c r="G159" s="42" t="s">
        <v>28000</v>
      </c>
      <c r="H159" s="2" t="s">
        <v>50</v>
      </c>
      <c r="I159" s="2" t="s">
        <v>1714</v>
      </c>
      <c r="J159" s="2" t="s">
        <v>1706</v>
      </c>
      <c r="K159" s="2" t="s">
        <v>1708</v>
      </c>
      <c r="L159" s="2" t="s">
        <v>1710</v>
      </c>
      <c r="M159" s="2" t="s">
        <v>1710</v>
      </c>
      <c r="N159" s="2" t="s">
        <v>39</v>
      </c>
      <c r="O159" s="2" t="s">
        <v>40</v>
      </c>
      <c r="P159" s="2" t="s">
        <v>1711</v>
      </c>
      <c r="Q159" s="2" t="s">
        <v>1712</v>
      </c>
      <c r="R159" s="2"/>
      <c r="S159" s="2"/>
      <c r="T159" s="2"/>
      <c r="U159" s="2" t="s">
        <v>39</v>
      </c>
      <c r="V159" s="2" t="s">
        <v>40</v>
      </c>
      <c r="W159" s="2" t="s">
        <v>1711</v>
      </c>
      <c r="X159" s="2" t="s">
        <v>1713</v>
      </c>
      <c r="Y159" s="2" t="s">
        <v>44</v>
      </c>
      <c r="Z159" s="2"/>
      <c r="AA159" s="2" t="s">
        <v>45</v>
      </c>
      <c r="AB159" s="2" t="s">
        <v>46</v>
      </c>
      <c r="AC159" s="2" t="s">
        <v>45</v>
      </c>
      <c r="AE159" s="2" t="s">
        <v>48</v>
      </c>
      <c r="AF159" s="2" t="s">
        <v>49</v>
      </c>
      <c r="AG159" s="2">
        <v>100</v>
      </c>
      <c r="AH159" s="2">
        <v>90</v>
      </c>
      <c r="AJ159" s="2" t="s">
        <v>1715</v>
      </c>
      <c r="AK159" s="2"/>
      <c r="AL159" s="2"/>
      <c r="AM159" s="2" t="s">
        <v>52</v>
      </c>
    </row>
    <row r="160" spans="1:39" x14ac:dyDescent="0.45">
      <c r="A160" s="2" t="s">
        <v>1716</v>
      </c>
      <c r="B160" s="2"/>
      <c r="C160" s="2" t="s">
        <v>1718</v>
      </c>
      <c r="D160" s="2" t="s">
        <v>1720</v>
      </c>
      <c r="E160" s="25"/>
      <c r="F160" s="21"/>
      <c r="G160" s="42" t="s">
        <v>28000</v>
      </c>
      <c r="H160" s="2" t="s">
        <v>50</v>
      </c>
      <c r="I160" s="2" t="s">
        <v>1722</v>
      </c>
      <c r="J160" s="2" t="s">
        <v>1717</v>
      </c>
      <c r="K160" s="2" t="s">
        <v>1719</v>
      </c>
      <c r="L160" s="2" t="s">
        <v>1721</v>
      </c>
      <c r="M160" s="2"/>
      <c r="N160" s="2" t="s">
        <v>72</v>
      </c>
      <c r="O160" s="2" t="s">
        <v>73</v>
      </c>
      <c r="P160" s="2" t="s">
        <v>74</v>
      </c>
      <c r="Q160" s="2" t="s">
        <v>1719</v>
      </c>
      <c r="R160" s="2"/>
      <c r="S160" s="2"/>
      <c r="T160" s="2"/>
      <c r="U160" s="2" t="s">
        <v>72</v>
      </c>
      <c r="V160" s="2" t="s">
        <v>73</v>
      </c>
      <c r="W160" s="2" t="s">
        <v>74</v>
      </c>
      <c r="X160" s="2" t="s">
        <v>1713</v>
      </c>
      <c r="Y160" s="2" t="s">
        <v>44</v>
      </c>
      <c r="Z160" s="2"/>
      <c r="AA160" s="2" t="s">
        <v>45</v>
      </c>
      <c r="AB160" s="2" t="s">
        <v>46</v>
      </c>
      <c r="AC160" s="2" t="s">
        <v>45</v>
      </c>
      <c r="AE160" s="2" t="s">
        <v>48</v>
      </c>
      <c r="AF160" s="2" t="s">
        <v>49</v>
      </c>
      <c r="AG160" s="2">
        <v>100</v>
      </c>
      <c r="AH160" s="2">
        <v>90</v>
      </c>
      <c r="AJ160" s="2" t="s">
        <v>1723</v>
      </c>
      <c r="AK160" s="2"/>
      <c r="AL160" s="2"/>
      <c r="AM160" s="2" t="s">
        <v>52</v>
      </c>
    </row>
    <row r="161" spans="1:39" x14ac:dyDescent="0.45">
      <c r="A161" s="2" t="s">
        <v>1724</v>
      </c>
      <c r="B161" s="2"/>
      <c r="C161" s="2" t="s">
        <v>1726</v>
      </c>
      <c r="D161" s="2" t="s">
        <v>1728</v>
      </c>
      <c r="E161" s="25"/>
      <c r="F161" s="21"/>
      <c r="G161" s="42" t="s">
        <v>28000</v>
      </c>
      <c r="H161" s="2" t="s">
        <v>50</v>
      </c>
      <c r="I161" s="2" t="s">
        <v>1730</v>
      </c>
      <c r="J161" s="2" t="s">
        <v>1725</v>
      </c>
      <c r="K161" s="2" t="s">
        <v>1727</v>
      </c>
      <c r="L161" s="2" t="s">
        <v>1729</v>
      </c>
      <c r="M161" s="2"/>
      <c r="N161" s="2" t="s">
        <v>39</v>
      </c>
      <c r="O161" s="2" t="s">
        <v>40</v>
      </c>
      <c r="P161" s="2" t="s">
        <v>256</v>
      </c>
      <c r="Q161" s="2" t="s">
        <v>1727</v>
      </c>
      <c r="R161" s="2"/>
      <c r="S161" s="2"/>
      <c r="T161" s="2"/>
      <c r="U161" s="2" t="s">
        <v>39</v>
      </c>
      <c r="V161" s="2" t="s">
        <v>40</v>
      </c>
      <c r="W161" s="2" t="s">
        <v>256</v>
      </c>
      <c r="X161" s="2" t="s">
        <v>293</v>
      </c>
      <c r="Y161" s="2" t="s">
        <v>44</v>
      </c>
      <c r="Z161" s="2"/>
      <c r="AA161" s="2" t="s">
        <v>45</v>
      </c>
      <c r="AB161" s="2" t="s">
        <v>46</v>
      </c>
      <c r="AC161" s="2" t="s">
        <v>45</v>
      </c>
      <c r="AE161" s="2" t="s">
        <v>48</v>
      </c>
      <c r="AF161" s="2" t="s">
        <v>49</v>
      </c>
      <c r="AG161" s="2">
        <v>100</v>
      </c>
      <c r="AH161" s="2">
        <v>90</v>
      </c>
      <c r="AJ161" s="2" t="s">
        <v>1731</v>
      </c>
      <c r="AK161" s="2"/>
      <c r="AL161" s="2"/>
      <c r="AM161" s="2" t="s">
        <v>52</v>
      </c>
    </row>
    <row r="162" spans="1:39" x14ac:dyDescent="0.45">
      <c r="A162" s="2" t="s">
        <v>1732</v>
      </c>
      <c r="B162" s="2"/>
      <c r="C162" s="2" t="s">
        <v>1734</v>
      </c>
      <c r="D162" s="2" t="s">
        <v>1736</v>
      </c>
      <c r="E162" s="25"/>
      <c r="F162" s="21"/>
      <c r="G162" s="42" t="s">
        <v>28000</v>
      </c>
      <c r="H162" s="2" t="s">
        <v>50</v>
      </c>
      <c r="I162" s="2" t="s">
        <v>1740</v>
      </c>
      <c r="J162" s="2" t="s">
        <v>1733</v>
      </c>
      <c r="K162" s="2" t="s">
        <v>1735</v>
      </c>
      <c r="L162" s="2" t="s">
        <v>1737</v>
      </c>
      <c r="M162" s="2"/>
      <c r="N162" s="2" t="s">
        <v>72</v>
      </c>
      <c r="O162" s="2" t="s">
        <v>73</v>
      </c>
      <c r="P162" s="2" t="s">
        <v>98</v>
      </c>
      <c r="Q162" s="2" t="s">
        <v>1738</v>
      </c>
      <c r="R162" s="2"/>
      <c r="S162" s="2"/>
      <c r="T162" s="2"/>
      <c r="U162" s="2" t="s">
        <v>72</v>
      </c>
      <c r="V162" s="2" t="s">
        <v>73</v>
      </c>
      <c r="W162" s="2" t="s">
        <v>98</v>
      </c>
      <c r="X162" s="2" t="s">
        <v>1739</v>
      </c>
      <c r="Y162" s="2" t="s">
        <v>44</v>
      </c>
      <c r="Z162" s="2"/>
      <c r="AA162" s="2" t="s">
        <v>45</v>
      </c>
      <c r="AB162" s="2" t="s">
        <v>46</v>
      </c>
      <c r="AC162" s="2" t="s">
        <v>45</v>
      </c>
      <c r="AE162" s="2" t="s">
        <v>48</v>
      </c>
      <c r="AF162" s="2" t="s">
        <v>49</v>
      </c>
      <c r="AG162" s="2">
        <v>100</v>
      </c>
      <c r="AH162" s="2">
        <v>90</v>
      </c>
      <c r="AJ162" s="2" t="s">
        <v>1741</v>
      </c>
      <c r="AK162" s="2"/>
      <c r="AL162" s="2"/>
      <c r="AM162" s="2" t="s">
        <v>52</v>
      </c>
    </row>
    <row r="163" spans="1:39" x14ac:dyDescent="0.45">
      <c r="A163" s="2" t="s">
        <v>1742</v>
      </c>
      <c r="B163" s="2"/>
      <c r="C163" s="2" t="s">
        <v>1744</v>
      </c>
      <c r="D163" s="2" t="s">
        <v>1746</v>
      </c>
      <c r="E163" s="25"/>
      <c r="F163" s="21"/>
      <c r="G163" s="42" t="s">
        <v>28000</v>
      </c>
      <c r="H163" s="2" t="s">
        <v>50</v>
      </c>
      <c r="I163" s="2" t="s">
        <v>1750</v>
      </c>
      <c r="J163" s="2" t="s">
        <v>1743</v>
      </c>
      <c r="K163" s="2" t="s">
        <v>1745</v>
      </c>
      <c r="L163" s="2" t="s">
        <v>1747</v>
      </c>
      <c r="M163" s="2" t="s">
        <v>1747</v>
      </c>
      <c r="N163" s="2" t="s">
        <v>59</v>
      </c>
      <c r="O163" s="2" t="s">
        <v>60</v>
      </c>
      <c r="P163" s="2" t="s">
        <v>1748</v>
      </c>
      <c r="Q163" s="2" t="s">
        <v>1745</v>
      </c>
      <c r="R163" s="2"/>
      <c r="S163" s="2"/>
      <c r="T163" s="2"/>
      <c r="U163" s="2" t="s">
        <v>59</v>
      </c>
      <c r="V163" s="2" t="s">
        <v>60</v>
      </c>
      <c r="W163" s="2" t="s">
        <v>1748</v>
      </c>
      <c r="X163" s="2" t="s">
        <v>1749</v>
      </c>
      <c r="Y163" s="2" t="s">
        <v>44</v>
      </c>
      <c r="Z163" s="2"/>
      <c r="AA163" s="2" t="s">
        <v>45</v>
      </c>
      <c r="AB163" s="2" t="s">
        <v>46</v>
      </c>
      <c r="AC163" s="2" t="s">
        <v>45</v>
      </c>
      <c r="AE163" s="2" t="s">
        <v>48</v>
      </c>
      <c r="AF163" s="2" t="s">
        <v>49</v>
      </c>
      <c r="AG163" s="2">
        <v>100</v>
      </c>
      <c r="AH163" s="2">
        <v>90</v>
      </c>
      <c r="AJ163" s="2" t="s">
        <v>1751</v>
      </c>
      <c r="AK163" s="2"/>
      <c r="AL163" s="2"/>
      <c r="AM163" s="2" t="s">
        <v>52</v>
      </c>
    </row>
    <row r="164" spans="1:39" x14ac:dyDescent="0.45">
      <c r="A164" s="2" t="s">
        <v>1752</v>
      </c>
      <c r="B164" s="2"/>
      <c r="C164" s="2" t="s">
        <v>1754</v>
      </c>
      <c r="D164" s="2" t="s">
        <v>1756</v>
      </c>
      <c r="E164" s="25"/>
      <c r="F164" s="21"/>
      <c r="G164" s="42" t="s">
        <v>28000</v>
      </c>
      <c r="H164" s="2" t="s">
        <v>50</v>
      </c>
      <c r="I164" s="2" t="s">
        <v>1759</v>
      </c>
      <c r="J164" s="2" t="s">
        <v>1753</v>
      </c>
      <c r="K164" s="2" t="s">
        <v>1755</v>
      </c>
      <c r="L164" s="2" t="s">
        <v>1757</v>
      </c>
      <c r="M164" s="2" t="s">
        <v>1757</v>
      </c>
      <c r="N164" s="2" t="s">
        <v>72</v>
      </c>
      <c r="O164" s="2" t="s">
        <v>73</v>
      </c>
      <c r="P164" s="2" t="s">
        <v>913</v>
      </c>
      <c r="Q164" s="2" t="s">
        <v>1755</v>
      </c>
      <c r="R164" s="2"/>
      <c r="S164" s="2"/>
      <c r="T164" s="2"/>
      <c r="U164" s="2" t="s">
        <v>72</v>
      </c>
      <c r="V164" s="2" t="s">
        <v>73</v>
      </c>
      <c r="W164" s="2" t="s">
        <v>913</v>
      </c>
      <c r="X164" s="2" t="s">
        <v>1758</v>
      </c>
      <c r="Y164" s="2" t="s">
        <v>44</v>
      </c>
      <c r="Z164" s="2"/>
      <c r="AA164" s="2" t="s">
        <v>45</v>
      </c>
      <c r="AB164" s="2" t="s">
        <v>46</v>
      </c>
      <c r="AC164" s="2" t="s">
        <v>45</v>
      </c>
      <c r="AE164" s="2" t="s">
        <v>48</v>
      </c>
      <c r="AF164" s="2" t="s">
        <v>49</v>
      </c>
      <c r="AG164" s="2">
        <v>100</v>
      </c>
      <c r="AH164" s="2">
        <v>90</v>
      </c>
      <c r="AJ164" s="2" t="s">
        <v>1760</v>
      </c>
      <c r="AK164" s="2"/>
      <c r="AL164" s="2"/>
      <c r="AM164" s="2" t="s">
        <v>52</v>
      </c>
    </row>
    <row r="165" spans="1:39" x14ac:dyDescent="0.45">
      <c r="A165" s="2" t="s">
        <v>1761</v>
      </c>
      <c r="B165" s="2"/>
      <c r="C165" s="2" t="s">
        <v>1763</v>
      </c>
      <c r="D165" s="2" t="s">
        <v>1765</v>
      </c>
      <c r="E165" s="25"/>
      <c r="F165" s="21"/>
      <c r="G165" s="42" t="s">
        <v>28000</v>
      </c>
      <c r="H165" s="2" t="s">
        <v>50</v>
      </c>
      <c r="I165" s="2" t="s">
        <v>1769</v>
      </c>
      <c r="J165" s="2" t="s">
        <v>1762</v>
      </c>
      <c r="K165" s="2" t="s">
        <v>1764</v>
      </c>
      <c r="L165" s="2" t="s">
        <v>1766</v>
      </c>
      <c r="M165" s="2"/>
      <c r="N165" s="2" t="s">
        <v>72</v>
      </c>
      <c r="O165" s="2" t="s">
        <v>73</v>
      </c>
      <c r="P165" s="2" t="s">
        <v>464</v>
      </c>
      <c r="Q165" s="2" t="s">
        <v>1767</v>
      </c>
      <c r="R165" s="2"/>
      <c r="S165" s="2"/>
      <c r="T165" s="2"/>
      <c r="U165" s="2" t="s">
        <v>72</v>
      </c>
      <c r="V165" s="2" t="s">
        <v>73</v>
      </c>
      <c r="W165" s="2" t="s">
        <v>464</v>
      </c>
      <c r="X165" s="2" t="s">
        <v>1768</v>
      </c>
      <c r="Y165" s="2" t="s">
        <v>44</v>
      </c>
      <c r="Z165" s="2"/>
      <c r="AA165" s="2" t="s">
        <v>45</v>
      </c>
      <c r="AB165" s="2" t="s">
        <v>46</v>
      </c>
      <c r="AC165" s="2" t="s">
        <v>45</v>
      </c>
      <c r="AE165" s="2" t="s">
        <v>48</v>
      </c>
      <c r="AF165" s="2" t="s">
        <v>49</v>
      </c>
      <c r="AG165" s="2">
        <v>100</v>
      </c>
      <c r="AH165" s="2">
        <v>90</v>
      </c>
      <c r="AJ165" s="2" t="s">
        <v>1770</v>
      </c>
      <c r="AK165" s="2"/>
      <c r="AL165" s="2"/>
      <c r="AM165" s="2" t="s">
        <v>52</v>
      </c>
    </row>
    <row r="166" spans="1:39" x14ac:dyDescent="0.45">
      <c r="A166" s="2" t="s">
        <v>1771</v>
      </c>
      <c r="B166" s="2"/>
      <c r="C166" s="2" t="s">
        <v>1773</v>
      </c>
      <c r="D166" s="2" t="s">
        <v>1775</v>
      </c>
      <c r="E166" s="25"/>
      <c r="F166" s="21"/>
      <c r="G166" s="42" t="s">
        <v>28000</v>
      </c>
      <c r="H166" s="2" t="s">
        <v>50</v>
      </c>
      <c r="I166" s="2" t="s">
        <v>1781</v>
      </c>
      <c r="J166" s="2" t="s">
        <v>1772</v>
      </c>
      <c r="K166" s="2" t="s">
        <v>1774</v>
      </c>
      <c r="L166" s="2" t="s">
        <v>1776</v>
      </c>
      <c r="M166" s="2" t="s">
        <v>1776</v>
      </c>
      <c r="N166" s="2" t="s">
        <v>72</v>
      </c>
      <c r="O166" s="2" t="s">
        <v>73</v>
      </c>
      <c r="P166" s="2" t="s">
        <v>1777</v>
      </c>
      <c r="Q166" s="2" t="s">
        <v>1778</v>
      </c>
      <c r="R166" s="2"/>
      <c r="S166" s="2"/>
      <c r="T166" s="2"/>
      <c r="U166" s="2" t="s">
        <v>174</v>
      </c>
      <c r="V166" s="2" t="s">
        <v>175</v>
      </c>
      <c r="W166" s="2" t="s">
        <v>1779</v>
      </c>
      <c r="X166" s="2" t="s">
        <v>1780</v>
      </c>
      <c r="Y166" s="2" t="s">
        <v>44</v>
      </c>
      <c r="Z166" s="2"/>
      <c r="AA166" s="2" t="s">
        <v>45</v>
      </c>
      <c r="AB166" s="2" t="s">
        <v>46</v>
      </c>
      <c r="AC166" s="2" t="s">
        <v>45</v>
      </c>
      <c r="AE166" s="2" t="s">
        <v>48</v>
      </c>
      <c r="AF166" s="2" t="s">
        <v>49</v>
      </c>
      <c r="AG166" s="2">
        <v>100</v>
      </c>
      <c r="AH166" s="2">
        <v>90</v>
      </c>
      <c r="AJ166" s="2" t="s">
        <v>1782</v>
      </c>
      <c r="AK166" s="2"/>
      <c r="AL166" s="2"/>
      <c r="AM166" s="2" t="s">
        <v>52</v>
      </c>
    </row>
    <row r="167" spans="1:39" x14ac:dyDescent="0.45">
      <c r="A167" s="2" t="s">
        <v>1783</v>
      </c>
      <c r="B167" s="2"/>
      <c r="C167" s="2" t="s">
        <v>1785</v>
      </c>
      <c r="D167" s="2" t="s">
        <v>1787</v>
      </c>
      <c r="E167" s="25"/>
      <c r="F167" s="21"/>
      <c r="G167" s="42" t="s">
        <v>28000</v>
      </c>
      <c r="H167" s="2" t="s">
        <v>50</v>
      </c>
      <c r="I167" s="2" t="s">
        <v>1790</v>
      </c>
      <c r="J167" s="2" t="s">
        <v>1784</v>
      </c>
      <c r="K167" s="2" t="s">
        <v>1786</v>
      </c>
      <c r="L167" s="2" t="s">
        <v>1788</v>
      </c>
      <c r="M167" s="2" t="s">
        <v>1788</v>
      </c>
      <c r="N167" s="2" t="s">
        <v>39</v>
      </c>
      <c r="O167" s="2" t="s">
        <v>40</v>
      </c>
      <c r="P167" s="2" t="s">
        <v>1418</v>
      </c>
      <c r="Q167" s="2" t="s">
        <v>1786</v>
      </c>
      <c r="R167" s="2"/>
      <c r="S167" s="2"/>
      <c r="T167" s="2"/>
      <c r="U167" s="2" t="s">
        <v>39</v>
      </c>
      <c r="V167" s="2" t="s">
        <v>40</v>
      </c>
      <c r="W167" s="2" t="s">
        <v>1418</v>
      </c>
      <c r="X167" s="2" t="s">
        <v>1789</v>
      </c>
      <c r="Y167" s="2" t="s">
        <v>44</v>
      </c>
      <c r="Z167" s="2"/>
      <c r="AA167" s="2" t="s">
        <v>45</v>
      </c>
      <c r="AB167" s="2" t="s">
        <v>46</v>
      </c>
      <c r="AC167" s="2" t="s">
        <v>45</v>
      </c>
      <c r="AE167" s="2" t="s">
        <v>48</v>
      </c>
      <c r="AF167" s="2" t="s">
        <v>49</v>
      </c>
      <c r="AG167" s="2">
        <v>100</v>
      </c>
      <c r="AH167" s="2">
        <v>90</v>
      </c>
      <c r="AJ167" s="2" t="s">
        <v>1791</v>
      </c>
      <c r="AK167" s="2"/>
      <c r="AL167" s="2"/>
      <c r="AM167" s="2" t="s">
        <v>52</v>
      </c>
    </row>
    <row r="168" spans="1:39" x14ac:dyDescent="0.45">
      <c r="A168" s="2" t="s">
        <v>1792</v>
      </c>
      <c r="B168" s="2"/>
      <c r="C168" s="2" t="s">
        <v>1794</v>
      </c>
      <c r="D168" s="2" t="s">
        <v>1796</v>
      </c>
      <c r="E168" s="25"/>
      <c r="F168" s="21"/>
      <c r="G168" s="42" t="s">
        <v>28000</v>
      </c>
      <c r="H168" s="2" t="s">
        <v>50</v>
      </c>
      <c r="I168" s="2" t="s">
        <v>1800</v>
      </c>
      <c r="J168" s="2" t="s">
        <v>1793</v>
      </c>
      <c r="K168" s="2" t="s">
        <v>1795</v>
      </c>
      <c r="L168" s="2" t="s">
        <v>1797</v>
      </c>
      <c r="M168" s="2" t="s">
        <v>1797</v>
      </c>
      <c r="N168" s="2" t="s">
        <v>174</v>
      </c>
      <c r="O168" s="2" t="s">
        <v>175</v>
      </c>
      <c r="P168" s="2" t="s">
        <v>1798</v>
      </c>
      <c r="Q168" s="2" t="s">
        <v>1795</v>
      </c>
      <c r="R168" s="2"/>
      <c r="S168" s="2"/>
      <c r="T168" s="2"/>
      <c r="U168" s="2" t="s">
        <v>174</v>
      </c>
      <c r="V168" s="2" t="s">
        <v>175</v>
      </c>
      <c r="W168" s="2" t="s">
        <v>1798</v>
      </c>
      <c r="X168" s="2" t="s">
        <v>1799</v>
      </c>
      <c r="Y168" s="2" t="s">
        <v>44</v>
      </c>
      <c r="Z168" s="2"/>
      <c r="AA168" s="2" t="s">
        <v>45</v>
      </c>
      <c r="AB168" s="2" t="s">
        <v>199</v>
      </c>
      <c r="AC168" s="2" t="s">
        <v>45</v>
      </c>
      <c r="AE168" s="2" t="s">
        <v>48</v>
      </c>
      <c r="AF168" s="2" t="s">
        <v>49</v>
      </c>
      <c r="AG168" s="2">
        <v>100</v>
      </c>
      <c r="AH168" s="2">
        <v>90</v>
      </c>
      <c r="AJ168" s="2" t="s">
        <v>1801</v>
      </c>
      <c r="AK168" s="2"/>
      <c r="AL168" s="2"/>
      <c r="AM168" s="2" t="s">
        <v>52</v>
      </c>
    </row>
    <row r="169" spans="1:39" x14ac:dyDescent="0.45">
      <c r="A169" s="2" t="s">
        <v>1802</v>
      </c>
      <c r="B169" s="2"/>
      <c r="C169" s="2" t="s">
        <v>1804</v>
      </c>
      <c r="D169" s="2" t="s">
        <v>1806</v>
      </c>
      <c r="E169" s="25"/>
      <c r="F169" s="21"/>
      <c r="G169" s="42" t="s">
        <v>28000</v>
      </c>
      <c r="H169" s="2" t="s">
        <v>50</v>
      </c>
      <c r="I169" s="2" t="s">
        <v>1810</v>
      </c>
      <c r="J169" s="2" t="s">
        <v>1803</v>
      </c>
      <c r="K169" s="2" t="s">
        <v>1805</v>
      </c>
      <c r="L169" s="2" t="s">
        <v>1807</v>
      </c>
      <c r="M169" s="2" t="s">
        <v>1807</v>
      </c>
      <c r="N169" s="2" t="s">
        <v>72</v>
      </c>
      <c r="O169" s="2" t="s">
        <v>73</v>
      </c>
      <c r="P169" s="2" t="s">
        <v>1808</v>
      </c>
      <c r="Q169" s="2" t="s">
        <v>1805</v>
      </c>
      <c r="R169" s="2"/>
      <c r="S169" s="2"/>
      <c r="T169" s="2"/>
      <c r="U169" s="2" t="s">
        <v>72</v>
      </c>
      <c r="V169" s="2" t="s">
        <v>73</v>
      </c>
      <c r="W169" s="2" t="s">
        <v>1808</v>
      </c>
      <c r="X169" s="2" t="s">
        <v>1809</v>
      </c>
      <c r="Y169" s="2" t="s">
        <v>44</v>
      </c>
      <c r="Z169" s="2"/>
      <c r="AA169" s="2" t="s">
        <v>45</v>
      </c>
      <c r="AB169" s="2" t="s">
        <v>46</v>
      </c>
      <c r="AC169" s="2" t="s">
        <v>45</v>
      </c>
      <c r="AE169" s="2" t="s">
        <v>48</v>
      </c>
      <c r="AF169" s="2" t="s">
        <v>49</v>
      </c>
      <c r="AG169" s="2">
        <v>100</v>
      </c>
      <c r="AH169" s="2">
        <v>90</v>
      </c>
      <c r="AJ169" s="2" t="s">
        <v>1811</v>
      </c>
      <c r="AK169" s="2"/>
      <c r="AL169" s="2"/>
      <c r="AM169" s="2" t="s">
        <v>52</v>
      </c>
    </row>
    <row r="170" spans="1:39" x14ac:dyDescent="0.45">
      <c r="A170" s="2" t="s">
        <v>1812</v>
      </c>
      <c r="B170" s="2"/>
      <c r="C170" s="2" t="s">
        <v>1814</v>
      </c>
      <c r="D170" s="2" t="s">
        <v>1816</v>
      </c>
      <c r="E170" s="25"/>
      <c r="F170" s="21"/>
      <c r="G170" s="42" t="s">
        <v>28000</v>
      </c>
      <c r="H170" s="2" t="s">
        <v>50</v>
      </c>
      <c r="I170" s="2" t="s">
        <v>1820</v>
      </c>
      <c r="J170" s="2" t="s">
        <v>1813</v>
      </c>
      <c r="K170" s="2" t="s">
        <v>1815</v>
      </c>
      <c r="L170" s="2" t="s">
        <v>1817</v>
      </c>
      <c r="M170" s="2"/>
      <c r="N170" s="2" t="s">
        <v>536</v>
      </c>
      <c r="O170" s="2" t="s">
        <v>537</v>
      </c>
      <c r="P170" s="2" t="s">
        <v>1818</v>
      </c>
      <c r="Q170" s="2" t="s">
        <v>1815</v>
      </c>
      <c r="R170" s="2"/>
      <c r="S170" s="2"/>
      <c r="T170" s="2"/>
      <c r="U170" s="2" t="s">
        <v>536</v>
      </c>
      <c r="V170" s="2" t="s">
        <v>537</v>
      </c>
      <c r="W170" s="2" t="s">
        <v>1818</v>
      </c>
      <c r="X170" s="2" t="s">
        <v>1819</v>
      </c>
      <c r="Y170" s="2" t="s">
        <v>44</v>
      </c>
      <c r="Z170" s="2"/>
      <c r="AA170" s="2" t="s">
        <v>45</v>
      </c>
      <c r="AB170" s="2" t="s">
        <v>46</v>
      </c>
      <c r="AC170" s="2" t="s">
        <v>45</v>
      </c>
      <c r="AE170" s="2" t="s">
        <v>48</v>
      </c>
      <c r="AF170" s="2" t="s">
        <v>49</v>
      </c>
      <c r="AG170" s="2">
        <v>100</v>
      </c>
      <c r="AH170" s="2">
        <v>90</v>
      </c>
      <c r="AJ170" s="2" t="s">
        <v>1821</v>
      </c>
      <c r="AK170" s="2"/>
      <c r="AL170" s="2"/>
      <c r="AM170" s="2" t="s">
        <v>52</v>
      </c>
    </row>
    <row r="171" spans="1:39" x14ac:dyDescent="0.45">
      <c r="A171" s="2" t="s">
        <v>1822</v>
      </c>
      <c r="B171" s="2"/>
      <c r="C171" s="2" t="s">
        <v>1824</v>
      </c>
      <c r="D171" s="2" t="s">
        <v>1826</v>
      </c>
      <c r="E171" s="25"/>
      <c r="F171" s="21"/>
      <c r="G171" s="42" t="s">
        <v>28000</v>
      </c>
      <c r="H171" s="2" t="s">
        <v>50</v>
      </c>
      <c r="I171" s="2" t="s">
        <v>1828</v>
      </c>
      <c r="J171" s="2" t="s">
        <v>1823</v>
      </c>
      <c r="K171" s="2" t="s">
        <v>1825</v>
      </c>
      <c r="L171" s="2" t="s">
        <v>1827</v>
      </c>
      <c r="M171" s="2"/>
      <c r="N171" s="2" t="s">
        <v>72</v>
      </c>
      <c r="O171" s="2" t="s">
        <v>73</v>
      </c>
      <c r="P171" s="2" t="s">
        <v>119</v>
      </c>
      <c r="Q171" s="2" t="s">
        <v>1825</v>
      </c>
      <c r="R171" s="2"/>
      <c r="S171" s="2"/>
      <c r="T171" s="2"/>
      <c r="U171" s="2" t="s">
        <v>72</v>
      </c>
      <c r="V171" s="2" t="s">
        <v>73</v>
      </c>
      <c r="W171" s="2" t="s">
        <v>119</v>
      </c>
      <c r="X171" s="2" t="s">
        <v>1819</v>
      </c>
      <c r="Y171" s="2" t="s">
        <v>44</v>
      </c>
      <c r="Z171" s="2"/>
      <c r="AA171" s="2" t="s">
        <v>45</v>
      </c>
      <c r="AB171" s="2" t="s">
        <v>46</v>
      </c>
      <c r="AC171" s="2" t="s">
        <v>45</v>
      </c>
      <c r="AE171" s="2" t="s">
        <v>48</v>
      </c>
      <c r="AF171" s="2" t="s">
        <v>49</v>
      </c>
      <c r="AG171" s="2">
        <v>100</v>
      </c>
      <c r="AH171" s="2">
        <v>90</v>
      </c>
      <c r="AJ171" s="2" t="s">
        <v>1829</v>
      </c>
      <c r="AK171" s="2"/>
      <c r="AL171" s="2"/>
      <c r="AM171" s="2" t="s">
        <v>52</v>
      </c>
    </row>
    <row r="172" spans="1:39" x14ac:dyDescent="0.45">
      <c r="A172" s="2" t="s">
        <v>1830</v>
      </c>
      <c r="B172" s="2"/>
      <c r="C172" s="2" t="s">
        <v>1832</v>
      </c>
      <c r="D172" s="2" t="s">
        <v>1834</v>
      </c>
      <c r="E172" s="25"/>
      <c r="F172" s="21"/>
      <c r="G172" s="42" t="s">
        <v>28000</v>
      </c>
      <c r="H172" s="2" t="s">
        <v>50</v>
      </c>
      <c r="I172" s="2" t="s">
        <v>1839</v>
      </c>
      <c r="J172" s="2" t="s">
        <v>1831</v>
      </c>
      <c r="K172" s="2" t="s">
        <v>1833</v>
      </c>
      <c r="L172" s="2" t="s">
        <v>1835</v>
      </c>
      <c r="M172" s="2" t="s">
        <v>1835</v>
      </c>
      <c r="N172" s="2" t="s">
        <v>72</v>
      </c>
      <c r="O172" s="2" t="s">
        <v>73</v>
      </c>
      <c r="P172" s="2" t="s">
        <v>1295</v>
      </c>
      <c r="Q172" s="2" t="s">
        <v>1836</v>
      </c>
      <c r="R172" s="2"/>
      <c r="S172" s="2"/>
      <c r="T172" s="2"/>
      <c r="U172" s="2" t="s">
        <v>384</v>
      </c>
      <c r="V172" s="2" t="s">
        <v>73</v>
      </c>
      <c r="W172" s="2" t="s">
        <v>1837</v>
      </c>
      <c r="X172" s="2" t="s">
        <v>1838</v>
      </c>
      <c r="Y172" s="2" t="s">
        <v>44</v>
      </c>
      <c r="Z172" s="2"/>
      <c r="AA172" s="2" t="s">
        <v>45</v>
      </c>
      <c r="AB172" s="2" t="s">
        <v>46</v>
      </c>
      <c r="AC172" s="2" t="s">
        <v>45</v>
      </c>
      <c r="AE172" s="2" t="s">
        <v>48</v>
      </c>
      <c r="AF172" s="2" t="s">
        <v>49</v>
      </c>
      <c r="AG172" s="2">
        <v>100</v>
      </c>
      <c r="AH172" s="2">
        <v>90</v>
      </c>
      <c r="AJ172" s="2" t="s">
        <v>1840</v>
      </c>
      <c r="AK172" s="2"/>
      <c r="AL172" s="2"/>
      <c r="AM172" s="2" t="s">
        <v>52</v>
      </c>
    </row>
    <row r="173" spans="1:39" x14ac:dyDescent="0.45">
      <c r="A173" s="2" t="s">
        <v>1841</v>
      </c>
      <c r="B173" s="2"/>
      <c r="C173" s="2" t="s">
        <v>1843</v>
      </c>
      <c r="D173" s="2" t="s">
        <v>1845</v>
      </c>
      <c r="E173" s="25"/>
      <c r="F173" s="21"/>
      <c r="G173" s="42" t="s">
        <v>28000</v>
      </c>
      <c r="H173" s="2" t="s">
        <v>50</v>
      </c>
      <c r="I173" s="2" t="s">
        <v>1848</v>
      </c>
      <c r="J173" s="2" t="s">
        <v>1842</v>
      </c>
      <c r="K173" s="2" t="s">
        <v>1844</v>
      </c>
      <c r="L173" s="2" t="s">
        <v>1846</v>
      </c>
      <c r="M173" s="2" t="s">
        <v>1846</v>
      </c>
      <c r="N173" s="2" t="s">
        <v>72</v>
      </c>
      <c r="O173" s="2" t="s">
        <v>73</v>
      </c>
      <c r="P173" s="2" t="s">
        <v>98</v>
      </c>
      <c r="Q173" s="2" t="s">
        <v>1847</v>
      </c>
      <c r="R173" s="2"/>
      <c r="S173" s="2"/>
      <c r="T173" s="2"/>
      <c r="U173" s="2" t="s">
        <v>72</v>
      </c>
      <c r="V173" s="2" t="s">
        <v>73</v>
      </c>
      <c r="W173" s="2" t="s">
        <v>474</v>
      </c>
      <c r="X173" s="2" t="s">
        <v>346</v>
      </c>
      <c r="Y173" s="2" t="s">
        <v>44</v>
      </c>
      <c r="Z173" s="2"/>
      <c r="AA173" s="2" t="s">
        <v>45</v>
      </c>
      <c r="AB173" s="2" t="s">
        <v>46</v>
      </c>
      <c r="AC173" s="2" t="s">
        <v>45</v>
      </c>
      <c r="AE173" s="2" t="s">
        <v>48</v>
      </c>
      <c r="AF173" s="2" t="s">
        <v>49</v>
      </c>
      <c r="AG173" s="2">
        <v>100</v>
      </c>
      <c r="AH173" s="2">
        <v>90</v>
      </c>
      <c r="AJ173" s="2" t="s">
        <v>1849</v>
      </c>
      <c r="AK173" s="2"/>
      <c r="AL173" s="2"/>
      <c r="AM173" s="2" t="s">
        <v>52</v>
      </c>
    </row>
    <row r="174" spans="1:39" x14ac:dyDescent="0.45">
      <c r="A174" s="2" t="s">
        <v>1850</v>
      </c>
      <c r="B174" s="2"/>
      <c r="C174" s="2" t="s">
        <v>1852</v>
      </c>
      <c r="D174" s="2" t="s">
        <v>1854</v>
      </c>
      <c r="E174" s="25"/>
      <c r="F174" s="21"/>
      <c r="G174" s="42" t="s">
        <v>28000</v>
      </c>
      <c r="H174" s="2" t="s">
        <v>50</v>
      </c>
      <c r="I174" s="2" t="s">
        <v>1858</v>
      </c>
      <c r="J174" s="2" t="s">
        <v>1851</v>
      </c>
      <c r="K174" s="2" t="s">
        <v>1853</v>
      </c>
      <c r="L174" s="2" t="s">
        <v>1855</v>
      </c>
      <c r="M174" s="2" t="s">
        <v>1855</v>
      </c>
      <c r="N174" s="2" t="s">
        <v>72</v>
      </c>
      <c r="O174" s="2" t="s">
        <v>73</v>
      </c>
      <c r="P174" s="2" t="s">
        <v>1164</v>
      </c>
      <c r="Q174" s="2" t="s">
        <v>1856</v>
      </c>
      <c r="R174" s="2"/>
      <c r="S174" s="2"/>
      <c r="T174" s="2"/>
      <c r="U174" s="2" t="s">
        <v>72</v>
      </c>
      <c r="V174" s="2" t="s">
        <v>73</v>
      </c>
      <c r="W174" s="2" t="s">
        <v>1164</v>
      </c>
      <c r="X174" s="2" t="s">
        <v>1857</v>
      </c>
      <c r="Y174" s="2" t="s">
        <v>44</v>
      </c>
      <c r="Z174" s="2"/>
      <c r="AA174" s="2" t="s">
        <v>45</v>
      </c>
      <c r="AB174" s="2" t="s">
        <v>46</v>
      </c>
      <c r="AC174" s="2" t="s">
        <v>45</v>
      </c>
      <c r="AE174" s="2" t="s">
        <v>48</v>
      </c>
      <c r="AF174" s="2" t="s">
        <v>49</v>
      </c>
      <c r="AG174" s="2">
        <v>100</v>
      </c>
      <c r="AH174" s="2">
        <v>90</v>
      </c>
      <c r="AJ174" s="2" t="s">
        <v>1859</v>
      </c>
      <c r="AK174" s="2"/>
      <c r="AL174" s="2"/>
      <c r="AM174" s="2" t="s">
        <v>52</v>
      </c>
    </row>
    <row r="175" spans="1:39" x14ac:dyDescent="0.45">
      <c r="A175" s="2" t="s">
        <v>1860</v>
      </c>
      <c r="B175" s="2"/>
      <c r="C175" s="2" t="s">
        <v>1862</v>
      </c>
      <c r="D175" s="2" t="s">
        <v>1864</v>
      </c>
      <c r="E175" s="25"/>
      <c r="F175" s="21"/>
      <c r="G175" s="42" t="s">
        <v>28000</v>
      </c>
      <c r="H175" s="2" t="s">
        <v>50</v>
      </c>
      <c r="I175" s="2" t="s">
        <v>1869</v>
      </c>
      <c r="J175" s="2" t="s">
        <v>1861</v>
      </c>
      <c r="K175" s="2" t="s">
        <v>1863</v>
      </c>
      <c r="L175" s="2" t="s">
        <v>1865</v>
      </c>
      <c r="M175" s="2" t="s">
        <v>1866</v>
      </c>
      <c r="N175" s="2" t="s">
        <v>72</v>
      </c>
      <c r="O175" s="2" t="s">
        <v>73</v>
      </c>
      <c r="P175" s="2" t="s">
        <v>140</v>
      </c>
      <c r="Q175" s="2" t="s">
        <v>1867</v>
      </c>
      <c r="R175" s="2"/>
      <c r="S175" s="2"/>
      <c r="T175" s="2"/>
      <c r="U175" s="2" t="s">
        <v>72</v>
      </c>
      <c r="V175" s="2" t="s">
        <v>73</v>
      </c>
      <c r="W175" s="2" t="s">
        <v>119</v>
      </c>
      <c r="X175" s="2" t="s">
        <v>1868</v>
      </c>
      <c r="Y175" s="2" t="s">
        <v>44</v>
      </c>
      <c r="Z175" s="2"/>
      <c r="AA175" s="2" t="s">
        <v>45</v>
      </c>
      <c r="AB175" s="2" t="s">
        <v>46</v>
      </c>
      <c r="AC175" s="2" t="s">
        <v>45</v>
      </c>
      <c r="AE175" s="2" t="s">
        <v>48</v>
      </c>
      <c r="AF175" s="2" t="s">
        <v>49</v>
      </c>
      <c r="AG175" s="2">
        <v>100</v>
      </c>
      <c r="AH175" s="2">
        <v>90</v>
      </c>
      <c r="AJ175" s="2" t="s">
        <v>1870</v>
      </c>
      <c r="AK175" s="2"/>
      <c r="AL175" s="2"/>
      <c r="AM175" s="2" t="s">
        <v>52</v>
      </c>
    </row>
    <row r="176" spans="1:39" x14ac:dyDescent="0.45">
      <c r="A176" s="2" t="s">
        <v>1871</v>
      </c>
      <c r="B176" s="2"/>
      <c r="C176" s="2" t="s">
        <v>1873</v>
      </c>
      <c r="D176" s="2" t="s">
        <v>1875</v>
      </c>
      <c r="E176" s="25"/>
      <c r="F176" s="21"/>
      <c r="G176" s="42" t="s">
        <v>28000</v>
      </c>
      <c r="H176" s="2" t="s">
        <v>50</v>
      </c>
      <c r="I176" s="2" t="s">
        <v>1879</v>
      </c>
      <c r="J176" s="2" t="s">
        <v>1872</v>
      </c>
      <c r="K176" s="2" t="s">
        <v>1874</v>
      </c>
      <c r="L176" s="2" t="s">
        <v>1876</v>
      </c>
      <c r="M176" s="2" t="s">
        <v>1876</v>
      </c>
      <c r="N176" s="2" t="s">
        <v>39</v>
      </c>
      <c r="O176" s="2" t="s">
        <v>40</v>
      </c>
      <c r="P176" s="2" t="s">
        <v>1877</v>
      </c>
      <c r="Q176" s="2" t="s">
        <v>1874</v>
      </c>
      <c r="R176" s="2"/>
      <c r="S176" s="2"/>
      <c r="T176" s="2"/>
      <c r="U176" s="2" t="s">
        <v>39</v>
      </c>
      <c r="V176" s="2" t="s">
        <v>40</v>
      </c>
      <c r="W176" s="2" t="s">
        <v>1877</v>
      </c>
      <c r="X176" s="2" t="s">
        <v>1878</v>
      </c>
      <c r="Y176" s="2" t="s">
        <v>44</v>
      </c>
      <c r="Z176" s="2"/>
      <c r="AA176" s="2" t="s">
        <v>45</v>
      </c>
      <c r="AB176" s="2" t="s">
        <v>46</v>
      </c>
      <c r="AC176" s="2" t="s">
        <v>45</v>
      </c>
      <c r="AE176" s="2" t="s">
        <v>48</v>
      </c>
      <c r="AF176" s="2" t="s">
        <v>49</v>
      </c>
      <c r="AG176" s="2">
        <v>100</v>
      </c>
      <c r="AH176" s="2">
        <v>90</v>
      </c>
      <c r="AJ176" s="2" t="s">
        <v>1880</v>
      </c>
      <c r="AK176" s="2"/>
      <c r="AL176" s="2"/>
      <c r="AM176" s="2" t="s">
        <v>52</v>
      </c>
    </row>
    <row r="177" spans="1:39" x14ac:dyDescent="0.45">
      <c r="A177" s="2" t="s">
        <v>1881</v>
      </c>
      <c r="B177" s="2"/>
      <c r="C177" s="2" t="s">
        <v>1883</v>
      </c>
      <c r="D177" s="2" t="s">
        <v>1885</v>
      </c>
      <c r="E177" s="25"/>
      <c r="F177" s="21"/>
      <c r="G177" s="42" t="s">
        <v>28000</v>
      </c>
      <c r="H177" s="2" t="s">
        <v>50</v>
      </c>
      <c r="I177" s="2" t="s">
        <v>1888</v>
      </c>
      <c r="J177" s="2" t="s">
        <v>1882</v>
      </c>
      <c r="K177" s="2" t="s">
        <v>1884</v>
      </c>
      <c r="L177" s="2" t="s">
        <v>1886</v>
      </c>
      <c r="M177" s="2" t="s">
        <v>1886</v>
      </c>
      <c r="N177" s="2" t="s">
        <v>72</v>
      </c>
      <c r="O177" s="2" t="s">
        <v>73</v>
      </c>
      <c r="P177" s="2" t="s">
        <v>74</v>
      </c>
      <c r="Q177" s="2" t="s">
        <v>1884</v>
      </c>
      <c r="R177" s="2"/>
      <c r="S177" s="2"/>
      <c r="T177" s="2"/>
      <c r="U177" s="2" t="s">
        <v>72</v>
      </c>
      <c r="V177" s="2" t="s">
        <v>73</v>
      </c>
      <c r="W177" s="2" t="s">
        <v>74</v>
      </c>
      <c r="X177" s="2" t="s">
        <v>1887</v>
      </c>
      <c r="Y177" s="2" t="s">
        <v>44</v>
      </c>
      <c r="Z177" s="2"/>
      <c r="AA177" s="2" t="s">
        <v>45</v>
      </c>
      <c r="AB177" s="2" t="s">
        <v>46</v>
      </c>
      <c r="AC177" s="2" t="s">
        <v>45</v>
      </c>
      <c r="AE177" s="2" t="s">
        <v>48</v>
      </c>
      <c r="AF177" s="2" t="s">
        <v>49</v>
      </c>
      <c r="AG177" s="2">
        <v>100</v>
      </c>
      <c r="AH177" s="2">
        <v>90</v>
      </c>
      <c r="AJ177" s="2" t="s">
        <v>1889</v>
      </c>
      <c r="AK177" s="2"/>
      <c r="AL177" s="2"/>
      <c r="AM177" s="2" t="s">
        <v>52</v>
      </c>
    </row>
    <row r="178" spans="1:39" x14ac:dyDescent="0.45">
      <c r="A178" s="2" t="s">
        <v>1890</v>
      </c>
      <c r="B178" s="2"/>
      <c r="C178" s="2" t="s">
        <v>1892</v>
      </c>
      <c r="D178" s="2" t="s">
        <v>1894</v>
      </c>
      <c r="E178" s="25"/>
      <c r="F178" s="21"/>
      <c r="G178" s="42" t="s">
        <v>28000</v>
      </c>
      <c r="H178" s="2" t="s">
        <v>50</v>
      </c>
      <c r="I178" s="2" t="s">
        <v>1898</v>
      </c>
      <c r="J178" s="2" t="s">
        <v>1891</v>
      </c>
      <c r="K178" s="2" t="s">
        <v>1893</v>
      </c>
      <c r="L178" s="2" t="s">
        <v>1895</v>
      </c>
      <c r="M178" s="2" t="s">
        <v>1895</v>
      </c>
      <c r="N178" s="2" t="s">
        <v>72</v>
      </c>
      <c r="O178" s="2" t="s">
        <v>73</v>
      </c>
      <c r="P178" s="2" t="s">
        <v>1896</v>
      </c>
      <c r="Q178" s="2" t="s">
        <v>1893</v>
      </c>
      <c r="R178" s="2"/>
      <c r="S178" s="2"/>
      <c r="T178" s="2"/>
      <c r="U178" s="2" t="s">
        <v>72</v>
      </c>
      <c r="V178" s="2" t="s">
        <v>73</v>
      </c>
      <c r="W178" s="2" t="s">
        <v>1896</v>
      </c>
      <c r="X178" s="2" t="s">
        <v>1897</v>
      </c>
      <c r="Y178" s="2" t="s">
        <v>44</v>
      </c>
      <c r="Z178" s="2"/>
      <c r="AA178" s="2" t="s">
        <v>45</v>
      </c>
      <c r="AB178" s="2" t="s">
        <v>46</v>
      </c>
      <c r="AC178" s="2" t="s">
        <v>45</v>
      </c>
      <c r="AE178" s="2" t="s">
        <v>48</v>
      </c>
      <c r="AF178" s="2" t="s">
        <v>49</v>
      </c>
      <c r="AG178" s="2">
        <v>100</v>
      </c>
      <c r="AH178" s="2">
        <v>90</v>
      </c>
      <c r="AJ178" s="2" t="s">
        <v>1899</v>
      </c>
      <c r="AK178" s="2"/>
      <c r="AL178" s="2"/>
      <c r="AM178" s="2" t="s">
        <v>52</v>
      </c>
    </row>
    <row r="179" spans="1:39" x14ac:dyDescent="0.45">
      <c r="A179" s="2" t="s">
        <v>1900</v>
      </c>
      <c r="B179" s="2"/>
      <c r="C179" s="2" t="s">
        <v>1902</v>
      </c>
      <c r="D179" s="2" t="s">
        <v>1904</v>
      </c>
      <c r="E179" s="25"/>
      <c r="F179" s="21"/>
      <c r="G179" s="42" t="s">
        <v>28000</v>
      </c>
      <c r="H179" s="2" t="s">
        <v>50</v>
      </c>
      <c r="I179" s="2" t="s">
        <v>1909</v>
      </c>
      <c r="J179" s="2" t="s">
        <v>1901</v>
      </c>
      <c r="K179" s="2" t="s">
        <v>1903</v>
      </c>
      <c r="L179" s="2" t="s">
        <v>1905</v>
      </c>
      <c r="M179" s="2" t="s">
        <v>1905</v>
      </c>
      <c r="N179" s="2" t="s">
        <v>384</v>
      </c>
      <c r="O179" s="2" t="s">
        <v>73</v>
      </c>
      <c r="P179" s="2" t="s">
        <v>1906</v>
      </c>
      <c r="Q179" s="2" t="s">
        <v>1907</v>
      </c>
      <c r="R179" s="2"/>
      <c r="S179" s="2"/>
      <c r="T179" s="2"/>
      <c r="U179" s="2" t="s">
        <v>384</v>
      </c>
      <c r="V179" s="2" t="s">
        <v>73</v>
      </c>
      <c r="W179" s="2" t="s">
        <v>1906</v>
      </c>
      <c r="X179" s="2" t="s">
        <v>1908</v>
      </c>
      <c r="Y179" s="2" t="s">
        <v>44</v>
      </c>
      <c r="Z179" s="2"/>
      <c r="AA179" s="2" t="s">
        <v>45</v>
      </c>
      <c r="AB179" s="2" t="s">
        <v>46</v>
      </c>
      <c r="AC179" s="2" t="s">
        <v>45</v>
      </c>
      <c r="AE179" s="2" t="s">
        <v>48</v>
      </c>
      <c r="AF179" s="2" t="s">
        <v>49</v>
      </c>
      <c r="AG179" s="2">
        <v>100</v>
      </c>
      <c r="AH179" s="2">
        <v>90</v>
      </c>
      <c r="AJ179" s="2" t="s">
        <v>1910</v>
      </c>
      <c r="AK179" s="2"/>
      <c r="AL179" s="2"/>
      <c r="AM179" s="2" t="s">
        <v>52</v>
      </c>
    </row>
    <row r="180" spans="1:39" x14ac:dyDescent="0.45">
      <c r="A180" s="2" t="s">
        <v>1911</v>
      </c>
      <c r="B180" s="2"/>
      <c r="C180" s="2" t="s">
        <v>1913</v>
      </c>
      <c r="D180" s="2" t="s">
        <v>1915</v>
      </c>
      <c r="E180" s="25"/>
      <c r="F180" s="21"/>
      <c r="G180" s="42" t="s">
        <v>28000</v>
      </c>
      <c r="H180" s="2" t="s">
        <v>50</v>
      </c>
      <c r="I180" s="2" t="s">
        <v>1918</v>
      </c>
      <c r="J180" s="2" t="s">
        <v>1912</v>
      </c>
      <c r="K180" s="2" t="s">
        <v>1914</v>
      </c>
      <c r="L180" s="2" t="s">
        <v>1916</v>
      </c>
      <c r="M180" s="2"/>
      <c r="N180" s="2" t="s">
        <v>72</v>
      </c>
      <c r="O180" s="2" t="s">
        <v>73</v>
      </c>
      <c r="P180" s="2" t="s">
        <v>74</v>
      </c>
      <c r="Q180" s="2" t="s">
        <v>1914</v>
      </c>
      <c r="R180" s="2"/>
      <c r="S180" s="2"/>
      <c r="T180" s="2"/>
      <c r="U180" s="2" t="s">
        <v>72</v>
      </c>
      <c r="V180" s="2" t="s">
        <v>73</v>
      </c>
      <c r="W180" s="2" t="s">
        <v>74</v>
      </c>
      <c r="X180" s="2" t="s">
        <v>1917</v>
      </c>
      <c r="Y180" s="2" t="s">
        <v>44</v>
      </c>
      <c r="Z180" s="2"/>
      <c r="AA180" s="2" t="s">
        <v>45</v>
      </c>
      <c r="AB180" s="2" t="s">
        <v>46</v>
      </c>
      <c r="AC180" s="2" t="s">
        <v>45</v>
      </c>
      <c r="AE180" s="2" t="s">
        <v>48</v>
      </c>
      <c r="AF180" s="2" t="s">
        <v>49</v>
      </c>
      <c r="AG180" s="2">
        <v>100</v>
      </c>
      <c r="AH180" s="2">
        <v>90</v>
      </c>
      <c r="AJ180" s="2" t="s">
        <v>1919</v>
      </c>
      <c r="AK180" s="2"/>
      <c r="AL180" s="2"/>
      <c r="AM180" s="2" t="s">
        <v>52</v>
      </c>
    </row>
    <row r="181" spans="1:39" x14ac:dyDescent="0.45">
      <c r="A181" s="2" t="s">
        <v>1920</v>
      </c>
      <c r="B181" s="2"/>
      <c r="C181" s="2" t="s">
        <v>1922</v>
      </c>
      <c r="D181" s="2" t="s">
        <v>1924</v>
      </c>
      <c r="E181" s="25"/>
      <c r="F181" s="21"/>
      <c r="G181" s="42" t="s">
        <v>28000</v>
      </c>
      <c r="H181" s="2" t="s">
        <v>50</v>
      </c>
      <c r="I181" s="2" t="s">
        <v>1927</v>
      </c>
      <c r="J181" s="2" t="s">
        <v>1921</v>
      </c>
      <c r="K181" s="2" t="s">
        <v>1923</v>
      </c>
      <c r="L181" s="2" t="s">
        <v>1925</v>
      </c>
      <c r="M181" s="2" t="s">
        <v>1925</v>
      </c>
      <c r="N181" s="2" t="s">
        <v>72</v>
      </c>
      <c r="O181" s="2" t="s">
        <v>73</v>
      </c>
      <c r="P181" s="2" t="s">
        <v>187</v>
      </c>
      <c r="Q181" s="2" t="s">
        <v>1923</v>
      </c>
      <c r="R181" s="2"/>
      <c r="S181" s="2"/>
      <c r="T181" s="2"/>
      <c r="U181" s="2" t="s">
        <v>72</v>
      </c>
      <c r="V181" s="2" t="s">
        <v>73</v>
      </c>
      <c r="W181" s="2" t="s">
        <v>187</v>
      </c>
      <c r="X181" s="2" t="s">
        <v>1926</v>
      </c>
      <c r="Y181" s="2" t="s">
        <v>44</v>
      </c>
      <c r="Z181" s="2"/>
      <c r="AA181" s="2" t="s">
        <v>45</v>
      </c>
      <c r="AB181" s="2" t="s">
        <v>46</v>
      </c>
      <c r="AC181" s="2" t="s">
        <v>45</v>
      </c>
      <c r="AE181" s="2" t="s">
        <v>48</v>
      </c>
      <c r="AF181" s="2" t="s">
        <v>49</v>
      </c>
      <c r="AG181" s="2">
        <v>100</v>
      </c>
      <c r="AH181" s="2">
        <v>90</v>
      </c>
      <c r="AJ181" s="2" t="s">
        <v>1928</v>
      </c>
      <c r="AK181" s="2"/>
      <c r="AL181" s="2"/>
      <c r="AM181" s="2" t="s">
        <v>52</v>
      </c>
    </row>
    <row r="182" spans="1:39" x14ac:dyDescent="0.45">
      <c r="A182" s="2" t="s">
        <v>1929</v>
      </c>
      <c r="B182" s="2"/>
      <c r="C182" s="2" t="s">
        <v>1931</v>
      </c>
      <c r="D182" s="2" t="s">
        <v>1933</v>
      </c>
      <c r="E182" s="25"/>
      <c r="F182" s="21"/>
      <c r="G182" s="42" t="s">
        <v>28000</v>
      </c>
      <c r="H182" s="2" t="s">
        <v>50</v>
      </c>
      <c r="I182" s="2" t="s">
        <v>1937</v>
      </c>
      <c r="J182" s="2" t="s">
        <v>1930</v>
      </c>
      <c r="K182" s="2" t="s">
        <v>1932</v>
      </c>
      <c r="L182" s="2" t="s">
        <v>1934</v>
      </c>
      <c r="M182" s="2" t="s">
        <v>1934</v>
      </c>
      <c r="N182" s="2" t="s">
        <v>72</v>
      </c>
      <c r="O182" s="2" t="s">
        <v>73</v>
      </c>
      <c r="P182" s="2" t="s">
        <v>74</v>
      </c>
      <c r="Q182" s="2" t="s">
        <v>1935</v>
      </c>
      <c r="R182" s="2"/>
      <c r="S182" s="2"/>
      <c r="T182" s="2"/>
      <c r="U182" s="2" t="s">
        <v>72</v>
      </c>
      <c r="V182" s="2" t="s">
        <v>73</v>
      </c>
      <c r="W182" s="2" t="s">
        <v>74</v>
      </c>
      <c r="X182" s="2" t="s">
        <v>1936</v>
      </c>
      <c r="Y182" s="2" t="s">
        <v>44</v>
      </c>
      <c r="Z182" s="2"/>
      <c r="AA182" s="2" t="s">
        <v>45</v>
      </c>
      <c r="AB182" s="2" t="s">
        <v>199</v>
      </c>
      <c r="AC182" s="2" t="s">
        <v>45</v>
      </c>
      <c r="AE182" s="2" t="s">
        <v>48</v>
      </c>
      <c r="AF182" s="2" t="s">
        <v>49</v>
      </c>
      <c r="AG182" s="2">
        <v>100</v>
      </c>
      <c r="AH182" s="2">
        <v>90</v>
      </c>
      <c r="AJ182" s="2" t="s">
        <v>1938</v>
      </c>
      <c r="AK182" s="2"/>
      <c r="AL182" s="2"/>
      <c r="AM182" s="2" t="s">
        <v>52</v>
      </c>
    </row>
    <row r="183" spans="1:39" x14ac:dyDescent="0.45">
      <c r="A183" s="2" t="s">
        <v>1939</v>
      </c>
      <c r="B183" s="2"/>
      <c r="C183" s="2" t="s">
        <v>1941</v>
      </c>
      <c r="D183" s="2" t="s">
        <v>1943</v>
      </c>
      <c r="E183" s="25"/>
      <c r="F183" s="21"/>
      <c r="G183" s="42" t="s">
        <v>28000</v>
      </c>
      <c r="H183" s="2" t="s">
        <v>50</v>
      </c>
      <c r="I183" s="2" t="s">
        <v>1947</v>
      </c>
      <c r="J183" s="2" t="s">
        <v>1940</v>
      </c>
      <c r="K183" s="2" t="s">
        <v>1942</v>
      </c>
      <c r="L183" s="2" t="s">
        <v>1944</v>
      </c>
      <c r="M183" s="2"/>
      <c r="N183" s="2" t="s">
        <v>651</v>
      </c>
      <c r="O183" s="2" t="s">
        <v>86</v>
      </c>
      <c r="P183" s="2" t="s">
        <v>1945</v>
      </c>
      <c r="Q183" s="2" t="s">
        <v>1942</v>
      </c>
      <c r="R183" s="2"/>
      <c r="S183" s="2"/>
      <c r="T183" s="2"/>
      <c r="U183" s="2" t="s">
        <v>651</v>
      </c>
      <c r="V183" s="2" t="s">
        <v>86</v>
      </c>
      <c r="W183" s="2" t="s">
        <v>1945</v>
      </c>
      <c r="X183" s="2" t="s">
        <v>1946</v>
      </c>
      <c r="Y183" s="2" t="s">
        <v>44</v>
      </c>
      <c r="Z183" s="2"/>
      <c r="AA183" s="2" t="s">
        <v>45</v>
      </c>
      <c r="AB183" s="2" t="s">
        <v>46</v>
      </c>
      <c r="AC183" s="2" t="s">
        <v>45</v>
      </c>
      <c r="AE183" s="2" t="s">
        <v>48</v>
      </c>
      <c r="AF183" s="2" t="s">
        <v>49</v>
      </c>
      <c r="AG183" s="2">
        <v>100</v>
      </c>
      <c r="AH183" s="2">
        <v>90</v>
      </c>
      <c r="AJ183" s="2" t="s">
        <v>1948</v>
      </c>
      <c r="AK183" s="2"/>
      <c r="AL183" s="2"/>
      <c r="AM183" s="2" t="s">
        <v>52</v>
      </c>
    </row>
    <row r="184" spans="1:39" x14ac:dyDescent="0.45">
      <c r="A184" s="2" t="s">
        <v>1949</v>
      </c>
      <c r="B184" s="2"/>
      <c r="C184" s="2" t="s">
        <v>1951</v>
      </c>
      <c r="D184" s="2" t="s">
        <v>1953</v>
      </c>
      <c r="E184" s="25"/>
      <c r="F184" s="21"/>
      <c r="G184" s="42" t="s">
        <v>28000</v>
      </c>
      <c r="H184" s="2" t="s">
        <v>50</v>
      </c>
      <c r="I184" s="2" t="s">
        <v>1956</v>
      </c>
      <c r="J184" s="2" t="s">
        <v>1950</v>
      </c>
      <c r="K184" s="2" t="s">
        <v>1952</v>
      </c>
      <c r="L184" s="2" t="s">
        <v>1954</v>
      </c>
      <c r="M184" s="2" t="s">
        <v>1954</v>
      </c>
      <c r="N184" s="2" t="s">
        <v>72</v>
      </c>
      <c r="O184" s="2" t="s">
        <v>73</v>
      </c>
      <c r="P184" s="2" t="s">
        <v>791</v>
      </c>
      <c r="Q184" s="2" t="s">
        <v>1952</v>
      </c>
      <c r="R184" s="2"/>
      <c r="S184" s="2"/>
      <c r="T184" s="2"/>
      <c r="U184" s="2" t="s">
        <v>72</v>
      </c>
      <c r="V184" s="2" t="s">
        <v>73</v>
      </c>
      <c r="W184" s="2" t="s">
        <v>791</v>
      </c>
      <c r="X184" s="2" t="s">
        <v>1955</v>
      </c>
      <c r="Y184" s="2" t="s">
        <v>44</v>
      </c>
      <c r="Z184" s="2"/>
      <c r="AA184" s="2" t="s">
        <v>45</v>
      </c>
      <c r="AB184" s="2" t="s">
        <v>46</v>
      </c>
      <c r="AC184" s="2" t="s">
        <v>45</v>
      </c>
      <c r="AE184" s="2" t="s">
        <v>48</v>
      </c>
      <c r="AF184" s="2" t="s">
        <v>49</v>
      </c>
      <c r="AG184" s="2">
        <v>100</v>
      </c>
      <c r="AH184" s="2">
        <v>90</v>
      </c>
      <c r="AJ184" s="2" t="s">
        <v>1957</v>
      </c>
      <c r="AK184" s="2"/>
      <c r="AL184" s="2"/>
      <c r="AM184" s="2" t="s">
        <v>52</v>
      </c>
    </row>
    <row r="185" spans="1:39" x14ac:dyDescent="0.45">
      <c r="A185" s="2" t="s">
        <v>1958</v>
      </c>
      <c r="B185" s="2"/>
      <c r="C185" s="2" t="s">
        <v>1960</v>
      </c>
      <c r="D185" s="2" t="s">
        <v>1962</v>
      </c>
      <c r="E185" s="25"/>
      <c r="F185" s="21"/>
      <c r="G185" s="42" t="s">
        <v>28000</v>
      </c>
      <c r="H185" s="2" t="s">
        <v>50</v>
      </c>
      <c r="I185" s="2" t="s">
        <v>1966</v>
      </c>
      <c r="J185" s="2" t="s">
        <v>1959</v>
      </c>
      <c r="K185" s="2" t="s">
        <v>1961</v>
      </c>
      <c r="L185" s="2" t="s">
        <v>1963</v>
      </c>
      <c r="M185" s="2" t="s">
        <v>1963</v>
      </c>
      <c r="N185" s="2" t="s">
        <v>85</v>
      </c>
      <c r="O185" s="2" t="s">
        <v>86</v>
      </c>
      <c r="P185" s="2" t="s">
        <v>873</v>
      </c>
      <c r="Q185" s="2" t="s">
        <v>1964</v>
      </c>
      <c r="R185" s="2"/>
      <c r="S185" s="2"/>
      <c r="T185" s="2"/>
      <c r="U185" s="2" t="s">
        <v>85</v>
      </c>
      <c r="V185" s="2" t="s">
        <v>86</v>
      </c>
      <c r="W185" s="2" t="s">
        <v>873</v>
      </c>
      <c r="X185" s="2" t="s">
        <v>1965</v>
      </c>
      <c r="Y185" s="2" t="s">
        <v>44</v>
      </c>
      <c r="Z185" s="2"/>
      <c r="AA185" s="2" t="s">
        <v>45</v>
      </c>
      <c r="AB185" s="2" t="s">
        <v>46</v>
      </c>
      <c r="AC185" s="2" t="s">
        <v>45</v>
      </c>
      <c r="AE185" s="2" t="s">
        <v>48</v>
      </c>
      <c r="AF185" s="2" t="s">
        <v>49</v>
      </c>
      <c r="AG185" s="2">
        <v>100</v>
      </c>
      <c r="AH185" s="2">
        <v>90</v>
      </c>
      <c r="AJ185" s="2" t="s">
        <v>1967</v>
      </c>
      <c r="AK185" s="2"/>
      <c r="AL185" s="2"/>
      <c r="AM185" s="2" t="s">
        <v>52</v>
      </c>
    </row>
    <row r="186" spans="1:39" x14ac:dyDescent="0.45">
      <c r="A186" s="2" t="s">
        <v>1968</v>
      </c>
      <c r="B186" s="2"/>
      <c r="C186" s="2" t="s">
        <v>1970</v>
      </c>
      <c r="D186" s="2" t="s">
        <v>1972</v>
      </c>
      <c r="E186" s="25"/>
      <c r="F186" s="21"/>
      <c r="G186" s="42" t="s">
        <v>28000</v>
      </c>
      <c r="H186" s="2" t="s">
        <v>50</v>
      </c>
      <c r="I186" s="2" t="s">
        <v>1975</v>
      </c>
      <c r="J186" s="2" t="s">
        <v>1969</v>
      </c>
      <c r="K186" s="2" t="s">
        <v>1971</v>
      </c>
      <c r="L186" s="2" t="s">
        <v>1973</v>
      </c>
      <c r="M186" s="2"/>
      <c r="N186" s="2" t="s">
        <v>72</v>
      </c>
      <c r="O186" s="2" t="s">
        <v>73</v>
      </c>
      <c r="P186" s="2" t="s">
        <v>1682</v>
      </c>
      <c r="Q186" s="2" t="s">
        <v>1971</v>
      </c>
      <c r="R186" s="2"/>
      <c r="S186" s="2"/>
      <c r="T186" s="2"/>
      <c r="U186" s="2" t="s">
        <v>72</v>
      </c>
      <c r="V186" s="2" t="s">
        <v>73</v>
      </c>
      <c r="W186" s="2" t="s">
        <v>1682</v>
      </c>
      <c r="X186" s="2" t="s">
        <v>1974</v>
      </c>
      <c r="Y186" s="2" t="s">
        <v>44</v>
      </c>
      <c r="Z186" s="2"/>
      <c r="AA186" s="2" t="s">
        <v>45</v>
      </c>
      <c r="AB186" s="2" t="s">
        <v>46</v>
      </c>
      <c r="AC186" s="2" t="s">
        <v>45</v>
      </c>
      <c r="AE186" s="2" t="s">
        <v>48</v>
      </c>
      <c r="AF186" s="2" t="s">
        <v>49</v>
      </c>
      <c r="AG186" s="2">
        <v>100</v>
      </c>
      <c r="AH186" s="2">
        <v>90</v>
      </c>
      <c r="AJ186" s="2" t="s">
        <v>1976</v>
      </c>
      <c r="AK186" s="2"/>
      <c r="AL186" s="2"/>
      <c r="AM186" s="2" t="s">
        <v>52</v>
      </c>
    </row>
    <row r="187" spans="1:39" x14ac:dyDescent="0.45">
      <c r="A187" s="2" t="s">
        <v>898</v>
      </c>
      <c r="B187" s="2"/>
      <c r="C187" s="2" t="s">
        <v>900</v>
      </c>
      <c r="D187" s="2" t="s">
        <v>1979</v>
      </c>
      <c r="E187" s="25"/>
      <c r="F187" s="21"/>
      <c r="G187" s="42" t="s">
        <v>28000</v>
      </c>
      <c r="H187" s="2" t="s">
        <v>50</v>
      </c>
      <c r="I187" s="2" t="s">
        <v>1982</v>
      </c>
      <c r="J187" s="2" t="s">
        <v>1977</v>
      </c>
      <c r="K187" s="2" t="s">
        <v>1978</v>
      </c>
      <c r="L187" s="2" t="s">
        <v>1980</v>
      </c>
      <c r="M187" s="2"/>
      <c r="N187" s="2" t="s">
        <v>72</v>
      </c>
      <c r="O187" s="2" t="s">
        <v>73</v>
      </c>
      <c r="P187" s="2" t="s">
        <v>74</v>
      </c>
      <c r="Q187" s="2" t="s">
        <v>1978</v>
      </c>
      <c r="R187" s="2"/>
      <c r="S187" s="2"/>
      <c r="T187" s="2"/>
      <c r="U187" s="2" t="s">
        <v>72</v>
      </c>
      <c r="V187" s="2" t="s">
        <v>73</v>
      </c>
      <c r="W187" s="2" t="s">
        <v>74</v>
      </c>
      <c r="X187" s="2" t="s">
        <v>1981</v>
      </c>
      <c r="Y187" s="2" t="s">
        <v>44</v>
      </c>
      <c r="Z187" s="2"/>
      <c r="AA187" s="2" t="s">
        <v>45</v>
      </c>
      <c r="AB187" s="2" t="s">
        <v>199</v>
      </c>
      <c r="AC187" s="2" t="s">
        <v>45</v>
      </c>
      <c r="AE187" s="2" t="s">
        <v>48</v>
      </c>
      <c r="AF187" s="2" t="s">
        <v>49</v>
      </c>
      <c r="AG187" s="2">
        <v>100</v>
      </c>
      <c r="AH187" s="2">
        <v>90</v>
      </c>
      <c r="AJ187" s="2" t="s">
        <v>1983</v>
      </c>
      <c r="AK187" s="2"/>
      <c r="AL187" s="2"/>
      <c r="AM187" s="2" t="s">
        <v>52</v>
      </c>
    </row>
    <row r="188" spans="1:39" x14ac:dyDescent="0.45">
      <c r="A188" s="2" t="s">
        <v>1984</v>
      </c>
      <c r="B188" s="2"/>
      <c r="C188" s="2" t="s">
        <v>1986</v>
      </c>
      <c r="D188" s="2" t="s">
        <v>1988</v>
      </c>
      <c r="E188" s="25"/>
      <c r="F188" s="21"/>
      <c r="G188" s="42" t="s">
        <v>28000</v>
      </c>
      <c r="H188" s="2" t="s">
        <v>50</v>
      </c>
      <c r="I188" s="2" t="s">
        <v>1992</v>
      </c>
      <c r="J188" s="2" t="s">
        <v>1985</v>
      </c>
      <c r="K188" s="2" t="s">
        <v>1987</v>
      </c>
      <c r="L188" s="2" t="s">
        <v>1989</v>
      </c>
      <c r="M188" s="2"/>
      <c r="N188" s="2" t="s">
        <v>72</v>
      </c>
      <c r="O188" s="2" t="s">
        <v>73</v>
      </c>
      <c r="P188" s="2" t="s">
        <v>373</v>
      </c>
      <c r="Q188" s="2" t="s">
        <v>1990</v>
      </c>
      <c r="R188" s="2"/>
      <c r="S188" s="2"/>
      <c r="T188" s="2"/>
      <c r="U188" s="2" t="s">
        <v>72</v>
      </c>
      <c r="V188" s="2" t="s">
        <v>73</v>
      </c>
      <c r="W188" s="2" t="s">
        <v>74</v>
      </c>
      <c r="X188" s="2" t="s">
        <v>1991</v>
      </c>
      <c r="Y188" s="2" t="s">
        <v>44</v>
      </c>
      <c r="Z188" s="2"/>
      <c r="AA188" s="2" t="s">
        <v>45</v>
      </c>
      <c r="AB188" s="2" t="s">
        <v>46</v>
      </c>
      <c r="AC188" s="2" t="s">
        <v>45</v>
      </c>
      <c r="AE188" s="2" t="s">
        <v>48</v>
      </c>
      <c r="AF188" s="2" t="s">
        <v>49</v>
      </c>
      <c r="AG188" s="2">
        <v>100</v>
      </c>
      <c r="AH188" s="2">
        <v>90</v>
      </c>
      <c r="AJ188" s="2" t="s">
        <v>1993</v>
      </c>
      <c r="AK188" s="2"/>
      <c r="AL188" s="2"/>
      <c r="AM188" s="2" t="s">
        <v>52</v>
      </c>
    </row>
    <row r="189" spans="1:39" x14ac:dyDescent="0.45">
      <c r="A189" s="2" t="s">
        <v>1994</v>
      </c>
      <c r="B189" s="2"/>
      <c r="C189" s="2" t="s">
        <v>1996</v>
      </c>
      <c r="D189" s="2" t="s">
        <v>1998</v>
      </c>
      <c r="E189" s="25"/>
      <c r="F189" s="21"/>
      <c r="G189" s="42" t="s">
        <v>28000</v>
      </c>
      <c r="H189" s="2" t="s">
        <v>50</v>
      </c>
      <c r="I189" s="2" t="s">
        <v>2002</v>
      </c>
      <c r="J189" s="2" t="s">
        <v>1995</v>
      </c>
      <c r="K189" s="2" t="s">
        <v>1997</v>
      </c>
      <c r="L189" s="2" t="s">
        <v>1999</v>
      </c>
      <c r="M189" s="2" t="s">
        <v>1999</v>
      </c>
      <c r="N189" s="2" t="s">
        <v>72</v>
      </c>
      <c r="O189" s="2" t="s">
        <v>73</v>
      </c>
      <c r="P189" s="2" t="s">
        <v>1610</v>
      </c>
      <c r="Q189" s="2" t="s">
        <v>2000</v>
      </c>
      <c r="R189" s="2"/>
      <c r="S189" s="2"/>
      <c r="T189" s="2"/>
      <c r="U189" s="2" t="s">
        <v>72</v>
      </c>
      <c r="V189" s="2" t="s">
        <v>73</v>
      </c>
      <c r="W189" s="2" t="s">
        <v>1610</v>
      </c>
      <c r="X189" s="2" t="s">
        <v>2001</v>
      </c>
      <c r="Y189" s="2" t="s">
        <v>44</v>
      </c>
      <c r="Z189" s="2"/>
      <c r="AA189" s="2" t="s">
        <v>45</v>
      </c>
      <c r="AB189" s="2" t="s">
        <v>46</v>
      </c>
      <c r="AC189" s="2" t="s">
        <v>45</v>
      </c>
      <c r="AE189" s="2" t="s">
        <v>48</v>
      </c>
      <c r="AF189" s="2" t="s">
        <v>49</v>
      </c>
      <c r="AG189" s="2">
        <v>100</v>
      </c>
      <c r="AH189" s="2">
        <v>90</v>
      </c>
      <c r="AJ189" s="2" t="s">
        <v>2003</v>
      </c>
      <c r="AK189" s="2"/>
      <c r="AL189" s="2"/>
      <c r="AM189" s="2" t="s">
        <v>52</v>
      </c>
    </row>
    <row r="190" spans="1:39" x14ac:dyDescent="0.45">
      <c r="A190" s="2" t="s">
        <v>2004</v>
      </c>
      <c r="B190" s="2"/>
      <c r="C190" s="2" t="s">
        <v>2006</v>
      </c>
      <c r="D190" s="2" t="s">
        <v>2008</v>
      </c>
      <c r="E190" s="25"/>
      <c r="F190" s="21"/>
      <c r="G190" s="42" t="s">
        <v>28000</v>
      </c>
      <c r="H190" s="2" t="s">
        <v>50</v>
      </c>
      <c r="I190" s="2" t="s">
        <v>2012</v>
      </c>
      <c r="J190" s="2" t="s">
        <v>2005</v>
      </c>
      <c r="K190" s="2" t="s">
        <v>2007</v>
      </c>
      <c r="L190" s="2" t="s">
        <v>2009</v>
      </c>
      <c r="M190" s="2" t="s">
        <v>2009</v>
      </c>
      <c r="N190" s="2" t="s">
        <v>72</v>
      </c>
      <c r="O190" s="2" t="s">
        <v>73</v>
      </c>
      <c r="P190" s="2" t="s">
        <v>464</v>
      </c>
      <c r="Q190" s="2" t="s">
        <v>2010</v>
      </c>
      <c r="R190" s="2"/>
      <c r="S190" s="2"/>
      <c r="T190" s="2"/>
      <c r="U190" s="2" t="s">
        <v>72</v>
      </c>
      <c r="V190" s="2" t="s">
        <v>73</v>
      </c>
      <c r="W190" s="2" t="s">
        <v>1682</v>
      </c>
      <c r="X190" s="2" t="s">
        <v>2011</v>
      </c>
      <c r="Y190" s="2" t="s">
        <v>44</v>
      </c>
      <c r="Z190" s="2"/>
      <c r="AA190" s="2" t="s">
        <v>45</v>
      </c>
      <c r="AB190" s="2" t="s">
        <v>46</v>
      </c>
      <c r="AC190" s="2" t="s">
        <v>45</v>
      </c>
      <c r="AE190" s="2" t="s">
        <v>48</v>
      </c>
      <c r="AF190" s="2" t="s">
        <v>49</v>
      </c>
      <c r="AG190" s="2">
        <v>100</v>
      </c>
      <c r="AH190" s="2">
        <v>90</v>
      </c>
      <c r="AJ190" s="2" t="s">
        <v>2013</v>
      </c>
      <c r="AK190" s="2"/>
      <c r="AL190" s="2"/>
      <c r="AM190" s="2" t="s">
        <v>52</v>
      </c>
    </row>
    <row r="191" spans="1:39" x14ac:dyDescent="0.45">
      <c r="A191" s="2" t="s">
        <v>2014</v>
      </c>
      <c r="B191" s="2"/>
      <c r="C191" s="2" t="s">
        <v>2016</v>
      </c>
      <c r="D191" s="2" t="s">
        <v>2018</v>
      </c>
      <c r="E191" s="25"/>
      <c r="F191" s="21"/>
      <c r="G191" s="42" t="s">
        <v>28000</v>
      </c>
      <c r="H191" s="2" t="s">
        <v>50</v>
      </c>
      <c r="I191" s="2" t="s">
        <v>2023</v>
      </c>
      <c r="J191" s="2" t="s">
        <v>2015</v>
      </c>
      <c r="K191" s="2" t="s">
        <v>2017</v>
      </c>
      <c r="L191" s="2" t="s">
        <v>2019</v>
      </c>
      <c r="M191" s="2" t="s">
        <v>2019</v>
      </c>
      <c r="N191" s="2" t="s">
        <v>85</v>
      </c>
      <c r="O191" s="2" t="s">
        <v>86</v>
      </c>
      <c r="P191" s="2" t="s">
        <v>87</v>
      </c>
      <c r="Q191" s="2" t="s">
        <v>2020</v>
      </c>
      <c r="R191" s="2"/>
      <c r="S191" s="2"/>
      <c r="T191" s="2"/>
      <c r="U191" s="2" t="s">
        <v>85</v>
      </c>
      <c r="V191" s="2" t="s">
        <v>86</v>
      </c>
      <c r="W191" s="2" t="s">
        <v>2021</v>
      </c>
      <c r="X191" s="2" t="s">
        <v>2022</v>
      </c>
      <c r="Y191" s="2" t="s">
        <v>44</v>
      </c>
      <c r="Z191" s="2"/>
      <c r="AA191" s="2" t="s">
        <v>45</v>
      </c>
      <c r="AB191" s="2" t="s">
        <v>46</v>
      </c>
      <c r="AC191" s="2" t="s">
        <v>45</v>
      </c>
      <c r="AE191" s="2" t="s">
        <v>48</v>
      </c>
      <c r="AF191" s="2" t="s">
        <v>49</v>
      </c>
      <c r="AG191" s="2">
        <v>100</v>
      </c>
      <c r="AH191" s="2">
        <v>90</v>
      </c>
      <c r="AJ191" s="2" t="s">
        <v>2024</v>
      </c>
      <c r="AK191" s="2"/>
      <c r="AL191" s="2"/>
      <c r="AM191" s="2" t="s">
        <v>52</v>
      </c>
    </row>
    <row r="192" spans="1:39" x14ac:dyDescent="0.45">
      <c r="A192" s="2" t="s">
        <v>2025</v>
      </c>
      <c r="B192" s="2"/>
      <c r="C192" s="2" t="s">
        <v>2027</v>
      </c>
      <c r="D192" s="2" t="s">
        <v>2029</v>
      </c>
      <c r="E192" s="25"/>
      <c r="F192" s="21"/>
      <c r="G192" s="42" t="s">
        <v>28000</v>
      </c>
      <c r="H192" s="2" t="s">
        <v>50</v>
      </c>
      <c r="I192" s="2" t="s">
        <v>2033</v>
      </c>
      <c r="J192" s="2" t="s">
        <v>2026</v>
      </c>
      <c r="K192" s="2" t="s">
        <v>2028</v>
      </c>
      <c r="L192" s="2" t="s">
        <v>2030</v>
      </c>
      <c r="M192" s="2" t="s">
        <v>2030</v>
      </c>
      <c r="N192" s="2" t="s">
        <v>277</v>
      </c>
      <c r="O192" s="2" t="s">
        <v>278</v>
      </c>
      <c r="P192" s="2" t="s">
        <v>279</v>
      </c>
      <c r="Q192" s="2" t="s">
        <v>2031</v>
      </c>
      <c r="R192" s="2"/>
      <c r="S192" s="2"/>
      <c r="T192" s="2"/>
      <c r="U192" s="2" t="s">
        <v>72</v>
      </c>
      <c r="V192" s="2" t="s">
        <v>73</v>
      </c>
      <c r="W192" s="2" t="s">
        <v>98</v>
      </c>
      <c r="X192" s="2" t="s">
        <v>2032</v>
      </c>
      <c r="Y192" s="2" t="s">
        <v>44</v>
      </c>
      <c r="Z192" s="2"/>
      <c r="AA192" s="2" t="s">
        <v>45</v>
      </c>
      <c r="AB192" s="2" t="s">
        <v>46</v>
      </c>
      <c r="AC192" s="2" t="s">
        <v>45</v>
      </c>
      <c r="AE192" s="2" t="s">
        <v>48</v>
      </c>
      <c r="AF192" s="2" t="s">
        <v>49</v>
      </c>
      <c r="AG192" s="2">
        <v>100</v>
      </c>
      <c r="AH192" s="2">
        <v>90</v>
      </c>
      <c r="AJ192" s="2" t="s">
        <v>2034</v>
      </c>
      <c r="AK192" s="2"/>
      <c r="AL192" s="2"/>
      <c r="AM192" s="2" t="s">
        <v>52</v>
      </c>
    </row>
    <row r="193" spans="1:39" x14ac:dyDescent="0.45">
      <c r="A193" s="2" t="s">
        <v>2035</v>
      </c>
      <c r="B193" s="2"/>
      <c r="C193" s="2" t="s">
        <v>2037</v>
      </c>
      <c r="D193" s="2" t="s">
        <v>2039</v>
      </c>
      <c r="E193" s="25"/>
      <c r="F193" s="21"/>
      <c r="G193" s="42" t="s">
        <v>28000</v>
      </c>
      <c r="H193" s="2" t="s">
        <v>50</v>
      </c>
      <c r="I193" s="2" t="s">
        <v>2044</v>
      </c>
      <c r="J193" s="2" t="s">
        <v>2036</v>
      </c>
      <c r="K193" s="2" t="s">
        <v>2038</v>
      </c>
      <c r="L193" s="2" t="s">
        <v>2040</v>
      </c>
      <c r="M193" s="2" t="s">
        <v>2040</v>
      </c>
      <c r="N193" s="2" t="s">
        <v>39</v>
      </c>
      <c r="O193" s="2" t="s">
        <v>40</v>
      </c>
      <c r="P193" s="2" t="s">
        <v>2041</v>
      </c>
      <c r="Q193" s="2" t="s">
        <v>2042</v>
      </c>
      <c r="R193" s="2"/>
      <c r="S193" s="2"/>
      <c r="T193" s="2"/>
      <c r="U193" s="2" t="s">
        <v>72</v>
      </c>
      <c r="V193" s="2" t="s">
        <v>73</v>
      </c>
      <c r="W193" s="2" t="s">
        <v>74</v>
      </c>
      <c r="X193" s="2" t="s">
        <v>2043</v>
      </c>
      <c r="Y193" s="2" t="s">
        <v>44</v>
      </c>
      <c r="Z193" s="2"/>
      <c r="AA193" s="2" t="s">
        <v>45</v>
      </c>
      <c r="AB193" s="2" t="s">
        <v>46</v>
      </c>
      <c r="AC193" s="2" t="s">
        <v>45</v>
      </c>
      <c r="AE193" s="2" t="s">
        <v>48</v>
      </c>
      <c r="AF193" s="2" t="s">
        <v>49</v>
      </c>
      <c r="AG193" s="2">
        <v>100</v>
      </c>
      <c r="AH193" s="2">
        <v>90</v>
      </c>
      <c r="AJ193" s="2" t="s">
        <v>2045</v>
      </c>
      <c r="AK193" s="2"/>
      <c r="AL193" s="2"/>
      <c r="AM193" s="2" t="s">
        <v>52</v>
      </c>
    </row>
    <row r="194" spans="1:39" x14ac:dyDescent="0.45">
      <c r="A194" s="2" t="s">
        <v>2046</v>
      </c>
      <c r="B194" s="2"/>
      <c r="C194" s="2" t="s">
        <v>2048</v>
      </c>
      <c r="D194" s="2" t="s">
        <v>2050</v>
      </c>
      <c r="E194" s="25"/>
      <c r="F194" s="21"/>
      <c r="G194" s="42" t="s">
        <v>28000</v>
      </c>
      <c r="H194" s="2" t="s">
        <v>50</v>
      </c>
      <c r="I194" s="2" t="s">
        <v>2053</v>
      </c>
      <c r="J194" s="2" t="s">
        <v>2047</v>
      </c>
      <c r="K194" s="2" t="s">
        <v>2049</v>
      </c>
      <c r="L194" s="2" t="s">
        <v>2051</v>
      </c>
      <c r="M194" s="2" t="s">
        <v>2051</v>
      </c>
      <c r="N194" s="2" t="s">
        <v>424</v>
      </c>
      <c r="O194" s="2" t="s">
        <v>217</v>
      </c>
      <c r="P194" s="2" t="s">
        <v>1151</v>
      </c>
      <c r="Q194" s="2" t="s">
        <v>2049</v>
      </c>
      <c r="R194" s="2"/>
      <c r="S194" s="2"/>
      <c r="T194" s="2"/>
      <c r="U194" s="2" t="s">
        <v>424</v>
      </c>
      <c r="V194" s="2" t="s">
        <v>217</v>
      </c>
      <c r="W194" s="2" t="s">
        <v>1151</v>
      </c>
      <c r="X194" s="2" t="s">
        <v>2052</v>
      </c>
      <c r="Y194" s="2" t="s">
        <v>44</v>
      </c>
      <c r="Z194" s="2"/>
      <c r="AA194" s="2" t="s">
        <v>45</v>
      </c>
      <c r="AB194" s="2" t="s">
        <v>46</v>
      </c>
      <c r="AC194" s="2" t="s">
        <v>45</v>
      </c>
      <c r="AE194" s="2" t="s">
        <v>48</v>
      </c>
      <c r="AF194" s="2" t="s">
        <v>49</v>
      </c>
      <c r="AG194" s="2">
        <v>100</v>
      </c>
      <c r="AH194" s="2">
        <v>90</v>
      </c>
      <c r="AJ194" s="2" t="s">
        <v>2054</v>
      </c>
      <c r="AK194" s="2"/>
      <c r="AL194" s="2"/>
      <c r="AM194" s="2" t="s">
        <v>52</v>
      </c>
    </row>
    <row r="195" spans="1:39" x14ac:dyDescent="0.45">
      <c r="A195" s="2" t="s">
        <v>2055</v>
      </c>
      <c r="B195" s="2"/>
      <c r="C195" s="2" t="s">
        <v>2057</v>
      </c>
      <c r="D195" s="2" t="s">
        <v>2059</v>
      </c>
      <c r="E195" s="25"/>
      <c r="F195" s="21"/>
      <c r="G195" s="42" t="s">
        <v>28000</v>
      </c>
      <c r="H195" s="2" t="s">
        <v>50</v>
      </c>
      <c r="I195" s="2" t="s">
        <v>2064</v>
      </c>
      <c r="J195" s="2" t="s">
        <v>2056</v>
      </c>
      <c r="K195" s="2" t="s">
        <v>2058</v>
      </c>
      <c r="L195" s="2" t="s">
        <v>2060</v>
      </c>
      <c r="M195" s="2" t="s">
        <v>2060</v>
      </c>
      <c r="N195" s="2" t="s">
        <v>72</v>
      </c>
      <c r="O195" s="2" t="s">
        <v>73</v>
      </c>
      <c r="P195" s="2" t="s">
        <v>2061</v>
      </c>
      <c r="Q195" s="2" t="s">
        <v>2062</v>
      </c>
      <c r="R195" s="2"/>
      <c r="S195" s="2"/>
      <c r="T195" s="2"/>
      <c r="U195" s="2" t="s">
        <v>72</v>
      </c>
      <c r="V195" s="2" t="s">
        <v>73</v>
      </c>
      <c r="W195" s="2" t="s">
        <v>74</v>
      </c>
      <c r="X195" s="2" t="s">
        <v>2063</v>
      </c>
      <c r="Y195" s="2" t="s">
        <v>44</v>
      </c>
      <c r="Z195" s="2"/>
      <c r="AA195" s="2" t="s">
        <v>45</v>
      </c>
      <c r="AB195" s="2" t="s">
        <v>46</v>
      </c>
      <c r="AC195" s="2" t="s">
        <v>45</v>
      </c>
      <c r="AE195" s="2" t="s">
        <v>48</v>
      </c>
      <c r="AF195" s="2" t="s">
        <v>49</v>
      </c>
      <c r="AG195" s="2">
        <v>100</v>
      </c>
      <c r="AH195" s="2">
        <v>90</v>
      </c>
      <c r="AJ195" s="2" t="s">
        <v>2065</v>
      </c>
      <c r="AK195" s="2"/>
      <c r="AL195" s="2"/>
      <c r="AM195" s="2" t="s">
        <v>52</v>
      </c>
    </row>
    <row r="196" spans="1:39" x14ac:dyDescent="0.45">
      <c r="A196" s="2" t="s">
        <v>2066</v>
      </c>
      <c r="B196" s="2"/>
      <c r="C196" s="2" t="s">
        <v>2068</v>
      </c>
      <c r="D196" s="2" t="s">
        <v>2070</v>
      </c>
      <c r="E196" s="25"/>
      <c r="F196" s="21"/>
      <c r="G196" s="42" t="s">
        <v>28000</v>
      </c>
      <c r="H196" s="2" t="s">
        <v>50</v>
      </c>
      <c r="I196" s="2" t="s">
        <v>2073</v>
      </c>
      <c r="J196" s="2" t="s">
        <v>2067</v>
      </c>
      <c r="K196" s="2" t="s">
        <v>2069</v>
      </c>
      <c r="L196" s="2" t="s">
        <v>2071</v>
      </c>
      <c r="M196" s="2" t="s">
        <v>2071</v>
      </c>
      <c r="N196" s="2" t="s">
        <v>324</v>
      </c>
      <c r="O196" s="2" t="s">
        <v>73</v>
      </c>
      <c r="P196" s="2" t="s">
        <v>2072</v>
      </c>
      <c r="Q196" s="2" t="s">
        <v>2069</v>
      </c>
      <c r="R196" s="2"/>
      <c r="S196" s="2"/>
      <c r="T196" s="2"/>
      <c r="U196" s="2" t="s">
        <v>324</v>
      </c>
      <c r="V196" s="2" t="s">
        <v>73</v>
      </c>
      <c r="W196" s="2" t="s">
        <v>2072</v>
      </c>
      <c r="X196" s="2" t="s">
        <v>2063</v>
      </c>
      <c r="Y196" s="2" t="s">
        <v>44</v>
      </c>
      <c r="Z196" s="2"/>
      <c r="AA196" s="2" t="s">
        <v>45</v>
      </c>
      <c r="AB196" s="2" t="s">
        <v>199</v>
      </c>
      <c r="AC196" s="2" t="s">
        <v>45</v>
      </c>
      <c r="AE196" s="2" t="s">
        <v>48</v>
      </c>
      <c r="AF196" s="2" t="s">
        <v>49</v>
      </c>
      <c r="AG196" s="2">
        <v>100</v>
      </c>
      <c r="AH196" s="2">
        <v>90</v>
      </c>
      <c r="AJ196" s="2" t="s">
        <v>2074</v>
      </c>
      <c r="AK196" s="2"/>
      <c r="AL196" s="2"/>
      <c r="AM196" s="2" t="s">
        <v>52</v>
      </c>
    </row>
    <row r="197" spans="1:39" x14ac:dyDescent="0.45">
      <c r="A197" s="2" t="s">
        <v>2075</v>
      </c>
      <c r="B197" s="2"/>
      <c r="C197" s="2" t="s">
        <v>2077</v>
      </c>
      <c r="D197" s="2" t="s">
        <v>2079</v>
      </c>
      <c r="E197" s="25"/>
      <c r="F197" s="21"/>
      <c r="G197" s="42" t="s">
        <v>28000</v>
      </c>
      <c r="H197" s="2" t="s">
        <v>50</v>
      </c>
      <c r="I197" s="2" t="s">
        <v>2082</v>
      </c>
      <c r="J197" s="2" t="s">
        <v>2076</v>
      </c>
      <c r="K197" s="2" t="s">
        <v>2078</v>
      </c>
      <c r="L197" s="2" t="s">
        <v>2080</v>
      </c>
      <c r="M197" s="2"/>
      <c r="N197" s="2" t="s">
        <v>72</v>
      </c>
      <c r="O197" s="2" t="s">
        <v>73</v>
      </c>
      <c r="P197" s="2" t="s">
        <v>1610</v>
      </c>
      <c r="Q197" s="2" t="s">
        <v>2078</v>
      </c>
      <c r="R197" s="2"/>
      <c r="S197" s="2"/>
      <c r="T197" s="2"/>
      <c r="U197" s="2" t="s">
        <v>72</v>
      </c>
      <c r="V197" s="2" t="s">
        <v>73</v>
      </c>
      <c r="W197" s="2" t="s">
        <v>1610</v>
      </c>
      <c r="X197" s="2" t="s">
        <v>2081</v>
      </c>
      <c r="Y197" s="2" t="s">
        <v>44</v>
      </c>
      <c r="Z197" s="2"/>
      <c r="AA197" s="2" t="s">
        <v>45</v>
      </c>
      <c r="AB197" s="2" t="s">
        <v>46</v>
      </c>
      <c r="AC197" s="2" t="s">
        <v>45</v>
      </c>
      <c r="AE197" s="2" t="s">
        <v>48</v>
      </c>
      <c r="AF197" s="2" t="s">
        <v>49</v>
      </c>
      <c r="AG197" s="2">
        <v>100</v>
      </c>
      <c r="AH197" s="2">
        <v>90</v>
      </c>
      <c r="AJ197" s="2" t="s">
        <v>2083</v>
      </c>
      <c r="AK197" s="2"/>
      <c r="AL197" s="2"/>
      <c r="AM197" s="2" t="s">
        <v>52</v>
      </c>
    </row>
    <row r="198" spans="1:39" x14ac:dyDescent="0.45">
      <c r="A198" s="2" t="s">
        <v>2084</v>
      </c>
      <c r="B198" s="2"/>
      <c r="C198" s="2" t="s">
        <v>2086</v>
      </c>
      <c r="D198" s="2" t="s">
        <v>2088</v>
      </c>
      <c r="E198" s="25"/>
      <c r="F198" s="21"/>
      <c r="G198" s="42" t="s">
        <v>28000</v>
      </c>
      <c r="H198" s="2" t="s">
        <v>50</v>
      </c>
      <c r="I198" s="2" t="s">
        <v>2092</v>
      </c>
      <c r="J198" s="2" t="s">
        <v>2085</v>
      </c>
      <c r="K198" s="2" t="s">
        <v>2087</v>
      </c>
      <c r="L198" s="2" t="s">
        <v>2089</v>
      </c>
      <c r="M198" s="2" t="s">
        <v>2089</v>
      </c>
      <c r="N198" s="2" t="s">
        <v>72</v>
      </c>
      <c r="O198" s="2" t="s">
        <v>73</v>
      </c>
      <c r="P198" s="2" t="s">
        <v>2090</v>
      </c>
      <c r="Q198" s="2" t="s">
        <v>2087</v>
      </c>
      <c r="R198" s="2"/>
      <c r="S198" s="2"/>
      <c r="T198" s="2"/>
      <c r="U198" s="2" t="s">
        <v>72</v>
      </c>
      <c r="V198" s="2" t="s">
        <v>73</v>
      </c>
      <c r="W198" s="2" t="s">
        <v>2090</v>
      </c>
      <c r="X198" s="2" t="s">
        <v>2091</v>
      </c>
      <c r="Y198" s="2" t="s">
        <v>44</v>
      </c>
      <c r="Z198" s="2"/>
      <c r="AA198" s="2" t="s">
        <v>45</v>
      </c>
      <c r="AB198" s="2" t="s">
        <v>46</v>
      </c>
      <c r="AC198" s="2" t="s">
        <v>45</v>
      </c>
      <c r="AE198" s="2" t="s">
        <v>48</v>
      </c>
      <c r="AF198" s="2" t="s">
        <v>49</v>
      </c>
      <c r="AG198" s="2">
        <v>100</v>
      </c>
      <c r="AH198" s="2">
        <v>90</v>
      </c>
      <c r="AJ198" s="2" t="s">
        <v>2093</v>
      </c>
      <c r="AK198" s="2"/>
      <c r="AL198" s="2"/>
      <c r="AM198" s="2" t="s">
        <v>52</v>
      </c>
    </row>
    <row r="199" spans="1:39" x14ac:dyDescent="0.45">
      <c r="A199" s="2" t="s">
        <v>2094</v>
      </c>
      <c r="B199" s="2"/>
      <c r="C199" s="2" t="s">
        <v>2096</v>
      </c>
      <c r="D199" s="2" t="s">
        <v>2098</v>
      </c>
      <c r="E199" s="25"/>
      <c r="F199" s="21"/>
      <c r="G199" s="42" t="s">
        <v>28000</v>
      </c>
      <c r="H199" s="2" t="s">
        <v>50</v>
      </c>
      <c r="I199" s="2" t="s">
        <v>2102</v>
      </c>
      <c r="J199" s="2" t="s">
        <v>2095</v>
      </c>
      <c r="K199" s="2" t="s">
        <v>2097</v>
      </c>
      <c r="L199" s="2" t="s">
        <v>2099</v>
      </c>
      <c r="M199" s="2" t="s">
        <v>2099</v>
      </c>
      <c r="N199" s="2" t="s">
        <v>174</v>
      </c>
      <c r="O199" s="2" t="s">
        <v>175</v>
      </c>
      <c r="P199" s="2" t="s">
        <v>772</v>
      </c>
      <c r="Q199" s="2" t="s">
        <v>2100</v>
      </c>
      <c r="R199" s="2"/>
      <c r="S199" s="2"/>
      <c r="T199" s="2"/>
      <c r="U199" s="2" t="s">
        <v>174</v>
      </c>
      <c r="V199" s="2" t="s">
        <v>175</v>
      </c>
      <c r="W199" s="2" t="s">
        <v>772</v>
      </c>
      <c r="X199" s="2" t="s">
        <v>2101</v>
      </c>
      <c r="Y199" s="2" t="s">
        <v>44</v>
      </c>
      <c r="Z199" s="2"/>
      <c r="AA199" s="2" t="s">
        <v>45</v>
      </c>
      <c r="AB199" s="2" t="s">
        <v>46</v>
      </c>
      <c r="AC199" s="2" t="s">
        <v>45</v>
      </c>
      <c r="AE199" s="2" t="s">
        <v>48</v>
      </c>
      <c r="AF199" s="2" t="s">
        <v>49</v>
      </c>
      <c r="AG199" s="2">
        <v>100</v>
      </c>
      <c r="AH199" s="2">
        <v>90</v>
      </c>
      <c r="AJ199" s="2" t="s">
        <v>2103</v>
      </c>
      <c r="AK199" s="2"/>
      <c r="AL199" s="2"/>
      <c r="AM199" s="2" t="s">
        <v>52</v>
      </c>
    </row>
    <row r="200" spans="1:39" x14ac:dyDescent="0.45">
      <c r="A200" s="2" t="s">
        <v>2104</v>
      </c>
      <c r="B200" s="2"/>
      <c r="C200" s="2" t="s">
        <v>2106</v>
      </c>
      <c r="D200" s="2" t="s">
        <v>2108</v>
      </c>
      <c r="E200" s="25"/>
      <c r="F200" s="21"/>
      <c r="G200" s="42" t="s">
        <v>28000</v>
      </c>
      <c r="H200" s="2" t="s">
        <v>50</v>
      </c>
      <c r="I200" s="2" t="s">
        <v>2112</v>
      </c>
      <c r="J200" s="2" t="s">
        <v>2105</v>
      </c>
      <c r="K200" s="2" t="s">
        <v>2107</v>
      </c>
      <c r="L200" s="2" t="s">
        <v>2109</v>
      </c>
      <c r="M200" s="2" t="s">
        <v>2109</v>
      </c>
      <c r="N200" s="2" t="s">
        <v>59</v>
      </c>
      <c r="O200" s="2" t="s">
        <v>60</v>
      </c>
      <c r="P200" s="2" t="s">
        <v>2110</v>
      </c>
      <c r="Q200" s="2" t="s">
        <v>2107</v>
      </c>
      <c r="R200" s="2"/>
      <c r="S200" s="2"/>
      <c r="T200" s="2"/>
      <c r="U200" s="2" t="s">
        <v>59</v>
      </c>
      <c r="V200" s="2" t="s">
        <v>60</v>
      </c>
      <c r="W200" s="2" t="s">
        <v>2110</v>
      </c>
      <c r="X200" s="2" t="s">
        <v>2111</v>
      </c>
      <c r="Y200" s="2" t="s">
        <v>44</v>
      </c>
      <c r="Z200" s="2"/>
      <c r="AA200" s="2" t="s">
        <v>45</v>
      </c>
      <c r="AB200" s="2" t="s">
        <v>46</v>
      </c>
      <c r="AC200" s="2" t="s">
        <v>45</v>
      </c>
      <c r="AE200" s="2" t="s">
        <v>48</v>
      </c>
      <c r="AF200" s="2" t="s">
        <v>49</v>
      </c>
      <c r="AG200" s="2">
        <v>100</v>
      </c>
      <c r="AH200" s="2">
        <v>90</v>
      </c>
      <c r="AJ200" s="2" t="s">
        <v>2113</v>
      </c>
      <c r="AK200" s="2"/>
      <c r="AL200" s="2"/>
      <c r="AM200" s="2" t="s">
        <v>52</v>
      </c>
    </row>
    <row r="201" spans="1:39" x14ac:dyDescent="0.45">
      <c r="A201" s="2" t="s">
        <v>2114</v>
      </c>
      <c r="B201" s="2"/>
      <c r="C201" s="2" t="s">
        <v>2116</v>
      </c>
      <c r="D201" s="2" t="s">
        <v>2118</v>
      </c>
      <c r="E201" s="25"/>
      <c r="F201" s="21"/>
      <c r="G201" s="42" t="s">
        <v>28000</v>
      </c>
      <c r="H201" s="2" t="s">
        <v>50</v>
      </c>
      <c r="I201" s="2" t="s">
        <v>2121</v>
      </c>
      <c r="J201" s="2" t="s">
        <v>2115</v>
      </c>
      <c r="K201" s="2" t="s">
        <v>2117</v>
      </c>
      <c r="L201" s="2" t="s">
        <v>2119</v>
      </c>
      <c r="M201" s="2" t="s">
        <v>2119</v>
      </c>
      <c r="N201" s="2" t="s">
        <v>85</v>
      </c>
      <c r="O201" s="2" t="s">
        <v>86</v>
      </c>
      <c r="P201" s="2" t="s">
        <v>87</v>
      </c>
      <c r="Q201" s="2" t="s">
        <v>2117</v>
      </c>
      <c r="R201" s="2"/>
      <c r="S201" s="2"/>
      <c r="T201" s="2"/>
      <c r="U201" s="2" t="s">
        <v>85</v>
      </c>
      <c r="V201" s="2" t="s">
        <v>86</v>
      </c>
      <c r="W201" s="2" t="s">
        <v>87</v>
      </c>
      <c r="X201" s="2" t="s">
        <v>2120</v>
      </c>
      <c r="Y201" s="2" t="s">
        <v>44</v>
      </c>
      <c r="Z201" s="2"/>
      <c r="AA201" s="2" t="s">
        <v>45</v>
      </c>
      <c r="AB201" s="2" t="s">
        <v>46</v>
      </c>
      <c r="AC201" s="2" t="s">
        <v>45</v>
      </c>
      <c r="AE201" s="2" t="s">
        <v>48</v>
      </c>
      <c r="AF201" s="2" t="s">
        <v>49</v>
      </c>
      <c r="AG201" s="2">
        <v>100</v>
      </c>
      <c r="AH201" s="2">
        <v>90</v>
      </c>
      <c r="AJ201" s="2" t="s">
        <v>2122</v>
      </c>
      <c r="AK201" s="2"/>
      <c r="AL201" s="2"/>
      <c r="AM201" s="2" t="s">
        <v>52</v>
      </c>
    </row>
    <row r="202" spans="1:39" x14ac:dyDescent="0.45">
      <c r="A202" s="2" t="s">
        <v>2123</v>
      </c>
      <c r="B202" s="2"/>
      <c r="C202" s="2" t="s">
        <v>2125</v>
      </c>
      <c r="D202" s="2" t="s">
        <v>2127</v>
      </c>
      <c r="E202" s="25"/>
      <c r="F202" s="21"/>
      <c r="G202" s="42" t="s">
        <v>28000</v>
      </c>
      <c r="H202" s="2" t="s">
        <v>50</v>
      </c>
      <c r="I202" s="2" t="s">
        <v>2131</v>
      </c>
      <c r="J202" s="2" t="s">
        <v>2124</v>
      </c>
      <c r="K202" s="2" t="s">
        <v>2126</v>
      </c>
      <c r="L202" s="2" t="s">
        <v>2128</v>
      </c>
      <c r="M202" s="2" t="s">
        <v>2128</v>
      </c>
      <c r="N202" s="2" t="s">
        <v>384</v>
      </c>
      <c r="O202" s="2" t="s">
        <v>73</v>
      </c>
      <c r="P202" s="2" t="s">
        <v>2129</v>
      </c>
      <c r="Q202" s="2" t="s">
        <v>2126</v>
      </c>
      <c r="R202" s="2"/>
      <c r="S202" s="2"/>
      <c r="T202" s="2"/>
      <c r="U202" s="2" t="s">
        <v>384</v>
      </c>
      <c r="V202" s="2" t="s">
        <v>73</v>
      </c>
      <c r="W202" s="2" t="s">
        <v>2129</v>
      </c>
      <c r="X202" s="2" t="s">
        <v>2130</v>
      </c>
      <c r="Y202" s="2" t="s">
        <v>44</v>
      </c>
      <c r="Z202" s="2"/>
      <c r="AA202" s="2" t="s">
        <v>45</v>
      </c>
      <c r="AB202" s="2" t="s">
        <v>46</v>
      </c>
      <c r="AC202" s="2" t="s">
        <v>45</v>
      </c>
      <c r="AE202" s="2" t="s">
        <v>48</v>
      </c>
      <c r="AF202" s="2" t="s">
        <v>49</v>
      </c>
      <c r="AG202" s="2">
        <v>100</v>
      </c>
      <c r="AH202" s="2">
        <v>90</v>
      </c>
      <c r="AJ202" s="2" t="s">
        <v>2132</v>
      </c>
      <c r="AK202" s="2"/>
      <c r="AL202" s="2"/>
      <c r="AM202" s="2" t="s">
        <v>52</v>
      </c>
    </row>
    <row r="203" spans="1:39" x14ac:dyDescent="0.45">
      <c r="A203" s="2" t="s">
        <v>2133</v>
      </c>
      <c r="B203" s="2"/>
      <c r="C203" s="2" t="s">
        <v>2135</v>
      </c>
      <c r="D203" s="2" t="s">
        <v>2137</v>
      </c>
      <c r="E203" s="25"/>
      <c r="F203" s="21"/>
      <c r="G203" s="42" t="s">
        <v>28000</v>
      </c>
      <c r="H203" s="2" t="s">
        <v>50</v>
      </c>
      <c r="I203" s="2" t="s">
        <v>2140</v>
      </c>
      <c r="J203" s="2" t="s">
        <v>2134</v>
      </c>
      <c r="K203" s="2" t="s">
        <v>2136</v>
      </c>
      <c r="L203" s="2" t="s">
        <v>2138</v>
      </c>
      <c r="M203" s="2"/>
      <c r="N203" s="2" t="s">
        <v>72</v>
      </c>
      <c r="O203" s="2" t="s">
        <v>73</v>
      </c>
      <c r="P203" s="2" t="s">
        <v>140</v>
      </c>
      <c r="Q203" s="2" t="s">
        <v>2139</v>
      </c>
      <c r="R203" s="2"/>
      <c r="S203" s="2"/>
      <c r="T203" s="2"/>
      <c r="U203" s="2" t="s">
        <v>72</v>
      </c>
      <c r="V203" s="2" t="s">
        <v>73</v>
      </c>
      <c r="W203" s="2" t="s">
        <v>140</v>
      </c>
      <c r="X203" s="2" t="s">
        <v>2130</v>
      </c>
      <c r="Y203" s="2" t="s">
        <v>44</v>
      </c>
      <c r="Z203" s="2"/>
      <c r="AA203" s="2" t="s">
        <v>45</v>
      </c>
      <c r="AB203" s="2" t="s">
        <v>46</v>
      </c>
      <c r="AC203" s="2" t="s">
        <v>45</v>
      </c>
      <c r="AE203" s="2" t="s">
        <v>48</v>
      </c>
      <c r="AF203" s="2" t="s">
        <v>49</v>
      </c>
      <c r="AG203" s="2">
        <v>100</v>
      </c>
      <c r="AH203" s="2">
        <v>90</v>
      </c>
      <c r="AJ203" s="2" t="s">
        <v>2141</v>
      </c>
      <c r="AK203" s="2"/>
      <c r="AL203" s="2"/>
      <c r="AM203" s="2" t="s">
        <v>52</v>
      </c>
    </row>
    <row r="204" spans="1:39" x14ac:dyDescent="0.45">
      <c r="A204" s="2" t="s">
        <v>2142</v>
      </c>
      <c r="B204" s="2"/>
      <c r="C204" s="2" t="s">
        <v>2144</v>
      </c>
      <c r="D204" s="2" t="s">
        <v>2146</v>
      </c>
      <c r="E204" s="25"/>
      <c r="F204" s="21"/>
      <c r="G204" s="42" t="s">
        <v>28000</v>
      </c>
      <c r="H204" s="2" t="s">
        <v>50</v>
      </c>
      <c r="I204" s="2" t="s">
        <v>2150</v>
      </c>
      <c r="J204" s="2" t="s">
        <v>2143</v>
      </c>
      <c r="K204" s="2" t="s">
        <v>2145</v>
      </c>
      <c r="L204" s="2" t="s">
        <v>2147</v>
      </c>
      <c r="M204" s="2"/>
      <c r="N204" s="2" t="s">
        <v>72</v>
      </c>
      <c r="O204" s="2" t="s">
        <v>73</v>
      </c>
      <c r="P204" s="2" t="s">
        <v>74</v>
      </c>
      <c r="Q204" s="2" t="s">
        <v>2148</v>
      </c>
      <c r="R204" s="2"/>
      <c r="S204" s="2"/>
      <c r="T204" s="2"/>
      <c r="U204" s="2" t="s">
        <v>72</v>
      </c>
      <c r="V204" s="2" t="s">
        <v>73</v>
      </c>
      <c r="W204" s="2" t="s">
        <v>74</v>
      </c>
      <c r="X204" s="2" t="s">
        <v>2149</v>
      </c>
      <c r="Y204" s="2" t="s">
        <v>44</v>
      </c>
      <c r="Z204" s="2"/>
      <c r="AA204" s="2" t="s">
        <v>45</v>
      </c>
      <c r="AB204" s="2" t="s">
        <v>46</v>
      </c>
      <c r="AC204" s="2" t="s">
        <v>45</v>
      </c>
      <c r="AE204" s="2" t="s">
        <v>48</v>
      </c>
      <c r="AF204" s="2" t="s">
        <v>49</v>
      </c>
      <c r="AG204" s="2">
        <v>100</v>
      </c>
      <c r="AH204" s="2">
        <v>90</v>
      </c>
      <c r="AJ204" s="2" t="s">
        <v>2151</v>
      </c>
      <c r="AK204" s="2"/>
      <c r="AL204" s="2"/>
      <c r="AM204" s="2" t="s">
        <v>52</v>
      </c>
    </row>
    <row r="205" spans="1:39" x14ac:dyDescent="0.45">
      <c r="A205" s="2" t="s">
        <v>2152</v>
      </c>
      <c r="B205" s="2"/>
      <c r="C205" s="2" t="s">
        <v>2154</v>
      </c>
      <c r="D205" s="2" t="s">
        <v>2156</v>
      </c>
      <c r="E205" s="25"/>
      <c r="F205" s="21"/>
      <c r="G205" s="42" t="s">
        <v>28000</v>
      </c>
      <c r="H205" s="2" t="s">
        <v>50</v>
      </c>
      <c r="I205" s="2" t="s">
        <v>2159</v>
      </c>
      <c r="J205" s="2" t="s">
        <v>2153</v>
      </c>
      <c r="K205" s="2" t="s">
        <v>2155</v>
      </c>
      <c r="L205" s="2" t="s">
        <v>2157</v>
      </c>
      <c r="M205" s="2" t="s">
        <v>2157</v>
      </c>
      <c r="N205" s="2" t="s">
        <v>72</v>
      </c>
      <c r="O205" s="2" t="s">
        <v>73</v>
      </c>
      <c r="P205" s="2" t="s">
        <v>74</v>
      </c>
      <c r="Q205" s="2" t="s">
        <v>2155</v>
      </c>
      <c r="R205" s="2"/>
      <c r="S205" s="2"/>
      <c r="T205" s="2"/>
      <c r="U205" s="2" t="s">
        <v>72</v>
      </c>
      <c r="V205" s="2" t="s">
        <v>73</v>
      </c>
      <c r="W205" s="2" t="s">
        <v>74</v>
      </c>
      <c r="X205" s="2" t="s">
        <v>2158</v>
      </c>
      <c r="Y205" s="2" t="s">
        <v>44</v>
      </c>
      <c r="Z205" s="2"/>
      <c r="AA205" s="2" t="s">
        <v>45</v>
      </c>
      <c r="AB205" s="2" t="s">
        <v>46</v>
      </c>
      <c r="AC205" s="2" t="s">
        <v>45</v>
      </c>
      <c r="AE205" s="2" t="s">
        <v>48</v>
      </c>
      <c r="AF205" s="2" t="s">
        <v>49</v>
      </c>
      <c r="AG205" s="2">
        <v>100</v>
      </c>
      <c r="AH205" s="2">
        <v>90</v>
      </c>
      <c r="AJ205" s="2" t="s">
        <v>2160</v>
      </c>
      <c r="AK205" s="2"/>
      <c r="AL205" s="2"/>
      <c r="AM205" s="2" t="s">
        <v>52</v>
      </c>
    </row>
    <row r="206" spans="1:39" x14ac:dyDescent="0.45">
      <c r="A206" s="2" t="s">
        <v>2161</v>
      </c>
      <c r="B206" s="2"/>
      <c r="C206" s="2" t="s">
        <v>2163</v>
      </c>
      <c r="D206" s="2" t="s">
        <v>2165</v>
      </c>
      <c r="E206" s="25"/>
      <c r="F206" s="21"/>
      <c r="G206" s="42" t="s">
        <v>28000</v>
      </c>
      <c r="H206" s="2" t="s">
        <v>50</v>
      </c>
      <c r="I206" s="2" t="s">
        <v>2168</v>
      </c>
      <c r="J206" s="2" t="s">
        <v>2162</v>
      </c>
      <c r="K206" s="2" t="s">
        <v>2164</v>
      </c>
      <c r="L206" s="2" t="s">
        <v>2166</v>
      </c>
      <c r="M206" s="2" t="s">
        <v>2166</v>
      </c>
      <c r="N206" s="2" t="s">
        <v>72</v>
      </c>
      <c r="O206" s="2" t="s">
        <v>73</v>
      </c>
      <c r="P206" s="2" t="s">
        <v>373</v>
      </c>
      <c r="Q206" s="2" t="s">
        <v>2164</v>
      </c>
      <c r="R206" s="2"/>
      <c r="S206" s="2"/>
      <c r="T206" s="2"/>
      <c r="U206" s="2" t="s">
        <v>72</v>
      </c>
      <c r="V206" s="2" t="s">
        <v>73</v>
      </c>
      <c r="W206" s="2" t="s">
        <v>373</v>
      </c>
      <c r="X206" s="2" t="s">
        <v>2167</v>
      </c>
      <c r="Y206" s="2" t="s">
        <v>44</v>
      </c>
      <c r="Z206" s="2"/>
      <c r="AA206" s="2" t="s">
        <v>45</v>
      </c>
      <c r="AB206" s="2" t="s">
        <v>46</v>
      </c>
      <c r="AC206" s="2" t="s">
        <v>45</v>
      </c>
      <c r="AE206" s="2" t="s">
        <v>48</v>
      </c>
      <c r="AF206" s="2" t="s">
        <v>49</v>
      </c>
      <c r="AG206" s="2">
        <v>100</v>
      </c>
      <c r="AH206" s="2">
        <v>90</v>
      </c>
      <c r="AJ206" s="2" t="s">
        <v>2169</v>
      </c>
      <c r="AK206" s="2"/>
      <c r="AL206" s="2"/>
      <c r="AM206" s="2" t="s">
        <v>52</v>
      </c>
    </row>
    <row r="207" spans="1:39" x14ac:dyDescent="0.45">
      <c r="A207" s="2" t="s">
        <v>2170</v>
      </c>
      <c r="B207" s="2"/>
      <c r="C207" s="2" t="s">
        <v>2172</v>
      </c>
      <c r="D207" s="2" t="s">
        <v>2174</v>
      </c>
      <c r="E207" s="25"/>
      <c r="F207" s="21"/>
      <c r="G207" s="42" t="s">
        <v>28000</v>
      </c>
      <c r="H207" s="2" t="s">
        <v>50</v>
      </c>
      <c r="I207" s="2" t="s">
        <v>2177</v>
      </c>
      <c r="J207" s="2" t="s">
        <v>2171</v>
      </c>
      <c r="K207" s="2" t="s">
        <v>2173</v>
      </c>
      <c r="L207" s="2" t="s">
        <v>2175</v>
      </c>
      <c r="M207" s="2" t="s">
        <v>2175</v>
      </c>
      <c r="N207" s="2" t="s">
        <v>59</v>
      </c>
      <c r="O207" s="2" t="s">
        <v>60</v>
      </c>
      <c r="P207" s="2" t="s">
        <v>1100</v>
      </c>
      <c r="Q207" s="2" t="s">
        <v>2173</v>
      </c>
      <c r="R207" s="2"/>
      <c r="S207" s="2"/>
      <c r="T207" s="2"/>
      <c r="U207" s="2" t="s">
        <v>59</v>
      </c>
      <c r="V207" s="2" t="s">
        <v>60</v>
      </c>
      <c r="W207" s="2" t="s">
        <v>1100</v>
      </c>
      <c r="X207" s="2" t="s">
        <v>2176</v>
      </c>
      <c r="Y207" s="2" t="s">
        <v>44</v>
      </c>
      <c r="Z207" s="2"/>
      <c r="AA207" s="2" t="s">
        <v>45</v>
      </c>
      <c r="AB207" s="2" t="s">
        <v>46</v>
      </c>
      <c r="AC207" s="2" t="s">
        <v>45</v>
      </c>
      <c r="AE207" s="2" t="s">
        <v>48</v>
      </c>
      <c r="AF207" s="2" t="s">
        <v>49</v>
      </c>
      <c r="AG207" s="2">
        <v>100</v>
      </c>
      <c r="AH207" s="2">
        <v>90</v>
      </c>
      <c r="AJ207" s="2" t="s">
        <v>2178</v>
      </c>
      <c r="AK207" s="2"/>
      <c r="AL207" s="2"/>
      <c r="AM207" s="2" t="s">
        <v>52</v>
      </c>
    </row>
    <row r="208" spans="1:39" x14ac:dyDescent="0.45">
      <c r="A208" s="2" t="s">
        <v>2179</v>
      </c>
      <c r="B208" s="2"/>
      <c r="C208" s="2" t="s">
        <v>2181</v>
      </c>
      <c r="D208" s="2" t="s">
        <v>2183</v>
      </c>
      <c r="E208" s="25"/>
      <c r="F208" s="21"/>
      <c r="G208" s="42" t="s">
        <v>28000</v>
      </c>
      <c r="H208" s="2" t="s">
        <v>50</v>
      </c>
      <c r="I208" s="2" t="s">
        <v>2187</v>
      </c>
      <c r="J208" s="2" t="s">
        <v>2180</v>
      </c>
      <c r="K208" s="2" t="s">
        <v>2182</v>
      </c>
      <c r="L208" s="2" t="s">
        <v>2184</v>
      </c>
      <c r="M208" s="2" t="s">
        <v>2184</v>
      </c>
      <c r="N208" s="2" t="s">
        <v>72</v>
      </c>
      <c r="O208" s="2" t="s">
        <v>73</v>
      </c>
      <c r="P208" s="2" t="s">
        <v>1777</v>
      </c>
      <c r="Q208" s="2" t="s">
        <v>2185</v>
      </c>
      <c r="R208" s="2"/>
      <c r="S208" s="2"/>
      <c r="T208" s="2"/>
      <c r="U208" s="2" t="s">
        <v>424</v>
      </c>
      <c r="V208" s="2" t="s">
        <v>217</v>
      </c>
      <c r="W208" s="2" t="s">
        <v>218</v>
      </c>
      <c r="X208" s="2" t="s">
        <v>2186</v>
      </c>
      <c r="Y208" s="2" t="s">
        <v>44</v>
      </c>
      <c r="Z208" s="2"/>
      <c r="AA208" s="2" t="s">
        <v>45</v>
      </c>
      <c r="AB208" s="2" t="s">
        <v>46</v>
      </c>
      <c r="AC208" s="2" t="s">
        <v>45</v>
      </c>
      <c r="AE208" s="2" t="s">
        <v>48</v>
      </c>
      <c r="AF208" s="2" t="s">
        <v>49</v>
      </c>
      <c r="AG208" s="2">
        <v>100</v>
      </c>
      <c r="AH208" s="2">
        <v>90</v>
      </c>
      <c r="AJ208" s="2" t="s">
        <v>2188</v>
      </c>
      <c r="AK208" s="2"/>
      <c r="AL208" s="2"/>
      <c r="AM208" s="2" t="s">
        <v>52</v>
      </c>
    </row>
    <row r="209" spans="1:39" x14ac:dyDescent="0.45">
      <c r="A209" s="2" t="s">
        <v>2189</v>
      </c>
      <c r="B209" s="2"/>
      <c r="C209" s="2" t="s">
        <v>2191</v>
      </c>
      <c r="D209" s="2" t="s">
        <v>2193</v>
      </c>
      <c r="E209" s="25"/>
      <c r="F209" s="21"/>
      <c r="G209" s="42" t="s">
        <v>28000</v>
      </c>
      <c r="H209" s="2" t="s">
        <v>50</v>
      </c>
      <c r="I209" s="2" t="s">
        <v>2196</v>
      </c>
      <c r="J209" s="2" t="s">
        <v>2190</v>
      </c>
      <c r="K209" s="2" t="s">
        <v>2192</v>
      </c>
      <c r="L209" s="2" t="s">
        <v>2194</v>
      </c>
      <c r="M209" s="2"/>
      <c r="N209" s="2" t="s">
        <v>72</v>
      </c>
      <c r="O209" s="2" t="s">
        <v>73</v>
      </c>
      <c r="P209" s="2" t="s">
        <v>98</v>
      </c>
      <c r="Q209" s="2" t="s">
        <v>2192</v>
      </c>
      <c r="R209" s="2"/>
      <c r="S209" s="2"/>
      <c r="T209" s="2"/>
      <c r="U209" s="2" t="s">
        <v>72</v>
      </c>
      <c r="V209" s="2" t="s">
        <v>73</v>
      </c>
      <c r="W209" s="2" t="s">
        <v>98</v>
      </c>
      <c r="X209" s="2" t="s">
        <v>2195</v>
      </c>
      <c r="Y209" s="2" t="s">
        <v>44</v>
      </c>
      <c r="Z209" s="2"/>
      <c r="AA209" s="2" t="s">
        <v>45</v>
      </c>
      <c r="AB209" s="2" t="s">
        <v>46</v>
      </c>
      <c r="AC209" s="2" t="s">
        <v>45</v>
      </c>
      <c r="AE209" s="2" t="s">
        <v>48</v>
      </c>
      <c r="AF209" s="2" t="s">
        <v>49</v>
      </c>
      <c r="AG209" s="2">
        <v>100</v>
      </c>
      <c r="AH209" s="2">
        <v>90</v>
      </c>
      <c r="AJ209" s="2" t="s">
        <v>2197</v>
      </c>
      <c r="AK209" s="2"/>
      <c r="AL209" s="2"/>
      <c r="AM209" s="2" t="s">
        <v>52</v>
      </c>
    </row>
    <row r="210" spans="1:39" x14ac:dyDescent="0.45">
      <c r="A210" s="2" t="s">
        <v>2198</v>
      </c>
      <c r="B210" s="2"/>
      <c r="C210" s="2" t="s">
        <v>2200</v>
      </c>
      <c r="D210" s="2" t="s">
        <v>2202</v>
      </c>
      <c r="E210" s="25"/>
      <c r="F210" s="21"/>
      <c r="G210" s="42" t="s">
        <v>28000</v>
      </c>
      <c r="H210" s="2" t="s">
        <v>50</v>
      </c>
      <c r="I210" s="2" t="s">
        <v>2205</v>
      </c>
      <c r="J210" s="2" t="s">
        <v>2199</v>
      </c>
      <c r="K210" s="2" t="s">
        <v>2201</v>
      </c>
      <c r="L210" s="2" t="s">
        <v>2203</v>
      </c>
      <c r="M210" s="2" t="s">
        <v>2203</v>
      </c>
      <c r="N210" s="2" t="s">
        <v>72</v>
      </c>
      <c r="O210" s="2" t="s">
        <v>73</v>
      </c>
      <c r="P210" s="2" t="s">
        <v>373</v>
      </c>
      <c r="Q210" s="2" t="s">
        <v>2201</v>
      </c>
      <c r="R210" s="2"/>
      <c r="S210" s="2"/>
      <c r="T210" s="2"/>
      <c r="U210" s="2" t="s">
        <v>72</v>
      </c>
      <c r="V210" s="2" t="s">
        <v>73</v>
      </c>
      <c r="W210" s="2" t="s">
        <v>373</v>
      </c>
      <c r="X210" s="2" t="s">
        <v>2204</v>
      </c>
      <c r="Y210" s="2" t="s">
        <v>44</v>
      </c>
      <c r="Z210" s="2"/>
      <c r="AA210" s="2" t="s">
        <v>45</v>
      </c>
      <c r="AB210" s="2" t="s">
        <v>46</v>
      </c>
      <c r="AC210" s="2" t="s">
        <v>45</v>
      </c>
      <c r="AE210" s="2" t="s">
        <v>48</v>
      </c>
      <c r="AF210" s="2" t="s">
        <v>49</v>
      </c>
      <c r="AG210" s="2">
        <v>100</v>
      </c>
      <c r="AH210" s="2">
        <v>90</v>
      </c>
      <c r="AJ210" s="2" t="s">
        <v>2206</v>
      </c>
      <c r="AK210" s="2"/>
      <c r="AL210" s="2"/>
      <c r="AM210" s="2" t="s">
        <v>52</v>
      </c>
    </row>
    <row r="211" spans="1:39" x14ac:dyDescent="0.45">
      <c r="A211" s="2" t="s">
        <v>2207</v>
      </c>
      <c r="B211" s="2"/>
      <c r="C211" s="2" t="s">
        <v>2209</v>
      </c>
      <c r="D211" s="2" t="s">
        <v>2211</v>
      </c>
      <c r="E211" s="25"/>
      <c r="F211" s="21"/>
      <c r="G211" s="42" t="s">
        <v>28000</v>
      </c>
      <c r="H211" s="2" t="s">
        <v>50</v>
      </c>
      <c r="I211" s="2" t="s">
        <v>2214</v>
      </c>
      <c r="J211" s="2" t="s">
        <v>2208</v>
      </c>
      <c r="K211" s="2" t="s">
        <v>2210</v>
      </c>
      <c r="L211" s="2" t="s">
        <v>2212</v>
      </c>
      <c r="M211" s="2"/>
      <c r="N211" s="2" t="s">
        <v>72</v>
      </c>
      <c r="O211" s="2" t="s">
        <v>73</v>
      </c>
      <c r="P211" s="2" t="s">
        <v>74</v>
      </c>
      <c r="Q211" s="2" t="s">
        <v>2210</v>
      </c>
      <c r="R211" s="2"/>
      <c r="S211" s="2"/>
      <c r="T211" s="2"/>
      <c r="U211" s="2" t="s">
        <v>72</v>
      </c>
      <c r="V211" s="2" t="s">
        <v>73</v>
      </c>
      <c r="W211" s="2" t="s">
        <v>74</v>
      </c>
      <c r="X211" s="2" t="s">
        <v>2213</v>
      </c>
      <c r="Y211" s="2" t="s">
        <v>44</v>
      </c>
      <c r="Z211" s="2"/>
      <c r="AA211" s="2" t="s">
        <v>45</v>
      </c>
      <c r="AB211" s="2" t="s">
        <v>46</v>
      </c>
      <c r="AC211" s="2" t="s">
        <v>45</v>
      </c>
      <c r="AE211" s="2" t="s">
        <v>48</v>
      </c>
      <c r="AF211" s="2" t="s">
        <v>49</v>
      </c>
      <c r="AG211" s="2">
        <v>100</v>
      </c>
      <c r="AH211" s="2">
        <v>90</v>
      </c>
      <c r="AJ211" s="2" t="s">
        <v>2215</v>
      </c>
      <c r="AK211" s="2"/>
      <c r="AL211" s="2"/>
      <c r="AM211" s="2" t="s">
        <v>52</v>
      </c>
    </row>
    <row r="212" spans="1:39" x14ac:dyDescent="0.45">
      <c r="A212" s="2" t="s">
        <v>2216</v>
      </c>
      <c r="B212" s="2"/>
      <c r="C212" s="2" t="s">
        <v>2218</v>
      </c>
      <c r="D212" s="2" t="s">
        <v>2220</v>
      </c>
      <c r="E212" s="25"/>
      <c r="F212" s="21"/>
      <c r="G212" s="42" t="s">
        <v>28000</v>
      </c>
      <c r="H212" s="2" t="s">
        <v>50</v>
      </c>
      <c r="I212" s="2" t="s">
        <v>2224</v>
      </c>
      <c r="J212" s="2" t="s">
        <v>2217</v>
      </c>
      <c r="K212" s="2" t="s">
        <v>2219</v>
      </c>
      <c r="L212" s="2" t="s">
        <v>2221</v>
      </c>
      <c r="M212" s="2" t="s">
        <v>2221</v>
      </c>
      <c r="N212" s="2" t="s">
        <v>72</v>
      </c>
      <c r="O212" s="2" t="s">
        <v>73</v>
      </c>
      <c r="P212" s="2" t="s">
        <v>2222</v>
      </c>
      <c r="Q212" s="2" t="s">
        <v>2219</v>
      </c>
      <c r="R212" s="2"/>
      <c r="S212" s="2"/>
      <c r="T212" s="2"/>
      <c r="U212" s="2" t="s">
        <v>72</v>
      </c>
      <c r="V212" s="2" t="s">
        <v>73</v>
      </c>
      <c r="W212" s="2" t="s">
        <v>2222</v>
      </c>
      <c r="X212" s="2" t="s">
        <v>2223</v>
      </c>
      <c r="Y212" s="2" t="s">
        <v>44</v>
      </c>
      <c r="Z212" s="2"/>
      <c r="AA212" s="2" t="s">
        <v>45</v>
      </c>
      <c r="AB212" s="2" t="s">
        <v>46</v>
      </c>
      <c r="AC212" s="2" t="s">
        <v>45</v>
      </c>
      <c r="AE212" s="2" t="s">
        <v>48</v>
      </c>
      <c r="AF212" s="2" t="s">
        <v>49</v>
      </c>
      <c r="AG212" s="2">
        <v>100</v>
      </c>
      <c r="AH212" s="2">
        <v>90</v>
      </c>
      <c r="AJ212" s="2" t="s">
        <v>2225</v>
      </c>
      <c r="AK212" s="2"/>
      <c r="AL212" s="2"/>
      <c r="AM212" s="2" t="s">
        <v>52</v>
      </c>
    </row>
    <row r="213" spans="1:39" x14ac:dyDescent="0.45">
      <c r="A213" s="2" t="s">
        <v>2226</v>
      </c>
      <c r="B213" s="2"/>
      <c r="C213" s="2" t="s">
        <v>2228</v>
      </c>
      <c r="D213" s="2" t="s">
        <v>2230</v>
      </c>
      <c r="E213" s="25"/>
      <c r="F213" s="21"/>
      <c r="G213" s="42" t="s">
        <v>28000</v>
      </c>
      <c r="H213" s="2" t="s">
        <v>50</v>
      </c>
      <c r="I213" s="2" t="s">
        <v>2233</v>
      </c>
      <c r="J213" s="2" t="s">
        <v>2227</v>
      </c>
      <c r="K213" s="2" t="s">
        <v>2229</v>
      </c>
      <c r="L213" s="2" t="s">
        <v>2231</v>
      </c>
      <c r="M213" s="2"/>
      <c r="N213" s="2" t="s">
        <v>72</v>
      </c>
      <c r="O213" s="2" t="s">
        <v>73</v>
      </c>
      <c r="P213" s="2" t="s">
        <v>484</v>
      </c>
      <c r="Q213" s="2" t="s">
        <v>2229</v>
      </c>
      <c r="R213" s="2"/>
      <c r="S213" s="2"/>
      <c r="T213" s="2"/>
      <c r="U213" s="2" t="s">
        <v>72</v>
      </c>
      <c r="V213" s="2" t="s">
        <v>73</v>
      </c>
      <c r="W213" s="2" t="s">
        <v>484</v>
      </c>
      <c r="X213" s="2" t="s">
        <v>2232</v>
      </c>
      <c r="Y213" s="2" t="s">
        <v>44</v>
      </c>
      <c r="Z213" s="2"/>
      <c r="AA213" s="2" t="s">
        <v>45</v>
      </c>
      <c r="AB213" s="2" t="s">
        <v>46</v>
      </c>
      <c r="AC213" s="2" t="s">
        <v>45</v>
      </c>
      <c r="AE213" s="2" t="s">
        <v>48</v>
      </c>
      <c r="AF213" s="2" t="s">
        <v>49</v>
      </c>
      <c r="AG213" s="2">
        <v>100</v>
      </c>
      <c r="AH213" s="2">
        <v>90</v>
      </c>
      <c r="AJ213" s="2" t="s">
        <v>2234</v>
      </c>
      <c r="AK213" s="2"/>
      <c r="AL213" s="2"/>
      <c r="AM213" s="2" t="s">
        <v>52</v>
      </c>
    </row>
    <row r="214" spans="1:39" x14ac:dyDescent="0.45">
      <c r="A214" s="2" t="s">
        <v>2235</v>
      </c>
      <c r="B214" s="2"/>
      <c r="C214" s="2" t="s">
        <v>2237</v>
      </c>
      <c r="D214" s="2" t="s">
        <v>2239</v>
      </c>
      <c r="E214" s="25"/>
      <c r="F214" s="21"/>
      <c r="G214" s="42" t="s">
        <v>28000</v>
      </c>
      <c r="H214" s="2" t="s">
        <v>50</v>
      </c>
      <c r="I214" s="2" t="s">
        <v>2242</v>
      </c>
      <c r="J214" s="2" t="s">
        <v>2236</v>
      </c>
      <c r="K214" s="2" t="s">
        <v>2238</v>
      </c>
      <c r="L214" s="2" t="s">
        <v>2240</v>
      </c>
      <c r="M214" s="2" t="s">
        <v>2240</v>
      </c>
      <c r="N214" s="2" t="s">
        <v>72</v>
      </c>
      <c r="O214" s="2" t="s">
        <v>73</v>
      </c>
      <c r="P214" s="2" t="s">
        <v>98</v>
      </c>
      <c r="Q214" s="2" t="s">
        <v>2238</v>
      </c>
      <c r="R214" s="2"/>
      <c r="S214" s="2"/>
      <c r="T214" s="2"/>
      <c r="U214" s="2" t="s">
        <v>72</v>
      </c>
      <c r="V214" s="2" t="s">
        <v>73</v>
      </c>
      <c r="W214" s="2" t="s">
        <v>98</v>
      </c>
      <c r="X214" s="2" t="s">
        <v>2241</v>
      </c>
      <c r="Y214" s="2" t="s">
        <v>44</v>
      </c>
      <c r="Z214" s="2"/>
      <c r="AA214" s="2" t="s">
        <v>45</v>
      </c>
      <c r="AB214" s="2" t="s">
        <v>46</v>
      </c>
      <c r="AC214" s="2" t="s">
        <v>45</v>
      </c>
      <c r="AE214" s="2" t="s">
        <v>48</v>
      </c>
      <c r="AF214" s="2" t="s">
        <v>49</v>
      </c>
      <c r="AG214" s="2">
        <v>100</v>
      </c>
      <c r="AH214" s="2">
        <v>90</v>
      </c>
      <c r="AJ214" s="2" t="s">
        <v>2243</v>
      </c>
      <c r="AK214" s="2"/>
      <c r="AL214" s="2"/>
      <c r="AM214" s="2" t="s">
        <v>52</v>
      </c>
    </row>
    <row r="215" spans="1:39" x14ac:dyDescent="0.45">
      <c r="A215" s="2" t="s">
        <v>2244</v>
      </c>
      <c r="B215" s="2"/>
      <c r="C215" s="2" t="s">
        <v>2246</v>
      </c>
      <c r="D215" s="2" t="s">
        <v>2248</v>
      </c>
      <c r="E215" s="25"/>
      <c r="F215" s="21"/>
      <c r="G215" s="42" t="s">
        <v>28000</v>
      </c>
      <c r="H215" s="2" t="s">
        <v>50</v>
      </c>
      <c r="I215" s="2" t="s">
        <v>2252</v>
      </c>
      <c r="J215" s="2" t="s">
        <v>2245</v>
      </c>
      <c r="K215" s="2" t="s">
        <v>2247</v>
      </c>
      <c r="L215" s="2" t="s">
        <v>2249</v>
      </c>
      <c r="M215" s="2" t="s">
        <v>2249</v>
      </c>
      <c r="N215" s="2" t="s">
        <v>39</v>
      </c>
      <c r="O215" s="2" t="s">
        <v>40</v>
      </c>
      <c r="P215" s="2" t="s">
        <v>2250</v>
      </c>
      <c r="Q215" s="2" t="s">
        <v>2247</v>
      </c>
      <c r="R215" s="2"/>
      <c r="S215" s="2"/>
      <c r="T215" s="2"/>
      <c r="U215" s="2" t="s">
        <v>39</v>
      </c>
      <c r="V215" s="2" t="s">
        <v>40</v>
      </c>
      <c r="W215" s="2" t="s">
        <v>2250</v>
      </c>
      <c r="X215" s="2" t="s">
        <v>2251</v>
      </c>
      <c r="Y215" s="2" t="s">
        <v>44</v>
      </c>
      <c r="Z215" s="2"/>
      <c r="AA215" s="2" t="s">
        <v>45</v>
      </c>
      <c r="AB215" s="2" t="s">
        <v>46</v>
      </c>
      <c r="AC215" s="2" t="s">
        <v>45</v>
      </c>
      <c r="AE215" s="2" t="s">
        <v>48</v>
      </c>
      <c r="AF215" s="2" t="s">
        <v>49</v>
      </c>
      <c r="AG215" s="2">
        <v>100</v>
      </c>
      <c r="AH215" s="2">
        <v>90</v>
      </c>
      <c r="AJ215" s="2" t="s">
        <v>2253</v>
      </c>
      <c r="AK215" s="2"/>
      <c r="AL215" s="2"/>
      <c r="AM215" s="2" t="s">
        <v>52</v>
      </c>
    </row>
    <row r="216" spans="1:39" x14ac:dyDescent="0.45">
      <c r="A216" s="2" t="s">
        <v>2254</v>
      </c>
      <c r="B216" s="2"/>
      <c r="C216" s="2" t="s">
        <v>2256</v>
      </c>
      <c r="D216" s="2" t="s">
        <v>2258</v>
      </c>
      <c r="E216" s="25"/>
      <c r="F216" s="21"/>
      <c r="G216" s="42" t="s">
        <v>28000</v>
      </c>
      <c r="H216" s="2" t="s">
        <v>50</v>
      </c>
      <c r="I216" s="2" t="s">
        <v>2262</v>
      </c>
      <c r="J216" s="2" t="s">
        <v>2255</v>
      </c>
      <c r="K216" s="2" t="s">
        <v>2257</v>
      </c>
      <c r="L216" s="2" t="s">
        <v>2259</v>
      </c>
      <c r="M216" s="2" t="s">
        <v>2259</v>
      </c>
      <c r="N216" s="2" t="s">
        <v>85</v>
      </c>
      <c r="O216" s="2" t="s">
        <v>86</v>
      </c>
      <c r="P216" s="2" t="s">
        <v>2260</v>
      </c>
      <c r="Q216" s="2" t="s">
        <v>2257</v>
      </c>
      <c r="R216" s="2"/>
      <c r="S216" s="2"/>
      <c r="T216" s="2"/>
      <c r="U216" s="2" t="s">
        <v>85</v>
      </c>
      <c r="V216" s="2" t="s">
        <v>86</v>
      </c>
      <c r="W216" s="2" t="s">
        <v>2260</v>
      </c>
      <c r="X216" s="2" t="s">
        <v>2261</v>
      </c>
      <c r="Y216" s="2" t="s">
        <v>44</v>
      </c>
      <c r="Z216" s="2"/>
      <c r="AA216" s="2" t="s">
        <v>45</v>
      </c>
      <c r="AB216" s="2" t="s">
        <v>46</v>
      </c>
      <c r="AC216" s="2" t="s">
        <v>45</v>
      </c>
      <c r="AE216" s="2" t="s">
        <v>48</v>
      </c>
      <c r="AF216" s="2" t="s">
        <v>49</v>
      </c>
      <c r="AG216" s="2">
        <v>100</v>
      </c>
      <c r="AH216" s="2">
        <v>90</v>
      </c>
      <c r="AJ216" s="2" t="s">
        <v>2263</v>
      </c>
      <c r="AK216" s="2"/>
      <c r="AL216" s="2"/>
      <c r="AM216" s="2" t="s">
        <v>52</v>
      </c>
    </row>
    <row r="217" spans="1:39" x14ac:dyDescent="0.45">
      <c r="A217" s="2" t="s">
        <v>2264</v>
      </c>
      <c r="B217" s="2"/>
      <c r="C217" s="2" t="s">
        <v>2266</v>
      </c>
      <c r="D217" s="2" t="s">
        <v>2268</v>
      </c>
      <c r="E217" s="25"/>
      <c r="F217" s="21"/>
      <c r="G217" s="42" t="s">
        <v>28000</v>
      </c>
      <c r="H217" s="2" t="s">
        <v>50</v>
      </c>
      <c r="I217" s="2" t="s">
        <v>2272</v>
      </c>
      <c r="J217" s="2" t="s">
        <v>2265</v>
      </c>
      <c r="K217" s="2" t="s">
        <v>2267</v>
      </c>
      <c r="L217" s="2" t="s">
        <v>2269</v>
      </c>
      <c r="M217" s="2"/>
      <c r="N217" s="2" t="s">
        <v>72</v>
      </c>
      <c r="O217" s="2" t="s">
        <v>73</v>
      </c>
      <c r="P217" s="2" t="s">
        <v>2270</v>
      </c>
      <c r="Q217" s="2" t="s">
        <v>2267</v>
      </c>
      <c r="R217" s="2"/>
      <c r="S217" s="2"/>
      <c r="T217" s="2"/>
      <c r="U217" s="2" t="s">
        <v>72</v>
      </c>
      <c r="V217" s="2" t="s">
        <v>73</v>
      </c>
      <c r="W217" s="2" t="s">
        <v>2270</v>
      </c>
      <c r="X217" s="2" t="s">
        <v>2271</v>
      </c>
      <c r="Y217" s="2" t="s">
        <v>44</v>
      </c>
      <c r="Z217" s="2"/>
      <c r="AA217" s="2" t="s">
        <v>45</v>
      </c>
      <c r="AB217" s="2" t="s">
        <v>46</v>
      </c>
      <c r="AC217" s="2" t="s">
        <v>45</v>
      </c>
      <c r="AE217" s="2" t="s">
        <v>48</v>
      </c>
      <c r="AF217" s="2" t="s">
        <v>49</v>
      </c>
      <c r="AG217" s="2">
        <v>100</v>
      </c>
      <c r="AH217" s="2">
        <v>90</v>
      </c>
      <c r="AJ217" s="2" t="s">
        <v>2273</v>
      </c>
      <c r="AK217" s="2"/>
      <c r="AL217" s="2"/>
      <c r="AM217" s="2" t="s">
        <v>52</v>
      </c>
    </row>
    <row r="218" spans="1:39" x14ac:dyDescent="0.45">
      <c r="A218" s="2" t="s">
        <v>2274</v>
      </c>
      <c r="B218" s="2"/>
      <c r="C218" s="2" t="s">
        <v>2276</v>
      </c>
      <c r="D218" s="2" t="s">
        <v>2278</v>
      </c>
      <c r="E218" s="25"/>
      <c r="F218" s="21"/>
      <c r="G218" s="42" t="s">
        <v>28000</v>
      </c>
      <c r="H218" s="2" t="s">
        <v>50</v>
      </c>
      <c r="I218" s="2" t="s">
        <v>2281</v>
      </c>
      <c r="J218" s="2" t="s">
        <v>2275</v>
      </c>
      <c r="K218" s="2" t="s">
        <v>2277</v>
      </c>
      <c r="L218" s="2" t="s">
        <v>2279</v>
      </c>
      <c r="M218" s="2" t="s">
        <v>2279</v>
      </c>
      <c r="N218" s="2" t="s">
        <v>72</v>
      </c>
      <c r="O218" s="2" t="s">
        <v>73</v>
      </c>
      <c r="P218" s="2" t="s">
        <v>74</v>
      </c>
      <c r="Q218" s="2" t="s">
        <v>2277</v>
      </c>
      <c r="R218" s="2"/>
      <c r="S218" s="2"/>
      <c r="T218" s="2"/>
      <c r="U218" s="2" t="s">
        <v>72</v>
      </c>
      <c r="V218" s="2" t="s">
        <v>73</v>
      </c>
      <c r="W218" s="2" t="s">
        <v>74</v>
      </c>
      <c r="X218" s="2" t="s">
        <v>2280</v>
      </c>
      <c r="Y218" s="2" t="s">
        <v>44</v>
      </c>
      <c r="Z218" s="2"/>
      <c r="AA218" s="2" t="s">
        <v>45</v>
      </c>
      <c r="AB218" s="2" t="s">
        <v>46</v>
      </c>
      <c r="AC218" s="2" t="s">
        <v>45</v>
      </c>
      <c r="AE218" s="2" t="s">
        <v>48</v>
      </c>
      <c r="AF218" s="2" t="s">
        <v>49</v>
      </c>
      <c r="AG218" s="2">
        <v>100</v>
      </c>
      <c r="AH218" s="2">
        <v>90</v>
      </c>
      <c r="AJ218" s="2" t="s">
        <v>2282</v>
      </c>
      <c r="AK218" s="2"/>
      <c r="AL218" s="2"/>
      <c r="AM218" s="2" t="s">
        <v>52</v>
      </c>
    </row>
    <row r="219" spans="1:39" x14ac:dyDescent="0.45">
      <c r="A219" s="2" t="s">
        <v>2283</v>
      </c>
      <c r="B219" s="2"/>
      <c r="C219" s="2" t="s">
        <v>2285</v>
      </c>
      <c r="D219" s="2" t="s">
        <v>2287</v>
      </c>
      <c r="E219" s="25"/>
      <c r="F219" s="21"/>
      <c r="G219" s="42" t="s">
        <v>28000</v>
      </c>
      <c r="H219" s="2" t="s">
        <v>50</v>
      </c>
      <c r="I219" s="2" t="s">
        <v>2290</v>
      </c>
      <c r="J219" s="2" t="s">
        <v>2284</v>
      </c>
      <c r="K219" s="2" t="s">
        <v>2286</v>
      </c>
      <c r="L219" s="2" t="s">
        <v>2288</v>
      </c>
      <c r="M219" s="2" t="s">
        <v>2288</v>
      </c>
      <c r="N219" s="2" t="s">
        <v>72</v>
      </c>
      <c r="O219" s="2" t="s">
        <v>73</v>
      </c>
      <c r="P219" s="2" t="s">
        <v>98</v>
      </c>
      <c r="Q219" s="2" t="s">
        <v>2286</v>
      </c>
      <c r="R219" s="2"/>
      <c r="S219" s="2"/>
      <c r="T219" s="2"/>
      <c r="U219" s="2" t="s">
        <v>72</v>
      </c>
      <c r="V219" s="2" t="s">
        <v>73</v>
      </c>
      <c r="W219" s="2" t="s">
        <v>98</v>
      </c>
      <c r="X219" s="2" t="s">
        <v>2289</v>
      </c>
      <c r="Y219" s="2" t="s">
        <v>44</v>
      </c>
      <c r="Z219" s="2"/>
      <c r="AA219" s="2" t="s">
        <v>45</v>
      </c>
      <c r="AB219" s="2" t="s">
        <v>46</v>
      </c>
      <c r="AC219" s="2" t="s">
        <v>45</v>
      </c>
      <c r="AE219" s="2" t="s">
        <v>48</v>
      </c>
      <c r="AF219" s="2" t="s">
        <v>49</v>
      </c>
      <c r="AG219" s="2">
        <v>100</v>
      </c>
      <c r="AH219" s="2">
        <v>90</v>
      </c>
      <c r="AJ219" s="2" t="s">
        <v>2291</v>
      </c>
      <c r="AK219" s="2"/>
      <c r="AL219" s="2"/>
      <c r="AM219" s="2" t="s">
        <v>52</v>
      </c>
    </row>
    <row r="220" spans="1:39" x14ac:dyDescent="0.45">
      <c r="A220" s="2" t="s">
        <v>2292</v>
      </c>
      <c r="B220" s="2"/>
      <c r="C220" s="2" t="s">
        <v>2294</v>
      </c>
      <c r="D220" s="2" t="s">
        <v>2296</v>
      </c>
      <c r="E220" s="25"/>
      <c r="F220" s="21"/>
      <c r="G220" s="42" t="s">
        <v>28000</v>
      </c>
      <c r="H220" s="2" t="s">
        <v>50</v>
      </c>
      <c r="I220" s="2" t="s">
        <v>2299</v>
      </c>
      <c r="J220" s="2" t="s">
        <v>2293</v>
      </c>
      <c r="K220" s="2" t="s">
        <v>2295</v>
      </c>
      <c r="L220" s="2" t="s">
        <v>2297</v>
      </c>
      <c r="M220" s="2" t="s">
        <v>2297</v>
      </c>
      <c r="N220" s="2" t="s">
        <v>72</v>
      </c>
      <c r="O220" s="2" t="s">
        <v>73</v>
      </c>
      <c r="P220" s="2" t="s">
        <v>791</v>
      </c>
      <c r="Q220" s="2" t="s">
        <v>2295</v>
      </c>
      <c r="R220" s="2"/>
      <c r="S220" s="2"/>
      <c r="T220" s="2"/>
      <c r="U220" s="2" t="s">
        <v>72</v>
      </c>
      <c r="V220" s="2" t="s">
        <v>73</v>
      </c>
      <c r="W220" s="2" t="s">
        <v>791</v>
      </c>
      <c r="X220" s="2" t="s">
        <v>2298</v>
      </c>
      <c r="Y220" s="2" t="s">
        <v>44</v>
      </c>
      <c r="Z220" s="2"/>
      <c r="AA220" s="2" t="s">
        <v>45</v>
      </c>
      <c r="AB220" s="2" t="s">
        <v>46</v>
      </c>
      <c r="AC220" s="2" t="s">
        <v>45</v>
      </c>
      <c r="AE220" s="2" t="s">
        <v>48</v>
      </c>
      <c r="AF220" s="2" t="s">
        <v>49</v>
      </c>
      <c r="AG220" s="2">
        <v>100</v>
      </c>
      <c r="AH220" s="2">
        <v>90</v>
      </c>
      <c r="AJ220" s="2" t="s">
        <v>2300</v>
      </c>
      <c r="AK220" s="2"/>
      <c r="AL220" s="2"/>
      <c r="AM220" s="2" t="s">
        <v>52</v>
      </c>
    </row>
    <row r="221" spans="1:39" x14ac:dyDescent="0.45">
      <c r="A221" s="2" t="s">
        <v>2301</v>
      </c>
      <c r="B221" s="2"/>
      <c r="C221" s="2" t="s">
        <v>2303</v>
      </c>
      <c r="D221" s="2" t="s">
        <v>2305</v>
      </c>
      <c r="E221" s="25"/>
      <c r="F221" s="21"/>
      <c r="G221" s="42" t="s">
        <v>28000</v>
      </c>
      <c r="H221" s="2" t="s">
        <v>50</v>
      </c>
      <c r="I221" s="2" t="s">
        <v>2308</v>
      </c>
      <c r="J221" s="2" t="s">
        <v>2302</v>
      </c>
      <c r="K221" s="2" t="s">
        <v>2304</v>
      </c>
      <c r="L221" s="2" t="s">
        <v>2306</v>
      </c>
      <c r="M221" s="2" t="s">
        <v>2306</v>
      </c>
      <c r="N221" s="2" t="s">
        <v>59</v>
      </c>
      <c r="O221" s="2" t="s">
        <v>60</v>
      </c>
      <c r="P221" s="2" t="s">
        <v>992</v>
      </c>
      <c r="Q221" s="2" t="s">
        <v>2304</v>
      </c>
      <c r="R221" s="2"/>
      <c r="S221" s="2"/>
      <c r="T221" s="2"/>
      <c r="U221" s="2" t="s">
        <v>59</v>
      </c>
      <c r="V221" s="2" t="s">
        <v>60</v>
      </c>
      <c r="W221" s="2" t="s">
        <v>992</v>
      </c>
      <c r="X221" s="2" t="s">
        <v>2307</v>
      </c>
      <c r="Y221" s="2" t="s">
        <v>44</v>
      </c>
      <c r="Z221" s="2"/>
      <c r="AA221" s="2" t="s">
        <v>45</v>
      </c>
      <c r="AB221" s="2" t="s">
        <v>46</v>
      </c>
      <c r="AC221" s="2" t="s">
        <v>45</v>
      </c>
      <c r="AE221" s="2" t="s">
        <v>48</v>
      </c>
      <c r="AF221" s="2" t="s">
        <v>49</v>
      </c>
      <c r="AG221" s="2">
        <v>100</v>
      </c>
      <c r="AH221" s="2">
        <v>90</v>
      </c>
      <c r="AJ221" s="2" t="s">
        <v>2309</v>
      </c>
      <c r="AK221" s="2"/>
      <c r="AL221" s="2"/>
      <c r="AM221" s="2" t="s">
        <v>52</v>
      </c>
    </row>
    <row r="222" spans="1:39" x14ac:dyDescent="0.45">
      <c r="A222" s="2" t="s">
        <v>2310</v>
      </c>
      <c r="B222" s="2"/>
      <c r="C222" s="2" t="s">
        <v>2312</v>
      </c>
      <c r="D222" s="2" t="s">
        <v>2314</v>
      </c>
      <c r="E222" s="25"/>
      <c r="F222" s="21"/>
      <c r="G222" s="42" t="s">
        <v>28000</v>
      </c>
      <c r="H222" s="2" t="s">
        <v>50</v>
      </c>
      <c r="I222" s="2" t="s">
        <v>2177</v>
      </c>
      <c r="J222" s="2" t="s">
        <v>2311</v>
      </c>
      <c r="K222" s="2" t="s">
        <v>2313</v>
      </c>
      <c r="L222" s="2" t="s">
        <v>2315</v>
      </c>
      <c r="M222" s="2" t="s">
        <v>2315</v>
      </c>
      <c r="N222" s="2" t="s">
        <v>59</v>
      </c>
      <c r="O222" s="2" t="s">
        <v>60</v>
      </c>
      <c r="P222" s="2" t="s">
        <v>1100</v>
      </c>
      <c r="Q222" s="2" t="s">
        <v>2313</v>
      </c>
      <c r="R222" s="2"/>
      <c r="S222" s="2"/>
      <c r="T222" s="2"/>
      <c r="U222" s="2" t="s">
        <v>59</v>
      </c>
      <c r="V222" s="2" t="s">
        <v>60</v>
      </c>
      <c r="W222" s="2" t="s">
        <v>1100</v>
      </c>
      <c r="X222" s="2" t="s">
        <v>2316</v>
      </c>
      <c r="Y222" s="2" t="s">
        <v>44</v>
      </c>
      <c r="Z222" s="2"/>
      <c r="AA222" s="2" t="s">
        <v>45</v>
      </c>
      <c r="AB222" s="2" t="s">
        <v>46</v>
      </c>
      <c r="AC222" s="2" t="s">
        <v>45</v>
      </c>
      <c r="AE222" s="2" t="s">
        <v>48</v>
      </c>
      <c r="AF222" s="2" t="s">
        <v>49</v>
      </c>
      <c r="AG222" s="2">
        <v>100</v>
      </c>
      <c r="AH222" s="2">
        <v>90</v>
      </c>
      <c r="AJ222" s="2" t="s">
        <v>2178</v>
      </c>
      <c r="AK222" s="2"/>
      <c r="AL222" s="2"/>
      <c r="AM222" s="2" t="s">
        <v>52</v>
      </c>
    </row>
    <row r="223" spans="1:39" x14ac:dyDescent="0.45">
      <c r="A223" s="2" t="s">
        <v>2317</v>
      </c>
      <c r="B223" s="2"/>
      <c r="C223" s="2" t="s">
        <v>2319</v>
      </c>
      <c r="D223" s="2" t="s">
        <v>2321</v>
      </c>
      <c r="E223" s="25"/>
      <c r="F223" s="21"/>
      <c r="G223" s="42" t="s">
        <v>28000</v>
      </c>
      <c r="H223" s="2" t="s">
        <v>50</v>
      </c>
      <c r="I223" s="2" t="s">
        <v>2324</v>
      </c>
      <c r="J223" s="2" t="s">
        <v>2318</v>
      </c>
      <c r="K223" s="2" t="s">
        <v>2320</v>
      </c>
      <c r="L223" s="2" t="s">
        <v>2322</v>
      </c>
      <c r="M223" s="2" t="s">
        <v>2322</v>
      </c>
      <c r="N223" s="2" t="s">
        <v>59</v>
      </c>
      <c r="O223" s="2" t="s">
        <v>60</v>
      </c>
      <c r="P223" s="2" t="s">
        <v>2323</v>
      </c>
      <c r="Q223" s="2"/>
      <c r="R223" s="2"/>
      <c r="S223" s="2"/>
      <c r="T223" s="2"/>
      <c r="U223" s="2"/>
      <c r="V223" s="2"/>
      <c r="W223" s="2"/>
      <c r="X223" s="2" t="s">
        <v>1152</v>
      </c>
      <c r="Y223" s="2" t="s">
        <v>44</v>
      </c>
      <c r="Z223" s="2"/>
      <c r="AA223" s="2" t="s">
        <v>45</v>
      </c>
      <c r="AB223" s="2" t="s">
        <v>46</v>
      </c>
      <c r="AC223" s="2" t="s">
        <v>45</v>
      </c>
      <c r="AE223" s="2" t="s">
        <v>48</v>
      </c>
      <c r="AF223" s="2" t="s">
        <v>49</v>
      </c>
      <c r="AG223" s="2">
        <v>100</v>
      </c>
      <c r="AH223" s="2">
        <v>90</v>
      </c>
      <c r="AJ223" s="2" t="s">
        <v>2325</v>
      </c>
      <c r="AK223" s="2"/>
      <c r="AL223" s="2"/>
      <c r="AM223" s="2" t="s">
        <v>52</v>
      </c>
    </row>
    <row r="224" spans="1:39" x14ac:dyDescent="0.45">
      <c r="A224" s="2" t="s">
        <v>2326</v>
      </c>
      <c r="B224" s="2"/>
      <c r="C224" s="2" t="s">
        <v>2328</v>
      </c>
      <c r="D224" s="2" t="s">
        <v>2330</v>
      </c>
      <c r="E224" s="25"/>
      <c r="F224" s="21"/>
      <c r="G224" s="42" t="s">
        <v>28000</v>
      </c>
      <c r="H224" s="2" t="s">
        <v>50</v>
      </c>
      <c r="I224" s="2" t="s">
        <v>2334</v>
      </c>
      <c r="J224" s="2" t="s">
        <v>2327</v>
      </c>
      <c r="K224" s="2" t="s">
        <v>2329</v>
      </c>
      <c r="L224" s="2" t="s">
        <v>2331</v>
      </c>
      <c r="M224" s="2" t="s">
        <v>2331</v>
      </c>
      <c r="N224" s="2" t="s">
        <v>174</v>
      </c>
      <c r="O224" s="2" t="s">
        <v>175</v>
      </c>
      <c r="P224" s="2" t="s">
        <v>2332</v>
      </c>
      <c r="Q224" s="2" t="s">
        <v>2333</v>
      </c>
      <c r="R224" s="2"/>
      <c r="S224" s="2"/>
      <c r="T224" s="2"/>
      <c r="U224" s="2" t="s">
        <v>72</v>
      </c>
      <c r="V224" s="2" t="s">
        <v>73</v>
      </c>
      <c r="W224" s="2" t="s">
        <v>791</v>
      </c>
      <c r="X224" s="2" t="s">
        <v>1152</v>
      </c>
      <c r="Y224" s="2" t="s">
        <v>44</v>
      </c>
      <c r="Z224" s="2"/>
      <c r="AA224" s="2" t="s">
        <v>45</v>
      </c>
      <c r="AB224" s="2" t="s">
        <v>46</v>
      </c>
      <c r="AC224" s="2" t="s">
        <v>45</v>
      </c>
      <c r="AE224" s="2" t="s">
        <v>48</v>
      </c>
      <c r="AF224" s="2" t="s">
        <v>49</v>
      </c>
      <c r="AG224" s="2">
        <v>100</v>
      </c>
      <c r="AH224" s="2">
        <v>90</v>
      </c>
      <c r="AJ224" s="2" t="s">
        <v>2335</v>
      </c>
      <c r="AK224" s="2"/>
      <c r="AL224" s="2"/>
      <c r="AM224" s="2" t="s">
        <v>52</v>
      </c>
    </row>
    <row r="225" spans="1:39" x14ac:dyDescent="0.45">
      <c r="A225" s="2" t="s">
        <v>2336</v>
      </c>
      <c r="B225" s="2"/>
      <c r="C225" s="2" t="s">
        <v>2338</v>
      </c>
      <c r="D225" s="2" t="s">
        <v>2340</v>
      </c>
      <c r="E225" s="25"/>
      <c r="F225" s="21"/>
      <c r="G225" s="42" t="s">
        <v>28000</v>
      </c>
      <c r="H225" s="2" t="s">
        <v>50</v>
      </c>
      <c r="I225" s="2" t="s">
        <v>2343</v>
      </c>
      <c r="J225" s="2" t="s">
        <v>2337</v>
      </c>
      <c r="K225" s="2" t="s">
        <v>2339</v>
      </c>
      <c r="L225" s="2" t="s">
        <v>2341</v>
      </c>
      <c r="M225" s="2"/>
      <c r="N225" s="2" t="s">
        <v>72</v>
      </c>
      <c r="O225" s="2" t="s">
        <v>73</v>
      </c>
      <c r="P225" s="2" t="s">
        <v>761</v>
      </c>
      <c r="Q225" s="2" t="s">
        <v>2339</v>
      </c>
      <c r="R225" s="2"/>
      <c r="S225" s="2"/>
      <c r="T225" s="2"/>
      <c r="U225" s="2" t="s">
        <v>72</v>
      </c>
      <c r="V225" s="2" t="s">
        <v>73</v>
      </c>
      <c r="W225" s="2" t="s">
        <v>761</v>
      </c>
      <c r="X225" s="2" t="s">
        <v>2342</v>
      </c>
      <c r="Y225" s="2" t="s">
        <v>44</v>
      </c>
      <c r="Z225" s="2"/>
      <c r="AA225" s="2" t="s">
        <v>45</v>
      </c>
      <c r="AB225" s="2" t="s">
        <v>46</v>
      </c>
      <c r="AC225" s="2" t="s">
        <v>45</v>
      </c>
      <c r="AE225" s="2" t="s">
        <v>48</v>
      </c>
      <c r="AF225" s="2" t="s">
        <v>49</v>
      </c>
      <c r="AG225" s="2">
        <v>100</v>
      </c>
      <c r="AH225" s="2">
        <v>90</v>
      </c>
      <c r="AJ225" s="2" t="s">
        <v>2344</v>
      </c>
      <c r="AK225" s="2"/>
      <c r="AL225" s="2"/>
      <c r="AM225" s="2" t="s">
        <v>52</v>
      </c>
    </row>
    <row r="226" spans="1:39" x14ac:dyDescent="0.45">
      <c r="A226" s="2" t="s">
        <v>2345</v>
      </c>
      <c r="B226" s="2"/>
      <c r="C226" s="2" t="s">
        <v>2347</v>
      </c>
      <c r="D226" s="2" t="s">
        <v>2349</v>
      </c>
      <c r="E226" s="25"/>
      <c r="F226" s="21"/>
      <c r="G226" s="42" t="s">
        <v>28000</v>
      </c>
      <c r="H226" s="2" t="s">
        <v>50</v>
      </c>
      <c r="I226" s="2" t="s">
        <v>2355</v>
      </c>
      <c r="J226" s="2" t="s">
        <v>2346</v>
      </c>
      <c r="K226" s="2" t="s">
        <v>2348</v>
      </c>
      <c r="L226" s="2" t="s">
        <v>2350</v>
      </c>
      <c r="M226" s="2"/>
      <c r="N226" s="2" t="s">
        <v>85</v>
      </c>
      <c r="O226" s="2" t="s">
        <v>86</v>
      </c>
      <c r="P226" s="2" t="s">
        <v>2351</v>
      </c>
      <c r="Q226" s="2" t="s">
        <v>2352</v>
      </c>
      <c r="R226" s="2"/>
      <c r="S226" s="2"/>
      <c r="T226" s="2"/>
      <c r="U226" s="2" t="s">
        <v>85</v>
      </c>
      <c r="V226" s="2" t="s">
        <v>86</v>
      </c>
      <c r="W226" s="2" t="s">
        <v>2353</v>
      </c>
      <c r="X226" s="2" t="s">
        <v>2354</v>
      </c>
      <c r="Y226" s="2" t="s">
        <v>44</v>
      </c>
      <c r="Z226" s="2"/>
      <c r="AA226" s="2" t="s">
        <v>45</v>
      </c>
      <c r="AB226" s="2" t="s">
        <v>46</v>
      </c>
      <c r="AC226" s="2" t="s">
        <v>45</v>
      </c>
      <c r="AE226" s="2" t="s">
        <v>48</v>
      </c>
      <c r="AF226" s="2" t="s">
        <v>49</v>
      </c>
      <c r="AG226" s="2">
        <v>100</v>
      </c>
      <c r="AH226" s="2">
        <v>90</v>
      </c>
      <c r="AJ226" s="2" t="s">
        <v>2356</v>
      </c>
      <c r="AK226" s="2"/>
      <c r="AL226" s="2"/>
      <c r="AM226" s="2" t="s">
        <v>52</v>
      </c>
    </row>
    <row r="227" spans="1:39" x14ac:dyDescent="0.45">
      <c r="A227" s="2" t="s">
        <v>2357</v>
      </c>
      <c r="B227" s="2"/>
      <c r="C227" s="2" t="s">
        <v>2359</v>
      </c>
      <c r="D227" s="2" t="s">
        <v>2361</v>
      </c>
      <c r="E227" s="25"/>
      <c r="F227" s="21"/>
      <c r="G227" s="42" t="s">
        <v>28000</v>
      </c>
      <c r="H227" s="2" t="s">
        <v>50</v>
      </c>
      <c r="I227" s="2" t="s">
        <v>2364</v>
      </c>
      <c r="J227" s="2" t="s">
        <v>2358</v>
      </c>
      <c r="K227" s="2" t="s">
        <v>2360</v>
      </c>
      <c r="L227" s="2" t="s">
        <v>2362</v>
      </c>
      <c r="M227" s="2" t="s">
        <v>2362</v>
      </c>
      <c r="N227" s="2" t="s">
        <v>72</v>
      </c>
      <c r="O227" s="2" t="s">
        <v>73</v>
      </c>
      <c r="P227" s="2" t="s">
        <v>474</v>
      </c>
      <c r="Q227" s="2" t="s">
        <v>2360</v>
      </c>
      <c r="R227" s="2"/>
      <c r="S227" s="2"/>
      <c r="T227" s="2"/>
      <c r="U227" s="2" t="s">
        <v>72</v>
      </c>
      <c r="V227" s="2" t="s">
        <v>73</v>
      </c>
      <c r="W227" s="2" t="s">
        <v>474</v>
      </c>
      <c r="X227" s="2" t="s">
        <v>2363</v>
      </c>
      <c r="Y227" s="2" t="s">
        <v>44</v>
      </c>
      <c r="Z227" s="2"/>
      <c r="AA227" s="2" t="s">
        <v>45</v>
      </c>
      <c r="AB227" s="2" t="s">
        <v>46</v>
      </c>
      <c r="AC227" s="2" t="s">
        <v>45</v>
      </c>
      <c r="AE227" s="2" t="s">
        <v>48</v>
      </c>
      <c r="AF227" s="2" t="s">
        <v>49</v>
      </c>
      <c r="AG227" s="2">
        <v>100</v>
      </c>
      <c r="AH227" s="2">
        <v>90</v>
      </c>
      <c r="AJ227" s="2" t="s">
        <v>2365</v>
      </c>
      <c r="AK227" s="2"/>
      <c r="AL227" s="2"/>
      <c r="AM227" s="2" t="s">
        <v>52</v>
      </c>
    </row>
    <row r="228" spans="1:39" x14ac:dyDescent="0.45">
      <c r="A228" s="2" t="s">
        <v>2366</v>
      </c>
      <c r="B228" s="2"/>
      <c r="C228" s="2" t="s">
        <v>2368</v>
      </c>
      <c r="D228" s="2" t="s">
        <v>2370</v>
      </c>
      <c r="E228" s="25"/>
      <c r="F228" s="21"/>
      <c r="G228" s="42" t="s">
        <v>28000</v>
      </c>
      <c r="H228" s="2" t="s">
        <v>50</v>
      </c>
      <c r="I228" s="2" t="s">
        <v>2374</v>
      </c>
      <c r="J228" s="2" t="s">
        <v>2367</v>
      </c>
      <c r="K228" s="2" t="s">
        <v>2369</v>
      </c>
      <c r="L228" s="2" t="s">
        <v>2371</v>
      </c>
      <c r="M228" s="2" t="s">
        <v>2371</v>
      </c>
      <c r="N228" s="2" t="s">
        <v>72</v>
      </c>
      <c r="O228" s="2" t="s">
        <v>73</v>
      </c>
      <c r="P228" s="2" t="s">
        <v>2372</v>
      </c>
      <c r="Q228" s="2"/>
      <c r="R228" s="2"/>
      <c r="S228" s="2"/>
      <c r="T228" s="2"/>
      <c r="U228" s="2"/>
      <c r="V228" s="2"/>
      <c r="W228" s="2"/>
      <c r="X228" s="2" t="s">
        <v>2373</v>
      </c>
      <c r="Y228" s="2" t="s">
        <v>44</v>
      </c>
      <c r="Z228" s="2"/>
      <c r="AA228" s="2" t="s">
        <v>45</v>
      </c>
      <c r="AB228" s="2" t="s">
        <v>46</v>
      </c>
      <c r="AC228" s="2" t="s">
        <v>45</v>
      </c>
      <c r="AE228" s="2" t="s">
        <v>48</v>
      </c>
      <c r="AF228" s="2" t="s">
        <v>49</v>
      </c>
      <c r="AG228" s="2">
        <v>100</v>
      </c>
      <c r="AH228" s="2">
        <v>90</v>
      </c>
      <c r="AJ228" s="2" t="s">
        <v>2375</v>
      </c>
      <c r="AK228" s="2"/>
      <c r="AL228" s="2"/>
      <c r="AM228" s="2" t="s">
        <v>52</v>
      </c>
    </row>
    <row r="229" spans="1:39" x14ac:dyDescent="0.45">
      <c r="A229" s="2" t="s">
        <v>2376</v>
      </c>
      <c r="B229" s="2"/>
      <c r="C229" s="2" t="s">
        <v>2378</v>
      </c>
      <c r="D229" s="2" t="s">
        <v>2380</v>
      </c>
      <c r="E229" s="25"/>
      <c r="F229" s="21"/>
      <c r="G229" s="42" t="s">
        <v>28000</v>
      </c>
      <c r="H229" s="2" t="s">
        <v>50</v>
      </c>
      <c r="I229" s="2" t="s">
        <v>2384</v>
      </c>
      <c r="J229" s="2" t="s">
        <v>2377</v>
      </c>
      <c r="K229" s="2" t="s">
        <v>2379</v>
      </c>
      <c r="L229" s="2" t="s">
        <v>2381</v>
      </c>
      <c r="M229" s="2"/>
      <c r="N229" s="2" t="s">
        <v>536</v>
      </c>
      <c r="O229" s="2" t="s">
        <v>537</v>
      </c>
      <c r="P229" s="2" t="s">
        <v>2382</v>
      </c>
      <c r="Q229" s="2" t="s">
        <v>2383</v>
      </c>
      <c r="R229" s="2"/>
      <c r="S229" s="2"/>
      <c r="T229" s="2"/>
      <c r="U229" s="2" t="s">
        <v>536</v>
      </c>
      <c r="V229" s="2" t="s">
        <v>537</v>
      </c>
      <c r="W229" s="2" t="s">
        <v>1818</v>
      </c>
      <c r="X229" s="2" t="s">
        <v>485</v>
      </c>
      <c r="Y229" s="2" t="s">
        <v>44</v>
      </c>
      <c r="Z229" s="2"/>
      <c r="AA229" s="2" t="s">
        <v>45</v>
      </c>
      <c r="AB229" s="2" t="s">
        <v>46</v>
      </c>
      <c r="AC229" s="2" t="s">
        <v>45</v>
      </c>
      <c r="AE229" s="2" t="s">
        <v>48</v>
      </c>
      <c r="AF229" s="2" t="s">
        <v>49</v>
      </c>
      <c r="AG229" s="2">
        <v>100</v>
      </c>
      <c r="AH229" s="2">
        <v>90</v>
      </c>
      <c r="AJ229" s="2" t="s">
        <v>2385</v>
      </c>
      <c r="AK229" s="2"/>
      <c r="AL229" s="2"/>
      <c r="AM229" s="2" t="s">
        <v>52</v>
      </c>
    </row>
    <row r="230" spans="1:39" x14ac:dyDescent="0.45">
      <c r="A230" s="2" t="s">
        <v>2386</v>
      </c>
      <c r="B230" s="2"/>
      <c r="C230" s="2" t="s">
        <v>2388</v>
      </c>
      <c r="D230" s="2" t="s">
        <v>2390</v>
      </c>
      <c r="E230" s="25"/>
      <c r="F230" s="21"/>
      <c r="G230" s="42" t="s">
        <v>28000</v>
      </c>
      <c r="H230" s="2" t="s">
        <v>50</v>
      </c>
      <c r="I230" s="2" t="s">
        <v>2392</v>
      </c>
      <c r="J230" s="2" t="s">
        <v>2387</v>
      </c>
      <c r="K230" s="2" t="s">
        <v>2389</v>
      </c>
      <c r="L230" s="2" t="s">
        <v>2391</v>
      </c>
      <c r="M230" s="2" t="s">
        <v>2391</v>
      </c>
      <c r="N230" s="2" t="s">
        <v>72</v>
      </c>
      <c r="O230" s="2" t="s">
        <v>73</v>
      </c>
      <c r="P230" s="2" t="s">
        <v>98</v>
      </c>
      <c r="Q230" s="2" t="s">
        <v>2389</v>
      </c>
      <c r="R230" s="2"/>
      <c r="S230" s="2"/>
      <c r="T230" s="2"/>
      <c r="U230" s="2" t="s">
        <v>72</v>
      </c>
      <c r="V230" s="2" t="s">
        <v>73</v>
      </c>
      <c r="W230" s="2" t="s">
        <v>98</v>
      </c>
      <c r="X230" s="2" t="s">
        <v>485</v>
      </c>
      <c r="Y230" s="2" t="s">
        <v>44</v>
      </c>
      <c r="Z230" s="2"/>
      <c r="AA230" s="2" t="s">
        <v>45</v>
      </c>
      <c r="AB230" s="2" t="s">
        <v>46</v>
      </c>
      <c r="AC230" s="2" t="s">
        <v>45</v>
      </c>
      <c r="AE230" s="2" t="s">
        <v>48</v>
      </c>
      <c r="AF230" s="2" t="s">
        <v>49</v>
      </c>
      <c r="AG230" s="2">
        <v>100</v>
      </c>
      <c r="AH230" s="2">
        <v>90</v>
      </c>
      <c r="AJ230" s="2" t="s">
        <v>2393</v>
      </c>
      <c r="AK230" s="2"/>
      <c r="AL230" s="2"/>
      <c r="AM230" s="2" t="s">
        <v>52</v>
      </c>
    </row>
    <row r="231" spans="1:39" x14ac:dyDescent="0.45">
      <c r="A231" s="2" t="s">
        <v>2394</v>
      </c>
      <c r="B231" s="2"/>
      <c r="C231" s="2" t="s">
        <v>2396</v>
      </c>
      <c r="D231" s="2" t="s">
        <v>2398</v>
      </c>
      <c r="E231" s="25"/>
      <c r="F231" s="21"/>
      <c r="G231" s="42" t="s">
        <v>28000</v>
      </c>
      <c r="H231" s="2" t="s">
        <v>50</v>
      </c>
      <c r="I231" s="2" t="s">
        <v>2402</v>
      </c>
      <c r="J231" s="2" t="s">
        <v>2395</v>
      </c>
      <c r="K231" s="2" t="s">
        <v>2397</v>
      </c>
      <c r="L231" s="2" t="s">
        <v>2399</v>
      </c>
      <c r="M231" s="2" t="s">
        <v>2399</v>
      </c>
      <c r="N231" s="2" t="s">
        <v>72</v>
      </c>
      <c r="O231" s="2" t="s">
        <v>73</v>
      </c>
      <c r="P231" s="2" t="s">
        <v>1610</v>
      </c>
      <c r="Q231" s="2" t="s">
        <v>2400</v>
      </c>
      <c r="R231" s="2"/>
      <c r="S231" s="2"/>
      <c r="T231" s="2"/>
      <c r="U231" s="2" t="s">
        <v>72</v>
      </c>
      <c r="V231" s="2" t="s">
        <v>73</v>
      </c>
      <c r="W231" s="2" t="s">
        <v>98</v>
      </c>
      <c r="X231" s="2" t="s">
        <v>2401</v>
      </c>
      <c r="Y231" s="2" t="s">
        <v>44</v>
      </c>
      <c r="Z231" s="2"/>
      <c r="AA231" s="2" t="s">
        <v>45</v>
      </c>
      <c r="AB231" s="2" t="s">
        <v>46</v>
      </c>
      <c r="AC231" s="2" t="s">
        <v>45</v>
      </c>
      <c r="AE231" s="2" t="s">
        <v>48</v>
      </c>
      <c r="AF231" s="2" t="s">
        <v>49</v>
      </c>
      <c r="AG231" s="2">
        <v>100</v>
      </c>
      <c r="AH231" s="2">
        <v>90</v>
      </c>
      <c r="AJ231" s="2" t="s">
        <v>2403</v>
      </c>
      <c r="AK231" s="2"/>
      <c r="AL231" s="2"/>
      <c r="AM231" s="2" t="s">
        <v>52</v>
      </c>
    </row>
    <row r="232" spans="1:39" x14ac:dyDescent="0.45">
      <c r="A232" s="2" t="s">
        <v>2404</v>
      </c>
      <c r="B232" s="2"/>
      <c r="C232" s="2" t="s">
        <v>2406</v>
      </c>
      <c r="D232" s="2" t="s">
        <v>2408</v>
      </c>
      <c r="E232" s="25"/>
      <c r="F232" s="21"/>
      <c r="G232" s="42" t="s">
        <v>28000</v>
      </c>
      <c r="H232" s="2" t="s">
        <v>50</v>
      </c>
      <c r="I232" s="2" t="s">
        <v>2412</v>
      </c>
      <c r="J232" s="2" t="s">
        <v>2405</v>
      </c>
      <c r="K232" s="2" t="s">
        <v>2407</v>
      </c>
      <c r="L232" s="2" t="s">
        <v>2409</v>
      </c>
      <c r="M232" s="2" t="s">
        <v>2409</v>
      </c>
      <c r="N232" s="2" t="s">
        <v>216</v>
      </c>
      <c r="O232" s="2" t="s">
        <v>217</v>
      </c>
      <c r="P232" s="2" t="s">
        <v>2410</v>
      </c>
      <c r="Q232" s="2" t="s">
        <v>2407</v>
      </c>
      <c r="R232" s="2"/>
      <c r="S232" s="2"/>
      <c r="T232" s="2"/>
      <c r="U232" s="2" t="s">
        <v>216</v>
      </c>
      <c r="V232" s="2" t="s">
        <v>217</v>
      </c>
      <c r="W232" s="2" t="s">
        <v>2410</v>
      </c>
      <c r="X232" s="2" t="s">
        <v>2411</v>
      </c>
      <c r="Y232" s="2" t="s">
        <v>44</v>
      </c>
      <c r="Z232" s="2"/>
      <c r="AA232" s="2" t="s">
        <v>45</v>
      </c>
      <c r="AB232" s="2" t="s">
        <v>46</v>
      </c>
      <c r="AC232" s="2" t="s">
        <v>45</v>
      </c>
      <c r="AE232" s="2" t="s">
        <v>48</v>
      </c>
      <c r="AF232" s="2" t="s">
        <v>49</v>
      </c>
      <c r="AG232" s="2">
        <v>100</v>
      </c>
      <c r="AH232" s="2">
        <v>90</v>
      </c>
      <c r="AJ232" s="2" t="s">
        <v>2413</v>
      </c>
      <c r="AK232" s="2"/>
      <c r="AL232" s="2"/>
      <c r="AM232" s="2" t="s">
        <v>52</v>
      </c>
    </row>
    <row r="233" spans="1:39" x14ac:dyDescent="0.45">
      <c r="A233" s="2" t="s">
        <v>2414</v>
      </c>
      <c r="B233" s="2"/>
      <c r="C233" s="2" t="s">
        <v>2416</v>
      </c>
      <c r="D233" s="2" t="s">
        <v>2418</v>
      </c>
      <c r="E233" s="25"/>
      <c r="F233" s="21"/>
      <c r="G233" s="42" t="s">
        <v>28000</v>
      </c>
      <c r="H233" s="2" t="s">
        <v>50</v>
      </c>
      <c r="I233" s="2" t="s">
        <v>2421</v>
      </c>
      <c r="J233" s="2" t="s">
        <v>2415</v>
      </c>
      <c r="K233" s="2" t="s">
        <v>2417</v>
      </c>
      <c r="L233" s="2" t="s">
        <v>2419</v>
      </c>
      <c r="M233" s="2"/>
      <c r="N233" s="2" t="s">
        <v>72</v>
      </c>
      <c r="O233" s="2" t="s">
        <v>73</v>
      </c>
      <c r="P233" s="2" t="s">
        <v>232</v>
      </c>
      <c r="Q233" s="2" t="s">
        <v>2420</v>
      </c>
      <c r="R233" s="2"/>
      <c r="S233" s="2"/>
      <c r="T233" s="2"/>
      <c r="U233" s="2" t="s">
        <v>72</v>
      </c>
      <c r="V233" s="2" t="s">
        <v>73</v>
      </c>
      <c r="W233" s="2" t="s">
        <v>232</v>
      </c>
      <c r="X233" s="2" t="s">
        <v>1165</v>
      </c>
      <c r="Y233" s="2" t="s">
        <v>44</v>
      </c>
      <c r="Z233" s="2"/>
      <c r="AA233" s="2" t="s">
        <v>45</v>
      </c>
      <c r="AB233" s="2" t="s">
        <v>46</v>
      </c>
      <c r="AC233" s="2" t="s">
        <v>45</v>
      </c>
      <c r="AE233" s="2" t="s">
        <v>48</v>
      </c>
      <c r="AF233" s="2" t="s">
        <v>49</v>
      </c>
      <c r="AG233" s="2">
        <v>100</v>
      </c>
      <c r="AH233" s="2">
        <v>90</v>
      </c>
      <c r="AJ233" s="2" t="s">
        <v>2422</v>
      </c>
      <c r="AK233" s="2"/>
      <c r="AL233" s="2"/>
      <c r="AM233" s="2" t="s">
        <v>52</v>
      </c>
    </row>
    <row r="234" spans="1:39" x14ac:dyDescent="0.45">
      <c r="A234" s="2" t="s">
        <v>2423</v>
      </c>
      <c r="B234" s="2"/>
      <c r="C234" s="2" t="s">
        <v>2425</v>
      </c>
      <c r="D234" s="2" t="s">
        <v>2427</v>
      </c>
      <c r="E234" s="25"/>
      <c r="F234" s="21"/>
      <c r="G234" s="42" t="s">
        <v>28000</v>
      </c>
      <c r="H234" s="2" t="s">
        <v>50</v>
      </c>
      <c r="I234" s="2" t="s">
        <v>2433</v>
      </c>
      <c r="J234" s="2" t="s">
        <v>2424</v>
      </c>
      <c r="K234" s="2" t="s">
        <v>2426</v>
      </c>
      <c r="L234" s="2" t="s">
        <v>2428</v>
      </c>
      <c r="M234" s="2"/>
      <c r="N234" s="2" t="s">
        <v>536</v>
      </c>
      <c r="O234" s="2" t="s">
        <v>537</v>
      </c>
      <c r="P234" s="2" t="s">
        <v>2429</v>
      </c>
      <c r="Q234" s="2" t="s">
        <v>2430</v>
      </c>
      <c r="R234" s="2"/>
      <c r="S234" s="2"/>
      <c r="T234" s="2"/>
      <c r="U234" s="2" t="s">
        <v>536</v>
      </c>
      <c r="V234" s="2" t="s">
        <v>537</v>
      </c>
      <c r="W234" s="2" t="s">
        <v>2431</v>
      </c>
      <c r="X234" s="2" t="s">
        <v>2432</v>
      </c>
      <c r="Y234" s="2" t="s">
        <v>44</v>
      </c>
      <c r="Z234" s="2"/>
      <c r="AA234" s="2" t="s">
        <v>45</v>
      </c>
      <c r="AB234" s="2" t="s">
        <v>46</v>
      </c>
      <c r="AC234" s="2" t="s">
        <v>45</v>
      </c>
      <c r="AE234" s="2" t="s">
        <v>48</v>
      </c>
      <c r="AF234" s="2" t="s">
        <v>49</v>
      </c>
      <c r="AG234" s="2">
        <v>100</v>
      </c>
      <c r="AH234" s="2">
        <v>90</v>
      </c>
      <c r="AJ234" s="2" t="s">
        <v>2434</v>
      </c>
      <c r="AK234" s="2"/>
      <c r="AL234" s="2"/>
      <c r="AM234" s="2" t="s">
        <v>52</v>
      </c>
    </row>
    <row r="235" spans="1:39" x14ac:dyDescent="0.45">
      <c r="A235" s="2" t="s">
        <v>2435</v>
      </c>
      <c r="B235" s="2"/>
      <c r="C235" s="2" t="s">
        <v>2437</v>
      </c>
      <c r="D235" s="2" t="s">
        <v>2439</v>
      </c>
      <c r="E235" s="25"/>
      <c r="F235" s="21"/>
      <c r="G235" s="42" t="s">
        <v>28000</v>
      </c>
      <c r="H235" s="2" t="s">
        <v>50</v>
      </c>
      <c r="I235" s="2" t="s">
        <v>2442</v>
      </c>
      <c r="J235" s="2" t="s">
        <v>2436</v>
      </c>
      <c r="K235" s="2" t="s">
        <v>2438</v>
      </c>
      <c r="L235" s="2" t="s">
        <v>2440</v>
      </c>
      <c r="M235" s="2" t="s">
        <v>2440</v>
      </c>
      <c r="N235" s="2" t="s">
        <v>290</v>
      </c>
      <c r="O235" s="2" t="s">
        <v>278</v>
      </c>
      <c r="P235" s="2" t="s">
        <v>291</v>
      </c>
      <c r="Q235" s="2" t="s">
        <v>2438</v>
      </c>
      <c r="R235" s="2"/>
      <c r="S235" s="2"/>
      <c r="T235" s="2"/>
      <c r="U235" s="2" t="s">
        <v>290</v>
      </c>
      <c r="V235" s="2" t="s">
        <v>278</v>
      </c>
      <c r="W235" s="2" t="s">
        <v>291</v>
      </c>
      <c r="X235" s="2" t="s">
        <v>2441</v>
      </c>
      <c r="Y235" s="2" t="s">
        <v>44</v>
      </c>
      <c r="Z235" s="2"/>
      <c r="AA235" s="2" t="s">
        <v>45</v>
      </c>
      <c r="AB235" s="2" t="s">
        <v>46</v>
      </c>
      <c r="AC235" s="2" t="s">
        <v>45</v>
      </c>
      <c r="AE235" s="2" t="s">
        <v>48</v>
      </c>
      <c r="AF235" s="2" t="s">
        <v>49</v>
      </c>
      <c r="AG235" s="2">
        <v>100</v>
      </c>
      <c r="AH235" s="2">
        <v>90</v>
      </c>
      <c r="AJ235" s="2" t="s">
        <v>2443</v>
      </c>
      <c r="AK235" s="2"/>
      <c r="AL235" s="2"/>
      <c r="AM235" s="2" t="s">
        <v>52</v>
      </c>
    </row>
    <row r="236" spans="1:39" x14ac:dyDescent="0.45">
      <c r="A236" s="2" t="s">
        <v>2444</v>
      </c>
      <c r="B236" s="2"/>
      <c r="C236" s="2" t="s">
        <v>2446</v>
      </c>
      <c r="D236" s="2" t="s">
        <v>2448</v>
      </c>
      <c r="E236" s="25"/>
      <c r="F236" s="21"/>
      <c r="G236" s="42" t="s">
        <v>28000</v>
      </c>
      <c r="H236" s="2" t="s">
        <v>50</v>
      </c>
      <c r="I236" s="2" t="s">
        <v>2451</v>
      </c>
      <c r="J236" s="2" t="s">
        <v>2445</v>
      </c>
      <c r="K236" s="2" t="s">
        <v>2447</v>
      </c>
      <c r="L236" s="2" t="s">
        <v>2449</v>
      </c>
      <c r="M236" s="2" t="s">
        <v>2449</v>
      </c>
      <c r="N236" s="2" t="s">
        <v>72</v>
      </c>
      <c r="O236" s="2" t="s">
        <v>73</v>
      </c>
      <c r="P236" s="2" t="s">
        <v>474</v>
      </c>
      <c r="Q236" s="2" t="s">
        <v>2447</v>
      </c>
      <c r="R236" s="2"/>
      <c r="S236" s="2"/>
      <c r="T236" s="2"/>
      <c r="U236" s="2" t="s">
        <v>72</v>
      </c>
      <c r="V236" s="2" t="s">
        <v>73</v>
      </c>
      <c r="W236" s="2" t="s">
        <v>474</v>
      </c>
      <c r="X236" s="2" t="s">
        <v>2450</v>
      </c>
      <c r="Y236" s="2" t="s">
        <v>44</v>
      </c>
      <c r="Z236" s="2"/>
      <c r="AA236" s="2" t="s">
        <v>45</v>
      </c>
      <c r="AB236" s="2" t="s">
        <v>46</v>
      </c>
      <c r="AC236" s="2" t="s">
        <v>45</v>
      </c>
      <c r="AE236" s="2" t="s">
        <v>48</v>
      </c>
      <c r="AF236" s="2" t="s">
        <v>49</v>
      </c>
      <c r="AG236" s="2">
        <v>100</v>
      </c>
      <c r="AH236" s="2">
        <v>90</v>
      </c>
      <c r="AJ236" s="2" t="s">
        <v>2452</v>
      </c>
      <c r="AK236" s="2"/>
      <c r="AL236" s="2"/>
      <c r="AM236" s="2" t="s">
        <v>52</v>
      </c>
    </row>
    <row r="237" spans="1:39" x14ac:dyDescent="0.45">
      <c r="A237" s="2" t="s">
        <v>2453</v>
      </c>
      <c r="B237" s="2"/>
      <c r="C237" s="2" t="s">
        <v>2455</v>
      </c>
      <c r="D237" s="2" t="s">
        <v>2457</v>
      </c>
      <c r="E237" s="25"/>
      <c r="F237" s="21"/>
      <c r="G237" s="42" t="s">
        <v>28000</v>
      </c>
      <c r="H237" s="2" t="s">
        <v>50</v>
      </c>
      <c r="I237" s="2" t="s">
        <v>2460</v>
      </c>
      <c r="J237" s="2" t="s">
        <v>2454</v>
      </c>
      <c r="K237" s="2" t="s">
        <v>2456</v>
      </c>
      <c r="L237" s="2" t="s">
        <v>2458</v>
      </c>
      <c r="M237" s="2" t="s">
        <v>2458</v>
      </c>
      <c r="N237" s="2" t="s">
        <v>72</v>
      </c>
      <c r="O237" s="2" t="s">
        <v>73</v>
      </c>
      <c r="P237" s="2" t="s">
        <v>464</v>
      </c>
      <c r="Q237" s="2"/>
      <c r="R237" s="2"/>
      <c r="S237" s="2"/>
      <c r="T237" s="2"/>
      <c r="U237" s="2"/>
      <c r="V237" s="2"/>
      <c r="W237" s="2"/>
      <c r="X237" s="2" t="s">
        <v>2459</v>
      </c>
      <c r="Y237" s="2" t="s">
        <v>44</v>
      </c>
      <c r="Z237" s="2"/>
      <c r="AA237" s="2" t="s">
        <v>45</v>
      </c>
      <c r="AB237" s="2" t="s">
        <v>46</v>
      </c>
      <c r="AC237" s="2" t="s">
        <v>45</v>
      </c>
      <c r="AE237" s="2" t="s">
        <v>48</v>
      </c>
      <c r="AF237" s="2" t="s">
        <v>49</v>
      </c>
      <c r="AG237" s="2">
        <v>100</v>
      </c>
      <c r="AH237" s="2">
        <v>90</v>
      </c>
      <c r="AJ237" s="2" t="s">
        <v>2461</v>
      </c>
      <c r="AK237" s="2"/>
      <c r="AL237" s="2"/>
      <c r="AM237" s="2" t="s">
        <v>52</v>
      </c>
    </row>
    <row r="238" spans="1:39" x14ac:dyDescent="0.45">
      <c r="A238" s="2" t="s">
        <v>2462</v>
      </c>
      <c r="B238" s="2"/>
      <c r="C238" s="2" t="s">
        <v>2464</v>
      </c>
      <c r="D238" s="2" t="s">
        <v>2466</v>
      </c>
      <c r="E238" s="25"/>
      <c r="F238" s="21"/>
      <c r="G238" s="42" t="s">
        <v>28000</v>
      </c>
      <c r="H238" s="2" t="s">
        <v>50</v>
      </c>
      <c r="I238" s="2" t="s">
        <v>2470</v>
      </c>
      <c r="J238" s="2" t="s">
        <v>2463</v>
      </c>
      <c r="K238" s="2" t="s">
        <v>2465</v>
      </c>
      <c r="L238" s="2" t="s">
        <v>2467</v>
      </c>
      <c r="M238" s="2"/>
      <c r="N238" s="2" t="s">
        <v>85</v>
      </c>
      <c r="O238" s="2" t="s">
        <v>86</v>
      </c>
      <c r="P238" s="2" t="s">
        <v>569</v>
      </c>
      <c r="Q238" s="2" t="s">
        <v>2468</v>
      </c>
      <c r="R238" s="2"/>
      <c r="S238" s="2"/>
      <c r="T238" s="2"/>
      <c r="U238" s="2" t="s">
        <v>85</v>
      </c>
      <c r="V238" s="2" t="s">
        <v>86</v>
      </c>
      <c r="W238" s="2" t="s">
        <v>569</v>
      </c>
      <c r="X238" s="2" t="s">
        <v>2469</v>
      </c>
      <c r="Y238" s="2" t="s">
        <v>44</v>
      </c>
      <c r="Z238" s="2"/>
      <c r="AA238" s="2" t="s">
        <v>45</v>
      </c>
      <c r="AB238" s="2" t="s">
        <v>46</v>
      </c>
      <c r="AC238" s="2" t="s">
        <v>45</v>
      </c>
      <c r="AE238" s="2" t="s">
        <v>48</v>
      </c>
      <c r="AF238" s="2" t="s">
        <v>49</v>
      </c>
      <c r="AG238" s="2">
        <v>100</v>
      </c>
      <c r="AH238" s="2">
        <v>90</v>
      </c>
      <c r="AJ238" s="2" t="s">
        <v>2471</v>
      </c>
      <c r="AK238" s="2"/>
      <c r="AL238" s="2"/>
      <c r="AM238" s="2" t="s">
        <v>52</v>
      </c>
    </row>
    <row r="239" spans="1:39" x14ac:dyDescent="0.45">
      <c r="A239" s="2" t="s">
        <v>2472</v>
      </c>
      <c r="B239" s="2"/>
      <c r="C239" s="2" t="s">
        <v>2474</v>
      </c>
      <c r="D239" s="2" t="s">
        <v>2476</v>
      </c>
      <c r="E239" s="25"/>
      <c r="F239" s="21"/>
      <c r="G239" s="42" t="s">
        <v>28000</v>
      </c>
      <c r="H239" s="2" t="s">
        <v>50</v>
      </c>
      <c r="I239" s="2" t="s">
        <v>2480</v>
      </c>
      <c r="J239" s="2" t="s">
        <v>2473</v>
      </c>
      <c r="K239" s="2" t="s">
        <v>2475</v>
      </c>
      <c r="L239" s="2" t="s">
        <v>2477</v>
      </c>
      <c r="M239" s="2" t="s">
        <v>2477</v>
      </c>
      <c r="N239" s="2" t="s">
        <v>72</v>
      </c>
      <c r="O239" s="2" t="s">
        <v>73</v>
      </c>
      <c r="P239" s="2" t="s">
        <v>913</v>
      </c>
      <c r="Q239" s="2" t="s">
        <v>2478</v>
      </c>
      <c r="R239" s="2"/>
      <c r="S239" s="2"/>
      <c r="T239" s="2"/>
      <c r="U239" s="2" t="s">
        <v>72</v>
      </c>
      <c r="V239" s="2" t="s">
        <v>73</v>
      </c>
      <c r="W239" s="2" t="s">
        <v>913</v>
      </c>
      <c r="X239" s="2" t="s">
        <v>2479</v>
      </c>
      <c r="Y239" s="2" t="s">
        <v>44</v>
      </c>
      <c r="Z239" s="2"/>
      <c r="AA239" s="2" t="s">
        <v>45</v>
      </c>
      <c r="AB239" s="2" t="s">
        <v>46</v>
      </c>
      <c r="AC239" s="2" t="s">
        <v>45</v>
      </c>
      <c r="AE239" s="2" t="s">
        <v>48</v>
      </c>
      <c r="AF239" s="2" t="s">
        <v>49</v>
      </c>
      <c r="AG239" s="2">
        <v>100</v>
      </c>
      <c r="AH239" s="2">
        <v>90</v>
      </c>
      <c r="AJ239" s="2" t="s">
        <v>2481</v>
      </c>
      <c r="AK239" s="2"/>
      <c r="AL239" s="2"/>
      <c r="AM239" s="2" t="s">
        <v>52</v>
      </c>
    </row>
    <row r="240" spans="1:39" x14ac:dyDescent="0.45">
      <c r="A240" s="2" t="s">
        <v>2482</v>
      </c>
      <c r="B240" s="2"/>
      <c r="C240" s="2" t="s">
        <v>2484</v>
      </c>
      <c r="D240" s="2" t="s">
        <v>2486</v>
      </c>
      <c r="E240" s="25"/>
      <c r="F240" s="21"/>
      <c r="G240" s="42" t="s">
        <v>28000</v>
      </c>
      <c r="H240" s="2" t="s">
        <v>50</v>
      </c>
      <c r="I240" s="2" t="s">
        <v>2489</v>
      </c>
      <c r="J240" s="2" t="s">
        <v>2483</v>
      </c>
      <c r="K240" s="2" t="s">
        <v>2485</v>
      </c>
      <c r="L240" s="2" t="s">
        <v>2487</v>
      </c>
      <c r="M240" s="2" t="s">
        <v>2487</v>
      </c>
      <c r="N240" s="2" t="s">
        <v>72</v>
      </c>
      <c r="O240" s="2" t="s">
        <v>73</v>
      </c>
      <c r="P240" s="2" t="s">
        <v>1568</v>
      </c>
      <c r="Q240" s="2" t="s">
        <v>2485</v>
      </c>
      <c r="R240" s="2"/>
      <c r="S240" s="2"/>
      <c r="T240" s="2"/>
      <c r="U240" s="2" t="s">
        <v>72</v>
      </c>
      <c r="V240" s="2" t="s">
        <v>73</v>
      </c>
      <c r="W240" s="2" t="s">
        <v>1568</v>
      </c>
      <c r="X240" s="2" t="s">
        <v>2488</v>
      </c>
      <c r="Y240" s="2" t="s">
        <v>44</v>
      </c>
      <c r="Z240" s="2"/>
      <c r="AA240" s="2" t="s">
        <v>45</v>
      </c>
      <c r="AB240" s="2" t="s">
        <v>46</v>
      </c>
      <c r="AC240" s="2" t="s">
        <v>45</v>
      </c>
      <c r="AE240" s="2" t="s">
        <v>48</v>
      </c>
      <c r="AF240" s="2" t="s">
        <v>49</v>
      </c>
      <c r="AG240" s="2">
        <v>100</v>
      </c>
      <c r="AH240" s="2">
        <v>90</v>
      </c>
      <c r="AJ240" s="2" t="s">
        <v>2490</v>
      </c>
      <c r="AK240" s="2"/>
      <c r="AL240" s="2"/>
      <c r="AM240" s="2" t="s">
        <v>52</v>
      </c>
    </row>
    <row r="241" spans="1:39" x14ac:dyDescent="0.45">
      <c r="A241" s="2" t="s">
        <v>2491</v>
      </c>
      <c r="B241" s="2"/>
      <c r="C241" s="2" t="s">
        <v>2493</v>
      </c>
      <c r="D241" s="2" t="s">
        <v>2495</v>
      </c>
      <c r="E241" s="25"/>
      <c r="F241" s="21"/>
      <c r="G241" s="42" t="s">
        <v>28000</v>
      </c>
      <c r="H241" s="2" t="s">
        <v>50</v>
      </c>
      <c r="I241" s="2" t="s">
        <v>2499</v>
      </c>
      <c r="J241" s="2" t="s">
        <v>2492</v>
      </c>
      <c r="K241" s="2" t="s">
        <v>2494</v>
      </c>
      <c r="L241" s="2" t="s">
        <v>2496</v>
      </c>
      <c r="M241" s="2" t="s">
        <v>2496</v>
      </c>
      <c r="N241" s="2" t="s">
        <v>72</v>
      </c>
      <c r="O241" s="2" t="s">
        <v>73</v>
      </c>
      <c r="P241" s="2" t="s">
        <v>74</v>
      </c>
      <c r="Q241" s="2" t="s">
        <v>2497</v>
      </c>
      <c r="R241" s="2"/>
      <c r="S241" s="2"/>
      <c r="T241" s="2"/>
      <c r="U241" s="2" t="s">
        <v>72</v>
      </c>
      <c r="V241" s="2" t="s">
        <v>73</v>
      </c>
      <c r="W241" s="2" t="s">
        <v>74</v>
      </c>
      <c r="X241" s="2" t="s">
        <v>2498</v>
      </c>
      <c r="Y241" s="2" t="s">
        <v>44</v>
      </c>
      <c r="Z241" s="2"/>
      <c r="AA241" s="2" t="s">
        <v>45</v>
      </c>
      <c r="AB241" s="2" t="s">
        <v>46</v>
      </c>
      <c r="AC241" s="2" t="s">
        <v>45</v>
      </c>
      <c r="AE241" s="2" t="s">
        <v>48</v>
      </c>
      <c r="AF241" s="2" t="s">
        <v>49</v>
      </c>
      <c r="AG241" s="2">
        <v>100</v>
      </c>
      <c r="AH241" s="2">
        <v>90</v>
      </c>
      <c r="AJ241" s="2" t="s">
        <v>2500</v>
      </c>
      <c r="AK241" s="2"/>
      <c r="AL241" s="2"/>
      <c r="AM241" s="2" t="s">
        <v>52</v>
      </c>
    </row>
    <row r="242" spans="1:39" x14ac:dyDescent="0.45">
      <c r="A242" s="2" t="s">
        <v>2501</v>
      </c>
      <c r="B242" s="2"/>
      <c r="C242" s="2" t="s">
        <v>2503</v>
      </c>
      <c r="D242" s="2" t="s">
        <v>2505</v>
      </c>
      <c r="E242" s="25"/>
      <c r="F242" s="21"/>
      <c r="G242" s="42" t="s">
        <v>28000</v>
      </c>
      <c r="H242" s="2" t="s">
        <v>50</v>
      </c>
      <c r="I242" s="2" t="s">
        <v>2510</v>
      </c>
      <c r="J242" s="2" t="s">
        <v>2502</v>
      </c>
      <c r="K242" s="2" t="s">
        <v>2504</v>
      </c>
      <c r="L242" s="2" t="s">
        <v>2506</v>
      </c>
      <c r="M242" s="2"/>
      <c r="N242" s="2" t="s">
        <v>651</v>
      </c>
      <c r="O242" s="2" t="s">
        <v>86</v>
      </c>
      <c r="P242" s="2" t="s">
        <v>2507</v>
      </c>
      <c r="Q242" s="2" t="s">
        <v>2508</v>
      </c>
      <c r="R242" s="2"/>
      <c r="S242" s="2"/>
      <c r="T242" s="2"/>
      <c r="U242" s="2" t="s">
        <v>72</v>
      </c>
      <c r="V242" s="2" t="s">
        <v>73</v>
      </c>
      <c r="W242" s="2" t="s">
        <v>98</v>
      </c>
      <c r="X242" s="2" t="s">
        <v>2509</v>
      </c>
      <c r="Y242" s="2" t="s">
        <v>44</v>
      </c>
      <c r="Z242" s="2"/>
      <c r="AA242" s="2" t="s">
        <v>45</v>
      </c>
      <c r="AB242" s="2" t="s">
        <v>46</v>
      </c>
      <c r="AC242" s="2" t="s">
        <v>45</v>
      </c>
      <c r="AE242" s="2" t="s">
        <v>48</v>
      </c>
      <c r="AF242" s="2" t="s">
        <v>49</v>
      </c>
      <c r="AG242" s="2">
        <v>100</v>
      </c>
      <c r="AH242" s="2">
        <v>90</v>
      </c>
      <c r="AJ242" s="2" t="s">
        <v>2511</v>
      </c>
      <c r="AK242" s="2"/>
      <c r="AL242" s="2"/>
      <c r="AM242" s="2" t="s">
        <v>52</v>
      </c>
    </row>
    <row r="243" spans="1:39" x14ac:dyDescent="0.45">
      <c r="A243" s="2" t="s">
        <v>2512</v>
      </c>
      <c r="B243" s="2"/>
      <c r="C243" s="2" t="s">
        <v>2514</v>
      </c>
      <c r="D243" s="2" t="s">
        <v>2516</v>
      </c>
      <c r="E243" s="25"/>
      <c r="F243" s="21"/>
      <c r="G243" s="42" t="s">
        <v>28000</v>
      </c>
      <c r="H243" s="2" t="s">
        <v>50</v>
      </c>
      <c r="I243" s="2" t="s">
        <v>2521</v>
      </c>
      <c r="J243" s="2" t="s">
        <v>2513</v>
      </c>
      <c r="K243" s="2" t="s">
        <v>2515</v>
      </c>
      <c r="L243" s="2" t="s">
        <v>2517</v>
      </c>
      <c r="M243" s="2" t="s">
        <v>2517</v>
      </c>
      <c r="N243" s="2" t="s">
        <v>536</v>
      </c>
      <c r="O243" s="2" t="s">
        <v>537</v>
      </c>
      <c r="P243" s="2" t="s">
        <v>2518</v>
      </c>
      <c r="Q243" s="2" t="s">
        <v>2519</v>
      </c>
      <c r="R243" s="2"/>
      <c r="S243" s="2"/>
      <c r="T243" s="2"/>
      <c r="U243" s="2" t="s">
        <v>651</v>
      </c>
      <c r="V243" s="2" t="s">
        <v>86</v>
      </c>
      <c r="W243" s="2" t="s">
        <v>2518</v>
      </c>
      <c r="X243" s="2" t="s">
        <v>2520</v>
      </c>
      <c r="Y243" s="2" t="s">
        <v>44</v>
      </c>
      <c r="Z243" s="2"/>
      <c r="AA243" s="2" t="s">
        <v>45</v>
      </c>
      <c r="AB243" s="2" t="s">
        <v>46</v>
      </c>
      <c r="AC243" s="2" t="s">
        <v>45</v>
      </c>
      <c r="AE243" s="2" t="s">
        <v>48</v>
      </c>
      <c r="AF243" s="2" t="s">
        <v>49</v>
      </c>
      <c r="AG243" s="2">
        <v>100</v>
      </c>
      <c r="AH243" s="2">
        <v>90</v>
      </c>
      <c r="AJ243" s="2" t="s">
        <v>2522</v>
      </c>
      <c r="AK243" s="2"/>
      <c r="AL243" s="2"/>
      <c r="AM243" s="2" t="s">
        <v>52</v>
      </c>
    </row>
    <row r="244" spans="1:39" x14ac:dyDescent="0.45">
      <c r="A244" s="2" t="s">
        <v>2523</v>
      </c>
      <c r="B244" s="2"/>
      <c r="C244" s="2" t="s">
        <v>2525</v>
      </c>
      <c r="D244" s="2" t="s">
        <v>2527</v>
      </c>
      <c r="E244" s="25"/>
      <c r="F244" s="21"/>
      <c r="G244" s="42" t="s">
        <v>28000</v>
      </c>
      <c r="H244" s="2" t="s">
        <v>50</v>
      </c>
      <c r="I244" s="2" t="s">
        <v>2531</v>
      </c>
      <c r="J244" s="2" t="s">
        <v>2524</v>
      </c>
      <c r="K244" s="2" t="s">
        <v>2526</v>
      </c>
      <c r="L244" s="2" t="s">
        <v>2528</v>
      </c>
      <c r="M244" s="2"/>
      <c r="N244" s="2" t="s">
        <v>85</v>
      </c>
      <c r="O244" s="2" t="s">
        <v>86</v>
      </c>
      <c r="P244" s="2" t="s">
        <v>2529</v>
      </c>
      <c r="Q244" s="2" t="s">
        <v>2526</v>
      </c>
      <c r="R244" s="2"/>
      <c r="S244" s="2"/>
      <c r="T244" s="2"/>
      <c r="U244" s="2" t="s">
        <v>85</v>
      </c>
      <c r="V244" s="2" t="s">
        <v>86</v>
      </c>
      <c r="W244" s="2" t="s">
        <v>2529</v>
      </c>
      <c r="X244" s="2" t="s">
        <v>2530</v>
      </c>
      <c r="Y244" s="2" t="s">
        <v>44</v>
      </c>
      <c r="Z244" s="2"/>
      <c r="AA244" s="2" t="s">
        <v>45</v>
      </c>
      <c r="AB244" s="2" t="s">
        <v>46</v>
      </c>
      <c r="AC244" s="2" t="s">
        <v>45</v>
      </c>
      <c r="AE244" s="2" t="s">
        <v>48</v>
      </c>
      <c r="AF244" s="2" t="s">
        <v>49</v>
      </c>
      <c r="AG244" s="2">
        <v>100</v>
      </c>
      <c r="AH244" s="2">
        <v>90</v>
      </c>
      <c r="AJ244" s="2" t="s">
        <v>2532</v>
      </c>
      <c r="AK244" s="2"/>
      <c r="AL244" s="2"/>
      <c r="AM244" s="2" t="s">
        <v>52</v>
      </c>
    </row>
    <row r="245" spans="1:39" x14ac:dyDescent="0.45">
      <c r="A245" s="2" t="s">
        <v>2533</v>
      </c>
      <c r="B245" s="2"/>
      <c r="C245" s="2" t="s">
        <v>2535</v>
      </c>
      <c r="D245" s="2" t="s">
        <v>2537</v>
      </c>
      <c r="E245" s="25"/>
      <c r="F245" s="21"/>
      <c r="G245" s="42" t="s">
        <v>28000</v>
      </c>
      <c r="H245" s="2" t="s">
        <v>50</v>
      </c>
      <c r="I245" s="2" t="s">
        <v>2539</v>
      </c>
      <c r="J245" s="2" t="s">
        <v>2534</v>
      </c>
      <c r="K245" s="2" t="s">
        <v>2536</v>
      </c>
      <c r="L245" s="2" t="s">
        <v>2538</v>
      </c>
      <c r="M245" s="2" t="s">
        <v>2538</v>
      </c>
      <c r="N245" s="2" t="s">
        <v>72</v>
      </c>
      <c r="O245" s="2" t="s">
        <v>73</v>
      </c>
      <c r="P245" s="2" t="s">
        <v>373</v>
      </c>
      <c r="Q245" s="2" t="s">
        <v>2536</v>
      </c>
      <c r="R245" s="2"/>
      <c r="S245" s="2"/>
      <c r="T245" s="2"/>
      <c r="U245" s="2" t="s">
        <v>72</v>
      </c>
      <c r="V245" s="2" t="s">
        <v>73</v>
      </c>
      <c r="W245" s="2" t="s">
        <v>373</v>
      </c>
      <c r="X245" s="2" t="s">
        <v>517</v>
      </c>
      <c r="Y245" s="2" t="s">
        <v>44</v>
      </c>
      <c r="Z245" s="2"/>
      <c r="AA245" s="2" t="s">
        <v>45</v>
      </c>
      <c r="AB245" s="2" t="s">
        <v>46</v>
      </c>
      <c r="AC245" s="2" t="s">
        <v>45</v>
      </c>
      <c r="AE245" s="2" t="s">
        <v>48</v>
      </c>
      <c r="AF245" s="2" t="s">
        <v>49</v>
      </c>
      <c r="AG245" s="2">
        <v>100</v>
      </c>
      <c r="AH245" s="2">
        <v>90</v>
      </c>
      <c r="AJ245" s="2" t="s">
        <v>2540</v>
      </c>
      <c r="AK245" s="2"/>
      <c r="AL245" s="2"/>
      <c r="AM245" s="2" t="s">
        <v>52</v>
      </c>
    </row>
    <row r="246" spans="1:39" x14ac:dyDescent="0.45">
      <c r="A246" s="2" t="s">
        <v>2541</v>
      </c>
      <c r="B246" s="2"/>
      <c r="C246" s="2" t="s">
        <v>2543</v>
      </c>
      <c r="D246" s="2" t="s">
        <v>2545</v>
      </c>
      <c r="E246" s="25"/>
      <c r="F246" s="21"/>
      <c r="G246" s="42" t="s">
        <v>28000</v>
      </c>
      <c r="H246" s="2" t="s">
        <v>50</v>
      </c>
      <c r="I246" s="2" t="s">
        <v>2548</v>
      </c>
      <c r="J246" s="2" t="s">
        <v>2542</v>
      </c>
      <c r="K246" s="2" t="s">
        <v>2544</v>
      </c>
      <c r="L246" s="2" t="s">
        <v>2546</v>
      </c>
      <c r="M246" s="2" t="s">
        <v>2546</v>
      </c>
      <c r="N246" s="2" t="s">
        <v>72</v>
      </c>
      <c r="O246" s="2" t="s">
        <v>73</v>
      </c>
      <c r="P246" s="2" t="s">
        <v>197</v>
      </c>
      <c r="Q246" s="2" t="s">
        <v>2544</v>
      </c>
      <c r="R246" s="2"/>
      <c r="S246" s="2"/>
      <c r="T246" s="2"/>
      <c r="U246" s="2" t="s">
        <v>72</v>
      </c>
      <c r="V246" s="2" t="s">
        <v>73</v>
      </c>
      <c r="W246" s="2" t="s">
        <v>197</v>
      </c>
      <c r="X246" s="2" t="s">
        <v>2547</v>
      </c>
      <c r="Y246" s="2" t="s">
        <v>44</v>
      </c>
      <c r="Z246" s="2"/>
      <c r="AA246" s="2" t="s">
        <v>45</v>
      </c>
      <c r="AB246" s="2" t="s">
        <v>46</v>
      </c>
      <c r="AC246" s="2" t="s">
        <v>45</v>
      </c>
      <c r="AE246" s="2" t="s">
        <v>48</v>
      </c>
      <c r="AF246" s="2" t="s">
        <v>49</v>
      </c>
      <c r="AG246" s="2">
        <v>100</v>
      </c>
      <c r="AH246" s="2">
        <v>90</v>
      </c>
      <c r="AJ246" s="2" t="s">
        <v>2549</v>
      </c>
      <c r="AK246" s="2"/>
      <c r="AL246" s="2"/>
      <c r="AM246" s="2" t="s">
        <v>52</v>
      </c>
    </row>
    <row r="247" spans="1:39" x14ac:dyDescent="0.45">
      <c r="A247" s="2" t="s">
        <v>2550</v>
      </c>
      <c r="B247" s="2"/>
      <c r="C247" s="2" t="s">
        <v>2552</v>
      </c>
      <c r="D247" s="2" t="s">
        <v>2554</v>
      </c>
      <c r="E247" s="25"/>
      <c r="F247" s="21"/>
      <c r="G247" s="42" t="s">
        <v>28000</v>
      </c>
      <c r="H247" s="2" t="s">
        <v>50</v>
      </c>
      <c r="I247" s="2" t="s">
        <v>2558</v>
      </c>
      <c r="J247" s="2" t="s">
        <v>2551</v>
      </c>
      <c r="K247" s="2" t="s">
        <v>2553</v>
      </c>
      <c r="L247" s="2" t="s">
        <v>2555</v>
      </c>
      <c r="M247" s="2"/>
      <c r="N247" s="2" t="s">
        <v>72</v>
      </c>
      <c r="O247" s="2" t="s">
        <v>73</v>
      </c>
      <c r="P247" s="2" t="s">
        <v>1164</v>
      </c>
      <c r="Q247" s="2" t="s">
        <v>2556</v>
      </c>
      <c r="R247" s="2"/>
      <c r="S247" s="2"/>
      <c r="T247" s="2"/>
      <c r="U247" s="2" t="s">
        <v>72</v>
      </c>
      <c r="V247" s="2" t="s">
        <v>73</v>
      </c>
      <c r="W247" s="2" t="s">
        <v>1164</v>
      </c>
      <c r="X247" s="2" t="s">
        <v>2557</v>
      </c>
      <c r="Y247" s="2" t="s">
        <v>44</v>
      </c>
      <c r="Z247" s="2"/>
      <c r="AA247" s="2" t="s">
        <v>45</v>
      </c>
      <c r="AB247" s="2" t="s">
        <v>46</v>
      </c>
      <c r="AC247" s="2" t="s">
        <v>45</v>
      </c>
      <c r="AE247" s="2" t="s">
        <v>48</v>
      </c>
      <c r="AF247" s="2" t="s">
        <v>49</v>
      </c>
      <c r="AG247" s="2">
        <v>100</v>
      </c>
      <c r="AH247" s="2">
        <v>90</v>
      </c>
      <c r="AJ247" s="2" t="s">
        <v>2559</v>
      </c>
      <c r="AK247" s="2"/>
      <c r="AL247" s="2"/>
      <c r="AM247" s="2" t="s">
        <v>52</v>
      </c>
    </row>
    <row r="248" spans="1:39" x14ac:dyDescent="0.45">
      <c r="A248" s="2" t="s">
        <v>2560</v>
      </c>
      <c r="B248" s="2"/>
      <c r="C248" s="2" t="s">
        <v>2562</v>
      </c>
      <c r="D248" s="2" t="s">
        <v>2564</v>
      </c>
      <c r="E248" s="25"/>
      <c r="F248" s="21"/>
      <c r="G248" s="42" t="s">
        <v>28000</v>
      </c>
      <c r="H248" s="2" t="s">
        <v>50</v>
      </c>
      <c r="I248" s="2" t="s">
        <v>2568</v>
      </c>
      <c r="J248" s="2" t="s">
        <v>2561</v>
      </c>
      <c r="K248" s="2" t="s">
        <v>2563</v>
      </c>
      <c r="L248" s="2" t="s">
        <v>2565</v>
      </c>
      <c r="M248" s="2" t="s">
        <v>2565</v>
      </c>
      <c r="N248" s="2" t="s">
        <v>72</v>
      </c>
      <c r="O248" s="2" t="s">
        <v>73</v>
      </c>
      <c r="P248" s="2" t="s">
        <v>232</v>
      </c>
      <c r="Q248" s="2" t="s">
        <v>2566</v>
      </c>
      <c r="R248" s="2"/>
      <c r="S248" s="2"/>
      <c r="T248" s="2"/>
      <c r="U248" s="2" t="s">
        <v>72</v>
      </c>
      <c r="V248" s="2" t="s">
        <v>73</v>
      </c>
      <c r="W248" s="2" t="s">
        <v>119</v>
      </c>
      <c r="X248" s="2" t="s">
        <v>2567</v>
      </c>
      <c r="Y248" s="2" t="s">
        <v>44</v>
      </c>
      <c r="Z248" s="2"/>
      <c r="AA248" s="2" t="s">
        <v>45</v>
      </c>
      <c r="AB248" s="2" t="s">
        <v>46</v>
      </c>
      <c r="AC248" s="2" t="s">
        <v>45</v>
      </c>
      <c r="AE248" s="2" t="s">
        <v>48</v>
      </c>
      <c r="AF248" s="2" t="s">
        <v>49</v>
      </c>
      <c r="AG248" s="2">
        <v>100</v>
      </c>
      <c r="AH248" s="2">
        <v>90</v>
      </c>
      <c r="AJ248" s="2" t="s">
        <v>2569</v>
      </c>
      <c r="AK248" s="2"/>
      <c r="AL248" s="2"/>
      <c r="AM248" s="2" t="s">
        <v>52</v>
      </c>
    </row>
    <row r="249" spans="1:39" x14ac:dyDescent="0.45">
      <c r="A249" s="2" t="s">
        <v>2570</v>
      </c>
      <c r="B249" s="2"/>
      <c r="C249" s="2" t="s">
        <v>2572</v>
      </c>
      <c r="D249" s="2" t="s">
        <v>2574</v>
      </c>
      <c r="E249" s="25"/>
      <c r="F249" s="21"/>
      <c r="G249" s="42" t="s">
        <v>28000</v>
      </c>
      <c r="H249" s="2" t="s">
        <v>50</v>
      </c>
      <c r="I249" s="2" t="s">
        <v>2578</v>
      </c>
      <c r="J249" s="2" t="s">
        <v>2571</v>
      </c>
      <c r="K249" s="2" t="s">
        <v>2573</v>
      </c>
      <c r="L249" s="2" t="s">
        <v>2575</v>
      </c>
      <c r="M249" s="2" t="s">
        <v>2575</v>
      </c>
      <c r="N249" s="2" t="s">
        <v>59</v>
      </c>
      <c r="O249" s="2" t="s">
        <v>60</v>
      </c>
      <c r="P249" s="2" t="s">
        <v>1640</v>
      </c>
      <c r="Q249" s="2" t="s">
        <v>2576</v>
      </c>
      <c r="R249" s="2"/>
      <c r="S249" s="2"/>
      <c r="T249" s="2"/>
      <c r="U249" s="2" t="s">
        <v>59</v>
      </c>
      <c r="V249" s="2" t="s">
        <v>60</v>
      </c>
      <c r="W249" s="2" t="s">
        <v>1640</v>
      </c>
      <c r="X249" s="2" t="s">
        <v>2577</v>
      </c>
      <c r="Y249" s="2" t="s">
        <v>44</v>
      </c>
      <c r="Z249" s="2"/>
      <c r="AA249" s="2" t="s">
        <v>45</v>
      </c>
      <c r="AB249" s="2" t="s">
        <v>46</v>
      </c>
      <c r="AC249" s="2" t="s">
        <v>45</v>
      </c>
      <c r="AE249" s="2" t="s">
        <v>48</v>
      </c>
      <c r="AF249" s="2" t="s">
        <v>49</v>
      </c>
      <c r="AG249" s="2">
        <v>100</v>
      </c>
      <c r="AH249" s="2">
        <v>90</v>
      </c>
      <c r="AJ249" s="2" t="s">
        <v>2579</v>
      </c>
      <c r="AK249" s="2"/>
      <c r="AL249" s="2"/>
      <c r="AM249" s="2" t="s">
        <v>52</v>
      </c>
    </row>
    <row r="250" spans="1:39" x14ac:dyDescent="0.45">
      <c r="A250" s="2" t="s">
        <v>2580</v>
      </c>
      <c r="B250" s="2"/>
      <c r="C250" s="2" t="s">
        <v>2582</v>
      </c>
      <c r="D250" s="2" t="s">
        <v>2584</v>
      </c>
      <c r="E250" s="25"/>
      <c r="F250" s="21"/>
      <c r="G250" s="42" t="s">
        <v>28000</v>
      </c>
      <c r="H250" s="2" t="s">
        <v>50</v>
      </c>
      <c r="I250" s="2" t="s">
        <v>2588</v>
      </c>
      <c r="J250" s="2" t="s">
        <v>2581</v>
      </c>
      <c r="K250" s="2" t="s">
        <v>2583</v>
      </c>
      <c r="L250" s="2" t="s">
        <v>2585</v>
      </c>
      <c r="M250" s="2" t="s">
        <v>2585</v>
      </c>
      <c r="N250" s="2" t="s">
        <v>39</v>
      </c>
      <c r="O250" s="2" t="s">
        <v>40</v>
      </c>
      <c r="P250" s="2" t="s">
        <v>2586</v>
      </c>
      <c r="Q250" s="2" t="s">
        <v>2583</v>
      </c>
      <c r="R250" s="2"/>
      <c r="S250" s="2"/>
      <c r="T250" s="2"/>
      <c r="U250" s="2" t="s">
        <v>39</v>
      </c>
      <c r="V250" s="2" t="s">
        <v>40</v>
      </c>
      <c r="W250" s="2" t="s">
        <v>2586</v>
      </c>
      <c r="X250" s="2" t="s">
        <v>2587</v>
      </c>
      <c r="Y250" s="2" t="s">
        <v>44</v>
      </c>
      <c r="Z250" s="2"/>
      <c r="AA250" s="2" t="s">
        <v>45</v>
      </c>
      <c r="AB250" s="2" t="s">
        <v>46</v>
      </c>
      <c r="AC250" s="2" t="s">
        <v>45</v>
      </c>
      <c r="AE250" s="2" t="s">
        <v>48</v>
      </c>
      <c r="AF250" s="2" t="s">
        <v>49</v>
      </c>
      <c r="AG250" s="2">
        <v>100</v>
      </c>
      <c r="AH250" s="2">
        <v>90</v>
      </c>
      <c r="AJ250" s="2" t="s">
        <v>2589</v>
      </c>
      <c r="AK250" s="2"/>
      <c r="AL250" s="2"/>
      <c r="AM250" s="2" t="s">
        <v>52</v>
      </c>
    </row>
    <row r="251" spans="1:39" x14ac:dyDescent="0.45">
      <c r="A251" s="2" t="s">
        <v>2590</v>
      </c>
      <c r="B251" s="2"/>
      <c r="C251" s="2" t="s">
        <v>2592</v>
      </c>
      <c r="D251" s="2" t="s">
        <v>2594</v>
      </c>
      <c r="E251" s="25"/>
      <c r="F251" s="21"/>
      <c r="G251" s="42" t="s">
        <v>28000</v>
      </c>
      <c r="H251" s="2" t="s">
        <v>50</v>
      </c>
      <c r="I251" s="2" t="s">
        <v>2597</v>
      </c>
      <c r="J251" s="2" t="s">
        <v>2591</v>
      </c>
      <c r="K251" s="2" t="s">
        <v>2593</v>
      </c>
      <c r="L251" s="2" t="s">
        <v>2595</v>
      </c>
      <c r="M251" s="2" t="s">
        <v>2595</v>
      </c>
      <c r="N251" s="2" t="s">
        <v>290</v>
      </c>
      <c r="O251" s="2" t="s">
        <v>278</v>
      </c>
      <c r="P251" s="2" t="s">
        <v>291</v>
      </c>
      <c r="Q251" s="2" t="s">
        <v>2593</v>
      </c>
      <c r="R251" s="2"/>
      <c r="S251" s="2"/>
      <c r="T251" s="2"/>
      <c r="U251" s="2" t="s">
        <v>290</v>
      </c>
      <c r="V251" s="2" t="s">
        <v>278</v>
      </c>
      <c r="W251" s="2" t="s">
        <v>291</v>
      </c>
      <c r="X251" s="2" t="s">
        <v>2596</v>
      </c>
      <c r="Y251" s="2" t="s">
        <v>44</v>
      </c>
      <c r="Z251" s="2"/>
      <c r="AA251" s="2" t="s">
        <v>45</v>
      </c>
      <c r="AB251" s="2" t="s">
        <v>46</v>
      </c>
      <c r="AC251" s="2" t="s">
        <v>45</v>
      </c>
      <c r="AE251" s="2" t="s">
        <v>48</v>
      </c>
      <c r="AF251" s="2" t="s">
        <v>49</v>
      </c>
      <c r="AG251" s="2">
        <v>100</v>
      </c>
      <c r="AH251" s="2">
        <v>90</v>
      </c>
      <c r="AJ251" s="2" t="s">
        <v>2598</v>
      </c>
      <c r="AK251" s="2"/>
      <c r="AL251" s="2"/>
      <c r="AM251" s="2" t="s">
        <v>52</v>
      </c>
    </row>
    <row r="252" spans="1:39" x14ac:dyDescent="0.45">
      <c r="A252" s="2" t="s">
        <v>2599</v>
      </c>
      <c r="B252" s="2"/>
      <c r="C252" s="2" t="s">
        <v>2601</v>
      </c>
      <c r="D252" s="2" t="s">
        <v>2603</v>
      </c>
      <c r="E252" s="25"/>
      <c r="F252" s="21"/>
      <c r="G252" s="42" t="s">
        <v>28000</v>
      </c>
      <c r="H252" s="2" t="s">
        <v>50</v>
      </c>
      <c r="I252" s="2" t="s">
        <v>2606</v>
      </c>
      <c r="J252" s="2" t="s">
        <v>2600</v>
      </c>
      <c r="K252" s="2" t="s">
        <v>2602</v>
      </c>
      <c r="L252" s="2" t="s">
        <v>2604</v>
      </c>
      <c r="M252" s="2" t="s">
        <v>2604</v>
      </c>
      <c r="N252" s="2" t="s">
        <v>72</v>
      </c>
      <c r="O252" s="2" t="s">
        <v>73</v>
      </c>
      <c r="P252" s="2" t="s">
        <v>74</v>
      </c>
      <c r="Q252" s="2" t="s">
        <v>2602</v>
      </c>
      <c r="R252" s="2"/>
      <c r="S252" s="2"/>
      <c r="T252" s="2"/>
      <c r="U252" s="2" t="s">
        <v>72</v>
      </c>
      <c r="V252" s="2" t="s">
        <v>73</v>
      </c>
      <c r="W252" s="2" t="s">
        <v>74</v>
      </c>
      <c r="X252" s="2" t="s">
        <v>2605</v>
      </c>
      <c r="Y252" s="2" t="s">
        <v>44</v>
      </c>
      <c r="Z252" s="2"/>
      <c r="AA252" s="2" t="s">
        <v>45</v>
      </c>
      <c r="AB252" s="2" t="s">
        <v>46</v>
      </c>
      <c r="AC252" s="2" t="s">
        <v>45</v>
      </c>
      <c r="AE252" s="2" t="s">
        <v>48</v>
      </c>
      <c r="AF252" s="2" t="s">
        <v>49</v>
      </c>
      <c r="AG252" s="2">
        <v>100</v>
      </c>
      <c r="AH252" s="2">
        <v>90</v>
      </c>
      <c r="AJ252" s="2" t="s">
        <v>2607</v>
      </c>
      <c r="AK252" s="2"/>
      <c r="AL252" s="2"/>
      <c r="AM252" s="2" t="s">
        <v>52</v>
      </c>
    </row>
    <row r="253" spans="1:39" x14ac:dyDescent="0.45">
      <c r="A253" s="2" t="s">
        <v>2608</v>
      </c>
      <c r="B253" s="2"/>
      <c r="C253" s="2" t="s">
        <v>2610</v>
      </c>
      <c r="D253" s="2" t="s">
        <v>2612</v>
      </c>
      <c r="E253" s="25"/>
      <c r="F253" s="21"/>
      <c r="G253" s="42" t="s">
        <v>28000</v>
      </c>
      <c r="H253" s="2" t="s">
        <v>50</v>
      </c>
      <c r="I253" s="2" t="s">
        <v>2615</v>
      </c>
      <c r="J253" s="2" t="s">
        <v>2609</v>
      </c>
      <c r="K253" s="2" t="s">
        <v>2611</v>
      </c>
      <c r="L253" s="2" t="s">
        <v>2613</v>
      </c>
      <c r="M253" s="2" t="s">
        <v>2613</v>
      </c>
      <c r="N253" s="2" t="s">
        <v>85</v>
      </c>
      <c r="O253" s="2" t="s">
        <v>86</v>
      </c>
      <c r="P253" s="2" t="s">
        <v>629</v>
      </c>
      <c r="Q253" s="2" t="s">
        <v>2611</v>
      </c>
      <c r="R253" s="2"/>
      <c r="S253" s="2"/>
      <c r="T253" s="2"/>
      <c r="U253" s="2" t="s">
        <v>85</v>
      </c>
      <c r="V253" s="2" t="s">
        <v>86</v>
      </c>
      <c r="W253" s="2" t="s">
        <v>629</v>
      </c>
      <c r="X253" s="2" t="s">
        <v>2614</v>
      </c>
      <c r="Y253" s="2" t="s">
        <v>44</v>
      </c>
      <c r="Z253" s="2"/>
      <c r="AA253" s="2" t="s">
        <v>45</v>
      </c>
      <c r="AB253" s="2" t="s">
        <v>46</v>
      </c>
      <c r="AC253" s="2" t="s">
        <v>45</v>
      </c>
      <c r="AE253" s="2" t="s">
        <v>48</v>
      </c>
      <c r="AF253" s="2" t="s">
        <v>49</v>
      </c>
      <c r="AG253" s="2">
        <v>100</v>
      </c>
      <c r="AH253" s="2">
        <v>90</v>
      </c>
      <c r="AJ253" s="2" t="s">
        <v>2616</v>
      </c>
      <c r="AK253" s="2"/>
      <c r="AL253" s="2"/>
      <c r="AM253" s="2" t="s">
        <v>52</v>
      </c>
    </row>
    <row r="254" spans="1:39" x14ac:dyDescent="0.45">
      <c r="A254" s="2" t="s">
        <v>2617</v>
      </c>
      <c r="B254" s="2"/>
      <c r="C254" s="2" t="s">
        <v>2619</v>
      </c>
      <c r="D254" s="2" t="s">
        <v>2621</v>
      </c>
      <c r="E254" s="25"/>
      <c r="F254" s="21"/>
      <c r="G254" s="42" t="s">
        <v>28000</v>
      </c>
      <c r="H254" s="2" t="s">
        <v>50</v>
      </c>
      <c r="I254" s="2" t="s">
        <v>2624</v>
      </c>
      <c r="J254" s="2" t="s">
        <v>2618</v>
      </c>
      <c r="K254" s="2" t="s">
        <v>2620</v>
      </c>
      <c r="L254" s="2" t="s">
        <v>2622</v>
      </c>
      <c r="M254" s="2" t="s">
        <v>2622</v>
      </c>
      <c r="N254" s="2" t="s">
        <v>72</v>
      </c>
      <c r="O254" s="2" t="s">
        <v>73</v>
      </c>
      <c r="P254" s="2" t="s">
        <v>98</v>
      </c>
      <c r="Q254" s="2" t="s">
        <v>2620</v>
      </c>
      <c r="R254" s="2"/>
      <c r="S254" s="2"/>
      <c r="T254" s="2"/>
      <c r="U254" s="2" t="s">
        <v>72</v>
      </c>
      <c r="V254" s="2" t="s">
        <v>73</v>
      </c>
      <c r="W254" s="2" t="s">
        <v>98</v>
      </c>
      <c r="X254" s="2" t="s">
        <v>2623</v>
      </c>
      <c r="Y254" s="2" t="s">
        <v>44</v>
      </c>
      <c r="Z254" s="2"/>
      <c r="AA254" s="2" t="s">
        <v>45</v>
      </c>
      <c r="AB254" s="2" t="s">
        <v>46</v>
      </c>
      <c r="AC254" s="2" t="s">
        <v>45</v>
      </c>
      <c r="AE254" s="2" t="s">
        <v>48</v>
      </c>
      <c r="AF254" s="2" t="s">
        <v>49</v>
      </c>
      <c r="AG254" s="2">
        <v>100</v>
      </c>
      <c r="AH254" s="2">
        <v>90</v>
      </c>
      <c r="AJ254" s="2" t="s">
        <v>2625</v>
      </c>
      <c r="AK254" s="2"/>
      <c r="AL254" s="2"/>
      <c r="AM254" s="2" t="s">
        <v>52</v>
      </c>
    </row>
    <row r="255" spans="1:39" x14ac:dyDescent="0.45">
      <c r="A255" s="2" t="s">
        <v>2626</v>
      </c>
      <c r="B255" s="2"/>
      <c r="C255" s="2" t="s">
        <v>2628</v>
      </c>
      <c r="D255" s="2" t="s">
        <v>2630</v>
      </c>
      <c r="E255" s="25"/>
      <c r="F255" s="21"/>
      <c r="G255" s="42" t="s">
        <v>28000</v>
      </c>
      <c r="H255" s="2" t="s">
        <v>50</v>
      </c>
      <c r="I255" s="2" t="s">
        <v>2632</v>
      </c>
      <c r="J255" s="2" t="s">
        <v>2627</v>
      </c>
      <c r="K255" s="2" t="s">
        <v>2629</v>
      </c>
      <c r="L255" s="2" t="s">
        <v>2631</v>
      </c>
      <c r="M255" s="2" t="s">
        <v>2631</v>
      </c>
      <c r="N255" s="2" t="s">
        <v>72</v>
      </c>
      <c r="O255" s="2" t="s">
        <v>73</v>
      </c>
      <c r="P255" s="2" t="s">
        <v>373</v>
      </c>
      <c r="Q255" s="2" t="s">
        <v>2629</v>
      </c>
      <c r="R255" s="2"/>
      <c r="S255" s="2"/>
      <c r="T255" s="2"/>
      <c r="U255" s="2" t="s">
        <v>72</v>
      </c>
      <c r="V255" s="2" t="s">
        <v>73</v>
      </c>
      <c r="W255" s="2" t="s">
        <v>373</v>
      </c>
      <c r="X255" s="2" t="s">
        <v>1347</v>
      </c>
      <c r="Y255" s="2" t="s">
        <v>44</v>
      </c>
      <c r="Z255" s="2"/>
      <c r="AA255" s="2" t="s">
        <v>45</v>
      </c>
      <c r="AB255" s="2" t="s">
        <v>46</v>
      </c>
      <c r="AC255" s="2" t="s">
        <v>45</v>
      </c>
      <c r="AE255" s="2" t="s">
        <v>48</v>
      </c>
      <c r="AF255" s="2" t="s">
        <v>49</v>
      </c>
      <c r="AG255" s="2">
        <v>100</v>
      </c>
      <c r="AH255" s="2">
        <v>90</v>
      </c>
      <c r="AJ255" s="2" t="s">
        <v>2633</v>
      </c>
      <c r="AK255" s="2"/>
      <c r="AL255" s="2"/>
      <c r="AM255" s="2" t="s">
        <v>52</v>
      </c>
    </row>
    <row r="256" spans="1:39" x14ac:dyDescent="0.45">
      <c r="A256" s="2" t="s">
        <v>2634</v>
      </c>
      <c r="B256" s="2"/>
      <c r="C256" s="2" t="s">
        <v>2636</v>
      </c>
      <c r="D256" s="2" t="s">
        <v>2638</v>
      </c>
      <c r="E256" s="25"/>
      <c r="F256" s="21"/>
      <c r="G256" s="42" t="s">
        <v>28000</v>
      </c>
      <c r="H256" s="2" t="s">
        <v>50</v>
      </c>
      <c r="I256" s="2" t="s">
        <v>2640</v>
      </c>
      <c r="J256" s="2" t="s">
        <v>2635</v>
      </c>
      <c r="K256" s="2" t="s">
        <v>2637</v>
      </c>
      <c r="L256" s="2" t="s">
        <v>2639</v>
      </c>
      <c r="M256" s="2"/>
      <c r="N256" s="2" t="s">
        <v>72</v>
      </c>
      <c r="O256" s="2" t="s">
        <v>73</v>
      </c>
      <c r="P256" s="2" t="s">
        <v>474</v>
      </c>
      <c r="Q256" s="2" t="s">
        <v>2637</v>
      </c>
      <c r="R256" s="2"/>
      <c r="S256" s="2"/>
      <c r="T256" s="2"/>
      <c r="U256" s="2" t="s">
        <v>72</v>
      </c>
      <c r="V256" s="2" t="s">
        <v>73</v>
      </c>
      <c r="W256" s="2" t="s">
        <v>474</v>
      </c>
      <c r="X256" s="2" t="s">
        <v>1347</v>
      </c>
      <c r="Y256" s="2" t="s">
        <v>44</v>
      </c>
      <c r="Z256" s="2"/>
      <c r="AA256" s="2" t="s">
        <v>45</v>
      </c>
      <c r="AB256" s="2" t="s">
        <v>46</v>
      </c>
      <c r="AC256" s="2" t="s">
        <v>45</v>
      </c>
      <c r="AE256" s="2" t="s">
        <v>48</v>
      </c>
      <c r="AF256" s="2" t="s">
        <v>49</v>
      </c>
      <c r="AG256" s="2">
        <v>100</v>
      </c>
      <c r="AH256" s="2">
        <v>90</v>
      </c>
      <c r="AJ256" s="2" t="s">
        <v>2641</v>
      </c>
      <c r="AK256" s="2"/>
      <c r="AL256" s="2"/>
      <c r="AM256" s="2" t="s">
        <v>52</v>
      </c>
    </row>
    <row r="257" spans="1:39" x14ac:dyDescent="0.45">
      <c r="A257" s="2" t="s">
        <v>2642</v>
      </c>
      <c r="B257" s="2"/>
      <c r="C257" s="2" t="s">
        <v>2644</v>
      </c>
      <c r="D257" s="2" t="s">
        <v>2646</v>
      </c>
      <c r="E257" s="25"/>
      <c r="F257" s="21"/>
      <c r="G257" s="42" t="s">
        <v>28000</v>
      </c>
      <c r="H257" s="2" t="s">
        <v>50</v>
      </c>
      <c r="I257" s="2" t="s">
        <v>2648</v>
      </c>
      <c r="J257" s="2" t="s">
        <v>2643</v>
      </c>
      <c r="K257" s="2" t="s">
        <v>2645</v>
      </c>
      <c r="L257" s="2" t="s">
        <v>2647</v>
      </c>
      <c r="M257" s="2"/>
      <c r="N257" s="2" t="s">
        <v>72</v>
      </c>
      <c r="O257" s="2" t="s">
        <v>73</v>
      </c>
      <c r="P257" s="2" t="s">
        <v>162</v>
      </c>
      <c r="Q257" s="2" t="s">
        <v>2645</v>
      </c>
      <c r="R257" s="2"/>
      <c r="S257" s="2"/>
      <c r="T257" s="2"/>
      <c r="U257" s="2" t="s">
        <v>72</v>
      </c>
      <c r="V257" s="2" t="s">
        <v>73</v>
      </c>
      <c r="W257" s="2" t="s">
        <v>162</v>
      </c>
      <c r="X257" s="2" t="s">
        <v>1347</v>
      </c>
      <c r="Y257" s="2" t="s">
        <v>44</v>
      </c>
      <c r="Z257" s="2"/>
      <c r="AA257" s="2" t="s">
        <v>45</v>
      </c>
      <c r="AB257" s="2" t="s">
        <v>46</v>
      </c>
      <c r="AC257" s="2" t="s">
        <v>45</v>
      </c>
      <c r="AE257" s="2" t="s">
        <v>48</v>
      </c>
      <c r="AF257" s="2" t="s">
        <v>49</v>
      </c>
      <c r="AG257" s="2">
        <v>100</v>
      </c>
      <c r="AH257" s="2">
        <v>90</v>
      </c>
      <c r="AJ257" s="2" t="s">
        <v>2649</v>
      </c>
      <c r="AK257" s="2"/>
      <c r="AL257" s="2"/>
      <c r="AM257" s="2" t="s">
        <v>52</v>
      </c>
    </row>
    <row r="258" spans="1:39" x14ac:dyDescent="0.45">
      <c r="A258" s="2" t="s">
        <v>2650</v>
      </c>
      <c r="B258" s="2"/>
      <c r="C258" s="2" t="s">
        <v>2652</v>
      </c>
      <c r="D258" s="2" t="s">
        <v>2654</v>
      </c>
      <c r="E258" s="25"/>
      <c r="F258" s="21"/>
      <c r="G258" s="42" t="s">
        <v>28000</v>
      </c>
      <c r="H258" s="2" t="s">
        <v>50</v>
      </c>
      <c r="I258" s="2" t="s">
        <v>2657</v>
      </c>
      <c r="J258" s="2" t="s">
        <v>2651</v>
      </c>
      <c r="K258" s="2" t="s">
        <v>2653</v>
      </c>
      <c r="L258" s="2" t="s">
        <v>2655</v>
      </c>
      <c r="M258" s="2"/>
      <c r="N258" s="2" t="s">
        <v>216</v>
      </c>
      <c r="O258" s="2" t="s">
        <v>217</v>
      </c>
      <c r="P258" s="2" t="s">
        <v>218</v>
      </c>
      <c r="Q258" s="2" t="s">
        <v>2656</v>
      </c>
      <c r="R258" s="2"/>
      <c r="S258" s="2"/>
      <c r="T258" s="2"/>
      <c r="U258" s="2" t="s">
        <v>216</v>
      </c>
      <c r="V258" s="2" t="s">
        <v>217</v>
      </c>
      <c r="W258" s="2" t="s">
        <v>218</v>
      </c>
      <c r="X258" s="2" t="s">
        <v>1347</v>
      </c>
      <c r="Y258" s="2" t="s">
        <v>44</v>
      </c>
      <c r="Z258" s="2"/>
      <c r="AA258" s="2" t="s">
        <v>45</v>
      </c>
      <c r="AB258" s="2" t="s">
        <v>46</v>
      </c>
      <c r="AC258" s="2" t="s">
        <v>45</v>
      </c>
      <c r="AE258" s="2" t="s">
        <v>48</v>
      </c>
      <c r="AF258" s="2" t="s">
        <v>49</v>
      </c>
      <c r="AG258" s="2">
        <v>100</v>
      </c>
      <c r="AH258" s="2">
        <v>90</v>
      </c>
      <c r="AJ258" s="2" t="s">
        <v>2658</v>
      </c>
      <c r="AK258" s="2"/>
      <c r="AL258" s="2"/>
      <c r="AM258" s="2" t="s">
        <v>52</v>
      </c>
    </row>
    <row r="259" spans="1:39" x14ac:dyDescent="0.45">
      <c r="A259" s="2" t="s">
        <v>2659</v>
      </c>
      <c r="B259" s="2"/>
      <c r="C259" s="2" t="s">
        <v>2661</v>
      </c>
      <c r="D259" s="2" t="s">
        <v>2663</v>
      </c>
      <c r="E259" s="25"/>
      <c r="F259" s="21"/>
      <c r="G259" s="42" t="s">
        <v>28000</v>
      </c>
      <c r="H259" s="2" t="s">
        <v>50</v>
      </c>
      <c r="I259" s="2" t="s">
        <v>2666</v>
      </c>
      <c r="J259" s="2" t="s">
        <v>2660</v>
      </c>
      <c r="K259" s="2" t="s">
        <v>2662</v>
      </c>
      <c r="L259" s="2" t="s">
        <v>2664</v>
      </c>
      <c r="M259" s="2" t="s">
        <v>2664</v>
      </c>
      <c r="N259" s="2" t="s">
        <v>72</v>
      </c>
      <c r="O259" s="2" t="s">
        <v>73</v>
      </c>
      <c r="P259" s="2" t="s">
        <v>2665</v>
      </c>
      <c r="Q259" s="2" t="s">
        <v>2662</v>
      </c>
      <c r="R259" s="2"/>
      <c r="S259" s="2"/>
      <c r="T259" s="2"/>
      <c r="U259" s="2" t="s">
        <v>72</v>
      </c>
      <c r="V259" s="2" t="s">
        <v>73</v>
      </c>
      <c r="W259" s="2" t="s">
        <v>2665</v>
      </c>
      <c r="X259" s="2" t="s">
        <v>1347</v>
      </c>
      <c r="Y259" s="2" t="s">
        <v>44</v>
      </c>
      <c r="Z259" s="2"/>
      <c r="AA259" s="2" t="s">
        <v>45</v>
      </c>
      <c r="AB259" s="2" t="s">
        <v>46</v>
      </c>
      <c r="AC259" s="2" t="s">
        <v>45</v>
      </c>
      <c r="AE259" s="2" t="s">
        <v>48</v>
      </c>
      <c r="AF259" s="2" t="s">
        <v>49</v>
      </c>
      <c r="AG259" s="2">
        <v>100</v>
      </c>
      <c r="AH259" s="2">
        <v>90</v>
      </c>
      <c r="AJ259" s="2" t="s">
        <v>2667</v>
      </c>
      <c r="AK259" s="2"/>
      <c r="AL259" s="2"/>
      <c r="AM259" s="2" t="s">
        <v>52</v>
      </c>
    </row>
    <row r="260" spans="1:39" x14ac:dyDescent="0.45">
      <c r="A260" s="2" t="s">
        <v>2668</v>
      </c>
      <c r="B260" s="2"/>
      <c r="C260" s="2" t="s">
        <v>2670</v>
      </c>
      <c r="D260" s="2" t="s">
        <v>2672</v>
      </c>
      <c r="E260" s="25"/>
      <c r="F260" s="21"/>
      <c r="G260" s="42" t="s">
        <v>28000</v>
      </c>
      <c r="H260" s="2" t="s">
        <v>50</v>
      </c>
      <c r="I260" s="2" t="s">
        <v>2674</v>
      </c>
      <c r="J260" s="2" t="s">
        <v>2669</v>
      </c>
      <c r="K260" s="2" t="s">
        <v>2671</v>
      </c>
      <c r="L260" s="2" t="s">
        <v>2673</v>
      </c>
      <c r="M260" s="2"/>
      <c r="N260" s="2" t="s">
        <v>424</v>
      </c>
      <c r="O260" s="2" t="s">
        <v>217</v>
      </c>
      <c r="P260" s="2" t="s">
        <v>2410</v>
      </c>
      <c r="Q260" s="2" t="s">
        <v>2671</v>
      </c>
      <c r="R260" s="2"/>
      <c r="S260" s="2"/>
      <c r="T260" s="2"/>
      <c r="U260" s="2" t="s">
        <v>424</v>
      </c>
      <c r="V260" s="2" t="s">
        <v>217</v>
      </c>
      <c r="W260" s="2" t="s">
        <v>2410</v>
      </c>
      <c r="X260" s="2" t="s">
        <v>245</v>
      </c>
      <c r="Y260" s="2" t="s">
        <v>44</v>
      </c>
      <c r="Z260" s="2"/>
      <c r="AA260" s="2" t="s">
        <v>45</v>
      </c>
      <c r="AB260" s="2" t="s">
        <v>46</v>
      </c>
      <c r="AC260" s="2" t="s">
        <v>45</v>
      </c>
      <c r="AE260" s="2" t="s">
        <v>48</v>
      </c>
      <c r="AF260" s="2" t="s">
        <v>49</v>
      </c>
      <c r="AG260" s="2">
        <v>100</v>
      </c>
      <c r="AH260" s="2">
        <v>90</v>
      </c>
      <c r="AJ260" s="2" t="s">
        <v>2675</v>
      </c>
      <c r="AK260" s="2"/>
      <c r="AL260" s="2"/>
      <c r="AM260" s="2" t="s">
        <v>52</v>
      </c>
    </row>
    <row r="261" spans="1:39" x14ac:dyDescent="0.45">
      <c r="A261" s="2" t="s">
        <v>2676</v>
      </c>
      <c r="B261" s="2"/>
      <c r="C261" s="2" t="s">
        <v>2678</v>
      </c>
      <c r="D261" s="2" t="s">
        <v>2680</v>
      </c>
      <c r="E261" s="25"/>
      <c r="F261" s="21"/>
      <c r="G261" s="42" t="s">
        <v>28000</v>
      </c>
      <c r="H261" s="2" t="s">
        <v>50</v>
      </c>
      <c r="I261" s="2" t="s">
        <v>2682</v>
      </c>
      <c r="J261" s="2" t="s">
        <v>2677</v>
      </c>
      <c r="K261" s="2" t="s">
        <v>2679</v>
      </c>
      <c r="L261" s="2" t="s">
        <v>2681</v>
      </c>
      <c r="M261" s="2"/>
      <c r="N261" s="2" t="s">
        <v>72</v>
      </c>
      <c r="O261" s="2" t="s">
        <v>73</v>
      </c>
      <c r="P261" s="2" t="s">
        <v>1046</v>
      </c>
      <c r="Q261" s="2" t="s">
        <v>2679</v>
      </c>
      <c r="R261" s="2"/>
      <c r="S261" s="2"/>
      <c r="T261" s="2"/>
      <c r="U261" s="2" t="s">
        <v>72</v>
      </c>
      <c r="V261" s="2" t="s">
        <v>73</v>
      </c>
      <c r="W261" s="2" t="s">
        <v>1046</v>
      </c>
      <c r="X261" s="2" t="s">
        <v>560</v>
      </c>
      <c r="Y261" s="2" t="s">
        <v>44</v>
      </c>
      <c r="Z261" s="2"/>
      <c r="AA261" s="2" t="s">
        <v>45</v>
      </c>
      <c r="AB261" s="2" t="s">
        <v>46</v>
      </c>
      <c r="AC261" s="2" t="s">
        <v>45</v>
      </c>
      <c r="AE261" s="2" t="s">
        <v>48</v>
      </c>
      <c r="AF261" s="2" t="s">
        <v>49</v>
      </c>
      <c r="AG261" s="2">
        <v>100</v>
      </c>
      <c r="AH261" s="2">
        <v>90</v>
      </c>
      <c r="AJ261" s="2" t="s">
        <v>2683</v>
      </c>
      <c r="AK261" s="2"/>
      <c r="AL261" s="2"/>
      <c r="AM261" s="2" t="s">
        <v>52</v>
      </c>
    </row>
    <row r="262" spans="1:39" x14ac:dyDescent="0.45">
      <c r="A262" s="2" t="s">
        <v>2684</v>
      </c>
      <c r="B262" s="2"/>
      <c r="C262" s="2" t="s">
        <v>2686</v>
      </c>
      <c r="D262" s="2" t="s">
        <v>2554</v>
      </c>
      <c r="E262" s="25"/>
      <c r="F262" s="21"/>
      <c r="G262" s="42" t="s">
        <v>28000</v>
      </c>
      <c r="H262" s="2" t="s">
        <v>50</v>
      </c>
      <c r="I262" s="2" t="s">
        <v>2558</v>
      </c>
      <c r="J262" s="2" t="s">
        <v>2685</v>
      </c>
      <c r="K262" s="2" t="s">
        <v>2687</v>
      </c>
      <c r="L262" s="2" t="s">
        <v>2688</v>
      </c>
      <c r="M262" s="2"/>
      <c r="N262" s="2" t="s">
        <v>72</v>
      </c>
      <c r="O262" s="2" t="s">
        <v>73</v>
      </c>
      <c r="P262" s="2" t="s">
        <v>1164</v>
      </c>
      <c r="Q262" s="2" t="s">
        <v>2689</v>
      </c>
      <c r="R262" s="2"/>
      <c r="S262" s="2"/>
      <c r="T262" s="2"/>
      <c r="U262" s="2" t="s">
        <v>72</v>
      </c>
      <c r="V262" s="2" t="s">
        <v>73</v>
      </c>
      <c r="W262" s="2" t="s">
        <v>1164</v>
      </c>
      <c r="X262" s="2" t="s">
        <v>2690</v>
      </c>
      <c r="Y262" s="2" t="s">
        <v>44</v>
      </c>
      <c r="Z262" s="2"/>
      <c r="AA262" s="2" t="s">
        <v>45</v>
      </c>
      <c r="AB262" s="2" t="s">
        <v>46</v>
      </c>
      <c r="AC262" s="2" t="s">
        <v>45</v>
      </c>
      <c r="AE262" s="2" t="s">
        <v>48</v>
      </c>
      <c r="AF262" s="2" t="s">
        <v>49</v>
      </c>
      <c r="AG262" s="2">
        <v>100</v>
      </c>
      <c r="AH262" s="2">
        <v>90</v>
      </c>
      <c r="AJ262" s="2" t="s">
        <v>2559</v>
      </c>
      <c r="AK262" s="2"/>
      <c r="AL262" s="2"/>
      <c r="AM262" s="2" t="s">
        <v>52</v>
      </c>
    </row>
    <row r="263" spans="1:39" x14ac:dyDescent="0.45">
      <c r="A263" s="2" t="s">
        <v>2691</v>
      </c>
      <c r="B263" s="2"/>
      <c r="C263" s="2" t="s">
        <v>2693</v>
      </c>
      <c r="D263" s="2" t="s">
        <v>2695</v>
      </c>
      <c r="E263" s="25"/>
      <c r="F263" s="21"/>
      <c r="G263" s="42" t="s">
        <v>28000</v>
      </c>
      <c r="H263" s="2" t="s">
        <v>50</v>
      </c>
      <c r="I263" s="2" t="s">
        <v>2699</v>
      </c>
      <c r="J263" s="2" t="s">
        <v>2692</v>
      </c>
      <c r="K263" s="2" t="s">
        <v>2694</v>
      </c>
      <c r="L263" s="2" t="s">
        <v>2696</v>
      </c>
      <c r="M263" s="2" t="s">
        <v>2696</v>
      </c>
      <c r="N263" s="2" t="s">
        <v>277</v>
      </c>
      <c r="O263" s="2" t="s">
        <v>278</v>
      </c>
      <c r="P263" s="2" t="s">
        <v>279</v>
      </c>
      <c r="Q263" s="2" t="s">
        <v>2697</v>
      </c>
      <c r="R263" s="2"/>
      <c r="S263" s="2"/>
      <c r="T263" s="2"/>
      <c r="U263" s="2" t="s">
        <v>277</v>
      </c>
      <c r="V263" s="2" t="s">
        <v>278</v>
      </c>
      <c r="W263" s="2" t="s">
        <v>279</v>
      </c>
      <c r="X263" s="2" t="s">
        <v>2698</v>
      </c>
      <c r="Y263" s="2" t="s">
        <v>44</v>
      </c>
      <c r="Z263" s="2"/>
      <c r="AA263" s="2" t="s">
        <v>45</v>
      </c>
      <c r="AB263" s="2" t="s">
        <v>46</v>
      </c>
      <c r="AC263" s="2" t="s">
        <v>45</v>
      </c>
      <c r="AE263" s="2" t="s">
        <v>48</v>
      </c>
      <c r="AF263" s="2" t="s">
        <v>49</v>
      </c>
      <c r="AG263" s="2">
        <v>100</v>
      </c>
      <c r="AH263" s="2">
        <v>90</v>
      </c>
      <c r="AJ263" s="2" t="s">
        <v>2700</v>
      </c>
      <c r="AK263" s="2"/>
      <c r="AL263" s="2"/>
      <c r="AM263" s="2" t="s">
        <v>52</v>
      </c>
    </row>
    <row r="264" spans="1:39" x14ac:dyDescent="0.45">
      <c r="A264" s="2" t="s">
        <v>2701</v>
      </c>
      <c r="B264" s="2"/>
      <c r="C264" s="2" t="s">
        <v>2703</v>
      </c>
      <c r="D264" s="2" t="s">
        <v>2705</v>
      </c>
      <c r="E264" s="25"/>
      <c r="F264" s="21"/>
      <c r="G264" s="42" t="s">
        <v>28000</v>
      </c>
      <c r="H264" s="2" t="s">
        <v>50</v>
      </c>
      <c r="I264" s="2" t="s">
        <v>2708</v>
      </c>
      <c r="J264" s="2" t="s">
        <v>2702</v>
      </c>
      <c r="K264" s="2" t="s">
        <v>2704</v>
      </c>
      <c r="L264" s="2" t="s">
        <v>2706</v>
      </c>
      <c r="M264" s="2" t="s">
        <v>2706</v>
      </c>
      <c r="N264" s="2" t="s">
        <v>174</v>
      </c>
      <c r="O264" s="2" t="s">
        <v>175</v>
      </c>
      <c r="P264" s="2" t="s">
        <v>1318</v>
      </c>
      <c r="Q264" s="2" t="s">
        <v>2704</v>
      </c>
      <c r="R264" s="2"/>
      <c r="S264" s="2"/>
      <c r="T264" s="2"/>
      <c r="U264" s="2" t="s">
        <v>174</v>
      </c>
      <c r="V264" s="2" t="s">
        <v>175</v>
      </c>
      <c r="W264" s="2" t="s">
        <v>1318</v>
      </c>
      <c r="X264" s="2" t="s">
        <v>2707</v>
      </c>
      <c r="Y264" s="2" t="s">
        <v>44</v>
      </c>
      <c r="Z264" s="2"/>
      <c r="AA264" s="2" t="s">
        <v>45</v>
      </c>
      <c r="AB264" s="2" t="s">
        <v>46</v>
      </c>
      <c r="AC264" s="2" t="s">
        <v>45</v>
      </c>
      <c r="AE264" s="2" t="s">
        <v>48</v>
      </c>
      <c r="AF264" s="2" t="s">
        <v>49</v>
      </c>
      <c r="AG264" s="2">
        <v>100</v>
      </c>
      <c r="AH264" s="2">
        <v>90</v>
      </c>
      <c r="AJ264" s="2" t="s">
        <v>2709</v>
      </c>
      <c r="AK264" s="2"/>
      <c r="AL264" s="2"/>
      <c r="AM264" s="2" t="s">
        <v>52</v>
      </c>
    </row>
    <row r="265" spans="1:39" x14ac:dyDescent="0.45">
      <c r="A265" s="2" t="s">
        <v>2710</v>
      </c>
      <c r="B265" s="2"/>
      <c r="C265" s="2" t="s">
        <v>2712</v>
      </c>
      <c r="D265" s="2" t="s">
        <v>2714</v>
      </c>
      <c r="E265" s="25"/>
      <c r="F265" s="21"/>
      <c r="G265" s="42" t="s">
        <v>28000</v>
      </c>
      <c r="H265" s="2" t="s">
        <v>50</v>
      </c>
      <c r="I265" s="2" t="s">
        <v>2717</v>
      </c>
      <c r="J265" s="2" t="s">
        <v>2711</v>
      </c>
      <c r="K265" s="2" t="s">
        <v>2713</v>
      </c>
      <c r="L265" s="2" t="s">
        <v>2715</v>
      </c>
      <c r="M265" s="2" t="s">
        <v>2715</v>
      </c>
      <c r="N265" s="2" t="s">
        <v>85</v>
      </c>
      <c r="O265" s="2" t="s">
        <v>86</v>
      </c>
      <c r="P265" s="2" t="s">
        <v>87</v>
      </c>
      <c r="Q265" s="2" t="s">
        <v>2713</v>
      </c>
      <c r="R265" s="2"/>
      <c r="S265" s="2"/>
      <c r="T265" s="2"/>
      <c r="U265" s="2" t="s">
        <v>85</v>
      </c>
      <c r="V265" s="2" t="s">
        <v>86</v>
      </c>
      <c r="W265" s="2" t="s">
        <v>87</v>
      </c>
      <c r="X265" s="2" t="s">
        <v>2716</v>
      </c>
      <c r="Y265" s="2" t="s">
        <v>44</v>
      </c>
      <c r="Z265" s="2"/>
      <c r="AA265" s="2" t="s">
        <v>45</v>
      </c>
      <c r="AB265" s="2" t="s">
        <v>46</v>
      </c>
      <c r="AC265" s="2" t="s">
        <v>45</v>
      </c>
      <c r="AE265" s="2" t="s">
        <v>48</v>
      </c>
      <c r="AF265" s="2" t="s">
        <v>49</v>
      </c>
      <c r="AG265" s="2">
        <v>100</v>
      </c>
      <c r="AH265" s="2">
        <v>90</v>
      </c>
      <c r="AJ265" s="2" t="s">
        <v>2718</v>
      </c>
      <c r="AK265" s="2"/>
      <c r="AL265" s="2"/>
      <c r="AM265" s="2" t="s">
        <v>52</v>
      </c>
    </row>
    <row r="266" spans="1:39" x14ac:dyDescent="0.45">
      <c r="A266" s="2" t="s">
        <v>2719</v>
      </c>
      <c r="B266" s="2"/>
      <c r="C266" s="2" t="s">
        <v>2721</v>
      </c>
      <c r="D266" s="2" t="s">
        <v>2723</v>
      </c>
      <c r="E266" s="25"/>
      <c r="F266" s="21"/>
      <c r="G266" s="42" t="s">
        <v>28000</v>
      </c>
      <c r="H266" s="2" t="s">
        <v>50</v>
      </c>
      <c r="I266" s="2" t="s">
        <v>2727</v>
      </c>
      <c r="J266" s="2" t="s">
        <v>2720</v>
      </c>
      <c r="K266" s="2" t="s">
        <v>2722</v>
      </c>
      <c r="L266" s="2" t="s">
        <v>2724</v>
      </c>
      <c r="M266" s="2"/>
      <c r="N266" s="2" t="s">
        <v>72</v>
      </c>
      <c r="O266" s="2" t="s">
        <v>73</v>
      </c>
      <c r="P266" s="2" t="s">
        <v>2725</v>
      </c>
      <c r="Q266" s="2" t="s">
        <v>2722</v>
      </c>
      <c r="R266" s="2"/>
      <c r="S266" s="2"/>
      <c r="T266" s="2"/>
      <c r="U266" s="2" t="s">
        <v>72</v>
      </c>
      <c r="V266" s="2" t="s">
        <v>73</v>
      </c>
      <c r="W266" s="2" t="s">
        <v>2725</v>
      </c>
      <c r="X266" s="2" t="s">
        <v>2726</v>
      </c>
      <c r="Y266" s="2" t="s">
        <v>44</v>
      </c>
      <c r="Z266" s="2"/>
      <c r="AA266" s="2" t="s">
        <v>45</v>
      </c>
      <c r="AB266" s="2" t="s">
        <v>46</v>
      </c>
      <c r="AC266" s="2" t="s">
        <v>45</v>
      </c>
      <c r="AE266" s="2" t="s">
        <v>48</v>
      </c>
      <c r="AF266" s="2" t="s">
        <v>49</v>
      </c>
      <c r="AG266" s="2">
        <v>100</v>
      </c>
      <c r="AH266" s="2">
        <v>90</v>
      </c>
      <c r="AJ266" s="2" t="s">
        <v>2728</v>
      </c>
      <c r="AK266" s="2"/>
      <c r="AL266" s="2"/>
      <c r="AM266" s="2" t="s">
        <v>52</v>
      </c>
    </row>
    <row r="267" spans="1:39" x14ac:dyDescent="0.45">
      <c r="A267" s="2" t="s">
        <v>2729</v>
      </c>
      <c r="B267" s="2"/>
      <c r="C267" s="2" t="s">
        <v>2731</v>
      </c>
      <c r="D267" s="2" t="s">
        <v>2733</v>
      </c>
      <c r="E267" s="25"/>
      <c r="F267" s="21"/>
      <c r="G267" s="42" t="s">
        <v>28000</v>
      </c>
      <c r="H267" s="2" t="s">
        <v>50</v>
      </c>
      <c r="I267" s="2" t="s">
        <v>2736</v>
      </c>
      <c r="J267" s="2" t="s">
        <v>2730</v>
      </c>
      <c r="K267" s="2" t="s">
        <v>2732</v>
      </c>
      <c r="L267" s="2" t="s">
        <v>2734</v>
      </c>
      <c r="M267" s="2" t="s">
        <v>2734</v>
      </c>
      <c r="N267" s="2" t="s">
        <v>216</v>
      </c>
      <c r="O267" s="2" t="s">
        <v>217</v>
      </c>
      <c r="P267" s="2" t="s">
        <v>218</v>
      </c>
      <c r="Q267" s="2" t="s">
        <v>2732</v>
      </c>
      <c r="R267" s="2"/>
      <c r="S267" s="2"/>
      <c r="T267" s="2"/>
      <c r="U267" s="2" t="s">
        <v>216</v>
      </c>
      <c r="V267" s="2" t="s">
        <v>217</v>
      </c>
      <c r="W267" s="2" t="s">
        <v>218</v>
      </c>
      <c r="X267" s="2" t="s">
        <v>2735</v>
      </c>
      <c r="Y267" s="2" t="s">
        <v>44</v>
      </c>
      <c r="Z267" s="2"/>
      <c r="AA267" s="2" t="s">
        <v>45</v>
      </c>
      <c r="AB267" s="2" t="s">
        <v>46</v>
      </c>
      <c r="AC267" s="2" t="s">
        <v>45</v>
      </c>
      <c r="AE267" s="2" t="s">
        <v>48</v>
      </c>
      <c r="AF267" s="2" t="s">
        <v>49</v>
      </c>
      <c r="AG267" s="2">
        <v>100</v>
      </c>
      <c r="AH267" s="2">
        <v>90</v>
      </c>
      <c r="AJ267" s="2" t="s">
        <v>2737</v>
      </c>
      <c r="AK267" s="2"/>
      <c r="AL267" s="2"/>
      <c r="AM267" s="2" t="s">
        <v>52</v>
      </c>
    </row>
    <row r="268" spans="1:39" x14ac:dyDescent="0.45">
      <c r="A268" s="2" t="s">
        <v>2738</v>
      </c>
      <c r="B268" s="2"/>
      <c r="C268" s="2" t="s">
        <v>2740</v>
      </c>
      <c r="D268" s="2" t="s">
        <v>2742</v>
      </c>
      <c r="E268" s="25"/>
      <c r="F268" s="21"/>
      <c r="G268" s="42" t="s">
        <v>28000</v>
      </c>
      <c r="H268" s="2" t="s">
        <v>50</v>
      </c>
      <c r="I268" s="2" t="s">
        <v>2746</v>
      </c>
      <c r="J268" s="2" t="s">
        <v>2739</v>
      </c>
      <c r="K268" s="2" t="s">
        <v>2741</v>
      </c>
      <c r="L268" s="2" t="s">
        <v>2743</v>
      </c>
      <c r="M268" s="2" t="s">
        <v>2743</v>
      </c>
      <c r="N268" s="2" t="s">
        <v>72</v>
      </c>
      <c r="O268" s="2" t="s">
        <v>73</v>
      </c>
      <c r="P268" s="2" t="s">
        <v>140</v>
      </c>
      <c r="Q268" s="2" t="s">
        <v>2744</v>
      </c>
      <c r="R268" s="2"/>
      <c r="S268" s="2"/>
      <c r="T268" s="2"/>
      <c r="U268" s="2" t="s">
        <v>72</v>
      </c>
      <c r="V268" s="2" t="s">
        <v>73</v>
      </c>
      <c r="W268" s="2" t="s">
        <v>119</v>
      </c>
      <c r="X268" s="2" t="s">
        <v>2745</v>
      </c>
      <c r="Y268" s="2" t="s">
        <v>44</v>
      </c>
      <c r="Z268" s="2"/>
      <c r="AA268" s="2" t="s">
        <v>45</v>
      </c>
      <c r="AB268" s="2" t="s">
        <v>46</v>
      </c>
      <c r="AC268" s="2" t="s">
        <v>45</v>
      </c>
      <c r="AE268" s="2" t="s">
        <v>48</v>
      </c>
      <c r="AF268" s="2" t="s">
        <v>49</v>
      </c>
      <c r="AG268" s="2">
        <v>100</v>
      </c>
      <c r="AH268" s="2">
        <v>90</v>
      </c>
      <c r="AJ268" s="2" t="s">
        <v>2747</v>
      </c>
      <c r="AK268" s="2"/>
      <c r="AL268" s="2"/>
      <c r="AM268" s="2" t="s">
        <v>52</v>
      </c>
    </row>
    <row r="269" spans="1:39" x14ac:dyDescent="0.45">
      <c r="A269" s="2" t="s">
        <v>2748</v>
      </c>
      <c r="B269" s="2"/>
      <c r="C269" s="2" t="s">
        <v>2750</v>
      </c>
      <c r="D269" s="2" t="s">
        <v>2752</v>
      </c>
      <c r="E269" s="25"/>
      <c r="F269" s="21"/>
      <c r="G269" s="42" t="s">
        <v>28000</v>
      </c>
      <c r="H269" s="2" t="s">
        <v>50</v>
      </c>
      <c r="I269" s="2" t="s">
        <v>2755</v>
      </c>
      <c r="J269" s="2" t="s">
        <v>2749</v>
      </c>
      <c r="K269" s="2" t="s">
        <v>2751</v>
      </c>
      <c r="L269" s="2" t="s">
        <v>2753</v>
      </c>
      <c r="M269" s="2"/>
      <c r="N269" s="2" t="s">
        <v>72</v>
      </c>
      <c r="O269" s="2" t="s">
        <v>73</v>
      </c>
      <c r="P269" s="2" t="s">
        <v>464</v>
      </c>
      <c r="Q269" s="2" t="s">
        <v>2751</v>
      </c>
      <c r="R269" s="2"/>
      <c r="S269" s="2"/>
      <c r="T269" s="2"/>
      <c r="U269" s="2" t="s">
        <v>72</v>
      </c>
      <c r="V269" s="2" t="s">
        <v>73</v>
      </c>
      <c r="W269" s="2" t="s">
        <v>464</v>
      </c>
      <c r="X269" s="2" t="s">
        <v>2754</v>
      </c>
      <c r="Y269" s="2" t="s">
        <v>44</v>
      </c>
      <c r="Z269" s="2"/>
      <c r="AA269" s="2" t="s">
        <v>45</v>
      </c>
      <c r="AB269" s="2" t="s">
        <v>46</v>
      </c>
      <c r="AC269" s="2" t="s">
        <v>45</v>
      </c>
      <c r="AE269" s="2" t="s">
        <v>48</v>
      </c>
      <c r="AF269" s="2" t="s">
        <v>49</v>
      </c>
      <c r="AG269" s="2">
        <v>100</v>
      </c>
      <c r="AH269" s="2">
        <v>90</v>
      </c>
      <c r="AJ269" s="2" t="s">
        <v>2756</v>
      </c>
      <c r="AK269" s="2"/>
      <c r="AL269" s="2"/>
      <c r="AM269" s="2" t="s">
        <v>52</v>
      </c>
    </row>
    <row r="270" spans="1:39" x14ac:dyDescent="0.45">
      <c r="A270" s="2" t="s">
        <v>2757</v>
      </c>
      <c r="B270" s="2"/>
      <c r="C270" s="2" t="s">
        <v>2759</v>
      </c>
      <c r="D270" s="2" t="s">
        <v>2761</v>
      </c>
      <c r="E270" s="25"/>
      <c r="F270" s="21"/>
      <c r="G270" s="42" t="s">
        <v>28000</v>
      </c>
      <c r="H270" s="2" t="s">
        <v>50</v>
      </c>
      <c r="I270" s="2" t="s">
        <v>2764</v>
      </c>
      <c r="J270" s="2" t="s">
        <v>2758</v>
      </c>
      <c r="K270" s="2" t="s">
        <v>2760</v>
      </c>
      <c r="L270" s="2" t="s">
        <v>2762</v>
      </c>
      <c r="M270" s="2" t="s">
        <v>2762</v>
      </c>
      <c r="N270" s="2" t="s">
        <v>536</v>
      </c>
      <c r="O270" s="2" t="s">
        <v>537</v>
      </c>
      <c r="P270" s="2" t="s">
        <v>1428</v>
      </c>
      <c r="Q270" s="2" t="s">
        <v>2760</v>
      </c>
      <c r="R270" s="2"/>
      <c r="S270" s="2"/>
      <c r="T270" s="2"/>
      <c r="U270" s="2" t="s">
        <v>536</v>
      </c>
      <c r="V270" s="2" t="s">
        <v>537</v>
      </c>
      <c r="W270" s="2" t="s">
        <v>1428</v>
      </c>
      <c r="X270" s="2" t="s">
        <v>2763</v>
      </c>
      <c r="Y270" s="2" t="s">
        <v>44</v>
      </c>
      <c r="Z270" s="2"/>
      <c r="AA270" s="2" t="s">
        <v>45</v>
      </c>
      <c r="AB270" s="2" t="s">
        <v>46</v>
      </c>
      <c r="AC270" s="2" t="s">
        <v>45</v>
      </c>
      <c r="AE270" s="2" t="s">
        <v>48</v>
      </c>
      <c r="AF270" s="2" t="s">
        <v>49</v>
      </c>
      <c r="AG270" s="2">
        <v>100</v>
      </c>
      <c r="AH270" s="2">
        <v>90</v>
      </c>
      <c r="AJ270" s="2" t="s">
        <v>2765</v>
      </c>
      <c r="AK270" s="2"/>
      <c r="AL270" s="2"/>
      <c r="AM270" s="2" t="s">
        <v>52</v>
      </c>
    </row>
    <row r="271" spans="1:39" x14ac:dyDescent="0.45">
      <c r="A271" s="2" t="s">
        <v>2766</v>
      </c>
      <c r="B271" s="2"/>
      <c r="C271" s="2" t="s">
        <v>2768</v>
      </c>
      <c r="D271" s="2" t="s">
        <v>2770</v>
      </c>
      <c r="E271" s="25"/>
      <c r="F271" s="21"/>
      <c r="G271" s="42" t="s">
        <v>28000</v>
      </c>
      <c r="H271" s="2" t="s">
        <v>50</v>
      </c>
      <c r="I271" s="2" t="s">
        <v>2773</v>
      </c>
      <c r="J271" s="2" t="s">
        <v>2767</v>
      </c>
      <c r="K271" s="2" t="s">
        <v>2769</v>
      </c>
      <c r="L271" s="2" t="s">
        <v>2771</v>
      </c>
      <c r="M271" s="2" t="s">
        <v>2771</v>
      </c>
      <c r="N271" s="2" t="s">
        <v>72</v>
      </c>
      <c r="O271" s="2" t="s">
        <v>73</v>
      </c>
      <c r="P271" s="2" t="s">
        <v>74</v>
      </c>
      <c r="Q271" s="2" t="s">
        <v>2769</v>
      </c>
      <c r="R271" s="2"/>
      <c r="S271" s="2"/>
      <c r="T271" s="2"/>
      <c r="U271" s="2" t="s">
        <v>72</v>
      </c>
      <c r="V271" s="2" t="s">
        <v>73</v>
      </c>
      <c r="W271" s="2" t="s">
        <v>74</v>
      </c>
      <c r="X271" s="2" t="s">
        <v>2772</v>
      </c>
      <c r="Y271" s="2" t="s">
        <v>44</v>
      </c>
      <c r="Z271" s="2"/>
      <c r="AA271" s="2" t="s">
        <v>45</v>
      </c>
      <c r="AB271" s="2" t="s">
        <v>46</v>
      </c>
      <c r="AC271" s="2" t="s">
        <v>45</v>
      </c>
      <c r="AE271" s="2" t="s">
        <v>48</v>
      </c>
      <c r="AF271" s="2" t="s">
        <v>49</v>
      </c>
      <c r="AG271" s="2">
        <v>100</v>
      </c>
      <c r="AH271" s="2">
        <v>90</v>
      </c>
      <c r="AJ271" s="2" t="s">
        <v>2774</v>
      </c>
      <c r="AK271" s="2"/>
      <c r="AL271" s="2"/>
      <c r="AM271" s="2" t="s">
        <v>52</v>
      </c>
    </row>
    <row r="272" spans="1:39" x14ac:dyDescent="0.45">
      <c r="A272" s="2" t="s">
        <v>2775</v>
      </c>
      <c r="B272" s="2"/>
      <c r="C272" s="2" t="s">
        <v>2777</v>
      </c>
      <c r="D272" s="2" t="s">
        <v>2779</v>
      </c>
      <c r="E272" s="25"/>
      <c r="F272" s="21"/>
      <c r="G272" s="42" t="s">
        <v>28000</v>
      </c>
      <c r="H272" s="2" t="s">
        <v>50</v>
      </c>
      <c r="I272" s="2" t="s">
        <v>2784</v>
      </c>
      <c r="J272" s="2" t="s">
        <v>2776</v>
      </c>
      <c r="K272" s="2" t="s">
        <v>2778</v>
      </c>
      <c r="L272" s="2" t="s">
        <v>2780</v>
      </c>
      <c r="M272" s="2"/>
      <c r="N272" s="2" t="s">
        <v>72</v>
      </c>
      <c r="O272" s="2" t="s">
        <v>73</v>
      </c>
      <c r="P272" s="2" t="s">
        <v>1164</v>
      </c>
      <c r="Q272" s="2" t="s">
        <v>2781</v>
      </c>
      <c r="R272" s="2"/>
      <c r="S272" s="2"/>
      <c r="T272" s="2"/>
      <c r="U272" s="2" t="s">
        <v>1115</v>
      </c>
      <c r="V272" s="2" t="s">
        <v>1112</v>
      </c>
      <c r="W272" s="2" t="s">
        <v>2782</v>
      </c>
      <c r="X272" s="2" t="s">
        <v>2783</v>
      </c>
      <c r="Y272" s="2" t="s">
        <v>44</v>
      </c>
      <c r="Z272" s="2"/>
      <c r="AA272" s="2" t="s">
        <v>45</v>
      </c>
      <c r="AB272" s="2" t="s">
        <v>46</v>
      </c>
      <c r="AC272" s="2" t="s">
        <v>45</v>
      </c>
      <c r="AE272" s="2" t="s">
        <v>48</v>
      </c>
      <c r="AF272" s="2" t="s">
        <v>49</v>
      </c>
      <c r="AG272" s="2">
        <v>100</v>
      </c>
      <c r="AH272" s="2">
        <v>90</v>
      </c>
      <c r="AJ272" s="2" t="s">
        <v>2785</v>
      </c>
      <c r="AK272" s="2"/>
      <c r="AL272" s="2"/>
      <c r="AM272" s="2" t="s">
        <v>52</v>
      </c>
    </row>
    <row r="273" spans="1:39" x14ac:dyDescent="0.45">
      <c r="A273" s="2" t="s">
        <v>2786</v>
      </c>
      <c r="B273" s="2"/>
      <c r="C273" s="2" t="s">
        <v>2788</v>
      </c>
      <c r="D273" s="2" t="s">
        <v>2790</v>
      </c>
      <c r="E273" s="25"/>
      <c r="F273" s="21"/>
      <c r="G273" s="42" t="s">
        <v>28000</v>
      </c>
      <c r="H273" s="2" t="s">
        <v>50</v>
      </c>
      <c r="I273" s="2" t="s">
        <v>2792</v>
      </c>
      <c r="J273" s="2" t="s">
        <v>2787</v>
      </c>
      <c r="K273" s="2" t="s">
        <v>2789</v>
      </c>
      <c r="L273" s="2" t="s">
        <v>2791</v>
      </c>
      <c r="M273" s="2"/>
      <c r="N273" s="2" t="s">
        <v>72</v>
      </c>
      <c r="O273" s="2" t="s">
        <v>73</v>
      </c>
      <c r="P273" s="2" t="s">
        <v>74</v>
      </c>
      <c r="Q273" s="2" t="s">
        <v>2789</v>
      </c>
      <c r="R273" s="2"/>
      <c r="S273" s="2"/>
      <c r="T273" s="2"/>
      <c r="U273" s="2" t="s">
        <v>72</v>
      </c>
      <c r="V273" s="2" t="s">
        <v>73</v>
      </c>
      <c r="W273" s="2" t="s">
        <v>74</v>
      </c>
      <c r="X273" s="2" t="s">
        <v>1251</v>
      </c>
      <c r="Y273" s="2" t="s">
        <v>44</v>
      </c>
      <c r="Z273" s="2"/>
      <c r="AA273" s="2" t="s">
        <v>45</v>
      </c>
      <c r="AB273" s="2" t="s">
        <v>46</v>
      </c>
      <c r="AC273" s="2" t="s">
        <v>45</v>
      </c>
      <c r="AE273" s="2" t="s">
        <v>48</v>
      </c>
      <c r="AF273" s="2" t="s">
        <v>49</v>
      </c>
      <c r="AG273" s="2">
        <v>100</v>
      </c>
      <c r="AH273" s="2">
        <v>90</v>
      </c>
      <c r="AJ273" s="2" t="s">
        <v>2793</v>
      </c>
      <c r="AK273" s="2"/>
      <c r="AL273" s="2"/>
      <c r="AM273" s="2" t="s">
        <v>52</v>
      </c>
    </row>
    <row r="274" spans="1:39" x14ac:dyDescent="0.45">
      <c r="A274" s="2" t="s">
        <v>2794</v>
      </c>
      <c r="B274" s="2"/>
      <c r="C274" s="2" t="s">
        <v>2796</v>
      </c>
      <c r="D274" s="2" t="s">
        <v>2798</v>
      </c>
      <c r="E274" s="25"/>
      <c r="F274" s="21"/>
      <c r="G274" s="42" t="s">
        <v>28000</v>
      </c>
      <c r="H274" s="2" t="s">
        <v>50</v>
      </c>
      <c r="I274" s="2" t="s">
        <v>2803</v>
      </c>
      <c r="J274" s="2" t="s">
        <v>2795</v>
      </c>
      <c r="K274" s="2" t="s">
        <v>2797</v>
      </c>
      <c r="L274" s="2" t="s">
        <v>2799</v>
      </c>
      <c r="M274" s="2"/>
      <c r="N274" s="2" t="s">
        <v>72</v>
      </c>
      <c r="O274" s="2" t="s">
        <v>73</v>
      </c>
      <c r="P274" s="2" t="s">
        <v>2800</v>
      </c>
      <c r="Q274" s="2" t="s">
        <v>2801</v>
      </c>
      <c r="R274" s="2"/>
      <c r="S274" s="2"/>
      <c r="T274" s="2"/>
      <c r="U274" s="2" t="s">
        <v>72</v>
      </c>
      <c r="V274" s="2" t="s">
        <v>73</v>
      </c>
      <c r="W274" s="2" t="s">
        <v>162</v>
      </c>
      <c r="X274" s="2" t="s">
        <v>2802</v>
      </c>
      <c r="Y274" s="2" t="s">
        <v>44</v>
      </c>
      <c r="Z274" s="2"/>
      <c r="AA274" s="2" t="s">
        <v>45</v>
      </c>
      <c r="AB274" s="2" t="s">
        <v>46</v>
      </c>
      <c r="AC274" s="2" t="s">
        <v>45</v>
      </c>
      <c r="AE274" s="2" t="s">
        <v>48</v>
      </c>
      <c r="AF274" s="2" t="s">
        <v>49</v>
      </c>
      <c r="AG274" s="2">
        <v>100</v>
      </c>
      <c r="AH274" s="2">
        <v>90</v>
      </c>
      <c r="AJ274" s="2" t="s">
        <v>2804</v>
      </c>
      <c r="AK274" s="2"/>
      <c r="AL274" s="2"/>
      <c r="AM274" s="2" t="s">
        <v>52</v>
      </c>
    </row>
    <row r="275" spans="1:39" x14ac:dyDescent="0.45">
      <c r="A275" s="2" t="s">
        <v>2805</v>
      </c>
      <c r="B275" s="2"/>
      <c r="C275" s="2" t="s">
        <v>2807</v>
      </c>
      <c r="D275" s="2" t="s">
        <v>2809</v>
      </c>
      <c r="E275" s="25"/>
      <c r="F275" s="21"/>
      <c r="G275" s="42" t="s">
        <v>28000</v>
      </c>
      <c r="H275" s="2" t="s">
        <v>50</v>
      </c>
      <c r="I275" s="2" t="s">
        <v>2812</v>
      </c>
      <c r="J275" s="2" t="s">
        <v>2806</v>
      </c>
      <c r="K275" s="2" t="s">
        <v>2808</v>
      </c>
      <c r="L275" s="2" t="s">
        <v>2810</v>
      </c>
      <c r="M275" s="2" t="s">
        <v>2810</v>
      </c>
      <c r="N275" s="2" t="s">
        <v>174</v>
      </c>
      <c r="O275" s="2" t="s">
        <v>175</v>
      </c>
      <c r="P275" s="2" t="s">
        <v>176</v>
      </c>
      <c r="Q275" s="2" t="s">
        <v>2808</v>
      </c>
      <c r="R275" s="2"/>
      <c r="S275" s="2"/>
      <c r="T275" s="2"/>
      <c r="U275" s="2" t="s">
        <v>174</v>
      </c>
      <c r="V275" s="2" t="s">
        <v>175</v>
      </c>
      <c r="W275" s="2" t="s">
        <v>176</v>
      </c>
      <c r="X275" s="2" t="s">
        <v>2811</v>
      </c>
      <c r="Y275" s="2" t="s">
        <v>44</v>
      </c>
      <c r="Z275" s="2"/>
      <c r="AA275" s="2" t="s">
        <v>45</v>
      </c>
      <c r="AB275" s="2" t="s">
        <v>46</v>
      </c>
      <c r="AC275" s="2" t="s">
        <v>45</v>
      </c>
      <c r="AE275" s="2" t="s">
        <v>48</v>
      </c>
      <c r="AF275" s="2" t="s">
        <v>49</v>
      </c>
      <c r="AG275" s="2">
        <v>100</v>
      </c>
      <c r="AH275" s="2">
        <v>90</v>
      </c>
      <c r="AJ275" s="2" t="s">
        <v>2813</v>
      </c>
      <c r="AK275" s="2"/>
      <c r="AL275" s="2"/>
      <c r="AM275" s="2" t="s">
        <v>52</v>
      </c>
    </row>
    <row r="276" spans="1:39" x14ac:dyDescent="0.45">
      <c r="A276" s="2" t="s">
        <v>2814</v>
      </c>
      <c r="B276" s="2"/>
      <c r="C276" s="2" t="s">
        <v>2816</v>
      </c>
      <c r="D276" s="2" t="s">
        <v>2818</v>
      </c>
      <c r="E276" s="25"/>
      <c r="F276" s="21"/>
      <c r="G276" s="42" t="s">
        <v>28000</v>
      </c>
      <c r="H276" s="2" t="s">
        <v>50</v>
      </c>
      <c r="I276" s="2" t="s">
        <v>2821</v>
      </c>
      <c r="J276" s="2" t="s">
        <v>2815</v>
      </c>
      <c r="K276" s="2" t="s">
        <v>2817</v>
      </c>
      <c r="L276" s="2" t="s">
        <v>2819</v>
      </c>
      <c r="M276" s="2" t="s">
        <v>2819</v>
      </c>
      <c r="N276" s="2" t="s">
        <v>174</v>
      </c>
      <c r="O276" s="2" t="s">
        <v>175</v>
      </c>
      <c r="P276" s="2" t="s">
        <v>1316</v>
      </c>
      <c r="Q276" s="2" t="s">
        <v>2817</v>
      </c>
      <c r="R276" s="2"/>
      <c r="S276" s="2"/>
      <c r="T276" s="2"/>
      <c r="U276" s="2" t="s">
        <v>174</v>
      </c>
      <c r="V276" s="2" t="s">
        <v>175</v>
      </c>
      <c r="W276" s="2" t="s">
        <v>1316</v>
      </c>
      <c r="X276" s="2" t="s">
        <v>2820</v>
      </c>
      <c r="Y276" s="2" t="s">
        <v>44</v>
      </c>
      <c r="Z276" s="2"/>
      <c r="AA276" s="2" t="s">
        <v>45</v>
      </c>
      <c r="AB276" s="2" t="s">
        <v>46</v>
      </c>
      <c r="AC276" s="2" t="s">
        <v>45</v>
      </c>
      <c r="AE276" s="2" t="s">
        <v>48</v>
      </c>
      <c r="AF276" s="2" t="s">
        <v>49</v>
      </c>
      <c r="AG276" s="2">
        <v>100</v>
      </c>
      <c r="AH276" s="2">
        <v>90</v>
      </c>
      <c r="AJ276" s="2" t="s">
        <v>2822</v>
      </c>
      <c r="AK276" s="2"/>
      <c r="AL276" s="2"/>
      <c r="AM276" s="2" t="s">
        <v>52</v>
      </c>
    </row>
    <row r="277" spans="1:39" x14ac:dyDescent="0.45">
      <c r="A277" s="2" t="s">
        <v>2823</v>
      </c>
      <c r="B277" s="2"/>
      <c r="C277" s="2" t="s">
        <v>2825</v>
      </c>
      <c r="D277" s="2" t="s">
        <v>2827</v>
      </c>
      <c r="E277" s="25"/>
      <c r="F277" s="21"/>
      <c r="G277" s="42" t="s">
        <v>28000</v>
      </c>
      <c r="H277" s="2" t="s">
        <v>50</v>
      </c>
      <c r="I277" s="2" t="s">
        <v>2830</v>
      </c>
      <c r="J277" s="2" t="s">
        <v>2824</v>
      </c>
      <c r="K277" s="2" t="s">
        <v>2826</v>
      </c>
      <c r="L277" s="2" t="s">
        <v>2828</v>
      </c>
      <c r="M277" s="2" t="s">
        <v>2828</v>
      </c>
      <c r="N277" s="2" t="s">
        <v>72</v>
      </c>
      <c r="O277" s="2" t="s">
        <v>73</v>
      </c>
      <c r="P277" s="2" t="s">
        <v>98</v>
      </c>
      <c r="Q277" s="2" t="s">
        <v>2826</v>
      </c>
      <c r="R277" s="2"/>
      <c r="S277" s="2"/>
      <c r="T277" s="2"/>
      <c r="U277" s="2" t="s">
        <v>72</v>
      </c>
      <c r="V277" s="2" t="s">
        <v>73</v>
      </c>
      <c r="W277" s="2" t="s">
        <v>98</v>
      </c>
      <c r="X277" s="2" t="s">
        <v>2829</v>
      </c>
      <c r="Y277" s="2" t="s">
        <v>44</v>
      </c>
      <c r="Z277" s="2"/>
      <c r="AA277" s="2" t="s">
        <v>45</v>
      </c>
      <c r="AB277" s="2" t="s">
        <v>46</v>
      </c>
      <c r="AC277" s="2" t="s">
        <v>45</v>
      </c>
      <c r="AE277" s="2" t="s">
        <v>48</v>
      </c>
      <c r="AF277" s="2" t="s">
        <v>49</v>
      </c>
      <c r="AG277" s="2">
        <v>100</v>
      </c>
      <c r="AH277" s="2">
        <v>90</v>
      </c>
      <c r="AJ277" s="2" t="s">
        <v>2831</v>
      </c>
      <c r="AK277" s="2"/>
      <c r="AL277" s="2"/>
      <c r="AM277" s="2" t="s">
        <v>52</v>
      </c>
    </row>
    <row r="278" spans="1:39" x14ac:dyDescent="0.45">
      <c r="A278" s="2" t="s">
        <v>2832</v>
      </c>
      <c r="B278" s="2"/>
      <c r="C278" s="2" t="s">
        <v>2834</v>
      </c>
      <c r="D278" s="2" t="s">
        <v>2836</v>
      </c>
      <c r="E278" s="25"/>
      <c r="F278" s="21"/>
      <c r="G278" s="42" t="s">
        <v>28000</v>
      </c>
      <c r="H278" s="2" t="s">
        <v>50</v>
      </c>
      <c r="I278" s="2" t="s">
        <v>2839</v>
      </c>
      <c r="J278" s="2" t="s">
        <v>2833</v>
      </c>
      <c r="K278" s="2" t="s">
        <v>2835</v>
      </c>
      <c r="L278" s="2" t="s">
        <v>2837</v>
      </c>
      <c r="M278" s="2" t="s">
        <v>2837</v>
      </c>
      <c r="N278" s="2" t="s">
        <v>72</v>
      </c>
      <c r="O278" s="2" t="s">
        <v>73</v>
      </c>
      <c r="P278" s="2" t="s">
        <v>722</v>
      </c>
      <c r="Q278" s="2" t="s">
        <v>2835</v>
      </c>
      <c r="R278" s="2"/>
      <c r="S278" s="2"/>
      <c r="T278" s="2"/>
      <c r="U278" s="2" t="s">
        <v>72</v>
      </c>
      <c r="V278" s="2" t="s">
        <v>73</v>
      </c>
      <c r="W278" s="2" t="s">
        <v>722</v>
      </c>
      <c r="X278" s="2" t="s">
        <v>2838</v>
      </c>
      <c r="Y278" s="2" t="s">
        <v>44</v>
      </c>
      <c r="Z278" s="2"/>
      <c r="AA278" s="2" t="s">
        <v>45</v>
      </c>
      <c r="AB278" s="2" t="s">
        <v>46</v>
      </c>
      <c r="AC278" s="2" t="s">
        <v>45</v>
      </c>
      <c r="AE278" s="2" t="s">
        <v>48</v>
      </c>
      <c r="AF278" s="2" t="s">
        <v>49</v>
      </c>
      <c r="AG278" s="2">
        <v>100</v>
      </c>
      <c r="AH278" s="2">
        <v>90</v>
      </c>
      <c r="AJ278" s="2" t="s">
        <v>2840</v>
      </c>
      <c r="AK278" s="2"/>
      <c r="AL278" s="2"/>
      <c r="AM278" s="2" t="s">
        <v>52</v>
      </c>
    </row>
    <row r="279" spans="1:39" x14ac:dyDescent="0.45">
      <c r="A279" s="2" t="s">
        <v>2841</v>
      </c>
      <c r="B279" s="2"/>
      <c r="C279" s="2" t="s">
        <v>2843</v>
      </c>
      <c r="D279" s="2" t="s">
        <v>2845</v>
      </c>
      <c r="E279" s="25"/>
      <c r="F279" s="21"/>
      <c r="G279" s="42" t="s">
        <v>28000</v>
      </c>
      <c r="H279" s="2" t="s">
        <v>50</v>
      </c>
      <c r="I279" s="2" t="s">
        <v>2849</v>
      </c>
      <c r="J279" s="2" t="s">
        <v>2842</v>
      </c>
      <c r="K279" s="2" t="s">
        <v>2844</v>
      </c>
      <c r="L279" s="2" t="s">
        <v>2846</v>
      </c>
      <c r="M279" s="2"/>
      <c r="N279" s="2" t="s">
        <v>651</v>
      </c>
      <c r="O279" s="2" t="s">
        <v>86</v>
      </c>
      <c r="P279" s="2" t="s">
        <v>87</v>
      </c>
      <c r="Q279" s="2" t="s">
        <v>2847</v>
      </c>
      <c r="R279" s="2"/>
      <c r="S279" s="2"/>
      <c r="T279" s="2"/>
      <c r="U279" s="2" t="s">
        <v>1188</v>
      </c>
      <c r="V279" s="2" t="s">
        <v>221</v>
      </c>
      <c r="W279" s="2" t="s">
        <v>1189</v>
      </c>
      <c r="X279" s="2" t="s">
        <v>2848</v>
      </c>
      <c r="Y279" s="2" t="s">
        <v>44</v>
      </c>
      <c r="Z279" s="2"/>
      <c r="AA279" s="2" t="s">
        <v>45</v>
      </c>
      <c r="AB279" s="2" t="s">
        <v>46</v>
      </c>
      <c r="AC279" s="2" t="s">
        <v>45</v>
      </c>
      <c r="AE279" s="2" t="s">
        <v>48</v>
      </c>
      <c r="AF279" s="2" t="s">
        <v>49</v>
      </c>
      <c r="AG279" s="2">
        <v>100</v>
      </c>
      <c r="AH279" s="2">
        <v>90</v>
      </c>
      <c r="AJ279" s="2" t="s">
        <v>2850</v>
      </c>
      <c r="AK279" s="2"/>
      <c r="AL279" s="2"/>
      <c r="AM279" s="2" t="s">
        <v>52</v>
      </c>
    </row>
    <row r="280" spans="1:39" x14ac:dyDescent="0.45">
      <c r="A280" s="2" t="s">
        <v>2851</v>
      </c>
      <c r="B280" s="2"/>
      <c r="C280" s="2" t="s">
        <v>2853</v>
      </c>
      <c r="D280" s="2" t="s">
        <v>2855</v>
      </c>
      <c r="E280" s="25"/>
      <c r="F280" s="21"/>
      <c r="G280" s="42" t="s">
        <v>28000</v>
      </c>
      <c r="H280" s="2" t="s">
        <v>50</v>
      </c>
      <c r="I280" s="2" t="s">
        <v>2858</v>
      </c>
      <c r="J280" s="2" t="s">
        <v>2852</v>
      </c>
      <c r="K280" s="2" t="s">
        <v>2854</v>
      </c>
      <c r="L280" s="2" t="s">
        <v>2856</v>
      </c>
      <c r="M280" s="2" t="s">
        <v>2856</v>
      </c>
      <c r="N280" s="2" t="s">
        <v>72</v>
      </c>
      <c r="O280" s="2" t="s">
        <v>73</v>
      </c>
      <c r="P280" s="2" t="s">
        <v>98</v>
      </c>
      <c r="Q280" s="2" t="s">
        <v>2854</v>
      </c>
      <c r="R280" s="2"/>
      <c r="S280" s="2"/>
      <c r="T280" s="2"/>
      <c r="U280" s="2" t="s">
        <v>72</v>
      </c>
      <c r="V280" s="2" t="s">
        <v>73</v>
      </c>
      <c r="W280" s="2" t="s">
        <v>98</v>
      </c>
      <c r="X280" s="2" t="s">
        <v>2857</v>
      </c>
      <c r="Y280" s="2" t="s">
        <v>44</v>
      </c>
      <c r="Z280" s="2"/>
      <c r="AA280" s="2" t="s">
        <v>45</v>
      </c>
      <c r="AB280" s="2" t="s">
        <v>46</v>
      </c>
      <c r="AC280" s="2" t="s">
        <v>45</v>
      </c>
      <c r="AE280" s="2" t="s">
        <v>48</v>
      </c>
      <c r="AF280" s="2" t="s">
        <v>49</v>
      </c>
      <c r="AG280" s="2">
        <v>100</v>
      </c>
      <c r="AH280" s="2">
        <v>90</v>
      </c>
      <c r="AJ280" s="2" t="s">
        <v>2859</v>
      </c>
      <c r="AK280" s="2"/>
      <c r="AL280" s="2"/>
      <c r="AM280" s="2" t="s">
        <v>52</v>
      </c>
    </row>
    <row r="281" spans="1:39" x14ac:dyDescent="0.45">
      <c r="A281" s="2" t="s">
        <v>2860</v>
      </c>
      <c r="B281" s="2"/>
      <c r="C281" s="2" t="s">
        <v>2862</v>
      </c>
      <c r="D281" s="2" t="s">
        <v>2864</v>
      </c>
      <c r="E281" s="25"/>
      <c r="F281" s="21"/>
      <c r="G281" s="42" t="s">
        <v>28000</v>
      </c>
      <c r="H281" s="2" t="s">
        <v>50</v>
      </c>
      <c r="I281" s="2" t="s">
        <v>2867</v>
      </c>
      <c r="J281" s="2" t="s">
        <v>2861</v>
      </c>
      <c r="K281" s="2" t="s">
        <v>2863</v>
      </c>
      <c r="L281" s="2" t="s">
        <v>2865</v>
      </c>
      <c r="M281" s="2" t="s">
        <v>2865</v>
      </c>
      <c r="N281" s="2" t="s">
        <v>72</v>
      </c>
      <c r="O281" s="2" t="s">
        <v>73</v>
      </c>
      <c r="P281" s="2" t="s">
        <v>1568</v>
      </c>
      <c r="Q281" s="2" t="s">
        <v>2866</v>
      </c>
      <c r="R281" s="2"/>
      <c r="S281" s="2"/>
      <c r="T281" s="2"/>
      <c r="U281" s="2" t="s">
        <v>72</v>
      </c>
      <c r="V281" s="2" t="s">
        <v>73</v>
      </c>
      <c r="W281" s="2" t="s">
        <v>1568</v>
      </c>
      <c r="X281" s="2" t="s">
        <v>1014</v>
      </c>
      <c r="Y281" s="2" t="s">
        <v>44</v>
      </c>
      <c r="Z281" s="2"/>
      <c r="AA281" s="2" t="s">
        <v>45</v>
      </c>
      <c r="AB281" s="2" t="s">
        <v>46</v>
      </c>
      <c r="AC281" s="2" t="s">
        <v>45</v>
      </c>
      <c r="AE281" s="2" t="s">
        <v>48</v>
      </c>
      <c r="AF281" s="2" t="s">
        <v>49</v>
      </c>
      <c r="AG281" s="2">
        <v>100</v>
      </c>
      <c r="AH281" s="2">
        <v>90</v>
      </c>
      <c r="AJ281" s="2" t="s">
        <v>2868</v>
      </c>
      <c r="AK281" s="2"/>
      <c r="AL281" s="2"/>
      <c r="AM281" s="2" t="s">
        <v>52</v>
      </c>
    </row>
    <row r="282" spans="1:39" x14ac:dyDescent="0.45">
      <c r="A282" s="2" t="s">
        <v>2869</v>
      </c>
      <c r="B282" s="2"/>
      <c r="C282" s="2" t="s">
        <v>2871</v>
      </c>
      <c r="D282" s="2" t="s">
        <v>2873</v>
      </c>
      <c r="E282" s="25"/>
      <c r="F282" s="21"/>
      <c r="G282" s="42" t="s">
        <v>28000</v>
      </c>
      <c r="H282" s="2" t="s">
        <v>50</v>
      </c>
      <c r="I282" s="2" t="s">
        <v>2876</v>
      </c>
      <c r="J282" s="2" t="s">
        <v>2870</v>
      </c>
      <c r="K282" s="2" t="s">
        <v>2872</v>
      </c>
      <c r="L282" s="2" t="s">
        <v>2874</v>
      </c>
      <c r="M282" s="2" t="s">
        <v>2874</v>
      </c>
      <c r="N282" s="2" t="s">
        <v>59</v>
      </c>
      <c r="O282" s="2" t="s">
        <v>60</v>
      </c>
      <c r="P282" s="2" t="s">
        <v>992</v>
      </c>
      <c r="Q282" s="2" t="s">
        <v>2872</v>
      </c>
      <c r="R282" s="2"/>
      <c r="S282" s="2"/>
      <c r="T282" s="2"/>
      <c r="U282" s="2" t="s">
        <v>59</v>
      </c>
      <c r="V282" s="2" t="s">
        <v>60</v>
      </c>
      <c r="W282" s="2" t="s">
        <v>992</v>
      </c>
      <c r="X282" s="2" t="s">
        <v>2875</v>
      </c>
      <c r="Y282" s="2" t="s">
        <v>44</v>
      </c>
      <c r="Z282" s="2"/>
      <c r="AA282" s="2" t="s">
        <v>45</v>
      </c>
      <c r="AB282" s="2" t="s">
        <v>46</v>
      </c>
      <c r="AC282" s="2" t="s">
        <v>45</v>
      </c>
      <c r="AE282" s="2" t="s">
        <v>48</v>
      </c>
      <c r="AF282" s="2" t="s">
        <v>49</v>
      </c>
      <c r="AG282" s="2">
        <v>100</v>
      </c>
      <c r="AH282" s="2">
        <v>90</v>
      </c>
      <c r="AJ282" s="2" t="s">
        <v>2877</v>
      </c>
      <c r="AK282" s="2"/>
      <c r="AL282" s="2"/>
      <c r="AM282" s="2" t="s">
        <v>52</v>
      </c>
    </row>
    <row r="283" spans="1:39" x14ac:dyDescent="0.45">
      <c r="A283" s="2" t="s">
        <v>2878</v>
      </c>
      <c r="B283" s="2"/>
      <c r="C283" s="2" t="s">
        <v>2880</v>
      </c>
      <c r="D283" s="2" t="s">
        <v>2882</v>
      </c>
      <c r="E283" s="25"/>
      <c r="F283" s="21"/>
      <c r="G283" s="42" t="s">
        <v>28000</v>
      </c>
      <c r="H283" s="2" t="s">
        <v>50</v>
      </c>
      <c r="I283" s="2" t="s">
        <v>2886</v>
      </c>
      <c r="J283" s="2" t="s">
        <v>2879</v>
      </c>
      <c r="K283" s="2" t="s">
        <v>2881</v>
      </c>
      <c r="L283" s="2" t="s">
        <v>2883</v>
      </c>
      <c r="M283" s="2" t="s">
        <v>2883</v>
      </c>
      <c r="N283" s="2" t="s">
        <v>72</v>
      </c>
      <c r="O283" s="2" t="s">
        <v>73</v>
      </c>
      <c r="P283" s="2" t="s">
        <v>187</v>
      </c>
      <c r="Q283" s="2" t="s">
        <v>2884</v>
      </c>
      <c r="R283" s="2"/>
      <c r="S283" s="2"/>
      <c r="T283" s="2"/>
      <c r="U283" s="2" t="s">
        <v>72</v>
      </c>
      <c r="V283" s="2" t="s">
        <v>73</v>
      </c>
      <c r="W283" s="2" t="s">
        <v>98</v>
      </c>
      <c r="X283" s="2" t="s">
        <v>2885</v>
      </c>
      <c r="Y283" s="2" t="s">
        <v>44</v>
      </c>
      <c r="Z283" s="2"/>
      <c r="AA283" s="2" t="s">
        <v>45</v>
      </c>
      <c r="AB283" s="2" t="s">
        <v>46</v>
      </c>
      <c r="AC283" s="2" t="s">
        <v>45</v>
      </c>
      <c r="AE283" s="2" t="s">
        <v>48</v>
      </c>
      <c r="AF283" s="2" t="s">
        <v>49</v>
      </c>
      <c r="AG283" s="2">
        <v>100</v>
      </c>
      <c r="AH283" s="2">
        <v>90</v>
      </c>
      <c r="AJ283" s="2" t="s">
        <v>2887</v>
      </c>
      <c r="AK283" s="2"/>
      <c r="AL283" s="2"/>
      <c r="AM283" s="2" t="s">
        <v>52</v>
      </c>
    </row>
    <row r="284" spans="1:39" x14ac:dyDescent="0.45">
      <c r="A284" s="2" t="s">
        <v>2888</v>
      </c>
      <c r="B284" s="2"/>
      <c r="C284" s="2" t="s">
        <v>2890</v>
      </c>
      <c r="D284" s="2" t="s">
        <v>2892</v>
      </c>
      <c r="E284" s="25"/>
      <c r="F284" s="21"/>
      <c r="G284" s="42" t="s">
        <v>28000</v>
      </c>
      <c r="H284" s="2" t="s">
        <v>50</v>
      </c>
      <c r="I284" s="2" t="s">
        <v>2896</v>
      </c>
      <c r="J284" s="2" t="s">
        <v>2889</v>
      </c>
      <c r="K284" s="2" t="s">
        <v>2891</v>
      </c>
      <c r="L284" s="2" t="s">
        <v>2893</v>
      </c>
      <c r="M284" s="2" t="s">
        <v>2893</v>
      </c>
      <c r="N284" s="2" t="s">
        <v>72</v>
      </c>
      <c r="O284" s="2" t="s">
        <v>73</v>
      </c>
      <c r="P284" s="2" t="s">
        <v>913</v>
      </c>
      <c r="Q284" s="2" t="s">
        <v>2894</v>
      </c>
      <c r="R284" s="2"/>
      <c r="S284" s="2"/>
      <c r="T284" s="2"/>
      <c r="U284" s="2" t="s">
        <v>72</v>
      </c>
      <c r="V284" s="2" t="s">
        <v>73</v>
      </c>
      <c r="W284" s="2" t="s">
        <v>913</v>
      </c>
      <c r="X284" s="2" t="s">
        <v>2895</v>
      </c>
      <c r="Y284" s="2" t="s">
        <v>44</v>
      </c>
      <c r="Z284" s="2"/>
      <c r="AA284" s="2" t="s">
        <v>45</v>
      </c>
      <c r="AB284" s="2" t="s">
        <v>46</v>
      </c>
      <c r="AC284" s="2" t="s">
        <v>45</v>
      </c>
      <c r="AE284" s="2" t="s">
        <v>48</v>
      </c>
      <c r="AF284" s="2" t="s">
        <v>49</v>
      </c>
      <c r="AG284" s="2">
        <v>100</v>
      </c>
      <c r="AH284" s="2">
        <v>90</v>
      </c>
      <c r="AJ284" s="2" t="s">
        <v>2897</v>
      </c>
      <c r="AK284" s="2"/>
      <c r="AL284" s="2"/>
      <c r="AM284" s="2" t="s">
        <v>52</v>
      </c>
    </row>
    <row r="285" spans="1:39" x14ac:dyDescent="0.45">
      <c r="A285" s="2" t="s">
        <v>2898</v>
      </c>
      <c r="B285" s="2"/>
      <c r="C285" s="2" t="s">
        <v>2900</v>
      </c>
      <c r="D285" s="2" t="s">
        <v>2902</v>
      </c>
      <c r="E285" s="25"/>
      <c r="F285" s="21"/>
      <c r="G285" s="42" t="s">
        <v>28000</v>
      </c>
      <c r="H285" s="2" t="s">
        <v>50</v>
      </c>
      <c r="I285" s="2" t="s">
        <v>2906</v>
      </c>
      <c r="J285" s="2" t="s">
        <v>2899</v>
      </c>
      <c r="K285" s="2" t="s">
        <v>2901</v>
      </c>
      <c r="L285" s="2" t="s">
        <v>2903</v>
      </c>
      <c r="M285" s="2"/>
      <c r="N285" s="2" t="s">
        <v>72</v>
      </c>
      <c r="O285" s="2" t="s">
        <v>73</v>
      </c>
      <c r="P285" s="2" t="s">
        <v>913</v>
      </c>
      <c r="Q285" s="2" t="s">
        <v>2904</v>
      </c>
      <c r="R285" s="2"/>
      <c r="S285" s="2"/>
      <c r="T285" s="2"/>
      <c r="U285" s="2" t="s">
        <v>72</v>
      </c>
      <c r="V285" s="2" t="s">
        <v>73</v>
      </c>
      <c r="W285" s="2" t="s">
        <v>98</v>
      </c>
      <c r="X285" s="2" t="s">
        <v>2905</v>
      </c>
      <c r="Y285" s="2" t="s">
        <v>44</v>
      </c>
      <c r="Z285" s="2"/>
      <c r="AA285" s="2" t="s">
        <v>45</v>
      </c>
      <c r="AB285" s="2" t="s">
        <v>46</v>
      </c>
      <c r="AC285" s="2" t="s">
        <v>45</v>
      </c>
      <c r="AE285" s="2" t="s">
        <v>48</v>
      </c>
      <c r="AF285" s="2" t="s">
        <v>49</v>
      </c>
      <c r="AG285" s="2">
        <v>100</v>
      </c>
      <c r="AH285" s="2">
        <v>90</v>
      </c>
      <c r="AJ285" s="2" t="s">
        <v>2907</v>
      </c>
      <c r="AK285" s="2"/>
      <c r="AL285" s="2"/>
      <c r="AM285" s="2" t="s">
        <v>52</v>
      </c>
    </row>
    <row r="286" spans="1:39" x14ac:dyDescent="0.45">
      <c r="A286" s="2" t="s">
        <v>2908</v>
      </c>
      <c r="B286" s="2"/>
      <c r="C286" s="2" t="s">
        <v>2910</v>
      </c>
      <c r="D286" s="2" t="s">
        <v>2912</v>
      </c>
      <c r="E286" s="25"/>
      <c r="F286" s="21"/>
      <c r="G286" s="42" t="s">
        <v>28000</v>
      </c>
      <c r="H286" s="2" t="s">
        <v>50</v>
      </c>
      <c r="I286" s="2" t="s">
        <v>2914</v>
      </c>
      <c r="J286" s="2" t="s">
        <v>2909</v>
      </c>
      <c r="K286" s="2" t="s">
        <v>2911</v>
      </c>
      <c r="L286" s="2" t="s">
        <v>2913</v>
      </c>
      <c r="M286" s="2"/>
      <c r="N286" s="2" t="s">
        <v>59</v>
      </c>
      <c r="O286" s="2" t="s">
        <v>60</v>
      </c>
      <c r="P286" s="2" t="s">
        <v>151</v>
      </c>
      <c r="Q286" s="2" t="s">
        <v>2911</v>
      </c>
      <c r="R286" s="2"/>
      <c r="S286" s="2"/>
      <c r="T286" s="2"/>
      <c r="U286" s="2" t="s">
        <v>59</v>
      </c>
      <c r="V286" s="2" t="s">
        <v>60</v>
      </c>
      <c r="W286" s="2" t="s">
        <v>151</v>
      </c>
      <c r="X286" s="2" t="s">
        <v>2905</v>
      </c>
      <c r="Y286" s="2" t="s">
        <v>44</v>
      </c>
      <c r="Z286" s="2"/>
      <c r="AA286" s="2" t="s">
        <v>45</v>
      </c>
      <c r="AB286" s="2" t="s">
        <v>46</v>
      </c>
      <c r="AC286" s="2" t="s">
        <v>45</v>
      </c>
      <c r="AE286" s="2" t="s">
        <v>48</v>
      </c>
      <c r="AF286" s="2" t="s">
        <v>49</v>
      </c>
      <c r="AG286" s="2">
        <v>100</v>
      </c>
      <c r="AH286" s="2">
        <v>90</v>
      </c>
      <c r="AJ286" s="2" t="s">
        <v>2915</v>
      </c>
      <c r="AK286" s="2"/>
      <c r="AL286" s="2"/>
      <c r="AM286" s="2" t="s">
        <v>52</v>
      </c>
    </row>
    <row r="287" spans="1:39" x14ac:dyDescent="0.45">
      <c r="A287" s="2" t="s">
        <v>2916</v>
      </c>
      <c r="B287" s="2"/>
      <c r="C287" s="2" t="s">
        <v>2918</v>
      </c>
      <c r="D287" s="2" t="s">
        <v>2920</v>
      </c>
      <c r="E287" s="25"/>
      <c r="F287" s="21"/>
      <c r="G287" s="42" t="s">
        <v>28000</v>
      </c>
      <c r="H287" s="2" t="s">
        <v>50</v>
      </c>
      <c r="I287" s="2" t="s">
        <v>2923</v>
      </c>
      <c r="J287" s="2" t="s">
        <v>2917</v>
      </c>
      <c r="K287" s="2" t="s">
        <v>2919</v>
      </c>
      <c r="L287" s="2" t="s">
        <v>2921</v>
      </c>
      <c r="M287" s="2" t="s">
        <v>2921</v>
      </c>
      <c r="N287" s="2" t="s">
        <v>72</v>
      </c>
      <c r="O287" s="2" t="s">
        <v>73</v>
      </c>
      <c r="P287" s="2" t="s">
        <v>197</v>
      </c>
      <c r="Q287" s="2" t="s">
        <v>2919</v>
      </c>
      <c r="R287" s="2"/>
      <c r="S287" s="2"/>
      <c r="T287" s="2"/>
      <c r="U287" s="2" t="s">
        <v>72</v>
      </c>
      <c r="V287" s="2" t="s">
        <v>73</v>
      </c>
      <c r="W287" s="2" t="s">
        <v>197</v>
      </c>
      <c r="X287" s="2" t="s">
        <v>2922</v>
      </c>
      <c r="Y287" s="2" t="s">
        <v>44</v>
      </c>
      <c r="Z287" s="2"/>
      <c r="AA287" s="2" t="s">
        <v>45</v>
      </c>
      <c r="AB287" s="2" t="s">
        <v>46</v>
      </c>
      <c r="AC287" s="2" t="s">
        <v>45</v>
      </c>
      <c r="AE287" s="2" t="s">
        <v>48</v>
      </c>
      <c r="AF287" s="2" t="s">
        <v>49</v>
      </c>
      <c r="AG287" s="2">
        <v>100</v>
      </c>
      <c r="AH287" s="2">
        <v>90</v>
      </c>
      <c r="AJ287" s="2" t="s">
        <v>2924</v>
      </c>
      <c r="AK287" s="2"/>
      <c r="AL287" s="2"/>
      <c r="AM287" s="2" t="s">
        <v>52</v>
      </c>
    </row>
    <row r="288" spans="1:39" x14ac:dyDescent="0.45">
      <c r="A288" s="2" t="s">
        <v>2925</v>
      </c>
      <c r="B288" s="2"/>
      <c r="C288" s="2" t="s">
        <v>2927</v>
      </c>
      <c r="D288" s="2" t="s">
        <v>2929</v>
      </c>
      <c r="E288" s="25"/>
      <c r="F288" s="21"/>
      <c r="G288" s="42" t="s">
        <v>28000</v>
      </c>
      <c r="H288" s="2" t="s">
        <v>50</v>
      </c>
      <c r="I288" s="2" t="s">
        <v>2934</v>
      </c>
      <c r="J288" s="2" t="s">
        <v>2926</v>
      </c>
      <c r="K288" s="2" t="s">
        <v>2928</v>
      </c>
      <c r="L288" s="2" t="s">
        <v>2930</v>
      </c>
      <c r="M288" s="2" t="s">
        <v>2930</v>
      </c>
      <c r="N288" s="2" t="s">
        <v>174</v>
      </c>
      <c r="O288" s="2" t="s">
        <v>175</v>
      </c>
      <c r="P288" s="2" t="s">
        <v>2931</v>
      </c>
      <c r="Q288" s="2" t="s">
        <v>2932</v>
      </c>
      <c r="R288" s="2"/>
      <c r="S288" s="2"/>
      <c r="T288" s="2"/>
      <c r="U288" s="2" t="s">
        <v>174</v>
      </c>
      <c r="V288" s="2" t="s">
        <v>175</v>
      </c>
      <c r="W288" s="2" t="s">
        <v>176</v>
      </c>
      <c r="X288" s="2" t="s">
        <v>2933</v>
      </c>
      <c r="Y288" s="2" t="s">
        <v>44</v>
      </c>
      <c r="Z288" s="2"/>
      <c r="AA288" s="2" t="s">
        <v>45</v>
      </c>
      <c r="AB288" s="2" t="s">
        <v>46</v>
      </c>
      <c r="AC288" s="2" t="s">
        <v>45</v>
      </c>
      <c r="AE288" s="2" t="s">
        <v>48</v>
      </c>
      <c r="AF288" s="2" t="s">
        <v>49</v>
      </c>
      <c r="AG288" s="2">
        <v>100</v>
      </c>
      <c r="AH288" s="2">
        <v>90</v>
      </c>
      <c r="AJ288" s="2" t="s">
        <v>2935</v>
      </c>
      <c r="AK288" s="2"/>
      <c r="AL288" s="2"/>
      <c r="AM288" s="2" t="s">
        <v>52</v>
      </c>
    </row>
    <row r="289" spans="1:39" x14ac:dyDescent="0.45">
      <c r="A289" s="2" t="s">
        <v>2936</v>
      </c>
      <c r="B289" s="2"/>
      <c r="C289" s="2" t="s">
        <v>2938</v>
      </c>
      <c r="D289" s="2" t="s">
        <v>2940</v>
      </c>
      <c r="E289" s="25"/>
      <c r="F289" s="21"/>
      <c r="G289" s="42" t="s">
        <v>28000</v>
      </c>
      <c r="H289" s="2" t="s">
        <v>50</v>
      </c>
      <c r="I289" s="2" t="s">
        <v>2943</v>
      </c>
      <c r="J289" s="2" t="s">
        <v>2937</v>
      </c>
      <c r="K289" s="2" t="s">
        <v>2939</v>
      </c>
      <c r="L289" s="2" t="s">
        <v>2941</v>
      </c>
      <c r="M289" s="2" t="s">
        <v>2941</v>
      </c>
      <c r="N289" s="2" t="s">
        <v>59</v>
      </c>
      <c r="O289" s="2" t="s">
        <v>60</v>
      </c>
      <c r="P289" s="2" t="s">
        <v>1100</v>
      </c>
      <c r="Q289" s="2" t="s">
        <v>2942</v>
      </c>
      <c r="R289" s="2"/>
      <c r="S289" s="2"/>
      <c r="T289" s="2"/>
      <c r="U289" s="2" t="s">
        <v>59</v>
      </c>
      <c r="V289" s="2" t="s">
        <v>60</v>
      </c>
      <c r="W289" s="2" t="s">
        <v>1100</v>
      </c>
      <c r="X289" s="2" t="s">
        <v>2933</v>
      </c>
      <c r="Y289" s="2" t="s">
        <v>44</v>
      </c>
      <c r="Z289" s="2"/>
      <c r="AA289" s="2" t="s">
        <v>45</v>
      </c>
      <c r="AB289" s="2" t="s">
        <v>46</v>
      </c>
      <c r="AC289" s="2" t="s">
        <v>45</v>
      </c>
      <c r="AE289" s="2" t="s">
        <v>48</v>
      </c>
      <c r="AF289" s="2" t="s">
        <v>49</v>
      </c>
      <c r="AG289" s="2">
        <v>100</v>
      </c>
      <c r="AH289" s="2">
        <v>90</v>
      </c>
      <c r="AJ289" s="2" t="s">
        <v>2944</v>
      </c>
      <c r="AK289" s="2"/>
      <c r="AL289" s="2"/>
      <c r="AM289" s="2" t="s">
        <v>52</v>
      </c>
    </row>
    <row r="290" spans="1:39" x14ac:dyDescent="0.45">
      <c r="A290" s="2" t="s">
        <v>2945</v>
      </c>
      <c r="B290" s="2"/>
      <c r="C290" s="2" t="s">
        <v>2947</v>
      </c>
      <c r="D290" s="2" t="s">
        <v>2949</v>
      </c>
      <c r="E290" s="25"/>
      <c r="F290" s="21"/>
      <c r="G290" s="42" t="s">
        <v>28000</v>
      </c>
      <c r="H290" s="2" t="s">
        <v>50</v>
      </c>
      <c r="I290" s="2" t="s">
        <v>2953</v>
      </c>
      <c r="J290" s="2" t="s">
        <v>2946</v>
      </c>
      <c r="K290" s="2" t="s">
        <v>2948</v>
      </c>
      <c r="L290" s="2" t="s">
        <v>2950</v>
      </c>
      <c r="M290" s="2" t="s">
        <v>2950</v>
      </c>
      <c r="N290" s="2" t="s">
        <v>1188</v>
      </c>
      <c r="O290" s="2" t="s">
        <v>221</v>
      </c>
      <c r="P290" s="2" t="s">
        <v>1189</v>
      </c>
      <c r="Q290" s="2" t="s">
        <v>2951</v>
      </c>
      <c r="R290" s="2"/>
      <c r="S290" s="2"/>
      <c r="T290" s="2"/>
      <c r="U290" s="2" t="s">
        <v>1188</v>
      </c>
      <c r="V290" s="2" t="s">
        <v>221</v>
      </c>
      <c r="W290" s="2" t="s">
        <v>1189</v>
      </c>
      <c r="X290" s="2" t="s">
        <v>2952</v>
      </c>
      <c r="Y290" s="2" t="s">
        <v>44</v>
      </c>
      <c r="Z290" s="2"/>
      <c r="AA290" s="2" t="s">
        <v>45</v>
      </c>
      <c r="AB290" s="2" t="s">
        <v>46</v>
      </c>
      <c r="AC290" s="2" t="s">
        <v>45</v>
      </c>
      <c r="AE290" s="2" t="s">
        <v>48</v>
      </c>
      <c r="AF290" s="2" t="s">
        <v>49</v>
      </c>
      <c r="AG290" s="2">
        <v>100</v>
      </c>
      <c r="AH290" s="2">
        <v>90</v>
      </c>
      <c r="AJ290" s="2" t="s">
        <v>2954</v>
      </c>
      <c r="AK290" s="2"/>
      <c r="AL290" s="2"/>
      <c r="AM290" s="2" t="s">
        <v>52</v>
      </c>
    </row>
    <row r="291" spans="1:39" x14ac:dyDescent="0.45">
      <c r="A291" s="2" t="s">
        <v>2955</v>
      </c>
      <c r="B291" s="2"/>
      <c r="C291" s="2" t="s">
        <v>2957</v>
      </c>
      <c r="D291" s="2" t="s">
        <v>2959</v>
      </c>
      <c r="E291" s="25"/>
      <c r="F291" s="21"/>
      <c r="G291" s="42" t="s">
        <v>28000</v>
      </c>
      <c r="H291" s="2" t="s">
        <v>50</v>
      </c>
      <c r="I291" s="2" t="s">
        <v>2965</v>
      </c>
      <c r="J291" s="2" t="s">
        <v>2956</v>
      </c>
      <c r="K291" s="2" t="s">
        <v>2958</v>
      </c>
      <c r="L291" s="2" t="s">
        <v>2960</v>
      </c>
      <c r="M291" s="2" t="s">
        <v>2960</v>
      </c>
      <c r="N291" s="2" t="s">
        <v>216</v>
      </c>
      <c r="O291" s="2" t="s">
        <v>217</v>
      </c>
      <c r="P291" s="2" t="s">
        <v>1151</v>
      </c>
      <c r="Q291" s="2" t="s">
        <v>2961</v>
      </c>
      <c r="R291" s="2"/>
      <c r="S291" s="2"/>
      <c r="T291" s="2"/>
      <c r="U291" s="2" t="s">
        <v>2962</v>
      </c>
      <c r="V291" s="2" t="s">
        <v>73</v>
      </c>
      <c r="W291" s="2" t="s">
        <v>2963</v>
      </c>
      <c r="X291" s="2" t="s">
        <v>2964</v>
      </c>
      <c r="Y291" s="2" t="s">
        <v>44</v>
      </c>
      <c r="Z291" s="2"/>
      <c r="AA291" s="2" t="s">
        <v>45</v>
      </c>
      <c r="AB291" s="2" t="s">
        <v>199</v>
      </c>
      <c r="AC291" s="2" t="s">
        <v>45</v>
      </c>
      <c r="AE291" s="2" t="s">
        <v>48</v>
      </c>
      <c r="AF291" s="2" t="s">
        <v>49</v>
      </c>
      <c r="AG291" s="2">
        <v>100</v>
      </c>
      <c r="AH291" s="2">
        <v>90</v>
      </c>
      <c r="AJ291" s="2" t="s">
        <v>2966</v>
      </c>
      <c r="AK291" s="2"/>
      <c r="AL291" s="2"/>
      <c r="AM291" s="2" t="s">
        <v>52</v>
      </c>
    </row>
    <row r="292" spans="1:39" x14ac:dyDescent="0.45">
      <c r="A292" s="2" t="s">
        <v>2967</v>
      </c>
      <c r="B292" s="2"/>
      <c r="C292" s="2" t="s">
        <v>2969</v>
      </c>
      <c r="D292" s="2" t="s">
        <v>2971</v>
      </c>
      <c r="E292" s="25"/>
      <c r="F292" s="21"/>
      <c r="G292" s="42" t="s">
        <v>28000</v>
      </c>
      <c r="H292" s="2" t="s">
        <v>50</v>
      </c>
      <c r="I292" s="2" t="s">
        <v>2974</v>
      </c>
      <c r="J292" s="2" t="s">
        <v>2968</v>
      </c>
      <c r="K292" s="2" t="s">
        <v>2970</v>
      </c>
      <c r="L292" s="2" t="s">
        <v>2972</v>
      </c>
      <c r="M292" s="2"/>
      <c r="N292" s="2" t="s">
        <v>72</v>
      </c>
      <c r="O292" s="2" t="s">
        <v>73</v>
      </c>
      <c r="P292" s="2" t="s">
        <v>74</v>
      </c>
      <c r="Q292" s="2" t="s">
        <v>2970</v>
      </c>
      <c r="R292" s="2"/>
      <c r="S292" s="2"/>
      <c r="T292" s="2"/>
      <c r="U292" s="2" t="s">
        <v>72</v>
      </c>
      <c r="V292" s="2" t="s">
        <v>73</v>
      </c>
      <c r="W292" s="2" t="s">
        <v>74</v>
      </c>
      <c r="X292" s="2" t="s">
        <v>2973</v>
      </c>
      <c r="Y292" s="2" t="s">
        <v>44</v>
      </c>
      <c r="Z292" s="2"/>
      <c r="AA292" s="2" t="s">
        <v>45</v>
      </c>
      <c r="AB292" s="2" t="s">
        <v>46</v>
      </c>
      <c r="AC292" s="2" t="s">
        <v>45</v>
      </c>
      <c r="AE292" s="2" t="s">
        <v>48</v>
      </c>
      <c r="AF292" s="2" t="s">
        <v>49</v>
      </c>
      <c r="AG292" s="2">
        <v>100</v>
      </c>
      <c r="AH292" s="2">
        <v>90</v>
      </c>
      <c r="AJ292" s="2" t="s">
        <v>2975</v>
      </c>
      <c r="AK292" s="2"/>
      <c r="AL292" s="2"/>
      <c r="AM292" s="2" t="s">
        <v>52</v>
      </c>
    </row>
    <row r="293" spans="1:39" x14ac:dyDescent="0.45">
      <c r="A293" s="2" t="s">
        <v>2976</v>
      </c>
      <c r="B293" s="2"/>
      <c r="C293" s="2" t="s">
        <v>2978</v>
      </c>
      <c r="D293" s="2" t="s">
        <v>2980</v>
      </c>
      <c r="E293" s="25"/>
      <c r="F293" s="21"/>
      <c r="G293" s="42" t="s">
        <v>28000</v>
      </c>
      <c r="H293" s="2" t="s">
        <v>50</v>
      </c>
      <c r="I293" s="2" t="s">
        <v>2985</v>
      </c>
      <c r="J293" s="2" t="s">
        <v>2977</v>
      </c>
      <c r="K293" s="2" t="s">
        <v>2979</v>
      </c>
      <c r="L293" s="2" t="s">
        <v>2981</v>
      </c>
      <c r="M293" s="2" t="s">
        <v>2981</v>
      </c>
      <c r="N293" s="2" t="s">
        <v>72</v>
      </c>
      <c r="O293" s="2" t="s">
        <v>73</v>
      </c>
      <c r="P293" s="2" t="s">
        <v>2982</v>
      </c>
      <c r="Q293" s="2" t="s">
        <v>2983</v>
      </c>
      <c r="R293" s="2"/>
      <c r="S293" s="2"/>
      <c r="T293" s="2"/>
      <c r="U293" s="2" t="s">
        <v>72</v>
      </c>
      <c r="V293" s="2" t="s">
        <v>73</v>
      </c>
      <c r="W293" s="2" t="s">
        <v>2982</v>
      </c>
      <c r="X293" s="2" t="s">
        <v>2984</v>
      </c>
      <c r="Y293" s="2" t="s">
        <v>44</v>
      </c>
      <c r="Z293" s="2"/>
      <c r="AA293" s="2" t="s">
        <v>45</v>
      </c>
      <c r="AB293" s="2" t="s">
        <v>46</v>
      </c>
      <c r="AC293" s="2" t="s">
        <v>45</v>
      </c>
      <c r="AE293" s="2" t="s">
        <v>48</v>
      </c>
      <c r="AF293" s="2" t="s">
        <v>49</v>
      </c>
      <c r="AG293" s="2">
        <v>100</v>
      </c>
      <c r="AH293" s="2">
        <v>90</v>
      </c>
      <c r="AJ293" s="2" t="s">
        <v>2986</v>
      </c>
      <c r="AK293" s="2"/>
      <c r="AL293" s="2"/>
      <c r="AM293" s="2" t="s">
        <v>52</v>
      </c>
    </row>
    <row r="294" spans="1:39" x14ac:dyDescent="0.45">
      <c r="A294" s="2" t="s">
        <v>2987</v>
      </c>
      <c r="B294" s="2"/>
      <c r="C294" s="2" t="s">
        <v>2989</v>
      </c>
      <c r="D294" s="2" t="s">
        <v>2991</v>
      </c>
      <c r="E294" s="25"/>
      <c r="F294" s="21"/>
      <c r="G294" s="42" t="s">
        <v>28000</v>
      </c>
      <c r="H294" s="2" t="s">
        <v>50</v>
      </c>
      <c r="I294" s="2" t="s">
        <v>2994</v>
      </c>
      <c r="J294" s="2" t="s">
        <v>2988</v>
      </c>
      <c r="K294" s="2" t="s">
        <v>2990</v>
      </c>
      <c r="L294" s="2" t="s">
        <v>2992</v>
      </c>
      <c r="M294" s="2" t="s">
        <v>2992</v>
      </c>
      <c r="N294" s="2" t="s">
        <v>72</v>
      </c>
      <c r="O294" s="2" t="s">
        <v>73</v>
      </c>
      <c r="P294" s="2" t="s">
        <v>2665</v>
      </c>
      <c r="Q294" s="2" t="s">
        <v>2990</v>
      </c>
      <c r="R294" s="2"/>
      <c r="S294" s="2"/>
      <c r="T294" s="2"/>
      <c r="U294" s="2" t="s">
        <v>72</v>
      </c>
      <c r="V294" s="2" t="s">
        <v>73</v>
      </c>
      <c r="W294" s="2" t="s">
        <v>2665</v>
      </c>
      <c r="X294" s="2" t="s">
        <v>2993</v>
      </c>
      <c r="Y294" s="2" t="s">
        <v>44</v>
      </c>
      <c r="Z294" s="2"/>
      <c r="AA294" s="2" t="s">
        <v>45</v>
      </c>
      <c r="AB294" s="2" t="s">
        <v>46</v>
      </c>
      <c r="AC294" s="2" t="s">
        <v>45</v>
      </c>
      <c r="AE294" s="2" t="s">
        <v>48</v>
      </c>
      <c r="AF294" s="2" t="s">
        <v>49</v>
      </c>
      <c r="AG294" s="2">
        <v>100</v>
      </c>
      <c r="AH294" s="2">
        <v>90</v>
      </c>
      <c r="AJ294" s="2" t="s">
        <v>2995</v>
      </c>
      <c r="AK294" s="2"/>
      <c r="AL294" s="2"/>
      <c r="AM294" s="2" t="s">
        <v>52</v>
      </c>
    </row>
    <row r="295" spans="1:39" x14ac:dyDescent="0.45">
      <c r="A295" s="2" t="s">
        <v>2996</v>
      </c>
      <c r="B295" s="2"/>
      <c r="C295" s="2" t="s">
        <v>2998</v>
      </c>
      <c r="D295" s="2" t="s">
        <v>3000</v>
      </c>
      <c r="E295" s="25"/>
      <c r="F295" s="21"/>
      <c r="G295" s="42" t="s">
        <v>28000</v>
      </c>
      <c r="H295" s="2" t="s">
        <v>50</v>
      </c>
      <c r="I295" s="2" t="s">
        <v>3002</v>
      </c>
      <c r="J295" s="2" t="s">
        <v>2997</v>
      </c>
      <c r="K295" s="2" t="s">
        <v>2999</v>
      </c>
      <c r="L295" s="2" t="s">
        <v>3001</v>
      </c>
      <c r="M295" s="2" t="s">
        <v>3001</v>
      </c>
      <c r="N295" s="2" t="s">
        <v>290</v>
      </c>
      <c r="O295" s="2" t="s">
        <v>278</v>
      </c>
      <c r="P295" s="2" t="s">
        <v>852</v>
      </c>
      <c r="Q295" s="2" t="s">
        <v>2999</v>
      </c>
      <c r="R295" s="2"/>
      <c r="S295" s="2"/>
      <c r="T295" s="2"/>
      <c r="U295" s="2" t="s">
        <v>290</v>
      </c>
      <c r="V295" s="2" t="s">
        <v>278</v>
      </c>
      <c r="W295" s="2" t="s">
        <v>852</v>
      </c>
      <c r="X295" s="2" t="s">
        <v>653</v>
      </c>
      <c r="Y295" s="2" t="s">
        <v>44</v>
      </c>
      <c r="Z295" s="2"/>
      <c r="AA295" s="2" t="s">
        <v>45</v>
      </c>
      <c r="AB295" s="2" t="s">
        <v>46</v>
      </c>
      <c r="AC295" s="2" t="s">
        <v>45</v>
      </c>
      <c r="AE295" s="2" t="s">
        <v>48</v>
      </c>
      <c r="AF295" s="2" t="s">
        <v>49</v>
      </c>
      <c r="AG295" s="2">
        <v>100</v>
      </c>
      <c r="AH295" s="2">
        <v>90</v>
      </c>
      <c r="AJ295" s="2" t="s">
        <v>3003</v>
      </c>
      <c r="AK295" s="2"/>
      <c r="AL295" s="2"/>
      <c r="AM295" s="2" t="s">
        <v>52</v>
      </c>
    </row>
    <row r="296" spans="1:39" x14ac:dyDescent="0.45">
      <c r="A296" s="2" t="s">
        <v>3004</v>
      </c>
      <c r="B296" s="2"/>
      <c r="C296" s="2" t="s">
        <v>3006</v>
      </c>
      <c r="D296" s="2" t="s">
        <v>3008</v>
      </c>
      <c r="E296" s="25"/>
      <c r="F296" s="21"/>
      <c r="G296" s="42" t="s">
        <v>28000</v>
      </c>
      <c r="H296" s="2" t="s">
        <v>50</v>
      </c>
      <c r="I296" s="2" t="s">
        <v>3011</v>
      </c>
      <c r="J296" s="2" t="s">
        <v>3005</v>
      </c>
      <c r="K296" s="2" t="s">
        <v>3007</v>
      </c>
      <c r="L296" s="2" t="s">
        <v>3009</v>
      </c>
      <c r="M296" s="2" t="s">
        <v>3009</v>
      </c>
      <c r="N296" s="2" t="s">
        <v>72</v>
      </c>
      <c r="O296" s="2" t="s">
        <v>73</v>
      </c>
      <c r="P296" s="2" t="s">
        <v>98</v>
      </c>
      <c r="Q296" s="2" t="s">
        <v>3010</v>
      </c>
      <c r="R296" s="2"/>
      <c r="S296" s="2"/>
      <c r="T296" s="2"/>
      <c r="U296" s="2" t="s">
        <v>72</v>
      </c>
      <c r="V296" s="2" t="s">
        <v>73</v>
      </c>
      <c r="W296" s="2" t="s">
        <v>98</v>
      </c>
      <c r="X296" s="2" t="s">
        <v>653</v>
      </c>
      <c r="Y296" s="2" t="s">
        <v>44</v>
      </c>
      <c r="Z296" s="2"/>
      <c r="AA296" s="2" t="s">
        <v>45</v>
      </c>
      <c r="AB296" s="2" t="s">
        <v>46</v>
      </c>
      <c r="AC296" s="2" t="s">
        <v>45</v>
      </c>
      <c r="AE296" s="2" t="s">
        <v>48</v>
      </c>
      <c r="AF296" s="2" t="s">
        <v>49</v>
      </c>
      <c r="AG296" s="2">
        <v>100</v>
      </c>
      <c r="AH296" s="2">
        <v>90</v>
      </c>
      <c r="AJ296" s="2" t="s">
        <v>3012</v>
      </c>
      <c r="AK296" s="2"/>
      <c r="AL296" s="2"/>
      <c r="AM296" s="2" t="s">
        <v>52</v>
      </c>
    </row>
    <row r="297" spans="1:39" x14ac:dyDescent="0.45">
      <c r="A297" s="2" t="s">
        <v>3013</v>
      </c>
      <c r="B297" s="2"/>
      <c r="C297" s="2" t="s">
        <v>3015</v>
      </c>
      <c r="D297" s="2" t="s">
        <v>3017</v>
      </c>
      <c r="E297" s="25"/>
      <c r="F297" s="21"/>
      <c r="G297" s="42" t="s">
        <v>28000</v>
      </c>
      <c r="H297" s="2" t="s">
        <v>50</v>
      </c>
      <c r="I297" s="2" t="s">
        <v>3020</v>
      </c>
      <c r="J297" s="2" t="s">
        <v>3014</v>
      </c>
      <c r="K297" s="2" t="s">
        <v>3016</v>
      </c>
      <c r="L297" s="2" t="s">
        <v>3018</v>
      </c>
      <c r="M297" s="2" t="s">
        <v>3018</v>
      </c>
      <c r="N297" s="2" t="s">
        <v>72</v>
      </c>
      <c r="O297" s="2" t="s">
        <v>73</v>
      </c>
      <c r="P297" s="2" t="s">
        <v>1164</v>
      </c>
      <c r="Q297" s="2" t="s">
        <v>3016</v>
      </c>
      <c r="R297" s="2"/>
      <c r="S297" s="2"/>
      <c r="T297" s="2"/>
      <c r="U297" s="2" t="s">
        <v>72</v>
      </c>
      <c r="V297" s="2" t="s">
        <v>73</v>
      </c>
      <c r="W297" s="2" t="s">
        <v>1164</v>
      </c>
      <c r="X297" s="2" t="s">
        <v>3019</v>
      </c>
      <c r="Y297" s="2" t="s">
        <v>44</v>
      </c>
      <c r="Z297" s="2"/>
      <c r="AA297" s="2" t="s">
        <v>45</v>
      </c>
      <c r="AB297" s="2" t="s">
        <v>46</v>
      </c>
      <c r="AC297" s="2" t="s">
        <v>45</v>
      </c>
      <c r="AE297" s="2" t="s">
        <v>48</v>
      </c>
      <c r="AF297" s="2" t="s">
        <v>49</v>
      </c>
      <c r="AG297" s="2">
        <v>100</v>
      </c>
      <c r="AH297" s="2">
        <v>90</v>
      </c>
      <c r="AJ297" s="2" t="s">
        <v>3021</v>
      </c>
      <c r="AK297" s="2"/>
      <c r="AL297" s="2"/>
      <c r="AM297" s="2" t="s">
        <v>52</v>
      </c>
    </row>
    <row r="298" spans="1:39" x14ac:dyDescent="0.45">
      <c r="A298" s="2" t="s">
        <v>3022</v>
      </c>
      <c r="B298" s="2"/>
      <c r="C298" s="2" t="s">
        <v>3024</v>
      </c>
      <c r="D298" s="2" t="s">
        <v>3026</v>
      </c>
      <c r="E298" s="25"/>
      <c r="F298" s="21"/>
      <c r="G298" s="42" t="s">
        <v>28000</v>
      </c>
      <c r="H298" s="2" t="s">
        <v>50</v>
      </c>
      <c r="I298" s="2" t="s">
        <v>3029</v>
      </c>
      <c r="J298" s="2" t="s">
        <v>3023</v>
      </c>
      <c r="K298" s="2" t="s">
        <v>3025</v>
      </c>
      <c r="L298" s="2" t="s">
        <v>3027</v>
      </c>
      <c r="M298" s="2" t="s">
        <v>3027</v>
      </c>
      <c r="N298" s="2" t="s">
        <v>72</v>
      </c>
      <c r="O298" s="2" t="s">
        <v>73</v>
      </c>
      <c r="P298" s="2" t="s">
        <v>162</v>
      </c>
      <c r="Q298" s="2" t="s">
        <v>3025</v>
      </c>
      <c r="R298" s="2"/>
      <c r="S298" s="2"/>
      <c r="T298" s="2"/>
      <c r="U298" s="2" t="s">
        <v>72</v>
      </c>
      <c r="V298" s="2" t="s">
        <v>73</v>
      </c>
      <c r="W298" s="2" t="s">
        <v>162</v>
      </c>
      <c r="X298" s="2" t="s">
        <v>3028</v>
      </c>
      <c r="Y298" s="2" t="s">
        <v>44</v>
      </c>
      <c r="Z298" s="2"/>
      <c r="AA298" s="2" t="s">
        <v>45</v>
      </c>
      <c r="AB298" s="2" t="s">
        <v>46</v>
      </c>
      <c r="AC298" s="2" t="s">
        <v>45</v>
      </c>
      <c r="AE298" s="2" t="s">
        <v>48</v>
      </c>
      <c r="AF298" s="2" t="s">
        <v>49</v>
      </c>
      <c r="AG298" s="2">
        <v>100</v>
      </c>
      <c r="AH298" s="2">
        <v>90</v>
      </c>
      <c r="AJ298" s="2" t="s">
        <v>3030</v>
      </c>
      <c r="AK298" s="2"/>
      <c r="AL298" s="2"/>
      <c r="AM298" s="2" t="s">
        <v>52</v>
      </c>
    </row>
    <row r="299" spans="1:39" x14ac:dyDescent="0.45">
      <c r="A299" s="2" t="s">
        <v>3031</v>
      </c>
      <c r="B299" s="2"/>
      <c r="C299" s="2" t="s">
        <v>3033</v>
      </c>
      <c r="D299" s="2" t="s">
        <v>3035</v>
      </c>
      <c r="E299" s="25"/>
      <c r="F299" s="21"/>
      <c r="G299" s="42" t="s">
        <v>28000</v>
      </c>
      <c r="H299" s="2" t="s">
        <v>50</v>
      </c>
      <c r="I299" s="2" t="s">
        <v>3038</v>
      </c>
      <c r="J299" s="2" t="s">
        <v>3032</v>
      </c>
      <c r="K299" s="2" t="s">
        <v>3034</v>
      </c>
      <c r="L299" s="2" t="s">
        <v>3036</v>
      </c>
      <c r="M299" s="2"/>
      <c r="N299" s="2" t="s">
        <v>424</v>
      </c>
      <c r="O299" s="2" t="s">
        <v>217</v>
      </c>
      <c r="P299" s="2" t="s">
        <v>2410</v>
      </c>
      <c r="Q299" s="2" t="s">
        <v>3034</v>
      </c>
      <c r="R299" s="2"/>
      <c r="S299" s="2"/>
      <c r="T299" s="2"/>
      <c r="U299" s="2" t="s">
        <v>424</v>
      </c>
      <c r="V299" s="2" t="s">
        <v>217</v>
      </c>
      <c r="W299" s="2" t="s">
        <v>2410</v>
      </c>
      <c r="X299" s="2" t="s">
        <v>3037</v>
      </c>
      <c r="Y299" s="2" t="s">
        <v>44</v>
      </c>
      <c r="Z299" s="2"/>
      <c r="AA299" s="2" t="s">
        <v>45</v>
      </c>
      <c r="AB299" s="2" t="s">
        <v>46</v>
      </c>
      <c r="AC299" s="2" t="s">
        <v>45</v>
      </c>
      <c r="AE299" s="2" t="s">
        <v>48</v>
      </c>
      <c r="AF299" s="2" t="s">
        <v>49</v>
      </c>
      <c r="AG299" s="2">
        <v>100</v>
      </c>
      <c r="AH299" s="2">
        <v>90</v>
      </c>
      <c r="AJ299" s="2" t="s">
        <v>3039</v>
      </c>
      <c r="AK299" s="2"/>
      <c r="AL299" s="2"/>
      <c r="AM299" s="2" t="s">
        <v>52</v>
      </c>
    </row>
    <row r="300" spans="1:39" x14ac:dyDescent="0.45">
      <c r="A300" s="2" t="s">
        <v>3040</v>
      </c>
      <c r="B300" s="2"/>
      <c r="C300" s="2" t="s">
        <v>3042</v>
      </c>
      <c r="D300" s="2" t="s">
        <v>3044</v>
      </c>
      <c r="E300" s="25"/>
      <c r="F300" s="21"/>
      <c r="G300" s="42" t="s">
        <v>28000</v>
      </c>
      <c r="H300" s="2" t="s">
        <v>50</v>
      </c>
      <c r="I300" s="2" t="s">
        <v>3047</v>
      </c>
      <c r="J300" s="2" t="s">
        <v>3041</v>
      </c>
      <c r="K300" s="2" t="s">
        <v>3043</v>
      </c>
      <c r="L300" s="2" t="s">
        <v>3045</v>
      </c>
      <c r="M300" s="2" t="s">
        <v>3045</v>
      </c>
      <c r="N300" s="2" t="s">
        <v>39</v>
      </c>
      <c r="O300" s="2" t="s">
        <v>40</v>
      </c>
      <c r="P300" s="2" t="s">
        <v>254</v>
      </c>
      <c r="Q300" s="2" t="s">
        <v>3043</v>
      </c>
      <c r="R300" s="2"/>
      <c r="S300" s="2"/>
      <c r="T300" s="2"/>
      <c r="U300" s="2" t="s">
        <v>39</v>
      </c>
      <c r="V300" s="2" t="s">
        <v>40</v>
      </c>
      <c r="W300" s="2" t="s">
        <v>254</v>
      </c>
      <c r="X300" s="2" t="s">
        <v>3046</v>
      </c>
      <c r="Y300" s="2" t="s">
        <v>44</v>
      </c>
      <c r="Z300" s="2"/>
      <c r="AA300" s="2" t="s">
        <v>45</v>
      </c>
      <c r="AB300" s="2" t="s">
        <v>46</v>
      </c>
      <c r="AC300" s="2" t="s">
        <v>45</v>
      </c>
      <c r="AE300" s="2" t="s">
        <v>48</v>
      </c>
      <c r="AF300" s="2" t="s">
        <v>49</v>
      </c>
      <c r="AG300" s="2">
        <v>100</v>
      </c>
      <c r="AH300" s="2">
        <v>90</v>
      </c>
      <c r="AJ300" s="2" t="s">
        <v>3048</v>
      </c>
      <c r="AK300" s="2"/>
      <c r="AL300" s="2"/>
      <c r="AM300" s="2" t="s">
        <v>52</v>
      </c>
    </row>
    <row r="301" spans="1:39" x14ac:dyDescent="0.45">
      <c r="A301" s="2" t="s">
        <v>3049</v>
      </c>
      <c r="B301" s="2"/>
      <c r="C301" s="2" t="s">
        <v>3051</v>
      </c>
      <c r="D301" s="2" t="s">
        <v>3053</v>
      </c>
      <c r="E301" s="25"/>
      <c r="F301" s="21"/>
      <c r="G301" s="42" t="s">
        <v>28000</v>
      </c>
      <c r="H301" s="2" t="s">
        <v>50</v>
      </c>
      <c r="I301" s="2" t="s">
        <v>3056</v>
      </c>
      <c r="J301" s="2" t="s">
        <v>3050</v>
      </c>
      <c r="K301" s="2" t="s">
        <v>3052</v>
      </c>
      <c r="L301" s="2" t="s">
        <v>3054</v>
      </c>
      <c r="M301" s="2" t="s">
        <v>3054</v>
      </c>
      <c r="N301" s="2" t="s">
        <v>39</v>
      </c>
      <c r="O301" s="2" t="s">
        <v>40</v>
      </c>
      <c r="P301" s="2" t="s">
        <v>256</v>
      </c>
      <c r="Q301" s="2" t="s">
        <v>3052</v>
      </c>
      <c r="R301" s="2"/>
      <c r="S301" s="2"/>
      <c r="T301" s="2"/>
      <c r="U301" s="2" t="s">
        <v>39</v>
      </c>
      <c r="V301" s="2" t="s">
        <v>40</v>
      </c>
      <c r="W301" s="2" t="s">
        <v>256</v>
      </c>
      <c r="X301" s="2" t="s">
        <v>3055</v>
      </c>
      <c r="Y301" s="2" t="s">
        <v>44</v>
      </c>
      <c r="Z301" s="2"/>
      <c r="AA301" s="2" t="s">
        <v>45</v>
      </c>
      <c r="AB301" s="2" t="s">
        <v>46</v>
      </c>
      <c r="AC301" s="2" t="s">
        <v>45</v>
      </c>
      <c r="AE301" s="2" t="s">
        <v>48</v>
      </c>
      <c r="AF301" s="2" t="s">
        <v>49</v>
      </c>
      <c r="AG301" s="2">
        <v>100</v>
      </c>
      <c r="AH301" s="2">
        <v>90</v>
      </c>
      <c r="AJ301" s="2" t="s">
        <v>3057</v>
      </c>
      <c r="AK301" s="2"/>
      <c r="AL301" s="2"/>
      <c r="AM301" s="2" t="s">
        <v>52</v>
      </c>
    </row>
    <row r="302" spans="1:39" x14ac:dyDescent="0.45">
      <c r="A302" s="2" t="s">
        <v>3058</v>
      </c>
      <c r="B302" s="2"/>
      <c r="C302" s="2" t="s">
        <v>3060</v>
      </c>
      <c r="D302" s="2" t="s">
        <v>3062</v>
      </c>
      <c r="E302" s="25"/>
      <c r="F302" s="21"/>
      <c r="G302" s="42" t="s">
        <v>28000</v>
      </c>
      <c r="H302" s="2" t="s">
        <v>50</v>
      </c>
      <c r="I302" s="2" t="s">
        <v>3065</v>
      </c>
      <c r="J302" s="2" t="s">
        <v>3059</v>
      </c>
      <c r="K302" s="2" t="s">
        <v>3061</v>
      </c>
      <c r="L302" s="2" t="s">
        <v>3063</v>
      </c>
      <c r="M302" s="2" t="s">
        <v>3063</v>
      </c>
      <c r="N302" s="2" t="s">
        <v>72</v>
      </c>
      <c r="O302" s="2" t="s">
        <v>73</v>
      </c>
      <c r="P302" s="2" t="s">
        <v>74</v>
      </c>
      <c r="Q302" s="2" t="s">
        <v>3061</v>
      </c>
      <c r="R302" s="2"/>
      <c r="S302" s="2"/>
      <c r="T302" s="2"/>
      <c r="U302" s="2" t="s">
        <v>72</v>
      </c>
      <c r="V302" s="2" t="s">
        <v>73</v>
      </c>
      <c r="W302" s="2" t="s">
        <v>74</v>
      </c>
      <c r="X302" s="2" t="s">
        <v>3064</v>
      </c>
      <c r="Y302" s="2" t="s">
        <v>44</v>
      </c>
      <c r="Z302" s="2"/>
      <c r="AA302" s="2" t="s">
        <v>45</v>
      </c>
      <c r="AB302" s="2" t="s">
        <v>46</v>
      </c>
      <c r="AC302" s="2" t="s">
        <v>45</v>
      </c>
      <c r="AE302" s="2" t="s">
        <v>48</v>
      </c>
      <c r="AF302" s="2" t="s">
        <v>49</v>
      </c>
      <c r="AG302" s="2">
        <v>100</v>
      </c>
      <c r="AH302" s="2">
        <v>90</v>
      </c>
      <c r="AJ302" s="2" t="s">
        <v>3066</v>
      </c>
      <c r="AK302" s="2"/>
      <c r="AL302" s="2"/>
      <c r="AM302" s="2" t="s">
        <v>52</v>
      </c>
    </row>
    <row r="303" spans="1:39" x14ac:dyDescent="0.45">
      <c r="A303" s="2" t="s">
        <v>3067</v>
      </c>
      <c r="B303" s="2"/>
      <c r="C303" s="2" t="s">
        <v>3069</v>
      </c>
      <c r="D303" s="2" t="s">
        <v>3071</v>
      </c>
      <c r="E303" s="25"/>
      <c r="F303" s="21"/>
      <c r="G303" s="42" t="s">
        <v>28000</v>
      </c>
      <c r="H303" s="2" t="s">
        <v>50</v>
      </c>
      <c r="I303" s="2" t="s">
        <v>3075</v>
      </c>
      <c r="J303" s="2" t="s">
        <v>3068</v>
      </c>
      <c r="K303" s="2" t="s">
        <v>3070</v>
      </c>
      <c r="L303" s="2" t="s">
        <v>3072</v>
      </c>
      <c r="M303" s="2" t="s">
        <v>3072</v>
      </c>
      <c r="N303" s="2" t="s">
        <v>85</v>
      </c>
      <c r="O303" s="2" t="s">
        <v>86</v>
      </c>
      <c r="P303" s="2" t="s">
        <v>3073</v>
      </c>
      <c r="Q303" s="2" t="s">
        <v>3070</v>
      </c>
      <c r="R303" s="2"/>
      <c r="S303" s="2"/>
      <c r="T303" s="2"/>
      <c r="U303" s="2" t="s">
        <v>85</v>
      </c>
      <c r="V303" s="2" t="s">
        <v>86</v>
      </c>
      <c r="W303" s="2" t="s">
        <v>3073</v>
      </c>
      <c r="X303" s="2" t="s">
        <v>3074</v>
      </c>
      <c r="Y303" s="2" t="s">
        <v>44</v>
      </c>
      <c r="Z303" s="2"/>
      <c r="AA303" s="2" t="s">
        <v>45</v>
      </c>
      <c r="AB303" s="2" t="s">
        <v>46</v>
      </c>
      <c r="AC303" s="2" t="s">
        <v>45</v>
      </c>
      <c r="AE303" s="2" t="s">
        <v>48</v>
      </c>
      <c r="AF303" s="2" t="s">
        <v>49</v>
      </c>
      <c r="AG303" s="2">
        <v>100</v>
      </c>
      <c r="AH303" s="2">
        <v>90</v>
      </c>
      <c r="AJ303" s="2" t="s">
        <v>3076</v>
      </c>
      <c r="AK303" s="2"/>
      <c r="AL303" s="2"/>
      <c r="AM303" s="2" t="s">
        <v>52</v>
      </c>
    </row>
    <row r="304" spans="1:39" x14ac:dyDescent="0.45">
      <c r="A304" s="2" t="s">
        <v>3077</v>
      </c>
      <c r="B304" s="2"/>
      <c r="C304" s="2" t="s">
        <v>3079</v>
      </c>
      <c r="D304" s="2" t="s">
        <v>3081</v>
      </c>
      <c r="E304" s="25"/>
      <c r="F304" s="21"/>
      <c r="G304" s="42" t="s">
        <v>28000</v>
      </c>
      <c r="H304" s="2" t="s">
        <v>50</v>
      </c>
      <c r="I304" s="2" t="s">
        <v>3084</v>
      </c>
      <c r="J304" s="2" t="s">
        <v>3078</v>
      </c>
      <c r="K304" s="2" t="s">
        <v>3080</v>
      </c>
      <c r="L304" s="2" t="s">
        <v>3082</v>
      </c>
      <c r="M304" s="2" t="s">
        <v>3082</v>
      </c>
      <c r="N304" s="2" t="s">
        <v>72</v>
      </c>
      <c r="O304" s="2" t="s">
        <v>73</v>
      </c>
      <c r="P304" s="2" t="s">
        <v>1568</v>
      </c>
      <c r="Q304" s="2" t="s">
        <v>3080</v>
      </c>
      <c r="R304" s="2"/>
      <c r="S304" s="2"/>
      <c r="T304" s="2"/>
      <c r="U304" s="2" t="s">
        <v>72</v>
      </c>
      <c r="V304" s="2" t="s">
        <v>73</v>
      </c>
      <c r="W304" s="2" t="s">
        <v>1568</v>
      </c>
      <c r="X304" s="2" t="s">
        <v>3083</v>
      </c>
      <c r="Y304" s="2" t="s">
        <v>44</v>
      </c>
      <c r="Z304" s="2"/>
      <c r="AA304" s="2" t="s">
        <v>45</v>
      </c>
      <c r="AB304" s="2" t="s">
        <v>46</v>
      </c>
      <c r="AC304" s="2" t="s">
        <v>45</v>
      </c>
      <c r="AE304" s="2" t="s">
        <v>48</v>
      </c>
      <c r="AF304" s="2" t="s">
        <v>49</v>
      </c>
      <c r="AG304" s="2">
        <v>100</v>
      </c>
      <c r="AH304" s="2">
        <v>90</v>
      </c>
      <c r="AJ304" s="2" t="s">
        <v>3085</v>
      </c>
      <c r="AK304" s="2"/>
      <c r="AL304" s="2"/>
      <c r="AM304" s="2" t="s">
        <v>52</v>
      </c>
    </row>
    <row r="305" spans="1:39" x14ac:dyDescent="0.45">
      <c r="A305" s="2" t="s">
        <v>3086</v>
      </c>
      <c r="B305" s="2"/>
      <c r="C305" s="2" t="s">
        <v>3088</v>
      </c>
      <c r="D305" s="2" t="s">
        <v>3090</v>
      </c>
      <c r="E305" s="25"/>
      <c r="F305" s="21"/>
      <c r="G305" s="42" t="s">
        <v>28000</v>
      </c>
      <c r="H305" s="2" t="s">
        <v>50</v>
      </c>
      <c r="I305" s="2" t="s">
        <v>3094</v>
      </c>
      <c r="J305" s="2" t="s">
        <v>3087</v>
      </c>
      <c r="K305" s="2" t="s">
        <v>3089</v>
      </c>
      <c r="L305" s="2" t="s">
        <v>3091</v>
      </c>
      <c r="M305" s="2"/>
      <c r="N305" s="2" t="s">
        <v>651</v>
      </c>
      <c r="O305" s="2" t="s">
        <v>86</v>
      </c>
      <c r="P305" s="2" t="s">
        <v>87</v>
      </c>
      <c r="Q305" s="2" t="s">
        <v>3092</v>
      </c>
      <c r="R305" s="2"/>
      <c r="S305" s="2"/>
      <c r="T305" s="2"/>
      <c r="U305" s="2" t="s">
        <v>651</v>
      </c>
      <c r="V305" s="2" t="s">
        <v>86</v>
      </c>
      <c r="W305" s="2" t="s">
        <v>87</v>
      </c>
      <c r="X305" s="2" t="s">
        <v>3093</v>
      </c>
      <c r="Y305" s="2" t="s">
        <v>44</v>
      </c>
      <c r="Z305" s="2"/>
      <c r="AA305" s="2" t="s">
        <v>45</v>
      </c>
      <c r="AB305" s="2" t="s">
        <v>46</v>
      </c>
      <c r="AC305" s="2" t="s">
        <v>45</v>
      </c>
      <c r="AE305" s="2" t="s">
        <v>48</v>
      </c>
      <c r="AF305" s="2" t="s">
        <v>49</v>
      </c>
      <c r="AG305" s="2">
        <v>100</v>
      </c>
      <c r="AH305" s="2">
        <v>90</v>
      </c>
      <c r="AJ305" s="2" t="s">
        <v>3095</v>
      </c>
      <c r="AK305" s="2"/>
      <c r="AL305" s="2"/>
      <c r="AM305" s="2" t="s">
        <v>52</v>
      </c>
    </row>
    <row r="306" spans="1:39" x14ac:dyDescent="0.45">
      <c r="A306" s="2" t="s">
        <v>3096</v>
      </c>
      <c r="B306" s="2"/>
      <c r="C306" s="2" t="s">
        <v>3098</v>
      </c>
      <c r="D306" s="2" t="s">
        <v>3100</v>
      </c>
      <c r="E306" s="25"/>
      <c r="F306" s="21"/>
      <c r="G306" s="42" t="s">
        <v>28000</v>
      </c>
      <c r="H306" s="2" t="s">
        <v>50</v>
      </c>
      <c r="I306" s="2" t="s">
        <v>3103</v>
      </c>
      <c r="J306" s="2" t="s">
        <v>3097</v>
      </c>
      <c r="K306" s="2" t="s">
        <v>3099</v>
      </c>
      <c r="L306" s="2" t="s">
        <v>3101</v>
      </c>
      <c r="M306" s="2"/>
      <c r="N306" s="2" t="s">
        <v>59</v>
      </c>
      <c r="O306" s="2" t="s">
        <v>60</v>
      </c>
      <c r="P306" s="2" t="s">
        <v>3102</v>
      </c>
      <c r="Q306" s="2" t="s">
        <v>3099</v>
      </c>
      <c r="R306" s="2"/>
      <c r="S306" s="2"/>
      <c r="T306" s="2"/>
      <c r="U306" s="2" t="s">
        <v>59</v>
      </c>
      <c r="V306" s="2" t="s">
        <v>60</v>
      </c>
      <c r="W306" s="2" t="s">
        <v>3102</v>
      </c>
      <c r="X306" s="2" t="s">
        <v>3093</v>
      </c>
      <c r="Y306" s="2" t="s">
        <v>44</v>
      </c>
      <c r="Z306" s="2"/>
      <c r="AA306" s="2" t="s">
        <v>45</v>
      </c>
      <c r="AB306" s="2" t="s">
        <v>46</v>
      </c>
      <c r="AC306" s="2" t="s">
        <v>45</v>
      </c>
      <c r="AE306" s="2" t="s">
        <v>48</v>
      </c>
      <c r="AF306" s="2" t="s">
        <v>49</v>
      </c>
      <c r="AG306" s="2">
        <v>100</v>
      </c>
      <c r="AH306" s="2">
        <v>90</v>
      </c>
      <c r="AJ306" s="2" t="s">
        <v>3104</v>
      </c>
      <c r="AK306" s="2"/>
      <c r="AL306" s="2"/>
      <c r="AM306" s="2" t="s">
        <v>52</v>
      </c>
    </row>
    <row r="307" spans="1:39" x14ac:dyDescent="0.45">
      <c r="A307" s="2" t="s">
        <v>3105</v>
      </c>
      <c r="B307" s="2"/>
      <c r="C307" s="2" t="s">
        <v>3107</v>
      </c>
      <c r="D307" s="2" t="s">
        <v>3109</v>
      </c>
      <c r="E307" s="25"/>
      <c r="F307" s="21"/>
      <c r="G307" s="42" t="s">
        <v>28000</v>
      </c>
      <c r="H307" s="2" t="s">
        <v>50</v>
      </c>
      <c r="I307" s="2" t="s">
        <v>3113</v>
      </c>
      <c r="J307" s="2" t="s">
        <v>3106</v>
      </c>
      <c r="K307" s="2" t="s">
        <v>3108</v>
      </c>
      <c r="L307" s="2" t="s">
        <v>3110</v>
      </c>
      <c r="M307" s="2"/>
      <c r="N307" s="2" t="s">
        <v>384</v>
      </c>
      <c r="O307" s="2" t="s">
        <v>73</v>
      </c>
      <c r="P307" s="2" t="s">
        <v>832</v>
      </c>
      <c r="Q307" s="2" t="s">
        <v>3111</v>
      </c>
      <c r="R307" s="2"/>
      <c r="S307" s="2"/>
      <c r="T307" s="2"/>
      <c r="U307" s="2" t="s">
        <v>384</v>
      </c>
      <c r="V307" s="2" t="s">
        <v>73</v>
      </c>
      <c r="W307" s="2" t="s">
        <v>832</v>
      </c>
      <c r="X307" s="2" t="s">
        <v>3112</v>
      </c>
      <c r="Y307" s="2" t="s">
        <v>44</v>
      </c>
      <c r="Z307" s="2"/>
      <c r="AA307" s="2" t="s">
        <v>45</v>
      </c>
      <c r="AB307" s="2" t="s">
        <v>46</v>
      </c>
      <c r="AC307" s="2" t="s">
        <v>45</v>
      </c>
      <c r="AE307" s="2" t="s">
        <v>48</v>
      </c>
      <c r="AF307" s="2" t="s">
        <v>49</v>
      </c>
      <c r="AG307" s="2">
        <v>100</v>
      </c>
      <c r="AH307" s="2">
        <v>90</v>
      </c>
      <c r="AJ307" s="2" t="s">
        <v>3114</v>
      </c>
      <c r="AK307" s="2"/>
      <c r="AL307" s="2"/>
      <c r="AM307" s="2" t="s">
        <v>52</v>
      </c>
    </row>
    <row r="308" spans="1:39" x14ac:dyDescent="0.45">
      <c r="A308" s="2" t="s">
        <v>3115</v>
      </c>
      <c r="B308" s="2"/>
      <c r="C308" s="2" t="s">
        <v>3117</v>
      </c>
      <c r="D308" s="2" t="s">
        <v>3119</v>
      </c>
      <c r="E308" s="25"/>
      <c r="F308" s="21"/>
      <c r="G308" s="42" t="s">
        <v>28000</v>
      </c>
      <c r="H308" s="2" t="s">
        <v>50</v>
      </c>
      <c r="I308" s="2" t="s">
        <v>3121</v>
      </c>
      <c r="J308" s="2" t="s">
        <v>3116</v>
      </c>
      <c r="K308" s="2" t="s">
        <v>3118</v>
      </c>
      <c r="L308" s="2" t="s">
        <v>3120</v>
      </c>
      <c r="M308" s="2"/>
      <c r="N308" s="2" t="s">
        <v>536</v>
      </c>
      <c r="O308" s="2" t="s">
        <v>537</v>
      </c>
      <c r="P308" s="2" t="s">
        <v>641</v>
      </c>
      <c r="Q308" s="2" t="s">
        <v>3118</v>
      </c>
      <c r="R308" s="2"/>
      <c r="S308" s="2"/>
      <c r="T308" s="2"/>
      <c r="U308" s="2" t="s">
        <v>536</v>
      </c>
      <c r="V308" s="2" t="s">
        <v>537</v>
      </c>
      <c r="W308" s="2" t="s">
        <v>641</v>
      </c>
      <c r="X308" s="2" t="s">
        <v>662</v>
      </c>
      <c r="Y308" s="2" t="s">
        <v>44</v>
      </c>
      <c r="Z308" s="2"/>
      <c r="AA308" s="2" t="s">
        <v>45</v>
      </c>
      <c r="AB308" s="2" t="s">
        <v>46</v>
      </c>
      <c r="AC308" s="2" t="s">
        <v>45</v>
      </c>
      <c r="AE308" s="2" t="s">
        <v>48</v>
      </c>
      <c r="AF308" s="2" t="s">
        <v>49</v>
      </c>
      <c r="AG308" s="2">
        <v>100</v>
      </c>
      <c r="AH308" s="2">
        <v>90</v>
      </c>
      <c r="AJ308" s="2" t="s">
        <v>3122</v>
      </c>
      <c r="AK308" s="2"/>
      <c r="AL308" s="2"/>
      <c r="AM308" s="2" t="s">
        <v>52</v>
      </c>
    </row>
    <row r="309" spans="1:39" x14ac:dyDescent="0.45">
      <c r="A309" s="2" t="s">
        <v>3123</v>
      </c>
      <c r="B309" s="2"/>
      <c r="C309" s="2" t="s">
        <v>3125</v>
      </c>
      <c r="D309" s="2" t="s">
        <v>3127</v>
      </c>
      <c r="E309" s="25"/>
      <c r="F309" s="21"/>
      <c r="G309" s="42" t="s">
        <v>28000</v>
      </c>
      <c r="H309" s="2" t="s">
        <v>50</v>
      </c>
      <c r="I309" s="2" t="s">
        <v>3130</v>
      </c>
      <c r="J309" s="2" t="s">
        <v>3124</v>
      </c>
      <c r="K309" s="2" t="s">
        <v>3126</v>
      </c>
      <c r="L309" s="2" t="s">
        <v>3128</v>
      </c>
      <c r="M309" s="2" t="s">
        <v>3128</v>
      </c>
      <c r="N309" s="2" t="s">
        <v>72</v>
      </c>
      <c r="O309" s="2" t="s">
        <v>73</v>
      </c>
      <c r="P309" s="2" t="s">
        <v>1479</v>
      </c>
      <c r="Q309" s="2" t="s">
        <v>3126</v>
      </c>
      <c r="R309" s="2"/>
      <c r="S309" s="2"/>
      <c r="T309" s="2"/>
      <c r="U309" s="2" t="s">
        <v>72</v>
      </c>
      <c r="V309" s="2" t="s">
        <v>73</v>
      </c>
      <c r="W309" s="2" t="s">
        <v>1479</v>
      </c>
      <c r="X309" s="2" t="s">
        <v>3129</v>
      </c>
      <c r="Y309" s="2" t="s">
        <v>44</v>
      </c>
      <c r="Z309" s="2"/>
      <c r="AA309" s="2" t="s">
        <v>45</v>
      </c>
      <c r="AB309" s="2" t="s">
        <v>46</v>
      </c>
      <c r="AC309" s="2" t="s">
        <v>45</v>
      </c>
      <c r="AE309" s="2" t="s">
        <v>48</v>
      </c>
      <c r="AF309" s="2" t="s">
        <v>49</v>
      </c>
      <c r="AG309" s="2">
        <v>100</v>
      </c>
      <c r="AH309" s="2">
        <v>90</v>
      </c>
      <c r="AJ309" s="2" t="s">
        <v>3131</v>
      </c>
      <c r="AK309" s="2"/>
      <c r="AL309" s="2"/>
      <c r="AM309" s="2" t="s">
        <v>52</v>
      </c>
    </row>
    <row r="310" spans="1:39" x14ac:dyDescent="0.45">
      <c r="A310" s="2" t="s">
        <v>3132</v>
      </c>
      <c r="B310" s="2"/>
      <c r="C310" s="2" t="s">
        <v>3134</v>
      </c>
      <c r="D310" s="2" t="s">
        <v>3136</v>
      </c>
      <c r="E310" s="25"/>
      <c r="F310" s="21"/>
      <c r="G310" s="42" t="s">
        <v>28000</v>
      </c>
      <c r="H310" s="2" t="s">
        <v>50</v>
      </c>
      <c r="I310" s="2" t="s">
        <v>3140</v>
      </c>
      <c r="J310" s="2" t="s">
        <v>3133</v>
      </c>
      <c r="K310" s="2" t="s">
        <v>3135</v>
      </c>
      <c r="L310" s="2" t="s">
        <v>3137</v>
      </c>
      <c r="M310" s="2" t="s">
        <v>3137</v>
      </c>
      <c r="N310" s="2" t="s">
        <v>536</v>
      </c>
      <c r="O310" s="2" t="s">
        <v>537</v>
      </c>
      <c r="P310" s="2" t="s">
        <v>1428</v>
      </c>
      <c r="Q310" s="2" t="s">
        <v>3138</v>
      </c>
      <c r="R310" s="2"/>
      <c r="S310" s="2"/>
      <c r="T310" s="2"/>
      <c r="U310" s="2" t="s">
        <v>536</v>
      </c>
      <c r="V310" s="2" t="s">
        <v>537</v>
      </c>
      <c r="W310" s="2" t="s">
        <v>1428</v>
      </c>
      <c r="X310" s="2" t="s">
        <v>3139</v>
      </c>
      <c r="Y310" s="2" t="s">
        <v>44</v>
      </c>
      <c r="Z310" s="2"/>
      <c r="AA310" s="2" t="s">
        <v>45</v>
      </c>
      <c r="AB310" s="2" t="s">
        <v>46</v>
      </c>
      <c r="AC310" s="2" t="s">
        <v>45</v>
      </c>
      <c r="AE310" s="2" t="s">
        <v>48</v>
      </c>
      <c r="AF310" s="2" t="s">
        <v>49</v>
      </c>
      <c r="AG310" s="2">
        <v>100</v>
      </c>
      <c r="AH310" s="2">
        <v>90</v>
      </c>
      <c r="AJ310" s="2" t="s">
        <v>3141</v>
      </c>
      <c r="AK310" s="2"/>
      <c r="AL310" s="2"/>
      <c r="AM310" s="2" t="s">
        <v>52</v>
      </c>
    </row>
    <row r="311" spans="1:39" x14ac:dyDescent="0.45">
      <c r="A311" s="2" t="s">
        <v>3142</v>
      </c>
      <c r="B311" s="2"/>
      <c r="C311" s="2" t="s">
        <v>3144</v>
      </c>
      <c r="D311" s="2" t="s">
        <v>3146</v>
      </c>
      <c r="E311" s="25"/>
      <c r="F311" s="21"/>
      <c r="G311" s="42" t="s">
        <v>28000</v>
      </c>
      <c r="H311" s="2" t="s">
        <v>50</v>
      </c>
      <c r="I311" s="2" t="s">
        <v>3149</v>
      </c>
      <c r="J311" s="2" t="s">
        <v>3143</v>
      </c>
      <c r="K311" s="2" t="s">
        <v>3145</v>
      </c>
      <c r="L311" s="2" t="s">
        <v>3147</v>
      </c>
      <c r="M311" s="2" t="s">
        <v>3147</v>
      </c>
      <c r="N311" s="2" t="s">
        <v>72</v>
      </c>
      <c r="O311" s="2" t="s">
        <v>73</v>
      </c>
      <c r="P311" s="2" t="s">
        <v>373</v>
      </c>
      <c r="Q311" s="2" t="s">
        <v>3145</v>
      </c>
      <c r="R311" s="2"/>
      <c r="S311" s="2"/>
      <c r="T311" s="2"/>
      <c r="U311" s="2" t="s">
        <v>72</v>
      </c>
      <c r="V311" s="2" t="s">
        <v>73</v>
      </c>
      <c r="W311" s="2" t="s">
        <v>373</v>
      </c>
      <c r="X311" s="2" t="s">
        <v>3148</v>
      </c>
      <c r="Y311" s="2" t="s">
        <v>44</v>
      </c>
      <c r="Z311" s="2"/>
      <c r="AA311" s="2" t="s">
        <v>45</v>
      </c>
      <c r="AB311" s="2" t="s">
        <v>46</v>
      </c>
      <c r="AC311" s="2" t="s">
        <v>45</v>
      </c>
      <c r="AE311" s="2" t="s">
        <v>48</v>
      </c>
      <c r="AF311" s="2" t="s">
        <v>49</v>
      </c>
      <c r="AG311" s="2">
        <v>100</v>
      </c>
      <c r="AH311" s="2">
        <v>90</v>
      </c>
      <c r="AJ311" s="2" t="s">
        <v>3150</v>
      </c>
      <c r="AK311" s="2"/>
      <c r="AL311" s="2"/>
      <c r="AM311" s="2" t="s">
        <v>52</v>
      </c>
    </row>
    <row r="312" spans="1:39" x14ac:dyDescent="0.45">
      <c r="A312" s="2" t="s">
        <v>3151</v>
      </c>
      <c r="B312" s="2"/>
      <c r="C312" s="2" t="s">
        <v>3153</v>
      </c>
      <c r="D312" s="2" t="s">
        <v>3155</v>
      </c>
      <c r="E312" s="25"/>
      <c r="F312" s="21"/>
      <c r="G312" s="42" t="s">
        <v>28000</v>
      </c>
      <c r="H312" s="2" t="s">
        <v>50</v>
      </c>
      <c r="I312" s="2" t="s">
        <v>3159</v>
      </c>
      <c r="J312" s="2" t="s">
        <v>3152</v>
      </c>
      <c r="K312" s="2" t="s">
        <v>3154</v>
      </c>
      <c r="L312" s="2" t="s">
        <v>3156</v>
      </c>
      <c r="M312" s="2" t="s">
        <v>3156</v>
      </c>
      <c r="N312" s="2" t="s">
        <v>59</v>
      </c>
      <c r="O312" s="2" t="s">
        <v>60</v>
      </c>
      <c r="P312" s="2" t="s">
        <v>3157</v>
      </c>
      <c r="Q312" s="2" t="s">
        <v>3154</v>
      </c>
      <c r="R312" s="2"/>
      <c r="S312" s="2"/>
      <c r="T312" s="2"/>
      <c r="U312" s="2" t="s">
        <v>59</v>
      </c>
      <c r="V312" s="2" t="s">
        <v>60</v>
      </c>
      <c r="W312" s="2" t="s">
        <v>3157</v>
      </c>
      <c r="X312" s="2" t="s">
        <v>3158</v>
      </c>
      <c r="Y312" s="2" t="s">
        <v>44</v>
      </c>
      <c r="Z312" s="2"/>
      <c r="AA312" s="2" t="s">
        <v>45</v>
      </c>
      <c r="AB312" s="2" t="s">
        <v>46</v>
      </c>
      <c r="AC312" s="2" t="s">
        <v>45</v>
      </c>
      <c r="AE312" s="2" t="s">
        <v>48</v>
      </c>
      <c r="AF312" s="2" t="s">
        <v>49</v>
      </c>
      <c r="AG312" s="2">
        <v>100</v>
      </c>
      <c r="AH312" s="2">
        <v>90</v>
      </c>
      <c r="AJ312" s="2" t="s">
        <v>3160</v>
      </c>
      <c r="AK312" s="2"/>
      <c r="AL312" s="2"/>
      <c r="AM312" s="2" t="s">
        <v>52</v>
      </c>
    </row>
    <row r="313" spans="1:39" x14ac:dyDescent="0.45">
      <c r="A313" s="2" t="s">
        <v>3161</v>
      </c>
      <c r="B313" s="2"/>
      <c r="C313" s="2" t="s">
        <v>3163</v>
      </c>
      <c r="D313" s="2" t="s">
        <v>3165</v>
      </c>
      <c r="E313" s="25"/>
      <c r="F313" s="21"/>
      <c r="G313" s="42" t="s">
        <v>28000</v>
      </c>
      <c r="H313" s="2" t="s">
        <v>50</v>
      </c>
      <c r="I313" s="2" t="s">
        <v>3170</v>
      </c>
      <c r="J313" s="2" t="s">
        <v>3162</v>
      </c>
      <c r="K313" s="2" t="s">
        <v>3164</v>
      </c>
      <c r="L313" s="2" t="s">
        <v>3166</v>
      </c>
      <c r="M313" s="2" t="s">
        <v>3166</v>
      </c>
      <c r="N313" s="2" t="s">
        <v>59</v>
      </c>
      <c r="O313" s="2" t="s">
        <v>60</v>
      </c>
      <c r="P313" s="2" t="s">
        <v>3167</v>
      </c>
      <c r="Q313" s="2" t="s">
        <v>3168</v>
      </c>
      <c r="R313" s="2"/>
      <c r="S313" s="2"/>
      <c r="T313" s="2"/>
      <c r="U313" s="2" t="s">
        <v>59</v>
      </c>
      <c r="V313" s="2" t="s">
        <v>60</v>
      </c>
      <c r="W313" s="2" t="s">
        <v>151</v>
      </c>
      <c r="X313" s="2" t="s">
        <v>3169</v>
      </c>
      <c r="Y313" s="2" t="s">
        <v>44</v>
      </c>
      <c r="Z313" s="2"/>
      <c r="AA313" s="2" t="s">
        <v>45</v>
      </c>
      <c r="AB313" s="2" t="s">
        <v>46</v>
      </c>
      <c r="AC313" s="2" t="s">
        <v>45</v>
      </c>
      <c r="AE313" s="2" t="s">
        <v>48</v>
      </c>
      <c r="AF313" s="2" t="s">
        <v>49</v>
      </c>
      <c r="AG313" s="2">
        <v>100</v>
      </c>
      <c r="AH313" s="2">
        <v>90</v>
      </c>
      <c r="AJ313" s="2" t="s">
        <v>3171</v>
      </c>
      <c r="AK313" s="2"/>
      <c r="AL313" s="2"/>
      <c r="AM313" s="2" t="s">
        <v>52</v>
      </c>
    </row>
    <row r="314" spans="1:39" x14ac:dyDescent="0.45">
      <c r="A314" s="2" t="s">
        <v>3172</v>
      </c>
      <c r="B314" s="2"/>
      <c r="C314" s="2" t="s">
        <v>3174</v>
      </c>
      <c r="D314" s="2" t="s">
        <v>3176</v>
      </c>
      <c r="E314" s="25"/>
      <c r="F314" s="21"/>
      <c r="G314" s="42" t="s">
        <v>28000</v>
      </c>
      <c r="H314" s="2" t="s">
        <v>50</v>
      </c>
      <c r="I314" s="2" t="s">
        <v>3180</v>
      </c>
      <c r="J314" s="2" t="s">
        <v>3173</v>
      </c>
      <c r="K314" s="2" t="s">
        <v>3175</v>
      </c>
      <c r="L314" s="2" t="s">
        <v>3177</v>
      </c>
      <c r="M314" s="2" t="s">
        <v>3177</v>
      </c>
      <c r="N314" s="2" t="s">
        <v>72</v>
      </c>
      <c r="O314" s="2" t="s">
        <v>73</v>
      </c>
      <c r="P314" s="2" t="s">
        <v>232</v>
      </c>
      <c r="Q314" s="2" t="s">
        <v>3178</v>
      </c>
      <c r="R314" s="2"/>
      <c r="S314" s="2"/>
      <c r="T314" s="2"/>
      <c r="U314" s="2" t="s">
        <v>72</v>
      </c>
      <c r="V314" s="2" t="s">
        <v>73</v>
      </c>
      <c r="W314" s="2" t="s">
        <v>232</v>
      </c>
      <c r="X314" s="2" t="s">
        <v>3179</v>
      </c>
      <c r="Y314" s="2" t="s">
        <v>44</v>
      </c>
      <c r="Z314" s="2"/>
      <c r="AA314" s="2" t="s">
        <v>45</v>
      </c>
      <c r="AB314" s="2" t="s">
        <v>46</v>
      </c>
      <c r="AC314" s="2" t="s">
        <v>45</v>
      </c>
      <c r="AE314" s="2" t="s">
        <v>48</v>
      </c>
      <c r="AF314" s="2" t="s">
        <v>49</v>
      </c>
      <c r="AG314" s="2">
        <v>100</v>
      </c>
      <c r="AH314" s="2">
        <v>90</v>
      </c>
      <c r="AJ314" s="2" t="s">
        <v>3181</v>
      </c>
      <c r="AK314" s="2"/>
      <c r="AL314" s="2"/>
      <c r="AM314" s="2" t="s">
        <v>52</v>
      </c>
    </row>
    <row r="315" spans="1:39" x14ac:dyDescent="0.45">
      <c r="A315" s="2" t="s">
        <v>3182</v>
      </c>
      <c r="B315" s="2"/>
      <c r="C315" s="2" t="s">
        <v>3184</v>
      </c>
      <c r="D315" s="2" t="s">
        <v>3186</v>
      </c>
      <c r="E315" s="25"/>
      <c r="F315" s="21"/>
      <c r="G315" s="42" t="s">
        <v>28000</v>
      </c>
      <c r="H315" s="2" t="s">
        <v>50</v>
      </c>
      <c r="I315" s="2" t="s">
        <v>3190</v>
      </c>
      <c r="J315" s="2" t="s">
        <v>3183</v>
      </c>
      <c r="K315" s="2" t="s">
        <v>3185</v>
      </c>
      <c r="L315" s="2" t="s">
        <v>3187</v>
      </c>
      <c r="M315" s="2" t="s">
        <v>3187</v>
      </c>
      <c r="N315" s="2" t="s">
        <v>72</v>
      </c>
      <c r="O315" s="2" t="s">
        <v>73</v>
      </c>
      <c r="P315" s="2" t="s">
        <v>474</v>
      </c>
      <c r="Q315" s="2" t="s">
        <v>3188</v>
      </c>
      <c r="R315" s="2"/>
      <c r="S315" s="2"/>
      <c r="T315" s="2"/>
      <c r="U315" s="2" t="s">
        <v>72</v>
      </c>
      <c r="V315" s="2" t="s">
        <v>73</v>
      </c>
      <c r="W315" s="2" t="s">
        <v>474</v>
      </c>
      <c r="X315" s="2" t="s">
        <v>3189</v>
      </c>
      <c r="Y315" s="2" t="s">
        <v>44</v>
      </c>
      <c r="Z315" s="2"/>
      <c r="AA315" s="2" t="s">
        <v>45</v>
      </c>
      <c r="AB315" s="2" t="s">
        <v>46</v>
      </c>
      <c r="AC315" s="2" t="s">
        <v>45</v>
      </c>
      <c r="AE315" s="2" t="s">
        <v>48</v>
      </c>
      <c r="AF315" s="2" t="s">
        <v>49</v>
      </c>
      <c r="AG315" s="2">
        <v>100</v>
      </c>
      <c r="AH315" s="2">
        <v>90</v>
      </c>
      <c r="AJ315" s="2" t="s">
        <v>3191</v>
      </c>
      <c r="AK315" s="2"/>
      <c r="AL315" s="2"/>
      <c r="AM315" s="2" t="s">
        <v>52</v>
      </c>
    </row>
    <row r="316" spans="1:39" x14ac:dyDescent="0.45">
      <c r="A316" s="2" t="s">
        <v>3192</v>
      </c>
      <c r="B316" s="2"/>
      <c r="C316" s="2" t="s">
        <v>3194</v>
      </c>
      <c r="D316" s="2" t="s">
        <v>3196</v>
      </c>
      <c r="E316" s="25"/>
      <c r="F316" s="21"/>
      <c r="G316" s="42" t="s">
        <v>28000</v>
      </c>
      <c r="H316" s="2" t="s">
        <v>50</v>
      </c>
      <c r="I316" s="2" t="s">
        <v>3200</v>
      </c>
      <c r="J316" s="2" t="s">
        <v>3193</v>
      </c>
      <c r="K316" s="2" t="s">
        <v>3195</v>
      </c>
      <c r="L316" s="2" t="s">
        <v>3197</v>
      </c>
      <c r="M316" s="2"/>
      <c r="N316" s="2" t="s">
        <v>72</v>
      </c>
      <c r="O316" s="2" t="s">
        <v>73</v>
      </c>
      <c r="P316" s="2" t="s">
        <v>98</v>
      </c>
      <c r="Q316" s="2" t="s">
        <v>3198</v>
      </c>
      <c r="R316" s="2"/>
      <c r="S316" s="2"/>
      <c r="T316" s="2"/>
      <c r="U316" s="2" t="s">
        <v>72</v>
      </c>
      <c r="V316" s="2" t="s">
        <v>73</v>
      </c>
      <c r="W316" s="2" t="s">
        <v>98</v>
      </c>
      <c r="X316" s="2" t="s">
        <v>3199</v>
      </c>
      <c r="Y316" s="2" t="s">
        <v>44</v>
      </c>
      <c r="Z316" s="2"/>
      <c r="AA316" s="2" t="s">
        <v>45</v>
      </c>
      <c r="AB316" s="2" t="s">
        <v>46</v>
      </c>
      <c r="AC316" s="2" t="s">
        <v>45</v>
      </c>
      <c r="AE316" s="2" t="s">
        <v>48</v>
      </c>
      <c r="AF316" s="2" t="s">
        <v>49</v>
      </c>
      <c r="AG316" s="2">
        <v>100</v>
      </c>
      <c r="AH316" s="2">
        <v>90</v>
      </c>
      <c r="AJ316" s="2" t="s">
        <v>3201</v>
      </c>
      <c r="AK316" s="2"/>
      <c r="AL316" s="2"/>
      <c r="AM316" s="2" t="s">
        <v>52</v>
      </c>
    </row>
    <row r="317" spans="1:39" x14ac:dyDescent="0.45">
      <c r="A317" s="2" t="s">
        <v>3202</v>
      </c>
      <c r="B317" s="2"/>
      <c r="C317" s="2" t="s">
        <v>3204</v>
      </c>
      <c r="D317" s="2" t="s">
        <v>3206</v>
      </c>
      <c r="E317" s="25"/>
      <c r="F317" s="21"/>
      <c r="G317" s="42" t="s">
        <v>28000</v>
      </c>
      <c r="H317" s="2" t="s">
        <v>50</v>
      </c>
      <c r="I317" s="2" t="s">
        <v>1400</v>
      </c>
      <c r="J317" s="2" t="s">
        <v>3203</v>
      </c>
      <c r="K317" s="2" t="s">
        <v>3205</v>
      </c>
      <c r="L317" s="2" t="s">
        <v>3207</v>
      </c>
      <c r="M317" s="2"/>
      <c r="N317" s="2" t="s">
        <v>72</v>
      </c>
      <c r="O317" s="2" t="s">
        <v>73</v>
      </c>
      <c r="P317" s="2" t="s">
        <v>140</v>
      </c>
      <c r="Q317" s="2" t="s">
        <v>3205</v>
      </c>
      <c r="R317" s="2"/>
      <c r="S317" s="2"/>
      <c r="T317" s="2"/>
      <c r="U317" s="2" t="s">
        <v>72</v>
      </c>
      <c r="V317" s="2" t="s">
        <v>73</v>
      </c>
      <c r="W317" s="2" t="s">
        <v>140</v>
      </c>
      <c r="X317" s="2" t="s">
        <v>692</v>
      </c>
      <c r="Y317" s="2" t="s">
        <v>44</v>
      </c>
      <c r="Z317" s="2"/>
      <c r="AA317" s="2" t="s">
        <v>45</v>
      </c>
      <c r="AB317" s="2" t="s">
        <v>46</v>
      </c>
      <c r="AC317" s="2" t="s">
        <v>45</v>
      </c>
      <c r="AE317" s="2" t="s">
        <v>48</v>
      </c>
      <c r="AF317" s="2" t="s">
        <v>49</v>
      </c>
      <c r="AG317" s="2">
        <v>100</v>
      </c>
      <c r="AH317" s="2">
        <v>90</v>
      </c>
      <c r="AJ317" s="2" t="s">
        <v>1401</v>
      </c>
      <c r="AK317" s="2"/>
      <c r="AL317" s="2"/>
      <c r="AM317" s="2" t="s">
        <v>52</v>
      </c>
    </row>
    <row r="318" spans="1:39" x14ac:dyDescent="0.45">
      <c r="A318" s="2" t="s">
        <v>3208</v>
      </c>
      <c r="B318" s="2"/>
      <c r="C318" s="2" t="s">
        <v>3210</v>
      </c>
      <c r="D318" s="2" t="s">
        <v>3212</v>
      </c>
      <c r="E318" s="25"/>
      <c r="F318" s="21"/>
      <c r="G318" s="42" t="s">
        <v>28000</v>
      </c>
      <c r="H318" s="2" t="s">
        <v>50</v>
      </c>
      <c r="I318" s="2" t="s">
        <v>3217</v>
      </c>
      <c r="J318" s="2" t="s">
        <v>3209</v>
      </c>
      <c r="K318" s="2" t="s">
        <v>3211</v>
      </c>
      <c r="L318" s="2" t="s">
        <v>3213</v>
      </c>
      <c r="M318" s="2" t="s">
        <v>3213</v>
      </c>
      <c r="N318" s="2" t="s">
        <v>536</v>
      </c>
      <c r="O318" s="2" t="s">
        <v>537</v>
      </c>
      <c r="P318" s="2" t="s">
        <v>3214</v>
      </c>
      <c r="Q318" s="2" t="s">
        <v>3215</v>
      </c>
      <c r="R318" s="2"/>
      <c r="S318" s="2"/>
      <c r="T318" s="2"/>
      <c r="U318" s="2" t="s">
        <v>536</v>
      </c>
      <c r="V318" s="2" t="s">
        <v>537</v>
      </c>
      <c r="W318" s="2" t="s">
        <v>3214</v>
      </c>
      <c r="X318" s="2" t="s">
        <v>3216</v>
      </c>
      <c r="Y318" s="2" t="s">
        <v>44</v>
      </c>
      <c r="Z318" s="2"/>
      <c r="AA318" s="2" t="s">
        <v>45</v>
      </c>
      <c r="AB318" s="2" t="s">
        <v>46</v>
      </c>
      <c r="AC318" s="2" t="s">
        <v>45</v>
      </c>
      <c r="AE318" s="2" t="s">
        <v>48</v>
      </c>
      <c r="AF318" s="2" t="s">
        <v>49</v>
      </c>
      <c r="AG318" s="2">
        <v>100</v>
      </c>
      <c r="AH318" s="2">
        <v>90</v>
      </c>
      <c r="AJ318" s="2" t="s">
        <v>3218</v>
      </c>
      <c r="AK318" s="2"/>
      <c r="AL318" s="2"/>
      <c r="AM318" s="2" t="s">
        <v>52</v>
      </c>
    </row>
    <row r="319" spans="1:39" x14ac:dyDescent="0.45">
      <c r="A319" s="2" t="s">
        <v>3219</v>
      </c>
      <c r="B319" s="2"/>
      <c r="C319" s="2" t="s">
        <v>3221</v>
      </c>
      <c r="D319" s="2" t="s">
        <v>3223</v>
      </c>
      <c r="E319" s="25"/>
      <c r="F319" s="21"/>
      <c r="G319" s="42" t="s">
        <v>28000</v>
      </c>
      <c r="H319" s="2" t="s">
        <v>50</v>
      </c>
      <c r="I319" s="2" t="s">
        <v>3227</v>
      </c>
      <c r="J319" s="2" t="s">
        <v>3220</v>
      </c>
      <c r="K319" s="2" t="s">
        <v>3222</v>
      </c>
      <c r="L319" s="2" t="s">
        <v>3224</v>
      </c>
      <c r="M319" s="2" t="s">
        <v>3224</v>
      </c>
      <c r="N319" s="2" t="s">
        <v>72</v>
      </c>
      <c r="O319" s="2" t="s">
        <v>73</v>
      </c>
      <c r="P319" s="2" t="s">
        <v>140</v>
      </c>
      <c r="Q319" s="2" t="s">
        <v>3225</v>
      </c>
      <c r="R319" s="2"/>
      <c r="S319" s="2"/>
      <c r="T319" s="2"/>
      <c r="U319" s="2" t="s">
        <v>72</v>
      </c>
      <c r="V319" s="2" t="s">
        <v>73</v>
      </c>
      <c r="W319" s="2" t="s">
        <v>98</v>
      </c>
      <c r="X319" s="2" t="s">
        <v>3226</v>
      </c>
      <c r="Y319" s="2" t="s">
        <v>44</v>
      </c>
      <c r="Z319" s="2"/>
      <c r="AA319" s="2" t="s">
        <v>45</v>
      </c>
      <c r="AB319" s="2" t="s">
        <v>46</v>
      </c>
      <c r="AC319" s="2" t="s">
        <v>45</v>
      </c>
      <c r="AE319" s="2" t="s">
        <v>48</v>
      </c>
      <c r="AF319" s="2" t="s">
        <v>49</v>
      </c>
      <c r="AG319" s="2">
        <v>100</v>
      </c>
      <c r="AH319" s="2">
        <v>90</v>
      </c>
      <c r="AJ319" s="2" t="s">
        <v>3228</v>
      </c>
      <c r="AK319" s="2"/>
      <c r="AL319" s="2"/>
      <c r="AM319" s="2" t="s">
        <v>52</v>
      </c>
    </row>
    <row r="320" spans="1:39" x14ac:dyDescent="0.45">
      <c r="A320" s="2" t="s">
        <v>3229</v>
      </c>
      <c r="B320" s="2"/>
      <c r="C320" s="2" t="s">
        <v>3231</v>
      </c>
      <c r="D320" s="2" t="s">
        <v>3233</v>
      </c>
      <c r="E320" s="25"/>
      <c r="F320" s="21"/>
      <c r="G320" s="42" t="s">
        <v>28000</v>
      </c>
      <c r="H320" s="2" t="s">
        <v>50</v>
      </c>
      <c r="I320" s="2" t="s">
        <v>3237</v>
      </c>
      <c r="J320" s="2" t="s">
        <v>3230</v>
      </c>
      <c r="K320" s="2" t="s">
        <v>3232</v>
      </c>
      <c r="L320" s="2" t="s">
        <v>3234</v>
      </c>
      <c r="M320" s="2" t="s">
        <v>3234</v>
      </c>
      <c r="N320" s="2" t="s">
        <v>59</v>
      </c>
      <c r="O320" s="2" t="s">
        <v>60</v>
      </c>
      <c r="P320" s="2" t="s">
        <v>3235</v>
      </c>
      <c r="Q320" s="2" t="s">
        <v>3232</v>
      </c>
      <c r="R320" s="2"/>
      <c r="S320" s="2"/>
      <c r="T320" s="2"/>
      <c r="U320" s="2" t="s">
        <v>59</v>
      </c>
      <c r="V320" s="2" t="s">
        <v>60</v>
      </c>
      <c r="W320" s="2" t="s">
        <v>3235</v>
      </c>
      <c r="X320" s="2" t="s">
        <v>3236</v>
      </c>
      <c r="Y320" s="2" t="s">
        <v>44</v>
      </c>
      <c r="Z320" s="2"/>
      <c r="AA320" s="2" t="s">
        <v>45</v>
      </c>
      <c r="AB320" s="2" t="s">
        <v>46</v>
      </c>
      <c r="AC320" s="2" t="s">
        <v>45</v>
      </c>
      <c r="AE320" s="2" t="s">
        <v>48</v>
      </c>
      <c r="AF320" s="2" t="s">
        <v>49</v>
      </c>
      <c r="AG320" s="2">
        <v>100</v>
      </c>
      <c r="AH320" s="2">
        <v>90</v>
      </c>
      <c r="AJ320" s="2" t="s">
        <v>3238</v>
      </c>
      <c r="AK320" s="2"/>
      <c r="AL320" s="2"/>
      <c r="AM320" s="2" t="s">
        <v>52</v>
      </c>
    </row>
    <row r="321" spans="1:39" x14ac:dyDescent="0.45">
      <c r="A321" s="2" t="s">
        <v>3239</v>
      </c>
      <c r="B321" s="2"/>
      <c r="C321" s="2" t="s">
        <v>3241</v>
      </c>
      <c r="D321" s="2" t="s">
        <v>3243</v>
      </c>
      <c r="E321" s="25"/>
      <c r="F321" s="21"/>
      <c r="G321" s="42" t="s">
        <v>28000</v>
      </c>
      <c r="H321" s="2" t="s">
        <v>50</v>
      </c>
      <c r="I321" s="2" t="s">
        <v>3247</v>
      </c>
      <c r="J321" s="2" t="s">
        <v>3240</v>
      </c>
      <c r="K321" s="2" t="s">
        <v>3242</v>
      </c>
      <c r="L321" s="2" t="s">
        <v>3244</v>
      </c>
      <c r="M321" s="2" t="s">
        <v>3244</v>
      </c>
      <c r="N321" s="2" t="s">
        <v>72</v>
      </c>
      <c r="O321" s="2" t="s">
        <v>73</v>
      </c>
      <c r="P321" s="2" t="s">
        <v>464</v>
      </c>
      <c r="Q321" s="2" t="s">
        <v>3245</v>
      </c>
      <c r="R321" s="2"/>
      <c r="S321" s="2"/>
      <c r="T321" s="2"/>
      <c r="U321" s="2" t="s">
        <v>72</v>
      </c>
      <c r="V321" s="2" t="s">
        <v>73</v>
      </c>
      <c r="W321" s="2" t="s">
        <v>464</v>
      </c>
      <c r="X321" s="2" t="s">
        <v>3246</v>
      </c>
      <c r="Y321" s="2" t="s">
        <v>44</v>
      </c>
      <c r="Z321" s="2"/>
      <c r="AA321" s="2" t="s">
        <v>45</v>
      </c>
      <c r="AB321" s="2" t="s">
        <v>46</v>
      </c>
      <c r="AC321" s="2" t="s">
        <v>45</v>
      </c>
      <c r="AE321" s="2" t="s">
        <v>48</v>
      </c>
      <c r="AF321" s="2" t="s">
        <v>49</v>
      </c>
      <c r="AG321" s="2">
        <v>100</v>
      </c>
      <c r="AH321" s="2">
        <v>90</v>
      </c>
      <c r="AJ321" s="2" t="s">
        <v>3248</v>
      </c>
      <c r="AK321" s="2"/>
      <c r="AL321" s="2"/>
      <c r="AM321" s="2" t="s">
        <v>52</v>
      </c>
    </row>
    <row r="322" spans="1:39" x14ac:dyDescent="0.45">
      <c r="A322" s="2" t="s">
        <v>3249</v>
      </c>
      <c r="B322" s="2"/>
      <c r="C322" s="2" t="s">
        <v>3251</v>
      </c>
      <c r="D322" s="2" t="s">
        <v>3253</v>
      </c>
      <c r="E322" s="25"/>
      <c r="F322" s="21"/>
      <c r="G322" s="42" t="s">
        <v>28000</v>
      </c>
      <c r="H322" s="2" t="s">
        <v>50</v>
      </c>
      <c r="I322" s="2" t="s">
        <v>3256</v>
      </c>
      <c r="J322" s="2" t="s">
        <v>3250</v>
      </c>
      <c r="K322" s="2" t="s">
        <v>3252</v>
      </c>
      <c r="L322" s="2" t="s">
        <v>3254</v>
      </c>
      <c r="M322" s="2" t="s">
        <v>3254</v>
      </c>
      <c r="N322" s="2" t="s">
        <v>72</v>
      </c>
      <c r="O322" s="2" t="s">
        <v>73</v>
      </c>
      <c r="P322" s="2" t="s">
        <v>2725</v>
      </c>
      <c r="Q322" s="2" t="s">
        <v>3252</v>
      </c>
      <c r="R322" s="2"/>
      <c r="S322" s="2"/>
      <c r="T322" s="2"/>
      <c r="U322" s="2" t="s">
        <v>72</v>
      </c>
      <c r="V322" s="2" t="s">
        <v>73</v>
      </c>
      <c r="W322" s="2" t="s">
        <v>2725</v>
      </c>
      <c r="X322" s="2" t="s">
        <v>3255</v>
      </c>
      <c r="Y322" s="2" t="s">
        <v>44</v>
      </c>
      <c r="Z322" s="2"/>
      <c r="AA322" s="2" t="s">
        <v>45</v>
      </c>
      <c r="AB322" s="2" t="s">
        <v>46</v>
      </c>
      <c r="AC322" s="2" t="s">
        <v>45</v>
      </c>
      <c r="AE322" s="2" t="s">
        <v>48</v>
      </c>
      <c r="AF322" s="2" t="s">
        <v>49</v>
      </c>
      <c r="AG322" s="2">
        <v>100</v>
      </c>
      <c r="AH322" s="2">
        <v>90</v>
      </c>
      <c r="AJ322" s="2" t="s">
        <v>3257</v>
      </c>
      <c r="AK322" s="2"/>
      <c r="AL322" s="2"/>
      <c r="AM322" s="2" t="s">
        <v>52</v>
      </c>
    </row>
    <row r="323" spans="1:39" x14ac:dyDescent="0.45">
      <c r="A323" s="2" t="s">
        <v>3258</v>
      </c>
      <c r="B323" s="2"/>
      <c r="C323" s="2" t="s">
        <v>3260</v>
      </c>
      <c r="D323" s="2" t="s">
        <v>3262</v>
      </c>
      <c r="E323" s="25"/>
      <c r="F323" s="21"/>
      <c r="G323" s="42" t="s">
        <v>28000</v>
      </c>
      <c r="H323" s="2" t="s">
        <v>50</v>
      </c>
      <c r="I323" s="2" t="s">
        <v>3265</v>
      </c>
      <c r="J323" s="2" t="s">
        <v>3259</v>
      </c>
      <c r="K323" s="2" t="s">
        <v>3261</v>
      </c>
      <c r="L323" s="2" t="s">
        <v>3263</v>
      </c>
      <c r="M323" s="2" t="s">
        <v>3263</v>
      </c>
      <c r="N323" s="2" t="s">
        <v>72</v>
      </c>
      <c r="O323" s="2" t="s">
        <v>73</v>
      </c>
      <c r="P323" s="2" t="s">
        <v>3264</v>
      </c>
      <c r="Q323" s="2" t="s">
        <v>3261</v>
      </c>
      <c r="R323" s="2"/>
      <c r="S323" s="2"/>
      <c r="T323" s="2"/>
      <c r="U323" s="2" t="s">
        <v>72</v>
      </c>
      <c r="V323" s="2" t="s">
        <v>73</v>
      </c>
      <c r="W323" s="2" t="s">
        <v>3264</v>
      </c>
      <c r="X323" s="2" t="s">
        <v>3255</v>
      </c>
      <c r="Y323" s="2" t="s">
        <v>44</v>
      </c>
      <c r="Z323" s="2"/>
      <c r="AA323" s="2" t="s">
        <v>45</v>
      </c>
      <c r="AB323" s="2" t="s">
        <v>46</v>
      </c>
      <c r="AC323" s="2" t="s">
        <v>45</v>
      </c>
      <c r="AE323" s="2" t="s">
        <v>48</v>
      </c>
      <c r="AF323" s="2" t="s">
        <v>49</v>
      </c>
      <c r="AG323" s="2">
        <v>100</v>
      </c>
      <c r="AH323" s="2">
        <v>90</v>
      </c>
      <c r="AJ323" s="2" t="s">
        <v>3266</v>
      </c>
      <c r="AK323" s="2"/>
      <c r="AL323" s="2"/>
      <c r="AM323" s="2" t="s">
        <v>52</v>
      </c>
    </row>
    <row r="324" spans="1:39" x14ac:dyDescent="0.45">
      <c r="A324" s="2" t="s">
        <v>3267</v>
      </c>
      <c r="B324" s="2"/>
      <c r="C324" s="2" t="s">
        <v>3269</v>
      </c>
      <c r="D324" s="2" t="s">
        <v>3271</v>
      </c>
      <c r="E324" s="25"/>
      <c r="F324" s="21"/>
      <c r="G324" s="42" t="s">
        <v>28000</v>
      </c>
      <c r="H324" s="2" t="s">
        <v>50</v>
      </c>
      <c r="I324" s="2" t="s">
        <v>3274</v>
      </c>
      <c r="J324" s="2" t="s">
        <v>3268</v>
      </c>
      <c r="K324" s="2" t="s">
        <v>3270</v>
      </c>
      <c r="L324" s="2" t="s">
        <v>3272</v>
      </c>
      <c r="M324" s="2"/>
      <c r="N324" s="2" t="s">
        <v>72</v>
      </c>
      <c r="O324" s="2" t="s">
        <v>73</v>
      </c>
      <c r="P324" s="2" t="s">
        <v>98</v>
      </c>
      <c r="Q324" s="2" t="s">
        <v>3270</v>
      </c>
      <c r="R324" s="2"/>
      <c r="S324" s="2"/>
      <c r="T324" s="2"/>
      <c r="U324" s="2" t="s">
        <v>72</v>
      </c>
      <c r="V324" s="2" t="s">
        <v>73</v>
      </c>
      <c r="W324" s="2" t="s">
        <v>98</v>
      </c>
      <c r="X324" s="2" t="s">
        <v>3273</v>
      </c>
      <c r="Y324" s="2" t="s">
        <v>44</v>
      </c>
      <c r="Z324" s="2"/>
      <c r="AA324" s="2" t="s">
        <v>45</v>
      </c>
      <c r="AB324" s="2" t="s">
        <v>46</v>
      </c>
      <c r="AC324" s="2" t="s">
        <v>45</v>
      </c>
      <c r="AE324" s="2" t="s">
        <v>48</v>
      </c>
      <c r="AF324" s="2" t="s">
        <v>49</v>
      </c>
      <c r="AG324" s="2">
        <v>100</v>
      </c>
      <c r="AH324" s="2">
        <v>90</v>
      </c>
      <c r="AJ324" s="2" t="s">
        <v>3275</v>
      </c>
      <c r="AK324" s="2"/>
      <c r="AL324" s="2"/>
      <c r="AM324" s="2" t="s">
        <v>52</v>
      </c>
    </row>
    <row r="325" spans="1:39" x14ac:dyDescent="0.45">
      <c r="A325" s="2" t="s">
        <v>3276</v>
      </c>
      <c r="B325" s="2"/>
      <c r="C325" s="2" t="s">
        <v>3278</v>
      </c>
      <c r="D325" s="2" t="s">
        <v>3280</v>
      </c>
      <c r="E325" s="25"/>
      <c r="F325" s="21"/>
      <c r="G325" s="42" t="s">
        <v>28000</v>
      </c>
      <c r="H325" s="2" t="s">
        <v>50</v>
      </c>
      <c r="I325" s="2" t="s">
        <v>3284</v>
      </c>
      <c r="J325" s="2" t="s">
        <v>3277</v>
      </c>
      <c r="K325" s="2" t="s">
        <v>3279</v>
      </c>
      <c r="L325" s="2" t="s">
        <v>3281</v>
      </c>
      <c r="M325" s="2" t="s">
        <v>3281</v>
      </c>
      <c r="N325" s="2" t="s">
        <v>39</v>
      </c>
      <c r="O325" s="2" t="s">
        <v>40</v>
      </c>
      <c r="P325" s="2" t="s">
        <v>2250</v>
      </c>
      <c r="Q325" s="2" t="s">
        <v>3282</v>
      </c>
      <c r="R325" s="2"/>
      <c r="S325" s="2"/>
      <c r="T325" s="2"/>
      <c r="U325" s="2" t="s">
        <v>72</v>
      </c>
      <c r="V325" s="2" t="s">
        <v>73</v>
      </c>
      <c r="W325" s="2" t="s">
        <v>791</v>
      </c>
      <c r="X325" s="2" t="s">
        <v>3283</v>
      </c>
      <c r="Y325" s="2" t="s">
        <v>44</v>
      </c>
      <c r="Z325" s="2"/>
      <c r="AA325" s="2" t="s">
        <v>45</v>
      </c>
      <c r="AB325" s="2" t="s">
        <v>46</v>
      </c>
      <c r="AC325" s="2" t="s">
        <v>45</v>
      </c>
      <c r="AE325" s="2" t="s">
        <v>48</v>
      </c>
      <c r="AF325" s="2" t="s">
        <v>49</v>
      </c>
      <c r="AG325" s="2">
        <v>100</v>
      </c>
      <c r="AH325" s="2">
        <v>90</v>
      </c>
      <c r="AJ325" s="2" t="s">
        <v>3285</v>
      </c>
      <c r="AK325" s="2"/>
      <c r="AL325" s="2"/>
      <c r="AM325" s="2" t="s">
        <v>52</v>
      </c>
    </row>
    <row r="326" spans="1:39" x14ac:dyDescent="0.45">
      <c r="A326" s="2" t="s">
        <v>3286</v>
      </c>
      <c r="B326" s="2"/>
      <c r="C326" s="2" t="s">
        <v>3288</v>
      </c>
      <c r="D326" s="2" t="s">
        <v>3290</v>
      </c>
      <c r="E326" s="25"/>
      <c r="F326" s="21"/>
      <c r="G326" s="42" t="s">
        <v>28000</v>
      </c>
      <c r="H326" s="2" t="s">
        <v>50</v>
      </c>
      <c r="I326" s="2" t="s">
        <v>3294</v>
      </c>
      <c r="J326" s="2" t="s">
        <v>3287</v>
      </c>
      <c r="K326" s="2" t="s">
        <v>3289</v>
      </c>
      <c r="L326" s="2" t="s">
        <v>3291</v>
      </c>
      <c r="M326" s="2" t="s">
        <v>3291</v>
      </c>
      <c r="N326" s="2" t="s">
        <v>72</v>
      </c>
      <c r="O326" s="2" t="s">
        <v>73</v>
      </c>
      <c r="P326" s="2" t="s">
        <v>74</v>
      </c>
      <c r="Q326" s="2" t="s">
        <v>3292</v>
      </c>
      <c r="R326" s="2"/>
      <c r="S326" s="2"/>
      <c r="T326" s="2"/>
      <c r="U326" s="2" t="s">
        <v>72</v>
      </c>
      <c r="V326" s="2" t="s">
        <v>73</v>
      </c>
      <c r="W326" s="2" t="s">
        <v>74</v>
      </c>
      <c r="X326" s="2" t="s">
        <v>3293</v>
      </c>
      <c r="Y326" s="2" t="s">
        <v>44</v>
      </c>
      <c r="Z326" s="2"/>
      <c r="AA326" s="2" t="s">
        <v>45</v>
      </c>
      <c r="AB326" s="2" t="s">
        <v>46</v>
      </c>
      <c r="AC326" s="2" t="s">
        <v>45</v>
      </c>
      <c r="AE326" s="2" t="s">
        <v>48</v>
      </c>
      <c r="AF326" s="2" t="s">
        <v>49</v>
      </c>
      <c r="AG326" s="2">
        <v>100</v>
      </c>
      <c r="AH326" s="2">
        <v>90</v>
      </c>
      <c r="AJ326" s="2" t="s">
        <v>3295</v>
      </c>
      <c r="AK326" s="2"/>
      <c r="AL326" s="2"/>
      <c r="AM326" s="2" t="s">
        <v>52</v>
      </c>
    </row>
    <row r="327" spans="1:39" x14ac:dyDescent="0.45">
      <c r="A327" s="2" t="s">
        <v>3296</v>
      </c>
      <c r="B327" s="2"/>
      <c r="C327" s="2" t="s">
        <v>3298</v>
      </c>
      <c r="D327" s="2" t="s">
        <v>3300</v>
      </c>
      <c r="E327" s="25"/>
      <c r="F327" s="21"/>
      <c r="G327" s="42" t="s">
        <v>28000</v>
      </c>
      <c r="H327" s="2" t="s">
        <v>50</v>
      </c>
      <c r="I327" s="2" t="s">
        <v>3305</v>
      </c>
      <c r="J327" s="2" t="s">
        <v>3297</v>
      </c>
      <c r="K327" s="2" t="s">
        <v>3299</v>
      </c>
      <c r="L327" s="2" t="s">
        <v>3301</v>
      </c>
      <c r="M327" s="2" t="s">
        <v>3301</v>
      </c>
      <c r="N327" s="2" t="s">
        <v>72</v>
      </c>
      <c r="O327" s="2" t="s">
        <v>73</v>
      </c>
      <c r="P327" s="2" t="s">
        <v>3302</v>
      </c>
      <c r="Q327" s="2" t="s">
        <v>3303</v>
      </c>
      <c r="R327" s="2"/>
      <c r="S327" s="2"/>
      <c r="T327" s="2"/>
      <c r="U327" s="2" t="s">
        <v>72</v>
      </c>
      <c r="V327" s="2" t="s">
        <v>73</v>
      </c>
      <c r="W327" s="2" t="s">
        <v>3264</v>
      </c>
      <c r="X327" s="2" t="s">
        <v>3304</v>
      </c>
      <c r="Y327" s="2" t="s">
        <v>44</v>
      </c>
      <c r="Z327" s="2"/>
      <c r="AA327" s="2" t="s">
        <v>45</v>
      </c>
      <c r="AB327" s="2" t="s">
        <v>46</v>
      </c>
      <c r="AC327" s="2" t="s">
        <v>45</v>
      </c>
      <c r="AE327" s="2" t="s">
        <v>48</v>
      </c>
      <c r="AF327" s="2" t="s">
        <v>49</v>
      </c>
      <c r="AG327" s="2">
        <v>100</v>
      </c>
      <c r="AH327" s="2">
        <v>90</v>
      </c>
      <c r="AJ327" s="2" t="s">
        <v>3306</v>
      </c>
      <c r="AK327" s="2"/>
      <c r="AL327" s="2"/>
      <c r="AM327" s="2" t="s">
        <v>52</v>
      </c>
    </row>
    <row r="328" spans="1:39" x14ac:dyDescent="0.45">
      <c r="A328" s="2" t="s">
        <v>3307</v>
      </c>
      <c r="B328" s="2"/>
      <c r="C328" s="2" t="s">
        <v>3309</v>
      </c>
      <c r="D328" s="2" t="s">
        <v>3311</v>
      </c>
      <c r="E328" s="25"/>
      <c r="F328" s="21"/>
      <c r="G328" s="42" t="s">
        <v>28000</v>
      </c>
      <c r="H328" s="2" t="s">
        <v>50</v>
      </c>
      <c r="I328" s="2" t="s">
        <v>3314</v>
      </c>
      <c r="J328" s="2" t="s">
        <v>3308</v>
      </c>
      <c r="K328" s="2" t="s">
        <v>3310</v>
      </c>
      <c r="L328" s="2" t="s">
        <v>3312</v>
      </c>
      <c r="M328" s="2" t="s">
        <v>3312</v>
      </c>
      <c r="N328" s="2" t="s">
        <v>59</v>
      </c>
      <c r="O328" s="2" t="s">
        <v>60</v>
      </c>
      <c r="P328" s="2" t="s">
        <v>992</v>
      </c>
      <c r="Q328" s="2" t="s">
        <v>3310</v>
      </c>
      <c r="R328" s="2"/>
      <c r="S328" s="2"/>
      <c r="T328" s="2"/>
      <c r="U328" s="2" t="s">
        <v>59</v>
      </c>
      <c r="V328" s="2" t="s">
        <v>60</v>
      </c>
      <c r="W328" s="2" t="s">
        <v>992</v>
      </c>
      <c r="X328" s="2" t="s">
        <v>3313</v>
      </c>
      <c r="Y328" s="2" t="s">
        <v>44</v>
      </c>
      <c r="Z328" s="2"/>
      <c r="AA328" s="2" t="s">
        <v>45</v>
      </c>
      <c r="AB328" s="2" t="s">
        <v>46</v>
      </c>
      <c r="AC328" s="2" t="s">
        <v>45</v>
      </c>
      <c r="AE328" s="2" t="s">
        <v>48</v>
      </c>
      <c r="AF328" s="2" t="s">
        <v>49</v>
      </c>
      <c r="AG328" s="2">
        <v>100</v>
      </c>
      <c r="AH328" s="2">
        <v>90</v>
      </c>
      <c r="AJ328" s="2" t="s">
        <v>3315</v>
      </c>
      <c r="AK328" s="2"/>
      <c r="AL328" s="2"/>
      <c r="AM328" s="2" t="s">
        <v>52</v>
      </c>
    </row>
    <row r="329" spans="1:39" x14ac:dyDescent="0.45">
      <c r="A329" s="2" t="s">
        <v>3316</v>
      </c>
      <c r="B329" s="2"/>
      <c r="C329" s="2" t="s">
        <v>3318</v>
      </c>
      <c r="D329" s="2" t="s">
        <v>3320</v>
      </c>
      <c r="E329" s="25"/>
      <c r="F329" s="21"/>
      <c r="G329" s="42" t="s">
        <v>28000</v>
      </c>
      <c r="H329" s="2" t="s">
        <v>50</v>
      </c>
      <c r="I329" s="2" t="s">
        <v>3323</v>
      </c>
      <c r="J329" s="2" t="s">
        <v>3317</v>
      </c>
      <c r="K329" s="2" t="s">
        <v>3319</v>
      </c>
      <c r="L329" s="2" t="s">
        <v>3321</v>
      </c>
      <c r="M329" s="2" t="s">
        <v>3321</v>
      </c>
      <c r="N329" s="2" t="s">
        <v>72</v>
      </c>
      <c r="O329" s="2" t="s">
        <v>73</v>
      </c>
      <c r="P329" s="2" t="s">
        <v>74</v>
      </c>
      <c r="Q329" s="2" t="s">
        <v>3322</v>
      </c>
      <c r="R329" s="2"/>
      <c r="S329" s="2"/>
      <c r="T329" s="2"/>
      <c r="U329" s="2" t="s">
        <v>72</v>
      </c>
      <c r="V329" s="2" t="s">
        <v>73</v>
      </c>
      <c r="W329" s="2" t="s">
        <v>74</v>
      </c>
      <c r="X329" s="2" t="s">
        <v>1049</v>
      </c>
      <c r="Y329" s="2" t="s">
        <v>44</v>
      </c>
      <c r="Z329" s="2"/>
      <c r="AA329" s="2" t="s">
        <v>45</v>
      </c>
      <c r="AB329" s="2" t="s">
        <v>46</v>
      </c>
      <c r="AC329" s="2" t="s">
        <v>45</v>
      </c>
      <c r="AE329" s="2" t="s">
        <v>48</v>
      </c>
      <c r="AF329" s="2" t="s">
        <v>49</v>
      </c>
      <c r="AG329" s="2">
        <v>100</v>
      </c>
      <c r="AH329" s="2">
        <v>90</v>
      </c>
      <c r="AJ329" s="2" t="s">
        <v>3324</v>
      </c>
      <c r="AK329" s="2"/>
      <c r="AL329" s="2"/>
      <c r="AM329" s="2" t="s">
        <v>52</v>
      </c>
    </row>
    <row r="330" spans="1:39" x14ac:dyDescent="0.45">
      <c r="A330" s="2" t="s">
        <v>3325</v>
      </c>
      <c r="B330" s="2"/>
      <c r="C330" s="2" t="s">
        <v>3327</v>
      </c>
      <c r="D330" s="2" t="s">
        <v>3329</v>
      </c>
      <c r="E330" s="25"/>
      <c r="F330" s="21"/>
      <c r="G330" s="42" t="s">
        <v>28000</v>
      </c>
      <c r="H330" s="2" t="s">
        <v>50</v>
      </c>
      <c r="I330" s="2" t="s">
        <v>3333</v>
      </c>
      <c r="J330" s="2" t="s">
        <v>3326</v>
      </c>
      <c r="K330" s="2" t="s">
        <v>3328</v>
      </c>
      <c r="L330" s="2" t="s">
        <v>3330</v>
      </c>
      <c r="M330" s="2" t="s">
        <v>3330</v>
      </c>
      <c r="N330" s="2" t="s">
        <v>72</v>
      </c>
      <c r="O330" s="2" t="s">
        <v>73</v>
      </c>
      <c r="P330" s="2" t="s">
        <v>1557</v>
      </c>
      <c r="Q330" s="2" t="s">
        <v>3331</v>
      </c>
      <c r="R330" s="2"/>
      <c r="S330" s="2"/>
      <c r="T330" s="2"/>
      <c r="U330" s="2" t="s">
        <v>72</v>
      </c>
      <c r="V330" s="2" t="s">
        <v>73</v>
      </c>
      <c r="W330" s="2" t="s">
        <v>1557</v>
      </c>
      <c r="X330" s="2" t="s">
        <v>3332</v>
      </c>
      <c r="Y330" s="2" t="s">
        <v>44</v>
      </c>
      <c r="Z330" s="2"/>
      <c r="AA330" s="2" t="s">
        <v>45</v>
      </c>
      <c r="AB330" s="2" t="s">
        <v>46</v>
      </c>
      <c r="AC330" s="2" t="s">
        <v>45</v>
      </c>
      <c r="AE330" s="2" t="s">
        <v>48</v>
      </c>
      <c r="AF330" s="2" t="s">
        <v>49</v>
      </c>
      <c r="AG330" s="2">
        <v>100</v>
      </c>
      <c r="AH330" s="2">
        <v>90</v>
      </c>
      <c r="AJ330" s="2" t="s">
        <v>3334</v>
      </c>
      <c r="AK330" s="2"/>
      <c r="AL330" s="2"/>
      <c r="AM330" s="2" t="s">
        <v>52</v>
      </c>
    </row>
    <row r="331" spans="1:39" x14ac:dyDescent="0.45">
      <c r="A331" s="2" t="s">
        <v>3335</v>
      </c>
      <c r="B331" s="2"/>
      <c r="C331" s="2" t="s">
        <v>3337</v>
      </c>
      <c r="D331" s="2" t="s">
        <v>3339</v>
      </c>
      <c r="E331" s="25"/>
      <c r="F331" s="21"/>
      <c r="G331" s="42" t="s">
        <v>28000</v>
      </c>
      <c r="H331" s="2" t="s">
        <v>50</v>
      </c>
      <c r="I331" s="2" t="s">
        <v>3342</v>
      </c>
      <c r="J331" s="2" t="s">
        <v>3336</v>
      </c>
      <c r="K331" s="2" t="s">
        <v>3338</v>
      </c>
      <c r="L331" s="2" t="s">
        <v>3340</v>
      </c>
      <c r="M331" s="2"/>
      <c r="N331" s="2" t="s">
        <v>72</v>
      </c>
      <c r="O331" s="2" t="s">
        <v>73</v>
      </c>
      <c r="P331" s="2" t="s">
        <v>1295</v>
      </c>
      <c r="Q331" s="2" t="s">
        <v>3338</v>
      </c>
      <c r="R331" s="2"/>
      <c r="S331" s="2"/>
      <c r="T331" s="2"/>
      <c r="U331" s="2" t="s">
        <v>72</v>
      </c>
      <c r="V331" s="2" t="s">
        <v>73</v>
      </c>
      <c r="W331" s="2" t="s">
        <v>1295</v>
      </c>
      <c r="X331" s="2" t="s">
        <v>3341</v>
      </c>
      <c r="Y331" s="2" t="s">
        <v>44</v>
      </c>
      <c r="Z331" s="2"/>
      <c r="AA331" s="2" t="s">
        <v>45</v>
      </c>
      <c r="AB331" s="2" t="s">
        <v>46</v>
      </c>
      <c r="AC331" s="2" t="s">
        <v>45</v>
      </c>
      <c r="AE331" s="2" t="s">
        <v>48</v>
      </c>
      <c r="AF331" s="2" t="s">
        <v>49</v>
      </c>
      <c r="AG331" s="2">
        <v>100</v>
      </c>
      <c r="AH331" s="2">
        <v>90</v>
      </c>
      <c r="AJ331" s="2" t="s">
        <v>3343</v>
      </c>
      <c r="AK331" s="2"/>
      <c r="AL331" s="2"/>
      <c r="AM331" s="2" t="s">
        <v>52</v>
      </c>
    </row>
    <row r="332" spans="1:39" x14ac:dyDescent="0.45">
      <c r="A332" s="2" t="s">
        <v>3344</v>
      </c>
      <c r="B332" s="2"/>
      <c r="C332" s="2" t="s">
        <v>3346</v>
      </c>
      <c r="D332" s="2" t="s">
        <v>3348</v>
      </c>
      <c r="E332" s="25"/>
      <c r="F332" s="21"/>
      <c r="G332" s="42" t="s">
        <v>28000</v>
      </c>
      <c r="H332" s="2" t="s">
        <v>50</v>
      </c>
      <c r="I332" s="2" t="s">
        <v>3351</v>
      </c>
      <c r="J332" s="2" t="s">
        <v>3345</v>
      </c>
      <c r="K332" s="2" t="s">
        <v>3347</v>
      </c>
      <c r="L332" s="2" t="s">
        <v>3349</v>
      </c>
      <c r="M332" s="2"/>
      <c r="N332" s="2" t="s">
        <v>72</v>
      </c>
      <c r="O332" s="2" t="s">
        <v>73</v>
      </c>
      <c r="P332" s="2" t="s">
        <v>162</v>
      </c>
      <c r="Q332" s="2" t="s">
        <v>3347</v>
      </c>
      <c r="R332" s="2"/>
      <c r="S332" s="2"/>
      <c r="T332" s="2"/>
      <c r="U332" s="2" t="s">
        <v>72</v>
      </c>
      <c r="V332" s="2" t="s">
        <v>73</v>
      </c>
      <c r="W332" s="2" t="s">
        <v>162</v>
      </c>
      <c r="X332" s="2" t="s">
        <v>3350</v>
      </c>
      <c r="Y332" s="2" t="s">
        <v>44</v>
      </c>
      <c r="Z332" s="2"/>
      <c r="AA332" s="2" t="s">
        <v>45</v>
      </c>
      <c r="AB332" s="2" t="s">
        <v>46</v>
      </c>
      <c r="AC332" s="2" t="s">
        <v>45</v>
      </c>
      <c r="AE332" s="2" t="s">
        <v>48</v>
      </c>
      <c r="AF332" s="2" t="s">
        <v>49</v>
      </c>
      <c r="AG332" s="2">
        <v>100</v>
      </c>
      <c r="AH332" s="2">
        <v>90</v>
      </c>
      <c r="AJ332" s="2" t="s">
        <v>3352</v>
      </c>
      <c r="AK332" s="2"/>
      <c r="AL332" s="2"/>
      <c r="AM332" s="2" t="s">
        <v>52</v>
      </c>
    </row>
    <row r="333" spans="1:39" x14ac:dyDescent="0.45">
      <c r="A333" s="2" t="s">
        <v>3353</v>
      </c>
      <c r="B333" s="2"/>
      <c r="C333" s="2" t="s">
        <v>3355</v>
      </c>
      <c r="D333" s="2" t="s">
        <v>3357</v>
      </c>
      <c r="E333" s="25"/>
      <c r="F333" s="21"/>
      <c r="G333" s="42" t="s">
        <v>28000</v>
      </c>
      <c r="H333" s="2" t="s">
        <v>50</v>
      </c>
      <c r="I333" s="2" t="s">
        <v>3360</v>
      </c>
      <c r="J333" s="2" t="s">
        <v>3354</v>
      </c>
      <c r="K333" s="2" t="s">
        <v>3356</v>
      </c>
      <c r="L333" s="2" t="s">
        <v>3358</v>
      </c>
      <c r="M333" s="2"/>
      <c r="N333" s="2" t="s">
        <v>72</v>
      </c>
      <c r="O333" s="2" t="s">
        <v>73</v>
      </c>
      <c r="P333" s="2" t="s">
        <v>1682</v>
      </c>
      <c r="Q333" s="2" t="s">
        <v>3356</v>
      </c>
      <c r="R333" s="2"/>
      <c r="S333" s="2"/>
      <c r="T333" s="2"/>
      <c r="U333" s="2" t="s">
        <v>72</v>
      </c>
      <c r="V333" s="2" t="s">
        <v>73</v>
      </c>
      <c r="W333" s="2" t="s">
        <v>1682</v>
      </c>
      <c r="X333" s="2" t="s">
        <v>3359</v>
      </c>
      <c r="Y333" s="2" t="s">
        <v>44</v>
      </c>
      <c r="Z333" s="2"/>
      <c r="AA333" s="2" t="s">
        <v>45</v>
      </c>
      <c r="AB333" s="2" t="s">
        <v>46</v>
      </c>
      <c r="AC333" s="2" t="s">
        <v>45</v>
      </c>
      <c r="AE333" s="2" t="s">
        <v>48</v>
      </c>
      <c r="AF333" s="2" t="s">
        <v>49</v>
      </c>
      <c r="AG333" s="2">
        <v>100</v>
      </c>
      <c r="AH333" s="2">
        <v>90</v>
      </c>
      <c r="AJ333" s="2" t="s">
        <v>3361</v>
      </c>
      <c r="AK333" s="2"/>
      <c r="AL333" s="2"/>
      <c r="AM333" s="2" t="s">
        <v>52</v>
      </c>
    </row>
    <row r="334" spans="1:39" x14ac:dyDescent="0.45">
      <c r="A334" s="2" t="s">
        <v>3362</v>
      </c>
      <c r="B334" s="2"/>
      <c r="C334" s="2" t="s">
        <v>3364</v>
      </c>
      <c r="D334" s="2" t="s">
        <v>3366</v>
      </c>
      <c r="E334" s="25"/>
      <c r="F334" s="21"/>
      <c r="G334" s="42" t="s">
        <v>28000</v>
      </c>
      <c r="H334" s="2" t="s">
        <v>50</v>
      </c>
      <c r="I334" s="2" t="s">
        <v>3368</v>
      </c>
      <c r="J334" s="2" t="s">
        <v>3363</v>
      </c>
      <c r="K334" s="2" t="s">
        <v>3365</v>
      </c>
      <c r="L334" s="2" t="s">
        <v>3367</v>
      </c>
      <c r="M334" s="2" t="s">
        <v>3367</v>
      </c>
      <c r="N334" s="2" t="s">
        <v>59</v>
      </c>
      <c r="O334" s="2" t="s">
        <v>60</v>
      </c>
      <c r="P334" s="2" t="s">
        <v>1640</v>
      </c>
      <c r="Q334" s="2" t="s">
        <v>3365</v>
      </c>
      <c r="R334" s="2"/>
      <c r="S334" s="2"/>
      <c r="T334" s="2"/>
      <c r="U334" s="2" t="s">
        <v>59</v>
      </c>
      <c r="V334" s="2" t="s">
        <v>60</v>
      </c>
      <c r="W334" s="2" t="s">
        <v>1640</v>
      </c>
      <c r="X334" s="2" t="s">
        <v>752</v>
      </c>
      <c r="Y334" s="2" t="s">
        <v>44</v>
      </c>
      <c r="Z334" s="2"/>
      <c r="AA334" s="2" t="s">
        <v>45</v>
      </c>
      <c r="AB334" s="2" t="s">
        <v>46</v>
      </c>
      <c r="AC334" s="2" t="s">
        <v>45</v>
      </c>
      <c r="AE334" s="2" t="s">
        <v>48</v>
      </c>
      <c r="AF334" s="2" t="s">
        <v>49</v>
      </c>
      <c r="AG334" s="2">
        <v>100</v>
      </c>
      <c r="AH334" s="2">
        <v>90</v>
      </c>
      <c r="AJ334" s="2" t="s">
        <v>3369</v>
      </c>
      <c r="AK334" s="2"/>
      <c r="AL334" s="2"/>
      <c r="AM334" s="2" t="s">
        <v>52</v>
      </c>
    </row>
    <row r="335" spans="1:39" x14ac:dyDescent="0.45">
      <c r="A335" s="2" t="s">
        <v>3370</v>
      </c>
      <c r="B335" s="2"/>
      <c r="C335" s="2" t="s">
        <v>3372</v>
      </c>
      <c r="D335" s="2" t="s">
        <v>3374</v>
      </c>
      <c r="E335" s="25"/>
      <c r="F335" s="21"/>
      <c r="G335" s="42" t="s">
        <v>28000</v>
      </c>
      <c r="H335" s="2" t="s">
        <v>50</v>
      </c>
      <c r="I335" s="2" t="s">
        <v>3377</v>
      </c>
      <c r="J335" s="2" t="s">
        <v>3371</v>
      </c>
      <c r="K335" s="2" t="s">
        <v>3373</v>
      </c>
      <c r="L335" s="2" t="s">
        <v>3375</v>
      </c>
      <c r="M335" s="2"/>
      <c r="N335" s="2" t="s">
        <v>59</v>
      </c>
      <c r="O335" s="2" t="s">
        <v>60</v>
      </c>
      <c r="P335" s="2" t="s">
        <v>151</v>
      </c>
      <c r="Q335" s="2" t="s">
        <v>3373</v>
      </c>
      <c r="R335" s="2"/>
      <c r="S335" s="2"/>
      <c r="T335" s="2"/>
      <c r="U335" s="2" t="s">
        <v>59</v>
      </c>
      <c r="V335" s="2" t="s">
        <v>60</v>
      </c>
      <c r="W335" s="2" t="s">
        <v>151</v>
      </c>
      <c r="X335" s="2" t="s">
        <v>3376</v>
      </c>
      <c r="Y335" s="2" t="s">
        <v>44</v>
      </c>
      <c r="Z335" s="2"/>
      <c r="AA335" s="2" t="s">
        <v>45</v>
      </c>
      <c r="AB335" s="2" t="s">
        <v>46</v>
      </c>
      <c r="AC335" s="2" t="s">
        <v>45</v>
      </c>
      <c r="AE335" s="2" t="s">
        <v>48</v>
      </c>
      <c r="AF335" s="2" t="s">
        <v>49</v>
      </c>
      <c r="AG335" s="2">
        <v>100</v>
      </c>
      <c r="AH335" s="2">
        <v>90</v>
      </c>
      <c r="AJ335" s="2" t="s">
        <v>3378</v>
      </c>
      <c r="AK335" s="2"/>
      <c r="AL335" s="2"/>
      <c r="AM335" s="2" t="s">
        <v>52</v>
      </c>
    </row>
    <row r="336" spans="1:39" x14ac:dyDescent="0.45">
      <c r="A336" s="2" t="s">
        <v>3379</v>
      </c>
      <c r="B336" s="2"/>
      <c r="C336" s="2" t="s">
        <v>3381</v>
      </c>
      <c r="D336" s="2" t="s">
        <v>3383</v>
      </c>
      <c r="E336" s="25"/>
      <c r="F336" s="21"/>
      <c r="G336" s="42" t="s">
        <v>28000</v>
      </c>
      <c r="H336" s="2" t="s">
        <v>50</v>
      </c>
      <c r="I336" s="2" t="s">
        <v>3274</v>
      </c>
      <c r="J336" s="2" t="s">
        <v>3380</v>
      </c>
      <c r="K336" s="2" t="s">
        <v>3382</v>
      </c>
      <c r="L336" s="2" t="s">
        <v>3384</v>
      </c>
      <c r="M336" s="2" t="s">
        <v>3384</v>
      </c>
      <c r="N336" s="2" t="s">
        <v>72</v>
      </c>
      <c r="O336" s="2" t="s">
        <v>73</v>
      </c>
      <c r="P336" s="2" t="s">
        <v>98</v>
      </c>
      <c r="Q336" s="2" t="s">
        <v>3382</v>
      </c>
      <c r="R336" s="2"/>
      <c r="S336" s="2"/>
      <c r="T336" s="2"/>
      <c r="U336" s="2" t="s">
        <v>72</v>
      </c>
      <c r="V336" s="2" t="s">
        <v>73</v>
      </c>
      <c r="W336" s="2" t="s">
        <v>98</v>
      </c>
      <c r="X336" s="2" t="s">
        <v>3385</v>
      </c>
      <c r="Y336" s="2" t="s">
        <v>44</v>
      </c>
      <c r="Z336" s="2"/>
      <c r="AA336" s="2" t="s">
        <v>45</v>
      </c>
      <c r="AB336" s="2" t="s">
        <v>46</v>
      </c>
      <c r="AC336" s="2" t="s">
        <v>45</v>
      </c>
      <c r="AE336" s="2" t="s">
        <v>48</v>
      </c>
      <c r="AF336" s="2" t="s">
        <v>49</v>
      </c>
      <c r="AG336" s="2">
        <v>100</v>
      </c>
      <c r="AH336" s="2">
        <v>90</v>
      </c>
      <c r="AJ336" s="2" t="s">
        <v>3275</v>
      </c>
      <c r="AK336" s="2"/>
      <c r="AL336" s="2"/>
      <c r="AM336" s="2" t="s">
        <v>52</v>
      </c>
    </row>
    <row r="337" spans="1:39" x14ac:dyDescent="0.45">
      <c r="A337" s="2" t="s">
        <v>3386</v>
      </c>
      <c r="B337" s="2"/>
      <c r="C337" s="2" t="s">
        <v>3388</v>
      </c>
      <c r="D337" s="2" t="s">
        <v>3390</v>
      </c>
      <c r="E337" s="25"/>
      <c r="F337" s="21"/>
      <c r="G337" s="42" t="s">
        <v>28000</v>
      </c>
      <c r="H337" s="2" t="s">
        <v>50</v>
      </c>
      <c r="I337" s="2" t="s">
        <v>3393</v>
      </c>
      <c r="J337" s="2" t="s">
        <v>3387</v>
      </c>
      <c r="K337" s="2" t="s">
        <v>3389</v>
      </c>
      <c r="L337" s="2" t="s">
        <v>3391</v>
      </c>
      <c r="M337" s="2"/>
      <c r="N337" s="2" t="s">
        <v>72</v>
      </c>
      <c r="O337" s="2" t="s">
        <v>73</v>
      </c>
      <c r="P337" s="2" t="s">
        <v>98</v>
      </c>
      <c r="Q337" s="2" t="s">
        <v>3389</v>
      </c>
      <c r="R337" s="2"/>
      <c r="S337" s="2"/>
      <c r="T337" s="2"/>
      <c r="U337" s="2" t="s">
        <v>72</v>
      </c>
      <c r="V337" s="2" t="s">
        <v>73</v>
      </c>
      <c r="W337" s="2" t="s">
        <v>98</v>
      </c>
      <c r="X337" s="2" t="s">
        <v>3392</v>
      </c>
      <c r="Y337" s="2" t="s">
        <v>44</v>
      </c>
      <c r="Z337" s="2"/>
      <c r="AA337" s="2" t="s">
        <v>45</v>
      </c>
      <c r="AB337" s="2" t="s">
        <v>46</v>
      </c>
      <c r="AC337" s="2" t="s">
        <v>45</v>
      </c>
      <c r="AE337" s="2" t="s">
        <v>48</v>
      </c>
      <c r="AF337" s="2" t="s">
        <v>49</v>
      </c>
      <c r="AG337" s="2">
        <v>100</v>
      </c>
      <c r="AH337" s="2">
        <v>90</v>
      </c>
      <c r="AJ337" s="2" t="s">
        <v>3394</v>
      </c>
      <c r="AK337" s="2"/>
      <c r="AL337" s="2"/>
      <c r="AM337" s="2" t="s">
        <v>52</v>
      </c>
    </row>
    <row r="338" spans="1:39" x14ac:dyDescent="0.45">
      <c r="A338" s="2" t="s">
        <v>3395</v>
      </c>
      <c r="B338" s="2"/>
      <c r="C338" s="2" t="s">
        <v>3397</v>
      </c>
      <c r="D338" s="2" t="s">
        <v>3399</v>
      </c>
      <c r="E338" s="25"/>
      <c r="F338" s="21"/>
      <c r="G338" s="42" t="s">
        <v>28000</v>
      </c>
      <c r="H338" s="2" t="s">
        <v>50</v>
      </c>
      <c r="I338" s="2" t="s">
        <v>3402</v>
      </c>
      <c r="J338" s="2" t="s">
        <v>3396</v>
      </c>
      <c r="K338" s="2" t="s">
        <v>3398</v>
      </c>
      <c r="L338" s="2" t="s">
        <v>3400</v>
      </c>
      <c r="M338" s="2"/>
      <c r="N338" s="2" t="s">
        <v>72</v>
      </c>
      <c r="O338" s="2" t="s">
        <v>73</v>
      </c>
      <c r="P338" s="2" t="s">
        <v>1610</v>
      </c>
      <c r="Q338" s="2" t="s">
        <v>3401</v>
      </c>
      <c r="R338" s="2"/>
      <c r="S338" s="2"/>
      <c r="T338" s="2"/>
      <c r="U338" s="2" t="s">
        <v>72</v>
      </c>
      <c r="V338" s="2" t="s">
        <v>73</v>
      </c>
      <c r="W338" s="2" t="s">
        <v>98</v>
      </c>
      <c r="X338" s="2" t="s">
        <v>1082</v>
      </c>
      <c r="Y338" s="2" t="s">
        <v>44</v>
      </c>
      <c r="Z338" s="2"/>
      <c r="AA338" s="2" t="s">
        <v>45</v>
      </c>
      <c r="AB338" s="2" t="s">
        <v>46</v>
      </c>
      <c r="AC338" s="2" t="s">
        <v>45</v>
      </c>
      <c r="AE338" s="2" t="s">
        <v>48</v>
      </c>
      <c r="AF338" s="2" t="s">
        <v>49</v>
      </c>
      <c r="AG338" s="2">
        <v>100</v>
      </c>
      <c r="AH338" s="2">
        <v>90</v>
      </c>
      <c r="AJ338" s="2" t="s">
        <v>3403</v>
      </c>
      <c r="AK338" s="2"/>
      <c r="AL338" s="2"/>
      <c r="AM338" s="2" t="s">
        <v>52</v>
      </c>
    </row>
    <row r="339" spans="1:39" x14ac:dyDescent="0.45">
      <c r="A339" s="2" t="s">
        <v>3404</v>
      </c>
      <c r="B339" s="2"/>
      <c r="C339" s="2" t="s">
        <v>3406</v>
      </c>
      <c r="D339" s="2" t="s">
        <v>3408</v>
      </c>
      <c r="E339" s="25"/>
      <c r="F339" s="21"/>
      <c r="G339" s="42" t="s">
        <v>28000</v>
      </c>
      <c r="H339" s="2" t="s">
        <v>50</v>
      </c>
      <c r="I339" s="2" t="s">
        <v>3411</v>
      </c>
      <c r="J339" s="2" t="s">
        <v>3405</v>
      </c>
      <c r="K339" s="2" t="s">
        <v>3407</v>
      </c>
      <c r="L339" s="2" t="s">
        <v>3409</v>
      </c>
      <c r="M339" s="2" t="s">
        <v>3409</v>
      </c>
      <c r="N339" s="2" t="s">
        <v>59</v>
      </c>
      <c r="O339" s="2" t="s">
        <v>60</v>
      </c>
      <c r="P339" s="2" t="s">
        <v>266</v>
      </c>
      <c r="Q339" s="2" t="s">
        <v>3407</v>
      </c>
      <c r="R339" s="2"/>
      <c r="S339" s="2"/>
      <c r="T339" s="2"/>
      <c r="U339" s="2" t="s">
        <v>59</v>
      </c>
      <c r="V339" s="2" t="s">
        <v>60</v>
      </c>
      <c r="W339" s="2" t="s">
        <v>266</v>
      </c>
      <c r="X339" s="2" t="s">
        <v>3410</v>
      </c>
      <c r="Y339" s="2" t="s">
        <v>44</v>
      </c>
      <c r="Z339" s="2"/>
      <c r="AA339" s="2" t="s">
        <v>45</v>
      </c>
      <c r="AB339" s="2" t="s">
        <v>199</v>
      </c>
      <c r="AC339" s="2" t="s">
        <v>45</v>
      </c>
      <c r="AE339" s="2" t="s">
        <v>48</v>
      </c>
      <c r="AF339" s="2" t="s">
        <v>49</v>
      </c>
      <c r="AG339" s="2">
        <v>100</v>
      </c>
      <c r="AH339" s="2">
        <v>90</v>
      </c>
      <c r="AJ339" s="2" t="s">
        <v>3412</v>
      </c>
      <c r="AK339" s="2"/>
      <c r="AL339" s="2"/>
      <c r="AM339" s="2" t="s">
        <v>52</v>
      </c>
    </row>
    <row r="340" spans="1:39" x14ac:dyDescent="0.45">
      <c r="A340" s="2" t="s">
        <v>3413</v>
      </c>
      <c r="B340" s="2"/>
      <c r="C340" s="2" t="s">
        <v>3415</v>
      </c>
      <c r="D340" s="2" t="s">
        <v>3417</v>
      </c>
      <c r="E340" s="25"/>
      <c r="F340" s="21"/>
      <c r="G340" s="42" t="s">
        <v>28000</v>
      </c>
      <c r="H340" s="2" t="s">
        <v>50</v>
      </c>
      <c r="I340" s="2" t="s">
        <v>3422</v>
      </c>
      <c r="J340" s="2" t="s">
        <v>3414</v>
      </c>
      <c r="K340" s="2" t="s">
        <v>3416</v>
      </c>
      <c r="L340" s="2" t="s">
        <v>3418</v>
      </c>
      <c r="M340" s="2" t="s">
        <v>3418</v>
      </c>
      <c r="N340" s="2" t="s">
        <v>72</v>
      </c>
      <c r="O340" s="2" t="s">
        <v>73</v>
      </c>
      <c r="P340" s="2" t="s">
        <v>3419</v>
      </c>
      <c r="Q340" s="2" t="s">
        <v>3420</v>
      </c>
      <c r="R340" s="2"/>
      <c r="S340" s="2"/>
      <c r="T340" s="2"/>
      <c r="U340" s="2" t="s">
        <v>72</v>
      </c>
      <c r="V340" s="2" t="s">
        <v>73</v>
      </c>
      <c r="W340" s="2" t="s">
        <v>607</v>
      </c>
      <c r="X340" s="2" t="s">
        <v>3421</v>
      </c>
      <c r="Y340" s="2" t="s">
        <v>44</v>
      </c>
      <c r="Z340" s="2"/>
      <c r="AA340" s="2" t="s">
        <v>45</v>
      </c>
      <c r="AB340" s="2" t="s">
        <v>46</v>
      </c>
      <c r="AC340" s="2" t="s">
        <v>45</v>
      </c>
      <c r="AE340" s="2" t="s">
        <v>48</v>
      </c>
      <c r="AF340" s="2" t="s">
        <v>49</v>
      </c>
      <c r="AG340" s="2">
        <v>100</v>
      </c>
      <c r="AH340" s="2">
        <v>90</v>
      </c>
      <c r="AJ340" s="2" t="s">
        <v>3423</v>
      </c>
      <c r="AK340" s="2"/>
      <c r="AL340" s="2"/>
      <c r="AM340" s="2" t="s">
        <v>52</v>
      </c>
    </row>
    <row r="341" spans="1:39" x14ac:dyDescent="0.45">
      <c r="A341" s="2" t="s">
        <v>3424</v>
      </c>
      <c r="B341" s="2"/>
      <c r="C341" s="2" t="s">
        <v>3426</v>
      </c>
      <c r="D341" s="2" t="s">
        <v>3428</v>
      </c>
      <c r="E341" s="25"/>
      <c r="F341" s="21"/>
      <c r="G341" s="42" t="s">
        <v>28000</v>
      </c>
      <c r="H341" s="2" t="s">
        <v>50</v>
      </c>
      <c r="I341" s="2" t="s">
        <v>3431</v>
      </c>
      <c r="J341" s="2" t="s">
        <v>3425</v>
      </c>
      <c r="K341" s="2" t="s">
        <v>3427</v>
      </c>
      <c r="L341" s="2" t="s">
        <v>3429</v>
      </c>
      <c r="M341" s="2"/>
      <c r="N341" s="2" t="s">
        <v>72</v>
      </c>
      <c r="O341" s="2" t="s">
        <v>73</v>
      </c>
      <c r="P341" s="2" t="s">
        <v>464</v>
      </c>
      <c r="Q341" s="2" t="s">
        <v>3427</v>
      </c>
      <c r="R341" s="2"/>
      <c r="S341" s="2"/>
      <c r="T341" s="2"/>
      <c r="U341" s="2" t="s">
        <v>72</v>
      </c>
      <c r="V341" s="2" t="s">
        <v>73</v>
      </c>
      <c r="W341" s="2" t="s">
        <v>464</v>
      </c>
      <c r="X341" s="2" t="s">
        <v>3430</v>
      </c>
      <c r="Y341" s="2" t="s">
        <v>44</v>
      </c>
      <c r="Z341" s="2"/>
      <c r="AA341" s="2" t="s">
        <v>45</v>
      </c>
      <c r="AB341" s="2" t="s">
        <v>46</v>
      </c>
      <c r="AC341" s="2" t="s">
        <v>45</v>
      </c>
      <c r="AE341" s="2" t="s">
        <v>48</v>
      </c>
      <c r="AF341" s="2" t="s">
        <v>49</v>
      </c>
      <c r="AG341" s="2">
        <v>100</v>
      </c>
      <c r="AH341" s="2">
        <v>90</v>
      </c>
      <c r="AJ341" s="2" t="s">
        <v>3432</v>
      </c>
      <c r="AK341" s="2"/>
      <c r="AL341" s="2"/>
      <c r="AM341" s="2" t="s">
        <v>52</v>
      </c>
    </row>
    <row r="342" spans="1:39" x14ac:dyDescent="0.45">
      <c r="A342" s="2" t="s">
        <v>3433</v>
      </c>
      <c r="B342" s="2"/>
      <c r="C342" s="2" t="s">
        <v>3435</v>
      </c>
      <c r="D342" s="2" t="s">
        <v>3437</v>
      </c>
      <c r="E342" s="25"/>
      <c r="F342" s="21"/>
      <c r="G342" s="42" t="s">
        <v>28000</v>
      </c>
      <c r="H342" s="2" t="s">
        <v>50</v>
      </c>
      <c r="I342" s="2" t="s">
        <v>3440</v>
      </c>
      <c r="J342" s="2" t="s">
        <v>3434</v>
      </c>
      <c r="K342" s="2" t="s">
        <v>3436</v>
      </c>
      <c r="L342" s="2" t="s">
        <v>3438</v>
      </c>
      <c r="M342" s="2" t="s">
        <v>3438</v>
      </c>
      <c r="N342" s="2" t="s">
        <v>72</v>
      </c>
      <c r="O342" s="2" t="s">
        <v>73</v>
      </c>
      <c r="P342" s="2" t="s">
        <v>464</v>
      </c>
      <c r="Q342" s="2" t="s">
        <v>3436</v>
      </c>
      <c r="R342" s="2"/>
      <c r="S342" s="2"/>
      <c r="T342" s="2"/>
      <c r="U342" s="2" t="s">
        <v>72</v>
      </c>
      <c r="V342" s="2" t="s">
        <v>73</v>
      </c>
      <c r="W342" s="2" t="s">
        <v>464</v>
      </c>
      <c r="X342" s="2" t="s">
        <v>3439</v>
      </c>
      <c r="Y342" s="2" t="s">
        <v>44</v>
      </c>
      <c r="Z342" s="2"/>
      <c r="AA342" s="2" t="s">
        <v>45</v>
      </c>
      <c r="AB342" s="2" t="s">
        <v>46</v>
      </c>
      <c r="AC342" s="2" t="s">
        <v>45</v>
      </c>
      <c r="AE342" s="2" t="s">
        <v>48</v>
      </c>
      <c r="AF342" s="2" t="s">
        <v>49</v>
      </c>
      <c r="AG342" s="2">
        <v>100</v>
      </c>
      <c r="AH342" s="2">
        <v>90</v>
      </c>
      <c r="AJ342" s="2" t="s">
        <v>3441</v>
      </c>
      <c r="AK342" s="2"/>
      <c r="AL342" s="2"/>
      <c r="AM342" s="2" t="s">
        <v>52</v>
      </c>
    </row>
    <row r="343" spans="1:39" x14ac:dyDescent="0.45">
      <c r="A343" s="2" t="s">
        <v>3442</v>
      </c>
      <c r="B343" s="2"/>
      <c r="C343" s="2" t="s">
        <v>3444</v>
      </c>
      <c r="D343" s="2" t="s">
        <v>3446</v>
      </c>
      <c r="E343" s="25"/>
      <c r="F343" s="21"/>
      <c r="G343" s="42" t="s">
        <v>28000</v>
      </c>
      <c r="H343" s="2" t="s">
        <v>50</v>
      </c>
      <c r="I343" s="2" t="s">
        <v>3450</v>
      </c>
      <c r="J343" s="2" t="s">
        <v>3443</v>
      </c>
      <c r="K343" s="2" t="s">
        <v>3445</v>
      </c>
      <c r="L343" s="2" t="s">
        <v>3447</v>
      </c>
      <c r="M343" s="2" t="s">
        <v>3447</v>
      </c>
      <c r="N343" s="2" t="s">
        <v>536</v>
      </c>
      <c r="O343" s="2" t="s">
        <v>537</v>
      </c>
      <c r="P343" s="2" t="s">
        <v>538</v>
      </c>
      <c r="Q343" s="2" t="s">
        <v>3448</v>
      </c>
      <c r="R343" s="2"/>
      <c r="S343" s="2"/>
      <c r="T343" s="2"/>
      <c r="U343" s="2" t="s">
        <v>536</v>
      </c>
      <c r="V343" s="2" t="s">
        <v>537</v>
      </c>
      <c r="W343" s="2" t="s">
        <v>538</v>
      </c>
      <c r="X343" s="2" t="s">
        <v>3449</v>
      </c>
      <c r="Y343" s="2" t="s">
        <v>44</v>
      </c>
      <c r="Z343" s="2"/>
      <c r="AA343" s="2" t="s">
        <v>45</v>
      </c>
      <c r="AB343" s="2" t="s">
        <v>46</v>
      </c>
      <c r="AC343" s="2" t="s">
        <v>45</v>
      </c>
      <c r="AE343" s="2" t="s">
        <v>48</v>
      </c>
      <c r="AF343" s="2" t="s">
        <v>49</v>
      </c>
      <c r="AG343" s="2">
        <v>100</v>
      </c>
      <c r="AH343" s="2">
        <v>90</v>
      </c>
      <c r="AJ343" s="2" t="s">
        <v>3451</v>
      </c>
      <c r="AK343" s="2"/>
      <c r="AL343" s="2"/>
      <c r="AM343" s="2" t="s">
        <v>52</v>
      </c>
    </row>
    <row r="344" spans="1:39" x14ac:dyDescent="0.45">
      <c r="A344" s="2" t="s">
        <v>3452</v>
      </c>
      <c r="B344" s="2"/>
      <c r="C344" s="2" t="s">
        <v>3454</v>
      </c>
      <c r="D344" s="2" t="s">
        <v>3456</v>
      </c>
      <c r="E344" s="25"/>
      <c r="F344" s="21"/>
      <c r="G344" s="42" t="s">
        <v>28000</v>
      </c>
      <c r="H344" s="2" t="s">
        <v>50</v>
      </c>
      <c r="I344" s="2" t="s">
        <v>3459</v>
      </c>
      <c r="J344" s="2" t="s">
        <v>3453</v>
      </c>
      <c r="K344" s="2" t="s">
        <v>3455</v>
      </c>
      <c r="L344" s="2" t="s">
        <v>3457</v>
      </c>
      <c r="M344" s="2"/>
      <c r="N344" s="2" t="s">
        <v>39</v>
      </c>
      <c r="O344" s="2" t="s">
        <v>40</v>
      </c>
      <c r="P344" s="2" t="s">
        <v>1711</v>
      </c>
      <c r="Q344" s="2" t="s">
        <v>3455</v>
      </c>
      <c r="R344" s="2"/>
      <c r="S344" s="2"/>
      <c r="T344" s="2"/>
      <c r="U344" s="2" t="s">
        <v>39</v>
      </c>
      <c r="V344" s="2" t="s">
        <v>40</v>
      </c>
      <c r="W344" s="2" t="s">
        <v>1711</v>
      </c>
      <c r="X344" s="2" t="s">
        <v>3458</v>
      </c>
      <c r="Y344" s="2" t="s">
        <v>44</v>
      </c>
      <c r="Z344" s="2"/>
      <c r="AA344" s="2" t="s">
        <v>45</v>
      </c>
      <c r="AB344" s="2" t="s">
        <v>46</v>
      </c>
      <c r="AC344" s="2" t="s">
        <v>45</v>
      </c>
      <c r="AE344" s="2" t="s">
        <v>48</v>
      </c>
      <c r="AF344" s="2" t="s">
        <v>49</v>
      </c>
      <c r="AG344" s="2">
        <v>100</v>
      </c>
      <c r="AH344" s="2">
        <v>90</v>
      </c>
      <c r="AJ344" s="2" t="s">
        <v>3460</v>
      </c>
      <c r="AK344" s="2"/>
      <c r="AL344" s="2"/>
      <c r="AM344" s="2" t="s">
        <v>52</v>
      </c>
    </row>
    <row r="345" spans="1:39" x14ac:dyDescent="0.45">
      <c r="A345" s="2" t="s">
        <v>3461</v>
      </c>
      <c r="B345" s="2"/>
      <c r="C345" s="2" t="s">
        <v>3463</v>
      </c>
      <c r="D345" s="2" t="s">
        <v>3465</v>
      </c>
      <c r="E345" s="25"/>
      <c r="F345" s="21"/>
      <c r="G345" s="42" t="s">
        <v>28000</v>
      </c>
      <c r="H345" s="2" t="s">
        <v>50</v>
      </c>
      <c r="I345" s="2" t="s">
        <v>3468</v>
      </c>
      <c r="J345" s="2" t="s">
        <v>3462</v>
      </c>
      <c r="K345" s="2" t="s">
        <v>3464</v>
      </c>
      <c r="L345" s="2" t="s">
        <v>3466</v>
      </c>
      <c r="M345" s="2" t="s">
        <v>3466</v>
      </c>
      <c r="N345" s="2" t="s">
        <v>72</v>
      </c>
      <c r="O345" s="2" t="s">
        <v>73</v>
      </c>
      <c r="P345" s="2" t="s">
        <v>484</v>
      </c>
      <c r="Q345" s="2"/>
      <c r="R345" s="2"/>
      <c r="S345" s="2"/>
      <c r="T345" s="2"/>
      <c r="U345" s="2"/>
      <c r="V345" s="2"/>
      <c r="W345" s="2"/>
      <c r="X345" s="2" t="s">
        <v>3467</v>
      </c>
      <c r="Y345" s="2" t="s">
        <v>44</v>
      </c>
      <c r="Z345" s="2"/>
      <c r="AA345" s="2" t="s">
        <v>45</v>
      </c>
      <c r="AB345" s="2" t="s">
        <v>46</v>
      </c>
      <c r="AC345" s="2" t="s">
        <v>45</v>
      </c>
      <c r="AE345" s="2" t="s">
        <v>48</v>
      </c>
      <c r="AF345" s="2" t="s">
        <v>49</v>
      </c>
      <c r="AG345" s="2">
        <v>100</v>
      </c>
      <c r="AH345" s="2">
        <v>90</v>
      </c>
      <c r="AJ345" s="2" t="s">
        <v>3469</v>
      </c>
      <c r="AK345" s="2"/>
      <c r="AL345" s="2"/>
      <c r="AM345" s="2" t="s">
        <v>52</v>
      </c>
    </row>
    <row r="346" spans="1:39" x14ac:dyDescent="0.45">
      <c r="A346" s="2" t="s">
        <v>3470</v>
      </c>
      <c r="B346" s="2"/>
      <c r="C346" s="2" t="s">
        <v>3472</v>
      </c>
      <c r="D346" s="2" t="s">
        <v>3474</v>
      </c>
      <c r="E346" s="25"/>
      <c r="F346" s="21"/>
      <c r="G346" s="42" t="s">
        <v>28000</v>
      </c>
      <c r="H346" s="2" t="s">
        <v>50</v>
      </c>
      <c r="I346" s="2" t="s">
        <v>3477</v>
      </c>
      <c r="J346" s="2" t="s">
        <v>3471</v>
      </c>
      <c r="K346" s="2" t="s">
        <v>3473</v>
      </c>
      <c r="L346" s="2" t="s">
        <v>3475</v>
      </c>
      <c r="M346" s="2" t="s">
        <v>3475</v>
      </c>
      <c r="N346" s="2" t="s">
        <v>72</v>
      </c>
      <c r="O346" s="2" t="s">
        <v>73</v>
      </c>
      <c r="P346" s="2" t="s">
        <v>3419</v>
      </c>
      <c r="Q346" s="2" t="s">
        <v>3476</v>
      </c>
      <c r="R346" s="2"/>
      <c r="S346" s="2"/>
      <c r="T346" s="2"/>
      <c r="U346" s="2" t="s">
        <v>72</v>
      </c>
      <c r="V346" s="2" t="s">
        <v>73</v>
      </c>
      <c r="W346" s="2" t="s">
        <v>3419</v>
      </c>
      <c r="X346" s="2" t="s">
        <v>3467</v>
      </c>
      <c r="Y346" s="2" t="s">
        <v>44</v>
      </c>
      <c r="Z346" s="2"/>
      <c r="AA346" s="2" t="s">
        <v>45</v>
      </c>
      <c r="AB346" s="2" t="s">
        <v>46</v>
      </c>
      <c r="AC346" s="2" t="s">
        <v>45</v>
      </c>
      <c r="AE346" s="2" t="s">
        <v>48</v>
      </c>
      <c r="AF346" s="2" t="s">
        <v>49</v>
      </c>
      <c r="AG346" s="2">
        <v>100</v>
      </c>
      <c r="AH346" s="2">
        <v>90</v>
      </c>
      <c r="AJ346" s="2" t="s">
        <v>3478</v>
      </c>
      <c r="AK346" s="2"/>
      <c r="AL346" s="2"/>
      <c r="AM346" s="2" t="s">
        <v>52</v>
      </c>
    </row>
    <row r="347" spans="1:39" x14ac:dyDescent="0.45">
      <c r="A347" s="2" t="s">
        <v>3479</v>
      </c>
      <c r="B347" s="2"/>
      <c r="C347" s="2" t="s">
        <v>3481</v>
      </c>
      <c r="D347" s="2" t="s">
        <v>3483</v>
      </c>
      <c r="E347" s="25"/>
      <c r="F347" s="21"/>
      <c r="G347" s="42" t="s">
        <v>28000</v>
      </c>
      <c r="H347" s="2" t="s">
        <v>50</v>
      </c>
      <c r="I347" s="2" t="s">
        <v>3486</v>
      </c>
      <c r="J347" s="2" t="s">
        <v>3480</v>
      </c>
      <c r="K347" s="2" t="s">
        <v>3482</v>
      </c>
      <c r="L347" s="2" t="s">
        <v>3484</v>
      </c>
      <c r="M347" s="2" t="s">
        <v>3484</v>
      </c>
      <c r="N347" s="2" t="s">
        <v>72</v>
      </c>
      <c r="O347" s="2" t="s">
        <v>73</v>
      </c>
      <c r="P347" s="2" t="s">
        <v>464</v>
      </c>
      <c r="Q347" s="2" t="s">
        <v>3482</v>
      </c>
      <c r="R347" s="2"/>
      <c r="S347" s="2"/>
      <c r="T347" s="2"/>
      <c r="U347" s="2" t="s">
        <v>72</v>
      </c>
      <c r="V347" s="2" t="s">
        <v>73</v>
      </c>
      <c r="W347" s="2" t="s">
        <v>464</v>
      </c>
      <c r="X347" s="2" t="s">
        <v>3485</v>
      </c>
      <c r="Y347" s="2" t="s">
        <v>44</v>
      </c>
      <c r="Z347" s="2"/>
      <c r="AA347" s="2" t="s">
        <v>45</v>
      </c>
      <c r="AB347" s="2" t="s">
        <v>46</v>
      </c>
      <c r="AC347" s="2" t="s">
        <v>45</v>
      </c>
      <c r="AE347" s="2" t="s">
        <v>48</v>
      </c>
      <c r="AF347" s="2" t="s">
        <v>49</v>
      </c>
      <c r="AG347" s="2">
        <v>100</v>
      </c>
      <c r="AH347" s="2">
        <v>90</v>
      </c>
      <c r="AJ347" s="2" t="s">
        <v>3487</v>
      </c>
      <c r="AK347" s="2"/>
      <c r="AL347" s="2"/>
      <c r="AM347" s="2" t="s">
        <v>52</v>
      </c>
    </row>
    <row r="348" spans="1:39" x14ac:dyDescent="0.45">
      <c r="A348" s="2" t="s">
        <v>1484</v>
      </c>
      <c r="B348" s="2"/>
      <c r="C348" s="2" t="s">
        <v>1486</v>
      </c>
      <c r="D348" s="2" t="s">
        <v>3489</v>
      </c>
      <c r="E348" s="25"/>
      <c r="F348" s="21"/>
      <c r="G348" s="42" t="s">
        <v>28000</v>
      </c>
      <c r="H348" s="2" t="s">
        <v>50</v>
      </c>
      <c r="I348" s="2" t="s">
        <v>3491</v>
      </c>
      <c r="J348" s="2" t="s">
        <v>3488</v>
      </c>
      <c r="K348" s="2" t="s">
        <v>1487</v>
      </c>
      <c r="L348" s="2" t="s">
        <v>3490</v>
      </c>
      <c r="M348" s="2" t="s">
        <v>3490</v>
      </c>
      <c r="N348" s="2" t="s">
        <v>72</v>
      </c>
      <c r="O348" s="2" t="s">
        <v>73</v>
      </c>
      <c r="P348" s="2" t="s">
        <v>98</v>
      </c>
      <c r="Q348" s="2"/>
      <c r="R348" s="2"/>
      <c r="S348" s="2"/>
      <c r="T348" s="2"/>
      <c r="U348" s="2"/>
      <c r="V348" s="2"/>
      <c r="W348" s="2"/>
      <c r="X348" s="2" t="s">
        <v>1285</v>
      </c>
      <c r="Y348" s="2" t="s">
        <v>44</v>
      </c>
      <c r="Z348" s="2"/>
      <c r="AA348" s="2" t="s">
        <v>45</v>
      </c>
      <c r="AB348" s="2" t="s">
        <v>46</v>
      </c>
      <c r="AC348" s="2" t="s">
        <v>45</v>
      </c>
      <c r="AE348" s="2" t="s">
        <v>48</v>
      </c>
      <c r="AF348" s="2" t="s">
        <v>49</v>
      </c>
      <c r="AG348" s="2">
        <v>100</v>
      </c>
      <c r="AH348" s="2">
        <v>90</v>
      </c>
      <c r="AJ348" s="2" t="s">
        <v>3492</v>
      </c>
      <c r="AK348" s="2"/>
      <c r="AL348" s="2"/>
      <c r="AM348" s="2" t="s">
        <v>52</v>
      </c>
    </row>
    <row r="349" spans="1:39" x14ac:dyDescent="0.45">
      <c r="A349" s="2" t="s">
        <v>3493</v>
      </c>
      <c r="B349" s="2"/>
      <c r="C349" s="2" t="s">
        <v>3495</v>
      </c>
      <c r="D349" s="2" t="s">
        <v>3497</v>
      </c>
      <c r="E349" s="25"/>
      <c r="F349" s="21"/>
      <c r="G349" s="42" t="s">
        <v>28000</v>
      </c>
      <c r="H349" s="2" t="s">
        <v>50</v>
      </c>
      <c r="I349" s="2" t="s">
        <v>3500</v>
      </c>
      <c r="J349" s="2" t="s">
        <v>3494</v>
      </c>
      <c r="K349" s="2" t="s">
        <v>3496</v>
      </c>
      <c r="L349" s="2" t="s">
        <v>3498</v>
      </c>
      <c r="M349" s="2" t="s">
        <v>3498</v>
      </c>
      <c r="N349" s="2" t="s">
        <v>651</v>
      </c>
      <c r="O349" s="2" t="s">
        <v>86</v>
      </c>
      <c r="P349" s="2" t="s">
        <v>3499</v>
      </c>
      <c r="Q349" s="2" t="s">
        <v>3496</v>
      </c>
      <c r="R349" s="2"/>
      <c r="S349" s="2"/>
      <c r="T349" s="2"/>
      <c r="U349" s="2" t="s">
        <v>651</v>
      </c>
      <c r="V349" s="2" t="s">
        <v>86</v>
      </c>
      <c r="W349" s="2" t="s">
        <v>3499</v>
      </c>
      <c r="X349" s="2" t="s">
        <v>885</v>
      </c>
      <c r="Y349" s="2" t="s">
        <v>44</v>
      </c>
      <c r="Z349" s="2"/>
      <c r="AA349" s="2" t="s">
        <v>45</v>
      </c>
      <c r="AB349" s="2" t="s">
        <v>46</v>
      </c>
      <c r="AC349" s="2" t="s">
        <v>45</v>
      </c>
      <c r="AE349" s="2" t="s">
        <v>48</v>
      </c>
      <c r="AF349" s="2" t="s">
        <v>49</v>
      </c>
      <c r="AG349" s="2">
        <v>100</v>
      </c>
      <c r="AH349" s="2">
        <v>90</v>
      </c>
      <c r="AJ349" s="2" t="s">
        <v>3501</v>
      </c>
      <c r="AK349" s="2"/>
      <c r="AL349" s="2"/>
      <c r="AM349" s="2" t="s">
        <v>52</v>
      </c>
    </row>
    <row r="350" spans="1:39" x14ac:dyDescent="0.45">
      <c r="A350" s="2" t="s">
        <v>3502</v>
      </c>
      <c r="B350" s="2"/>
      <c r="C350" s="2" t="s">
        <v>3504</v>
      </c>
      <c r="D350" s="2" t="s">
        <v>3506</v>
      </c>
      <c r="E350" s="25"/>
      <c r="F350" s="21"/>
      <c r="G350" s="42" t="s">
        <v>28000</v>
      </c>
      <c r="H350" s="2" t="s">
        <v>50</v>
      </c>
      <c r="I350" s="2" t="s">
        <v>3508</v>
      </c>
      <c r="J350" s="2" t="s">
        <v>3503</v>
      </c>
      <c r="K350" s="2" t="s">
        <v>3505</v>
      </c>
      <c r="L350" s="2" t="s">
        <v>3507</v>
      </c>
      <c r="M350" s="2" t="s">
        <v>3507</v>
      </c>
      <c r="N350" s="2" t="s">
        <v>59</v>
      </c>
      <c r="O350" s="2" t="s">
        <v>60</v>
      </c>
      <c r="P350" s="2" t="s">
        <v>266</v>
      </c>
      <c r="Q350" s="2"/>
      <c r="R350" s="2"/>
      <c r="S350" s="2"/>
      <c r="T350" s="2"/>
      <c r="U350" s="2"/>
      <c r="V350" s="2"/>
      <c r="W350" s="2"/>
      <c r="X350" s="2" t="s">
        <v>801</v>
      </c>
      <c r="Y350" s="2" t="s">
        <v>44</v>
      </c>
      <c r="Z350" s="2"/>
      <c r="AA350" s="2" t="s">
        <v>45</v>
      </c>
      <c r="AB350" s="2" t="s">
        <v>46</v>
      </c>
      <c r="AC350" s="2" t="s">
        <v>45</v>
      </c>
      <c r="AE350" s="2" t="s">
        <v>48</v>
      </c>
      <c r="AF350" s="2" t="s">
        <v>49</v>
      </c>
      <c r="AG350" s="2">
        <v>100</v>
      </c>
      <c r="AH350" s="2">
        <v>90</v>
      </c>
      <c r="AJ350" s="2" t="s">
        <v>3509</v>
      </c>
      <c r="AK350" s="2"/>
      <c r="AL350" s="2"/>
      <c r="AM350" s="2" t="s">
        <v>52</v>
      </c>
    </row>
    <row r="351" spans="1:39" x14ac:dyDescent="0.45">
      <c r="A351" s="2" t="s">
        <v>3510</v>
      </c>
      <c r="B351" s="2"/>
      <c r="C351" s="2" t="s">
        <v>3512</v>
      </c>
      <c r="D351" s="2" t="s">
        <v>3514</v>
      </c>
      <c r="E351" s="25"/>
      <c r="F351" s="21"/>
      <c r="G351" s="42" t="s">
        <v>28000</v>
      </c>
      <c r="H351" s="2" t="s">
        <v>50</v>
      </c>
      <c r="I351" s="2" t="s">
        <v>3516</v>
      </c>
      <c r="J351" s="2" t="s">
        <v>3511</v>
      </c>
      <c r="K351" s="2" t="s">
        <v>3513</v>
      </c>
      <c r="L351" s="2" t="s">
        <v>3515</v>
      </c>
      <c r="M351" s="2"/>
      <c r="N351" s="2" t="s">
        <v>72</v>
      </c>
      <c r="O351" s="2" t="s">
        <v>73</v>
      </c>
      <c r="P351" s="2" t="s">
        <v>162</v>
      </c>
      <c r="Q351" s="2" t="s">
        <v>3513</v>
      </c>
      <c r="R351" s="2"/>
      <c r="S351" s="2"/>
      <c r="T351" s="2"/>
      <c r="U351" s="2" t="s">
        <v>72</v>
      </c>
      <c r="V351" s="2" t="s">
        <v>73</v>
      </c>
      <c r="W351" s="2" t="s">
        <v>162</v>
      </c>
      <c r="X351" s="2" t="s">
        <v>801</v>
      </c>
      <c r="Y351" s="2" t="s">
        <v>44</v>
      </c>
      <c r="Z351" s="2"/>
      <c r="AA351" s="2" t="s">
        <v>45</v>
      </c>
      <c r="AB351" s="2" t="s">
        <v>46</v>
      </c>
      <c r="AC351" s="2" t="s">
        <v>45</v>
      </c>
      <c r="AE351" s="2" t="s">
        <v>48</v>
      </c>
      <c r="AF351" s="2" t="s">
        <v>49</v>
      </c>
      <c r="AG351" s="2">
        <v>100</v>
      </c>
      <c r="AH351" s="2">
        <v>90</v>
      </c>
      <c r="AJ351" s="2" t="s">
        <v>3517</v>
      </c>
      <c r="AK351" s="2"/>
      <c r="AL351" s="2"/>
      <c r="AM351" s="2" t="s">
        <v>52</v>
      </c>
    </row>
    <row r="352" spans="1:39" x14ac:dyDescent="0.45">
      <c r="A352" s="2" t="s">
        <v>3518</v>
      </c>
      <c r="B352" s="2"/>
      <c r="C352" s="2" t="s">
        <v>3520</v>
      </c>
      <c r="D352" s="2" t="s">
        <v>3522</v>
      </c>
      <c r="E352" s="25"/>
      <c r="F352" s="21"/>
      <c r="G352" s="42" t="s">
        <v>28000</v>
      </c>
      <c r="H352" s="2" t="s">
        <v>50</v>
      </c>
      <c r="I352" s="2" t="s">
        <v>3528</v>
      </c>
      <c r="J352" s="2" t="s">
        <v>3519</v>
      </c>
      <c r="K352" s="2" t="s">
        <v>3521</v>
      </c>
      <c r="L352" s="2" t="s">
        <v>3523</v>
      </c>
      <c r="M352" s="2" t="s">
        <v>3523</v>
      </c>
      <c r="N352" s="2" t="s">
        <v>72</v>
      </c>
      <c r="O352" s="2" t="s">
        <v>73</v>
      </c>
      <c r="P352" s="2" t="s">
        <v>3524</v>
      </c>
      <c r="Q352" s="2" t="s">
        <v>3525</v>
      </c>
      <c r="R352" s="2"/>
      <c r="S352" s="2"/>
      <c r="T352" s="2"/>
      <c r="U352" s="2" t="s">
        <v>72</v>
      </c>
      <c r="V352" s="2" t="s">
        <v>73</v>
      </c>
      <c r="W352" s="2" t="s">
        <v>98</v>
      </c>
      <c r="X352" s="2" t="s">
        <v>3526</v>
      </c>
      <c r="Y352" s="2" t="s">
        <v>44</v>
      </c>
      <c r="Z352" s="2"/>
      <c r="AA352" s="2" t="s">
        <v>3527</v>
      </c>
      <c r="AB352" s="2" t="s">
        <v>46</v>
      </c>
      <c r="AC352" s="2" t="s">
        <v>3527</v>
      </c>
      <c r="AE352" s="2" t="s">
        <v>48</v>
      </c>
      <c r="AF352" s="2" t="s">
        <v>49</v>
      </c>
      <c r="AG352" s="2">
        <v>100</v>
      </c>
      <c r="AH352" s="2">
        <v>90</v>
      </c>
      <c r="AJ352" s="2" t="s">
        <v>3529</v>
      </c>
      <c r="AK352" s="2"/>
      <c r="AL352" s="2"/>
      <c r="AM352" s="2" t="s">
        <v>52</v>
      </c>
    </row>
    <row r="353" spans="1:39" x14ac:dyDescent="0.45">
      <c r="A353" s="2" t="s">
        <v>3530</v>
      </c>
      <c r="B353" s="2"/>
      <c r="C353" s="2" t="s">
        <v>3532</v>
      </c>
      <c r="D353" s="2" t="s">
        <v>3534</v>
      </c>
      <c r="E353" s="25"/>
      <c r="F353" s="21"/>
      <c r="G353" s="42" t="s">
        <v>28000</v>
      </c>
      <c r="H353" s="2" t="s">
        <v>50</v>
      </c>
      <c r="I353" s="2" t="s">
        <v>3538</v>
      </c>
      <c r="J353" s="2" t="s">
        <v>3531</v>
      </c>
      <c r="K353" s="2" t="s">
        <v>3533</v>
      </c>
      <c r="L353" s="2" t="s">
        <v>3535</v>
      </c>
      <c r="M353" s="2" t="s">
        <v>3535</v>
      </c>
      <c r="N353" s="2" t="s">
        <v>72</v>
      </c>
      <c r="O353" s="2" t="s">
        <v>73</v>
      </c>
      <c r="P353" s="2" t="s">
        <v>243</v>
      </c>
      <c r="Q353" s="2" t="s">
        <v>3536</v>
      </c>
      <c r="R353" s="2"/>
      <c r="S353" s="2"/>
      <c r="T353" s="2"/>
      <c r="U353" s="2" t="s">
        <v>72</v>
      </c>
      <c r="V353" s="2" t="s">
        <v>73</v>
      </c>
      <c r="W353" s="2" t="s">
        <v>243</v>
      </c>
      <c r="X353" s="2" t="s">
        <v>3537</v>
      </c>
      <c r="Y353" s="2" t="s">
        <v>44</v>
      </c>
      <c r="Z353" s="2"/>
      <c r="AA353" s="2" t="s">
        <v>3527</v>
      </c>
      <c r="AB353" s="2" t="s">
        <v>199</v>
      </c>
      <c r="AC353" s="2" t="s">
        <v>3527</v>
      </c>
      <c r="AE353" s="2" t="s">
        <v>48</v>
      </c>
      <c r="AF353" s="2" t="s">
        <v>49</v>
      </c>
      <c r="AG353" s="2">
        <v>100</v>
      </c>
      <c r="AH353" s="2">
        <v>90</v>
      </c>
      <c r="AJ353" s="2" t="s">
        <v>3539</v>
      </c>
      <c r="AK353" s="2"/>
      <c r="AL353" s="2"/>
      <c r="AM353" s="2" t="s">
        <v>52</v>
      </c>
    </row>
    <row r="354" spans="1:39" x14ac:dyDescent="0.45">
      <c r="A354" s="2" t="s">
        <v>3540</v>
      </c>
      <c r="B354" s="2"/>
      <c r="C354" s="2" t="s">
        <v>3542</v>
      </c>
      <c r="D354" s="2" t="s">
        <v>3544</v>
      </c>
      <c r="E354" s="25"/>
      <c r="F354" s="21"/>
      <c r="G354" s="42" t="s">
        <v>28000</v>
      </c>
      <c r="H354" s="2" t="s">
        <v>50</v>
      </c>
      <c r="I354" s="2" t="s">
        <v>3547</v>
      </c>
      <c r="J354" s="2" t="s">
        <v>3541</v>
      </c>
      <c r="K354" s="2" t="s">
        <v>3543</v>
      </c>
      <c r="L354" s="2" t="s">
        <v>3545</v>
      </c>
      <c r="M354" s="2" t="s">
        <v>3545</v>
      </c>
      <c r="N354" s="2" t="s">
        <v>174</v>
      </c>
      <c r="O354" s="2" t="s">
        <v>175</v>
      </c>
      <c r="P354" s="2" t="s">
        <v>1779</v>
      </c>
      <c r="Q354" s="2" t="s">
        <v>3543</v>
      </c>
      <c r="R354" s="2"/>
      <c r="S354" s="2"/>
      <c r="T354" s="2"/>
      <c r="U354" s="2" t="s">
        <v>174</v>
      </c>
      <c r="V354" s="2" t="s">
        <v>175</v>
      </c>
      <c r="W354" s="2" t="s">
        <v>1779</v>
      </c>
      <c r="X354" s="2" t="s">
        <v>3546</v>
      </c>
      <c r="Y354" s="2" t="s">
        <v>44</v>
      </c>
      <c r="Z354" s="2"/>
      <c r="AA354" s="2" t="s">
        <v>3527</v>
      </c>
      <c r="AB354" s="2" t="s">
        <v>46</v>
      </c>
      <c r="AC354" s="2" t="s">
        <v>3527</v>
      </c>
      <c r="AE354" s="2" t="s">
        <v>48</v>
      </c>
      <c r="AF354" s="2" t="s">
        <v>49</v>
      </c>
      <c r="AG354" s="2">
        <v>100</v>
      </c>
      <c r="AH354" s="2">
        <v>90</v>
      </c>
      <c r="AJ354" s="2" t="s">
        <v>3548</v>
      </c>
      <c r="AK354" s="2"/>
      <c r="AL354" s="2"/>
      <c r="AM354" s="2" t="s">
        <v>52</v>
      </c>
    </row>
    <row r="355" spans="1:39" x14ac:dyDescent="0.45">
      <c r="A355" s="2" t="s">
        <v>3549</v>
      </c>
      <c r="B355" s="2"/>
      <c r="C355" s="2" t="s">
        <v>3551</v>
      </c>
      <c r="D355" s="2" t="s">
        <v>3553</v>
      </c>
      <c r="E355" s="25"/>
      <c r="F355" s="21"/>
      <c r="G355" s="42" t="s">
        <v>28000</v>
      </c>
      <c r="H355" s="2" t="s">
        <v>50</v>
      </c>
      <c r="I355" s="2" t="s">
        <v>3555</v>
      </c>
      <c r="J355" s="2" t="s">
        <v>3550</v>
      </c>
      <c r="K355" s="2" t="s">
        <v>3552</v>
      </c>
      <c r="L355" s="2" t="s">
        <v>3554</v>
      </c>
      <c r="M355" s="2" t="s">
        <v>3554</v>
      </c>
      <c r="N355" s="2" t="s">
        <v>536</v>
      </c>
      <c r="O355" s="2" t="s">
        <v>537</v>
      </c>
      <c r="P355" s="2" t="s">
        <v>538</v>
      </c>
      <c r="Q355" s="2" t="s">
        <v>3552</v>
      </c>
      <c r="R355" s="2"/>
      <c r="S355" s="2"/>
      <c r="T355" s="2"/>
      <c r="U355" s="2" t="s">
        <v>536</v>
      </c>
      <c r="V355" s="2" t="s">
        <v>537</v>
      </c>
      <c r="W355" s="2" t="s">
        <v>538</v>
      </c>
      <c r="X355" s="2" t="s">
        <v>3246</v>
      </c>
      <c r="Y355" s="2" t="s">
        <v>44</v>
      </c>
      <c r="Z355" s="2"/>
      <c r="AA355" s="2" t="s">
        <v>3527</v>
      </c>
      <c r="AB355" s="2" t="s">
        <v>199</v>
      </c>
      <c r="AC355" s="2" t="s">
        <v>3527</v>
      </c>
      <c r="AE355" s="2" t="s">
        <v>48</v>
      </c>
      <c r="AF355" s="2" t="s">
        <v>49</v>
      </c>
      <c r="AG355" s="2">
        <v>100</v>
      </c>
      <c r="AH355" s="2">
        <v>90</v>
      </c>
      <c r="AJ355" s="2" t="s">
        <v>3556</v>
      </c>
      <c r="AK355" s="2"/>
      <c r="AL355" s="2"/>
      <c r="AM355" s="2" t="s">
        <v>52</v>
      </c>
    </row>
    <row r="356" spans="1:39" x14ac:dyDescent="0.45">
      <c r="A356" s="2" t="s">
        <v>3557</v>
      </c>
      <c r="B356" s="2"/>
      <c r="C356" s="2" t="s">
        <v>3559</v>
      </c>
      <c r="D356" s="2" t="s">
        <v>3561</v>
      </c>
      <c r="E356" s="25"/>
      <c r="F356" s="21"/>
      <c r="G356" s="42" t="s">
        <v>28000</v>
      </c>
      <c r="H356" s="2" t="s">
        <v>50</v>
      </c>
      <c r="I356" s="2" t="s">
        <v>3563</v>
      </c>
      <c r="J356" s="2" t="s">
        <v>3558</v>
      </c>
      <c r="K356" s="2" t="s">
        <v>3560</v>
      </c>
      <c r="L356" s="2" t="s">
        <v>3562</v>
      </c>
      <c r="M356" s="2" t="s">
        <v>3562</v>
      </c>
      <c r="N356" s="2" t="s">
        <v>72</v>
      </c>
      <c r="O356" s="2" t="s">
        <v>73</v>
      </c>
      <c r="P356" s="2" t="s">
        <v>98</v>
      </c>
      <c r="Q356" s="2" t="s">
        <v>3560</v>
      </c>
      <c r="R356" s="2"/>
      <c r="S356" s="2"/>
      <c r="T356" s="2"/>
      <c r="U356" s="2" t="s">
        <v>72</v>
      </c>
      <c r="V356" s="2" t="s">
        <v>73</v>
      </c>
      <c r="W356" s="2" t="s">
        <v>98</v>
      </c>
      <c r="X356" s="2" t="s">
        <v>1271</v>
      </c>
      <c r="Y356" s="2" t="s">
        <v>44</v>
      </c>
      <c r="Z356" s="2"/>
      <c r="AA356" s="2" t="s">
        <v>3527</v>
      </c>
      <c r="AB356" s="2" t="s">
        <v>46</v>
      </c>
      <c r="AC356" s="2" t="s">
        <v>3527</v>
      </c>
      <c r="AE356" s="2" t="s">
        <v>48</v>
      </c>
      <c r="AF356" s="2" t="s">
        <v>49</v>
      </c>
      <c r="AG356" s="2">
        <v>100</v>
      </c>
      <c r="AH356" s="2">
        <v>90</v>
      </c>
      <c r="AJ356" s="2" t="s">
        <v>3564</v>
      </c>
      <c r="AK356" s="2"/>
      <c r="AL356" s="2"/>
      <c r="AM356" s="2" t="s">
        <v>52</v>
      </c>
    </row>
    <row r="357" spans="1:39" x14ac:dyDescent="0.45">
      <c r="A357" s="2" t="s">
        <v>3565</v>
      </c>
      <c r="B357" s="2"/>
      <c r="C357" s="2" t="s">
        <v>3567</v>
      </c>
      <c r="D357" s="2" t="s">
        <v>3569</v>
      </c>
      <c r="E357" s="25"/>
      <c r="F357" s="21"/>
      <c r="G357" s="42" t="s">
        <v>28000</v>
      </c>
      <c r="H357" s="2" t="s">
        <v>50</v>
      </c>
      <c r="I357" s="2" t="s">
        <v>3574</v>
      </c>
      <c r="J357" s="2" t="s">
        <v>3566</v>
      </c>
      <c r="K357" s="2" t="s">
        <v>3568</v>
      </c>
      <c r="L357" s="2" t="s">
        <v>3570</v>
      </c>
      <c r="M357" s="2" t="s">
        <v>3570</v>
      </c>
      <c r="N357" s="2" t="s">
        <v>72</v>
      </c>
      <c r="O357" s="2" t="s">
        <v>73</v>
      </c>
      <c r="P357" s="2" t="s">
        <v>3571</v>
      </c>
      <c r="Q357" s="2" t="s">
        <v>3572</v>
      </c>
      <c r="R357" s="2"/>
      <c r="S357" s="2"/>
      <c r="T357" s="2"/>
      <c r="U357" s="2" t="s">
        <v>72</v>
      </c>
      <c r="V357" s="2" t="s">
        <v>73</v>
      </c>
      <c r="W357" s="2" t="s">
        <v>3571</v>
      </c>
      <c r="X357" s="2" t="s">
        <v>3573</v>
      </c>
      <c r="Y357" s="2" t="s">
        <v>44</v>
      </c>
      <c r="Z357" s="2"/>
      <c r="AA357" s="2" t="s">
        <v>821</v>
      </c>
      <c r="AB357" s="2" t="s">
        <v>46</v>
      </c>
      <c r="AC357" s="2" t="s">
        <v>821</v>
      </c>
      <c r="AE357" s="2" t="s">
        <v>48</v>
      </c>
      <c r="AF357" s="2" t="s">
        <v>49</v>
      </c>
      <c r="AG357" s="2">
        <v>100</v>
      </c>
      <c r="AH357" s="2">
        <v>87</v>
      </c>
      <c r="AJ357" s="2" t="s">
        <v>3575</v>
      </c>
      <c r="AK357" s="2"/>
      <c r="AL357" s="2"/>
      <c r="AM357" s="2" t="s">
        <v>52</v>
      </c>
    </row>
    <row r="358" spans="1:39" x14ac:dyDescent="0.45">
      <c r="A358" s="2" t="s">
        <v>3576</v>
      </c>
      <c r="B358" s="2"/>
      <c r="C358" s="2" t="s">
        <v>3578</v>
      </c>
      <c r="D358" s="2" t="s">
        <v>3580</v>
      </c>
      <c r="E358" s="25"/>
      <c r="F358" s="21"/>
      <c r="G358" s="42" t="s">
        <v>28000</v>
      </c>
      <c r="H358" s="2" t="s">
        <v>50</v>
      </c>
      <c r="I358" s="2" t="s">
        <v>3584</v>
      </c>
      <c r="J358" s="2" t="s">
        <v>3577</v>
      </c>
      <c r="K358" s="2" t="s">
        <v>3579</v>
      </c>
      <c r="L358" s="2" t="s">
        <v>3581</v>
      </c>
      <c r="M358" s="2" t="s">
        <v>3581</v>
      </c>
      <c r="N358" s="2" t="s">
        <v>72</v>
      </c>
      <c r="O358" s="2" t="s">
        <v>73</v>
      </c>
      <c r="P358" s="2" t="s">
        <v>119</v>
      </c>
      <c r="Q358" s="2" t="s">
        <v>3582</v>
      </c>
      <c r="R358" s="2"/>
      <c r="S358" s="2"/>
      <c r="T358" s="2"/>
      <c r="U358" s="2" t="s">
        <v>72</v>
      </c>
      <c r="V358" s="2" t="s">
        <v>73</v>
      </c>
      <c r="W358" s="2" t="s">
        <v>119</v>
      </c>
      <c r="X358" s="2" t="s">
        <v>3583</v>
      </c>
      <c r="Y358" s="2" t="s">
        <v>44</v>
      </c>
      <c r="Z358" s="2"/>
      <c r="AA358" s="2" t="s">
        <v>821</v>
      </c>
      <c r="AB358" s="2" t="s">
        <v>46</v>
      </c>
      <c r="AC358" s="2" t="s">
        <v>821</v>
      </c>
      <c r="AE358" s="2" t="s">
        <v>48</v>
      </c>
      <c r="AF358" s="2" t="s">
        <v>49</v>
      </c>
      <c r="AG358" s="2">
        <v>100</v>
      </c>
      <c r="AH358" s="2">
        <v>87</v>
      </c>
      <c r="AJ358" s="2" t="s">
        <v>3585</v>
      </c>
      <c r="AK358" s="2"/>
      <c r="AL358" s="2"/>
      <c r="AM358" s="2" t="s">
        <v>52</v>
      </c>
    </row>
    <row r="359" spans="1:39" x14ac:dyDescent="0.45">
      <c r="A359" s="2" t="s">
        <v>3586</v>
      </c>
      <c r="B359" s="2"/>
      <c r="C359" s="2" t="s">
        <v>3588</v>
      </c>
      <c r="D359" s="2" t="s">
        <v>3590</v>
      </c>
      <c r="E359" s="25"/>
      <c r="F359" s="21"/>
      <c r="G359" s="42" t="s">
        <v>28000</v>
      </c>
      <c r="H359" s="2" t="s">
        <v>50</v>
      </c>
      <c r="I359" s="2" t="s">
        <v>3593</v>
      </c>
      <c r="J359" s="2" t="s">
        <v>3587</v>
      </c>
      <c r="K359" s="2" t="s">
        <v>3589</v>
      </c>
      <c r="L359" s="2" t="s">
        <v>3591</v>
      </c>
      <c r="M359" s="2" t="s">
        <v>3591</v>
      </c>
      <c r="N359" s="2" t="s">
        <v>72</v>
      </c>
      <c r="O359" s="2" t="s">
        <v>73</v>
      </c>
      <c r="P359" s="2" t="s">
        <v>98</v>
      </c>
      <c r="Q359" s="2" t="s">
        <v>3589</v>
      </c>
      <c r="R359" s="2"/>
      <c r="S359" s="2"/>
      <c r="T359" s="2"/>
      <c r="U359" s="2" t="s">
        <v>72</v>
      </c>
      <c r="V359" s="2" t="s">
        <v>73</v>
      </c>
      <c r="W359" s="2" t="s">
        <v>98</v>
      </c>
      <c r="X359" s="2" t="s">
        <v>3592</v>
      </c>
      <c r="Y359" s="2" t="s">
        <v>44</v>
      </c>
      <c r="Z359" s="2"/>
      <c r="AA359" s="2" t="s">
        <v>821</v>
      </c>
      <c r="AB359" s="2" t="s">
        <v>46</v>
      </c>
      <c r="AC359" s="2" t="s">
        <v>821</v>
      </c>
      <c r="AE359" s="2" t="s">
        <v>48</v>
      </c>
      <c r="AF359" s="2" t="s">
        <v>49</v>
      </c>
      <c r="AG359" s="2">
        <v>100</v>
      </c>
      <c r="AH359" s="2">
        <v>87</v>
      </c>
      <c r="AJ359" s="2" t="s">
        <v>3594</v>
      </c>
      <c r="AK359" s="2"/>
      <c r="AL359" s="2"/>
      <c r="AM359" s="2" t="s">
        <v>52</v>
      </c>
    </row>
    <row r="360" spans="1:39" x14ac:dyDescent="0.45">
      <c r="A360" s="2" t="s">
        <v>3595</v>
      </c>
      <c r="B360" s="2"/>
      <c r="C360" s="2" t="s">
        <v>3597</v>
      </c>
      <c r="D360" s="2" t="s">
        <v>3599</v>
      </c>
      <c r="E360" s="25"/>
      <c r="F360" s="21"/>
      <c r="G360" s="42" t="s">
        <v>28000</v>
      </c>
      <c r="H360" s="2" t="s">
        <v>50</v>
      </c>
      <c r="I360" s="2" t="s">
        <v>3602</v>
      </c>
      <c r="J360" s="2" t="s">
        <v>3596</v>
      </c>
      <c r="K360" s="2" t="s">
        <v>3598</v>
      </c>
      <c r="L360" s="2" t="s">
        <v>3600</v>
      </c>
      <c r="M360" s="2" t="s">
        <v>3600</v>
      </c>
      <c r="N360" s="2" t="s">
        <v>72</v>
      </c>
      <c r="O360" s="2" t="s">
        <v>73</v>
      </c>
      <c r="P360" s="2" t="s">
        <v>1035</v>
      </c>
      <c r="Q360" s="2" t="s">
        <v>3601</v>
      </c>
      <c r="R360" s="2"/>
      <c r="S360" s="2"/>
      <c r="T360" s="2"/>
      <c r="U360" s="2" t="s">
        <v>72</v>
      </c>
      <c r="V360" s="2" t="s">
        <v>73</v>
      </c>
      <c r="W360" s="2" t="s">
        <v>1035</v>
      </c>
      <c r="X360" s="2" t="s">
        <v>3592</v>
      </c>
      <c r="Y360" s="2" t="s">
        <v>44</v>
      </c>
      <c r="Z360" s="2"/>
      <c r="AA360" s="2" t="s">
        <v>821</v>
      </c>
      <c r="AB360" s="2" t="s">
        <v>46</v>
      </c>
      <c r="AC360" s="2" t="s">
        <v>821</v>
      </c>
      <c r="AE360" s="2" t="s">
        <v>48</v>
      </c>
      <c r="AF360" s="2" t="s">
        <v>49</v>
      </c>
      <c r="AG360" s="2">
        <v>100</v>
      </c>
      <c r="AH360" s="2">
        <v>87</v>
      </c>
      <c r="AJ360" s="2" t="s">
        <v>3603</v>
      </c>
      <c r="AK360" s="2"/>
      <c r="AL360" s="2"/>
      <c r="AM360" s="2" t="s">
        <v>52</v>
      </c>
    </row>
    <row r="361" spans="1:39" x14ac:dyDescent="0.45">
      <c r="A361" s="2" t="s">
        <v>3604</v>
      </c>
      <c r="B361" s="2"/>
      <c r="C361" s="2" t="s">
        <v>3606</v>
      </c>
      <c r="D361" s="2" t="s">
        <v>3608</v>
      </c>
      <c r="E361" s="25"/>
      <c r="F361" s="21"/>
      <c r="G361" s="42" t="s">
        <v>28000</v>
      </c>
      <c r="H361" s="2" t="s">
        <v>50</v>
      </c>
      <c r="I361" s="2" t="s">
        <v>3612</v>
      </c>
      <c r="J361" s="2" t="s">
        <v>3605</v>
      </c>
      <c r="K361" s="2" t="s">
        <v>3607</v>
      </c>
      <c r="L361" s="2" t="s">
        <v>3609</v>
      </c>
      <c r="M361" s="2" t="s">
        <v>3609</v>
      </c>
      <c r="N361" s="2" t="s">
        <v>290</v>
      </c>
      <c r="O361" s="2" t="s">
        <v>278</v>
      </c>
      <c r="P361" s="2" t="s">
        <v>291</v>
      </c>
      <c r="Q361" s="2" t="s">
        <v>3610</v>
      </c>
      <c r="R361" s="2"/>
      <c r="S361" s="2"/>
      <c r="T361" s="2"/>
      <c r="U361" s="2" t="s">
        <v>72</v>
      </c>
      <c r="V361" s="2" t="s">
        <v>73</v>
      </c>
      <c r="W361" s="2" t="s">
        <v>464</v>
      </c>
      <c r="X361" s="2" t="s">
        <v>3611</v>
      </c>
      <c r="Y361" s="2" t="s">
        <v>44</v>
      </c>
      <c r="Z361" s="2"/>
      <c r="AA361" s="2" t="s">
        <v>821</v>
      </c>
      <c r="AB361" s="2" t="s">
        <v>46</v>
      </c>
      <c r="AC361" s="2" t="s">
        <v>821</v>
      </c>
      <c r="AE361" s="2" t="s">
        <v>48</v>
      </c>
      <c r="AF361" s="2" t="s">
        <v>49</v>
      </c>
      <c r="AG361" s="2">
        <v>100</v>
      </c>
      <c r="AH361" s="2">
        <v>87</v>
      </c>
      <c r="AJ361" s="2" t="s">
        <v>3613</v>
      </c>
      <c r="AK361" s="2"/>
      <c r="AL361" s="2"/>
      <c r="AM361" s="2" t="s">
        <v>52</v>
      </c>
    </row>
    <row r="362" spans="1:39" x14ac:dyDescent="0.45">
      <c r="A362" s="2" t="s">
        <v>3614</v>
      </c>
      <c r="B362" s="2"/>
      <c r="C362" s="2" t="s">
        <v>3616</v>
      </c>
      <c r="D362" s="2" t="s">
        <v>3618</v>
      </c>
      <c r="E362" s="25"/>
      <c r="F362" s="21"/>
      <c r="G362" s="42" t="s">
        <v>28000</v>
      </c>
      <c r="H362" s="2" t="s">
        <v>50</v>
      </c>
      <c r="I362" s="2" t="s">
        <v>3622</v>
      </c>
      <c r="J362" s="2" t="s">
        <v>3615</v>
      </c>
      <c r="K362" s="2" t="s">
        <v>3617</v>
      </c>
      <c r="L362" s="2" t="s">
        <v>3619</v>
      </c>
      <c r="M362" s="2" t="s">
        <v>3619</v>
      </c>
      <c r="N362" s="2" t="s">
        <v>72</v>
      </c>
      <c r="O362" s="2" t="s">
        <v>73</v>
      </c>
      <c r="P362" s="2" t="s">
        <v>74</v>
      </c>
      <c r="Q362" s="2" t="s">
        <v>3620</v>
      </c>
      <c r="R362" s="2"/>
      <c r="S362" s="2"/>
      <c r="T362" s="2"/>
      <c r="U362" s="2" t="s">
        <v>72</v>
      </c>
      <c r="V362" s="2" t="s">
        <v>73</v>
      </c>
      <c r="W362" s="2" t="s">
        <v>74</v>
      </c>
      <c r="X362" s="2" t="s">
        <v>3621</v>
      </c>
      <c r="Y362" s="2" t="s">
        <v>44</v>
      </c>
      <c r="Z362" s="2"/>
      <c r="AA362" s="2" t="s">
        <v>821</v>
      </c>
      <c r="AB362" s="2" t="s">
        <v>46</v>
      </c>
      <c r="AC362" s="2" t="s">
        <v>821</v>
      </c>
      <c r="AE362" s="2" t="s">
        <v>48</v>
      </c>
      <c r="AF362" s="2" t="s">
        <v>49</v>
      </c>
      <c r="AG362" s="2">
        <v>100</v>
      </c>
      <c r="AH362" s="2">
        <v>87</v>
      </c>
      <c r="AJ362" s="2" t="s">
        <v>3623</v>
      </c>
      <c r="AK362" s="2"/>
      <c r="AL362" s="2"/>
      <c r="AM362" s="2" t="s">
        <v>52</v>
      </c>
    </row>
    <row r="363" spans="1:39" x14ac:dyDescent="0.45">
      <c r="A363" s="2" t="s">
        <v>3624</v>
      </c>
      <c r="B363" s="2"/>
      <c r="C363" s="2" t="s">
        <v>3626</v>
      </c>
      <c r="D363" s="2" t="s">
        <v>3628</v>
      </c>
      <c r="E363" s="25"/>
      <c r="F363" s="21"/>
      <c r="G363" s="42" t="s">
        <v>28000</v>
      </c>
      <c r="H363" s="2" t="s">
        <v>50</v>
      </c>
      <c r="I363" s="2" t="s">
        <v>3636</v>
      </c>
      <c r="J363" s="2" t="s">
        <v>3625</v>
      </c>
      <c r="K363" s="2" t="s">
        <v>3627</v>
      </c>
      <c r="L363" s="2" t="s">
        <v>3629</v>
      </c>
      <c r="M363" s="2" t="s">
        <v>3629</v>
      </c>
      <c r="N363" s="2" t="s">
        <v>290</v>
      </c>
      <c r="O363" s="2" t="s">
        <v>278</v>
      </c>
      <c r="P363" s="2" t="s">
        <v>3630</v>
      </c>
      <c r="Q363" s="2" t="s">
        <v>3631</v>
      </c>
      <c r="R363" s="2" t="s">
        <v>3632</v>
      </c>
      <c r="S363" s="2" t="s">
        <v>3633</v>
      </c>
      <c r="T363" s="2" t="s">
        <v>3633</v>
      </c>
      <c r="U363" s="2" t="s">
        <v>290</v>
      </c>
      <c r="V363" s="2" t="s">
        <v>278</v>
      </c>
      <c r="W363" s="2" t="s">
        <v>3634</v>
      </c>
      <c r="X363" s="2" t="s">
        <v>3635</v>
      </c>
      <c r="Y363" s="2" t="s">
        <v>44</v>
      </c>
      <c r="Z363" s="2"/>
      <c r="AA363" s="2" t="s">
        <v>821</v>
      </c>
      <c r="AB363" s="2" t="s">
        <v>46</v>
      </c>
      <c r="AC363" s="2" t="s">
        <v>821</v>
      </c>
      <c r="AE363" s="2" t="s">
        <v>48</v>
      </c>
      <c r="AF363" s="2" t="s">
        <v>49</v>
      </c>
      <c r="AG363" s="2">
        <v>100</v>
      </c>
      <c r="AH363" s="2">
        <v>87</v>
      </c>
      <c r="AJ363" s="2" t="s">
        <v>3637</v>
      </c>
      <c r="AK363" s="2"/>
      <c r="AL363" s="2"/>
      <c r="AM363" s="2" t="s">
        <v>52</v>
      </c>
    </row>
    <row r="364" spans="1:39" x14ac:dyDescent="0.45">
      <c r="A364" s="2" t="s">
        <v>3638</v>
      </c>
      <c r="B364" s="2"/>
      <c r="C364" s="2" t="s">
        <v>3640</v>
      </c>
      <c r="D364" s="2" t="s">
        <v>3642</v>
      </c>
      <c r="E364" s="25"/>
      <c r="F364" s="21"/>
      <c r="G364" s="42" t="s">
        <v>28000</v>
      </c>
      <c r="H364" s="2" t="s">
        <v>50</v>
      </c>
      <c r="I364" s="2" t="s">
        <v>3647</v>
      </c>
      <c r="J364" s="2" t="s">
        <v>3639</v>
      </c>
      <c r="K364" s="2" t="s">
        <v>3641</v>
      </c>
      <c r="L364" s="2" t="s">
        <v>3643</v>
      </c>
      <c r="M364" s="2" t="s">
        <v>3643</v>
      </c>
      <c r="N364" s="2" t="s">
        <v>384</v>
      </c>
      <c r="O364" s="2" t="s">
        <v>73</v>
      </c>
      <c r="P364" s="2" t="s">
        <v>1837</v>
      </c>
      <c r="Q364" s="2" t="s">
        <v>3644</v>
      </c>
      <c r="R364" s="2"/>
      <c r="S364" s="2"/>
      <c r="T364" s="2"/>
      <c r="U364" s="2" t="s">
        <v>384</v>
      </c>
      <c r="V364" s="2" t="s">
        <v>73</v>
      </c>
      <c r="W364" s="2" t="s">
        <v>3645</v>
      </c>
      <c r="X364" s="2" t="s">
        <v>3646</v>
      </c>
      <c r="Y364" s="2" t="s">
        <v>44</v>
      </c>
      <c r="Z364" s="2"/>
      <c r="AA364" s="2" t="s">
        <v>821</v>
      </c>
      <c r="AB364" s="2" t="s">
        <v>46</v>
      </c>
      <c r="AC364" s="2" t="s">
        <v>821</v>
      </c>
      <c r="AE364" s="2" t="s">
        <v>48</v>
      </c>
      <c r="AF364" s="2" t="s">
        <v>49</v>
      </c>
      <c r="AG364" s="2">
        <v>100</v>
      </c>
      <c r="AH364" s="2">
        <v>87</v>
      </c>
      <c r="AJ364" s="2" t="s">
        <v>3648</v>
      </c>
      <c r="AK364" s="2"/>
      <c r="AL364" s="2"/>
      <c r="AM364" s="2" t="s">
        <v>52</v>
      </c>
    </row>
    <row r="365" spans="1:39" x14ac:dyDescent="0.45">
      <c r="A365" s="2" t="s">
        <v>3649</v>
      </c>
      <c r="B365" s="2"/>
      <c r="C365" s="2" t="s">
        <v>3651</v>
      </c>
      <c r="D365" s="2" t="s">
        <v>3653</v>
      </c>
      <c r="E365" s="25"/>
      <c r="F365" s="21"/>
      <c r="G365" s="42" t="s">
        <v>28000</v>
      </c>
      <c r="H365" s="2" t="s">
        <v>50</v>
      </c>
      <c r="I365" s="2" t="s">
        <v>3657</v>
      </c>
      <c r="J365" s="2" t="s">
        <v>3650</v>
      </c>
      <c r="K365" s="2" t="s">
        <v>3652</v>
      </c>
      <c r="L365" s="2" t="s">
        <v>3654</v>
      </c>
      <c r="M365" s="2" t="s">
        <v>3654</v>
      </c>
      <c r="N365" s="2" t="s">
        <v>290</v>
      </c>
      <c r="O365" s="2" t="s">
        <v>278</v>
      </c>
      <c r="P365" s="2" t="s">
        <v>3634</v>
      </c>
      <c r="Q365" s="2" t="s">
        <v>3655</v>
      </c>
      <c r="R365" s="2"/>
      <c r="S365" s="2"/>
      <c r="T365" s="2"/>
      <c r="U365" s="2" t="s">
        <v>290</v>
      </c>
      <c r="V365" s="2" t="s">
        <v>278</v>
      </c>
      <c r="W365" s="2" t="s">
        <v>3634</v>
      </c>
      <c r="X365" s="2" t="s">
        <v>3656</v>
      </c>
      <c r="Y365" s="2" t="s">
        <v>44</v>
      </c>
      <c r="Z365" s="2"/>
      <c r="AA365" s="2" t="s">
        <v>821</v>
      </c>
      <c r="AB365" s="2" t="s">
        <v>46</v>
      </c>
      <c r="AC365" s="2" t="s">
        <v>821</v>
      </c>
      <c r="AE365" s="2" t="s">
        <v>48</v>
      </c>
      <c r="AF365" s="2" t="s">
        <v>49</v>
      </c>
      <c r="AG365" s="2">
        <v>100</v>
      </c>
      <c r="AH365" s="2">
        <v>87</v>
      </c>
      <c r="AJ365" s="2" t="s">
        <v>3658</v>
      </c>
      <c r="AK365" s="2"/>
      <c r="AL365" s="2"/>
      <c r="AM365" s="2" t="s">
        <v>52</v>
      </c>
    </row>
    <row r="366" spans="1:39" x14ac:dyDescent="0.45">
      <c r="A366" s="2" t="s">
        <v>3659</v>
      </c>
      <c r="B366" s="2"/>
      <c r="C366" s="2" t="s">
        <v>3661</v>
      </c>
      <c r="D366" s="2" t="s">
        <v>3663</v>
      </c>
      <c r="E366" s="25"/>
      <c r="F366" s="21"/>
      <c r="G366" s="42" t="s">
        <v>28000</v>
      </c>
      <c r="H366" s="2" t="s">
        <v>50</v>
      </c>
      <c r="I366" s="2" t="s">
        <v>3667</v>
      </c>
      <c r="J366" s="2" t="s">
        <v>3660</v>
      </c>
      <c r="K366" s="2" t="s">
        <v>3662</v>
      </c>
      <c r="L366" s="2" t="s">
        <v>3664</v>
      </c>
      <c r="M366" s="2" t="s">
        <v>3664</v>
      </c>
      <c r="N366" s="2" t="s">
        <v>72</v>
      </c>
      <c r="O366" s="2" t="s">
        <v>73</v>
      </c>
      <c r="P366" s="2" t="s">
        <v>98</v>
      </c>
      <c r="Q366" s="2" t="s">
        <v>3665</v>
      </c>
      <c r="R366" s="2"/>
      <c r="S366" s="2"/>
      <c r="T366" s="2"/>
      <c r="U366" s="2" t="s">
        <v>72</v>
      </c>
      <c r="V366" s="2" t="s">
        <v>73</v>
      </c>
      <c r="W366" s="2" t="s">
        <v>913</v>
      </c>
      <c r="X366" s="2" t="s">
        <v>3666</v>
      </c>
      <c r="Y366" s="2" t="s">
        <v>44</v>
      </c>
      <c r="Z366" s="2"/>
      <c r="AA366" s="2" t="s">
        <v>821</v>
      </c>
      <c r="AB366" s="2" t="s">
        <v>46</v>
      </c>
      <c r="AC366" s="2" t="s">
        <v>821</v>
      </c>
      <c r="AE366" s="2" t="s">
        <v>48</v>
      </c>
      <c r="AF366" s="2" t="s">
        <v>49</v>
      </c>
      <c r="AG366" s="2">
        <v>100</v>
      </c>
      <c r="AH366" s="2">
        <v>87</v>
      </c>
      <c r="AJ366" s="2" t="s">
        <v>3668</v>
      </c>
      <c r="AK366" s="2"/>
      <c r="AL366" s="2"/>
      <c r="AM366" s="2" t="s">
        <v>52</v>
      </c>
    </row>
    <row r="367" spans="1:39" x14ac:dyDescent="0.45">
      <c r="A367" s="2" t="s">
        <v>3669</v>
      </c>
      <c r="B367" s="2"/>
      <c r="C367" s="2" t="s">
        <v>3671</v>
      </c>
      <c r="D367" s="2" t="s">
        <v>3673</v>
      </c>
      <c r="E367" s="25"/>
      <c r="F367" s="21"/>
      <c r="G367" s="42" t="s">
        <v>28000</v>
      </c>
      <c r="H367" s="2" t="s">
        <v>50</v>
      </c>
      <c r="I367" s="2" t="s">
        <v>3678</v>
      </c>
      <c r="J367" s="2" t="s">
        <v>3670</v>
      </c>
      <c r="K367" s="2" t="s">
        <v>3672</v>
      </c>
      <c r="L367" s="2" t="s">
        <v>3674</v>
      </c>
      <c r="M367" s="2" t="s">
        <v>3674</v>
      </c>
      <c r="N367" s="2" t="s">
        <v>384</v>
      </c>
      <c r="O367" s="2" t="s">
        <v>73</v>
      </c>
      <c r="P367" s="2" t="s">
        <v>1906</v>
      </c>
      <c r="Q367" s="2" t="s">
        <v>3675</v>
      </c>
      <c r="R367" s="2"/>
      <c r="S367" s="2"/>
      <c r="T367" s="2"/>
      <c r="U367" s="2" t="s">
        <v>72</v>
      </c>
      <c r="V367" s="2" t="s">
        <v>73</v>
      </c>
      <c r="W367" s="2" t="s">
        <v>3676</v>
      </c>
      <c r="X367" s="2" t="s">
        <v>3677</v>
      </c>
      <c r="Y367" s="2" t="s">
        <v>44</v>
      </c>
      <c r="Z367" s="2"/>
      <c r="AA367" s="2" t="s">
        <v>821</v>
      </c>
      <c r="AB367" s="2" t="s">
        <v>46</v>
      </c>
      <c r="AC367" s="2" t="s">
        <v>821</v>
      </c>
      <c r="AE367" s="2" t="s">
        <v>48</v>
      </c>
      <c r="AF367" s="2" t="s">
        <v>49</v>
      </c>
      <c r="AG367" s="2">
        <v>100</v>
      </c>
      <c r="AH367" s="2">
        <v>87</v>
      </c>
      <c r="AJ367" s="2" t="s">
        <v>3679</v>
      </c>
      <c r="AK367" s="2"/>
      <c r="AL367" s="2"/>
      <c r="AM367" s="2" t="s">
        <v>52</v>
      </c>
    </row>
    <row r="368" spans="1:39" x14ac:dyDescent="0.45">
      <c r="A368" s="2" t="s">
        <v>3680</v>
      </c>
      <c r="B368" s="2"/>
      <c r="C368" s="2" t="s">
        <v>3682</v>
      </c>
      <c r="D368" s="2" t="s">
        <v>3684</v>
      </c>
      <c r="E368" s="25"/>
      <c r="F368" s="21"/>
      <c r="G368" s="42" t="s">
        <v>28000</v>
      </c>
      <c r="H368" s="2" t="s">
        <v>50</v>
      </c>
      <c r="I368" s="2" t="s">
        <v>3688</v>
      </c>
      <c r="J368" s="2" t="s">
        <v>3681</v>
      </c>
      <c r="K368" s="2" t="s">
        <v>3683</v>
      </c>
      <c r="L368" s="2" t="s">
        <v>3685</v>
      </c>
      <c r="M368" s="2" t="s">
        <v>3685</v>
      </c>
      <c r="N368" s="2" t="s">
        <v>72</v>
      </c>
      <c r="O368" s="2" t="s">
        <v>73</v>
      </c>
      <c r="P368" s="2" t="s">
        <v>2800</v>
      </c>
      <c r="Q368" s="2" t="s">
        <v>3686</v>
      </c>
      <c r="R368" s="2"/>
      <c r="S368" s="2"/>
      <c r="T368" s="2"/>
      <c r="U368" s="2" t="s">
        <v>72</v>
      </c>
      <c r="V368" s="2" t="s">
        <v>73</v>
      </c>
      <c r="W368" s="2" t="s">
        <v>2800</v>
      </c>
      <c r="X368" s="2" t="s">
        <v>3687</v>
      </c>
      <c r="Y368" s="2" t="s">
        <v>44</v>
      </c>
      <c r="Z368" s="2"/>
      <c r="AA368" s="2" t="s">
        <v>821</v>
      </c>
      <c r="AB368" s="2" t="s">
        <v>46</v>
      </c>
      <c r="AC368" s="2" t="s">
        <v>821</v>
      </c>
      <c r="AE368" s="2" t="s">
        <v>48</v>
      </c>
      <c r="AF368" s="2" t="s">
        <v>49</v>
      </c>
      <c r="AG368" s="2">
        <v>100</v>
      </c>
      <c r="AH368" s="2">
        <v>87</v>
      </c>
      <c r="AJ368" s="2" t="s">
        <v>3689</v>
      </c>
      <c r="AK368" s="2"/>
      <c r="AL368" s="2"/>
      <c r="AM368" s="2" t="s">
        <v>52</v>
      </c>
    </row>
    <row r="369" spans="1:39" x14ac:dyDescent="0.45">
      <c r="A369" s="2" t="s">
        <v>3690</v>
      </c>
      <c r="B369" s="2"/>
      <c r="C369" s="2" t="s">
        <v>3692</v>
      </c>
      <c r="D369" s="2" t="s">
        <v>3694</v>
      </c>
      <c r="E369" s="25"/>
      <c r="F369" s="21"/>
      <c r="G369" s="42" t="s">
        <v>28000</v>
      </c>
      <c r="H369" s="2" t="s">
        <v>50</v>
      </c>
      <c r="I369" s="2" t="s">
        <v>3698</v>
      </c>
      <c r="J369" s="2" t="s">
        <v>3691</v>
      </c>
      <c r="K369" s="2" t="s">
        <v>3693</v>
      </c>
      <c r="L369" s="2" t="s">
        <v>3695</v>
      </c>
      <c r="M369" s="2" t="s">
        <v>3695</v>
      </c>
      <c r="N369" s="2" t="s">
        <v>72</v>
      </c>
      <c r="O369" s="2" t="s">
        <v>73</v>
      </c>
      <c r="P369" s="2" t="s">
        <v>140</v>
      </c>
      <c r="Q369" s="2" t="s">
        <v>3696</v>
      </c>
      <c r="R369" s="2"/>
      <c r="S369" s="2"/>
      <c r="T369" s="2"/>
      <c r="U369" s="2" t="s">
        <v>72</v>
      </c>
      <c r="V369" s="2" t="s">
        <v>73</v>
      </c>
      <c r="W369" s="2" t="s">
        <v>464</v>
      </c>
      <c r="X369" s="2" t="s">
        <v>3697</v>
      </c>
      <c r="Y369" s="2" t="s">
        <v>44</v>
      </c>
      <c r="Z369" s="2"/>
      <c r="AA369" s="2" t="s">
        <v>821</v>
      </c>
      <c r="AB369" s="2" t="s">
        <v>46</v>
      </c>
      <c r="AC369" s="2" t="s">
        <v>821</v>
      </c>
      <c r="AE369" s="2" t="s">
        <v>48</v>
      </c>
      <c r="AF369" s="2" t="s">
        <v>49</v>
      </c>
      <c r="AG369" s="2">
        <v>100</v>
      </c>
      <c r="AH369" s="2">
        <v>87</v>
      </c>
      <c r="AJ369" s="2" t="s">
        <v>3699</v>
      </c>
      <c r="AK369" s="2"/>
      <c r="AL369" s="2"/>
      <c r="AM369" s="2" t="s">
        <v>52</v>
      </c>
    </row>
    <row r="370" spans="1:39" x14ac:dyDescent="0.45">
      <c r="A370" s="2" t="s">
        <v>3700</v>
      </c>
      <c r="B370" s="2"/>
      <c r="C370" s="2" t="s">
        <v>3702</v>
      </c>
      <c r="D370" s="2" t="s">
        <v>3704</v>
      </c>
      <c r="E370" s="25"/>
      <c r="F370" s="21"/>
      <c r="G370" s="42" t="s">
        <v>28000</v>
      </c>
      <c r="H370" s="2" t="s">
        <v>50</v>
      </c>
      <c r="I370" s="2" t="s">
        <v>3708</v>
      </c>
      <c r="J370" s="2" t="s">
        <v>3701</v>
      </c>
      <c r="K370" s="2" t="s">
        <v>3703</v>
      </c>
      <c r="L370" s="2" t="s">
        <v>3705</v>
      </c>
      <c r="M370" s="2" t="s">
        <v>3705</v>
      </c>
      <c r="N370" s="2" t="s">
        <v>72</v>
      </c>
      <c r="O370" s="2" t="s">
        <v>73</v>
      </c>
      <c r="P370" s="2" t="s">
        <v>464</v>
      </c>
      <c r="Q370" s="2" t="s">
        <v>3706</v>
      </c>
      <c r="R370" s="2"/>
      <c r="S370" s="2"/>
      <c r="T370" s="2"/>
      <c r="U370" s="2" t="s">
        <v>72</v>
      </c>
      <c r="V370" s="2" t="s">
        <v>73</v>
      </c>
      <c r="W370" s="2" t="s">
        <v>464</v>
      </c>
      <c r="X370" s="2" t="s">
        <v>3707</v>
      </c>
      <c r="Y370" s="2" t="s">
        <v>44</v>
      </c>
      <c r="Z370" s="2"/>
      <c r="AA370" s="2" t="s">
        <v>821</v>
      </c>
      <c r="AB370" s="2" t="s">
        <v>46</v>
      </c>
      <c r="AC370" s="2" t="s">
        <v>821</v>
      </c>
      <c r="AE370" s="2" t="s">
        <v>48</v>
      </c>
      <c r="AF370" s="2" t="s">
        <v>49</v>
      </c>
      <c r="AG370" s="2">
        <v>100</v>
      </c>
      <c r="AH370" s="2">
        <v>87</v>
      </c>
      <c r="AJ370" s="2" t="s">
        <v>3709</v>
      </c>
      <c r="AK370" s="2"/>
      <c r="AL370" s="2"/>
      <c r="AM370" s="2" t="s">
        <v>52</v>
      </c>
    </row>
    <row r="371" spans="1:39" x14ac:dyDescent="0.45">
      <c r="A371" s="2" t="s">
        <v>3710</v>
      </c>
      <c r="B371" s="2"/>
      <c r="C371" s="2" t="s">
        <v>3712</v>
      </c>
      <c r="D371" s="2" t="s">
        <v>3714</v>
      </c>
      <c r="E371" s="25"/>
      <c r="F371" s="21"/>
      <c r="G371" s="42" t="s">
        <v>28000</v>
      </c>
      <c r="H371" s="2" t="s">
        <v>50</v>
      </c>
      <c r="I371" s="2" t="s">
        <v>3718</v>
      </c>
      <c r="J371" s="2" t="s">
        <v>3711</v>
      </c>
      <c r="K371" s="2" t="s">
        <v>3713</v>
      </c>
      <c r="L371" s="2" t="s">
        <v>3715</v>
      </c>
      <c r="M371" s="2" t="s">
        <v>3715</v>
      </c>
      <c r="N371" s="2" t="s">
        <v>72</v>
      </c>
      <c r="O371" s="2" t="s">
        <v>73</v>
      </c>
      <c r="P371" s="2" t="s">
        <v>2222</v>
      </c>
      <c r="Q371" s="2" t="s">
        <v>3716</v>
      </c>
      <c r="R371" s="2"/>
      <c r="S371" s="2"/>
      <c r="T371" s="2"/>
      <c r="U371" s="2" t="s">
        <v>72</v>
      </c>
      <c r="V371" s="2" t="s">
        <v>73</v>
      </c>
      <c r="W371" s="2" t="s">
        <v>2222</v>
      </c>
      <c r="X371" s="2" t="s">
        <v>3717</v>
      </c>
      <c r="Y371" s="2" t="s">
        <v>44</v>
      </c>
      <c r="Z371" s="2"/>
      <c r="AA371" s="2" t="s">
        <v>821</v>
      </c>
      <c r="AB371" s="2" t="s">
        <v>46</v>
      </c>
      <c r="AC371" s="2" t="s">
        <v>821</v>
      </c>
      <c r="AE371" s="2" t="s">
        <v>48</v>
      </c>
      <c r="AF371" s="2" t="s">
        <v>49</v>
      </c>
      <c r="AG371" s="2">
        <v>100</v>
      </c>
      <c r="AH371" s="2">
        <v>87</v>
      </c>
      <c r="AJ371" s="2" t="s">
        <v>3719</v>
      </c>
      <c r="AK371" s="2"/>
      <c r="AL371" s="2"/>
      <c r="AM371" s="2" t="s">
        <v>52</v>
      </c>
    </row>
    <row r="372" spans="1:39" x14ac:dyDescent="0.45">
      <c r="A372" s="2" t="s">
        <v>3720</v>
      </c>
      <c r="B372" s="2"/>
      <c r="C372" s="2" t="s">
        <v>3722</v>
      </c>
      <c r="D372" s="2" t="s">
        <v>3724</v>
      </c>
      <c r="E372" s="25"/>
      <c r="F372" s="21"/>
      <c r="G372" s="42" t="s">
        <v>28000</v>
      </c>
      <c r="H372" s="2" t="s">
        <v>50</v>
      </c>
      <c r="I372" s="2" t="s">
        <v>3729</v>
      </c>
      <c r="J372" s="2" t="s">
        <v>3721</v>
      </c>
      <c r="K372" s="2" t="s">
        <v>3723</v>
      </c>
      <c r="L372" s="2" t="s">
        <v>3725</v>
      </c>
      <c r="M372" s="2" t="s">
        <v>3725</v>
      </c>
      <c r="N372" s="2" t="s">
        <v>384</v>
      </c>
      <c r="O372" s="2" t="s">
        <v>73</v>
      </c>
      <c r="P372" s="2" t="s">
        <v>951</v>
      </c>
      <c r="Q372" s="2" t="s">
        <v>3726</v>
      </c>
      <c r="R372" s="2"/>
      <c r="S372" s="2"/>
      <c r="T372" s="2"/>
      <c r="U372" s="2" t="s">
        <v>384</v>
      </c>
      <c r="V372" s="2" t="s">
        <v>73</v>
      </c>
      <c r="W372" s="2" t="s">
        <v>3727</v>
      </c>
      <c r="X372" s="2" t="s">
        <v>3728</v>
      </c>
      <c r="Y372" s="2" t="s">
        <v>44</v>
      </c>
      <c r="Z372" s="2"/>
      <c r="AA372" s="2" t="s">
        <v>821</v>
      </c>
      <c r="AB372" s="2" t="s">
        <v>46</v>
      </c>
      <c r="AC372" s="2" t="s">
        <v>821</v>
      </c>
      <c r="AE372" s="2" t="s">
        <v>48</v>
      </c>
      <c r="AF372" s="2" t="s">
        <v>49</v>
      </c>
      <c r="AG372" s="2">
        <v>100</v>
      </c>
      <c r="AH372" s="2">
        <v>87</v>
      </c>
      <c r="AJ372" s="2" t="s">
        <v>3730</v>
      </c>
      <c r="AK372" s="2"/>
      <c r="AL372" s="2"/>
      <c r="AM372" s="2" t="s">
        <v>52</v>
      </c>
    </row>
    <row r="373" spans="1:39" x14ac:dyDescent="0.45">
      <c r="A373" s="2" t="s">
        <v>3731</v>
      </c>
      <c r="B373" s="2"/>
      <c r="C373" s="2" t="s">
        <v>3733</v>
      </c>
      <c r="D373" s="2" t="s">
        <v>3735</v>
      </c>
      <c r="E373" s="25"/>
      <c r="F373" s="21"/>
      <c r="G373" s="42" t="s">
        <v>28000</v>
      </c>
      <c r="H373" s="2" t="s">
        <v>50</v>
      </c>
      <c r="I373" s="2" t="s">
        <v>3739</v>
      </c>
      <c r="J373" s="2" t="s">
        <v>3732</v>
      </c>
      <c r="K373" s="2" t="s">
        <v>3734</v>
      </c>
      <c r="L373" s="2" t="s">
        <v>3736</v>
      </c>
      <c r="M373" s="2" t="s">
        <v>3736</v>
      </c>
      <c r="N373" s="2" t="s">
        <v>72</v>
      </c>
      <c r="O373" s="2" t="s">
        <v>73</v>
      </c>
      <c r="P373" s="2" t="s">
        <v>1808</v>
      </c>
      <c r="Q373" s="2" t="s">
        <v>3737</v>
      </c>
      <c r="R373" s="2"/>
      <c r="S373" s="2"/>
      <c r="T373" s="2"/>
      <c r="U373" s="2" t="s">
        <v>72</v>
      </c>
      <c r="V373" s="2" t="s">
        <v>73</v>
      </c>
      <c r="W373" s="2" t="s">
        <v>1808</v>
      </c>
      <c r="X373" s="2" t="s">
        <v>3738</v>
      </c>
      <c r="Y373" s="2" t="s">
        <v>44</v>
      </c>
      <c r="Z373" s="2"/>
      <c r="AA373" s="2" t="s">
        <v>821</v>
      </c>
      <c r="AB373" s="2" t="s">
        <v>46</v>
      </c>
      <c r="AC373" s="2" t="s">
        <v>821</v>
      </c>
      <c r="AE373" s="2" t="s">
        <v>48</v>
      </c>
      <c r="AF373" s="2" t="s">
        <v>49</v>
      </c>
      <c r="AG373" s="2">
        <v>100</v>
      </c>
      <c r="AH373" s="2">
        <v>87</v>
      </c>
      <c r="AJ373" s="2" t="s">
        <v>3740</v>
      </c>
      <c r="AK373" s="2"/>
      <c r="AL373" s="2"/>
      <c r="AM373" s="2" t="s">
        <v>52</v>
      </c>
    </row>
    <row r="374" spans="1:39" x14ac:dyDescent="0.45">
      <c r="A374" s="2" t="s">
        <v>3741</v>
      </c>
      <c r="B374" s="2"/>
      <c r="C374" s="2" t="s">
        <v>3743</v>
      </c>
      <c r="D374" s="2" t="s">
        <v>3745</v>
      </c>
      <c r="E374" s="25"/>
      <c r="F374" s="21"/>
      <c r="G374" s="42" t="s">
        <v>28000</v>
      </c>
      <c r="H374" s="2" t="s">
        <v>50</v>
      </c>
      <c r="I374" s="2" t="s">
        <v>3748</v>
      </c>
      <c r="J374" s="2" t="s">
        <v>3742</v>
      </c>
      <c r="K374" s="2" t="s">
        <v>3744</v>
      </c>
      <c r="L374" s="2" t="s">
        <v>3746</v>
      </c>
      <c r="M374" s="2" t="s">
        <v>3746</v>
      </c>
      <c r="N374" s="2" t="s">
        <v>72</v>
      </c>
      <c r="O374" s="2" t="s">
        <v>73</v>
      </c>
      <c r="P374" s="2" t="s">
        <v>243</v>
      </c>
      <c r="Q374" s="2" t="s">
        <v>3744</v>
      </c>
      <c r="R374" s="2"/>
      <c r="S374" s="2"/>
      <c r="T374" s="2"/>
      <c r="U374" s="2" t="s">
        <v>72</v>
      </c>
      <c r="V374" s="2" t="s">
        <v>73</v>
      </c>
      <c r="W374" s="2" t="s">
        <v>243</v>
      </c>
      <c r="X374" s="2" t="s">
        <v>3747</v>
      </c>
      <c r="Y374" s="2" t="s">
        <v>44</v>
      </c>
      <c r="Z374" s="2"/>
      <c r="AA374" s="2" t="s">
        <v>821</v>
      </c>
      <c r="AB374" s="2" t="s">
        <v>46</v>
      </c>
      <c r="AC374" s="2" t="s">
        <v>821</v>
      </c>
      <c r="AE374" s="2" t="s">
        <v>48</v>
      </c>
      <c r="AF374" s="2" t="s">
        <v>49</v>
      </c>
      <c r="AG374" s="2">
        <v>100</v>
      </c>
      <c r="AH374" s="2">
        <v>87</v>
      </c>
      <c r="AJ374" s="2" t="s">
        <v>3749</v>
      </c>
      <c r="AK374" s="2"/>
      <c r="AL374" s="2"/>
      <c r="AM374" s="2" t="s">
        <v>52</v>
      </c>
    </row>
    <row r="375" spans="1:39" x14ac:dyDescent="0.45">
      <c r="A375" s="2" t="s">
        <v>3750</v>
      </c>
      <c r="B375" s="2"/>
      <c r="C375" s="2" t="s">
        <v>3752</v>
      </c>
      <c r="D375" s="2" t="s">
        <v>3754</v>
      </c>
      <c r="E375" s="25"/>
      <c r="F375" s="21"/>
      <c r="G375" s="42" t="s">
        <v>28000</v>
      </c>
      <c r="H375" s="2" t="s">
        <v>50</v>
      </c>
      <c r="I375" s="2" t="s">
        <v>3758</v>
      </c>
      <c r="J375" s="2" t="s">
        <v>3751</v>
      </c>
      <c r="K375" s="2" t="s">
        <v>3753</v>
      </c>
      <c r="L375" s="2" t="s">
        <v>3755</v>
      </c>
      <c r="M375" s="2" t="s">
        <v>3755</v>
      </c>
      <c r="N375" s="2" t="s">
        <v>72</v>
      </c>
      <c r="O375" s="2" t="s">
        <v>73</v>
      </c>
      <c r="P375" s="2" t="s">
        <v>98</v>
      </c>
      <c r="Q375" s="2" t="s">
        <v>3756</v>
      </c>
      <c r="R375" s="2"/>
      <c r="S375" s="2"/>
      <c r="T375" s="2"/>
      <c r="U375" s="2" t="s">
        <v>72</v>
      </c>
      <c r="V375" s="2" t="s">
        <v>73</v>
      </c>
      <c r="W375" s="2" t="s">
        <v>98</v>
      </c>
      <c r="X375" s="2" t="s">
        <v>3757</v>
      </c>
      <c r="Y375" s="2" t="s">
        <v>44</v>
      </c>
      <c r="Z375" s="2"/>
      <c r="AA375" s="2" t="s">
        <v>821</v>
      </c>
      <c r="AB375" s="2" t="s">
        <v>46</v>
      </c>
      <c r="AC375" s="2" t="s">
        <v>821</v>
      </c>
      <c r="AE375" s="2" t="s">
        <v>48</v>
      </c>
      <c r="AF375" s="2" t="s">
        <v>49</v>
      </c>
      <c r="AG375" s="2">
        <v>100</v>
      </c>
      <c r="AH375" s="2">
        <v>87</v>
      </c>
      <c r="AJ375" s="2" t="s">
        <v>3759</v>
      </c>
      <c r="AK375" s="2"/>
      <c r="AL375" s="2"/>
      <c r="AM375" s="2" t="s">
        <v>52</v>
      </c>
    </row>
    <row r="376" spans="1:39" x14ac:dyDescent="0.45">
      <c r="A376" s="2" t="s">
        <v>3760</v>
      </c>
      <c r="B376" s="2"/>
      <c r="C376" s="2" t="s">
        <v>3762</v>
      </c>
      <c r="D376" s="2" t="s">
        <v>3764</v>
      </c>
      <c r="E376" s="25"/>
      <c r="F376" s="21"/>
      <c r="G376" s="42" t="s">
        <v>28000</v>
      </c>
      <c r="H376" s="2" t="s">
        <v>50</v>
      </c>
      <c r="I376" s="2" t="s">
        <v>3769</v>
      </c>
      <c r="J376" s="2" t="s">
        <v>3761</v>
      </c>
      <c r="K376" s="2" t="s">
        <v>3763</v>
      </c>
      <c r="L376" s="2" t="s">
        <v>3765</v>
      </c>
      <c r="M376" s="2" t="s">
        <v>3765</v>
      </c>
      <c r="N376" s="2" t="s">
        <v>72</v>
      </c>
      <c r="O376" s="2" t="s">
        <v>73</v>
      </c>
      <c r="P376" s="2" t="s">
        <v>791</v>
      </c>
      <c r="Q376" s="2" t="s">
        <v>3766</v>
      </c>
      <c r="R376" s="2"/>
      <c r="S376" s="2"/>
      <c r="T376" s="2"/>
      <c r="U376" s="2" t="s">
        <v>216</v>
      </c>
      <c r="V376" s="2" t="s">
        <v>217</v>
      </c>
      <c r="W376" s="2" t="s">
        <v>3767</v>
      </c>
      <c r="X376" s="2" t="s">
        <v>3768</v>
      </c>
      <c r="Y376" s="2" t="s">
        <v>44</v>
      </c>
      <c r="Z376" s="2"/>
      <c r="AA376" s="2" t="s">
        <v>821</v>
      </c>
      <c r="AB376" s="2" t="s">
        <v>46</v>
      </c>
      <c r="AC376" s="2" t="s">
        <v>821</v>
      </c>
      <c r="AE376" s="2" t="s">
        <v>48</v>
      </c>
      <c r="AF376" s="2" t="s">
        <v>49</v>
      </c>
      <c r="AG376" s="2">
        <v>100</v>
      </c>
      <c r="AH376" s="2">
        <v>87</v>
      </c>
      <c r="AJ376" s="2" t="s">
        <v>3770</v>
      </c>
      <c r="AK376" s="2"/>
      <c r="AL376" s="2"/>
      <c r="AM376" s="2" t="s">
        <v>52</v>
      </c>
    </row>
    <row r="377" spans="1:39" x14ac:dyDescent="0.45">
      <c r="A377" s="2" t="s">
        <v>3771</v>
      </c>
      <c r="B377" s="2"/>
      <c r="C377" s="2" t="s">
        <v>3773</v>
      </c>
      <c r="D377" s="2" t="s">
        <v>3775</v>
      </c>
      <c r="E377" s="25"/>
      <c r="F377" s="21"/>
      <c r="G377" s="42" t="s">
        <v>28000</v>
      </c>
      <c r="H377" s="2" t="s">
        <v>50</v>
      </c>
      <c r="I377" s="2" t="s">
        <v>3778</v>
      </c>
      <c r="J377" s="2" t="s">
        <v>3772</v>
      </c>
      <c r="K377" s="2" t="s">
        <v>3774</v>
      </c>
      <c r="L377" s="2" t="s">
        <v>3776</v>
      </c>
      <c r="M377" s="2" t="s">
        <v>3776</v>
      </c>
      <c r="N377" s="2" t="s">
        <v>277</v>
      </c>
      <c r="O377" s="2" t="s">
        <v>278</v>
      </c>
      <c r="P377" s="2" t="s">
        <v>1546</v>
      </c>
      <c r="Q377" s="2" t="s">
        <v>3774</v>
      </c>
      <c r="R377" s="2"/>
      <c r="S377" s="2"/>
      <c r="T377" s="2"/>
      <c r="U377" s="2" t="s">
        <v>277</v>
      </c>
      <c r="V377" s="2" t="s">
        <v>278</v>
      </c>
      <c r="W377" s="2" t="s">
        <v>1546</v>
      </c>
      <c r="X377" s="2" t="s">
        <v>3777</v>
      </c>
      <c r="Y377" s="2" t="s">
        <v>44</v>
      </c>
      <c r="Z377" s="2"/>
      <c r="AA377" s="2" t="s">
        <v>821</v>
      </c>
      <c r="AB377" s="2" t="s">
        <v>46</v>
      </c>
      <c r="AC377" s="2" t="s">
        <v>821</v>
      </c>
      <c r="AE377" s="2" t="s">
        <v>48</v>
      </c>
      <c r="AF377" s="2" t="s">
        <v>49</v>
      </c>
      <c r="AG377" s="2">
        <v>100</v>
      </c>
      <c r="AH377" s="2">
        <v>87</v>
      </c>
      <c r="AJ377" s="2" t="s">
        <v>3779</v>
      </c>
      <c r="AK377" s="2"/>
      <c r="AL377" s="2"/>
      <c r="AM377" s="2" t="s">
        <v>52</v>
      </c>
    </row>
    <row r="378" spans="1:39" x14ac:dyDescent="0.45">
      <c r="A378" s="2" t="s">
        <v>3780</v>
      </c>
      <c r="B378" s="2"/>
      <c r="C378" s="2" t="s">
        <v>3782</v>
      </c>
      <c r="D378" s="2" t="s">
        <v>3784</v>
      </c>
      <c r="E378" s="25"/>
      <c r="F378" s="21"/>
      <c r="G378" s="42" t="s">
        <v>28000</v>
      </c>
      <c r="H378" s="2" t="s">
        <v>50</v>
      </c>
      <c r="I378" s="2" t="s">
        <v>3788</v>
      </c>
      <c r="J378" s="2" t="s">
        <v>3781</v>
      </c>
      <c r="K378" s="2" t="s">
        <v>3783</v>
      </c>
      <c r="L378" s="2" t="s">
        <v>3785</v>
      </c>
      <c r="M378" s="2" t="s">
        <v>3785</v>
      </c>
      <c r="N378" s="2" t="s">
        <v>72</v>
      </c>
      <c r="O378" s="2" t="s">
        <v>73</v>
      </c>
      <c r="P378" s="2" t="s">
        <v>464</v>
      </c>
      <c r="Q378" s="2" t="s">
        <v>3786</v>
      </c>
      <c r="R378" s="2"/>
      <c r="S378" s="2"/>
      <c r="T378" s="2"/>
      <c r="U378" s="2" t="s">
        <v>72</v>
      </c>
      <c r="V378" s="2" t="s">
        <v>73</v>
      </c>
      <c r="W378" s="2" t="s">
        <v>464</v>
      </c>
      <c r="X378" s="2" t="s">
        <v>3787</v>
      </c>
      <c r="Y378" s="2" t="s">
        <v>44</v>
      </c>
      <c r="Z378" s="2"/>
      <c r="AA378" s="2" t="s">
        <v>821</v>
      </c>
      <c r="AB378" s="2" t="s">
        <v>46</v>
      </c>
      <c r="AC378" s="2" t="s">
        <v>821</v>
      </c>
      <c r="AE378" s="2" t="s">
        <v>48</v>
      </c>
      <c r="AF378" s="2" t="s">
        <v>49</v>
      </c>
      <c r="AG378" s="2">
        <v>100</v>
      </c>
      <c r="AH378" s="2">
        <v>87</v>
      </c>
      <c r="AJ378" s="2" t="s">
        <v>3789</v>
      </c>
      <c r="AK378" s="2"/>
      <c r="AL378" s="2"/>
      <c r="AM378" s="2" t="s">
        <v>52</v>
      </c>
    </row>
    <row r="379" spans="1:39" x14ac:dyDescent="0.45">
      <c r="A379" s="2" t="s">
        <v>3790</v>
      </c>
      <c r="B379" s="2"/>
      <c r="C379" s="2" t="s">
        <v>3792</v>
      </c>
      <c r="D379" s="2" t="s">
        <v>3794</v>
      </c>
      <c r="E379" s="25"/>
      <c r="F379" s="21"/>
      <c r="G379" s="42" t="s">
        <v>28000</v>
      </c>
      <c r="H379" s="2" t="s">
        <v>50</v>
      </c>
      <c r="I379" s="2" t="s">
        <v>3799</v>
      </c>
      <c r="J379" s="2" t="s">
        <v>3791</v>
      </c>
      <c r="K379" s="2" t="s">
        <v>3793</v>
      </c>
      <c r="L379" s="2" t="s">
        <v>3795</v>
      </c>
      <c r="M379" s="2" t="s">
        <v>3795</v>
      </c>
      <c r="N379" s="2" t="s">
        <v>384</v>
      </c>
      <c r="O379" s="2" t="s">
        <v>73</v>
      </c>
      <c r="P379" s="2" t="s">
        <v>557</v>
      </c>
      <c r="Q379" s="2" t="s">
        <v>3796</v>
      </c>
      <c r="R379" s="2"/>
      <c r="S379" s="2"/>
      <c r="T379" s="2"/>
      <c r="U379" s="2" t="s">
        <v>384</v>
      </c>
      <c r="V379" s="2" t="s">
        <v>73</v>
      </c>
      <c r="W379" s="2" t="s">
        <v>3797</v>
      </c>
      <c r="X379" s="2" t="s">
        <v>3798</v>
      </c>
      <c r="Y379" s="2" t="s">
        <v>44</v>
      </c>
      <c r="Z379" s="2"/>
      <c r="AA379" s="2" t="s">
        <v>821</v>
      </c>
      <c r="AB379" s="2" t="s">
        <v>46</v>
      </c>
      <c r="AC379" s="2" t="s">
        <v>821</v>
      </c>
      <c r="AE379" s="2" t="s">
        <v>48</v>
      </c>
      <c r="AF379" s="2" t="s">
        <v>49</v>
      </c>
      <c r="AG379" s="2">
        <v>100</v>
      </c>
      <c r="AH379" s="2">
        <v>87</v>
      </c>
      <c r="AJ379" s="2" t="s">
        <v>3800</v>
      </c>
      <c r="AK379" s="2"/>
      <c r="AL379" s="2"/>
      <c r="AM379" s="2" t="s">
        <v>52</v>
      </c>
    </row>
    <row r="380" spans="1:39" x14ac:dyDescent="0.45">
      <c r="A380" s="2" t="s">
        <v>3801</v>
      </c>
      <c r="B380" s="2"/>
      <c r="C380" s="2" t="s">
        <v>3803</v>
      </c>
      <c r="D380" s="2" t="s">
        <v>3805</v>
      </c>
      <c r="E380" s="25"/>
      <c r="F380" s="21"/>
      <c r="G380" s="42" t="s">
        <v>28000</v>
      </c>
      <c r="H380" s="2" t="s">
        <v>50</v>
      </c>
      <c r="I380" s="2" t="s">
        <v>3810</v>
      </c>
      <c r="J380" s="2" t="s">
        <v>3802</v>
      </c>
      <c r="K380" s="2" t="s">
        <v>3804</v>
      </c>
      <c r="L380" s="2" t="s">
        <v>3806</v>
      </c>
      <c r="M380" s="2" t="s">
        <v>3806</v>
      </c>
      <c r="N380" s="2" t="s">
        <v>324</v>
      </c>
      <c r="O380" s="2" t="s">
        <v>73</v>
      </c>
      <c r="P380" s="2" t="s">
        <v>3807</v>
      </c>
      <c r="Q380" s="2" t="s">
        <v>3808</v>
      </c>
      <c r="R380" s="2"/>
      <c r="S380" s="2"/>
      <c r="T380" s="2"/>
      <c r="U380" s="2" t="s">
        <v>324</v>
      </c>
      <c r="V380" s="2" t="s">
        <v>73</v>
      </c>
      <c r="W380" s="2" t="s">
        <v>3807</v>
      </c>
      <c r="X380" s="2" t="s">
        <v>3809</v>
      </c>
      <c r="Y380" s="2" t="s">
        <v>44</v>
      </c>
      <c r="Z380" s="2"/>
      <c r="AA380" s="2" t="s">
        <v>821</v>
      </c>
      <c r="AB380" s="2" t="s">
        <v>46</v>
      </c>
      <c r="AC380" s="2" t="s">
        <v>821</v>
      </c>
      <c r="AE380" s="2" t="s">
        <v>48</v>
      </c>
      <c r="AF380" s="2" t="s">
        <v>49</v>
      </c>
      <c r="AG380" s="2">
        <v>100</v>
      </c>
      <c r="AH380" s="2">
        <v>87</v>
      </c>
      <c r="AJ380" s="2" t="s">
        <v>3811</v>
      </c>
      <c r="AK380" s="2"/>
      <c r="AL380" s="2"/>
      <c r="AM380" s="2" t="s">
        <v>52</v>
      </c>
    </row>
    <row r="381" spans="1:39" x14ac:dyDescent="0.45">
      <c r="A381" s="2" t="s">
        <v>3812</v>
      </c>
      <c r="B381" s="2"/>
      <c r="C381" s="2" t="s">
        <v>3814</v>
      </c>
      <c r="D381" s="2" t="s">
        <v>3816</v>
      </c>
      <c r="E381" s="25"/>
      <c r="F381" s="21"/>
      <c r="G381" s="42" t="s">
        <v>28000</v>
      </c>
      <c r="H381" s="2" t="s">
        <v>50</v>
      </c>
      <c r="I381" s="2" t="s">
        <v>3820</v>
      </c>
      <c r="J381" s="2" t="s">
        <v>3813</v>
      </c>
      <c r="K381" s="2" t="s">
        <v>3815</v>
      </c>
      <c r="L381" s="2" t="s">
        <v>3817</v>
      </c>
      <c r="M381" s="2" t="s">
        <v>3817</v>
      </c>
      <c r="N381" s="2" t="s">
        <v>72</v>
      </c>
      <c r="O381" s="2" t="s">
        <v>73</v>
      </c>
      <c r="P381" s="2" t="s">
        <v>373</v>
      </c>
      <c r="Q381" s="2" t="s">
        <v>3818</v>
      </c>
      <c r="R381" s="2"/>
      <c r="S381" s="2"/>
      <c r="T381" s="2"/>
      <c r="U381" s="2" t="s">
        <v>72</v>
      </c>
      <c r="V381" s="2" t="s">
        <v>73</v>
      </c>
      <c r="W381" s="2" t="s">
        <v>373</v>
      </c>
      <c r="X381" s="2" t="s">
        <v>3819</v>
      </c>
      <c r="Y381" s="2" t="s">
        <v>44</v>
      </c>
      <c r="Z381" s="2"/>
      <c r="AA381" s="2" t="s">
        <v>821</v>
      </c>
      <c r="AB381" s="2" t="s">
        <v>46</v>
      </c>
      <c r="AC381" s="2" t="s">
        <v>821</v>
      </c>
      <c r="AE381" s="2" t="s">
        <v>48</v>
      </c>
      <c r="AF381" s="2" t="s">
        <v>49</v>
      </c>
      <c r="AG381" s="2">
        <v>100</v>
      </c>
      <c r="AH381" s="2">
        <v>87</v>
      </c>
      <c r="AJ381" s="2" t="s">
        <v>3821</v>
      </c>
      <c r="AK381" s="2"/>
      <c r="AL381" s="2"/>
      <c r="AM381" s="2" t="s">
        <v>52</v>
      </c>
    </row>
    <row r="382" spans="1:39" x14ac:dyDescent="0.45">
      <c r="A382" s="2" t="s">
        <v>3822</v>
      </c>
      <c r="B382" s="2"/>
      <c r="C382" s="2" t="s">
        <v>3824</v>
      </c>
      <c r="D382" s="2" t="s">
        <v>3826</v>
      </c>
      <c r="E382" s="25"/>
      <c r="F382" s="21"/>
      <c r="G382" s="42" t="s">
        <v>28000</v>
      </c>
      <c r="H382" s="2" t="s">
        <v>50</v>
      </c>
      <c r="I382" s="2" t="s">
        <v>3830</v>
      </c>
      <c r="J382" s="2" t="s">
        <v>3823</v>
      </c>
      <c r="K382" s="2" t="s">
        <v>3825</v>
      </c>
      <c r="L382" s="2" t="s">
        <v>3827</v>
      </c>
      <c r="M382" s="2" t="s">
        <v>3827</v>
      </c>
      <c r="N382" s="2" t="s">
        <v>324</v>
      </c>
      <c r="O382" s="2" t="s">
        <v>73</v>
      </c>
      <c r="P382" s="2" t="s">
        <v>516</v>
      </c>
      <c r="Q382" s="2" t="s">
        <v>3828</v>
      </c>
      <c r="R382" s="2"/>
      <c r="S382" s="2"/>
      <c r="T382" s="2"/>
      <c r="U382" s="2" t="s">
        <v>324</v>
      </c>
      <c r="V382" s="2" t="s">
        <v>73</v>
      </c>
      <c r="W382" s="2" t="s">
        <v>516</v>
      </c>
      <c r="X382" s="2" t="s">
        <v>3829</v>
      </c>
      <c r="Y382" s="2" t="s">
        <v>44</v>
      </c>
      <c r="Z382" s="2"/>
      <c r="AA382" s="2" t="s">
        <v>821</v>
      </c>
      <c r="AB382" s="2" t="s">
        <v>46</v>
      </c>
      <c r="AC382" s="2" t="s">
        <v>821</v>
      </c>
      <c r="AE382" s="2" t="s">
        <v>48</v>
      </c>
      <c r="AF382" s="2" t="s">
        <v>49</v>
      </c>
      <c r="AG382" s="2">
        <v>100</v>
      </c>
      <c r="AH382" s="2">
        <v>87</v>
      </c>
      <c r="AJ382" s="2" t="s">
        <v>3831</v>
      </c>
      <c r="AK382" s="2"/>
      <c r="AL382" s="2"/>
      <c r="AM382" s="2" t="s">
        <v>52</v>
      </c>
    </row>
    <row r="383" spans="1:39" x14ac:dyDescent="0.45">
      <c r="A383" s="2" t="s">
        <v>704</v>
      </c>
      <c r="B383" s="2"/>
      <c r="C383" s="2" t="s">
        <v>706</v>
      </c>
      <c r="D383" s="2" t="s">
        <v>3834</v>
      </c>
      <c r="E383" s="25"/>
      <c r="F383" s="21"/>
      <c r="G383" s="42" t="s">
        <v>28000</v>
      </c>
      <c r="H383" s="2" t="s">
        <v>50</v>
      </c>
      <c r="I383" s="2" t="s">
        <v>3837</v>
      </c>
      <c r="J383" s="2" t="s">
        <v>3832</v>
      </c>
      <c r="K383" s="2" t="s">
        <v>3833</v>
      </c>
      <c r="L383" s="2" t="s">
        <v>3835</v>
      </c>
      <c r="M383" s="2" t="s">
        <v>3835</v>
      </c>
      <c r="N383" s="2" t="s">
        <v>72</v>
      </c>
      <c r="O383" s="2" t="s">
        <v>73</v>
      </c>
      <c r="P383" s="2" t="s">
        <v>74</v>
      </c>
      <c r="Q383" s="2" t="s">
        <v>3833</v>
      </c>
      <c r="R383" s="2"/>
      <c r="S383" s="2"/>
      <c r="T383" s="2"/>
      <c r="U383" s="2" t="s">
        <v>72</v>
      </c>
      <c r="V383" s="2" t="s">
        <v>73</v>
      </c>
      <c r="W383" s="2" t="s">
        <v>74</v>
      </c>
      <c r="X383" s="2" t="s">
        <v>3836</v>
      </c>
      <c r="Y383" s="2" t="s">
        <v>44</v>
      </c>
      <c r="Z383" s="2"/>
      <c r="AA383" s="2" t="s">
        <v>821</v>
      </c>
      <c r="AB383" s="2" t="s">
        <v>199</v>
      </c>
      <c r="AC383" s="2" t="s">
        <v>821</v>
      </c>
      <c r="AE383" s="2" t="s">
        <v>48</v>
      </c>
      <c r="AF383" s="2" t="s">
        <v>49</v>
      </c>
      <c r="AG383" s="2">
        <v>100</v>
      </c>
      <c r="AH383" s="2">
        <v>87</v>
      </c>
      <c r="AJ383" s="2" t="s">
        <v>3838</v>
      </c>
      <c r="AK383" s="2"/>
      <c r="AL383" s="2"/>
      <c r="AM383" s="2" t="s">
        <v>52</v>
      </c>
    </row>
    <row r="384" spans="1:39" x14ac:dyDescent="0.45">
      <c r="A384" s="2" t="s">
        <v>3839</v>
      </c>
      <c r="B384" s="2"/>
      <c r="C384" s="2" t="s">
        <v>3841</v>
      </c>
      <c r="D384" s="2" t="s">
        <v>3843</v>
      </c>
      <c r="E384" s="25"/>
      <c r="F384" s="21"/>
      <c r="G384" s="42" t="s">
        <v>28000</v>
      </c>
      <c r="H384" s="2" t="s">
        <v>50</v>
      </c>
      <c r="I384" s="2" t="s">
        <v>3846</v>
      </c>
      <c r="J384" s="2" t="s">
        <v>3840</v>
      </c>
      <c r="K384" s="2" t="s">
        <v>3842</v>
      </c>
      <c r="L384" s="2" t="s">
        <v>3844</v>
      </c>
      <c r="M384" s="2" t="s">
        <v>3844</v>
      </c>
      <c r="N384" s="2" t="s">
        <v>72</v>
      </c>
      <c r="O384" s="2" t="s">
        <v>73</v>
      </c>
      <c r="P384" s="2" t="s">
        <v>98</v>
      </c>
      <c r="Q384" s="2" t="s">
        <v>3842</v>
      </c>
      <c r="R384" s="2"/>
      <c r="S384" s="2"/>
      <c r="T384" s="2"/>
      <c r="U384" s="2" t="s">
        <v>72</v>
      </c>
      <c r="V384" s="2" t="s">
        <v>73</v>
      </c>
      <c r="W384" s="2" t="s">
        <v>98</v>
      </c>
      <c r="X384" s="2" t="s">
        <v>3845</v>
      </c>
      <c r="Y384" s="2" t="s">
        <v>44</v>
      </c>
      <c r="Z384" s="2"/>
      <c r="AA384" s="2" t="s">
        <v>821</v>
      </c>
      <c r="AB384" s="2" t="s">
        <v>46</v>
      </c>
      <c r="AC384" s="2" t="s">
        <v>821</v>
      </c>
      <c r="AE384" s="2" t="s">
        <v>48</v>
      </c>
      <c r="AF384" s="2" t="s">
        <v>49</v>
      </c>
      <c r="AG384" s="2">
        <v>100</v>
      </c>
      <c r="AH384" s="2">
        <v>87</v>
      </c>
      <c r="AJ384" s="2" t="s">
        <v>3847</v>
      </c>
      <c r="AK384" s="2"/>
      <c r="AL384" s="2"/>
      <c r="AM384" s="2" t="s">
        <v>52</v>
      </c>
    </row>
    <row r="385" spans="1:39" x14ac:dyDescent="0.45">
      <c r="A385" s="2" t="s">
        <v>3848</v>
      </c>
      <c r="B385" s="2"/>
      <c r="C385" s="2" t="s">
        <v>3850</v>
      </c>
      <c r="D385" s="2" t="s">
        <v>3852</v>
      </c>
      <c r="E385" s="25"/>
      <c r="F385" s="21"/>
      <c r="G385" s="42" t="s">
        <v>28000</v>
      </c>
      <c r="H385" s="2" t="s">
        <v>50</v>
      </c>
      <c r="I385" s="2" t="s">
        <v>3857</v>
      </c>
      <c r="J385" s="2" t="s">
        <v>3849</v>
      </c>
      <c r="K385" s="2" t="s">
        <v>3851</v>
      </c>
      <c r="L385" s="2" t="s">
        <v>3853</v>
      </c>
      <c r="M385" s="2" t="s">
        <v>3853</v>
      </c>
      <c r="N385" s="2" t="s">
        <v>1023</v>
      </c>
      <c r="O385" s="2" t="s">
        <v>73</v>
      </c>
      <c r="P385" s="2" t="s">
        <v>3854</v>
      </c>
      <c r="Q385" s="2" t="s">
        <v>3855</v>
      </c>
      <c r="R385" s="2"/>
      <c r="S385" s="2"/>
      <c r="T385" s="2"/>
      <c r="U385" s="2" t="s">
        <v>1023</v>
      </c>
      <c r="V385" s="2" t="s">
        <v>73</v>
      </c>
      <c r="W385" s="2" t="s">
        <v>3854</v>
      </c>
      <c r="X385" s="2" t="s">
        <v>3856</v>
      </c>
      <c r="Y385" s="2" t="s">
        <v>44</v>
      </c>
      <c r="Z385" s="2"/>
      <c r="AA385" s="2" t="s">
        <v>821</v>
      </c>
      <c r="AB385" s="2" t="s">
        <v>46</v>
      </c>
      <c r="AC385" s="2" t="s">
        <v>821</v>
      </c>
      <c r="AE385" s="2" t="s">
        <v>48</v>
      </c>
      <c r="AF385" s="2" t="s">
        <v>49</v>
      </c>
      <c r="AG385" s="2">
        <v>100</v>
      </c>
      <c r="AH385" s="2">
        <v>87</v>
      </c>
      <c r="AJ385" s="2" t="s">
        <v>3858</v>
      </c>
      <c r="AK385" s="2"/>
      <c r="AL385" s="2"/>
      <c r="AM385" s="2" t="s">
        <v>52</v>
      </c>
    </row>
    <row r="386" spans="1:39" x14ac:dyDescent="0.45">
      <c r="A386" s="2" t="s">
        <v>3859</v>
      </c>
      <c r="B386" s="2"/>
      <c r="C386" s="2" t="s">
        <v>3861</v>
      </c>
      <c r="D386" s="2" t="s">
        <v>3863</v>
      </c>
      <c r="E386" s="25"/>
      <c r="F386" s="21"/>
      <c r="G386" s="42" t="s">
        <v>28000</v>
      </c>
      <c r="H386" s="2" t="s">
        <v>50</v>
      </c>
      <c r="I386" s="2" t="s">
        <v>3867</v>
      </c>
      <c r="J386" s="2" t="s">
        <v>3860</v>
      </c>
      <c r="K386" s="2" t="s">
        <v>3862</v>
      </c>
      <c r="L386" s="2" t="s">
        <v>3864</v>
      </c>
      <c r="M386" s="2" t="s">
        <v>3864</v>
      </c>
      <c r="N386" s="2" t="s">
        <v>384</v>
      </c>
      <c r="O386" s="2" t="s">
        <v>73</v>
      </c>
      <c r="P386" s="2" t="s">
        <v>559</v>
      </c>
      <c r="Q386" s="2" t="s">
        <v>3862</v>
      </c>
      <c r="R386" s="2" t="s">
        <v>3865</v>
      </c>
      <c r="S386" s="2"/>
      <c r="T386" s="2"/>
      <c r="U386" s="2" t="s">
        <v>384</v>
      </c>
      <c r="V386" s="2" t="s">
        <v>73</v>
      </c>
      <c r="W386" s="2" t="s">
        <v>559</v>
      </c>
      <c r="X386" s="2" t="s">
        <v>3866</v>
      </c>
      <c r="Y386" s="2" t="s">
        <v>44</v>
      </c>
      <c r="Z386" s="2"/>
      <c r="AA386" s="2" t="s">
        <v>821</v>
      </c>
      <c r="AB386" s="2" t="s">
        <v>46</v>
      </c>
      <c r="AC386" s="2" t="s">
        <v>821</v>
      </c>
      <c r="AE386" s="2" t="s">
        <v>48</v>
      </c>
      <c r="AF386" s="2" t="s">
        <v>49</v>
      </c>
      <c r="AG386" s="2">
        <v>100</v>
      </c>
      <c r="AH386" s="2">
        <v>87</v>
      </c>
      <c r="AJ386" s="2" t="s">
        <v>3868</v>
      </c>
      <c r="AK386" s="2"/>
      <c r="AL386" s="2"/>
      <c r="AM386" s="2" t="s">
        <v>52</v>
      </c>
    </row>
    <row r="387" spans="1:39" x14ac:dyDescent="0.45">
      <c r="A387" s="2" t="s">
        <v>3869</v>
      </c>
      <c r="B387" s="2"/>
      <c r="C387" s="2" t="s">
        <v>3871</v>
      </c>
      <c r="D387" s="2" t="s">
        <v>3873</v>
      </c>
      <c r="E387" s="25"/>
      <c r="F387" s="21"/>
      <c r="G387" s="42" t="s">
        <v>28000</v>
      </c>
      <c r="H387" s="2" t="s">
        <v>50</v>
      </c>
      <c r="I387" s="2" t="s">
        <v>3880</v>
      </c>
      <c r="J387" s="2" t="s">
        <v>3870</v>
      </c>
      <c r="K387" s="2" t="s">
        <v>3872</v>
      </c>
      <c r="L387" s="2" t="s">
        <v>3874</v>
      </c>
      <c r="M387" s="2" t="s">
        <v>3874</v>
      </c>
      <c r="N387" s="2" t="s">
        <v>72</v>
      </c>
      <c r="O387" s="2" t="s">
        <v>73</v>
      </c>
      <c r="P387" s="2" t="s">
        <v>3875</v>
      </c>
      <c r="Q387" s="2" t="s">
        <v>3876</v>
      </c>
      <c r="R387" s="2"/>
      <c r="S387" s="2"/>
      <c r="T387" s="2"/>
      <c r="U387" s="2" t="s">
        <v>3877</v>
      </c>
      <c r="V387" s="2" t="s">
        <v>73</v>
      </c>
      <c r="W387" s="2" t="s">
        <v>3878</v>
      </c>
      <c r="X387" s="2" t="s">
        <v>3879</v>
      </c>
      <c r="Y387" s="2" t="s">
        <v>44</v>
      </c>
      <c r="Z387" s="2"/>
      <c r="AA387" s="2" t="s">
        <v>821</v>
      </c>
      <c r="AB387" s="2" t="s">
        <v>46</v>
      </c>
      <c r="AC387" s="2" t="s">
        <v>821</v>
      </c>
      <c r="AE387" s="2" t="s">
        <v>48</v>
      </c>
      <c r="AF387" s="2" t="s">
        <v>49</v>
      </c>
      <c r="AG387" s="2">
        <v>100</v>
      </c>
      <c r="AH387" s="2">
        <v>87</v>
      </c>
      <c r="AJ387" s="2" t="s">
        <v>3881</v>
      </c>
      <c r="AK387" s="2"/>
      <c r="AL387" s="2"/>
      <c r="AM387" s="2" t="s">
        <v>52</v>
      </c>
    </row>
    <row r="388" spans="1:39" x14ac:dyDescent="0.45">
      <c r="A388" s="2" t="s">
        <v>3882</v>
      </c>
      <c r="B388" s="2"/>
      <c r="C388" s="2" t="s">
        <v>3884</v>
      </c>
      <c r="D388" s="2" t="s">
        <v>3886</v>
      </c>
      <c r="E388" s="25"/>
      <c r="F388" s="21"/>
      <c r="G388" s="42" t="s">
        <v>28000</v>
      </c>
      <c r="H388" s="2" t="s">
        <v>50</v>
      </c>
      <c r="I388" s="2" t="s">
        <v>3890</v>
      </c>
      <c r="J388" s="2" t="s">
        <v>3883</v>
      </c>
      <c r="K388" s="2" t="s">
        <v>3885</v>
      </c>
      <c r="L388" s="2" t="s">
        <v>3887</v>
      </c>
      <c r="M388" s="2" t="s">
        <v>3887</v>
      </c>
      <c r="N388" s="2" t="s">
        <v>72</v>
      </c>
      <c r="O388" s="2" t="s">
        <v>73</v>
      </c>
      <c r="P388" s="2" t="s">
        <v>3302</v>
      </c>
      <c r="Q388" s="2" t="s">
        <v>3888</v>
      </c>
      <c r="R388" s="2"/>
      <c r="S388" s="2"/>
      <c r="T388" s="2"/>
      <c r="U388" s="2" t="s">
        <v>72</v>
      </c>
      <c r="V388" s="2" t="s">
        <v>73</v>
      </c>
      <c r="W388" s="2" t="s">
        <v>3302</v>
      </c>
      <c r="X388" s="2" t="s">
        <v>3889</v>
      </c>
      <c r="Y388" s="2" t="s">
        <v>44</v>
      </c>
      <c r="Z388" s="2"/>
      <c r="AA388" s="2" t="s">
        <v>821</v>
      </c>
      <c r="AB388" s="2" t="s">
        <v>46</v>
      </c>
      <c r="AC388" s="2" t="s">
        <v>821</v>
      </c>
      <c r="AE388" s="2" t="s">
        <v>48</v>
      </c>
      <c r="AF388" s="2" t="s">
        <v>49</v>
      </c>
      <c r="AG388" s="2">
        <v>100</v>
      </c>
      <c r="AH388" s="2">
        <v>87</v>
      </c>
      <c r="AJ388" s="2" t="s">
        <v>3891</v>
      </c>
      <c r="AK388" s="2"/>
      <c r="AL388" s="2"/>
      <c r="AM388" s="2" t="s">
        <v>52</v>
      </c>
    </row>
    <row r="389" spans="1:39" x14ac:dyDescent="0.45">
      <c r="A389" s="2" t="s">
        <v>3892</v>
      </c>
      <c r="B389" s="2"/>
      <c r="C389" s="2" t="s">
        <v>3894</v>
      </c>
      <c r="D389" s="2" t="s">
        <v>3896</v>
      </c>
      <c r="E389" s="25"/>
      <c r="F389" s="21"/>
      <c r="G389" s="42" t="s">
        <v>28000</v>
      </c>
      <c r="H389" s="2" t="s">
        <v>50</v>
      </c>
      <c r="I389" s="2" t="s">
        <v>3900</v>
      </c>
      <c r="J389" s="2" t="s">
        <v>3893</v>
      </c>
      <c r="K389" s="2" t="s">
        <v>3895</v>
      </c>
      <c r="L389" s="2" t="s">
        <v>3897</v>
      </c>
      <c r="M389" s="2" t="s">
        <v>3897</v>
      </c>
      <c r="N389" s="2" t="s">
        <v>59</v>
      </c>
      <c r="O389" s="2" t="s">
        <v>60</v>
      </c>
      <c r="P389" s="2" t="s">
        <v>2323</v>
      </c>
      <c r="Q389" s="2" t="s">
        <v>3898</v>
      </c>
      <c r="R389" s="2"/>
      <c r="S389" s="2"/>
      <c r="T389" s="2"/>
      <c r="U389" s="2" t="s">
        <v>59</v>
      </c>
      <c r="V389" s="2" t="s">
        <v>60</v>
      </c>
      <c r="W389" s="2" t="s">
        <v>2323</v>
      </c>
      <c r="X389" s="2" t="s">
        <v>3899</v>
      </c>
      <c r="Y389" s="2" t="s">
        <v>44</v>
      </c>
      <c r="Z389" s="2"/>
      <c r="AA389" s="2" t="s">
        <v>821</v>
      </c>
      <c r="AB389" s="2" t="s">
        <v>46</v>
      </c>
      <c r="AC389" s="2" t="s">
        <v>821</v>
      </c>
      <c r="AE389" s="2" t="s">
        <v>48</v>
      </c>
      <c r="AF389" s="2" t="s">
        <v>49</v>
      </c>
      <c r="AG389" s="2">
        <v>100</v>
      </c>
      <c r="AH389" s="2">
        <v>87</v>
      </c>
      <c r="AJ389" s="2" t="s">
        <v>3901</v>
      </c>
      <c r="AK389" s="2"/>
      <c r="AL389" s="2"/>
      <c r="AM389" s="2" t="s">
        <v>52</v>
      </c>
    </row>
    <row r="390" spans="1:39" x14ac:dyDescent="0.45">
      <c r="A390" s="2" t="s">
        <v>3902</v>
      </c>
      <c r="B390" s="2"/>
      <c r="C390" s="2" t="s">
        <v>3904</v>
      </c>
      <c r="D390" s="2" t="s">
        <v>3906</v>
      </c>
      <c r="E390" s="25"/>
      <c r="F390" s="21"/>
      <c r="G390" s="42" t="s">
        <v>28000</v>
      </c>
      <c r="H390" s="2" t="s">
        <v>50</v>
      </c>
      <c r="I390" s="2" t="s">
        <v>3910</v>
      </c>
      <c r="J390" s="2" t="s">
        <v>3903</v>
      </c>
      <c r="K390" s="2" t="s">
        <v>3905</v>
      </c>
      <c r="L390" s="2" t="s">
        <v>3907</v>
      </c>
      <c r="M390" s="2" t="s">
        <v>3907</v>
      </c>
      <c r="N390" s="2" t="s">
        <v>85</v>
      </c>
      <c r="O390" s="2" t="s">
        <v>86</v>
      </c>
      <c r="P390" s="2" t="s">
        <v>569</v>
      </c>
      <c r="Q390" s="2" t="s">
        <v>3908</v>
      </c>
      <c r="R390" s="2"/>
      <c r="S390" s="2"/>
      <c r="T390" s="2"/>
      <c r="U390" s="2" t="s">
        <v>85</v>
      </c>
      <c r="V390" s="2" t="s">
        <v>86</v>
      </c>
      <c r="W390" s="2" t="s">
        <v>2260</v>
      </c>
      <c r="X390" s="2" t="s">
        <v>3909</v>
      </c>
      <c r="Y390" s="2" t="s">
        <v>44</v>
      </c>
      <c r="Z390" s="2"/>
      <c r="AA390" s="2" t="s">
        <v>821</v>
      </c>
      <c r="AB390" s="2" t="s">
        <v>46</v>
      </c>
      <c r="AC390" s="2" t="s">
        <v>821</v>
      </c>
      <c r="AE390" s="2" t="s">
        <v>48</v>
      </c>
      <c r="AF390" s="2" t="s">
        <v>49</v>
      </c>
      <c r="AG390" s="2">
        <v>100</v>
      </c>
      <c r="AH390" s="2">
        <v>87</v>
      </c>
      <c r="AJ390" s="2" t="s">
        <v>3911</v>
      </c>
      <c r="AK390" s="2"/>
      <c r="AL390" s="2"/>
      <c r="AM390" s="2" t="s">
        <v>52</v>
      </c>
    </row>
    <row r="391" spans="1:39" x14ac:dyDescent="0.45">
      <c r="A391" s="2" t="s">
        <v>3912</v>
      </c>
      <c r="B391" s="2"/>
      <c r="C391" s="2" t="s">
        <v>3914</v>
      </c>
      <c r="D391" s="2" t="s">
        <v>3916</v>
      </c>
      <c r="E391" s="25"/>
      <c r="F391" s="21"/>
      <c r="G391" s="42" t="s">
        <v>28000</v>
      </c>
      <c r="H391" s="2" t="s">
        <v>50</v>
      </c>
      <c r="I391" s="2" t="s">
        <v>3921</v>
      </c>
      <c r="J391" s="2" t="s">
        <v>3913</v>
      </c>
      <c r="K391" s="2" t="s">
        <v>3915</v>
      </c>
      <c r="L391" s="2" t="s">
        <v>3917</v>
      </c>
      <c r="M391" s="2" t="s">
        <v>3917</v>
      </c>
      <c r="N391" s="2" t="s">
        <v>651</v>
      </c>
      <c r="O391" s="2" t="s">
        <v>86</v>
      </c>
      <c r="P391" s="2" t="s">
        <v>3918</v>
      </c>
      <c r="Q391" s="2" t="s">
        <v>3919</v>
      </c>
      <c r="R391" s="2"/>
      <c r="S391" s="2"/>
      <c r="T391" s="2"/>
      <c r="U391" s="2" t="s">
        <v>424</v>
      </c>
      <c r="V391" s="2" t="s">
        <v>217</v>
      </c>
      <c r="W391" s="2" t="s">
        <v>218</v>
      </c>
      <c r="X391" s="2" t="s">
        <v>3920</v>
      </c>
      <c r="Y391" s="2" t="s">
        <v>44</v>
      </c>
      <c r="Z391" s="2"/>
      <c r="AA391" s="2" t="s">
        <v>821</v>
      </c>
      <c r="AB391" s="2" t="s">
        <v>46</v>
      </c>
      <c r="AC391" s="2" t="s">
        <v>821</v>
      </c>
      <c r="AE391" s="2" t="s">
        <v>48</v>
      </c>
      <c r="AF391" s="2" t="s">
        <v>49</v>
      </c>
      <c r="AG391" s="2">
        <v>100</v>
      </c>
      <c r="AH391" s="2">
        <v>87</v>
      </c>
      <c r="AJ391" s="2" t="s">
        <v>3922</v>
      </c>
      <c r="AK391" s="2"/>
      <c r="AL391" s="2"/>
      <c r="AM391" s="2" t="s">
        <v>52</v>
      </c>
    </row>
    <row r="392" spans="1:39" x14ac:dyDescent="0.45">
      <c r="A392" s="2" t="s">
        <v>3923</v>
      </c>
      <c r="B392" s="2"/>
      <c r="C392" s="2" t="s">
        <v>3925</v>
      </c>
      <c r="D392" s="2" t="s">
        <v>3927</v>
      </c>
      <c r="E392" s="25"/>
      <c r="F392" s="21"/>
      <c r="G392" s="42" t="s">
        <v>28000</v>
      </c>
      <c r="H392" s="2" t="s">
        <v>50</v>
      </c>
      <c r="I392" s="2" t="s">
        <v>3930</v>
      </c>
      <c r="J392" s="2" t="s">
        <v>3924</v>
      </c>
      <c r="K392" s="2" t="s">
        <v>3926</v>
      </c>
      <c r="L392" s="2" t="s">
        <v>3928</v>
      </c>
      <c r="M392" s="2" t="s">
        <v>3928</v>
      </c>
      <c r="N392" s="2" t="s">
        <v>216</v>
      </c>
      <c r="O392" s="2" t="s">
        <v>217</v>
      </c>
      <c r="P392" s="2" t="s">
        <v>1151</v>
      </c>
      <c r="Q392" s="2" t="s">
        <v>3929</v>
      </c>
      <c r="R392" s="2"/>
      <c r="S392" s="2"/>
      <c r="T392" s="2"/>
      <c r="U392" s="2"/>
      <c r="V392" s="2" t="s">
        <v>217</v>
      </c>
      <c r="W392" s="2" t="s">
        <v>1151</v>
      </c>
      <c r="X392" s="2" t="s">
        <v>1451</v>
      </c>
      <c r="Y392" s="2" t="s">
        <v>44</v>
      </c>
      <c r="Z392" s="2"/>
      <c r="AA392" s="2" t="s">
        <v>821</v>
      </c>
      <c r="AB392" s="2" t="s">
        <v>46</v>
      </c>
      <c r="AC392" s="2" t="s">
        <v>821</v>
      </c>
      <c r="AE392" s="2" t="s">
        <v>48</v>
      </c>
      <c r="AF392" s="2" t="s">
        <v>49</v>
      </c>
      <c r="AG392" s="2">
        <v>100</v>
      </c>
      <c r="AH392" s="2">
        <v>87</v>
      </c>
      <c r="AJ392" s="2" t="s">
        <v>3931</v>
      </c>
      <c r="AK392" s="2"/>
      <c r="AL392" s="2"/>
      <c r="AM392" s="2" t="s">
        <v>52</v>
      </c>
    </row>
    <row r="393" spans="1:39" x14ac:dyDescent="0.45">
      <c r="A393" s="2" t="s">
        <v>3932</v>
      </c>
      <c r="B393" s="2"/>
      <c r="C393" s="2" t="s">
        <v>3934</v>
      </c>
      <c r="D393" s="2" t="s">
        <v>3936</v>
      </c>
      <c r="E393" s="25"/>
      <c r="F393" s="21"/>
      <c r="G393" s="42" t="s">
        <v>28000</v>
      </c>
      <c r="H393" s="2" t="s">
        <v>50</v>
      </c>
      <c r="I393" s="2" t="s">
        <v>3940</v>
      </c>
      <c r="J393" s="2" t="s">
        <v>3933</v>
      </c>
      <c r="K393" s="2" t="s">
        <v>3935</v>
      </c>
      <c r="L393" s="2" t="s">
        <v>3937</v>
      </c>
      <c r="M393" s="2" t="s">
        <v>3937</v>
      </c>
      <c r="N393" s="2" t="s">
        <v>59</v>
      </c>
      <c r="O393" s="2" t="s">
        <v>60</v>
      </c>
      <c r="P393" s="2" t="s">
        <v>3938</v>
      </c>
      <c r="Q393" s="2" t="s">
        <v>3935</v>
      </c>
      <c r="R393" s="2"/>
      <c r="S393" s="2"/>
      <c r="T393" s="2"/>
      <c r="U393" s="2" t="s">
        <v>59</v>
      </c>
      <c r="V393" s="2" t="s">
        <v>60</v>
      </c>
      <c r="W393" s="2" t="s">
        <v>3938</v>
      </c>
      <c r="X393" s="2" t="s">
        <v>3939</v>
      </c>
      <c r="Y393" s="2" t="s">
        <v>44</v>
      </c>
      <c r="Z393" s="2"/>
      <c r="AA393" s="2" t="s">
        <v>821</v>
      </c>
      <c r="AB393" s="2" t="s">
        <v>46</v>
      </c>
      <c r="AC393" s="2" t="s">
        <v>821</v>
      </c>
      <c r="AE393" s="2" t="s">
        <v>48</v>
      </c>
      <c r="AF393" s="2" t="s">
        <v>49</v>
      </c>
      <c r="AG393" s="2">
        <v>100</v>
      </c>
      <c r="AH393" s="2">
        <v>87</v>
      </c>
      <c r="AJ393" s="2" t="s">
        <v>3941</v>
      </c>
      <c r="AK393" s="2"/>
      <c r="AL393" s="2"/>
      <c r="AM393" s="2" t="s">
        <v>52</v>
      </c>
    </row>
    <row r="394" spans="1:39" x14ac:dyDescent="0.45">
      <c r="A394" s="2" t="s">
        <v>3942</v>
      </c>
      <c r="B394" s="2"/>
      <c r="C394" s="2" t="s">
        <v>3944</v>
      </c>
      <c r="D394" s="2" t="s">
        <v>3946</v>
      </c>
      <c r="E394" s="25"/>
      <c r="F394" s="21"/>
      <c r="G394" s="42" t="s">
        <v>28000</v>
      </c>
      <c r="H394" s="2" t="s">
        <v>50</v>
      </c>
      <c r="I394" s="2" t="s">
        <v>3951</v>
      </c>
      <c r="J394" s="2" t="s">
        <v>3943</v>
      </c>
      <c r="K394" s="2" t="s">
        <v>3945</v>
      </c>
      <c r="L394" s="2" t="s">
        <v>3947</v>
      </c>
      <c r="M394" s="2" t="s">
        <v>3947</v>
      </c>
      <c r="N394" s="2" t="s">
        <v>85</v>
      </c>
      <c r="O394" s="2" t="s">
        <v>86</v>
      </c>
      <c r="P394" s="2" t="s">
        <v>3948</v>
      </c>
      <c r="Q394" s="2" t="s">
        <v>3949</v>
      </c>
      <c r="R394" s="2"/>
      <c r="S394" s="2"/>
      <c r="T394" s="2"/>
      <c r="U394" s="2" t="s">
        <v>1188</v>
      </c>
      <c r="V394" s="2" t="s">
        <v>221</v>
      </c>
      <c r="W394" s="2" t="s">
        <v>1189</v>
      </c>
      <c r="X394" s="2" t="s">
        <v>3950</v>
      </c>
      <c r="Y394" s="2" t="s">
        <v>44</v>
      </c>
      <c r="Z394" s="2"/>
      <c r="AA394" s="2" t="s">
        <v>821</v>
      </c>
      <c r="AB394" s="2" t="s">
        <v>46</v>
      </c>
      <c r="AC394" s="2" t="s">
        <v>821</v>
      </c>
      <c r="AE394" s="2" t="s">
        <v>48</v>
      </c>
      <c r="AF394" s="2" t="s">
        <v>49</v>
      </c>
      <c r="AG394" s="2">
        <v>100</v>
      </c>
      <c r="AH394" s="2">
        <v>87</v>
      </c>
      <c r="AJ394" s="2" t="s">
        <v>3952</v>
      </c>
      <c r="AK394" s="2"/>
      <c r="AL394" s="2"/>
      <c r="AM394" s="2" t="s">
        <v>52</v>
      </c>
    </row>
    <row r="395" spans="1:39" x14ac:dyDescent="0.45">
      <c r="A395" s="2" t="s">
        <v>3953</v>
      </c>
      <c r="B395" s="2"/>
      <c r="C395" s="2" t="s">
        <v>3955</v>
      </c>
      <c r="D395" s="2" t="s">
        <v>3957</v>
      </c>
      <c r="E395" s="25"/>
      <c r="F395" s="21"/>
      <c r="G395" s="42" t="s">
        <v>28000</v>
      </c>
      <c r="H395" s="2" t="s">
        <v>50</v>
      </c>
      <c r="I395" s="2" t="s">
        <v>3963</v>
      </c>
      <c r="J395" s="2" t="s">
        <v>3954</v>
      </c>
      <c r="K395" s="2" t="s">
        <v>3956</v>
      </c>
      <c r="L395" s="2" t="s">
        <v>3958</v>
      </c>
      <c r="M395" s="2" t="s">
        <v>3958</v>
      </c>
      <c r="N395" s="2" t="s">
        <v>536</v>
      </c>
      <c r="O395" s="2" t="s">
        <v>537</v>
      </c>
      <c r="P395" s="2" t="s">
        <v>3959</v>
      </c>
      <c r="Q395" s="2" t="s">
        <v>3960</v>
      </c>
      <c r="R395" s="2"/>
      <c r="S395" s="2"/>
      <c r="T395" s="2"/>
      <c r="U395" s="2" t="s">
        <v>536</v>
      </c>
      <c r="V395" s="2" t="s">
        <v>1281</v>
      </c>
      <c r="W395" s="2" t="s">
        <v>3961</v>
      </c>
      <c r="X395" s="2" t="s">
        <v>3962</v>
      </c>
      <c r="Y395" s="2" t="s">
        <v>44</v>
      </c>
      <c r="Z395" s="2"/>
      <c r="AA395" s="2" t="s">
        <v>821</v>
      </c>
      <c r="AB395" s="2" t="s">
        <v>46</v>
      </c>
      <c r="AC395" s="2" t="s">
        <v>821</v>
      </c>
      <c r="AE395" s="2" t="s">
        <v>48</v>
      </c>
      <c r="AF395" s="2" t="s">
        <v>49</v>
      </c>
      <c r="AG395" s="2">
        <v>100</v>
      </c>
      <c r="AH395" s="2">
        <v>87</v>
      </c>
      <c r="AJ395" s="2" t="s">
        <v>3964</v>
      </c>
      <c r="AK395" s="2"/>
      <c r="AL395" s="2"/>
      <c r="AM395" s="2" t="s">
        <v>52</v>
      </c>
    </row>
    <row r="396" spans="1:39" x14ac:dyDescent="0.45">
      <c r="A396" s="2" t="s">
        <v>3965</v>
      </c>
      <c r="B396" s="2"/>
      <c r="C396" s="2" t="s">
        <v>3967</v>
      </c>
      <c r="D396" s="2" t="s">
        <v>3969</v>
      </c>
      <c r="E396" s="25"/>
      <c r="F396" s="21"/>
      <c r="G396" s="42" t="s">
        <v>28000</v>
      </c>
      <c r="H396" s="2" t="s">
        <v>50</v>
      </c>
      <c r="I396" s="2" t="s">
        <v>3973</v>
      </c>
      <c r="J396" s="2" t="s">
        <v>3966</v>
      </c>
      <c r="K396" s="2" t="s">
        <v>3968</v>
      </c>
      <c r="L396" s="2" t="s">
        <v>3970</v>
      </c>
      <c r="M396" s="2" t="s">
        <v>3970</v>
      </c>
      <c r="N396" s="2" t="s">
        <v>59</v>
      </c>
      <c r="O396" s="2" t="s">
        <v>60</v>
      </c>
      <c r="P396" s="2" t="s">
        <v>3971</v>
      </c>
      <c r="Q396" s="2" t="s">
        <v>3968</v>
      </c>
      <c r="R396" s="2"/>
      <c r="S396" s="2"/>
      <c r="T396" s="2"/>
      <c r="U396" s="2" t="s">
        <v>59</v>
      </c>
      <c r="V396" s="2" t="s">
        <v>60</v>
      </c>
      <c r="W396" s="2" t="s">
        <v>3971</v>
      </c>
      <c r="X396" s="2" t="s">
        <v>3972</v>
      </c>
      <c r="Y396" s="2" t="s">
        <v>44</v>
      </c>
      <c r="Z396" s="2"/>
      <c r="AA396" s="2" t="s">
        <v>821</v>
      </c>
      <c r="AB396" s="2" t="s">
        <v>46</v>
      </c>
      <c r="AC396" s="2" t="s">
        <v>821</v>
      </c>
      <c r="AE396" s="2" t="s">
        <v>48</v>
      </c>
      <c r="AF396" s="2" t="s">
        <v>49</v>
      </c>
      <c r="AG396" s="2">
        <v>100</v>
      </c>
      <c r="AH396" s="2">
        <v>87</v>
      </c>
      <c r="AJ396" s="2" t="s">
        <v>3974</v>
      </c>
      <c r="AK396" s="2"/>
      <c r="AL396" s="2"/>
      <c r="AM396" s="2" t="s">
        <v>52</v>
      </c>
    </row>
    <row r="397" spans="1:39" x14ac:dyDescent="0.45">
      <c r="A397" s="2" t="s">
        <v>3975</v>
      </c>
      <c r="B397" s="2"/>
      <c r="C397" s="2" t="s">
        <v>3977</v>
      </c>
      <c r="D397" s="2" t="s">
        <v>3979</v>
      </c>
      <c r="E397" s="25"/>
      <c r="F397" s="21"/>
      <c r="G397" s="42" t="s">
        <v>28000</v>
      </c>
      <c r="H397" s="2" t="s">
        <v>50</v>
      </c>
      <c r="I397" s="2" t="s">
        <v>3983</v>
      </c>
      <c r="J397" s="2" t="s">
        <v>3976</v>
      </c>
      <c r="K397" s="2" t="s">
        <v>3978</v>
      </c>
      <c r="L397" s="2" t="s">
        <v>3980</v>
      </c>
      <c r="M397" s="2" t="s">
        <v>3980</v>
      </c>
      <c r="N397" s="2" t="s">
        <v>59</v>
      </c>
      <c r="O397" s="2" t="s">
        <v>60</v>
      </c>
      <c r="P397" s="2" t="s">
        <v>3981</v>
      </c>
      <c r="Q397" s="2" t="s">
        <v>3978</v>
      </c>
      <c r="R397" s="2"/>
      <c r="S397" s="2"/>
      <c r="T397" s="2"/>
      <c r="U397" s="2" t="s">
        <v>59</v>
      </c>
      <c r="V397" s="2" t="s">
        <v>60</v>
      </c>
      <c r="W397" s="2" t="s">
        <v>3981</v>
      </c>
      <c r="X397" s="2" t="s">
        <v>3982</v>
      </c>
      <c r="Y397" s="2" t="s">
        <v>44</v>
      </c>
      <c r="Z397" s="2"/>
      <c r="AA397" s="2" t="s">
        <v>821</v>
      </c>
      <c r="AB397" s="2" t="s">
        <v>46</v>
      </c>
      <c r="AC397" s="2" t="s">
        <v>821</v>
      </c>
      <c r="AE397" s="2" t="s">
        <v>48</v>
      </c>
      <c r="AF397" s="2" t="s">
        <v>49</v>
      </c>
      <c r="AG397" s="2">
        <v>100</v>
      </c>
      <c r="AH397" s="2">
        <v>87</v>
      </c>
      <c r="AJ397" s="2" t="s">
        <v>3984</v>
      </c>
      <c r="AK397" s="2"/>
      <c r="AL397" s="2"/>
      <c r="AM397" s="2" t="s">
        <v>52</v>
      </c>
    </row>
    <row r="398" spans="1:39" x14ac:dyDescent="0.45">
      <c r="A398" s="2" t="s">
        <v>3985</v>
      </c>
      <c r="B398" s="2"/>
      <c r="C398" s="2" t="s">
        <v>3987</v>
      </c>
      <c r="D398" s="2" t="s">
        <v>3989</v>
      </c>
      <c r="E398" s="25"/>
      <c r="F398" s="21"/>
      <c r="G398" s="42" t="s">
        <v>28000</v>
      </c>
      <c r="H398" s="2" t="s">
        <v>50</v>
      </c>
      <c r="I398" s="2" t="s">
        <v>3992</v>
      </c>
      <c r="J398" s="2" t="s">
        <v>3986</v>
      </c>
      <c r="K398" s="2" t="s">
        <v>3988</v>
      </c>
      <c r="L398" s="2" t="s">
        <v>3990</v>
      </c>
      <c r="M398" s="2" t="s">
        <v>3990</v>
      </c>
      <c r="N398" s="2" t="s">
        <v>59</v>
      </c>
      <c r="O398" s="2" t="s">
        <v>60</v>
      </c>
      <c r="P398" s="2" t="s">
        <v>1346</v>
      </c>
      <c r="Q398" s="2" t="s">
        <v>3988</v>
      </c>
      <c r="R398" s="2"/>
      <c r="S398" s="2"/>
      <c r="T398" s="2"/>
      <c r="U398" s="2" t="s">
        <v>59</v>
      </c>
      <c r="V398" s="2" t="s">
        <v>60</v>
      </c>
      <c r="W398" s="2" t="s">
        <v>1346</v>
      </c>
      <c r="X398" s="2" t="s">
        <v>3991</v>
      </c>
      <c r="Y398" s="2" t="s">
        <v>44</v>
      </c>
      <c r="Z398" s="2"/>
      <c r="AA398" s="2" t="s">
        <v>821</v>
      </c>
      <c r="AB398" s="2" t="s">
        <v>46</v>
      </c>
      <c r="AC398" s="2" t="s">
        <v>821</v>
      </c>
      <c r="AE398" s="2" t="s">
        <v>48</v>
      </c>
      <c r="AF398" s="2" t="s">
        <v>49</v>
      </c>
      <c r="AG398" s="2">
        <v>100</v>
      </c>
      <c r="AH398" s="2">
        <v>87</v>
      </c>
      <c r="AJ398" s="2" t="s">
        <v>3993</v>
      </c>
      <c r="AK398" s="2"/>
      <c r="AL398" s="2"/>
      <c r="AM398" s="2" t="s">
        <v>52</v>
      </c>
    </row>
    <row r="399" spans="1:39" x14ac:dyDescent="0.45">
      <c r="A399" s="2" t="s">
        <v>3994</v>
      </c>
      <c r="B399" s="2"/>
      <c r="C399" s="2" t="s">
        <v>3996</v>
      </c>
      <c r="D399" s="2" t="s">
        <v>3998</v>
      </c>
      <c r="E399" s="25"/>
      <c r="F399" s="21"/>
      <c r="G399" s="42" t="s">
        <v>28000</v>
      </c>
      <c r="H399" s="2" t="s">
        <v>50</v>
      </c>
      <c r="I399" s="2" t="s">
        <v>4003</v>
      </c>
      <c r="J399" s="2" t="s">
        <v>3995</v>
      </c>
      <c r="K399" s="2" t="s">
        <v>3997</v>
      </c>
      <c r="L399" s="2" t="s">
        <v>3999</v>
      </c>
      <c r="M399" s="2" t="s">
        <v>3999</v>
      </c>
      <c r="N399" s="2" t="s">
        <v>59</v>
      </c>
      <c r="O399" s="2" t="s">
        <v>60</v>
      </c>
      <c r="P399" s="2" t="s">
        <v>4000</v>
      </c>
      <c r="Q399" s="2" t="s">
        <v>4001</v>
      </c>
      <c r="R399" s="2"/>
      <c r="S399" s="2"/>
      <c r="T399" s="2"/>
      <c r="U399" s="2" t="s">
        <v>59</v>
      </c>
      <c r="V399" s="2" t="s">
        <v>60</v>
      </c>
      <c r="W399" s="2" t="s">
        <v>4000</v>
      </c>
      <c r="X399" s="2" t="s">
        <v>4002</v>
      </c>
      <c r="Y399" s="2" t="s">
        <v>44</v>
      </c>
      <c r="Z399" s="2"/>
      <c r="AA399" s="2" t="s">
        <v>821</v>
      </c>
      <c r="AB399" s="2" t="s">
        <v>46</v>
      </c>
      <c r="AC399" s="2" t="s">
        <v>821</v>
      </c>
      <c r="AE399" s="2" t="s">
        <v>48</v>
      </c>
      <c r="AF399" s="2" t="s">
        <v>49</v>
      </c>
      <c r="AG399" s="2">
        <v>100</v>
      </c>
      <c r="AH399" s="2">
        <v>87</v>
      </c>
      <c r="AJ399" s="2" t="s">
        <v>4004</v>
      </c>
      <c r="AK399" s="2"/>
      <c r="AL399" s="2"/>
      <c r="AM399" s="2" t="s">
        <v>52</v>
      </c>
    </row>
    <row r="400" spans="1:39" x14ac:dyDescent="0.45">
      <c r="A400" s="2" t="s">
        <v>4005</v>
      </c>
      <c r="B400" s="2"/>
      <c r="C400" s="2" t="s">
        <v>4007</v>
      </c>
      <c r="D400" s="2" t="s">
        <v>4009</v>
      </c>
      <c r="E400" s="25"/>
      <c r="F400" s="21"/>
      <c r="G400" s="42" t="s">
        <v>28000</v>
      </c>
      <c r="H400" s="2" t="s">
        <v>50</v>
      </c>
      <c r="I400" s="2" t="s">
        <v>4012</v>
      </c>
      <c r="J400" s="2" t="s">
        <v>4006</v>
      </c>
      <c r="K400" s="2" t="s">
        <v>4008</v>
      </c>
      <c r="L400" s="2" t="s">
        <v>4010</v>
      </c>
      <c r="M400" s="2" t="s">
        <v>4010</v>
      </c>
      <c r="N400" s="2" t="s">
        <v>59</v>
      </c>
      <c r="O400" s="2" t="s">
        <v>60</v>
      </c>
      <c r="P400" s="2" t="s">
        <v>266</v>
      </c>
      <c r="Q400" s="2" t="s">
        <v>4008</v>
      </c>
      <c r="R400" s="2"/>
      <c r="S400" s="2"/>
      <c r="T400" s="2"/>
      <c r="U400" s="2" t="s">
        <v>59</v>
      </c>
      <c r="V400" s="2" t="s">
        <v>60</v>
      </c>
      <c r="W400" s="2" t="s">
        <v>266</v>
      </c>
      <c r="X400" s="2" t="s">
        <v>4011</v>
      </c>
      <c r="Y400" s="2" t="s">
        <v>44</v>
      </c>
      <c r="Z400" s="2"/>
      <c r="AA400" s="2" t="s">
        <v>821</v>
      </c>
      <c r="AB400" s="2" t="s">
        <v>46</v>
      </c>
      <c r="AC400" s="2" t="s">
        <v>821</v>
      </c>
      <c r="AE400" s="2" t="s">
        <v>48</v>
      </c>
      <c r="AF400" s="2" t="s">
        <v>49</v>
      </c>
      <c r="AG400" s="2">
        <v>100</v>
      </c>
      <c r="AH400" s="2">
        <v>87</v>
      </c>
      <c r="AJ400" s="2" t="s">
        <v>4013</v>
      </c>
      <c r="AK400" s="2"/>
      <c r="AL400" s="2"/>
      <c r="AM400" s="2" t="s">
        <v>52</v>
      </c>
    </row>
    <row r="401" spans="1:39" x14ac:dyDescent="0.45">
      <c r="A401" s="2" t="s">
        <v>4014</v>
      </c>
      <c r="B401" s="2"/>
      <c r="C401" s="2" t="s">
        <v>4016</v>
      </c>
      <c r="D401" s="2" t="s">
        <v>4018</v>
      </c>
      <c r="E401" s="25"/>
      <c r="F401" s="21"/>
      <c r="G401" s="42" t="s">
        <v>28000</v>
      </c>
      <c r="H401" s="2" t="s">
        <v>50</v>
      </c>
      <c r="I401" s="2" t="s">
        <v>4021</v>
      </c>
      <c r="J401" s="2" t="s">
        <v>4015</v>
      </c>
      <c r="K401" s="2" t="s">
        <v>4017</v>
      </c>
      <c r="L401" s="2" t="s">
        <v>4019</v>
      </c>
      <c r="M401" s="2" t="s">
        <v>4019</v>
      </c>
      <c r="N401" s="2" t="s">
        <v>59</v>
      </c>
      <c r="O401" s="2" t="s">
        <v>60</v>
      </c>
      <c r="P401" s="2" t="s">
        <v>3981</v>
      </c>
      <c r="Q401" s="2" t="s">
        <v>4017</v>
      </c>
      <c r="R401" s="2"/>
      <c r="S401" s="2"/>
      <c r="T401" s="2"/>
      <c r="U401" s="2" t="s">
        <v>59</v>
      </c>
      <c r="V401" s="2" t="s">
        <v>60</v>
      </c>
      <c r="W401" s="2" t="s">
        <v>3981</v>
      </c>
      <c r="X401" s="2" t="s">
        <v>4020</v>
      </c>
      <c r="Y401" s="2" t="s">
        <v>44</v>
      </c>
      <c r="Z401" s="2"/>
      <c r="AA401" s="2" t="s">
        <v>821</v>
      </c>
      <c r="AB401" s="2" t="s">
        <v>46</v>
      </c>
      <c r="AC401" s="2" t="s">
        <v>821</v>
      </c>
      <c r="AE401" s="2" t="s">
        <v>48</v>
      </c>
      <c r="AF401" s="2" t="s">
        <v>49</v>
      </c>
      <c r="AG401" s="2">
        <v>100</v>
      </c>
      <c r="AH401" s="2">
        <v>87</v>
      </c>
      <c r="AJ401" s="2" t="s">
        <v>4022</v>
      </c>
      <c r="AK401" s="2"/>
      <c r="AL401" s="2"/>
      <c r="AM401" s="2" t="s">
        <v>52</v>
      </c>
    </row>
    <row r="402" spans="1:39" x14ac:dyDescent="0.45">
      <c r="A402" s="2" t="s">
        <v>4023</v>
      </c>
      <c r="B402" s="2"/>
      <c r="C402" s="2" t="s">
        <v>4025</v>
      </c>
      <c r="D402" s="2" t="s">
        <v>4027</v>
      </c>
      <c r="E402" s="25"/>
      <c r="F402" s="21"/>
      <c r="G402" s="42" t="s">
        <v>28000</v>
      </c>
      <c r="H402" s="2" t="s">
        <v>50</v>
      </c>
      <c r="I402" s="2" t="s">
        <v>4031</v>
      </c>
      <c r="J402" s="2" t="s">
        <v>4024</v>
      </c>
      <c r="K402" s="2" t="s">
        <v>4026</v>
      </c>
      <c r="L402" s="2" t="s">
        <v>4028</v>
      </c>
      <c r="M402" s="2" t="s">
        <v>4028</v>
      </c>
      <c r="N402" s="2" t="s">
        <v>59</v>
      </c>
      <c r="O402" s="2" t="s">
        <v>60</v>
      </c>
      <c r="P402" s="2" t="s">
        <v>266</v>
      </c>
      <c r="Q402" s="2" t="s">
        <v>4029</v>
      </c>
      <c r="R402" s="2"/>
      <c r="S402" s="2"/>
      <c r="T402" s="2"/>
      <c r="U402" s="2" t="s">
        <v>59</v>
      </c>
      <c r="V402" s="2" t="s">
        <v>60</v>
      </c>
      <c r="W402" s="2" t="s">
        <v>266</v>
      </c>
      <c r="X402" s="2" t="s">
        <v>4030</v>
      </c>
      <c r="Y402" s="2" t="s">
        <v>44</v>
      </c>
      <c r="Z402" s="2"/>
      <c r="AA402" s="2" t="s">
        <v>821</v>
      </c>
      <c r="AB402" s="2" t="s">
        <v>46</v>
      </c>
      <c r="AC402" s="2" t="s">
        <v>821</v>
      </c>
      <c r="AE402" s="2" t="s">
        <v>48</v>
      </c>
      <c r="AF402" s="2" t="s">
        <v>49</v>
      </c>
      <c r="AG402" s="2">
        <v>100</v>
      </c>
      <c r="AH402" s="2">
        <v>87</v>
      </c>
      <c r="AJ402" s="2" t="s">
        <v>4032</v>
      </c>
      <c r="AK402" s="2"/>
      <c r="AL402" s="2"/>
      <c r="AM402" s="2" t="s">
        <v>52</v>
      </c>
    </row>
    <row r="403" spans="1:39" x14ac:dyDescent="0.45">
      <c r="A403" s="2" t="s">
        <v>4033</v>
      </c>
      <c r="B403" s="2"/>
      <c r="C403" s="2" t="s">
        <v>4035</v>
      </c>
      <c r="D403" s="2" t="s">
        <v>4037</v>
      </c>
      <c r="E403" s="25"/>
      <c r="F403" s="21"/>
      <c r="G403" s="42" t="s">
        <v>28000</v>
      </c>
      <c r="H403" s="2" t="s">
        <v>50</v>
      </c>
      <c r="I403" s="2" t="s">
        <v>4042</v>
      </c>
      <c r="J403" s="2" t="s">
        <v>4034</v>
      </c>
      <c r="K403" s="2" t="s">
        <v>4036</v>
      </c>
      <c r="L403" s="2" t="s">
        <v>4038</v>
      </c>
      <c r="M403" s="2" t="s">
        <v>4038</v>
      </c>
      <c r="N403" s="2" t="s">
        <v>536</v>
      </c>
      <c r="O403" s="2" t="s">
        <v>537</v>
      </c>
      <c r="P403" s="2" t="s">
        <v>538</v>
      </c>
      <c r="Q403" s="2" t="s">
        <v>4039</v>
      </c>
      <c r="R403" s="2"/>
      <c r="S403" s="2"/>
      <c r="T403" s="2"/>
      <c r="U403" s="2"/>
      <c r="V403" s="2"/>
      <c r="W403" s="2" t="s">
        <v>4040</v>
      </c>
      <c r="X403" s="2" t="s">
        <v>4041</v>
      </c>
      <c r="Y403" s="2" t="s">
        <v>44</v>
      </c>
      <c r="Z403" s="2"/>
      <c r="AA403" s="2" t="s">
        <v>821</v>
      </c>
      <c r="AB403" s="2" t="s">
        <v>46</v>
      </c>
      <c r="AC403" s="2" t="s">
        <v>821</v>
      </c>
      <c r="AE403" s="2" t="s">
        <v>48</v>
      </c>
      <c r="AF403" s="2" t="s">
        <v>49</v>
      </c>
      <c r="AG403" s="2">
        <v>100</v>
      </c>
      <c r="AH403" s="2">
        <v>87</v>
      </c>
      <c r="AJ403" s="2" t="s">
        <v>4043</v>
      </c>
      <c r="AK403" s="2"/>
      <c r="AL403" s="2"/>
      <c r="AM403" s="2" t="s">
        <v>52</v>
      </c>
    </row>
    <row r="404" spans="1:39" x14ac:dyDescent="0.45">
      <c r="A404" s="2" t="s">
        <v>4044</v>
      </c>
      <c r="B404" s="2"/>
      <c r="C404" s="2" t="s">
        <v>4046</v>
      </c>
      <c r="D404" s="2" t="s">
        <v>4048</v>
      </c>
      <c r="E404" s="25"/>
      <c r="F404" s="21"/>
      <c r="G404" s="42" t="s">
        <v>28000</v>
      </c>
      <c r="H404" s="2" t="s">
        <v>50</v>
      </c>
      <c r="I404" s="2" t="s">
        <v>4052</v>
      </c>
      <c r="J404" s="2" t="s">
        <v>4045</v>
      </c>
      <c r="K404" s="2" t="s">
        <v>4047</v>
      </c>
      <c r="L404" s="2" t="s">
        <v>4049</v>
      </c>
      <c r="M404" s="2" t="s">
        <v>4049</v>
      </c>
      <c r="N404" s="2" t="s">
        <v>59</v>
      </c>
      <c r="O404" s="2" t="s">
        <v>60</v>
      </c>
      <c r="P404" s="2" t="s">
        <v>4050</v>
      </c>
      <c r="Q404" s="2" t="s">
        <v>4047</v>
      </c>
      <c r="R404" s="2"/>
      <c r="S404" s="2"/>
      <c r="T404" s="2"/>
      <c r="U404" s="2" t="s">
        <v>59</v>
      </c>
      <c r="V404" s="2" t="s">
        <v>60</v>
      </c>
      <c r="W404" s="2" t="s">
        <v>4050</v>
      </c>
      <c r="X404" s="2" t="s">
        <v>4051</v>
      </c>
      <c r="Y404" s="2" t="s">
        <v>44</v>
      </c>
      <c r="Z404" s="2"/>
      <c r="AA404" s="2" t="s">
        <v>821</v>
      </c>
      <c r="AB404" s="2" t="s">
        <v>46</v>
      </c>
      <c r="AC404" s="2" t="s">
        <v>821</v>
      </c>
      <c r="AE404" s="2" t="s">
        <v>48</v>
      </c>
      <c r="AF404" s="2" t="s">
        <v>49</v>
      </c>
      <c r="AG404" s="2">
        <v>100</v>
      </c>
      <c r="AH404" s="2">
        <v>87</v>
      </c>
      <c r="AJ404" s="2" t="s">
        <v>4053</v>
      </c>
      <c r="AK404" s="2"/>
      <c r="AL404" s="2"/>
      <c r="AM404" s="2" t="s">
        <v>52</v>
      </c>
    </row>
    <row r="405" spans="1:39" x14ac:dyDescent="0.45">
      <c r="A405" s="2" t="s">
        <v>4054</v>
      </c>
      <c r="B405" s="2"/>
      <c r="C405" s="2" t="s">
        <v>4056</v>
      </c>
      <c r="D405" s="2" t="s">
        <v>4058</v>
      </c>
      <c r="E405" s="25"/>
      <c r="F405" s="21"/>
      <c r="G405" s="42" t="s">
        <v>28000</v>
      </c>
      <c r="H405" s="2" t="s">
        <v>50</v>
      </c>
      <c r="I405" s="2" t="s">
        <v>4061</v>
      </c>
      <c r="J405" s="2" t="s">
        <v>4055</v>
      </c>
      <c r="K405" s="2" t="s">
        <v>4057</v>
      </c>
      <c r="L405" s="2" t="s">
        <v>4059</v>
      </c>
      <c r="M405" s="2" t="s">
        <v>4059</v>
      </c>
      <c r="N405" s="2" t="s">
        <v>59</v>
      </c>
      <c r="O405" s="2" t="s">
        <v>60</v>
      </c>
      <c r="P405" s="2" t="s">
        <v>3157</v>
      </c>
      <c r="Q405" s="2" t="s">
        <v>4060</v>
      </c>
      <c r="R405" s="2"/>
      <c r="S405" s="2"/>
      <c r="T405" s="2"/>
      <c r="U405" s="2" t="s">
        <v>59</v>
      </c>
      <c r="V405" s="2" t="s">
        <v>60</v>
      </c>
      <c r="W405" s="2" t="s">
        <v>3157</v>
      </c>
      <c r="X405" s="2" t="s">
        <v>1367</v>
      </c>
      <c r="Y405" s="2" t="s">
        <v>44</v>
      </c>
      <c r="Z405" s="2"/>
      <c r="AA405" s="2" t="s">
        <v>821</v>
      </c>
      <c r="AB405" s="2" t="s">
        <v>46</v>
      </c>
      <c r="AC405" s="2" t="s">
        <v>821</v>
      </c>
      <c r="AE405" s="2" t="s">
        <v>48</v>
      </c>
      <c r="AF405" s="2" t="s">
        <v>49</v>
      </c>
      <c r="AG405" s="2">
        <v>100</v>
      </c>
      <c r="AH405" s="2">
        <v>87</v>
      </c>
      <c r="AJ405" s="2" t="s">
        <v>4062</v>
      </c>
      <c r="AK405" s="2"/>
      <c r="AL405" s="2"/>
      <c r="AM405" s="2" t="s">
        <v>52</v>
      </c>
    </row>
    <row r="406" spans="1:39" x14ac:dyDescent="0.45">
      <c r="A406" s="2" t="s">
        <v>4063</v>
      </c>
      <c r="B406" s="2"/>
      <c r="C406" s="2" t="s">
        <v>4065</v>
      </c>
      <c r="D406" s="2" t="s">
        <v>4067</v>
      </c>
      <c r="E406" s="25"/>
      <c r="F406" s="21"/>
      <c r="G406" s="42" t="s">
        <v>28000</v>
      </c>
      <c r="H406" s="2" t="s">
        <v>50</v>
      </c>
      <c r="I406" s="2" t="s">
        <v>4070</v>
      </c>
      <c r="J406" s="2" t="s">
        <v>4064</v>
      </c>
      <c r="K406" s="2" t="s">
        <v>4066</v>
      </c>
      <c r="L406" s="2" t="s">
        <v>4068</v>
      </c>
      <c r="M406" s="2" t="s">
        <v>4068</v>
      </c>
      <c r="N406" s="2" t="s">
        <v>72</v>
      </c>
      <c r="O406" s="2" t="s">
        <v>73</v>
      </c>
      <c r="P406" s="2" t="s">
        <v>791</v>
      </c>
      <c r="Q406" s="2" t="s">
        <v>4066</v>
      </c>
      <c r="R406" s="2"/>
      <c r="S406" s="2"/>
      <c r="T406" s="2"/>
      <c r="U406" s="2" t="s">
        <v>72</v>
      </c>
      <c r="V406" s="2" t="s">
        <v>73</v>
      </c>
      <c r="W406" s="2" t="s">
        <v>791</v>
      </c>
      <c r="X406" s="2" t="s">
        <v>4069</v>
      </c>
      <c r="Y406" s="2" t="s">
        <v>44</v>
      </c>
      <c r="Z406" s="2"/>
      <c r="AA406" s="2" t="s">
        <v>821</v>
      </c>
      <c r="AB406" s="2" t="s">
        <v>46</v>
      </c>
      <c r="AC406" s="2" t="s">
        <v>821</v>
      </c>
      <c r="AE406" s="2" t="s">
        <v>48</v>
      </c>
      <c r="AF406" s="2" t="s">
        <v>49</v>
      </c>
      <c r="AG406" s="2">
        <v>100</v>
      </c>
      <c r="AH406" s="2">
        <v>87</v>
      </c>
      <c r="AJ406" s="2" t="s">
        <v>4071</v>
      </c>
      <c r="AK406" s="2"/>
      <c r="AL406" s="2"/>
      <c r="AM406" s="2" t="s">
        <v>52</v>
      </c>
    </row>
    <row r="407" spans="1:39" x14ac:dyDescent="0.45">
      <c r="A407" s="2" t="s">
        <v>4072</v>
      </c>
      <c r="B407" s="2"/>
      <c r="C407" s="2" t="s">
        <v>4074</v>
      </c>
      <c r="D407" s="2" t="s">
        <v>4076</v>
      </c>
      <c r="E407" s="25"/>
      <c r="F407" s="21"/>
      <c r="G407" s="42" t="s">
        <v>28000</v>
      </c>
      <c r="H407" s="2" t="s">
        <v>50</v>
      </c>
      <c r="I407" s="2" t="s">
        <v>4080</v>
      </c>
      <c r="J407" s="2" t="s">
        <v>4073</v>
      </c>
      <c r="K407" s="2" t="s">
        <v>4075</v>
      </c>
      <c r="L407" s="2" t="s">
        <v>4077</v>
      </c>
      <c r="M407" s="2" t="s">
        <v>4077</v>
      </c>
      <c r="N407" s="2" t="s">
        <v>536</v>
      </c>
      <c r="O407" s="2" t="s">
        <v>537</v>
      </c>
      <c r="P407" s="2" t="s">
        <v>1818</v>
      </c>
      <c r="Q407" s="2" t="s">
        <v>4078</v>
      </c>
      <c r="R407" s="2"/>
      <c r="S407" s="2"/>
      <c r="T407" s="2"/>
      <c r="U407" s="2" t="s">
        <v>536</v>
      </c>
      <c r="V407" s="2" t="s">
        <v>537</v>
      </c>
      <c r="W407" s="2" t="s">
        <v>1818</v>
      </c>
      <c r="X407" s="2" t="s">
        <v>4079</v>
      </c>
      <c r="Y407" s="2" t="s">
        <v>44</v>
      </c>
      <c r="Z407" s="2"/>
      <c r="AA407" s="2" t="s">
        <v>821</v>
      </c>
      <c r="AB407" s="2" t="s">
        <v>46</v>
      </c>
      <c r="AC407" s="2" t="s">
        <v>821</v>
      </c>
      <c r="AE407" s="2" t="s">
        <v>48</v>
      </c>
      <c r="AF407" s="2" t="s">
        <v>49</v>
      </c>
      <c r="AG407" s="2">
        <v>100</v>
      </c>
      <c r="AH407" s="2">
        <v>87</v>
      </c>
      <c r="AJ407" s="2" t="s">
        <v>4081</v>
      </c>
      <c r="AK407" s="2"/>
      <c r="AL407" s="2"/>
      <c r="AM407" s="2" t="s">
        <v>52</v>
      </c>
    </row>
    <row r="408" spans="1:39" x14ac:dyDescent="0.45">
      <c r="A408" s="2" t="s">
        <v>4082</v>
      </c>
      <c r="B408" s="2"/>
      <c r="C408" s="2" t="s">
        <v>4084</v>
      </c>
      <c r="D408" s="2" t="s">
        <v>4086</v>
      </c>
      <c r="E408" s="25"/>
      <c r="F408" s="21"/>
      <c r="G408" s="42" t="s">
        <v>28000</v>
      </c>
      <c r="H408" s="2" t="s">
        <v>50</v>
      </c>
      <c r="I408" s="2" t="s">
        <v>4088</v>
      </c>
      <c r="J408" s="2" t="s">
        <v>4083</v>
      </c>
      <c r="K408" s="2" t="s">
        <v>4085</v>
      </c>
      <c r="L408" s="2" t="s">
        <v>4087</v>
      </c>
      <c r="M408" s="2" t="s">
        <v>4087</v>
      </c>
      <c r="N408" s="2" t="s">
        <v>59</v>
      </c>
      <c r="O408" s="2" t="s">
        <v>60</v>
      </c>
      <c r="P408" s="2" t="s">
        <v>1346</v>
      </c>
      <c r="Q408" s="2" t="s">
        <v>4085</v>
      </c>
      <c r="R408" s="2"/>
      <c r="S408" s="2"/>
      <c r="T408" s="2"/>
      <c r="U408" s="2" t="s">
        <v>59</v>
      </c>
      <c r="V408" s="2" t="s">
        <v>60</v>
      </c>
      <c r="W408" s="2" t="s">
        <v>1346</v>
      </c>
      <c r="X408" s="2" t="s">
        <v>88</v>
      </c>
      <c r="Y408" s="2" t="s">
        <v>44</v>
      </c>
      <c r="Z408" s="2"/>
      <c r="AA408" s="2" t="s">
        <v>821</v>
      </c>
      <c r="AB408" s="2" t="s">
        <v>46</v>
      </c>
      <c r="AC408" s="2" t="s">
        <v>821</v>
      </c>
      <c r="AE408" s="2" t="s">
        <v>48</v>
      </c>
      <c r="AF408" s="2" t="s">
        <v>49</v>
      </c>
      <c r="AG408" s="2">
        <v>100</v>
      </c>
      <c r="AH408" s="2">
        <v>87</v>
      </c>
      <c r="AJ408" s="2" t="s">
        <v>4089</v>
      </c>
      <c r="AK408" s="2"/>
      <c r="AL408" s="2"/>
      <c r="AM408" s="2" t="s">
        <v>52</v>
      </c>
    </row>
    <row r="409" spans="1:39" x14ac:dyDescent="0.45">
      <c r="A409" s="2" t="s">
        <v>4090</v>
      </c>
      <c r="B409" s="2"/>
      <c r="C409" s="2" t="s">
        <v>4092</v>
      </c>
      <c r="D409" s="2" t="s">
        <v>4094</v>
      </c>
      <c r="E409" s="25"/>
      <c r="F409" s="21"/>
      <c r="G409" s="42" t="s">
        <v>28000</v>
      </c>
      <c r="H409" s="2" t="s">
        <v>50</v>
      </c>
      <c r="I409" s="2" t="s">
        <v>4098</v>
      </c>
      <c r="J409" s="2" t="s">
        <v>4091</v>
      </c>
      <c r="K409" s="2" t="s">
        <v>4093</v>
      </c>
      <c r="L409" s="2" t="s">
        <v>4095</v>
      </c>
      <c r="M409" s="2" t="s">
        <v>4095</v>
      </c>
      <c r="N409" s="2" t="s">
        <v>536</v>
      </c>
      <c r="O409" s="2" t="s">
        <v>537</v>
      </c>
      <c r="P409" s="2" t="s">
        <v>4096</v>
      </c>
      <c r="Q409" s="2" t="s">
        <v>4097</v>
      </c>
      <c r="R409" s="2"/>
      <c r="S409" s="2"/>
      <c r="T409" s="2"/>
      <c r="U409" s="2" t="s">
        <v>536</v>
      </c>
      <c r="V409" s="2" t="s">
        <v>537</v>
      </c>
      <c r="W409" s="2" t="s">
        <v>4096</v>
      </c>
      <c r="X409" s="2" t="s">
        <v>164</v>
      </c>
      <c r="Y409" s="2" t="s">
        <v>44</v>
      </c>
      <c r="Z409" s="2"/>
      <c r="AA409" s="2" t="s">
        <v>821</v>
      </c>
      <c r="AB409" s="2" t="s">
        <v>46</v>
      </c>
      <c r="AC409" s="2" t="s">
        <v>821</v>
      </c>
      <c r="AE409" s="2" t="s">
        <v>48</v>
      </c>
      <c r="AF409" s="2" t="s">
        <v>49</v>
      </c>
      <c r="AG409" s="2">
        <v>100</v>
      </c>
      <c r="AH409" s="2">
        <v>87</v>
      </c>
      <c r="AJ409" s="2" t="s">
        <v>4099</v>
      </c>
      <c r="AK409" s="2"/>
      <c r="AL409" s="2"/>
      <c r="AM409" s="2" t="s">
        <v>52</v>
      </c>
    </row>
    <row r="410" spans="1:39" x14ac:dyDescent="0.45">
      <c r="A410" s="2" t="s">
        <v>4100</v>
      </c>
      <c r="B410" s="2"/>
      <c r="C410" s="2" t="s">
        <v>4102</v>
      </c>
      <c r="D410" s="2" t="s">
        <v>4104</v>
      </c>
      <c r="E410" s="25"/>
      <c r="F410" s="21"/>
      <c r="G410" s="42" t="s">
        <v>28000</v>
      </c>
      <c r="H410" s="2" t="s">
        <v>50</v>
      </c>
      <c r="I410" s="2" t="s">
        <v>4107</v>
      </c>
      <c r="J410" s="2" t="s">
        <v>4101</v>
      </c>
      <c r="K410" s="2" t="s">
        <v>4103</v>
      </c>
      <c r="L410" s="2" t="s">
        <v>4105</v>
      </c>
      <c r="M410" s="2" t="s">
        <v>4105</v>
      </c>
      <c r="N410" s="2" t="s">
        <v>39</v>
      </c>
      <c r="O410" s="2" t="s">
        <v>40</v>
      </c>
      <c r="P410" s="2" t="s">
        <v>2041</v>
      </c>
      <c r="Q410" s="2" t="s">
        <v>4103</v>
      </c>
      <c r="R410" s="2"/>
      <c r="S410" s="2"/>
      <c r="T410" s="2"/>
      <c r="U410" s="2" t="s">
        <v>39</v>
      </c>
      <c r="V410" s="2" t="s">
        <v>40</v>
      </c>
      <c r="W410" s="2" t="s">
        <v>2041</v>
      </c>
      <c r="X410" s="2" t="s">
        <v>4106</v>
      </c>
      <c r="Y410" s="2" t="s">
        <v>44</v>
      </c>
      <c r="Z410" s="2"/>
      <c r="AA410" s="2" t="s">
        <v>821</v>
      </c>
      <c r="AB410" s="2" t="s">
        <v>46</v>
      </c>
      <c r="AC410" s="2" t="s">
        <v>821</v>
      </c>
      <c r="AE410" s="2" t="s">
        <v>48</v>
      </c>
      <c r="AF410" s="2" t="s">
        <v>49</v>
      </c>
      <c r="AG410" s="2">
        <v>100</v>
      </c>
      <c r="AH410" s="2">
        <v>87</v>
      </c>
      <c r="AJ410" s="2" t="s">
        <v>4108</v>
      </c>
      <c r="AK410" s="2"/>
      <c r="AL410" s="2"/>
      <c r="AM410" s="2" t="s">
        <v>52</v>
      </c>
    </row>
    <row r="411" spans="1:39" x14ac:dyDescent="0.45">
      <c r="A411" s="2" t="s">
        <v>4109</v>
      </c>
      <c r="B411" s="2"/>
      <c r="C411" s="2" t="s">
        <v>4111</v>
      </c>
      <c r="D411" s="2" t="s">
        <v>4113</v>
      </c>
      <c r="E411" s="25"/>
      <c r="F411" s="21"/>
      <c r="G411" s="42" t="s">
        <v>28000</v>
      </c>
      <c r="H411" s="2" t="s">
        <v>50</v>
      </c>
      <c r="I411" s="2" t="s">
        <v>4117</v>
      </c>
      <c r="J411" s="2" t="s">
        <v>4110</v>
      </c>
      <c r="K411" s="2" t="s">
        <v>4112</v>
      </c>
      <c r="L411" s="2" t="s">
        <v>4114</v>
      </c>
      <c r="M411" s="2" t="s">
        <v>4114</v>
      </c>
      <c r="N411" s="2" t="s">
        <v>59</v>
      </c>
      <c r="O411" s="2" t="s">
        <v>60</v>
      </c>
      <c r="P411" s="2" t="s">
        <v>4115</v>
      </c>
      <c r="Q411" s="2" t="s">
        <v>4112</v>
      </c>
      <c r="R411" s="2"/>
      <c r="S411" s="2"/>
      <c r="T411" s="2"/>
      <c r="U411" s="2" t="s">
        <v>59</v>
      </c>
      <c r="V411" s="2" t="s">
        <v>60</v>
      </c>
      <c r="W411" s="2" t="s">
        <v>4115</v>
      </c>
      <c r="X411" s="2" t="s">
        <v>4116</v>
      </c>
      <c r="Y411" s="2" t="s">
        <v>44</v>
      </c>
      <c r="Z411" s="2"/>
      <c r="AA411" s="2" t="s">
        <v>821</v>
      </c>
      <c r="AB411" s="2" t="s">
        <v>46</v>
      </c>
      <c r="AC411" s="2" t="s">
        <v>821</v>
      </c>
      <c r="AE411" s="2" t="s">
        <v>48</v>
      </c>
      <c r="AF411" s="2" t="s">
        <v>49</v>
      </c>
      <c r="AG411" s="2">
        <v>100</v>
      </c>
      <c r="AH411" s="2">
        <v>87</v>
      </c>
      <c r="AJ411" s="2" t="s">
        <v>4118</v>
      </c>
      <c r="AK411" s="2"/>
      <c r="AL411" s="2"/>
      <c r="AM411" s="2" t="s">
        <v>52</v>
      </c>
    </row>
    <row r="412" spans="1:39" x14ac:dyDescent="0.45">
      <c r="A412" s="2" t="s">
        <v>4119</v>
      </c>
      <c r="B412" s="2"/>
      <c r="C412" s="2" t="s">
        <v>4121</v>
      </c>
      <c r="D412" s="2" t="s">
        <v>4123</v>
      </c>
      <c r="E412" s="25"/>
      <c r="F412" s="21"/>
      <c r="G412" s="42" t="s">
        <v>28000</v>
      </c>
      <c r="H412" s="2" t="s">
        <v>50</v>
      </c>
      <c r="I412" s="2" t="s">
        <v>4126</v>
      </c>
      <c r="J412" s="2" t="s">
        <v>4120</v>
      </c>
      <c r="K412" s="2" t="s">
        <v>4122</v>
      </c>
      <c r="L412" s="2" t="s">
        <v>4124</v>
      </c>
      <c r="M412" s="2" t="s">
        <v>4124</v>
      </c>
      <c r="N412" s="2" t="s">
        <v>174</v>
      </c>
      <c r="O412" s="2" t="s">
        <v>175</v>
      </c>
      <c r="P412" s="2" t="s">
        <v>176</v>
      </c>
      <c r="Q412" s="2" t="s">
        <v>4125</v>
      </c>
      <c r="R412" s="2"/>
      <c r="S412" s="2"/>
      <c r="T412" s="2"/>
      <c r="U412" s="2" t="s">
        <v>174</v>
      </c>
      <c r="V412" s="2" t="s">
        <v>175</v>
      </c>
      <c r="W412" s="2" t="s">
        <v>176</v>
      </c>
      <c r="X412" s="2" t="s">
        <v>3909</v>
      </c>
      <c r="Y412" s="2" t="s">
        <v>44</v>
      </c>
      <c r="Z412" s="2"/>
      <c r="AA412" s="2" t="s">
        <v>821</v>
      </c>
      <c r="AB412" s="2" t="s">
        <v>46</v>
      </c>
      <c r="AC412" s="2" t="s">
        <v>821</v>
      </c>
      <c r="AE412" s="2" t="s">
        <v>48</v>
      </c>
      <c r="AF412" s="2" t="s">
        <v>49</v>
      </c>
      <c r="AG412" s="2">
        <v>100</v>
      </c>
      <c r="AH412" s="2">
        <v>87</v>
      </c>
      <c r="AJ412" s="2" t="s">
        <v>4127</v>
      </c>
      <c r="AK412" s="2"/>
      <c r="AL412" s="2"/>
      <c r="AM412" s="2" t="s">
        <v>52</v>
      </c>
    </row>
    <row r="413" spans="1:39" x14ac:dyDescent="0.45">
      <c r="A413" s="2" t="s">
        <v>4128</v>
      </c>
      <c r="B413" s="2"/>
      <c r="C413" s="2" t="s">
        <v>4130</v>
      </c>
      <c r="D413" s="2" t="s">
        <v>4132</v>
      </c>
      <c r="E413" s="25"/>
      <c r="F413" s="21"/>
      <c r="G413" s="42" t="s">
        <v>28000</v>
      </c>
      <c r="H413" s="2" t="s">
        <v>50</v>
      </c>
      <c r="I413" s="2" t="s">
        <v>4136</v>
      </c>
      <c r="J413" s="2" t="s">
        <v>4129</v>
      </c>
      <c r="K413" s="2" t="s">
        <v>4131</v>
      </c>
      <c r="L413" s="2" t="s">
        <v>4133</v>
      </c>
      <c r="M413" s="2" t="s">
        <v>4133</v>
      </c>
      <c r="N413" s="2" t="s">
        <v>174</v>
      </c>
      <c r="O413" s="2" t="s">
        <v>175</v>
      </c>
      <c r="P413" s="2" t="s">
        <v>1316</v>
      </c>
      <c r="Q413" s="2" t="s">
        <v>4134</v>
      </c>
      <c r="R413" s="2"/>
      <c r="S413" s="2"/>
      <c r="T413" s="2"/>
      <c r="U413" s="2" t="s">
        <v>174</v>
      </c>
      <c r="V413" s="2" t="s">
        <v>175</v>
      </c>
      <c r="W413" s="2" t="s">
        <v>1316</v>
      </c>
      <c r="X413" s="2" t="s">
        <v>4135</v>
      </c>
      <c r="Y413" s="2" t="s">
        <v>44</v>
      </c>
      <c r="Z413" s="2"/>
      <c r="AA413" s="2" t="s">
        <v>821</v>
      </c>
      <c r="AB413" s="2" t="s">
        <v>46</v>
      </c>
      <c r="AC413" s="2" t="s">
        <v>821</v>
      </c>
      <c r="AE413" s="2" t="s">
        <v>48</v>
      </c>
      <c r="AF413" s="2" t="s">
        <v>49</v>
      </c>
      <c r="AG413" s="2">
        <v>100</v>
      </c>
      <c r="AH413" s="2">
        <v>87</v>
      </c>
      <c r="AJ413" s="2" t="s">
        <v>4137</v>
      </c>
      <c r="AK413" s="2"/>
      <c r="AL413" s="2"/>
      <c r="AM413" s="2" t="s">
        <v>52</v>
      </c>
    </row>
    <row r="414" spans="1:39" x14ac:dyDescent="0.45">
      <c r="A414" s="2" t="s">
        <v>4138</v>
      </c>
      <c r="B414" s="2"/>
      <c r="C414" s="2" t="s">
        <v>4140</v>
      </c>
      <c r="D414" s="2" t="s">
        <v>4142</v>
      </c>
      <c r="E414" s="25"/>
      <c r="F414" s="21"/>
      <c r="G414" s="42" t="s">
        <v>28000</v>
      </c>
      <c r="H414" s="2" t="s">
        <v>50</v>
      </c>
      <c r="I414" s="2" t="s">
        <v>4147</v>
      </c>
      <c r="J414" s="2" t="s">
        <v>4139</v>
      </c>
      <c r="K414" s="2" t="s">
        <v>4141</v>
      </c>
      <c r="L414" s="2" t="s">
        <v>4143</v>
      </c>
      <c r="M414" s="2" t="s">
        <v>4143</v>
      </c>
      <c r="N414" s="2" t="s">
        <v>174</v>
      </c>
      <c r="O414" s="2" t="s">
        <v>175</v>
      </c>
      <c r="P414" s="2" t="s">
        <v>4144</v>
      </c>
      <c r="Q414" s="2" t="s">
        <v>4145</v>
      </c>
      <c r="R414" s="2"/>
      <c r="S414" s="2"/>
      <c r="T414" s="2"/>
      <c r="U414" s="2" t="s">
        <v>174</v>
      </c>
      <c r="V414" s="2" t="s">
        <v>175</v>
      </c>
      <c r="W414" s="2" t="s">
        <v>4144</v>
      </c>
      <c r="X414" s="2" t="s">
        <v>4146</v>
      </c>
      <c r="Y414" s="2" t="s">
        <v>44</v>
      </c>
      <c r="Z414" s="2"/>
      <c r="AA414" s="2" t="s">
        <v>821</v>
      </c>
      <c r="AB414" s="2" t="s">
        <v>46</v>
      </c>
      <c r="AC414" s="2" t="s">
        <v>821</v>
      </c>
      <c r="AE414" s="2" t="s">
        <v>48</v>
      </c>
      <c r="AF414" s="2" t="s">
        <v>49</v>
      </c>
      <c r="AG414" s="2">
        <v>100</v>
      </c>
      <c r="AH414" s="2">
        <v>87</v>
      </c>
      <c r="AJ414" s="2" t="s">
        <v>4148</v>
      </c>
      <c r="AK414" s="2"/>
      <c r="AL414" s="2"/>
      <c r="AM414" s="2" t="s">
        <v>52</v>
      </c>
    </row>
    <row r="415" spans="1:39" x14ac:dyDescent="0.45">
      <c r="A415" s="2" t="s">
        <v>4149</v>
      </c>
      <c r="B415" s="2"/>
      <c r="C415" s="2" t="s">
        <v>4151</v>
      </c>
      <c r="D415" s="2" t="s">
        <v>4153</v>
      </c>
      <c r="E415" s="25"/>
      <c r="F415" s="21"/>
      <c r="G415" s="42" t="s">
        <v>28000</v>
      </c>
      <c r="H415" s="2" t="s">
        <v>50</v>
      </c>
      <c r="I415" s="2" t="s">
        <v>4157</v>
      </c>
      <c r="J415" s="2" t="s">
        <v>4150</v>
      </c>
      <c r="K415" s="2" t="s">
        <v>4152</v>
      </c>
      <c r="L415" s="2" t="s">
        <v>4154</v>
      </c>
      <c r="M415" s="2" t="s">
        <v>4154</v>
      </c>
      <c r="N415" s="2" t="s">
        <v>72</v>
      </c>
      <c r="O415" s="2" t="s">
        <v>73</v>
      </c>
      <c r="P415" s="2" t="s">
        <v>474</v>
      </c>
      <c r="Q415" s="2" t="s">
        <v>4155</v>
      </c>
      <c r="R415" s="2"/>
      <c r="S415" s="2"/>
      <c r="T415" s="2"/>
      <c r="U415" s="2" t="s">
        <v>72</v>
      </c>
      <c r="V415" s="2" t="s">
        <v>73</v>
      </c>
      <c r="W415" s="2" t="s">
        <v>474</v>
      </c>
      <c r="X415" s="2" t="s">
        <v>4156</v>
      </c>
      <c r="Y415" s="2" t="s">
        <v>44</v>
      </c>
      <c r="Z415" s="2"/>
      <c r="AA415" s="2" t="s">
        <v>821</v>
      </c>
      <c r="AB415" s="2" t="s">
        <v>46</v>
      </c>
      <c r="AC415" s="2" t="s">
        <v>821</v>
      </c>
      <c r="AE415" s="2" t="s">
        <v>48</v>
      </c>
      <c r="AF415" s="2" t="s">
        <v>49</v>
      </c>
      <c r="AG415" s="2">
        <v>100</v>
      </c>
      <c r="AH415" s="2">
        <v>87</v>
      </c>
      <c r="AJ415" s="2" t="s">
        <v>4158</v>
      </c>
      <c r="AK415" s="2"/>
      <c r="AL415" s="2"/>
      <c r="AM415" s="2" t="s">
        <v>52</v>
      </c>
    </row>
    <row r="416" spans="1:39" x14ac:dyDescent="0.45">
      <c r="A416" s="2" t="s">
        <v>4159</v>
      </c>
      <c r="B416" s="2"/>
      <c r="C416" s="2" t="s">
        <v>4161</v>
      </c>
      <c r="D416" s="2" t="s">
        <v>4163</v>
      </c>
      <c r="E416" s="25"/>
      <c r="F416" s="21"/>
      <c r="G416" s="42" t="s">
        <v>28000</v>
      </c>
      <c r="H416" s="2" t="s">
        <v>50</v>
      </c>
      <c r="I416" s="2" t="s">
        <v>4167</v>
      </c>
      <c r="J416" s="2" t="s">
        <v>4160</v>
      </c>
      <c r="K416" s="2" t="s">
        <v>4162</v>
      </c>
      <c r="L416" s="2" t="s">
        <v>4164</v>
      </c>
      <c r="M416" s="2" t="s">
        <v>4164</v>
      </c>
      <c r="N416" s="2" t="s">
        <v>72</v>
      </c>
      <c r="O416" s="2" t="s">
        <v>73</v>
      </c>
      <c r="P416" s="2" t="s">
        <v>74</v>
      </c>
      <c r="Q416" s="2" t="s">
        <v>4165</v>
      </c>
      <c r="R416" s="2"/>
      <c r="S416" s="2"/>
      <c r="T416" s="2"/>
      <c r="U416" s="2" t="s">
        <v>72</v>
      </c>
      <c r="V416" s="2" t="s">
        <v>73</v>
      </c>
      <c r="W416" s="2" t="s">
        <v>74</v>
      </c>
      <c r="X416" s="2" t="s">
        <v>4166</v>
      </c>
      <c r="Y416" s="2" t="s">
        <v>44</v>
      </c>
      <c r="Z416" s="2"/>
      <c r="AA416" s="2" t="s">
        <v>821</v>
      </c>
      <c r="AB416" s="2" t="s">
        <v>46</v>
      </c>
      <c r="AC416" s="2" t="s">
        <v>821</v>
      </c>
      <c r="AE416" s="2" t="s">
        <v>48</v>
      </c>
      <c r="AF416" s="2" t="s">
        <v>49</v>
      </c>
      <c r="AG416" s="2">
        <v>100</v>
      </c>
      <c r="AH416" s="2">
        <v>87</v>
      </c>
      <c r="AJ416" s="2" t="s">
        <v>4168</v>
      </c>
      <c r="AK416" s="2"/>
      <c r="AL416" s="2"/>
      <c r="AM416" s="2" t="s">
        <v>52</v>
      </c>
    </row>
    <row r="417" spans="1:39" x14ac:dyDescent="0.45">
      <c r="A417" s="2" t="s">
        <v>4169</v>
      </c>
      <c r="B417" s="2"/>
      <c r="C417" s="2" t="s">
        <v>4171</v>
      </c>
      <c r="D417" s="2" t="s">
        <v>4173</v>
      </c>
      <c r="E417" s="25"/>
      <c r="F417" s="21"/>
      <c r="G417" s="42" t="s">
        <v>28000</v>
      </c>
      <c r="H417" s="2" t="s">
        <v>50</v>
      </c>
      <c r="I417" s="2" t="s">
        <v>4177</v>
      </c>
      <c r="J417" s="2" t="s">
        <v>4170</v>
      </c>
      <c r="K417" s="2" t="s">
        <v>4172</v>
      </c>
      <c r="L417" s="2" t="s">
        <v>4174</v>
      </c>
      <c r="M417" s="2" t="s">
        <v>4174</v>
      </c>
      <c r="N417" s="2" t="s">
        <v>72</v>
      </c>
      <c r="O417" s="2" t="s">
        <v>73</v>
      </c>
      <c r="P417" s="2" t="s">
        <v>791</v>
      </c>
      <c r="Q417" s="2" t="s">
        <v>4175</v>
      </c>
      <c r="R417" s="2"/>
      <c r="S417" s="2"/>
      <c r="T417" s="2"/>
      <c r="U417" s="2" t="s">
        <v>72</v>
      </c>
      <c r="V417" s="2" t="s">
        <v>73</v>
      </c>
      <c r="W417" s="2" t="s">
        <v>791</v>
      </c>
      <c r="X417" s="2" t="s">
        <v>4176</v>
      </c>
      <c r="Y417" s="2" t="s">
        <v>44</v>
      </c>
      <c r="Z417" s="2"/>
      <c r="AA417" s="2" t="s">
        <v>821</v>
      </c>
      <c r="AB417" s="2" t="s">
        <v>46</v>
      </c>
      <c r="AC417" s="2" t="s">
        <v>821</v>
      </c>
      <c r="AE417" s="2" t="s">
        <v>48</v>
      </c>
      <c r="AF417" s="2" t="s">
        <v>49</v>
      </c>
      <c r="AG417" s="2">
        <v>100</v>
      </c>
      <c r="AH417" s="2">
        <v>87</v>
      </c>
      <c r="AJ417" s="2" t="s">
        <v>4178</v>
      </c>
      <c r="AK417" s="2"/>
      <c r="AL417" s="2"/>
      <c r="AM417" s="2" t="s">
        <v>52</v>
      </c>
    </row>
    <row r="418" spans="1:39" x14ac:dyDescent="0.45">
      <c r="A418" s="2" t="s">
        <v>4179</v>
      </c>
      <c r="B418" s="2"/>
      <c r="C418" s="2" t="s">
        <v>4181</v>
      </c>
      <c r="D418" s="2" t="s">
        <v>4183</v>
      </c>
      <c r="E418" s="25"/>
      <c r="F418" s="21"/>
      <c r="G418" s="42" t="s">
        <v>28000</v>
      </c>
      <c r="H418" s="2" t="s">
        <v>50</v>
      </c>
      <c r="I418" s="2" t="s">
        <v>4187</v>
      </c>
      <c r="J418" s="2" t="s">
        <v>4180</v>
      </c>
      <c r="K418" s="2" t="s">
        <v>4182</v>
      </c>
      <c r="L418" s="2" t="s">
        <v>4184</v>
      </c>
      <c r="M418" s="2" t="s">
        <v>4184</v>
      </c>
      <c r="N418" s="2" t="s">
        <v>72</v>
      </c>
      <c r="O418" s="2" t="s">
        <v>73</v>
      </c>
      <c r="P418" s="2" t="s">
        <v>722</v>
      </c>
      <c r="Q418" s="2" t="s">
        <v>4185</v>
      </c>
      <c r="R418" s="2"/>
      <c r="S418" s="2"/>
      <c r="T418" s="2"/>
      <c r="U418" s="2" t="s">
        <v>72</v>
      </c>
      <c r="V418" s="2" t="s">
        <v>73</v>
      </c>
      <c r="W418" s="2" t="s">
        <v>722</v>
      </c>
      <c r="X418" s="2" t="s">
        <v>4186</v>
      </c>
      <c r="Y418" s="2" t="s">
        <v>44</v>
      </c>
      <c r="Z418" s="2"/>
      <c r="AA418" s="2" t="s">
        <v>821</v>
      </c>
      <c r="AB418" s="2" t="s">
        <v>46</v>
      </c>
      <c r="AC418" s="2" t="s">
        <v>821</v>
      </c>
      <c r="AE418" s="2" t="s">
        <v>48</v>
      </c>
      <c r="AF418" s="2" t="s">
        <v>49</v>
      </c>
      <c r="AG418" s="2">
        <v>100</v>
      </c>
      <c r="AH418" s="2">
        <v>87</v>
      </c>
      <c r="AJ418" s="2" t="s">
        <v>4188</v>
      </c>
      <c r="AK418" s="2"/>
      <c r="AL418" s="2"/>
      <c r="AM418" s="2" t="s">
        <v>52</v>
      </c>
    </row>
    <row r="419" spans="1:39" x14ac:dyDescent="0.45">
      <c r="A419" s="2" t="s">
        <v>4189</v>
      </c>
      <c r="B419" s="2"/>
      <c r="C419" s="2" t="s">
        <v>4191</v>
      </c>
      <c r="D419" s="2" t="s">
        <v>4193</v>
      </c>
      <c r="E419" s="25"/>
      <c r="F419" s="21"/>
      <c r="G419" s="42" t="s">
        <v>28000</v>
      </c>
      <c r="H419" s="2" t="s">
        <v>50</v>
      </c>
      <c r="I419" s="2" t="s">
        <v>4197</v>
      </c>
      <c r="J419" s="2" t="s">
        <v>4190</v>
      </c>
      <c r="K419" s="2" t="s">
        <v>4192</v>
      </c>
      <c r="L419" s="2" t="s">
        <v>4194</v>
      </c>
      <c r="M419" s="2" t="s">
        <v>4194</v>
      </c>
      <c r="N419" s="2" t="s">
        <v>39</v>
      </c>
      <c r="O419" s="2" t="s">
        <v>40</v>
      </c>
      <c r="P419" s="2" t="s">
        <v>4195</v>
      </c>
      <c r="Q419" s="2" t="s">
        <v>4192</v>
      </c>
      <c r="R419" s="2"/>
      <c r="S419" s="2"/>
      <c r="T419" s="2"/>
      <c r="U419" s="2" t="s">
        <v>39</v>
      </c>
      <c r="V419" s="2" t="s">
        <v>40</v>
      </c>
      <c r="W419" s="2" t="s">
        <v>4195</v>
      </c>
      <c r="X419" s="2" t="s">
        <v>4196</v>
      </c>
      <c r="Y419" s="2" t="s">
        <v>44</v>
      </c>
      <c r="Z419" s="2"/>
      <c r="AA419" s="2" t="s">
        <v>821</v>
      </c>
      <c r="AB419" s="2" t="s">
        <v>46</v>
      </c>
      <c r="AC419" s="2" t="s">
        <v>821</v>
      </c>
      <c r="AE419" s="2" t="s">
        <v>48</v>
      </c>
      <c r="AF419" s="2" t="s">
        <v>49</v>
      </c>
      <c r="AG419" s="2">
        <v>100</v>
      </c>
      <c r="AH419" s="2">
        <v>87</v>
      </c>
      <c r="AJ419" s="2" t="s">
        <v>4198</v>
      </c>
      <c r="AK419" s="2"/>
      <c r="AL419" s="2"/>
      <c r="AM419" s="2" t="s">
        <v>52</v>
      </c>
    </row>
    <row r="420" spans="1:39" x14ac:dyDescent="0.45">
      <c r="A420" s="2" t="s">
        <v>4199</v>
      </c>
      <c r="B420" s="2"/>
      <c r="C420" s="2" t="s">
        <v>4201</v>
      </c>
      <c r="D420" s="2" t="s">
        <v>4203</v>
      </c>
      <c r="E420" s="25"/>
      <c r="F420" s="21"/>
      <c r="G420" s="42" t="s">
        <v>28000</v>
      </c>
      <c r="H420" s="2" t="s">
        <v>50</v>
      </c>
      <c r="I420" s="2" t="s">
        <v>4206</v>
      </c>
      <c r="J420" s="2" t="s">
        <v>4200</v>
      </c>
      <c r="K420" s="2" t="s">
        <v>4202</v>
      </c>
      <c r="L420" s="2" t="s">
        <v>4204</v>
      </c>
      <c r="M420" s="2" t="s">
        <v>4204</v>
      </c>
      <c r="N420" s="2" t="s">
        <v>384</v>
      </c>
      <c r="O420" s="2" t="s">
        <v>73</v>
      </c>
      <c r="P420" s="2" t="s">
        <v>559</v>
      </c>
      <c r="Q420" s="2" t="s">
        <v>4202</v>
      </c>
      <c r="R420" s="2"/>
      <c r="S420" s="2"/>
      <c r="T420" s="2"/>
      <c r="U420" s="2" t="s">
        <v>384</v>
      </c>
      <c r="V420" s="2" t="s">
        <v>73</v>
      </c>
      <c r="W420" s="2" t="s">
        <v>559</v>
      </c>
      <c r="X420" s="2" t="s">
        <v>4205</v>
      </c>
      <c r="Y420" s="2" t="s">
        <v>44</v>
      </c>
      <c r="Z420" s="2"/>
      <c r="AA420" s="2" t="s">
        <v>821</v>
      </c>
      <c r="AB420" s="2" t="s">
        <v>46</v>
      </c>
      <c r="AC420" s="2" t="s">
        <v>821</v>
      </c>
      <c r="AE420" s="2" t="s">
        <v>48</v>
      </c>
      <c r="AF420" s="2" t="s">
        <v>49</v>
      </c>
      <c r="AG420" s="2">
        <v>100</v>
      </c>
      <c r="AH420" s="2">
        <v>87</v>
      </c>
      <c r="AJ420" s="2" t="s">
        <v>4207</v>
      </c>
      <c r="AK420" s="2"/>
      <c r="AL420" s="2"/>
      <c r="AM420" s="2" t="s">
        <v>52</v>
      </c>
    </row>
    <row r="421" spans="1:39" x14ac:dyDescent="0.45">
      <c r="A421" s="2" t="s">
        <v>4208</v>
      </c>
      <c r="B421" s="2"/>
      <c r="C421" s="2" t="s">
        <v>4210</v>
      </c>
      <c r="D421" s="2" t="s">
        <v>4212</v>
      </c>
      <c r="E421" s="25"/>
      <c r="F421" s="21"/>
      <c r="G421" s="42" t="s">
        <v>28000</v>
      </c>
      <c r="H421" s="2" t="s">
        <v>50</v>
      </c>
      <c r="I421" s="2" t="s">
        <v>4215</v>
      </c>
      <c r="J421" s="2" t="s">
        <v>4209</v>
      </c>
      <c r="K421" s="2" t="s">
        <v>4211</v>
      </c>
      <c r="L421" s="2" t="s">
        <v>4213</v>
      </c>
      <c r="M421" s="2" t="s">
        <v>4213</v>
      </c>
      <c r="N421" s="2" t="s">
        <v>384</v>
      </c>
      <c r="O421" s="2" t="s">
        <v>73</v>
      </c>
      <c r="P421" s="2" t="s">
        <v>2129</v>
      </c>
      <c r="Q421" s="2" t="s">
        <v>4211</v>
      </c>
      <c r="R421" s="2"/>
      <c r="S421" s="2"/>
      <c r="T421" s="2"/>
      <c r="U421" s="2" t="s">
        <v>384</v>
      </c>
      <c r="V421" s="2" t="s">
        <v>73</v>
      </c>
      <c r="W421" s="2" t="s">
        <v>2129</v>
      </c>
      <c r="X421" s="2" t="s">
        <v>4214</v>
      </c>
      <c r="Y421" s="2" t="s">
        <v>44</v>
      </c>
      <c r="Z421" s="2"/>
      <c r="AA421" s="2" t="s">
        <v>821</v>
      </c>
      <c r="AB421" s="2" t="s">
        <v>46</v>
      </c>
      <c r="AC421" s="2" t="s">
        <v>821</v>
      </c>
      <c r="AE421" s="2" t="s">
        <v>48</v>
      </c>
      <c r="AF421" s="2" t="s">
        <v>49</v>
      </c>
      <c r="AG421" s="2">
        <v>100</v>
      </c>
      <c r="AH421" s="2">
        <v>87</v>
      </c>
      <c r="AJ421" s="2" t="s">
        <v>4216</v>
      </c>
      <c r="AK421" s="2"/>
      <c r="AL421" s="2"/>
      <c r="AM421" s="2" t="s">
        <v>52</v>
      </c>
    </row>
    <row r="422" spans="1:39" x14ac:dyDescent="0.45">
      <c r="A422" s="2" t="s">
        <v>4217</v>
      </c>
      <c r="B422" s="2"/>
      <c r="C422" s="2" t="s">
        <v>4219</v>
      </c>
      <c r="D422" s="2" t="s">
        <v>4221</v>
      </c>
      <c r="E422" s="25"/>
      <c r="F422" s="21"/>
      <c r="G422" s="42" t="s">
        <v>28000</v>
      </c>
      <c r="H422" s="2" t="s">
        <v>50</v>
      </c>
      <c r="I422" s="2" t="s">
        <v>4223</v>
      </c>
      <c r="J422" s="2" t="s">
        <v>4218</v>
      </c>
      <c r="K422" s="2" t="s">
        <v>4220</v>
      </c>
      <c r="L422" s="2" t="s">
        <v>4222</v>
      </c>
      <c r="M422" s="2" t="s">
        <v>4222</v>
      </c>
      <c r="N422" s="2" t="s">
        <v>72</v>
      </c>
      <c r="O422" s="2" t="s">
        <v>73</v>
      </c>
      <c r="P422" s="2" t="s">
        <v>474</v>
      </c>
      <c r="Q422" s="2" t="s">
        <v>4220</v>
      </c>
      <c r="R422" s="2"/>
      <c r="S422" s="2"/>
      <c r="T422" s="2"/>
      <c r="U422" s="2" t="s">
        <v>72</v>
      </c>
      <c r="V422" s="2" t="s">
        <v>73</v>
      </c>
      <c r="W422" s="2" t="s">
        <v>474</v>
      </c>
      <c r="X422" s="2" t="s">
        <v>3304</v>
      </c>
      <c r="Y422" s="2" t="s">
        <v>44</v>
      </c>
      <c r="Z422" s="2"/>
      <c r="AA422" s="2" t="s">
        <v>821</v>
      </c>
      <c r="AB422" s="2" t="s">
        <v>46</v>
      </c>
      <c r="AC422" s="2" t="s">
        <v>821</v>
      </c>
      <c r="AE422" s="2" t="s">
        <v>48</v>
      </c>
      <c r="AF422" s="2" t="s">
        <v>49</v>
      </c>
      <c r="AG422" s="2">
        <v>100</v>
      </c>
      <c r="AH422" s="2">
        <v>87</v>
      </c>
      <c r="AJ422" s="2" t="s">
        <v>4224</v>
      </c>
      <c r="AK422" s="2"/>
      <c r="AL422" s="2"/>
      <c r="AM422" s="2" t="s">
        <v>52</v>
      </c>
    </row>
    <row r="423" spans="1:39" x14ac:dyDescent="0.45">
      <c r="A423" s="2" t="s">
        <v>4225</v>
      </c>
      <c r="B423" s="2"/>
      <c r="C423" s="2" t="s">
        <v>4227</v>
      </c>
      <c r="D423" s="2" t="s">
        <v>4229</v>
      </c>
      <c r="E423" s="25"/>
      <c r="F423" s="21"/>
      <c r="G423" s="42" t="s">
        <v>28000</v>
      </c>
      <c r="H423" s="2" t="s">
        <v>50</v>
      </c>
      <c r="I423" s="2" t="s">
        <v>4231</v>
      </c>
      <c r="J423" s="2" t="s">
        <v>4226</v>
      </c>
      <c r="K423" s="2" t="s">
        <v>4228</v>
      </c>
      <c r="L423" s="2" t="s">
        <v>4230</v>
      </c>
      <c r="M423" s="2" t="s">
        <v>4230</v>
      </c>
      <c r="N423" s="2" t="s">
        <v>290</v>
      </c>
      <c r="O423" s="2" t="s">
        <v>278</v>
      </c>
      <c r="P423" s="2" t="s">
        <v>3634</v>
      </c>
      <c r="Q423" s="2" t="s">
        <v>4228</v>
      </c>
      <c r="R423" s="2"/>
      <c r="S423" s="2"/>
      <c r="T423" s="2"/>
      <c r="U423" s="2" t="s">
        <v>290</v>
      </c>
      <c r="V423" s="2" t="s">
        <v>278</v>
      </c>
      <c r="W423" s="2" t="s">
        <v>3634</v>
      </c>
      <c r="X423" s="2" t="s">
        <v>1908</v>
      </c>
      <c r="Y423" s="2" t="s">
        <v>44</v>
      </c>
      <c r="Z423" s="2"/>
      <c r="AA423" s="2" t="s">
        <v>821</v>
      </c>
      <c r="AB423" s="2" t="s">
        <v>46</v>
      </c>
      <c r="AC423" s="2" t="s">
        <v>821</v>
      </c>
      <c r="AE423" s="2" t="s">
        <v>48</v>
      </c>
      <c r="AF423" s="2" t="s">
        <v>49</v>
      </c>
      <c r="AG423" s="2">
        <v>100</v>
      </c>
      <c r="AH423" s="2">
        <v>87</v>
      </c>
      <c r="AJ423" s="2" t="s">
        <v>4232</v>
      </c>
      <c r="AK423" s="2"/>
      <c r="AL423" s="2"/>
      <c r="AM423" s="2" t="s">
        <v>52</v>
      </c>
    </row>
    <row r="424" spans="1:39" x14ac:dyDescent="0.45">
      <c r="A424" s="2" t="s">
        <v>4233</v>
      </c>
      <c r="B424" s="2"/>
      <c r="C424" s="2" t="s">
        <v>4235</v>
      </c>
      <c r="D424" s="2" t="s">
        <v>4237</v>
      </c>
      <c r="E424" s="25"/>
      <c r="F424" s="21"/>
      <c r="G424" s="42" t="s">
        <v>28000</v>
      </c>
      <c r="H424" s="2" t="s">
        <v>50</v>
      </c>
      <c r="I424" s="2" t="s">
        <v>4243</v>
      </c>
      <c r="J424" s="2" t="s">
        <v>4234</v>
      </c>
      <c r="K424" s="2" t="s">
        <v>4236</v>
      </c>
      <c r="L424" s="2" t="s">
        <v>4238</v>
      </c>
      <c r="M424" s="2" t="s">
        <v>4238</v>
      </c>
      <c r="N424" s="2" t="s">
        <v>59</v>
      </c>
      <c r="O424" s="2" t="s">
        <v>60</v>
      </c>
      <c r="P424" s="2" t="s">
        <v>4239</v>
      </c>
      <c r="Q424" s="2" t="s">
        <v>4240</v>
      </c>
      <c r="R424" s="2"/>
      <c r="S424" s="2"/>
      <c r="T424" s="2"/>
      <c r="U424" s="2" t="s">
        <v>59</v>
      </c>
      <c r="V424" s="2" t="s">
        <v>60</v>
      </c>
      <c r="W424" s="2" t="s">
        <v>4241</v>
      </c>
      <c r="X424" s="2" t="s">
        <v>4242</v>
      </c>
      <c r="Y424" s="2" t="s">
        <v>44</v>
      </c>
      <c r="Z424" s="2"/>
      <c r="AA424" s="2" t="s">
        <v>821</v>
      </c>
      <c r="AB424" s="2" t="s">
        <v>46</v>
      </c>
      <c r="AC424" s="2" t="s">
        <v>821</v>
      </c>
      <c r="AE424" s="2" t="s">
        <v>48</v>
      </c>
      <c r="AF424" s="2" t="s">
        <v>49</v>
      </c>
      <c r="AG424" s="2">
        <v>100</v>
      </c>
      <c r="AH424" s="2">
        <v>87</v>
      </c>
      <c r="AJ424" s="2" t="s">
        <v>4244</v>
      </c>
      <c r="AK424" s="2"/>
      <c r="AL424" s="2"/>
      <c r="AM424" s="2" t="s">
        <v>52</v>
      </c>
    </row>
    <row r="425" spans="1:39" x14ac:dyDescent="0.45">
      <c r="A425" s="2" t="s">
        <v>4245</v>
      </c>
      <c r="B425" s="2"/>
      <c r="C425" s="2" t="s">
        <v>4247</v>
      </c>
      <c r="D425" s="2" t="s">
        <v>4249</v>
      </c>
      <c r="E425" s="25"/>
      <c r="F425" s="21"/>
      <c r="G425" s="42" t="s">
        <v>28000</v>
      </c>
      <c r="H425" s="2" t="s">
        <v>50</v>
      </c>
      <c r="I425" s="2" t="s">
        <v>4254</v>
      </c>
      <c r="J425" s="2" t="s">
        <v>4246</v>
      </c>
      <c r="K425" s="2" t="s">
        <v>4248</v>
      </c>
      <c r="L425" s="2" t="s">
        <v>4250</v>
      </c>
      <c r="M425" s="2" t="s">
        <v>4250</v>
      </c>
      <c r="N425" s="2" t="s">
        <v>59</v>
      </c>
      <c r="O425" s="2" t="s">
        <v>60</v>
      </c>
      <c r="P425" s="2" t="s">
        <v>4251</v>
      </c>
      <c r="Q425" s="2" t="s">
        <v>4252</v>
      </c>
      <c r="R425" s="2"/>
      <c r="S425" s="2"/>
      <c r="T425" s="2"/>
      <c r="U425" s="2" t="s">
        <v>59</v>
      </c>
      <c r="V425" s="2" t="s">
        <v>60</v>
      </c>
      <c r="W425" s="2" t="s">
        <v>4251</v>
      </c>
      <c r="X425" s="2" t="s">
        <v>4253</v>
      </c>
      <c r="Y425" s="2" t="s">
        <v>44</v>
      </c>
      <c r="Z425" s="2"/>
      <c r="AA425" s="2" t="s">
        <v>821</v>
      </c>
      <c r="AB425" s="2" t="s">
        <v>46</v>
      </c>
      <c r="AC425" s="2" t="s">
        <v>821</v>
      </c>
      <c r="AE425" s="2" t="s">
        <v>48</v>
      </c>
      <c r="AF425" s="2" t="s">
        <v>49</v>
      </c>
      <c r="AG425" s="2">
        <v>100</v>
      </c>
      <c r="AH425" s="2">
        <v>87</v>
      </c>
      <c r="AJ425" s="2" t="s">
        <v>4255</v>
      </c>
      <c r="AK425" s="2"/>
      <c r="AL425" s="2"/>
      <c r="AM425" s="2" t="s">
        <v>52</v>
      </c>
    </row>
    <row r="426" spans="1:39" x14ac:dyDescent="0.45">
      <c r="A426" s="2" t="s">
        <v>4256</v>
      </c>
      <c r="B426" s="2"/>
      <c r="C426" s="2" t="s">
        <v>4258</v>
      </c>
      <c r="D426" s="2" t="s">
        <v>4260</v>
      </c>
      <c r="E426" s="25"/>
      <c r="F426" s="21"/>
      <c r="G426" s="42" t="s">
        <v>28000</v>
      </c>
      <c r="H426" s="2" t="s">
        <v>50</v>
      </c>
      <c r="I426" s="2" t="s">
        <v>4264</v>
      </c>
      <c r="J426" s="2" t="s">
        <v>4257</v>
      </c>
      <c r="K426" s="2" t="s">
        <v>4259</v>
      </c>
      <c r="L426" s="2" t="s">
        <v>4261</v>
      </c>
      <c r="M426" s="2" t="s">
        <v>4261</v>
      </c>
      <c r="N426" s="2" t="s">
        <v>59</v>
      </c>
      <c r="O426" s="2" t="s">
        <v>60</v>
      </c>
      <c r="P426" s="2" t="s">
        <v>1589</v>
      </c>
      <c r="Q426" s="2" t="s">
        <v>4262</v>
      </c>
      <c r="R426" s="2"/>
      <c r="S426" s="2"/>
      <c r="T426" s="2"/>
      <c r="U426" s="2" t="s">
        <v>59</v>
      </c>
      <c r="V426" s="2" t="s">
        <v>60</v>
      </c>
      <c r="W426" s="2" t="s">
        <v>1589</v>
      </c>
      <c r="X426" s="2" t="s">
        <v>4263</v>
      </c>
      <c r="Y426" s="2" t="s">
        <v>44</v>
      </c>
      <c r="Z426" s="2"/>
      <c r="AA426" s="2" t="s">
        <v>821</v>
      </c>
      <c r="AB426" s="2" t="s">
        <v>46</v>
      </c>
      <c r="AC426" s="2" t="s">
        <v>821</v>
      </c>
      <c r="AE426" s="2" t="s">
        <v>48</v>
      </c>
      <c r="AF426" s="2" t="s">
        <v>49</v>
      </c>
      <c r="AG426" s="2">
        <v>100</v>
      </c>
      <c r="AH426" s="2">
        <v>87</v>
      </c>
      <c r="AJ426" s="2" t="s">
        <v>4265</v>
      </c>
      <c r="AK426" s="2"/>
      <c r="AL426" s="2"/>
      <c r="AM426" s="2" t="s">
        <v>52</v>
      </c>
    </row>
    <row r="427" spans="1:39" x14ac:dyDescent="0.45">
      <c r="A427" s="2" t="s">
        <v>4266</v>
      </c>
      <c r="B427" s="2"/>
      <c r="C427" s="2" t="s">
        <v>4268</v>
      </c>
      <c r="D427" s="2" t="s">
        <v>4270</v>
      </c>
      <c r="E427" s="25"/>
      <c r="F427" s="21"/>
      <c r="G427" s="42" t="s">
        <v>28000</v>
      </c>
      <c r="H427" s="2" t="s">
        <v>50</v>
      </c>
      <c r="I427" s="2" t="s">
        <v>4274</v>
      </c>
      <c r="J427" s="2" t="s">
        <v>4267</v>
      </c>
      <c r="K427" s="2" t="s">
        <v>4269</v>
      </c>
      <c r="L427" s="2" t="s">
        <v>4271</v>
      </c>
      <c r="M427" s="2" t="s">
        <v>4271</v>
      </c>
      <c r="N427" s="2" t="s">
        <v>216</v>
      </c>
      <c r="O427" s="2" t="s">
        <v>217</v>
      </c>
      <c r="P427" s="2" t="s">
        <v>2410</v>
      </c>
      <c r="Q427" s="2" t="s">
        <v>4272</v>
      </c>
      <c r="R427" s="2"/>
      <c r="S427" s="2"/>
      <c r="T427" s="2"/>
      <c r="U427" s="2" t="s">
        <v>216</v>
      </c>
      <c r="V427" s="2" t="s">
        <v>217</v>
      </c>
      <c r="W427" s="2" t="s">
        <v>2410</v>
      </c>
      <c r="X427" s="2" t="s">
        <v>4273</v>
      </c>
      <c r="Y427" s="2" t="s">
        <v>44</v>
      </c>
      <c r="Z427" s="2"/>
      <c r="AA427" s="2" t="s">
        <v>821</v>
      </c>
      <c r="AB427" s="2" t="s">
        <v>46</v>
      </c>
      <c r="AC427" s="2" t="s">
        <v>821</v>
      </c>
      <c r="AE427" s="2" t="s">
        <v>48</v>
      </c>
      <c r="AF427" s="2" t="s">
        <v>49</v>
      </c>
      <c r="AG427" s="2">
        <v>100</v>
      </c>
      <c r="AH427" s="2">
        <v>87</v>
      </c>
      <c r="AJ427" s="2" t="s">
        <v>4275</v>
      </c>
      <c r="AK427" s="2"/>
      <c r="AL427" s="2"/>
      <c r="AM427" s="2" t="s">
        <v>52</v>
      </c>
    </row>
    <row r="428" spans="1:39" x14ac:dyDescent="0.45">
      <c r="A428" s="2" t="s">
        <v>4276</v>
      </c>
      <c r="B428" s="2"/>
      <c r="C428" s="2" t="s">
        <v>4278</v>
      </c>
      <c r="D428" s="2" t="s">
        <v>4280</v>
      </c>
      <c r="E428" s="25"/>
      <c r="F428" s="21"/>
      <c r="G428" s="42" t="s">
        <v>28000</v>
      </c>
      <c r="H428" s="2" t="s">
        <v>50</v>
      </c>
      <c r="I428" s="2" t="s">
        <v>4284</v>
      </c>
      <c r="J428" s="2" t="s">
        <v>4277</v>
      </c>
      <c r="K428" s="2" t="s">
        <v>4279</v>
      </c>
      <c r="L428" s="2" t="s">
        <v>4281</v>
      </c>
      <c r="M428" s="2" t="s">
        <v>4281</v>
      </c>
      <c r="N428" s="2" t="s">
        <v>72</v>
      </c>
      <c r="O428" s="2" t="s">
        <v>73</v>
      </c>
      <c r="P428" s="2" t="s">
        <v>464</v>
      </c>
      <c r="Q428" s="2" t="s">
        <v>4282</v>
      </c>
      <c r="R428" s="2"/>
      <c r="S428" s="2"/>
      <c r="T428" s="2"/>
      <c r="U428" s="2" t="s">
        <v>72</v>
      </c>
      <c r="V428" s="2" t="s">
        <v>73</v>
      </c>
      <c r="W428" s="2" t="s">
        <v>464</v>
      </c>
      <c r="X428" s="2" t="s">
        <v>4283</v>
      </c>
      <c r="Y428" s="2" t="s">
        <v>44</v>
      </c>
      <c r="Z428" s="2"/>
      <c r="AA428" s="2" t="s">
        <v>821</v>
      </c>
      <c r="AB428" s="2" t="s">
        <v>199</v>
      </c>
      <c r="AC428" s="2" t="s">
        <v>821</v>
      </c>
      <c r="AE428" s="2" t="s">
        <v>48</v>
      </c>
      <c r="AF428" s="2" t="s">
        <v>49</v>
      </c>
      <c r="AG428" s="2">
        <v>100</v>
      </c>
      <c r="AH428" s="2">
        <v>87</v>
      </c>
      <c r="AJ428" s="2" t="s">
        <v>4285</v>
      </c>
      <c r="AK428" s="2"/>
      <c r="AL428" s="2"/>
      <c r="AM428" s="2" t="s">
        <v>52</v>
      </c>
    </row>
    <row r="429" spans="1:39" x14ac:dyDescent="0.45">
      <c r="A429" s="2" t="s">
        <v>4286</v>
      </c>
      <c r="B429" s="2"/>
      <c r="C429" s="2" t="s">
        <v>4288</v>
      </c>
      <c r="D429" s="2" t="s">
        <v>4290</v>
      </c>
      <c r="E429" s="25"/>
      <c r="F429" s="21"/>
      <c r="G429" s="42" t="s">
        <v>28000</v>
      </c>
      <c r="H429" s="2" t="s">
        <v>50</v>
      </c>
      <c r="I429" s="2" t="s">
        <v>4294</v>
      </c>
      <c r="J429" s="2" t="s">
        <v>4287</v>
      </c>
      <c r="K429" s="2" t="s">
        <v>4289</v>
      </c>
      <c r="L429" s="2" t="s">
        <v>4291</v>
      </c>
      <c r="M429" s="2" t="s">
        <v>4291</v>
      </c>
      <c r="N429" s="2" t="s">
        <v>216</v>
      </c>
      <c r="O429" s="2" t="s">
        <v>217</v>
      </c>
      <c r="P429" s="2" t="s">
        <v>4292</v>
      </c>
      <c r="Q429" s="2" t="s">
        <v>4289</v>
      </c>
      <c r="R429" s="2"/>
      <c r="S429" s="2"/>
      <c r="T429" s="2"/>
      <c r="U429" s="2" t="s">
        <v>216</v>
      </c>
      <c r="V429" s="2" t="s">
        <v>217</v>
      </c>
      <c r="W429" s="2" t="s">
        <v>4292</v>
      </c>
      <c r="X429" s="2" t="s">
        <v>4293</v>
      </c>
      <c r="Y429" s="2" t="s">
        <v>44</v>
      </c>
      <c r="Z429" s="2"/>
      <c r="AA429" s="2" t="s">
        <v>821</v>
      </c>
      <c r="AB429" s="2" t="s">
        <v>46</v>
      </c>
      <c r="AC429" s="2" t="s">
        <v>821</v>
      </c>
      <c r="AE429" s="2" t="s">
        <v>48</v>
      </c>
      <c r="AF429" s="2" t="s">
        <v>49</v>
      </c>
      <c r="AG429" s="2">
        <v>100</v>
      </c>
      <c r="AH429" s="2">
        <v>87</v>
      </c>
      <c r="AJ429" s="2" t="s">
        <v>4295</v>
      </c>
      <c r="AK429" s="2"/>
      <c r="AL429" s="2"/>
      <c r="AM429" s="2" t="s">
        <v>52</v>
      </c>
    </row>
    <row r="430" spans="1:39" x14ac:dyDescent="0.45">
      <c r="A430" s="2" t="s">
        <v>4296</v>
      </c>
      <c r="B430" s="2"/>
      <c r="C430" s="2" t="s">
        <v>4298</v>
      </c>
      <c r="D430" s="2" t="s">
        <v>4300</v>
      </c>
      <c r="E430" s="25"/>
      <c r="F430" s="21"/>
      <c r="G430" s="42" t="s">
        <v>28000</v>
      </c>
      <c r="H430" s="2" t="s">
        <v>50</v>
      </c>
      <c r="I430" s="2" t="s">
        <v>4303</v>
      </c>
      <c r="J430" s="2" t="s">
        <v>4297</v>
      </c>
      <c r="K430" s="2" t="s">
        <v>4299</v>
      </c>
      <c r="L430" s="2" t="s">
        <v>4301</v>
      </c>
      <c r="M430" s="2" t="s">
        <v>4301</v>
      </c>
      <c r="N430" s="2" t="s">
        <v>59</v>
      </c>
      <c r="O430" s="2" t="s">
        <v>60</v>
      </c>
      <c r="P430" s="2" t="s">
        <v>3981</v>
      </c>
      <c r="Q430" s="2" t="s">
        <v>4299</v>
      </c>
      <c r="R430" s="2"/>
      <c r="S430" s="2"/>
      <c r="T430" s="2"/>
      <c r="U430" s="2" t="s">
        <v>59</v>
      </c>
      <c r="V430" s="2" t="s">
        <v>60</v>
      </c>
      <c r="W430" s="2" t="s">
        <v>3981</v>
      </c>
      <c r="X430" s="2" t="s">
        <v>4302</v>
      </c>
      <c r="Y430" s="2" t="s">
        <v>44</v>
      </c>
      <c r="Z430" s="2"/>
      <c r="AA430" s="2" t="s">
        <v>821</v>
      </c>
      <c r="AB430" s="2" t="s">
        <v>46</v>
      </c>
      <c r="AC430" s="2" t="s">
        <v>821</v>
      </c>
      <c r="AE430" s="2" t="s">
        <v>48</v>
      </c>
      <c r="AF430" s="2" t="s">
        <v>49</v>
      </c>
      <c r="AG430" s="2">
        <v>100</v>
      </c>
      <c r="AH430" s="2">
        <v>87</v>
      </c>
      <c r="AJ430" s="2" t="s">
        <v>4304</v>
      </c>
      <c r="AK430" s="2"/>
      <c r="AL430" s="2"/>
      <c r="AM430" s="2" t="s">
        <v>52</v>
      </c>
    </row>
    <row r="431" spans="1:39" x14ac:dyDescent="0.45">
      <c r="A431" s="2" t="s">
        <v>4305</v>
      </c>
      <c r="B431" s="2"/>
      <c r="C431" s="2" t="s">
        <v>4307</v>
      </c>
      <c r="D431" s="2" t="s">
        <v>4309</v>
      </c>
      <c r="E431" s="25"/>
      <c r="F431" s="21"/>
      <c r="G431" s="42" t="s">
        <v>28000</v>
      </c>
      <c r="H431" s="2" t="s">
        <v>50</v>
      </c>
      <c r="I431" s="2" t="s">
        <v>4311</v>
      </c>
      <c r="J431" s="2" t="s">
        <v>4306</v>
      </c>
      <c r="K431" s="2" t="s">
        <v>4308</v>
      </c>
      <c r="L431" s="2" t="s">
        <v>4310</v>
      </c>
      <c r="M431" s="2" t="s">
        <v>4310</v>
      </c>
      <c r="N431" s="2" t="s">
        <v>72</v>
      </c>
      <c r="O431" s="2" t="s">
        <v>73</v>
      </c>
      <c r="P431" s="2" t="s">
        <v>187</v>
      </c>
      <c r="Q431" s="2" t="s">
        <v>4308</v>
      </c>
      <c r="R431" s="2"/>
      <c r="S431" s="2"/>
      <c r="T431" s="2"/>
      <c r="U431" s="2" t="s">
        <v>72</v>
      </c>
      <c r="V431" s="2" t="s">
        <v>73</v>
      </c>
      <c r="W431" s="2" t="s">
        <v>187</v>
      </c>
      <c r="X431" s="2" t="s">
        <v>1014</v>
      </c>
      <c r="Y431" s="2" t="s">
        <v>44</v>
      </c>
      <c r="Z431" s="2"/>
      <c r="AA431" s="2" t="s">
        <v>821</v>
      </c>
      <c r="AB431" s="2" t="s">
        <v>46</v>
      </c>
      <c r="AC431" s="2" t="s">
        <v>821</v>
      </c>
      <c r="AE431" s="2" t="s">
        <v>48</v>
      </c>
      <c r="AF431" s="2" t="s">
        <v>49</v>
      </c>
      <c r="AG431" s="2">
        <v>100</v>
      </c>
      <c r="AH431" s="2">
        <v>87</v>
      </c>
      <c r="AJ431" s="2" t="s">
        <v>4312</v>
      </c>
      <c r="AK431" s="2"/>
      <c r="AL431" s="2"/>
      <c r="AM431" s="2" t="s">
        <v>52</v>
      </c>
    </row>
    <row r="432" spans="1:39" x14ac:dyDescent="0.45">
      <c r="A432" s="2" t="s">
        <v>4313</v>
      </c>
      <c r="B432" s="2"/>
      <c r="C432" s="2" t="s">
        <v>4315</v>
      </c>
      <c r="D432" s="2" t="s">
        <v>4317</v>
      </c>
      <c r="E432" s="25"/>
      <c r="F432" s="21"/>
      <c r="G432" s="42" t="s">
        <v>28000</v>
      </c>
      <c r="H432" s="2" t="s">
        <v>50</v>
      </c>
      <c r="I432" s="2" t="s">
        <v>4321</v>
      </c>
      <c r="J432" s="2" t="s">
        <v>4314</v>
      </c>
      <c r="K432" s="2" t="s">
        <v>4316</v>
      </c>
      <c r="L432" s="2" t="s">
        <v>4318</v>
      </c>
      <c r="M432" s="2" t="s">
        <v>4318</v>
      </c>
      <c r="N432" s="2" t="s">
        <v>72</v>
      </c>
      <c r="O432" s="2" t="s">
        <v>73</v>
      </c>
      <c r="P432" s="2" t="s">
        <v>373</v>
      </c>
      <c r="Q432" s="2" t="s">
        <v>4319</v>
      </c>
      <c r="R432" s="2"/>
      <c r="S432" s="2"/>
      <c r="T432" s="2"/>
      <c r="U432" s="2" t="s">
        <v>72</v>
      </c>
      <c r="V432" s="2" t="s">
        <v>73</v>
      </c>
      <c r="W432" s="2" t="s">
        <v>373</v>
      </c>
      <c r="X432" s="2" t="s">
        <v>4320</v>
      </c>
      <c r="Y432" s="2" t="s">
        <v>44</v>
      </c>
      <c r="Z432" s="2"/>
      <c r="AA432" s="2" t="s">
        <v>821</v>
      </c>
      <c r="AB432" s="2" t="s">
        <v>46</v>
      </c>
      <c r="AC432" s="2" t="s">
        <v>821</v>
      </c>
      <c r="AE432" s="2" t="s">
        <v>48</v>
      </c>
      <c r="AF432" s="2" t="s">
        <v>49</v>
      </c>
      <c r="AG432" s="2">
        <v>100</v>
      </c>
      <c r="AH432" s="2">
        <v>87</v>
      </c>
      <c r="AJ432" s="2" t="s">
        <v>4322</v>
      </c>
      <c r="AK432" s="2"/>
      <c r="AL432" s="2"/>
      <c r="AM432" s="2" t="s">
        <v>52</v>
      </c>
    </row>
    <row r="433" spans="1:39" x14ac:dyDescent="0.45">
      <c r="A433" s="2" t="s">
        <v>4323</v>
      </c>
      <c r="B433" s="2"/>
      <c r="C433" s="2" t="s">
        <v>4325</v>
      </c>
      <c r="D433" s="2" t="s">
        <v>4327</v>
      </c>
      <c r="E433" s="25"/>
      <c r="F433" s="21"/>
      <c r="G433" s="42" t="s">
        <v>28000</v>
      </c>
      <c r="H433" s="2" t="s">
        <v>50</v>
      </c>
      <c r="I433" s="2" t="s">
        <v>4330</v>
      </c>
      <c r="J433" s="2" t="s">
        <v>4324</v>
      </c>
      <c r="K433" s="2" t="s">
        <v>4326</v>
      </c>
      <c r="L433" s="2" t="s">
        <v>4328</v>
      </c>
      <c r="M433" s="2" t="s">
        <v>4328</v>
      </c>
      <c r="N433" s="2" t="s">
        <v>384</v>
      </c>
      <c r="O433" s="2" t="s">
        <v>73</v>
      </c>
      <c r="P433" s="2" t="s">
        <v>3797</v>
      </c>
      <c r="Q433" s="2" t="s">
        <v>4326</v>
      </c>
      <c r="R433" s="2"/>
      <c r="S433" s="2"/>
      <c r="T433" s="2"/>
      <c r="U433" s="2" t="s">
        <v>384</v>
      </c>
      <c r="V433" s="2" t="s">
        <v>73</v>
      </c>
      <c r="W433" s="2" t="s">
        <v>3797</v>
      </c>
      <c r="X433" s="2" t="s">
        <v>4329</v>
      </c>
      <c r="Y433" s="2" t="s">
        <v>44</v>
      </c>
      <c r="Z433" s="2"/>
      <c r="AA433" s="2" t="s">
        <v>821</v>
      </c>
      <c r="AB433" s="2" t="s">
        <v>46</v>
      </c>
      <c r="AC433" s="2" t="s">
        <v>821</v>
      </c>
      <c r="AE433" s="2" t="s">
        <v>48</v>
      </c>
      <c r="AF433" s="2" t="s">
        <v>49</v>
      </c>
      <c r="AG433" s="2">
        <v>100</v>
      </c>
      <c r="AH433" s="2">
        <v>87</v>
      </c>
      <c r="AJ433" s="2" t="s">
        <v>4331</v>
      </c>
      <c r="AK433" s="2"/>
      <c r="AL433" s="2"/>
      <c r="AM433" s="2" t="s">
        <v>52</v>
      </c>
    </row>
    <row r="434" spans="1:39" x14ac:dyDescent="0.45">
      <c r="A434" s="2" t="s">
        <v>4332</v>
      </c>
      <c r="B434" s="2"/>
      <c r="C434" s="2" t="s">
        <v>4334</v>
      </c>
      <c r="D434" s="2" t="s">
        <v>4336</v>
      </c>
      <c r="E434" s="25"/>
      <c r="F434" s="21"/>
      <c r="G434" s="42" t="s">
        <v>28000</v>
      </c>
      <c r="H434" s="2" t="s">
        <v>50</v>
      </c>
      <c r="I434" s="2" t="s">
        <v>4341</v>
      </c>
      <c r="J434" s="2" t="s">
        <v>4333</v>
      </c>
      <c r="K434" s="2" t="s">
        <v>4335</v>
      </c>
      <c r="L434" s="2" t="s">
        <v>4337</v>
      </c>
      <c r="M434" s="2" t="s">
        <v>4337</v>
      </c>
      <c r="N434" s="2" t="s">
        <v>59</v>
      </c>
      <c r="O434" s="2" t="s">
        <v>60</v>
      </c>
      <c r="P434" s="2" t="s">
        <v>4338</v>
      </c>
      <c r="Q434" s="2" t="s">
        <v>4339</v>
      </c>
      <c r="R434" s="2"/>
      <c r="S434" s="2"/>
      <c r="T434" s="2"/>
      <c r="U434" s="2" t="s">
        <v>59</v>
      </c>
      <c r="V434" s="2" t="s">
        <v>60</v>
      </c>
      <c r="W434" s="2" t="s">
        <v>4338</v>
      </c>
      <c r="X434" s="2" t="s">
        <v>4340</v>
      </c>
      <c r="Y434" s="2" t="s">
        <v>44</v>
      </c>
      <c r="Z434" s="2"/>
      <c r="AA434" s="2" t="s">
        <v>821</v>
      </c>
      <c r="AB434" s="2" t="s">
        <v>46</v>
      </c>
      <c r="AC434" s="2" t="s">
        <v>821</v>
      </c>
      <c r="AE434" s="2" t="s">
        <v>48</v>
      </c>
      <c r="AF434" s="2" t="s">
        <v>49</v>
      </c>
      <c r="AG434" s="2">
        <v>100</v>
      </c>
      <c r="AH434" s="2">
        <v>87</v>
      </c>
      <c r="AJ434" s="2" t="s">
        <v>4342</v>
      </c>
      <c r="AK434" s="2"/>
      <c r="AL434" s="2"/>
      <c r="AM434" s="2" t="s">
        <v>52</v>
      </c>
    </row>
    <row r="435" spans="1:39" x14ac:dyDescent="0.45">
      <c r="A435" s="2" t="s">
        <v>4343</v>
      </c>
      <c r="B435" s="2"/>
      <c r="C435" s="2" t="s">
        <v>4345</v>
      </c>
      <c r="D435" s="2" t="s">
        <v>4347</v>
      </c>
      <c r="E435" s="25"/>
      <c r="F435" s="21"/>
      <c r="G435" s="42" t="s">
        <v>28000</v>
      </c>
      <c r="H435" s="2" t="s">
        <v>50</v>
      </c>
      <c r="I435" s="2" t="s">
        <v>4350</v>
      </c>
      <c r="J435" s="2" t="s">
        <v>4344</v>
      </c>
      <c r="K435" s="2" t="s">
        <v>4346</v>
      </c>
      <c r="L435" s="2" t="s">
        <v>4348</v>
      </c>
      <c r="M435" s="2" t="s">
        <v>4348</v>
      </c>
      <c r="N435" s="2" t="s">
        <v>72</v>
      </c>
      <c r="O435" s="2" t="s">
        <v>73</v>
      </c>
      <c r="P435" s="2" t="s">
        <v>484</v>
      </c>
      <c r="Q435" s="2" t="s">
        <v>4346</v>
      </c>
      <c r="R435" s="2"/>
      <c r="S435" s="2"/>
      <c r="T435" s="2"/>
      <c r="U435" s="2" t="s">
        <v>72</v>
      </c>
      <c r="V435" s="2" t="s">
        <v>73</v>
      </c>
      <c r="W435" s="2" t="s">
        <v>484</v>
      </c>
      <c r="X435" s="2" t="s">
        <v>4349</v>
      </c>
      <c r="Y435" s="2" t="s">
        <v>44</v>
      </c>
      <c r="Z435" s="2"/>
      <c r="AA435" s="2" t="s">
        <v>821</v>
      </c>
      <c r="AB435" s="2" t="s">
        <v>46</v>
      </c>
      <c r="AC435" s="2" t="s">
        <v>821</v>
      </c>
      <c r="AE435" s="2" t="s">
        <v>48</v>
      </c>
      <c r="AF435" s="2" t="s">
        <v>49</v>
      </c>
      <c r="AG435" s="2">
        <v>100</v>
      </c>
      <c r="AH435" s="2">
        <v>87</v>
      </c>
      <c r="AJ435" s="2" t="s">
        <v>4351</v>
      </c>
      <c r="AK435" s="2"/>
      <c r="AL435" s="2"/>
      <c r="AM435" s="2" t="s">
        <v>52</v>
      </c>
    </row>
    <row r="436" spans="1:39" x14ac:dyDescent="0.45">
      <c r="A436" s="2" t="s">
        <v>4352</v>
      </c>
      <c r="B436" s="2"/>
      <c r="C436" s="2" t="s">
        <v>4354</v>
      </c>
      <c r="D436" s="2" t="s">
        <v>4356</v>
      </c>
      <c r="E436" s="25"/>
      <c r="F436" s="21"/>
      <c r="G436" s="42" t="s">
        <v>28000</v>
      </c>
      <c r="H436" s="2" t="s">
        <v>50</v>
      </c>
      <c r="I436" s="2" t="s">
        <v>4360</v>
      </c>
      <c r="J436" s="2" t="s">
        <v>4353</v>
      </c>
      <c r="K436" s="2" t="s">
        <v>4355</v>
      </c>
      <c r="L436" s="2" t="s">
        <v>4357</v>
      </c>
      <c r="M436" s="2" t="s">
        <v>4357</v>
      </c>
      <c r="N436" s="2" t="s">
        <v>72</v>
      </c>
      <c r="O436" s="2" t="s">
        <v>73</v>
      </c>
      <c r="P436" s="2" t="s">
        <v>464</v>
      </c>
      <c r="Q436" s="2" t="s">
        <v>4358</v>
      </c>
      <c r="R436" s="2"/>
      <c r="S436" s="2"/>
      <c r="T436" s="2"/>
      <c r="U436" s="2" t="s">
        <v>72</v>
      </c>
      <c r="V436" s="2" t="s">
        <v>73</v>
      </c>
      <c r="W436" s="2" t="s">
        <v>464</v>
      </c>
      <c r="X436" s="2" t="s">
        <v>4359</v>
      </c>
      <c r="Y436" s="2" t="s">
        <v>44</v>
      </c>
      <c r="Z436" s="2"/>
      <c r="AA436" s="2" t="s">
        <v>821</v>
      </c>
      <c r="AB436" s="2" t="s">
        <v>46</v>
      </c>
      <c r="AC436" s="2" t="s">
        <v>821</v>
      </c>
      <c r="AE436" s="2" t="s">
        <v>48</v>
      </c>
      <c r="AF436" s="2" t="s">
        <v>49</v>
      </c>
      <c r="AG436" s="2">
        <v>100</v>
      </c>
      <c r="AH436" s="2">
        <v>87</v>
      </c>
      <c r="AJ436" s="2" t="s">
        <v>4361</v>
      </c>
      <c r="AK436" s="2"/>
      <c r="AL436" s="2"/>
      <c r="AM436" s="2" t="s">
        <v>52</v>
      </c>
    </row>
    <row r="437" spans="1:39" x14ac:dyDescent="0.45">
      <c r="A437" s="2" t="s">
        <v>4362</v>
      </c>
      <c r="B437" s="2"/>
      <c r="C437" s="2" t="s">
        <v>4364</v>
      </c>
      <c r="D437" s="2" t="s">
        <v>4366</v>
      </c>
      <c r="E437" s="25"/>
      <c r="F437" s="21"/>
      <c r="G437" s="42" t="s">
        <v>28000</v>
      </c>
      <c r="H437" s="2" t="s">
        <v>50</v>
      </c>
      <c r="I437" s="2" t="s">
        <v>4370</v>
      </c>
      <c r="J437" s="2" t="s">
        <v>4363</v>
      </c>
      <c r="K437" s="2" t="s">
        <v>4365</v>
      </c>
      <c r="L437" s="2" t="s">
        <v>4367</v>
      </c>
      <c r="M437" s="2" t="s">
        <v>4367</v>
      </c>
      <c r="N437" s="2" t="s">
        <v>85</v>
      </c>
      <c r="O437" s="2" t="s">
        <v>86</v>
      </c>
      <c r="P437" s="2" t="s">
        <v>3918</v>
      </c>
      <c r="Q437" s="2" t="s">
        <v>4368</v>
      </c>
      <c r="R437" s="2"/>
      <c r="S437" s="2"/>
      <c r="T437" s="2"/>
      <c r="U437" s="2" t="s">
        <v>85</v>
      </c>
      <c r="V437" s="2" t="s">
        <v>86</v>
      </c>
      <c r="W437" s="2" t="s">
        <v>87</v>
      </c>
      <c r="X437" s="2" t="s">
        <v>4369</v>
      </c>
      <c r="Y437" s="2" t="s">
        <v>44</v>
      </c>
      <c r="Z437" s="2"/>
      <c r="AA437" s="2" t="s">
        <v>821</v>
      </c>
      <c r="AB437" s="2" t="s">
        <v>46</v>
      </c>
      <c r="AC437" s="2" t="s">
        <v>821</v>
      </c>
      <c r="AE437" s="2" t="s">
        <v>48</v>
      </c>
      <c r="AF437" s="2" t="s">
        <v>49</v>
      </c>
      <c r="AG437" s="2">
        <v>100</v>
      </c>
      <c r="AH437" s="2">
        <v>87</v>
      </c>
      <c r="AJ437" s="2" t="s">
        <v>4371</v>
      </c>
      <c r="AK437" s="2"/>
      <c r="AL437" s="2"/>
      <c r="AM437" s="2" t="s">
        <v>52</v>
      </c>
    </row>
    <row r="438" spans="1:39" x14ac:dyDescent="0.45">
      <c r="A438" s="2" t="s">
        <v>4372</v>
      </c>
      <c r="B438" s="2"/>
      <c r="C438" s="2" t="s">
        <v>4374</v>
      </c>
      <c r="D438" s="2" t="s">
        <v>4376</v>
      </c>
      <c r="E438" s="25"/>
      <c r="F438" s="21"/>
      <c r="G438" s="42" t="s">
        <v>28000</v>
      </c>
      <c r="H438" s="2" t="s">
        <v>50</v>
      </c>
      <c r="I438" s="2" t="s">
        <v>4379</v>
      </c>
      <c r="J438" s="2" t="s">
        <v>4373</v>
      </c>
      <c r="K438" s="2" t="s">
        <v>4375</v>
      </c>
      <c r="L438" s="2" t="s">
        <v>4377</v>
      </c>
      <c r="M438" s="2" t="s">
        <v>4377</v>
      </c>
      <c r="N438" s="2" t="s">
        <v>384</v>
      </c>
      <c r="O438" s="2" t="s">
        <v>73</v>
      </c>
      <c r="P438" s="2" t="s">
        <v>1837</v>
      </c>
      <c r="Q438" s="2" t="s">
        <v>4375</v>
      </c>
      <c r="R438" s="2"/>
      <c r="S438" s="2"/>
      <c r="T438" s="2"/>
      <c r="U438" s="2" t="s">
        <v>384</v>
      </c>
      <c r="V438" s="2" t="s">
        <v>73</v>
      </c>
      <c r="W438" s="2" t="s">
        <v>1837</v>
      </c>
      <c r="X438" s="2" t="s">
        <v>4378</v>
      </c>
      <c r="Y438" s="2" t="s">
        <v>44</v>
      </c>
      <c r="Z438" s="2"/>
      <c r="AA438" s="2" t="s">
        <v>821</v>
      </c>
      <c r="AB438" s="2" t="s">
        <v>46</v>
      </c>
      <c r="AC438" s="2" t="s">
        <v>821</v>
      </c>
      <c r="AE438" s="2" t="s">
        <v>48</v>
      </c>
      <c r="AF438" s="2" t="s">
        <v>49</v>
      </c>
      <c r="AG438" s="2">
        <v>100</v>
      </c>
      <c r="AH438" s="2">
        <v>87</v>
      </c>
      <c r="AJ438" s="2" t="s">
        <v>4380</v>
      </c>
      <c r="AK438" s="2"/>
      <c r="AL438" s="2"/>
      <c r="AM438" s="2" t="s">
        <v>52</v>
      </c>
    </row>
    <row r="439" spans="1:39" x14ac:dyDescent="0.45">
      <c r="A439" s="2" t="s">
        <v>4381</v>
      </c>
      <c r="B439" s="2"/>
      <c r="C439" s="2" t="s">
        <v>4383</v>
      </c>
      <c r="D439" s="2" t="s">
        <v>4385</v>
      </c>
      <c r="E439" s="25"/>
      <c r="F439" s="21"/>
      <c r="G439" s="42" t="s">
        <v>28000</v>
      </c>
      <c r="H439" s="2" t="s">
        <v>50</v>
      </c>
      <c r="I439" s="2" t="s">
        <v>4389</v>
      </c>
      <c r="J439" s="2" t="s">
        <v>4382</v>
      </c>
      <c r="K439" s="2" t="s">
        <v>4384</v>
      </c>
      <c r="L439" s="2" t="s">
        <v>4386</v>
      </c>
      <c r="M439" s="2" t="s">
        <v>4386</v>
      </c>
      <c r="N439" s="2" t="s">
        <v>72</v>
      </c>
      <c r="O439" s="2" t="s">
        <v>73</v>
      </c>
      <c r="P439" s="2" t="s">
        <v>1568</v>
      </c>
      <c r="Q439" s="2" t="s">
        <v>4387</v>
      </c>
      <c r="R439" s="2"/>
      <c r="S439" s="2"/>
      <c r="T439" s="2"/>
      <c r="U439" s="2" t="s">
        <v>72</v>
      </c>
      <c r="V439" s="2" t="s">
        <v>73</v>
      </c>
      <c r="W439" s="2" t="s">
        <v>1568</v>
      </c>
      <c r="X439" s="2" t="s">
        <v>4388</v>
      </c>
      <c r="Y439" s="2" t="s">
        <v>44</v>
      </c>
      <c r="Z439" s="2"/>
      <c r="AA439" s="2" t="s">
        <v>821</v>
      </c>
      <c r="AB439" s="2" t="s">
        <v>46</v>
      </c>
      <c r="AC439" s="2" t="s">
        <v>821</v>
      </c>
      <c r="AE439" s="2" t="s">
        <v>48</v>
      </c>
      <c r="AF439" s="2" t="s">
        <v>49</v>
      </c>
      <c r="AG439" s="2">
        <v>100</v>
      </c>
      <c r="AH439" s="2">
        <v>87</v>
      </c>
      <c r="AJ439" s="2" t="s">
        <v>4390</v>
      </c>
      <c r="AK439" s="2"/>
      <c r="AL439" s="2"/>
      <c r="AM439" s="2" t="s">
        <v>52</v>
      </c>
    </row>
    <row r="440" spans="1:39" x14ac:dyDescent="0.45">
      <c r="A440" s="2" t="s">
        <v>4391</v>
      </c>
      <c r="B440" s="2"/>
      <c r="C440" s="2" t="s">
        <v>4393</v>
      </c>
      <c r="D440" s="2" t="s">
        <v>4395</v>
      </c>
      <c r="E440" s="25"/>
      <c r="F440" s="21"/>
      <c r="G440" s="42" t="s">
        <v>28000</v>
      </c>
      <c r="H440" s="2" t="s">
        <v>50</v>
      </c>
      <c r="I440" s="2" t="s">
        <v>4398</v>
      </c>
      <c r="J440" s="2" t="s">
        <v>4392</v>
      </c>
      <c r="K440" s="2" t="s">
        <v>4394</v>
      </c>
      <c r="L440" s="2" t="s">
        <v>4396</v>
      </c>
      <c r="M440" s="2" t="s">
        <v>4396</v>
      </c>
      <c r="N440" s="2" t="s">
        <v>72</v>
      </c>
      <c r="O440" s="2" t="s">
        <v>73</v>
      </c>
      <c r="P440" s="2" t="s">
        <v>3419</v>
      </c>
      <c r="Q440" s="2"/>
      <c r="R440" s="2"/>
      <c r="S440" s="2"/>
      <c r="T440" s="2"/>
      <c r="U440" s="2"/>
      <c r="V440" s="2"/>
      <c r="W440" s="2"/>
      <c r="X440" s="2" t="s">
        <v>4397</v>
      </c>
      <c r="Y440" s="2" t="s">
        <v>44</v>
      </c>
      <c r="Z440" s="2"/>
      <c r="AA440" s="2" t="s">
        <v>821</v>
      </c>
      <c r="AB440" s="2" t="s">
        <v>46</v>
      </c>
      <c r="AC440" s="2" t="s">
        <v>821</v>
      </c>
      <c r="AE440" s="2" t="s">
        <v>48</v>
      </c>
      <c r="AF440" s="2" t="s">
        <v>49</v>
      </c>
      <c r="AG440" s="2">
        <v>100</v>
      </c>
      <c r="AH440" s="2">
        <v>87</v>
      </c>
      <c r="AJ440" s="2" t="s">
        <v>4399</v>
      </c>
      <c r="AK440" s="2"/>
      <c r="AL440" s="2"/>
      <c r="AM440" s="2" t="s">
        <v>52</v>
      </c>
    </row>
    <row r="441" spans="1:39" x14ac:dyDescent="0.45">
      <c r="A441" s="2" t="s">
        <v>4400</v>
      </c>
      <c r="B441" s="2"/>
      <c r="C441" s="2" t="s">
        <v>4402</v>
      </c>
      <c r="D441" s="2" t="s">
        <v>4404</v>
      </c>
      <c r="E441" s="25"/>
      <c r="F441" s="21"/>
      <c r="G441" s="42" t="s">
        <v>28000</v>
      </c>
      <c r="H441" s="2" t="s">
        <v>50</v>
      </c>
      <c r="I441" s="2" t="s">
        <v>4408</v>
      </c>
      <c r="J441" s="2" t="s">
        <v>4401</v>
      </c>
      <c r="K441" s="2" t="s">
        <v>4403</v>
      </c>
      <c r="L441" s="2" t="s">
        <v>4405</v>
      </c>
      <c r="M441" s="2" t="s">
        <v>4405</v>
      </c>
      <c r="N441" s="2" t="s">
        <v>39</v>
      </c>
      <c r="O441" s="2" t="s">
        <v>40</v>
      </c>
      <c r="P441" s="2" t="s">
        <v>4406</v>
      </c>
      <c r="Q441" s="2" t="s">
        <v>4403</v>
      </c>
      <c r="R441" s="2"/>
      <c r="S441" s="2"/>
      <c r="T441" s="2"/>
      <c r="U441" s="2" t="s">
        <v>39</v>
      </c>
      <c r="V441" s="2" t="s">
        <v>40</v>
      </c>
      <c r="W441" s="2" t="s">
        <v>4406</v>
      </c>
      <c r="X441" s="2" t="s">
        <v>4407</v>
      </c>
      <c r="Y441" s="2" t="s">
        <v>44</v>
      </c>
      <c r="Z441" s="2"/>
      <c r="AA441" s="2" t="s">
        <v>821</v>
      </c>
      <c r="AB441" s="2" t="s">
        <v>46</v>
      </c>
      <c r="AC441" s="2" t="s">
        <v>821</v>
      </c>
      <c r="AE441" s="2" t="s">
        <v>48</v>
      </c>
      <c r="AF441" s="2" t="s">
        <v>49</v>
      </c>
      <c r="AG441" s="2">
        <v>100</v>
      </c>
      <c r="AH441" s="2">
        <v>87</v>
      </c>
      <c r="AJ441" s="2" t="s">
        <v>4409</v>
      </c>
      <c r="AK441" s="2"/>
      <c r="AL441" s="2"/>
      <c r="AM441" s="2" t="s">
        <v>52</v>
      </c>
    </row>
    <row r="442" spans="1:39" x14ac:dyDescent="0.45">
      <c r="A442" s="2" t="s">
        <v>4410</v>
      </c>
      <c r="B442" s="2"/>
      <c r="C442" s="2" t="s">
        <v>4412</v>
      </c>
      <c r="D442" s="2" t="s">
        <v>4414</v>
      </c>
      <c r="E442" s="25"/>
      <c r="F442" s="21"/>
      <c r="G442" s="42" t="s">
        <v>28000</v>
      </c>
      <c r="H442" s="2" t="s">
        <v>50</v>
      </c>
      <c r="I442" s="2" t="s">
        <v>4418</v>
      </c>
      <c r="J442" s="2" t="s">
        <v>4411</v>
      </c>
      <c r="K442" s="2" t="s">
        <v>4413</v>
      </c>
      <c r="L442" s="2" t="s">
        <v>4415</v>
      </c>
      <c r="M442" s="2" t="s">
        <v>4415</v>
      </c>
      <c r="N442" s="2" t="s">
        <v>1023</v>
      </c>
      <c r="O442" s="2" t="s">
        <v>73</v>
      </c>
      <c r="P442" s="2" t="s">
        <v>722</v>
      </c>
      <c r="Q442" s="2" t="s">
        <v>4416</v>
      </c>
      <c r="R442" s="2"/>
      <c r="S442" s="2"/>
      <c r="T442" s="2"/>
      <c r="U442" s="2" t="s">
        <v>72</v>
      </c>
      <c r="V442" s="2" t="s">
        <v>73</v>
      </c>
      <c r="W442" s="2" t="s">
        <v>791</v>
      </c>
      <c r="X442" s="2" t="s">
        <v>4417</v>
      </c>
      <c r="Y442" s="2" t="s">
        <v>44</v>
      </c>
      <c r="Z442" s="2"/>
      <c r="AA442" s="2" t="s">
        <v>821</v>
      </c>
      <c r="AB442" s="2" t="s">
        <v>46</v>
      </c>
      <c r="AC442" s="2" t="s">
        <v>821</v>
      </c>
      <c r="AE442" s="2" t="s">
        <v>48</v>
      </c>
      <c r="AF442" s="2" t="s">
        <v>49</v>
      </c>
      <c r="AG442" s="2">
        <v>100</v>
      </c>
      <c r="AH442" s="2">
        <v>87</v>
      </c>
      <c r="AJ442" s="2" t="s">
        <v>4419</v>
      </c>
      <c r="AK442" s="2"/>
      <c r="AL442" s="2"/>
      <c r="AM442" s="2" t="s">
        <v>52</v>
      </c>
    </row>
    <row r="443" spans="1:39" x14ac:dyDescent="0.45">
      <c r="A443" s="2" t="s">
        <v>4420</v>
      </c>
      <c r="B443" s="2"/>
      <c r="C443" s="2" t="s">
        <v>4422</v>
      </c>
      <c r="D443" s="2" t="s">
        <v>4424</v>
      </c>
      <c r="E443" s="25"/>
      <c r="F443" s="21"/>
      <c r="G443" s="42" t="s">
        <v>28000</v>
      </c>
      <c r="H443" s="2" t="s">
        <v>50</v>
      </c>
      <c r="I443" s="2" t="s">
        <v>4427</v>
      </c>
      <c r="J443" s="2" t="s">
        <v>4421</v>
      </c>
      <c r="K443" s="2" t="s">
        <v>4423</v>
      </c>
      <c r="L443" s="2" t="s">
        <v>4425</v>
      </c>
      <c r="M443" s="2" t="s">
        <v>4425</v>
      </c>
      <c r="N443" s="2" t="s">
        <v>384</v>
      </c>
      <c r="O443" s="2" t="s">
        <v>73</v>
      </c>
      <c r="P443" s="2" t="s">
        <v>953</v>
      </c>
      <c r="Q443" s="2" t="s">
        <v>4426</v>
      </c>
      <c r="R443" s="2"/>
      <c r="S443" s="2"/>
      <c r="T443" s="2"/>
      <c r="U443" s="2" t="s">
        <v>384</v>
      </c>
      <c r="V443" s="2" t="s">
        <v>73</v>
      </c>
      <c r="W443" s="2" t="s">
        <v>953</v>
      </c>
      <c r="X443" s="2" t="s">
        <v>4417</v>
      </c>
      <c r="Y443" s="2" t="s">
        <v>44</v>
      </c>
      <c r="Z443" s="2"/>
      <c r="AA443" s="2" t="s">
        <v>821</v>
      </c>
      <c r="AB443" s="2" t="s">
        <v>46</v>
      </c>
      <c r="AC443" s="2" t="s">
        <v>821</v>
      </c>
      <c r="AE443" s="2" t="s">
        <v>48</v>
      </c>
      <c r="AF443" s="2" t="s">
        <v>49</v>
      </c>
      <c r="AG443" s="2">
        <v>100</v>
      </c>
      <c r="AH443" s="2">
        <v>87</v>
      </c>
      <c r="AJ443" s="2" t="s">
        <v>4428</v>
      </c>
      <c r="AK443" s="2"/>
      <c r="AL443" s="2"/>
      <c r="AM443" s="2" t="s">
        <v>52</v>
      </c>
    </row>
    <row r="444" spans="1:39" x14ac:dyDescent="0.45">
      <c r="A444" s="2" t="s">
        <v>4429</v>
      </c>
      <c r="B444" s="2"/>
      <c r="C444" s="2" t="s">
        <v>4431</v>
      </c>
      <c r="D444" s="2" t="s">
        <v>4433</v>
      </c>
      <c r="E444" s="25"/>
      <c r="F444" s="21"/>
      <c r="G444" s="42" t="s">
        <v>28000</v>
      </c>
      <c r="H444" s="2" t="s">
        <v>50</v>
      </c>
      <c r="I444" s="2" t="s">
        <v>4436</v>
      </c>
      <c r="J444" s="2" t="s">
        <v>4430</v>
      </c>
      <c r="K444" s="2" t="s">
        <v>4432</v>
      </c>
      <c r="L444" s="2" t="s">
        <v>4434</v>
      </c>
      <c r="M444" s="2" t="s">
        <v>4434</v>
      </c>
      <c r="N444" s="2" t="s">
        <v>72</v>
      </c>
      <c r="O444" s="2" t="s">
        <v>73</v>
      </c>
      <c r="P444" s="2" t="s">
        <v>140</v>
      </c>
      <c r="Q444" s="2" t="s">
        <v>4435</v>
      </c>
      <c r="R444" s="2"/>
      <c r="S444" s="2"/>
      <c r="T444" s="2"/>
      <c r="U444" s="2" t="s">
        <v>72</v>
      </c>
      <c r="V444" s="2" t="s">
        <v>73</v>
      </c>
      <c r="W444" s="2" t="s">
        <v>98</v>
      </c>
      <c r="X444" s="2" t="s">
        <v>2052</v>
      </c>
      <c r="Y444" s="2" t="s">
        <v>44</v>
      </c>
      <c r="Z444" s="2"/>
      <c r="AA444" s="2" t="s">
        <v>821</v>
      </c>
      <c r="AB444" s="2" t="s">
        <v>46</v>
      </c>
      <c r="AC444" s="2" t="s">
        <v>821</v>
      </c>
      <c r="AE444" s="2" t="s">
        <v>48</v>
      </c>
      <c r="AF444" s="2" t="s">
        <v>49</v>
      </c>
      <c r="AG444" s="2">
        <v>100</v>
      </c>
      <c r="AH444" s="2">
        <v>87</v>
      </c>
      <c r="AJ444" s="2" t="s">
        <v>4437</v>
      </c>
      <c r="AK444" s="2"/>
      <c r="AL444" s="2"/>
      <c r="AM444" s="2" t="s">
        <v>52</v>
      </c>
    </row>
    <row r="445" spans="1:39" x14ac:dyDescent="0.45">
      <c r="A445" s="2" t="s">
        <v>4438</v>
      </c>
      <c r="B445" s="2"/>
      <c r="C445" s="2" t="s">
        <v>4440</v>
      </c>
      <c r="D445" s="2" t="s">
        <v>4442</v>
      </c>
      <c r="E445" s="25"/>
      <c r="F445" s="21"/>
      <c r="G445" s="42" t="s">
        <v>28000</v>
      </c>
      <c r="H445" s="2" t="s">
        <v>50</v>
      </c>
      <c r="I445" s="2" t="s">
        <v>4445</v>
      </c>
      <c r="J445" s="2" t="s">
        <v>4439</v>
      </c>
      <c r="K445" s="2" t="s">
        <v>4441</v>
      </c>
      <c r="L445" s="2" t="s">
        <v>4443</v>
      </c>
      <c r="M445" s="2" t="s">
        <v>4443</v>
      </c>
      <c r="N445" s="2" t="s">
        <v>536</v>
      </c>
      <c r="O445" s="2" t="s">
        <v>537</v>
      </c>
      <c r="P445" s="2" t="s">
        <v>1818</v>
      </c>
      <c r="Q445" s="2" t="s">
        <v>4441</v>
      </c>
      <c r="R445" s="2"/>
      <c r="S445" s="2"/>
      <c r="T445" s="2"/>
      <c r="U445" s="2" t="s">
        <v>536</v>
      </c>
      <c r="V445" s="2" t="s">
        <v>537</v>
      </c>
      <c r="W445" s="2" t="s">
        <v>1818</v>
      </c>
      <c r="X445" s="2" t="s">
        <v>4444</v>
      </c>
      <c r="Y445" s="2" t="s">
        <v>44</v>
      </c>
      <c r="Z445" s="2"/>
      <c r="AA445" s="2" t="s">
        <v>821</v>
      </c>
      <c r="AB445" s="2" t="s">
        <v>46</v>
      </c>
      <c r="AC445" s="2" t="s">
        <v>821</v>
      </c>
      <c r="AE445" s="2" t="s">
        <v>48</v>
      </c>
      <c r="AF445" s="2" t="s">
        <v>49</v>
      </c>
      <c r="AG445" s="2">
        <v>100</v>
      </c>
      <c r="AH445" s="2">
        <v>87</v>
      </c>
      <c r="AJ445" s="2" t="s">
        <v>4446</v>
      </c>
      <c r="AK445" s="2"/>
      <c r="AL445" s="2"/>
      <c r="AM445" s="2" t="s">
        <v>52</v>
      </c>
    </row>
    <row r="446" spans="1:39" x14ac:dyDescent="0.45">
      <c r="A446" s="2" t="s">
        <v>4447</v>
      </c>
      <c r="B446" s="2"/>
      <c r="C446" s="2" t="s">
        <v>4449</v>
      </c>
      <c r="D446" s="2" t="s">
        <v>4451</v>
      </c>
      <c r="E446" s="25"/>
      <c r="F446" s="21"/>
      <c r="G446" s="42" t="s">
        <v>28000</v>
      </c>
      <c r="H446" s="2" t="s">
        <v>50</v>
      </c>
      <c r="I446" s="2" t="s">
        <v>4455</v>
      </c>
      <c r="J446" s="2" t="s">
        <v>4448</v>
      </c>
      <c r="K446" s="2" t="s">
        <v>4450</v>
      </c>
      <c r="L446" s="2" t="s">
        <v>4452</v>
      </c>
      <c r="M446" s="2" t="s">
        <v>4452</v>
      </c>
      <c r="N446" s="2" t="s">
        <v>72</v>
      </c>
      <c r="O446" s="2" t="s">
        <v>73</v>
      </c>
      <c r="P446" s="2" t="s">
        <v>484</v>
      </c>
      <c r="Q446" s="2" t="s">
        <v>4453</v>
      </c>
      <c r="R446" s="2"/>
      <c r="S446" s="2"/>
      <c r="T446" s="2"/>
      <c r="U446" s="2" t="s">
        <v>72</v>
      </c>
      <c r="V446" s="2" t="s">
        <v>73</v>
      </c>
      <c r="W446" s="2" t="s">
        <v>484</v>
      </c>
      <c r="X446" s="2" t="s">
        <v>4454</v>
      </c>
      <c r="Y446" s="2" t="s">
        <v>44</v>
      </c>
      <c r="Z446" s="2"/>
      <c r="AA446" s="2" t="s">
        <v>821</v>
      </c>
      <c r="AB446" s="2" t="s">
        <v>46</v>
      </c>
      <c r="AC446" s="2" t="s">
        <v>821</v>
      </c>
      <c r="AE446" s="2" t="s">
        <v>48</v>
      </c>
      <c r="AF446" s="2" t="s">
        <v>49</v>
      </c>
      <c r="AG446" s="2">
        <v>100</v>
      </c>
      <c r="AH446" s="2">
        <v>87</v>
      </c>
      <c r="AJ446" s="2" t="s">
        <v>4456</v>
      </c>
      <c r="AK446" s="2"/>
      <c r="AL446" s="2"/>
      <c r="AM446" s="2" t="s">
        <v>52</v>
      </c>
    </row>
    <row r="447" spans="1:39" x14ac:dyDescent="0.45">
      <c r="A447" s="2" t="s">
        <v>4457</v>
      </c>
      <c r="B447" s="2"/>
      <c r="C447" s="2" t="s">
        <v>4459</v>
      </c>
      <c r="D447" s="2" t="s">
        <v>4461</v>
      </c>
      <c r="E447" s="25"/>
      <c r="F447" s="21"/>
      <c r="G447" s="42" t="s">
        <v>28000</v>
      </c>
      <c r="H447" s="2" t="s">
        <v>50</v>
      </c>
      <c r="I447" s="2" t="s">
        <v>4465</v>
      </c>
      <c r="J447" s="2" t="s">
        <v>4458</v>
      </c>
      <c r="K447" s="2" t="s">
        <v>4460</v>
      </c>
      <c r="L447" s="2" t="s">
        <v>4462</v>
      </c>
      <c r="M447" s="2" t="s">
        <v>4462</v>
      </c>
      <c r="N447" s="2" t="s">
        <v>324</v>
      </c>
      <c r="O447" s="2" t="s">
        <v>73</v>
      </c>
      <c r="P447" s="2" t="s">
        <v>4463</v>
      </c>
      <c r="Q447" s="2" t="s">
        <v>4460</v>
      </c>
      <c r="R447" s="2"/>
      <c r="S447" s="2"/>
      <c r="T447" s="2"/>
      <c r="U447" s="2" t="s">
        <v>324</v>
      </c>
      <c r="V447" s="2" t="s">
        <v>73</v>
      </c>
      <c r="W447" s="2" t="s">
        <v>4463</v>
      </c>
      <c r="X447" s="2" t="s">
        <v>4464</v>
      </c>
      <c r="Y447" s="2" t="s">
        <v>44</v>
      </c>
      <c r="Z447" s="2"/>
      <c r="AA447" s="2" t="s">
        <v>821</v>
      </c>
      <c r="AB447" s="2" t="s">
        <v>46</v>
      </c>
      <c r="AC447" s="2" t="s">
        <v>821</v>
      </c>
      <c r="AE447" s="2" t="s">
        <v>48</v>
      </c>
      <c r="AF447" s="2" t="s">
        <v>49</v>
      </c>
      <c r="AG447" s="2">
        <v>100</v>
      </c>
      <c r="AH447" s="2">
        <v>87</v>
      </c>
      <c r="AJ447" s="2" t="s">
        <v>4466</v>
      </c>
      <c r="AK447" s="2"/>
      <c r="AL447" s="2"/>
      <c r="AM447" s="2" t="s">
        <v>52</v>
      </c>
    </row>
    <row r="448" spans="1:39" x14ac:dyDescent="0.45">
      <c r="A448" s="2" t="s">
        <v>4467</v>
      </c>
      <c r="B448" s="2"/>
      <c r="C448" s="2" t="s">
        <v>4469</v>
      </c>
      <c r="D448" s="2" t="s">
        <v>4471</v>
      </c>
      <c r="E448" s="25"/>
      <c r="F448" s="21"/>
      <c r="G448" s="42" t="s">
        <v>28000</v>
      </c>
      <c r="H448" s="2" t="s">
        <v>50</v>
      </c>
      <c r="I448" s="2" t="s">
        <v>4474</v>
      </c>
      <c r="J448" s="2" t="s">
        <v>4468</v>
      </c>
      <c r="K448" s="2" t="s">
        <v>4470</v>
      </c>
      <c r="L448" s="2" t="s">
        <v>4472</v>
      </c>
      <c r="M448" s="2" t="s">
        <v>4472</v>
      </c>
      <c r="N448" s="2" t="s">
        <v>72</v>
      </c>
      <c r="O448" s="2" t="s">
        <v>73</v>
      </c>
      <c r="P448" s="2" t="s">
        <v>791</v>
      </c>
      <c r="Q448" s="2" t="s">
        <v>4470</v>
      </c>
      <c r="R448" s="2"/>
      <c r="S448" s="2"/>
      <c r="T448" s="2"/>
      <c r="U448" s="2" t="s">
        <v>72</v>
      </c>
      <c r="V448" s="2" t="s">
        <v>73</v>
      </c>
      <c r="W448" s="2" t="s">
        <v>791</v>
      </c>
      <c r="X448" s="2" t="s">
        <v>4473</v>
      </c>
      <c r="Y448" s="2" t="s">
        <v>44</v>
      </c>
      <c r="Z448" s="2"/>
      <c r="AA448" s="2" t="s">
        <v>821</v>
      </c>
      <c r="AB448" s="2" t="s">
        <v>46</v>
      </c>
      <c r="AC448" s="2" t="s">
        <v>821</v>
      </c>
      <c r="AE448" s="2" t="s">
        <v>48</v>
      </c>
      <c r="AF448" s="2" t="s">
        <v>49</v>
      </c>
      <c r="AG448" s="2">
        <v>100</v>
      </c>
      <c r="AH448" s="2">
        <v>87</v>
      </c>
      <c r="AJ448" s="2" t="s">
        <v>4475</v>
      </c>
      <c r="AK448" s="2"/>
      <c r="AL448" s="2"/>
      <c r="AM448" s="2" t="s">
        <v>52</v>
      </c>
    </row>
    <row r="449" spans="1:39" x14ac:dyDescent="0.45">
      <c r="A449" s="2" t="s">
        <v>4476</v>
      </c>
      <c r="B449" s="2"/>
      <c r="C449" s="2" t="s">
        <v>4478</v>
      </c>
      <c r="D449" s="2" t="s">
        <v>4480</v>
      </c>
      <c r="E449" s="25"/>
      <c r="F449" s="21"/>
      <c r="G449" s="42" t="s">
        <v>28000</v>
      </c>
      <c r="H449" s="2" t="s">
        <v>50</v>
      </c>
      <c r="I449" s="2" t="s">
        <v>4483</v>
      </c>
      <c r="J449" s="2" t="s">
        <v>4477</v>
      </c>
      <c r="K449" s="2" t="s">
        <v>4479</v>
      </c>
      <c r="L449" s="2" t="s">
        <v>4481</v>
      </c>
      <c r="M449" s="2" t="s">
        <v>4481</v>
      </c>
      <c r="N449" s="2" t="s">
        <v>59</v>
      </c>
      <c r="O449" s="2" t="s">
        <v>60</v>
      </c>
      <c r="P449" s="2" t="s">
        <v>1589</v>
      </c>
      <c r="Q449" s="2" t="s">
        <v>4479</v>
      </c>
      <c r="R449" s="2"/>
      <c r="S449" s="2"/>
      <c r="T449" s="2"/>
      <c r="U449" s="2" t="s">
        <v>59</v>
      </c>
      <c r="V449" s="2" t="s">
        <v>60</v>
      </c>
      <c r="W449" s="2" t="s">
        <v>1589</v>
      </c>
      <c r="X449" s="2" t="s">
        <v>4482</v>
      </c>
      <c r="Y449" s="2" t="s">
        <v>44</v>
      </c>
      <c r="Z449" s="2"/>
      <c r="AA449" s="2" t="s">
        <v>821</v>
      </c>
      <c r="AB449" s="2" t="s">
        <v>46</v>
      </c>
      <c r="AC449" s="2" t="s">
        <v>821</v>
      </c>
      <c r="AE449" s="2" t="s">
        <v>48</v>
      </c>
      <c r="AF449" s="2" t="s">
        <v>49</v>
      </c>
      <c r="AG449" s="2">
        <v>100</v>
      </c>
      <c r="AH449" s="2">
        <v>87</v>
      </c>
      <c r="AJ449" s="2" t="s">
        <v>4484</v>
      </c>
      <c r="AK449" s="2"/>
      <c r="AL449" s="2"/>
      <c r="AM449" s="2" t="s">
        <v>52</v>
      </c>
    </row>
    <row r="450" spans="1:39" x14ac:dyDescent="0.45">
      <c r="A450" s="2" t="s">
        <v>4485</v>
      </c>
      <c r="B450" s="2"/>
      <c r="C450" s="2" t="s">
        <v>4487</v>
      </c>
      <c r="D450" s="2" t="s">
        <v>4489</v>
      </c>
      <c r="E450" s="25"/>
      <c r="F450" s="21"/>
      <c r="G450" s="42" t="s">
        <v>28000</v>
      </c>
      <c r="H450" s="2" t="s">
        <v>50</v>
      </c>
      <c r="I450" s="2" t="s">
        <v>4492</v>
      </c>
      <c r="J450" s="2" t="s">
        <v>4486</v>
      </c>
      <c r="K450" s="2" t="s">
        <v>4488</v>
      </c>
      <c r="L450" s="2" t="s">
        <v>4490</v>
      </c>
      <c r="M450" s="2" t="s">
        <v>4490</v>
      </c>
      <c r="N450" s="2" t="s">
        <v>384</v>
      </c>
      <c r="O450" s="2" t="s">
        <v>73</v>
      </c>
      <c r="P450" s="2" t="s">
        <v>1837</v>
      </c>
      <c r="Q450" s="2" t="s">
        <v>4488</v>
      </c>
      <c r="R450" s="2"/>
      <c r="S450" s="2"/>
      <c r="T450" s="2"/>
      <c r="U450" s="2" t="s">
        <v>384</v>
      </c>
      <c r="V450" s="2" t="s">
        <v>73</v>
      </c>
      <c r="W450" s="2" t="s">
        <v>1837</v>
      </c>
      <c r="X450" s="2" t="s">
        <v>4491</v>
      </c>
      <c r="Y450" s="2" t="s">
        <v>44</v>
      </c>
      <c r="Z450" s="2"/>
      <c r="AA450" s="2" t="s">
        <v>821</v>
      </c>
      <c r="AB450" s="2" t="s">
        <v>46</v>
      </c>
      <c r="AC450" s="2" t="s">
        <v>821</v>
      </c>
      <c r="AE450" s="2" t="s">
        <v>48</v>
      </c>
      <c r="AF450" s="2" t="s">
        <v>49</v>
      </c>
      <c r="AG450" s="2">
        <v>100</v>
      </c>
      <c r="AH450" s="2">
        <v>87</v>
      </c>
      <c r="AJ450" s="2" t="s">
        <v>4493</v>
      </c>
      <c r="AK450" s="2"/>
      <c r="AL450" s="2"/>
      <c r="AM450" s="2" t="s">
        <v>52</v>
      </c>
    </row>
    <row r="451" spans="1:39" x14ac:dyDescent="0.45">
      <c r="A451" s="2" t="s">
        <v>4494</v>
      </c>
      <c r="B451" s="2"/>
      <c r="C451" s="2" t="s">
        <v>4496</v>
      </c>
      <c r="D451" s="2" t="s">
        <v>4498</v>
      </c>
      <c r="E451" s="25"/>
      <c r="F451" s="21"/>
      <c r="G451" s="42" t="s">
        <v>28000</v>
      </c>
      <c r="H451" s="2" t="s">
        <v>50</v>
      </c>
      <c r="I451" s="2" t="s">
        <v>4503</v>
      </c>
      <c r="J451" s="2" t="s">
        <v>4495</v>
      </c>
      <c r="K451" s="2" t="s">
        <v>4497</v>
      </c>
      <c r="L451" s="2" t="s">
        <v>4499</v>
      </c>
      <c r="M451" s="2" t="s">
        <v>4499</v>
      </c>
      <c r="N451" s="2" t="s">
        <v>651</v>
      </c>
      <c r="O451" s="2" t="s">
        <v>86</v>
      </c>
      <c r="P451" s="2" t="s">
        <v>4500</v>
      </c>
      <c r="Q451" s="2" t="s">
        <v>4501</v>
      </c>
      <c r="R451" s="2"/>
      <c r="S451" s="2"/>
      <c r="T451" s="2"/>
      <c r="U451" s="2" t="s">
        <v>651</v>
      </c>
      <c r="V451" s="2" t="s">
        <v>86</v>
      </c>
      <c r="W451" s="2" t="s">
        <v>629</v>
      </c>
      <c r="X451" s="2" t="s">
        <v>4502</v>
      </c>
      <c r="Y451" s="2" t="s">
        <v>44</v>
      </c>
      <c r="Z451" s="2"/>
      <c r="AA451" s="2" t="s">
        <v>821</v>
      </c>
      <c r="AB451" s="2" t="s">
        <v>46</v>
      </c>
      <c r="AC451" s="2" t="s">
        <v>821</v>
      </c>
      <c r="AE451" s="2" t="s">
        <v>48</v>
      </c>
      <c r="AF451" s="2" t="s">
        <v>49</v>
      </c>
      <c r="AG451" s="2">
        <v>100</v>
      </c>
      <c r="AH451" s="2">
        <v>87</v>
      </c>
      <c r="AJ451" s="2" t="s">
        <v>4504</v>
      </c>
      <c r="AK451" s="2"/>
      <c r="AL451" s="2"/>
      <c r="AM451" s="2" t="s">
        <v>52</v>
      </c>
    </row>
    <row r="452" spans="1:39" x14ac:dyDescent="0.45">
      <c r="A452" s="2" t="s">
        <v>4505</v>
      </c>
      <c r="B452" s="2"/>
      <c r="C452" s="2" t="s">
        <v>4507</v>
      </c>
      <c r="D452" s="2" t="s">
        <v>4509</v>
      </c>
      <c r="E452" s="25"/>
      <c r="F452" s="21"/>
      <c r="G452" s="42" t="s">
        <v>28000</v>
      </c>
      <c r="H452" s="2" t="s">
        <v>50</v>
      </c>
      <c r="I452" s="2" t="s">
        <v>4513</v>
      </c>
      <c r="J452" s="2" t="s">
        <v>4506</v>
      </c>
      <c r="K452" s="2" t="s">
        <v>4508</v>
      </c>
      <c r="L452" s="2" t="s">
        <v>4510</v>
      </c>
      <c r="M452" s="2" t="s">
        <v>4510</v>
      </c>
      <c r="N452" s="2" t="s">
        <v>536</v>
      </c>
      <c r="O452" s="2" t="s">
        <v>537</v>
      </c>
      <c r="P452" s="2" t="s">
        <v>1091</v>
      </c>
      <c r="Q452" s="2" t="s">
        <v>4511</v>
      </c>
      <c r="R452" s="2"/>
      <c r="S452" s="2"/>
      <c r="T452" s="2"/>
      <c r="U452" s="2" t="s">
        <v>72</v>
      </c>
      <c r="V452" s="2" t="s">
        <v>73</v>
      </c>
      <c r="W452" s="2" t="s">
        <v>1164</v>
      </c>
      <c r="X452" s="2" t="s">
        <v>4512</v>
      </c>
      <c r="Y452" s="2" t="s">
        <v>44</v>
      </c>
      <c r="Z452" s="2"/>
      <c r="AA452" s="2" t="s">
        <v>821</v>
      </c>
      <c r="AB452" s="2" t="s">
        <v>46</v>
      </c>
      <c r="AC452" s="2" t="s">
        <v>821</v>
      </c>
      <c r="AE452" s="2" t="s">
        <v>48</v>
      </c>
      <c r="AF452" s="2" t="s">
        <v>49</v>
      </c>
      <c r="AG452" s="2">
        <v>100</v>
      </c>
      <c r="AH452" s="2">
        <v>87</v>
      </c>
      <c r="AJ452" s="2" t="s">
        <v>4514</v>
      </c>
      <c r="AK452" s="2"/>
      <c r="AL452" s="2"/>
      <c r="AM452" s="2" t="s">
        <v>52</v>
      </c>
    </row>
    <row r="453" spans="1:39" x14ac:dyDescent="0.45">
      <c r="A453" s="2" t="s">
        <v>4515</v>
      </c>
      <c r="B453" s="2"/>
      <c r="C453" s="2" t="s">
        <v>4517</v>
      </c>
      <c r="D453" s="2" t="s">
        <v>4519</v>
      </c>
      <c r="E453" s="25"/>
      <c r="F453" s="21"/>
      <c r="G453" s="42" t="s">
        <v>28000</v>
      </c>
      <c r="H453" s="2" t="s">
        <v>50</v>
      </c>
      <c r="I453" s="2" t="s">
        <v>4523</v>
      </c>
      <c r="J453" s="2" t="s">
        <v>4516</v>
      </c>
      <c r="K453" s="2" t="s">
        <v>4518</v>
      </c>
      <c r="L453" s="2" t="s">
        <v>4520</v>
      </c>
      <c r="M453" s="2" t="s">
        <v>4520</v>
      </c>
      <c r="N453" s="2" t="s">
        <v>651</v>
      </c>
      <c r="O453" s="2" t="s">
        <v>86</v>
      </c>
      <c r="P453" s="2" t="s">
        <v>4521</v>
      </c>
      <c r="Q453" s="2" t="s">
        <v>4518</v>
      </c>
      <c r="R453" s="2"/>
      <c r="S453" s="2"/>
      <c r="T453" s="2"/>
      <c r="U453" s="2" t="s">
        <v>651</v>
      </c>
      <c r="V453" s="2" t="s">
        <v>86</v>
      </c>
      <c r="W453" s="2" t="s">
        <v>4521</v>
      </c>
      <c r="X453" s="2" t="s">
        <v>4522</v>
      </c>
      <c r="Y453" s="2" t="s">
        <v>44</v>
      </c>
      <c r="Z453" s="2"/>
      <c r="AA453" s="2" t="s">
        <v>821</v>
      </c>
      <c r="AB453" s="2" t="s">
        <v>46</v>
      </c>
      <c r="AC453" s="2" t="s">
        <v>821</v>
      </c>
      <c r="AE453" s="2" t="s">
        <v>48</v>
      </c>
      <c r="AF453" s="2" t="s">
        <v>49</v>
      </c>
      <c r="AG453" s="2">
        <v>100</v>
      </c>
      <c r="AH453" s="2">
        <v>87</v>
      </c>
      <c r="AJ453" s="2" t="s">
        <v>4524</v>
      </c>
      <c r="AK453" s="2"/>
      <c r="AL453" s="2"/>
      <c r="AM453" s="2" t="s">
        <v>52</v>
      </c>
    </row>
    <row r="454" spans="1:39" x14ac:dyDescent="0.45">
      <c r="A454" s="2" t="s">
        <v>4525</v>
      </c>
      <c r="B454" s="2"/>
      <c r="C454" s="2" t="s">
        <v>4527</v>
      </c>
      <c r="D454" s="2" t="s">
        <v>4529</v>
      </c>
      <c r="E454" s="25"/>
      <c r="F454" s="21"/>
      <c r="G454" s="42" t="s">
        <v>28000</v>
      </c>
      <c r="H454" s="2" t="s">
        <v>50</v>
      </c>
      <c r="I454" s="2" t="s">
        <v>4533</v>
      </c>
      <c r="J454" s="2" t="s">
        <v>4526</v>
      </c>
      <c r="K454" s="2" t="s">
        <v>4528</v>
      </c>
      <c r="L454" s="2" t="s">
        <v>4530</v>
      </c>
      <c r="M454" s="2" t="s">
        <v>4530</v>
      </c>
      <c r="N454" s="2" t="s">
        <v>174</v>
      </c>
      <c r="O454" s="2" t="s">
        <v>175</v>
      </c>
      <c r="P454" s="2" t="s">
        <v>4531</v>
      </c>
      <c r="Q454" s="2" t="s">
        <v>4528</v>
      </c>
      <c r="R454" s="2"/>
      <c r="S454" s="2"/>
      <c r="T454" s="2"/>
      <c r="U454" s="2" t="s">
        <v>174</v>
      </c>
      <c r="V454" s="2" t="s">
        <v>175</v>
      </c>
      <c r="W454" s="2" t="s">
        <v>4531</v>
      </c>
      <c r="X454" s="2" t="s">
        <v>4532</v>
      </c>
      <c r="Y454" s="2" t="s">
        <v>44</v>
      </c>
      <c r="Z454" s="2"/>
      <c r="AA454" s="2" t="s">
        <v>821</v>
      </c>
      <c r="AB454" s="2" t="s">
        <v>46</v>
      </c>
      <c r="AC454" s="2" t="s">
        <v>821</v>
      </c>
      <c r="AE454" s="2" t="s">
        <v>48</v>
      </c>
      <c r="AF454" s="2" t="s">
        <v>49</v>
      </c>
      <c r="AG454" s="2">
        <v>100</v>
      </c>
      <c r="AH454" s="2">
        <v>87</v>
      </c>
      <c r="AJ454" s="2" t="s">
        <v>4534</v>
      </c>
      <c r="AK454" s="2"/>
      <c r="AL454" s="2"/>
      <c r="AM454" s="2" t="s">
        <v>52</v>
      </c>
    </row>
    <row r="455" spans="1:39" x14ac:dyDescent="0.45">
      <c r="A455" s="2" t="s">
        <v>4535</v>
      </c>
      <c r="B455" s="2"/>
      <c r="C455" s="2" t="s">
        <v>4537</v>
      </c>
      <c r="D455" s="2" t="s">
        <v>4539</v>
      </c>
      <c r="E455" s="25"/>
      <c r="F455" s="21"/>
      <c r="G455" s="42" t="s">
        <v>28000</v>
      </c>
      <c r="H455" s="2" t="s">
        <v>50</v>
      </c>
      <c r="I455" s="2" t="s">
        <v>4542</v>
      </c>
      <c r="J455" s="2" t="s">
        <v>4536</v>
      </c>
      <c r="K455" s="2" t="s">
        <v>4538</v>
      </c>
      <c r="L455" s="2" t="s">
        <v>4540</v>
      </c>
      <c r="M455" s="2" t="s">
        <v>4540</v>
      </c>
      <c r="N455" s="2" t="s">
        <v>72</v>
      </c>
      <c r="O455" s="2" t="s">
        <v>73</v>
      </c>
      <c r="P455" s="2" t="s">
        <v>791</v>
      </c>
      <c r="Q455" s="2"/>
      <c r="R455" s="2"/>
      <c r="S455" s="2"/>
      <c r="T455" s="2"/>
      <c r="U455" s="2"/>
      <c r="V455" s="2"/>
      <c r="W455" s="2"/>
      <c r="X455" s="2" t="s">
        <v>4541</v>
      </c>
      <c r="Y455" s="2" t="s">
        <v>44</v>
      </c>
      <c r="Z455" s="2"/>
      <c r="AA455" s="2" t="s">
        <v>821</v>
      </c>
      <c r="AB455" s="2" t="s">
        <v>46</v>
      </c>
      <c r="AC455" s="2" t="s">
        <v>821</v>
      </c>
      <c r="AE455" s="2" t="s">
        <v>48</v>
      </c>
      <c r="AF455" s="2" t="s">
        <v>49</v>
      </c>
      <c r="AG455" s="2">
        <v>100</v>
      </c>
      <c r="AH455" s="2">
        <v>87</v>
      </c>
      <c r="AJ455" s="2" t="s">
        <v>4543</v>
      </c>
      <c r="AK455" s="2"/>
      <c r="AL455" s="2"/>
      <c r="AM455" s="2" t="s">
        <v>52</v>
      </c>
    </row>
    <row r="456" spans="1:39" x14ac:dyDescent="0.45">
      <c r="A456" s="2" t="s">
        <v>4544</v>
      </c>
      <c r="B456" s="2"/>
      <c r="C456" s="2" t="s">
        <v>4546</v>
      </c>
      <c r="D456" s="2" t="s">
        <v>4548</v>
      </c>
      <c r="E456" s="25"/>
      <c r="F456" s="21"/>
      <c r="G456" s="42" t="s">
        <v>28000</v>
      </c>
      <c r="H456" s="2" t="s">
        <v>50</v>
      </c>
      <c r="I456" s="2" t="s">
        <v>4552</v>
      </c>
      <c r="J456" s="2" t="s">
        <v>4545</v>
      </c>
      <c r="K456" s="2" t="s">
        <v>4547</v>
      </c>
      <c r="L456" s="2" t="s">
        <v>4549</v>
      </c>
      <c r="M456" s="2" t="s">
        <v>4549</v>
      </c>
      <c r="N456" s="2" t="s">
        <v>1023</v>
      </c>
      <c r="O456" s="2" t="s">
        <v>73</v>
      </c>
      <c r="P456" s="2" t="s">
        <v>4550</v>
      </c>
      <c r="Q456" s="2" t="s">
        <v>4547</v>
      </c>
      <c r="R456" s="2"/>
      <c r="S456" s="2"/>
      <c r="T456" s="2"/>
      <c r="U456" s="2" t="s">
        <v>1023</v>
      </c>
      <c r="V456" s="2" t="s">
        <v>73</v>
      </c>
      <c r="W456" s="2" t="s">
        <v>4550</v>
      </c>
      <c r="X456" s="2" t="s">
        <v>4551</v>
      </c>
      <c r="Y456" s="2" t="s">
        <v>44</v>
      </c>
      <c r="Z456" s="2"/>
      <c r="AA456" s="2" t="s">
        <v>821</v>
      </c>
      <c r="AB456" s="2" t="s">
        <v>46</v>
      </c>
      <c r="AC456" s="2" t="s">
        <v>821</v>
      </c>
      <c r="AE456" s="2" t="s">
        <v>48</v>
      </c>
      <c r="AF456" s="2" t="s">
        <v>49</v>
      </c>
      <c r="AG456" s="2">
        <v>100</v>
      </c>
      <c r="AH456" s="2">
        <v>87</v>
      </c>
      <c r="AJ456" s="2" t="s">
        <v>4553</v>
      </c>
      <c r="AK456" s="2"/>
      <c r="AL456" s="2"/>
      <c r="AM456" s="2" t="s">
        <v>52</v>
      </c>
    </row>
    <row r="457" spans="1:39" x14ac:dyDescent="0.45">
      <c r="A457" s="2" t="s">
        <v>4554</v>
      </c>
      <c r="B457" s="2"/>
      <c r="C457" s="2" t="s">
        <v>4556</v>
      </c>
      <c r="D457" s="2" t="s">
        <v>4558</v>
      </c>
      <c r="E457" s="25"/>
      <c r="F457" s="21"/>
      <c r="G457" s="42" t="s">
        <v>28000</v>
      </c>
      <c r="H457" s="2" t="s">
        <v>50</v>
      </c>
      <c r="I457" s="2" t="s">
        <v>4561</v>
      </c>
      <c r="J457" s="2" t="s">
        <v>4555</v>
      </c>
      <c r="K457" s="2" t="s">
        <v>4557</v>
      </c>
      <c r="L457" s="2" t="s">
        <v>4559</v>
      </c>
      <c r="M457" s="2" t="s">
        <v>4559</v>
      </c>
      <c r="N457" s="2" t="s">
        <v>72</v>
      </c>
      <c r="O457" s="2" t="s">
        <v>73</v>
      </c>
      <c r="P457" s="2" t="s">
        <v>140</v>
      </c>
      <c r="Q457" s="2" t="s">
        <v>4557</v>
      </c>
      <c r="R457" s="2"/>
      <c r="S457" s="2"/>
      <c r="T457" s="2"/>
      <c r="U457" s="2" t="s">
        <v>72</v>
      </c>
      <c r="V457" s="2" t="s">
        <v>73</v>
      </c>
      <c r="W457" s="2" t="s">
        <v>140</v>
      </c>
      <c r="X457" s="2" t="s">
        <v>4560</v>
      </c>
      <c r="Y457" s="2" t="s">
        <v>44</v>
      </c>
      <c r="Z457" s="2"/>
      <c r="AA457" s="2" t="s">
        <v>821</v>
      </c>
      <c r="AB457" s="2" t="s">
        <v>46</v>
      </c>
      <c r="AC457" s="2" t="s">
        <v>821</v>
      </c>
      <c r="AE457" s="2" t="s">
        <v>48</v>
      </c>
      <c r="AF457" s="2" t="s">
        <v>49</v>
      </c>
      <c r="AG457" s="2">
        <v>100</v>
      </c>
      <c r="AH457" s="2">
        <v>87</v>
      </c>
      <c r="AJ457" s="2" t="s">
        <v>4562</v>
      </c>
      <c r="AK457" s="2"/>
      <c r="AL457" s="2"/>
      <c r="AM457" s="2" t="s">
        <v>52</v>
      </c>
    </row>
    <row r="458" spans="1:39" x14ac:dyDescent="0.45">
      <c r="A458" s="2" t="s">
        <v>4563</v>
      </c>
      <c r="B458" s="2"/>
      <c r="C458" s="2" t="s">
        <v>4565</v>
      </c>
      <c r="D458" s="2" t="s">
        <v>4567</v>
      </c>
      <c r="E458" s="25"/>
      <c r="F458" s="21"/>
      <c r="G458" s="42" t="s">
        <v>28000</v>
      </c>
      <c r="H458" s="2" t="s">
        <v>50</v>
      </c>
      <c r="I458" s="2" t="s">
        <v>4571</v>
      </c>
      <c r="J458" s="2" t="s">
        <v>4564</v>
      </c>
      <c r="K458" s="2" t="s">
        <v>4566</v>
      </c>
      <c r="L458" s="2" t="s">
        <v>4568</v>
      </c>
      <c r="M458" s="2" t="s">
        <v>4568</v>
      </c>
      <c r="N458" s="2" t="s">
        <v>216</v>
      </c>
      <c r="O458" s="2" t="s">
        <v>217</v>
      </c>
      <c r="P458" s="2" t="s">
        <v>4569</v>
      </c>
      <c r="Q458" s="2"/>
      <c r="R458" s="2"/>
      <c r="S458" s="2"/>
      <c r="T458" s="2"/>
      <c r="U458" s="2"/>
      <c r="V458" s="2"/>
      <c r="W458" s="2"/>
      <c r="X458" s="2" t="s">
        <v>4570</v>
      </c>
      <c r="Y458" s="2" t="s">
        <v>44</v>
      </c>
      <c r="Z458" s="2"/>
      <c r="AA458" s="2" t="s">
        <v>821</v>
      </c>
      <c r="AB458" s="2" t="s">
        <v>46</v>
      </c>
      <c r="AC458" s="2" t="s">
        <v>821</v>
      </c>
      <c r="AE458" s="2" t="s">
        <v>48</v>
      </c>
      <c r="AF458" s="2" t="s">
        <v>49</v>
      </c>
      <c r="AG458" s="2">
        <v>100</v>
      </c>
      <c r="AH458" s="2">
        <v>87</v>
      </c>
      <c r="AJ458" s="2" t="s">
        <v>4572</v>
      </c>
      <c r="AK458" s="2"/>
      <c r="AL458" s="2"/>
      <c r="AM458" s="2" t="s">
        <v>52</v>
      </c>
    </row>
    <row r="459" spans="1:39" x14ac:dyDescent="0.45">
      <c r="A459" s="2" t="s">
        <v>4573</v>
      </c>
      <c r="B459" s="2"/>
      <c r="C459" s="2" t="s">
        <v>4575</v>
      </c>
      <c r="D459" s="2" t="s">
        <v>4577</v>
      </c>
      <c r="E459" s="25"/>
      <c r="F459" s="21"/>
      <c r="G459" s="42" t="s">
        <v>28000</v>
      </c>
      <c r="H459" s="2" t="s">
        <v>50</v>
      </c>
      <c r="I459" s="2" t="s">
        <v>4580</v>
      </c>
      <c r="J459" s="2" t="s">
        <v>4574</v>
      </c>
      <c r="K459" s="2" t="s">
        <v>4576</v>
      </c>
      <c r="L459" s="2" t="s">
        <v>4578</v>
      </c>
      <c r="M459" s="2" t="s">
        <v>4578</v>
      </c>
      <c r="N459" s="2" t="s">
        <v>72</v>
      </c>
      <c r="O459" s="2" t="s">
        <v>73</v>
      </c>
      <c r="P459" s="2" t="s">
        <v>2270</v>
      </c>
      <c r="Q459" s="2" t="s">
        <v>4579</v>
      </c>
      <c r="R459" s="2"/>
      <c r="S459" s="2"/>
      <c r="T459" s="2"/>
      <c r="U459" s="2" t="s">
        <v>72</v>
      </c>
      <c r="V459" s="2" t="s">
        <v>73</v>
      </c>
      <c r="W459" s="2" t="s">
        <v>2270</v>
      </c>
      <c r="X459" s="2" t="s">
        <v>2316</v>
      </c>
      <c r="Y459" s="2" t="s">
        <v>44</v>
      </c>
      <c r="Z459" s="2"/>
      <c r="AA459" s="2" t="s">
        <v>821</v>
      </c>
      <c r="AB459" s="2" t="s">
        <v>46</v>
      </c>
      <c r="AC459" s="2" t="s">
        <v>821</v>
      </c>
      <c r="AE459" s="2" t="s">
        <v>48</v>
      </c>
      <c r="AF459" s="2" t="s">
        <v>49</v>
      </c>
      <c r="AG459" s="2">
        <v>100</v>
      </c>
      <c r="AH459" s="2">
        <v>87</v>
      </c>
      <c r="AJ459" s="2" t="s">
        <v>4581</v>
      </c>
      <c r="AK459" s="2"/>
      <c r="AL459" s="2"/>
      <c r="AM459" s="2" t="s">
        <v>52</v>
      </c>
    </row>
    <row r="460" spans="1:39" x14ac:dyDescent="0.45">
      <c r="A460" s="2" t="s">
        <v>4582</v>
      </c>
      <c r="B460" s="2"/>
      <c r="C460" s="2" t="s">
        <v>4584</v>
      </c>
      <c r="D460" s="2" t="s">
        <v>4586</v>
      </c>
      <c r="E460" s="25"/>
      <c r="F460" s="21"/>
      <c r="G460" s="42" t="s">
        <v>28000</v>
      </c>
      <c r="H460" s="2" t="s">
        <v>50</v>
      </c>
      <c r="I460" s="2" t="s">
        <v>4590</v>
      </c>
      <c r="J460" s="2" t="s">
        <v>4583</v>
      </c>
      <c r="K460" s="2" t="s">
        <v>4585</v>
      </c>
      <c r="L460" s="2" t="s">
        <v>4587</v>
      </c>
      <c r="M460" s="2" t="s">
        <v>4587</v>
      </c>
      <c r="N460" s="2" t="s">
        <v>424</v>
      </c>
      <c r="O460" s="2" t="s">
        <v>217</v>
      </c>
      <c r="P460" s="2" t="s">
        <v>3767</v>
      </c>
      <c r="Q460" s="2" t="s">
        <v>4588</v>
      </c>
      <c r="R460" s="2"/>
      <c r="S460" s="2"/>
      <c r="T460" s="2"/>
      <c r="U460" s="2" t="s">
        <v>424</v>
      </c>
      <c r="V460" s="2" t="s">
        <v>217</v>
      </c>
      <c r="W460" s="2" t="s">
        <v>3767</v>
      </c>
      <c r="X460" s="2" t="s">
        <v>4589</v>
      </c>
      <c r="Y460" s="2" t="s">
        <v>44</v>
      </c>
      <c r="Z460" s="2"/>
      <c r="AA460" s="2" t="s">
        <v>821</v>
      </c>
      <c r="AB460" s="2" t="s">
        <v>46</v>
      </c>
      <c r="AC460" s="2" t="s">
        <v>821</v>
      </c>
      <c r="AE460" s="2" t="s">
        <v>48</v>
      </c>
      <c r="AF460" s="2" t="s">
        <v>49</v>
      </c>
      <c r="AG460" s="2">
        <v>100</v>
      </c>
      <c r="AH460" s="2">
        <v>87</v>
      </c>
      <c r="AJ460" s="2" t="s">
        <v>4591</v>
      </c>
      <c r="AK460" s="2"/>
      <c r="AL460" s="2"/>
      <c r="AM460" s="2" t="s">
        <v>52</v>
      </c>
    </row>
    <row r="461" spans="1:39" x14ac:dyDescent="0.45">
      <c r="A461" s="2" t="s">
        <v>4592</v>
      </c>
      <c r="B461" s="2"/>
      <c r="C461" s="2" t="s">
        <v>4594</v>
      </c>
      <c r="D461" s="2" t="s">
        <v>4596</v>
      </c>
      <c r="E461" s="25"/>
      <c r="F461" s="21"/>
      <c r="G461" s="42" t="s">
        <v>28000</v>
      </c>
      <c r="H461" s="2" t="s">
        <v>50</v>
      </c>
      <c r="I461" s="2" t="s">
        <v>4600</v>
      </c>
      <c r="J461" s="2" t="s">
        <v>4593</v>
      </c>
      <c r="K461" s="2" t="s">
        <v>4595</v>
      </c>
      <c r="L461" s="2" t="s">
        <v>4597</v>
      </c>
      <c r="M461" s="2" t="s">
        <v>4597</v>
      </c>
      <c r="N461" s="2" t="s">
        <v>59</v>
      </c>
      <c r="O461" s="2" t="s">
        <v>60</v>
      </c>
      <c r="P461" s="2" t="s">
        <v>4598</v>
      </c>
      <c r="Q461" s="2" t="s">
        <v>4599</v>
      </c>
      <c r="R461" s="2"/>
      <c r="S461" s="2"/>
      <c r="T461" s="2"/>
      <c r="U461" s="2" t="s">
        <v>59</v>
      </c>
      <c r="V461" s="2" t="s">
        <v>60</v>
      </c>
      <c r="W461" s="2" t="s">
        <v>4598</v>
      </c>
      <c r="X461" s="2" t="s">
        <v>942</v>
      </c>
      <c r="Y461" s="2" t="s">
        <v>44</v>
      </c>
      <c r="Z461" s="2"/>
      <c r="AA461" s="2" t="s">
        <v>821</v>
      </c>
      <c r="AB461" s="2" t="s">
        <v>46</v>
      </c>
      <c r="AC461" s="2" t="s">
        <v>821</v>
      </c>
      <c r="AE461" s="2" t="s">
        <v>48</v>
      </c>
      <c r="AF461" s="2" t="s">
        <v>49</v>
      </c>
      <c r="AG461" s="2">
        <v>100</v>
      </c>
      <c r="AH461" s="2">
        <v>87</v>
      </c>
      <c r="AJ461" s="2" t="s">
        <v>4601</v>
      </c>
      <c r="AK461" s="2"/>
      <c r="AL461" s="2"/>
      <c r="AM461" s="2" t="s">
        <v>52</v>
      </c>
    </row>
    <row r="462" spans="1:39" x14ac:dyDescent="0.45">
      <c r="A462" s="2" t="s">
        <v>4602</v>
      </c>
      <c r="B462" s="2"/>
      <c r="C462" s="2" t="s">
        <v>4604</v>
      </c>
      <c r="D462" s="2" t="s">
        <v>4606</v>
      </c>
      <c r="E462" s="25"/>
      <c r="F462" s="21"/>
      <c r="G462" s="42" t="s">
        <v>28000</v>
      </c>
      <c r="H462" s="2" t="s">
        <v>50</v>
      </c>
      <c r="I462" s="2" t="s">
        <v>4612</v>
      </c>
      <c r="J462" s="2" t="s">
        <v>4603</v>
      </c>
      <c r="K462" s="2" t="s">
        <v>4605</v>
      </c>
      <c r="L462" s="2" t="s">
        <v>4607</v>
      </c>
      <c r="M462" s="2" t="s">
        <v>4607</v>
      </c>
      <c r="N462" s="2" t="s">
        <v>59</v>
      </c>
      <c r="O462" s="2" t="s">
        <v>60</v>
      </c>
      <c r="P462" s="2" t="s">
        <v>4608</v>
      </c>
      <c r="Q462" s="2" t="s">
        <v>4609</v>
      </c>
      <c r="R462" s="2"/>
      <c r="S462" s="2"/>
      <c r="T462" s="2"/>
      <c r="U462" s="2" t="s">
        <v>59</v>
      </c>
      <c r="V462" s="2" t="s">
        <v>60</v>
      </c>
      <c r="W462" s="2" t="s">
        <v>4610</v>
      </c>
      <c r="X462" s="2" t="s">
        <v>4611</v>
      </c>
      <c r="Y462" s="2" t="s">
        <v>44</v>
      </c>
      <c r="Z462" s="2"/>
      <c r="AA462" s="2" t="s">
        <v>821</v>
      </c>
      <c r="AB462" s="2" t="s">
        <v>46</v>
      </c>
      <c r="AC462" s="2" t="s">
        <v>821</v>
      </c>
      <c r="AE462" s="2" t="s">
        <v>48</v>
      </c>
      <c r="AF462" s="2" t="s">
        <v>49</v>
      </c>
      <c r="AG462" s="2">
        <v>100</v>
      </c>
      <c r="AH462" s="2">
        <v>87</v>
      </c>
      <c r="AJ462" s="2" t="s">
        <v>4613</v>
      </c>
      <c r="AK462" s="2"/>
      <c r="AL462" s="2"/>
      <c r="AM462" s="2" t="s">
        <v>52</v>
      </c>
    </row>
    <row r="463" spans="1:39" x14ac:dyDescent="0.45">
      <c r="A463" s="2" t="s">
        <v>4614</v>
      </c>
      <c r="B463" s="2"/>
      <c r="C463" s="2" t="s">
        <v>4616</v>
      </c>
      <c r="D463" s="2" t="s">
        <v>4618</v>
      </c>
      <c r="E463" s="25"/>
      <c r="F463" s="21"/>
      <c r="G463" s="42" t="s">
        <v>28000</v>
      </c>
      <c r="H463" s="2" t="s">
        <v>50</v>
      </c>
      <c r="I463" s="2" t="s">
        <v>4621</v>
      </c>
      <c r="J463" s="2" t="s">
        <v>4615</v>
      </c>
      <c r="K463" s="2" t="s">
        <v>4617</v>
      </c>
      <c r="L463" s="2" t="s">
        <v>4619</v>
      </c>
      <c r="M463" s="2" t="s">
        <v>4619</v>
      </c>
      <c r="N463" s="2" t="s">
        <v>59</v>
      </c>
      <c r="O463" s="2" t="s">
        <v>60</v>
      </c>
      <c r="P463" s="2" t="s">
        <v>266</v>
      </c>
      <c r="Q463" s="2" t="s">
        <v>4620</v>
      </c>
      <c r="R463" s="2"/>
      <c r="S463" s="2"/>
      <c r="T463" s="2"/>
      <c r="U463" s="2" t="s">
        <v>59</v>
      </c>
      <c r="V463" s="2" t="s">
        <v>60</v>
      </c>
      <c r="W463" s="2" t="s">
        <v>266</v>
      </c>
      <c r="X463" s="2" t="s">
        <v>954</v>
      </c>
      <c r="Y463" s="2" t="s">
        <v>44</v>
      </c>
      <c r="Z463" s="2"/>
      <c r="AA463" s="2" t="s">
        <v>821</v>
      </c>
      <c r="AB463" s="2" t="s">
        <v>46</v>
      </c>
      <c r="AC463" s="2" t="s">
        <v>821</v>
      </c>
      <c r="AE463" s="2" t="s">
        <v>48</v>
      </c>
      <c r="AF463" s="2" t="s">
        <v>49</v>
      </c>
      <c r="AG463" s="2">
        <v>100</v>
      </c>
      <c r="AH463" s="2">
        <v>87</v>
      </c>
      <c r="AJ463" s="2" t="s">
        <v>4622</v>
      </c>
      <c r="AK463" s="2"/>
      <c r="AL463" s="2"/>
      <c r="AM463" s="2" t="s">
        <v>52</v>
      </c>
    </row>
    <row r="464" spans="1:39" x14ac:dyDescent="0.45">
      <c r="A464" s="2" t="s">
        <v>4623</v>
      </c>
      <c r="B464" s="2"/>
      <c r="C464" s="2" t="s">
        <v>4625</v>
      </c>
      <c r="D464" s="2" t="s">
        <v>4627</v>
      </c>
      <c r="E464" s="25"/>
      <c r="F464" s="21"/>
      <c r="G464" s="42" t="s">
        <v>28000</v>
      </c>
      <c r="H464" s="2" t="s">
        <v>50</v>
      </c>
      <c r="I464" s="2" t="s">
        <v>4632</v>
      </c>
      <c r="J464" s="2" t="s">
        <v>4624</v>
      </c>
      <c r="K464" s="2" t="s">
        <v>4626</v>
      </c>
      <c r="L464" s="2" t="s">
        <v>4628</v>
      </c>
      <c r="M464" s="2" t="s">
        <v>4628</v>
      </c>
      <c r="N464" s="2" t="s">
        <v>39</v>
      </c>
      <c r="O464" s="2" t="s">
        <v>40</v>
      </c>
      <c r="P464" s="2" t="s">
        <v>4629</v>
      </c>
      <c r="Q464" s="2" t="s">
        <v>4630</v>
      </c>
      <c r="R464" s="2"/>
      <c r="S464" s="2"/>
      <c r="T464" s="2"/>
      <c r="U464" s="2" t="s">
        <v>39</v>
      </c>
      <c r="V464" s="2" t="s">
        <v>40</v>
      </c>
      <c r="W464" s="2" t="s">
        <v>4629</v>
      </c>
      <c r="X464" s="2" t="s">
        <v>4631</v>
      </c>
      <c r="Y464" s="2" t="s">
        <v>44</v>
      </c>
      <c r="Z464" s="2"/>
      <c r="AA464" s="2" t="s">
        <v>821</v>
      </c>
      <c r="AB464" s="2" t="s">
        <v>46</v>
      </c>
      <c r="AC464" s="2" t="s">
        <v>821</v>
      </c>
      <c r="AE464" s="2" t="s">
        <v>48</v>
      </c>
      <c r="AF464" s="2" t="s">
        <v>49</v>
      </c>
      <c r="AG464" s="2">
        <v>100</v>
      </c>
      <c r="AH464" s="2">
        <v>87</v>
      </c>
      <c r="AJ464" s="2" t="s">
        <v>4633</v>
      </c>
      <c r="AK464" s="2"/>
      <c r="AL464" s="2"/>
      <c r="AM464" s="2" t="s">
        <v>52</v>
      </c>
    </row>
    <row r="465" spans="1:39" x14ac:dyDescent="0.45">
      <c r="A465" s="2" t="s">
        <v>4634</v>
      </c>
      <c r="B465" s="2"/>
      <c r="C465" s="2" t="s">
        <v>4636</v>
      </c>
      <c r="D465" s="2" t="s">
        <v>4638</v>
      </c>
      <c r="E465" s="25"/>
      <c r="F465" s="21"/>
      <c r="G465" s="42" t="s">
        <v>28000</v>
      </c>
      <c r="H465" s="2" t="s">
        <v>50</v>
      </c>
      <c r="I465" s="2" t="s">
        <v>4641</v>
      </c>
      <c r="J465" s="2" t="s">
        <v>4635</v>
      </c>
      <c r="K465" s="2" t="s">
        <v>4637</v>
      </c>
      <c r="L465" s="2" t="s">
        <v>4639</v>
      </c>
      <c r="M465" s="2" t="s">
        <v>4639</v>
      </c>
      <c r="N465" s="2" t="s">
        <v>72</v>
      </c>
      <c r="O465" s="2" t="s">
        <v>73</v>
      </c>
      <c r="P465" s="2" t="s">
        <v>98</v>
      </c>
      <c r="Q465" s="2" t="s">
        <v>4640</v>
      </c>
      <c r="R465" s="2"/>
      <c r="S465" s="2"/>
      <c r="T465" s="2"/>
      <c r="U465" s="2" t="s">
        <v>72</v>
      </c>
      <c r="V465" s="2" t="s">
        <v>73</v>
      </c>
      <c r="W465" s="2" t="s">
        <v>98</v>
      </c>
      <c r="X465" s="2" t="s">
        <v>4631</v>
      </c>
      <c r="Y465" s="2" t="s">
        <v>44</v>
      </c>
      <c r="Z465" s="2"/>
      <c r="AA465" s="2" t="s">
        <v>821</v>
      </c>
      <c r="AB465" s="2" t="s">
        <v>46</v>
      </c>
      <c r="AC465" s="2" t="s">
        <v>821</v>
      </c>
      <c r="AE465" s="2" t="s">
        <v>48</v>
      </c>
      <c r="AF465" s="2" t="s">
        <v>49</v>
      </c>
      <c r="AG465" s="2">
        <v>100</v>
      </c>
      <c r="AH465" s="2">
        <v>87</v>
      </c>
      <c r="AJ465" s="2" t="s">
        <v>4642</v>
      </c>
      <c r="AK465" s="2"/>
      <c r="AL465" s="2"/>
      <c r="AM465" s="2" t="s">
        <v>52</v>
      </c>
    </row>
    <row r="466" spans="1:39" x14ac:dyDescent="0.45">
      <c r="A466" s="2" t="s">
        <v>4643</v>
      </c>
      <c r="B466" s="2"/>
      <c r="C466" s="2" t="s">
        <v>4645</v>
      </c>
      <c r="D466" s="2" t="s">
        <v>4647</v>
      </c>
      <c r="E466" s="25"/>
      <c r="F466" s="21"/>
      <c r="G466" s="42" t="s">
        <v>28000</v>
      </c>
      <c r="H466" s="2" t="s">
        <v>50</v>
      </c>
      <c r="I466" s="2" t="s">
        <v>4651</v>
      </c>
      <c r="J466" s="2" t="s">
        <v>4644</v>
      </c>
      <c r="K466" s="2" t="s">
        <v>4646</v>
      </c>
      <c r="L466" s="2" t="s">
        <v>4648</v>
      </c>
      <c r="M466" s="2" t="s">
        <v>4648</v>
      </c>
      <c r="N466" s="2" t="s">
        <v>59</v>
      </c>
      <c r="O466" s="2" t="s">
        <v>60</v>
      </c>
      <c r="P466" s="2" t="s">
        <v>4649</v>
      </c>
      <c r="Q466" s="2" t="s">
        <v>4650</v>
      </c>
      <c r="R466" s="2"/>
      <c r="S466" s="2"/>
      <c r="T466" s="2"/>
      <c r="U466" s="2" t="s">
        <v>59</v>
      </c>
      <c r="V466" s="2" t="s">
        <v>60</v>
      </c>
      <c r="W466" s="2" t="s">
        <v>4649</v>
      </c>
      <c r="X466" s="2" t="s">
        <v>3819</v>
      </c>
      <c r="Y466" s="2" t="s">
        <v>44</v>
      </c>
      <c r="Z466" s="2"/>
      <c r="AA466" s="2" t="s">
        <v>821</v>
      </c>
      <c r="AB466" s="2" t="s">
        <v>46</v>
      </c>
      <c r="AC466" s="2" t="s">
        <v>821</v>
      </c>
      <c r="AE466" s="2" t="s">
        <v>48</v>
      </c>
      <c r="AF466" s="2" t="s">
        <v>49</v>
      </c>
      <c r="AG466" s="2">
        <v>100</v>
      </c>
      <c r="AH466" s="2">
        <v>87</v>
      </c>
      <c r="AJ466" s="2" t="s">
        <v>4652</v>
      </c>
      <c r="AK466" s="2"/>
      <c r="AL466" s="2"/>
      <c r="AM466" s="2" t="s">
        <v>52</v>
      </c>
    </row>
    <row r="467" spans="1:39" x14ac:dyDescent="0.45">
      <c r="A467" s="2" t="s">
        <v>4653</v>
      </c>
      <c r="B467" s="2"/>
      <c r="C467" s="2" t="s">
        <v>4655</v>
      </c>
      <c r="D467" s="2" t="s">
        <v>4657</v>
      </c>
      <c r="E467" s="25"/>
      <c r="F467" s="21"/>
      <c r="G467" s="42" t="s">
        <v>28000</v>
      </c>
      <c r="H467" s="2" t="s">
        <v>50</v>
      </c>
      <c r="I467" s="2" t="s">
        <v>4660</v>
      </c>
      <c r="J467" s="2" t="s">
        <v>4654</v>
      </c>
      <c r="K467" s="2" t="s">
        <v>4656</v>
      </c>
      <c r="L467" s="2" t="s">
        <v>4658</v>
      </c>
      <c r="M467" s="2" t="s">
        <v>4658</v>
      </c>
      <c r="N467" s="2" t="s">
        <v>72</v>
      </c>
      <c r="O467" s="2" t="s">
        <v>73</v>
      </c>
      <c r="P467" s="2" t="s">
        <v>3571</v>
      </c>
      <c r="Q467" s="2" t="s">
        <v>4656</v>
      </c>
      <c r="R467" s="2"/>
      <c r="S467" s="2"/>
      <c r="T467" s="2"/>
      <c r="U467" s="2" t="s">
        <v>72</v>
      </c>
      <c r="V467" s="2" t="s">
        <v>73</v>
      </c>
      <c r="W467" s="2" t="s">
        <v>3571</v>
      </c>
      <c r="X467" s="2" t="s">
        <v>4659</v>
      </c>
      <c r="Y467" s="2" t="s">
        <v>44</v>
      </c>
      <c r="Z467" s="2"/>
      <c r="AA467" s="2" t="s">
        <v>821</v>
      </c>
      <c r="AB467" s="2" t="s">
        <v>46</v>
      </c>
      <c r="AC467" s="2" t="s">
        <v>821</v>
      </c>
      <c r="AE467" s="2" t="s">
        <v>48</v>
      </c>
      <c r="AF467" s="2" t="s">
        <v>49</v>
      </c>
      <c r="AG467" s="2">
        <v>100</v>
      </c>
      <c r="AH467" s="2">
        <v>87</v>
      </c>
      <c r="AJ467" s="2" t="s">
        <v>4661</v>
      </c>
      <c r="AK467" s="2"/>
      <c r="AL467" s="2"/>
      <c r="AM467" s="2" t="s">
        <v>52</v>
      </c>
    </row>
    <row r="468" spans="1:39" x14ac:dyDescent="0.45">
      <c r="A468" s="2" t="s">
        <v>4662</v>
      </c>
      <c r="B468" s="2"/>
      <c r="C468" s="2" t="s">
        <v>4664</v>
      </c>
      <c r="D468" s="2" t="s">
        <v>4666</v>
      </c>
      <c r="E468" s="25"/>
      <c r="F468" s="21"/>
      <c r="G468" s="42" t="s">
        <v>28000</v>
      </c>
      <c r="H468" s="2" t="s">
        <v>50</v>
      </c>
      <c r="I468" s="2" t="s">
        <v>4668</v>
      </c>
      <c r="J468" s="2" t="s">
        <v>4663</v>
      </c>
      <c r="K468" s="2" t="s">
        <v>4665</v>
      </c>
      <c r="L468" s="2" t="s">
        <v>4667</v>
      </c>
      <c r="M468" s="2" t="s">
        <v>4667</v>
      </c>
      <c r="N468" s="2" t="s">
        <v>277</v>
      </c>
      <c r="O468" s="2" t="s">
        <v>278</v>
      </c>
      <c r="P468" s="2" t="s">
        <v>279</v>
      </c>
      <c r="Q468" s="2" t="s">
        <v>4665</v>
      </c>
      <c r="R468" s="2"/>
      <c r="S468" s="2"/>
      <c r="T468" s="2"/>
      <c r="U468" s="2" t="s">
        <v>277</v>
      </c>
      <c r="V468" s="2" t="s">
        <v>278</v>
      </c>
      <c r="W468" s="2" t="s">
        <v>279</v>
      </c>
      <c r="X468" s="2" t="s">
        <v>3819</v>
      </c>
      <c r="Y468" s="2" t="s">
        <v>44</v>
      </c>
      <c r="Z468" s="2"/>
      <c r="AA468" s="2" t="s">
        <v>821</v>
      </c>
      <c r="AB468" s="2" t="s">
        <v>46</v>
      </c>
      <c r="AC468" s="2" t="s">
        <v>821</v>
      </c>
      <c r="AE468" s="2" t="s">
        <v>48</v>
      </c>
      <c r="AF468" s="2" t="s">
        <v>49</v>
      </c>
      <c r="AG468" s="2">
        <v>100</v>
      </c>
      <c r="AH468" s="2">
        <v>87</v>
      </c>
      <c r="AJ468" s="2" t="s">
        <v>4669</v>
      </c>
      <c r="AK468" s="2"/>
      <c r="AL468" s="2"/>
      <c r="AM468" s="2" t="s">
        <v>52</v>
      </c>
    </row>
    <row r="469" spans="1:39" x14ac:dyDescent="0.45">
      <c r="A469" s="2" t="s">
        <v>4670</v>
      </c>
      <c r="B469" s="2"/>
      <c r="C469" s="2" t="s">
        <v>4672</v>
      </c>
      <c r="D469" s="2" t="s">
        <v>4674</v>
      </c>
      <c r="E469" s="25"/>
      <c r="F469" s="21"/>
      <c r="G469" s="42" t="s">
        <v>28000</v>
      </c>
      <c r="H469" s="2" t="s">
        <v>50</v>
      </c>
      <c r="I469" s="2" t="s">
        <v>4677</v>
      </c>
      <c r="J469" s="2" t="s">
        <v>4671</v>
      </c>
      <c r="K469" s="2" t="s">
        <v>4673</v>
      </c>
      <c r="L469" s="2" t="s">
        <v>4675</v>
      </c>
      <c r="M469" s="2" t="s">
        <v>4675</v>
      </c>
      <c r="N469" s="2" t="s">
        <v>290</v>
      </c>
      <c r="O469" s="2" t="s">
        <v>278</v>
      </c>
      <c r="P469" s="2" t="s">
        <v>1460</v>
      </c>
      <c r="Q469" s="2" t="s">
        <v>4676</v>
      </c>
      <c r="R469" s="2"/>
      <c r="S469" s="2"/>
      <c r="T469" s="2"/>
      <c r="U469" s="2" t="s">
        <v>290</v>
      </c>
      <c r="V469" s="2" t="s">
        <v>278</v>
      </c>
      <c r="W469" s="2" t="s">
        <v>1460</v>
      </c>
      <c r="X469" s="2" t="s">
        <v>3819</v>
      </c>
      <c r="Y469" s="2" t="s">
        <v>44</v>
      </c>
      <c r="Z469" s="2"/>
      <c r="AA469" s="2" t="s">
        <v>821</v>
      </c>
      <c r="AB469" s="2" t="s">
        <v>46</v>
      </c>
      <c r="AC469" s="2" t="s">
        <v>821</v>
      </c>
      <c r="AE469" s="2" t="s">
        <v>48</v>
      </c>
      <c r="AF469" s="2" t="s">
        <v>49</v>
      </c>
      <c r="AG469" s="2">
        <v>100</v>
      </c>
      <c r="AH469" s="2">
        <v>87</v>
      </c>
      <c r="AJ469" s="2" t="s">
        <v>4678</v>
      </c>
      <c r="AK469" s="2"/>
      <c r="AL469" s="2"/>
      <c r="AM469" s="2" t="s">
        <v>52</v>
      </c>
    </row>
    <row r="470" spans="1:39" x14ac:dyDescent="0.45">
      <c r="A470" s="2" t="s">
        <v>4679</v>
      </c>
      <c r="B470" s="2"/>
      <c r="C470" s="2" t="s">
        <v>4681</v>
      </c>
      <c r="D470" s="2" t="s">
        <v>4683</v>
      </c>
      <c r="E470" s="25"/>
      <c r="F470" s="21"/>
      <c r="G470" s="42" t="s">
        <v>28000</v>
      </c>
      <c r="H470" s="2" t="s">
        <v>50</v>
      </c>
      <c r="I470" s="2" t="s">
        <v>4688</v>
      </c>
      <c r="J470" s="2" t="s">
        <v>4680</v>
      </c>
      <c r="K470" s="2" t="s">
        <v>4682</v>
      </c>
      <c r="L470" s="2" t="s">
        <v>4684</v>
      </c>
      <c r="M470" s="2" t="s">
        <v>4684</v>
      </c>
      <c r="N470" s="2" t="s">
        <v>59</v>
      </c>
      <c r="O470" s="2" t="s">
        <v>60</v>
      </c>
      <c r="P470" s="2" t="s">
        <v>4685</v>
      </c>
      <c r="Q470" s="2" t="s">
        <v>4686</v>
      </c>
      <c r="R470" s="2"/>
      <c r="S470" s="2"/>
      <c r="T470" s="2"/>
      <c r="U470" s="2" t="s">
        <v>59</v>
      </c>
      <c r="V470" s="2" t="s">
        <v>60</v>
      </c>
      <c r="W470" s="2" t="s">
        <v>2323</v>
      </c>
      <c r="X470" s="2" t="s">
        <v>4687</v>
      </c>
      <c r="Y470" s="2" t="s">
        <v>44</v>
      </c>
      <c r="Z470" s="2"/>
      <c r="AA470" s="2" t="s">
        <v>821</v>
      </c>
      <c r="AB470" s="2" t="s">
        <v>46</v>
      </c>
      <c r="AC470" s="2" t="s">
        <v>821</v>
      </c>
      <c r="AE470" s="2" t="s">
        <v>48</v>
      </c>
      <c r="AF470" s="2" t="s">
        <v>49</v>
      </c>
      <c r="AG470" s="2">
        <v>100</v>
      </c>
      <c r="AH470" s="2">
        <v>87</v>
      </c>
      <c r="AJ470" s="2" t="s">
        <v>4689</v>
      </c>
      <c r="AK470" s="2"/>
      <c r="AL470" s="2"/>
      <c r="AM470" s="2" t="s">
        <v>52</v>
      </c>
    </row>
    <row r="471" spans="1:39" x14ac:dyDescent="0.45">
      <c r="A471" s="2" t="s">
        <v>4690</v>
      </c>
      <c r="B471" s="2"/>
      <c r="C471" s="2" t="s">
        <v>4692</v>
      </c>
      <c r="D471" s="2" t="s">
        <v>4694</v>
      </c>
      <c r="E471" s="25"/>
      <c r="F471" s="21"/>
      <c r="G471" s="42" t="s">
        <v>28000</v>
      </c>
      <c r="H471" s="2" t="s">
        <v>50</v>
      </c>
      <c r="I471" s="2" t="s">
        <v>4696</v>
      </c>
      <c r="J471" s="2" t="s">
        <v>4691</v>
      </c>
      <c r="K471" s="2" t="s">
        <v>4693</v>
      </c>
      <c r="L471" s="2" t="s">
        <v>4695</v>
      </c>
      <c r="M471" s="2" t="s">
        <v>4695</v>
      </c>
      <c r="N471" s="2" t="s">
        <v>536</v>
      </c>
      <c r="O471" s="2" t="s">
        <v>537</v>
      </c>
      <c r="P471" s="2" t="s">
        <v>2431</v>
      </c>
      <c r="Q471" s="2" t="s">
        <v>4693</v>
      </c>
      <c r="R471" s="2"/>
      <c r="S471" s="2"/>
      <c r="T471" s="2"/>
      <c r="U471" s="2" t="s">
        <v>536</v>
      </c>
      <c r="V471" s="2" t="s">
        <v>537</v>
      </c>
      <c r="W471" s="2" t="s">
        <v>2431</v>
      </c>
      <c r="X471" s="2" t="s">
        <v>2520</v>
      </c>
      <c r="Y471" s="2" t="s">
        <v>44</v>
      </c>
      <c r="Z471" s="2"/>
      <c r="AA471" s="2" t="s">
        <v>821</v>
      </c>
      <c r="AB471" s="2" t="s">
        <v>46</v>
      </c>
      <c r="AC471" s="2" t="s">
        <v>821</v>
      </c>
      <c r="AE471" s="2" t="s">
        <v>48</v>
      </c>
      <c r="AF471" s="2" t="s">
        <v>49</v>
      </c>
      <c r="AG471" s="2">
        <v>100</v>
      </c>
      <c r="AH471" s="2">
        <v>87</v>
      </c>
      <c r="AJ471" s="2" t="s">
        <v>4697</v>
      </c>
      <c r="AK471" s="2"/>
      <c r="AL471" s="2"/>
      <c r="AM471" s="2" t="s">
        <v>52</v>
      </c>
    </row>
    <row r="472" spans="1:39" x14ac:dyDescent="0.45">
      <c r="A472" s="2" t="s">
        <v>4698</v>
      </c>
      <c r="B472" s="2"/>
      <c r="C472" s="2" t="s">
        <v>4700</v>
      </c>
      <c r="D472" s="2" t="s">
        <v>4702</v>
      </c>
      <c r="E472" s="25"/>
      <c r="F472" s="21"/>
      <c r="G472" s="42" t="s">
        <v>28000</v>
      </c>
      <c r="H472" s="2" t="s">
        <v>50</v>
      </c>
      <c r="I472" s="2" t="s">
        <v>4705</v>
      </c>
      <c r="J472" s="2" t="s">
        <v>4699</v>
      </c>
      <c r="K472" s="2" t="s">
        <v>4701</v>
      </c>
      <c r="L472" s="2" t="s">
        <v>4703</v>
      </c>
      <c r="M472" s="2" t="s">
        <v>4703</v>
      </c>
      <c r="N472" s="2" t="s">
        <v>85</v>
      </c>
      <c r="O472" s="2" t="s">
        <v>86</v>
      </c>
      <c r="P472" s="2" t="s">
        <v>87</v>
      </c>
      <c r="Q472" s="2" t="s">
        <v>4704</v>
      </c>
      <c r="R472" s="2"/>
      <c r="S472" s="2"/>
      <c r="T472" s="2"/>
      <c r="U472" s="2" t="s">
        <v>1188</v>
      </c>
      <c r="V472" s="2" t="s">
        <v>221</v>
      </c>
      <c r="W472" s="2" t="s">
        <v>1189</v>
      </c>
      <c r="X472" s="2" t="s">
        <v>1082</v>
      </c>
      <c r="Y472" s="2" t="s">
        <v>44</v>
      </c>
      <c r="Z472" s="2"/>
      <c r="AA472" s="2" t="s">
        <v>821</v>
      </c>
      <c r="AB472" s="2" t="s">
        <v>46</v>
      </c>
      <c r="AC472" s="2" t="s">
        <v>821</v>
      </c>
      <c r="AE472" s="2" t="s">
        <v>48</v>
      </c>
      <c r="AF472" s="2" t="s">
        <v>49</v>
      </c>
      <c r="AG472" s="2">
        <v>100</v>
      </c>
      <c r="AH472" s="2">
        <v>87</v>
      </c>
      <c r="AJ472" s="2" t="s">
        <v>4706</v>
      </c>
      <c r="AK472" s="2"/>
      <c r="AL472" s="2"/>
      <c r="AM472" s="2" t="s">
        <v>52</v>
      </c>
    </row>
    <row r="473" spans="1:39" x14ac:dyDescent="0.45">
      <c r="A473" s="2" t="s">
        <v>4707</v>
      </c>
      <c r="B473" s="2"/>
      <c r="C473" s="2" t="s">
        <v>4709</v>
      </c>
      <c r="D473" s="2" t="s">
        <v>4711</v>
      </c>
      <c r="E473" s="25"/>
      <c r="F473" s="21"/>
      <c r="G473" s="42" t="s">
        <v>28000</v>
      </c>
      <c r="H473" s="2" t="s">
        <v>50</v>
      </c>
      <c r="I473" s="2" t="s">
        <v>4714</v>
      </c>
      <c r="J473" s="2" t="s">
        <v>4708</v>
      </c>
      <c r="K473" s="2" t="s">
        <v>4710</v>
      </c>
      <c r="L473" s="2" t="s">
        <v>4712</v>
      </c>
      <c r="M473" s="2" t="s">
        <v>4712</v>
      </c>
      <c r="N473" s="2" t="s">
        <v>290</v>
      </c>
      <c r="O473" s="2" t="s">
        <v>278</v>
      </c>
      <c r="P473" s="2" t="s">
        <v>1460</v>
      </c>
      <c r="Q473" s="2" t="s">
        <v>4710</v>
      </c>
      <c r="R473" s="2"/>
      <c r="S473" s="2"/>
      <c r="T473" s="2"/>
      <c r="U473" s="2" t="s">
        <v>290</v>
      </c>
      <c r="V473" s="2" t="s">
        <v>278</v>
      </c>
      <c r="W473" s="2" t="s">
        <v>1460</v>
      </c>
      <c r="X473" s="2" t="s">
        <v>4713</v>
      </c>
      <c r="Y473" s="2" t="s">
        <v>44</v>
      </c>
      <c r="Z473" s="2"/>
      <c r="AA473" s="2" t="s">
        <v>821</v>
      </c>
      <c r="AB473" s="2" t="s">
        <v>46</v>
      </c>
      <c r="AC473" s="2" t="s">
        <v>821</v>
      </c>
      <c r="AE473" s="2" t="s">
        <v>48</v>
      </c>
      <c r="AF473" s="2" t="s">
        <v>49</v>
      </c>
      <c r="AG473" s="2">
        <v>100</v>
      </c>
      <c r="AH473" s="2">
        <v>87</v>
      </c>
      <c r="AJ473" s="2" t="s">
        <v>4715</v>
      </c>
      <c r="AK473" s="2"/>
      <c r="AL473" s="2"/>
      <c r="AM473" s="2" t="s">
        <v>52</v>
      </c>
    </row>
    <row r="474" spans="1:39" x14ac:dyDescent="0.45">
      <c r="A474" s="2" t="s">
        <v>4716</v>
      </c>
      <c r="B474" s="2"/>
      <c r="C474" s="2" t="s">
        <v>4718</v>
      </c>
      <c r="D474" s="2" t="s">
        <v>4720</v>
      </c>
      <c r="E474" s="25"/>
      <c r="F474" s="21"/>
      <c r="G474" s="42" t="s">
        <v>28000</v>
      </c>
      <c r="H474" s="2" t="s">
        <v>50</v>
      </c>
      <c r="I474" s="2" t="s">
        <v>4723</v>
      </c>
      <c r="J474" s="2" t="s">
        <v>4717</v>
      </c>
      <c r="K474" s="2" t="s">
        <v>4719</v>
      </c>
      <c r="L474" s="2" t="s">
        <v>4721</v>
      </c>
      <c r="M474" s="2" t="s">
        <v>4721</v>
      </c>
      <c r="N474" s="2" t="s">
        <v>324</v>
      </c>
      <c r="O474" s="2" t="s">
        <v>73</v>
      </c>
      <c r="P474" s="2" t="s">
        <v>2072</v>
      </c>
      <c r="Q474" s="2" t="s">
        <v>4722</v>
      </c>
      <c r="R474" s="2"/>
      <c r="S474" s="2"/>
      <c r="T474" s="2"/>
      <c r="U474" s="2" t="s">
        <v>324</v>
      </c>
      <c r="V474" s="2" t="s">
        <v>73</v>
      </c>
      <c r="W474" s="2" t="s">
        <v>2072</v>
      </c>
      <c r="X474" s="2" t="s">
        <v>4713</v>
      </c>
      <c r="Y474" s="2" t="s">
        <v>44</v>
      </c>
      <c r="Z474" s="2"/>
      <c r="AA474" s="2" t="s">
        <v>821</v>
      </c>
      <c r="AB474" s="2" t="s">
        <v>46</v>
      </c>
      <c r="AC474" s="2" t="s">
        <v>821</v>
      </c>
      <c r="AE474" s="2" t="s">
        <v>48</v>
      </c>
      <c r="AF474" s="2" t="s">
        <v>49</v>
      </c>
      <c r="AG474" s="2">
        <v>100</v>
      </c>
      <c r="AH474" s="2">
        <v>87</v>
      </c>
      <c r="AJ474" s="2" t="s">
        <v>4724</v>
      </c>
      <c r="AK474" s="2"/>
      <c r="AL474" s="2"/>
      <c r="AM474" s="2" t="s">
        <v>52</v>
      </c>
    </row>
    <row r="475" spans="1:39" x14ac:dyDescent="0.45">
      <c r="A475" s="2" t="s">
        <v>4725</v>
      </c>
      <c r="B475" s="2"/>
      <c r="C475" s="2" t="s">
        <v>4727</v>
      </c>
      <c r="D475" s="2" t="s">
        <v>4729</v>
      </c>
      <c r="E475" s="25"/>
      <c r="F475" s="21"/>
      <c r="G475" s="42" t="s">
        <v>28000</v>
      </c>
      <c r="H475" s="2" t="s">
        <v>50</v>
      </c>
      <c r="I475" s="2" t="s">
        <v>4733</v>
      </c>
      <c r="J475" s="2" t="s">
        <v>4726</v>
      </c>
      <c r="K475" s="2" t="s">
        <v>4728</v>
      </c>
      <c r="L475" s="2" t="s">
        <v>4730</v>
      </c>
      <c r="M475" s="2" t="s">
        <v>4730</v>
      </c>
      <c r="N475" s="2" t="s">
        <v>85</v>
      </c>
      <c r="O475" s="2" t="s">
        <v>86</v>
      </c>
      <c r="P475" s="2" t="s">
        <v>4731</v>
      </c>
      <c r="Q475" s="2" t="s">
        <v>4732</v>
      </c>
      <c r="R475" s="2"/>
      <c r="S475" s="2"/>
      <c r="T475" s="2"/>
      <c r="U475" s="2" t="s">
        <v>85</v>
      </c>
      <c r="V475" s="2" t="s">
        <v>86</v>
      </c>
      <c r="W475" s="2" t="s">
        <v>4731</v>
      </c>
      <c r="X475" s="2" t="s">
        <v>4713</v>
      </c>
      <c r="Y475" s="2" t="s">
        <v>44</v>
      </c>
      <c r="Z475" s="2"/>
      <c r="AA475" s="2" t="s">
        <v>821</v>
      </c>
      <c r="AB475" s="2" t="s">
        <v>46</v>
      </c>
      <c r="AC475" s="2" t="s">
        <v>821</v>
      </c>
      <c r="AE475" s="2" t="s">
        <v>48</v>
      </c>
      <c r="AF475" s="2" t="s">
        <v>49</v>
      </c>
      <c r="AG475" s="2">
        <v>100</v>
      </c>
      <c r="AH475" s="2">
        <v>87</v>
      </c>
      <c r="AJ475" s="2" t="s">
        <v>4734</v>
      </c>
      <c r="AK475" s="2"/>
      <c r="AL475" s="2"/>
      <c r="AM475" s="2" t="s">
        <v>52</v>
      </c>
    </row>
    <row r="476" spans="1:39" x14ac:dyDescent="0.45">
      <c r="A476" s="2" t="s">
        <v>4735</v>
      </c>
      <c r="B476" s="2"/>
      <c r="C476" s="2" t="s">
        <v>4737</v>
      </c>
      <c r="D476" s="2" t="s">
        <v>4739</v>
      </c>
      <c r="E476" s="25"/>
      <c r="F476" s="21"/>
      <c r="G476" s="42" t="s">
        <v>28000</v>
      </c>
      <c r="H476" s="2" t="s">
        <v>50</v>
      </c>
      <c r="I476" s="2" t="s">
        <v>4743</v>
      </c>
      <c r="J476" s="2" t="s">
        <v>4736</v>
      </c>
      <c r="K476" s="2" t="s">
        <v>4738</v>
      </c>
      <c r="L476" s="2" t="s">
        <v>4740</v>
      </c>
      <c r="M476" s="2" t="s">
        <v>4740</v>
      </c>
      <c r="N476" s="2" t="s">
        <v>72</v>
      </c>
      <c r="O476" s="2" t="s">
        <v>73</v>
      </c>
      <c r="P476" s="2" t="s">
        <v>1430</v>
      </c>
      <c r="Q476" s="2" t="s">
        <v>4741</v>
      </c>
      <c r="R476" s="2"/>
      <c r="S476" s="2"/>
      <c r="T476" s="2"/>
      <c r="U476" s="2" t="s">
        <v>72</v>
      </c>
      <c r="V476" s="2" t="s">
        <v>73</v>
      </c>
      <c r="W476" s="2" t="s">
        <v>2372</v>
      </c>
      <c r="X476" s="2" t="s">
        <v>4742</v>
      </c>
      <c r="Y476" s="2" t="s">
        <v>44</v>
      </c>
      <c r="Z476" s="2"/>
      <c r="AA476" s="2" t="s">
        <v>821</v>
      </c>
      <c r="AB476" s="2" t="s">
        <v>46</v>
      </c>
      <c r="AC476" s="2" t="s">
        <v>821</v>
      </c>
      <c r="AE476" s="2" t="s">
        <v>48</v>
      </c>
      <c r="AF476" s="2" t="s">
        <v>49</v>
      </c>
      <c r="AG476" s="2">
        <v>100</v>
      </c>
      <c r="AH476" s="2">
        <v>87</v>
      </c>
      <c r="AJ476" s="2" t="s">
        <v>4744</v>
      </c>
      <c r="AK476" s="2"/>
      <c r="AL476" s="2"/>
      <c r="AM476" s="2" t="s">
        <v>52</v>
      </c>
    </row>
    <row r="477" spans="1:39" x14ac:dyDescent="0.45">
      <c r="A477" s="2" t="s">
        <v>4745</v>
      </c>
      <c r="B477" s="2"/>
      <c r="C477" s="2" t="s">
        <v>4747</v>
      </c>
      <c r="D477" s="2" t="s">
        <v>4749</v>
      </c>
      <c r="E477" s="25"/>
      <c r="F477" s="21"/>
      <c r="G477" s="42" t="s">
        <v>28000</v>
      </c>
      <c r="H477" s="2" t="s">
        <v>50</v>
      </c>
      <c r="I477" s="2" t="s">
        <v>4754</v>
      </c>
      <c r="J477" s="2" t="s">
        <v>4746</v>
      </c>
      <c r="K477" s="2" t="s">
        <v>4748</v>
      </c>
      <c r="L477" s="2" t="s">
        <v>4750</v>
      </c>
      <c r="M477" s="2" t="s">
        <v>4750</v>
      </c>
      <c r="N477" s="2" t="s">
        <v>59</v>
      </c>
      <c r="O477" s="2" t="s">
        <v>60</v>
      </c>
      <c r="P477" s="2" t="s">
        <v>4751</v>
      </c>
      <c r="Q477" s="2" t="s">
        <v>4752</v>
      </c>
      <c r="R477" s="2"/>
      <c r="S477" s="2"/>
      <c r="T477" s="2"/>
      <c r="U477" s="2" t="s">
        <v>59</v>
      </c>
      <c r="V477" s="2" t="s">
        <v>60</v>
      </c>
      <c r="W477" s="2" t="s">
        <v>4751</v>
      </c>
      <c r="X477" s="2" t="s">
        <v>4753</v>
      </c>
      <c r="Y477" s="2" t="s">
        <v>44</v>
      </c>
      <c r="Z477" s="2"/>
      <c r="AA477" s="2" t="s">
        <v>821</v>
      </c>
      <c r="AB477" s="2" t="s">
        <v>46</v>
      </c>
      <c r="AC477" s="2" t="s">
        <v>821</v>
      </c>
      <c r="AE477" s="2" t="s">
        <v>48</v>
      </c>
      <c r="AF477" s="2" t="s">
        <v>49</v>
      </c>
      <c r="AG477" s="2">
        <v>100</v>
      </c>
      <c r="AH477" s="2">
        <v>87</v>
      </c>
      <c r="AJ477" s="2" t="s">
        <v>4755</v>
      </c>
      <c r="AK477" s="2"/>
      <c r="AL477" s="2"/>
      <c r="AM477" s="2" t="s">
        <v>52</v>
      </c>
    </row>
    <row r="478" spans="1:39" x14ac:dyDescent="0.45">
      <c r="A478" s="2" t="s">
        <v>4756</v>
      </c>
      <c r="B478" s="2"/>
      <c r="C478" s="2" t="s">
        <v>4758</v>
      </c>
      <c r="D478" s="2" t="s">
        <v>4760</v>
      </c>
      <c r="E478" s="25"/>
      <c r="F478" s="21"/>
      <c r="G478" s="42" t="s">
        <v>28000</v>
      </c>
      <c r="H478" s="2" t="s">
        <v>50</v>
      </c>
      <c r="I478" s="2" t="s">
        <v>4764</v>
      </c>
      <c r="J478" s="2" t="s">
        <v>4757</v>
      </c>
      <c r="K478" s="2" t="s">
        <v>4759</v>
      </c>
      <c r="L478" s="2" t="s">
        <v>4761</v>
      </c>
      <c r="M478" s="2" t="s">
        <v>4761</v>
      </c>
      <c r="N478" s="2" t="s">
        <v>651</v>
      </c>
      <c r="O478" s="2" t="s">
        <v>86</v>
      </c>
      <c r="P478" s="2" t="s">
        <v>4762</v>
      </c>
      <c r="Q478" s="2" t="s">
        <v>4759</v>
      </c>
      <c r="R478" s="2"/>
      <c r="S478" s="2"/>
      <c r="T478" s="2"/>
      <c r="U478" s="2" t="s">
        <v>651</v>
      </c>
      <c r="V478" s="2" t="s">
        <v>86</v>
      </c>
      <c r="W478" s="2" t="s">
        <v>4762</v>
      </c>
      <c r="X478" s="2" t="s">
        <v>4763</v>
      </c>
      <c r="Y478" s="2" t="s">
        <v>44</v>
      </c>
      <c r="Z478" s="2"/>
      <c r="AA478" s="2" t="s">
        <v>821</v>
      </c>
      <c r="AB478" s="2" t="s">
        <v>46</v>
      </c>
      <c r="AC478" s="2" t="s">
        <v>821</v>
      </c>
      <c r="AE478" s="2" t="s">
        <v>48</v>
      </c>
      <c r="AF478" s="2" t="s">
        <v>49</v>
      </c>
      <c r="AG478" s="2">
        <v>100</v>
      </c>
      <c r="AH478" s="2">
        <v>87</v>
      </c>
      <c r="AJ478" s="2" t="s">
        <v>4765</v>
      </c>
      <c r="AK478" s="2"/>
      <c r="AL478" s="2"/>
      <c r="AM478" s="2" t="s">
        <v>52</v>
      </c>
    </row>
    <row r="479" spans="1:39" x14ac:dyDescent="0.45">
      <c r="A479" s="2" t="s">
        <v>4766</v>
      </c>
      <c r="B479" s="2"/>
      <c r="C479" s="2" t="s">
        <v>4768</v>
      </c>
      <c r="D479" s="2" t="s">
        <v>4770</v>
      </c>
      <c r="E479" s="25"/>
      <c r="F479" s="21"/>
      <c r="G479" s="42" t="s">
        <v>28000</v>
      </c>
      <c r="H479" s="2" t="s">
        <v>50</v>
      </c>
      <c r="I479" s="2" t="s">
        <v>4774</v>
      </c>
      <c r="J479" s="2" t="s">
        <v>4767</v>
      </c>
      <c r="K479" s="2" t="s">
        <v>4769</v>
      </c>
      <c r="L479" s="2" t="s">
        <v>4771</v>
      </c>
      <c r="M479" s="2" t="s">
        <v>4771</v>
      </c>
      <c r="N479" s="2" t="s">
        <v>72</v>
      </c>
      <c r="O479" s="2" t="s">
        <v>73</v>
      </c>
      <c r="P479" s="2" t="s">
        <v>464</v>
      </c>
      <c r="Q479" s="2" t="s">
        <v>4772</v>
      </c>
      <c r="R479" s="2"/>
      <c r="S479" s="2"/>
      <c r="T479" s="2"/>
      <c r="U479" s="2" t="s">
        <v>72</v>
      </c>
      <c r="V479" s="2" t="s">
        <v>73</v>
      </c>
      <c r="W479" s="2" t="s">
        <v>464</v>
      </c>
      <c r="X479" s="2" t="s">
        <v>4773</v>
      </c>
      <c r="Y479" s="2" t="s">
        <v>44</v>
      </c>
      <c r="Z479" s="2"/>
      <c r="AA479" s="2" t="s">
        <v>821</v>
      </c>
      <c r="AB479" s="2" t="s">
        <v>46</v>
      </c>
      <c r="AC479" s="2" t="s">
        <v>821</v>
      </c>
      <c r="AE479" s="2" t="s">
        <v>48</v>
      </c>
      <c r="AF479" s="2" t="s">
        <v>49</v>
      </c>
      <c r="AG479" s="2">
        <v>100</v>
      </c>
      <c r="AH479" s="2">
        <v>87</v>
      </c>
      <c r="AJ479" s="2" t="s">
        <v>4775</v>
      </c>
      <c r="AK479" s="2"/>
      <c r="AL479" s="2"/>
      <c r="AM479" s="2" t="s">
        <v>52</v>
      </c>
    </row>
    <row r="480" spans="1:39" x14ac:dyDescent="0.45">
      <c r="A480" s="2" t="s">
        <v>4776</v>
      </c>
      <c r="B480" s="2"/>
      <c r="C480" s="2" t="s">
        <v>4778</v>
      </c>
      <c r="D480" s="2" t="s">
        <v>4780</v>
      </c>
      <c r="E480" s="25"/>
      <c r="F480" s="21"/>
      <c r="G480" s="42" t="s">
        <v>28000</v>
      </c>
      <c r="H480" s="2" t="s">
        <v>50</v>
      </c>
      <c r="I480" s="2" t="s">
        <v>4783</v>
      </c>
      <c r="J480" s="2" t="s">
        <v>4777</v>
      </c>
      <c r="K480" s="2" t="s">
        <v>4779</v>
      </c>
      <c r="L480" s="2" t="s">
        <v>4781</v>
      </c>
      <c r="M480" s="2" t="s">
        <v>4781</v>
      </c>
      <c r="N480" s="2" t="s">
        <v>384</v>
      </c>
      <c r="O480" s="2" t="s">
        <v>73</v>
      </c>
      <c r="P480" s="2" t="s">
        <v>953</v>
      </c>
      <c r="Q480" s="2" t="s">
        <v>4779</v>
      </c>
      <c r="R480" s="2"/>
      <c r="S480" s="2"/>
      <c r="T480" s="2"/>
      <c r="U480" s="2" t="s">
        <v>384</v>
      </c>
      <c r="V480" s="2" t="s">
        <v>73</v>
      </c>
      <c r="W480" s="2" t="s">
        <v>953</v>
      </c>
      <c r="X480" s="2" t="s">
        <v>4782</v>
      </c>
      <c r="Y480" s="2" t="s">
        <v>44</v>
      </c>
      <c r="Z480" s="2"/>
      <c r="AA480" s="2" t="s">
        <v>821</v>
      </c>
      <c r="AB480" s="2" t="s">
        <v>46</v>
      </c>
      <c r="AC480" s="2" t="s">
        <v>821</v>
      </c>
      <c r="AE480" s="2" t="s">
        <v>48</v>
      </c>
      <c r="AF480" s="2" t="s">
        <v>49</v>
      </c>
      <c r="AG480" s="2">
        <v>100</v>
      </c>
      <c r="AH480" s="2">
        <v>87</v>
      </c>
      <c r="AJ480" s="2" t="s">
        <v>4784</v>
      </c>
      <c r="AK480" s="2"/>
      <c r="AL480" s="2"/>
      <c r="AM480" s="2" t="s">
        <v>52</v>
      </c>
    </row>
    <row r="481" spans="1:39" x14ac:dyDescent="0.45">
      <c r="A481" s="2" t="s">
        <v>4785</v>
      </c>
      <c r="B481" s="2"/>
      <c r="C481" s="2" t="s">
        <v>4787</v>
      </c>
      <c r="D481" s="2" t="s">
        <v>4789</v>
      </c>
      <c r="E481" s="25"/>
      <c r="F481" s="21"/>
      <c r="G481" s="42" t="s">
        <v>28000</v>
      </c>
      <c r="H481" s="2" t="s">
        <v>50</v>
      </c>
      <c r="I481" s="2" t="s">
        <v>4792</v>
      </c>
      <c r="J481" s="2" t="s">
        <v>4786</v>
      </c>
      <c r="K481" s="2" t="s">
        <v>4788</v>
      </c>
      <c r="L481" s="2" t="s">
        <v>4790</v>
      </c>
      <c r="M481" s="2" t="s">
        <v>4790</v>
      </c>
      <c r="N481" s="2" t="s">
        <v>72</v>
      </c>
      <c r="O481" s="2" t="s">
        <v>73</v>
      </c>
      <c r="P481" s="2" t="s">
        <v>1568</v>
      </c>
      <c r="Q481" s="2" t="s">
        <v>4788</v>
      </c>
      <c r="R481" s="2"/>
      <c r="S481" s="2"/>
      <c r="T481" s="2"/>
      <c r="U481" s="2" t="s">
        <v>72</v>
      </c>
      <c r="V481" s="2" t="s">
        <v>73</v>
      </c>
      <c r="W481" s="2" t="s">
        <v>1568</v>
      </c>
      <c r="X481" s="2" t="s">
        <v>4791</v>
      </c>
      <c r="Y481" s="2" t="s">
        <v>44</v>
      </c>
      <c r="Z481" s="2"/>
      <c r="AA481" s="2" t="s">
        <v>821</v>
      </c>
      <c r="AB481" s="2" t="s">
        <v>46</v>
      </c>
      <c r="AC481" s="2" t="s">
        <v>821</v>
      </c>
      <c r="AE481" s="2" t="s">
        <v>48</v>
      </c>
      <c r="AF481" s="2" t="s">
        <v>49</v>
      </c>
      <c r="AG481" s="2">
        <v>100</v>
      </c>
      <c r="AH481" s="2">
        <v>87</v>
      </c>
      <c r="AJ481" s="2" t="s">
        <v>4793</v>
      </c>
      <c r="AK481" s="2"/>
      <c r="AL481" s="2"/>
      <c r="AM481" s="2" t="s">
        <v>52</v>
      </c>
    </row>
    <row r="482" spans="1:39" x14ac:dyDescent="0.45">
      <c r="A482" s="2" t="s">
        <v>4794</v>
      </c>
      <c r="B482" s="2"/>
      <c r="C482" s="2" t="s">
        <v>4796</v>
      </c>
      <c r="D482" s="2" t="s">
        <v>4798</v>
      </c>
      <c r="E482" s="25"/>
      <c r="F482" s="21"/>
      <c r="G482" s="42" t="s">
        <v>28000</v>
      </c>
      <c r="H482" s="2" t="s">
        <v>50</v>
      </c>
      <c r="I482" s="2" t="s">
        <v>4801</v>
      </c>
      <c r="J482" s="2" t="s">
        <v>4795</v>
      </c>
      <c r="K482" s="2" t="s">
        <v>4797</v>
      </c>
      <c r="L482" s="2" t="s">
        <v>4799</v>
      </c>
      <c r="M482" s="2" t="s">
        <v>4799</v>
      </c>
      <c r="N482" s="2" t="s">
        <v>1023</v>
      </c>
      <c r="O482" s="2" t="s">
        <v>73</v>
      </c>
      <c r="P482" s="2" t="s">
        <v>1024</v>
      </c>
      <c r="Q482" s="2" t="s">
        <v>4797</v>
      </c>
      <c r="R482" s="2"/>
      <c r="S482" s="2"/>
      <c r="T482" s="2"/>
      <c r="U482" s="2" t="s">
        <v>1023</v>
      </c>
      <c r="V482" s="2" t="s">
        <v>73</v>
      </c>
      <c r="W482" s="2" t="s">
        <v>1024</v>
      </c>
      <c r="X482" s="2" t="s">
        <v>4800</v>
      </c>
      <c r="Y482" s="2" t="s">
        <v>44</v>
      </c>
      <c r="Z482" s="2"/>
      <c r="AA482" s="2" t="s">
        <v>821</v>
      </c>
      <c r="AB482" s="2" t="s">
        <v>46</v>
      </c>
      <c r="AC482" s="2" t="s">
        <v>821</v>
      </c>
      <c r="AE482" s="2" t="s">
        <v>48</v>
      </c>
      <c r="AF482" s="2" t="s">
        <v>49</v>
      </c>
      <c r="AG482" s="2">
        <v>100</v>
      </c>
      <c r="AH482" s="2">
        <v>87</v>
      </c>
      <c r="AJ482" s="2" t="s">
        <v>4802</v>
      </c>
      <c r="AK482" s="2"/>
      <c r="AL482" s="2"/>
      <c r="AM482" s="2" t="s">
        <v>52</v>
      </c>
    </row>
    <row r="483" spans="1:39" x14ac:dyDescent="0.45">
      <c r="A483" s="2" t="s">
        <v>4803</v>
      </c>
      <c r="B483" s="2"/>
      <c r="C483" s="2" t="s">
        <v>4805</v>
      </c>
      <c r="D483" s="2" t="s">
        <v>4807</v>
      </c>
      <c r="E483" s="25"/>
      <c r="F483" s="21"/>
      <c r="G483" s="42" t="s">
        <v>28000</v>
      </c>
      <c r="H483" s="2" t="s">
        <v>50</v>
      </c>
      <c r="I483" s="2" t="s">
        <v>4811</v>
      </c>
      <c r="J483" s="2" t="s">
        <v>4804</v>
      </c>
      <c r="K483" s="2" t="s">
        <v>4806</v>
      </c>
      <c r="L483" s="2" t="s">
        <v>4808</v>
      </c>
      <c r="M483" s="2" t="s">
        <v>4808</v>
      </c>
      <c r="N483" s="2" t="s">
        <v>59</v>
      </c>
      <c r="O483" s="2" t="s">
        <v>60</v>
      </c>
      <c r="P483" s="2" t="s">
        <v>1640</v>
      </c>
      <c r="Q483" s="2" t="s">
        <v>4809</v>
      </c>
      <c r="R483" s="2"/>
      <c r="S483" s="2"/>
      <c r="T483" s="2"/>
      <c r="U483" s="2" t="s">
        <v>59</v>
      </c>
      <c r="V483" s="2" t="s">
        <v>60</v>
      </c>
      <c r="W483" s="2" t="s">
        <v>1589</v>
      </c>
      <c r="X483" s="2" t="s">
        <v>4810</v>
      </c>
      <c r="Y483" s="2" t="s">
        <v>44</v>
      </c>
      <c r="Z483" s="2"/>
      <c r="AA483" s="2" t="s">
        <v>821</v>
      </c>
      <c r="AB483" s="2" t="s">
        <v>199</v>
      </c>
      <c r="AC483" s="2" t="s">
        <v>821</v>
      </c>
      <c r="AE483" s="2" t="s">
        <v>48</v>
      </c>
      <c r="AF483" s="2" t="s">
        <v>49</v>
      </c>
      <c r="AG483" s="2">
        <v>100</v>
      </c>
      <c r="AH483" s="2">
        <v>87</v>
      </c>
      <c r="AJ483" s="2" t="s">
        <v>4812</v>
      </c>
      <c r="AK483" s="2"/>
      <c r="AL483" s="2"/>
      <c r="AM483" s="2" t="s">
        <v>52</v>
      </c>
    </row>
    <row r="484" spans="1:39" x14ac:dyDescent="0.45">
      <c r="A484" s="2" t="s">
        <v>4813</v>
      </c>
      <c r="B484" s="2"/>
      <c r="C484" s="2" t="s">
        <v>4815</v>
      </c>
      <c r="D484" s="2" t="s">
        <v>4817</v>
      </c>
      <c r="E484" s="25"/>
      <c r="F484" s="21"/>
      <c r="G484" s="42" t="s">
        <v>28000</v>
      </c>
      <c r="H484" s="2" t="s">
        <v>50</v>
      </c>
      <c r="I484" s="2" t="s">
        <v>4822</v>
      </c>
      <c r="J484" s="2" t="s">
        <v>4814</v>
      </c>
      <c r="K484" s="2" t="s">
        <v>4816</v>
      </c>
      <c r="L484" s="2" t="s">
        <v>4818</v>
      </c>
      <c r="M484" s="2" t="s">
        <v>4818</v>
      </c>
      <c r="N484" s="2" t="s">
        <v>85</v>
      </c>
      <c r="O484" s="2" t="s">
        <v>86</v>
      </c>
      <c r="P484" s="2" t="s">
        <v>4819</v>
      </c>
      <c r="Q484" s="2" t="s">
        <v>4820</v>
      </c>
      <c r="R484" s="2"/>
      <c r="S484" s="2"/>
      <c r="T484" s="2"/>
      <c r="U484" s="2" t="s">
        <v>216</v>
      </c>
      <c r="V484" s="2" t="s">
        <v>217</v>
      </c>
      <c r="W484" s="2" t="s">
        <v>218</v>
      </c>
      <c r="X484" s="2" t="s">
        <v>4821</v>
      </c>
      <c r="Y484" s="2" t="s">
        <v>44</v>
      </c>
      <c r="Z484" s="2"/>
      <c r="AA484" s="2" t="s">
        <v>821</v>
      </c>
      <c r="AB484" s="2" t="s">
        <v>46</v>
      </c>
      <c r="AC484" s="2" t="s">
        <v>821</v>
      </c>
      <c r="AE484" s="2" t="s">
        <v>48</v>
      </c>
      <c r="AF484" s="2" t="s">
        <v>49</v>
      </c>
      <c r="AG484" s="2">
        <v>100</v>
      </c>
      <c r="AH484" s="2">
        <v>87</v>
      </c>
      <c r="AJ484" s="2" t="s">
        <v>4823</v>
      </c>
      <c r="AK484" s="2"/>
      <c r="AL484" s="2"/>
      <c r="AM484" s="2" t="s">
        <v>52</v>
      </c>
    </row>
    <row r="485" spans="1:39" x14ac:dyDescent="0.45">
      <c r="A485" s="2" t="s">
        <v>4824</v>
      </c>
      <c r="B485" s="2"/>
      <c r="C485" s="2" t="s">
        <v>4826</v>
      </c>
      <c r="D485" s="2" t="s">
        <v>4828</v>
      </c>
      <c r="E485" s="25"/>
      <c r="F485" s="21"/>
      <c r="G485" s="42" t="s">
        <v>28000</v>
      </c>
      <c r="H485" s="2" t="s">
        <v>50</v>
      </c>
      <c r="I485" s="2" t="s">
        <v>4832</v>
      </c>
      <c r="J485" s="2" t="s">
        <v>4825</v>
      </c>
      <c r="K485" s="2" t="s">
        <v>4827</v>
      </c>
      <c r="L485" s="2" t="s">
        <v>4829</v>
      </c>
      <c r="M485" s="2" t="s">
        <v>4829</v>
      </c>
      <c r="N485" s="2" t="s">
        <v>85</v>
      </c>
      <c r="O485" s="2" t="s">
        <v>86</v>
      </c>
      <c r="P485" s="2" t="s">
        <v>2351</v>
      </c>
      <c r="Q485" s="2" t="s">
        <v>4830</v>
      </c>
      <c r="R485" s="2"/>
      <c r="S485" s="2"/>
      <c r="T485" s="2"/>
      <c r="U485" s="2" t="s">
        <v>220</v>
      </c>
      <c r="V485" s="2" t="s">
        <v>221</v>
      </c>
      <c r="W485" s="2" t="s">
        <v>222</v>
      </c>
      <c r="X485" s="2" t="s">
        <v>4831</v>
      </c>
      <c r="Y485" s="2" t="s">
        <v>44</v>
      </c>
      <c r="Z485" s="2"/>
      <c r="AA485" s="2" t="s">
        <v>821</v>
      </c>
      <c r="AB485" s="2" t="s">
        <v>46</v>
      </c>
      <c r="AC485" s="2" t="s">
        <v>821</v>
      </c>
      <c r="AE485" s="2" t="s">
        <v>48</v>
      </c>
      <c r="AF485" s="2" t="s">
        <v>49</v>
      </c>
      <c r="AG485" s="2">
        <v>100</v>
      </c>
      <c r="AH485" s="2">
        <v>87</v>
      </c>
      <c r="AJ485" s="2" t="s">
        <v>4833</v>
      </c>
      <c r="AK485" s="2"/>
      <c r="AL485" s="2"/>
      <c r="AM485" s="2" t="s">
        <v>52</v>
      </c>
    </row>
    <row r="486" spans="1:39" x14ac:dyDescent="0.45">
      <c r="A486" s="2" t="s">
        <v>4834</v>
      </c>
      <c r="B486" s="2"/>
      <c r="C486" s="2" t="s">
        <v>4836</v>
      </c>
      <c r="D486" s="2" t="s">
        <v>4838</v>
      </c>
      <c r="E486" s="25"/>
      <c r="F486" s="21"/>
      <c r="G486" s="42" t="s">
        <v>28000</v>
      </c>
      <c r="H486" s="2" t="s">
        <v>50</v>
      </c>
      <c r="I486" s="2" t="s">
        <v>4841</v>
      </c>
      <c r="J486" s="2" t="s">
        <v>4835</v>
      </c>
      <c r="K486" s="2" t="s">
        <v>4837</v>
      </c>
      <c r="L486" s="2" t="s">
        <v>4839</v>
      </c>
      <c r="M486" s="2" t="s">
        <v>4839</v>
      </c>
      <c r="N486" s="2" t="s">
        <v>59</v>
      </c>
      <c r="O486" s="2" t="s">
        <v>60</v>
      </c>
      <c r="P486" s="2" t="s">
        <v>4840</v>
      </c>
      <c r="Q486" s="2" t="s">
        <v>4837</v>
      </c>
      <c r="R486" s="2"/>
      <c r="S486" s="2"/>
      <c r="T486" s="2"/>
      <c r="U486" s="2" t="s">
        <v>59</v>
      </c>
      <c r="V486" s="2" t="s">
        <v>60</v>
      </c>
      <c r="W486" s="2" t="s">
        <v>4840</v>
      </c>
      <c r="X486" s="2" t="s">
        <v>580</v>
      </c>
      <c r="Y486" s="2" t="s">
        <v>44</v>
      </c>
      <c r="Z486" s="2"/>
      <c r="AA486" s="2" t="s">
        <v>821</v>
      </c>
      <c r="AB486" s="2" t="s">
        <v>46</v>
      </c>
      <c r="AC486" s="2" t="s">
        <v>821</v>
      </c>
      <c r="AE486" s="2" t="s">
        <v>48</v>
      </c>
      <c r="AF486" s="2" t="s">
        <v>49</v>
      </c>
      <c r="AG486" s="2">
        <v>100</v>
      </c>
      <c r="AH486" s="2">
        <v>87</v>
      </c>
      <c r="AJ486" s="2" t="s">
        <v>4842</v>
      </c>
      <c r="AK486" s="2"/>
      <c r="AL486" s="2"/>
      <c r="AM486" s="2" t="s">
        <v>52</v>
      </c>
    </row>
    <row r="487" spans="1:39" x14ac:dyDescent="0.45">
      <c r="A487" s="2" t="s">
        <v>4843</v>
      </c>
      <c r="B487" s="2"/>
      <c r="C487" s="2" t="s">
        <v>4845</v>
      </c>
      <c r="D487" s="2" t="s">
        <v>4847</v>
      </c>
      <c r="E487" s="25"/>
      <c r="F487" s="21"/>
      <c r="G487" s="42" t="s">
        <v>28000</v>
      </c>
      <c r="H487" s="2" t="s">
        <v>50</v>
      </c>
      <c r="I487" s="2" t="s">
        <v>4851</v>
      </c>
      <c r="J487" s="2" t="s">
        <v>4844</v>
      </c>
      <c r="K487" s="2" t="s">
        <v>4846</v>
      </c>
      <c r="L487" s="2" t="s">
        <v>4848</v>
      </c>
      <c r="M487" s="2" t="s">
        <v>4848</v>
      </c>
      <c r="N487" s="2" t="s">
        <v>72</v>
      </c>
      <c r="O487" s="2" t="s">
        <v>73</v>
      </c>
      <c r="P487" s="2" t="s">
        <v>4849</v>
      </c>
      <c r="Q487" s="2" t="s">
        <v>4850</v>
      </c>
      <c r="R487" s="2"/>
      <c r="S487" s="2"/>
      <c r="T487" s="2"/>
      <c r="U487" s="2" t="s">
        <v>59</v>
      </c>
      <c r="V487" s="2" t="s">
        <v>60</v>
      </c>
      <c r="W487" s="2" t="s">
        <v>2323</v>
      </c>
      <c r="X487" s="2" t="s">
        <v>580</v>
      </c>
      <c r="Y487" s="2" t="s">
        <v>44</v>
      </c>
      <c r="Z487" s="2"/>
      <c r="AA487" s="2" t="s">
        <v>821</v>
      </c>
      <c r="AB487" s="2" t="s">
        <v>46</v>
      </c>
      <c r="AC487" s="2" t="s">
        <v>821</v>
      </c>
      <c r="AE487" s="2" t="s">
        <v>48</v>
      </c>
      <c r="AF487" s="2" t="s">
        <v>49</v>
      </c>
      <c r="AG487" s="2">
        <v>100</v>
      </c>
      <c r="AH487" s="2">
        <v>87</v>
      </c>
      <c r="AJ487" s="2" t="s">
        <v>4852</v>
      </c>
      <c r="AK487" s="2"/>
      <c r="AL487" s="2"/>
      <c r="AM487" s="2" t="s">
        <v>52</v>
      </c>
    </row>
    <row r="488" spans="1:39" x14ac:dyDescent="0.45">
      <c r="A488" s="2" t="s">
        <v>4853</v>
      </c>
      <c r="B488" s="2"/>
      <c r="C488" s="2" t="s">
        <v>4855</v>
      </c>
      <c r="D488" s="2" t="s">
        <v>4857</v>
      </c>
      <c r="E488" s="25"/>
      <c r="F488" s="21"/>
      <c r="G488" s="42" t="s">
        <v>28000</v>
      </c>
      <c r="H488" s="2" t="s">
        <v>50</v>
      </c>
      <c r="I488" s="2" t="s">
        <v>4859</v>
      </c>
      <c r="J488" s="2" t="s">
        <v>4854</v>
      </c>
      <c r="K488" s="2" t="s">
        <v>4856</v>
      </c>
      <c r="L488" s="2" t="s">
        <v>4858</v>
      </c>
      <c r="M488" s="2" t="s">
        <v>4858</v>
      </c>
      <c r="N488" s="2" t="s">
        <v>536</v>
      </c>
      <c r="O488" s="2" t="s">
        <v>537</v>
      </c>
      <c r="P488" s="2" t="s">
        <v>691</v>
      </c>
      <c r="Q488" s="2" t="s">
        <v>4856</v>
      </c>
      <c r="R488" s="2"/>
      <c r="S488" s="2"/>
      <c r="T488" s="2"/>
      <c r="U488" s="2" t="s">
        <v>536</v>
      </c>
      <c r="V488" s="2" t="s">
        <v>537</v>
      </c>
      <c r="W488" s="2" t="s">
        <v>691</v>
      </c>
      <c r="X488" s="2" t="s">
        <v>1003</v>
      </c>
      <c r="Y488" s="2" t="s">
        <v>44</v>
      </c>
      <c r="Z488" s="2"/>
      <c r="AA488" s="2" t="s">
        <v>821</v>
      </c>
      <c r="AB488" s="2" t="s">
        <v>46</v>
      </c>
      <c r="AC488" s="2" t="s">
        <v>821</v>
      </c>
      <c r="AE488" s="2" t="s">
        <v>48</v>
      </c>
      <c r="AF488" s="2" t="s">
        <v>49</v>
      </c>
      <c r="AG488" s="2">
        <v>100</v>
      </c>
      <c r="AH488" s="2">
        <v>87</v>
      </c>
      <c r="AJ488" s="2" t="s">
        <v>4860</v>
      </c>
      <c r="AK488" s="2"/>
      <c r="AL488" s="2"/>
      <c r="AM488" s="2" t="s">
        <v>52</v>
      </c>
    </row>
    <row r="489" spans="1:39" x14ac:dyDescent="0.45">
      <c r="A489" s="2" t="s">
        <v>4861</v>
      </c>
      <c r="B489" s="2"/>
      <c r="C489" s="2" t="s">
        <v>4863</v>
      </c>
      <c r="D489" s="2" t="s">
        <v>4865</v>
      </c>
      <c r="E489" s="25"/>
      <c r="F489" s="21"/>
      <c r="G489" s="42" t="s">
        <v>28000</v>
      </c>
      <c r="H489" s="2" t="s">
        <v>50</v>
      </c>
      <c r="I489" s="2" t="s">
        <v>4868</v>
      </c>
      <c r="J489" s="2" t="s">
        <v>4862</v>
      </c>
      <c r="K489" s="2" t="s">
        <v>4864</v>
      </c>
      <c r="L489" s="2" t="s">
        <v>4866</v>
      </c>
      <c r="M489" s="2" t="s">
        <v>4866</v>
      </c>
      <c r="N489" s="2" t="s">
        <v>1023</v>
      </c>
      <c r="O489" s="2" t="s">
        <v>73</v>
      </c>
      <c r="P489" s="2" t="s">
        <v>1024</v>
      </c>
      <c r="Q489" s="2" t="s">
        <v>4864</v>
      </c>
      <c r="R489" s="2"/>
      <c r="S489" s="2"/>
      <c r="T489" s="2"/>
      <c r="U489" s="2" t="s">
        <v>1023</v>
      </c>
      <c r="V489" s="2" t="s">
        <v>73</v>
      </c>
      <c r="W489" s="2" t="s">
        <v>1024</v>
      </c>
      <c r="X489" s="2" t="s">
        <v>4867</v>
      </c>
      <c r="Y489" s="2" t="s">
        <v>44</v>
      </c>
      <c r="Z489" s="2"/>
      <c r="AA489" s="2" t="s">
        <v>821</v>
      </c>
      <c r="AB489" s="2" t="s">
        <v>46</v>
      </c>
      <c r="AC489" s="2" t="s">
        <v>821</v>
      </c>
      <c r="AE489" s="2" t="s">
        <v>48</v>
      </c>
      <c r="AF489" s="2" t="s">
        <v>49</v>
      </c>
      <c r="AG489" s="2">
        <v>100</v>
      </c>
      <c r="AH489" s="2">
        <v>87</v>
      </c>
      <c r="AJ489" s="2" t="s">
        <v>4869</v>
      </c>
      <c r="AK489" s="2"/>
      <c r="AL489" s="2"/>
      <c r="AM489" s="2" t="s">
        <v>52</v>
      </c>
    </row>
    <row r="490" spans="1:39" x14ac:dyDescent="0.45">
      <c r="A490" s="2" t="s">
        <v>4870</v>
      </c>
      <c r="B490" s="2"/>
      <c r="C490" s="2" t="s">
        <v>4872</v>
      </c>
      <c r="D490" s="2" t="s">
        <v>4874</v>
      </c>
      <c r="E490" s="25"/>
      <c r="F490" s="21"/>
      <c r="G490" s="42" t="s">
        <v>28000</v>
      </c>
      <c r="H490" s="2" t="s">
        <v>50</v>
      </c>
      <c r="I490" s="2" t="s">
        <v>4877</v>
      </c>
      <c r="J490" s="2" t="s">
        <v>4871</v>
      </c>
      <c r="K490" s="2" t="s">
        <v>4873</v>
      </c>
      <c r="L490" s="2" t="s">
        <v>4875</v>
      </c>
      <c r="M490" s="2" t="s">
        <v>4875</v>
      </c>
      <c r="N490" s="2" t="s">
        <v>72</v>
      </c>
      <c r="O490" s="2" t="s">
        <v>73</v>
      </c>
      <c r="P490" s="2" t="s">
        <v>1808</v>
      </c>
      <c r="Q490" s="2" t="s">
        <v>4873</v>
      </c>
      <c r="R490" s="2"/>
      <c r="S490" s="2"/>
      <c r="T490" s="2"/>
      <c r="U490" s="2" t="s">
        <v>72</v>
      </c>
      <c r="V490" s="2" t="s">
        <v>73</v>
      </c>
      <c r="W490" s="2" t="s">
        <v>1808</v>
      </c>
      <c r="X490" s="2" t="s">
        <v>4876</v>
      </c>
      <c r="Y490" s="2" t="s">
        <v>44</v>
      </c>
      <c r="Z490" s="2"/>
      <c r="AA490" s="2" t="s">
        <v>821</v>
      </c>
      <c r="AB490" s="2" t="s">
        <v>46</v>
      </c>
      <c r="AC490" s="2" t="s">
        <v>821</v>
      </c>
      <c r="AE490" s="2" t="s">
        <v>48</v>
      </c>
      <c r="AF490" s="2" t="s">
        <v>49</v>
      </c>
      <c r="AG490" s="2">
        <v>100</v>
      </c>
      <c r="AH490" s="2">
        <v>87</v>
      </c>
      <c r="AJ490" s="2" t="s">
        <v>4878</v>
      </c>
      <c r="AK490" s="2"/>
      <c r="AL490" s="2"/>
      <c r="AM490" s="2" t="s">
        <v>52</v>
      </c>
    </row>
    <row r="491" spans="1:39" x14ac:dyDescent="0.45">
      <c r="A491" s="2" t="s">
        <v>4879</v>
      </c>
      <c r="B491" s="2"/>
      <c r="C491" s="2" t="s">
        <v>4881</v>
      </c>
      <c r="D491" s="2" t="s">
        <v>4883</v>
      </c>
      <c r="E491" s="25"/>
      <c r="F491" s="21"/>
      <c r="G491" s="42" t="s">
        <v>28000</v>
      </c>
      <c r="H491" s="2" t="s">
        <v>50</v>
      </c>
      <c r="I491" s="2" t="s">
        <v>4887</v>
      </c>
      <c r="J491" s="2" t="s">
        <v>4880</v>
      </c>
      <c r="K491" s="2" t="s">
        <v>4882</v>
      </c>
      <c r="L491" s="2" t="s">
        <v>4884</v>
      </c>
      <c r="M491" s="2" t="s">
        <v>4884</v>
      </c>
      <c r="N491" s="2" t="s">
        <v>384</v>
      </c>
      <c r="O491" s="2" t="s">
        <v>73</v>
      </c>
      <c r="P491" s="2" t="s">
        <v>4885</v>
      </c>
      <c r="Q491" s="2" t="s">
        <v>4886</v>
      </c>
      <c r="R491" s="2"/>
      <c r="S491" s="2"/>
      <c r="T491" s="2"/>
      <c r="U491" s="2" t="s">
        <v>384</v>
      </c>
      <c r="V491" s="2" t="s">
        <v>73</v>
      </c>
      <c r="W491" s="2" t="s">
        <v>4885</v>
      </c>
      <c r="X491" s="2" t="s">
        <v>517</v>
      </c>
      <c r="Y491" s="2" t="s">
        <v>44</v>
      </c>
      <c r="Z491" s="2"/>
      <c r="AA491" s="2" t="s">
        <v>821</v>
      </c>
      <c r="AB491" s="2" t="s">
        <v>46</v>
      </c>
      <c r="AC491" s="2" t="s">
        <v>821</v>
      </c>
      <c r="AE491" s="2" t="s">
        <v>48</v>
      </c>
      <c r="AF491" s="2" t="s">
        <v>49</v>
      </c>
      <c r="AG491" s="2">
        <v>100</v>
      </c>
      <c r="AH491" s="2">
        <v>87</v>
      </c>
      <c r="AJ491" s="2" t="s">
        <v>4888</v>
      </c>
      <c r="AK491" s="2"/>
      <c r="AL491" s="2"/>
      <c r="AM491" s="2" t="s">
        <v>52</v>
      </c>
    </row>
    <row r="492" spans="1:39" x14ac:dyDescent="0.45">
      <c r="A492" s="2" t="s">
        <v>4889</v>
      </c>
      <c r="B492" s="2"/>
      <c r="C492" s="2" t="s">
        <v>4891</v>
      </c>
      <c r="D492" s="2" t="s">
        <v>4893</v>
      </c>
      <c r="E492" s="25"/>
      <c r="F492" s="21"/>
      <c r="G492" s="42" t="s">
        <v>28000</v>
      </c>
      <c r="H492" s="2" t="s">
        <v>50</v>
      </c>
      <c r="I492" s="2" t="s">
        <v>4898</v>
      </c>
      <c r="J492" s="2" t="s">
        <v>4890</v>
      </c>
      <c r="K492" s="2" t="s">
        <v>4892</v>
      </c>
      <c r="L492" s="2" t="s">
        <v>4894</v>
      </c>
      <c r="M492" s="2" t="s">
        <v>4894</v>
      </c>
      <c r="N492" s="2" t="s">
        <v>85</v>
      </c>
      <c r="O492" s="2" t="s">
        <v>86</v>
      </c>
      <c r="P492" s="2" t="s">
        <v>4895</v>
      </c>
      <c r="Q492" s="2" t="s">
        <v>4896</v>
      </c>
      <c r="R492" s="2"/>
      <c r="S492" s="2"/>
      <c r="T492" s="2"/>
      <c r="U492" s="2" t="s">
        <v>424</v>
      </c>
      <c r="V492" s="2" t="s">
        <v>217</v>
      </c>
      <c r="W492" s="2" t="s">
        <v>1151</v>
      </c>
      <c r="X492" s="2" t="s">
        <v>4897</v>
      </c>
      <c r="Y492" s="2" t="s">
        <v>44</v>
      </c>
      <c r="Z492" s="2"/>
      <c r="AA492" s="2" t="s">
        <v>821</v>
      </c>
      <c r="AB492" s="2" t="s">
        <v>46</v>
      </c>
      <c r="AC492" s="2" t="s">
        <v>821</v>
      </c>
      <c r="AE492" s="2" t="s">
        <v>48</v>
      </c>
      <c r="AF492" s="2" t="s">
        <v>49</v>
      </c>
      <c r="AG492" s="2">
        <v>100</v>
      </c>
      <c r="AH492" s="2">
        <v>87</v>
      </c>
      <c r="AJ492" s="2" t="s">
        <v>4899</v>
      </c>
      <c r="AK492" s="2"/>
      <c r="AL492" s="2"/>
      <c r="AM492" s="2" t="s">
        <v>52</v>
      </c>
    </row>
    <row r="493" spans="1:39" x14ac:dyDescent="0.45">
      <c r="A493" s="2" t="s">
        <v>4900</v>
      </c>
      <c r="B493" s="2"/>
      <c r="C493" s="2" t="s">
        <v>4902</v>
      </c>
      <c r="D493" s="2" t="s">
        <v>4904</v>
      </c>
      <c r="E493" s="25"/>
      <c r="F493" s="21"/>
      <c r="G493" s="42" t="s">
        <v>28000</v>
      </c>
      <c r="H493" s="2" t="s">
        <v>50</v>
      </c>
      <c r="I493" s="2" t="s">
        <v>4907</v>
      </c>
      <c r="J493" s="2" t="s">
        <v>4901</v>
      </c>
      <c r="K493" s="2" t="s">
        <v>4903</v>
      </c>
      <c r="L493" s="2" t="s">
        <v>4905</v>
      </c>
      <c r="M493" s="2" t="s">
        <v>4905</v>
      </c>
      <c r="N493" s="2" t="s">
        <v>290</v>
      </c>
      <c r="O493" s="2" t="s">
        <v>278</v>
      </c>
      <c r="P493" s="2" t="s">
        <v>396</v>
      </c>
      <c r="Q493" s="2" t="s">
        <v>4903</v>
      </c>
      <c r="R493" s="2"/>
      <c r="S493" s="2"/>
      <c r="T493" s="2"/>
      <c r="U493" s="2" t="s">
        <v>290</v>
      </c>
      <c r="V493" s="2" t="s">
        <v>278</v>
      </c>
      <c r="W493" s="2" t="s">
        <v>396</v>
      </c>
      <c r="X493" s="2" t="s">
        <v>4906</v>
      </c>
      <c r="Y493" s="2" t="s">
        <v>44</v>
      </c>
      <c r="Z493" s="2"/>
      <c r="AA493" s="2" t="s">
        <v>821</v>
      </c>
      <c r="AB493" s="2" t="s">
        <v>46</v>
      </c>
      <c r="AC493" s="2" t="s">
        <v>821</v>
      </c>
      <c r="AE493" s="2" t="s">
        <v>48</v>
      </c>
      <c r="AF493" s="2" t="s">
        <v>49</v>
      </c>
      <c r="AG493" s="2">
        <v>100</v>
      </c>
      <c r="AH493" s="2">
        <v>87</v>
      </c>
      <c r="AJ493" s="2" t="s">
        <v>4908</v>
      </c>
      <c r="AK493" s="2"/>
      <c r="AL493" s="2"/>
      <c r="AM493" s="2" t="s">
        <v>52</v>
      </c>
    </row>
    <row r="494" spans="1:39" x14ac:dyDescent="0.45">
      <c r="A494" s="2" t="s">
        <v>4909</v>
      </c>
      <c r="B494" s="2"/>
      <c r="C494" s="2" t="s">
        <v>4911</v>
      </c>
      <c r="D494" s="2" t="s">
        <v>4913</v>
      </c>
      <c r="E494" s="25"/>
      <c r="F494" s="21"/>
      <c r="G494" s="42" t="s">
        <v>28000</v>
      </c>
      <c r="H494" s="2" t="s">
        <v>50</v>
      </c>
      <c r="I494" s="2" t="s">
        <v>4918</v>
      </c>
      <c r="J494" s="2" t="s">
        <v>4910</v>
      </c>
      <c r="K494" s="2" t="s">
        <v>4912</v>
      </c>
      <c r="L494" s="2" t="s">
        <v>4914</v>
      </c>
      <c r="M494" s="2" t="s">
        <v>4914</v>
      </c>
      <c r="N494" s="2" t="s">
        <v>85</v>
      </c>
      <c r="O494" s="2" t="s">
        <v>86</v>
      </c>
      <c r="P494" s="2" t="s">
        <v>4915</v>
      </c>
      <c r="Q494" s="2" t="s">
        <v>4916</v>
      </c>
      <c r="R494" s="2"/>
      <c r="S494" s="2"/>
      <c r="T494" s="2"/>
      <c r="U494" s="2" t="s">
        <v>85</v>
      </c>
      <c r="V494" s="2" t="s">
        <v>86</v>
      </c>
      <c r="W494" s="2" t="s">
        <v>4915</v>
      </c>
      <c r="X494" s="2" t="s">
        <v>4917</v>
      </c>
      <c r="Y494" s="2" t="s">
        <v>44</v>
      </c>
      <c r="Z494" s="2"/>
      <c r="AA494" s="2" t="s">
        <v>821</v>
      </c>
      <c r="AB494" s="2" t="s">
        <v>46</v>
      </c>
      <c r="AC494" s="2" t="s">
        <v>821</v>
      </c>
      <c r="AE494" s="2" t="s">
        <v>48</v>
      </c>
      <c r="AF494" s="2" t="s">
        <v>49</v>
      </c>
      <c r="AG494" s="2">
        <v>100</v>
      </c>
      <c r="AH494" s="2">
        <v>87</v>
      </c>
      <c r="AJ494" s="2" t="s">
        <v>4919</v>
      </c>
      <c r="AK494" s="2"/>
      <c r="AL494" s="2"/>
      <c r="AM494" s="2" t="s">
        <v>52</v>
      </c>
    </row>
    <row r="495" spans="1:39" x14ac:dyDescent="0.45">
      <c r="A495" s="2" t="s">
        <v>4920</v>
      </c>
      <c r="B495" s="2"/>
      <c r="C495" s="2" t="s">
        <v>4922</v>
      </c>
      <c r="D495" s="2" t="s">
        <v>4924</v>
      </c>
      <c r="E495" s="25"/>
      <c r="F495" s="21"/>
      <c r="G495" s="42" t="s">
        <v>28000</v>
      </c>
      <c r="H495" s="2" t="s">
        <v>50</v>
      </c>
      <c r="I495" s="2" t="s">
        <v>4929</v>
      </c>
      <c r="J495" s="2" t="s">
        <v>4921</v>
      </c>
      <c r="K495" s="2" t="s">
        <v>4923</v>
      </c>
      <c r="L495" s="2" t="s">
        <v>4925</v>
      </c>
      <c r="M495" s="2" t="s">
        <v>4925</v>
      </c>
      <c r="N495" s="2" t="s">
        <v>536</v>
      </c>
      <c r="O495" s="2" t="s">
        <v>537</v>
      </c>
      <c r="P495" s="2" t="s">
        <v>4926</v>
      </c>
      <c r="Q495" s="2" t="s">
        <v>4927</v>
      </c>
      <c r="R495" s="2"/>
      <c r="S495" s="2"/>
      <c r="T495" s="2"/>
      <c r="U495" s="2" t="s">
        <v>536</v>
      </c>
      <c r="V495" s="2" t="s">
        <v>537</v>
      </c>
      <c r="W495" s="2" t="s">
        <v>2431</v>
      </c>
      <c r="X495" s="2" t="s">
        <v>4928</v>
      </c>
      <c r="Y495" s="2" t="s">
        <v>44</v>
      </c>
      <c r="Z495" s="2"/>
      <c r="AA495" s="2" t="s">
        <v>821</v>
      </c>
      <c r="AB495" s="2" t="s">
        <v>46</v>
      </c>
      <c r="AC495" s="2" t="s">
        <v>821</v>
      </c>
      <c r="AE495" s="2" t="s">
        <v>48</v>
      </c>
      <c r="AF495" s="2" t="s">
        <v>49</v>
      </c>
      <c r="AG495" s="2">
        <v>100</v>
      </c>
      <c r="AH495" s="2">
        <v>87</v>
      </c>
      <c r="AJ495" s="2" t="s">
        <v>4930</v>
      </c>
      <c r="AK495" s="2"/>
      <c r="AL495" s="2"/>
      <c r="AM495" s="2" t="s">
        <v>52</v>
      </c>
    </row>
    <row r="496" spans="1:39" x14ac:dyDescent="0.45">
      <c r="A496" s="2" t="s">
        <v>4931</v>
      </c>
      <c r="B496" s="2"/>
      <c r="C496" s="2" t="s">
        <v>4933</v>
      </c>
      <c r="D496" s="2" t="s">
        <v>4935</v>
      </c>
      <c r="E496" s="25"/>
      <c r="F496" s="21"/>
      <c r="G496" s="42" t="s">
        <v>28000</v>
      </c>
      <c r="H496" s="2" t="s">
        <v>50</v>
      </c>
      <c r="I496" s="2" t="s">
        <v>4938</v>
      </c>
      <c r="J496" s="2" t="s">
        <v>4932</v>
      </c>
      <c r="K496" s="2" t="s">
        <v>4934</v>
      </c>
      <c r="L496" s="2" t="s">
        <v>4936</v>
      </c>
      <c r="M496" s="2" t="s">
        <v>4936</v>
      </c>
      <c r="N496" s="2" t="s">
        <v>72</v>
      </c>
      <c r="O496" s="2" t="s">
        <v>73</v>
      </c>
      <c r="P496" s="2" t="s">
        <v>1430</v>
      </c>
      <c r="Q496" s="2" t="s">
        <v>4937</v>
      </c>
      <c r="R496" s="2"/>
      <c r="S496" s="2"/>
      <c r="T496" s="2"/>
      <c r="U496" s="2" t="s">
        <v>72</v>
      </c>
      <c r="V496" s="2" t="s">
        <v>73</v>
      </c>
      <c r="W496" s="2" t="s">
        <v>1430</v>
      </c>
      <c r="X496" s="2" t="s">
        <v>2754</v>
      </c>
      <c r="Y496" s="2" t="s">
        <v>44</v>
      </c>
      <c r="Z496" s="2"/>
      <c r="AA496" s="2" t="s">
        <v>821</v>
      </c>
      <c r="AB496" s="2" t="s">
        <v>46</v>
      </c>
      <c r="AC496" s="2" t="s">
        <v>821</v>
      </c>
      <c r="AE496" s="2" t="s">
        <v>48</v>
      </c>
      <c r="AF496" s="2" t="s">
        <v>49</v>
      </c>
      <c r="AG496" s="2">
        <v>100</v>
      </c>
      <c r="AH496" s="2">
        <v>87</v>
      </c>
      <c r="AJ496" s="2" t="s">
        <v>4939</v>
      </c>
      <c r="AK496" s="2"/>
      <c r="AL496" s="2"/>
      <c r="AM496" s="2" t="s">
        <v>52</v>
      </c>
    </row>
    <row r="497" spans="1:39" x14ac:dyDescent="0.45">
      <c r="A497" s="2" t="s">
        <v>4940</v>
      </c>
      <c r="B497" s="2"/>
      <c r="C497" s="2" t="s">
        <v>4942</v>
      </c>
      <c r="D497" s="2" t="s">
        <v>4944</v>
      </c>
      <c r="E497" s="25"/>
      <c r="F497" s="21"/>
      <c r="G497" s="42" t="s">
        <v>28000</v>
      </c>
      <c r="H497" s="2" t="s">
        <v>50</v>
      </c>
      <c r="I497" s="2" t="s">
        <v>4947</v>
      </c>
      <c r="J497" s="2" t="s">
        <v>4941</v>
      </c>
      <c r="K497" s="2" t="s">
        <v>4943</v>
      </c>
      <c r="L497" s="2" t="s">
        <v>4945</v>
      </c>
      <c r="M497" s="2" t="s">
        <v>4945</v>
      </c>
      <c r="N497" s="2" t="s">
        <v>72</v>
      </c>
      <c r="O497" s="2" t="s">
        <v>73</v>
      </c>
      <c r="P497" s="2" t="s">
        <v>74</v>
      </c>
      <c r="Q497" s="2" t="s">
        <v>4946</v>
      </c>
      <c r="R497" s="2"/>
      <c r="S497" s="2"/>
      <c r="T497" s="2"/>
      <c r="U497" s="2" t="s">
        <v>72</v>
      </c>
      <c r="V497" s="2" t="s">
        <v>73</v>
      </c>
      <c r="W497" s="2" t="s">
        <v>74</v>
      </c>
      <c r="X497" s="2" t="s">
        <v>517</v>
      </c>
      <c r="Y497" s="2" t="s">
        <v>44</v>
      </c>
      <c r="Z497" s="2"/>
      <c r="AA497" s="2" t="s">
        <v>821</v>
      </c>
      <c r="AB497" s="2" t="s">
        <v>46</v>
      </c>
      <c r="AC497" s="2" t="s">
        <v>821</v>
      </c>
      <c r="AE497" s="2" t="s">
        <v>48</v>
      </c>
      <c r="AF497" s="2" t="s">
        <v>49</v>
      </c>
      <c r="AG497" s="2">
        <v>100</v>
      </c>
      <c r="AH497" s="2">
        <v>87</v>
      </c>
      <c r="AJ497" s="2" t="s">
        <v>4948</v>
      </c>
      <c r="AK497" s="2"/>
      <c r="AL497" s="2"/>
      <c r="AM497" s="2" t="s">
        <v>52</v>
      </c>
    </row>
    <row r="498" spans="1:39" x14ac:dyDescent="0.45">
      <c r="A498" s="2" t="s">
        <v>4949</v>
      </c>
      <c r="B498" s="2"/>
      <c r="C498" s="2" t="s">
        <v>4951</v>
      </c>
      <c r="D498" s="2" t="s">
        <v>4953</v>
      </c>
      <c r="E498" s="25"/>
      <c r="F498" s="21"/>
      <c r="G498" s="42" t="s">
        <v>28000</v>
      </c>
      <c r="H498" s="2" t="s">
        <v>50</v>
      </c>
      <c r="I498" s="2" t="s">
        <v>4957</v>
      </c>
      <c r="J498" s="2" t="s">
        <v>4950</v>
      </c>
      <c r="K498" s="2" t="s">
        <v>4952</v>
      </c>
      <c r="L498" s="2" t="s">
        <v>4954</v>
      </c>
      <c r="M498" s="2" t="s">
        <v>4954</v>
      </c>
      <c r="N498" s="2" t="s">
        <v>72</v>
      </c>
      <c r="O498" s="2" t="s">
        <v>73</v>
      </c>
      <c r="P498" s="2" t="s">
        <v>720</v>
      </c>
      <c r="Q498" s="2" t="s">
        <v>4955</v>
      </c>
      <c r="R498" s="2"/>
      <c r="S498" s="2"/>
      <c r="T498" s="2"/>
      <c r="U498" s="2" t="s">
        <v>72</v>
      </c>
      <c r="V498" s="2" t="s">
        <v>73</v>
      </c>
      <c r="W498" s="2" t="s">
        <v>720</v>
      </c>
      <c r="X498" s="2" t="s">
        <v>4956</v>
      </c>
      <c r="Y498" s="2" t="s">
        <v>44</v>
      </c>
      <c r="Z498" s="2"/>
      <c r="AA498" s="2" t="s">
        <v>821</v>
      </c>
      <c r="AB498" s="2" t="s">
        <v>46</v>
      </c>
      <c r="AC498" s="2" t="s">
        <v>821</v>
      </c>
      <c r="AE498" s="2" t="s">
        <v>48</v>
      </c>
      <c r="AF498" s="2" t="s">
        <v>49</v>
      </c>
      <c r="AG498" s="2">
        <v>100</v>
      </c>
      <c r="AH498" s="2">
        <v>87</v>
      </c>
      <c r="AJ498" s="2" t="s">
        <v>4958</v>
      </c>
      <c r="AK498" s="2"/>
      <c r="AL498" s="2"/>
      <c r="AM498" s="2" t="s">
        <v>52</v>
      </c>
    </row>
    <row r="499" spans="1:39" x14ac:dyDescent="0.45">
      <c r="A499" s="2" t="s">
        <v>4959</v>
      </c>
      <c r="B499" s="2"/>
      <c r="C499" s="2" t="s">
        <v>4961</v>
      </c>
      <c r="D499" s="2" t="s">
        <v>4963</v>
      </c>
      <c r="E499" s="25"/>
      <c r="F499" s="21"/>
      <c r="G499" s="42" t="s">
        <v>28000</v>
      </c>
      <c r="H499" s="2" t="s">
        <v>50</v>
      </c>
      <c r="I499" s="2" t="s">
        <v>4966</v>
      </c>
      <c r="J499" s="2" t="s">
        <v>4960</v>
      </c>
      <c r="K499" s="2" t="s">
        <v>4962</v>
      </c>
      <c r="L499" s="2" t="s">
        <v>4964</v>
      </c>
      <c r="M499" s="2" t="s">
        <v>4964</v>
      </c>
      <c r="N499" s="2" t="s">
        <v>59</v>
      </c>
      <c r="O499" s="2" t="s">
        <v>60</v>
      </c>
      <c r="P499" s="2" t="s">
        <v>151</v>
      </c>
      <c r="Q499" s="2" t="s">
        <v>4962</v>
      </c>
      <c r="R499" s="2"/>
      <c r="S499" s="2"/>
      <c r="T499" s="2"/>
      <c r="U499" s="2" t="s">
        <v>59</v>
      </c>
      <c r="V499" s="2" t="s">
        <v>60</v>
      </c>
      <c r="W499" s="2" t="s">
        <v>151</v>
      </c>
      <c r="X499" s="2" t="s">
        <v>4965</v>
      </c>
      <c r="Y499" s="2" t="s">
        <v>44</v>
      </c>
      <c r="Z499" s="2"/>
      <c r="AA499" s="2" t="s">
        <v>821</v>
      </c>
      <c r="AB499" s="2" t="s">
        <v>46</v>
      </c>
      <c r="AC499" s="2" t="s">
        <v>821</v>
      </c>
      <c r="AE499" s="2" t="s">
        <v>48</v>
      </c>
      <c r="AF499" s="2" t="s">
        <v>49</v>
      </c>
      <c r="AG499" s="2">
        <v>100</v>
      </c>
      <c r="AH499" s="2">
        <v>87</v>
      </c>
      <c r="AJ499" s="2" t="s">
        <v>4967</v>
      </c>
      <c r="AK499" s="2"/>
      <c r="AL499" s="2"/>
      <c r="AM499" s="2" t="s">
        <v>52</v>
      </c>
    </row>
    <row r="500" spans="1:39" x14ac:dyDescent="0.45">
      <c r="A500" s="2" t="s">
        <v>4968</v>
      </c>
      <c r="B500" s="2"/>
      <c r="C500" s="2" t="s">
        <v>4970</v>
      </c>
      <c r="D500" s="2" t="s">
        <v>4972</v>
      </c>
      <c r="E500" s="25"/>
      <c r="F500" s="21"/>
      <c r="G500" s="42" t="s">
        <v>28000</v>
      </c>
      <c r="H500" s="2" t="s">
        <v>50</v>
      </c>
      <c r="I500" s="2" t="s">
        <v>4975</v>
      </c>
      <c r="J500" s="2" t="s">
        <v>4969</v>
      </c>
      <c r="K500" s="2" t="s">
        <v>4971</v>
      </c>
      <c r="L500" s="2" t="s">
        <v>4973</v>
      </c>
      <c r="M500" s="2" t="s">
        <v>4973</v>
      </c>
      <c r="N500" s="2" t="s">
        <v>85</v>
      </c>
      <c r="O500" s="2" t="s">
        <v>86</v>
      </c>
      <c r="P500" s="2" t="s">
        <v>1356</v>
      </c>
      <c r="Q500" s="2" t="s">
        <v>4971</v>
      </c>
      <c r="R500" s="2"/>
      <c r="S500" s="2"/>
      <c r="T500" s="2"/>
      <c r="U500" s="2" t="s">
        <v>85</v>
      </c>
      <c r="V500" s="2" t="s">
        <v>86</v>
      </c>
      <c r="W500" s="2" t="s">
        <v>1356</v>
      </c>
      <c r="X500" s="2" t="s">
        <v>4974</v>
      </c>
      <c r="Y500" s="2" t="s">
        <v>44</v>
      </c>
      <c r="Z500" s="2"/>
      <c r="AA500" s="2" t="s">
        <v>821</v>
      </c>
      <c r="AB500" s="2" t="s">
        <v>46</v>
      </c>
      <c r="AC500" s="2" t="s">
        <v>821</v>
      </c>
      <c r="AE500" s="2" t="s">
        <v>48</v>
      </c>
      <c r="AF500" s="2" t="s">
        <v>49</v>
      </c>
      <c r="AG500" s="2">
        <v>100</v>
      </c>
      <c r="AH500" s="2">
        <v>87</v>
      </c>
      <c r="AJ500" s="2" t="s">
        <v>4976</v>
      </c>
      <c r="AK500" s="2"/>
      <c r="AL500" s="2"/>
      <c r="AM500" s="2" t="s">
        <v>52</v>
      </c>
    </row>
    <row r="501" spans="1:39" x14ac:dyDescent="0.45">
      <c r="A501" s="2" t="s">
        <v>4977</v>
      </c>
      <c r="B501" s="2"/>
      <c r="C501" s="2" t="s">
        <v>4979</v>
      </c>
      <c r="D501" s="2" t="s">
        <v>4981</v>
      </c>
      <c r="E501" s="25"/>
      <c r="F501" s="21"/>
      <c r="G501" s="42" t="s">
        <v>28000</v>
      </c>
      <c r="H501" s="2" t="s">
        <v>50</v>
      </c>
      <c r="I501" s="2" t="s">
        <v>4985</v>
      </c>
      <c r="J501" s="2" t="s">
        <v>4978</v>
      </c>
      <c r="K501" s="2" t="s">
        <v>4980</v>
      </c>
      <c r="L501" s="2" t="s">
        <v>4982</v>
      </c>
      <c r="M501" s="2" t="s">
        <v>4982</v>
      </c>
      <c r="N501" s="2" t="s">
        <v>72</v>
      </c>
      <c r="O501" s="2" t="s">
        <v>73</v>
      </c>
      <c r="P501" s="2" t="s">
        <v>162</v>
      </c>
      <c r="Q501" s="2" t="s">
        <v>4983</v>
      </c>
      <c r="R501" s="2"/>
      <c r="S501" s="2"/>
      <c r="T501" s="2"/>
      <c r="U501" s="2" t="s">
        <v>72</v>
      </c>
      <c r="V501" s="2" t="s">
        <v>73</v>
      </c>
      <c r="W501" s="2" t="s">
        <v>162</v>
      </c>
      <c r="X501" s="2" t="s">
        <v>4984</v>
      </c>
      <c r="Y501" s="2" t="s">
        <v>44</v>
      </c>
      <c r="Z501" s="2"/>
      <c r="AA501" s="2" t="s">
        <v>821</v>
      </c>
      <c r="AB501" s="2" t="s">
        <v>46</v>
      </c>
      <c r="AC501" s="2" t="s">
        <v>821</v>
      </c>
      <c r="AE501" s="2" t="s">
        <v>48</v>
      </c>
      <c r="AF501" s="2" t="s">
        <v>49</v>
      </c>
      <c r="AG501" s="2">
        <v>100</v>
      </c>
      <c r="AH501" s="2">
        <v>87</v>
      </c>
      <c r="AJ501" s="2" t="s">
        <v>4986</v>
      </c>
      <c r="AK501" s="2"/>
      <c r="AL501" s="2"/>
      <c r="AM501" s="2" t="s">
        <v>52</v>
      </c>
    </row>
    <row r="502" spans="1:39" x14ac:dyDescent="0.45">
      <c r="A502" s="2" t="s">
        <v>4987</v>
      </c>
      <c r="B502" s="2"/>
      <c r="C502" s="2" t="s">
        <v>4989</v>
      </c>
      <c r="D502" s="2" t="s">
        <v>4991</v>
      </c>
      <c r="E502" s="25"/>
      <c r="F502" s="21"/>
      <c r="G502" s="42" t="s">
        <v>28000</v>
      </c>
      <c r="H502" s="2" t="s">
        <v>50</v>
      </c>
      <c r="I502" s="2" t="s">
        <v>4994</v>
      </c>
      <c r="J502" s="2" t="s">
        <v>4988</v>
      </c>
      <c r="K502" s="2" t="s">
        <v>4990</v>
      </c>
      <c r="L502" s="2" t="s">
        <v>4992</v>
      </c>
      <c r="M502" s="2" t="s">
        <v>4992</v>
      </c>
      <c r="N502" s="2" t="s">
        <v>59</v>
      </c>
      <c r="O502" s="2" t="s">
        <v>60</v>
      </c>
      <c r="P502" s="2" t="s">
        <v>1589</v>
      </c>
      <c r="Q502" s="2" t="s">
        <v>4993</v>
      </c>
      <c r="R502" s="2"/>
      <c r="S502" s="2"/>
      <c r="T502" s="2"/>
      <c r="U502" s="2" t="s">
        <v>59</v>
      </c>
      <c r="V502" s="2" t="s">
        <v>60</v>
      </c>
      <c r="W502" s="2" t="s">
        <v>1589</v>
      </c>
      <c r="X502" s="2" t="s">
        <v>4984</v>
      </c>
      <c r="Y502" s="2" t="s">
        <v>44</v>
      </c>
      <c r="Z502" s="2"/>
      <c r="AA502" s="2" t="s">
        <v>821</v>
      </c>
      <c r="AB502" s="2" t="s">
        <v>46</v>
      </c>
      <c r="AC502" s="2" t="s">
        <v>821</v>
      </c>
      <c r="AE502" s="2" t="s">
        <v>48</v>
      </c>
      <c r="AF502" s="2" t="s">
        <v>49</v>
      </c>
      <c r="AG502" s="2">
        <v>100</v>
      </c>
      <c r="AH502" s="2">
        <v>87</v>
      </c>
      <c r="AJ502" s="2" t="s">
        <v>4995</v>
      </c>
      <c r="AK502" s="2"/>
      <c r="AL502" s="2"/>
      <c r="AM502" s="2" t="s">
        <v>52</v>
      </c>
    </row>
    <row r="503" spans="1:39" x14ac:dyDescent="0.45">
      <c r="A503" s="2" t="s">
        <v>4996</v>
      </c>
      <c r="B503" s="2"/>
      <c r="C503" s="2" t="s">
        <v>4998</v>
      </c>
      <c r="D503" s="2" t="s">
        <v>5000</v>
      </c>
      <c r="E503" s="25"/>
      <c r="F503" s="21"/>
      <c r="G503" s="42" t="s">
        <v>28000</v>
      </c>
      <c r="H503" s="2" t="s">
        <v>50</v>
      </c>
      <c r="I503" s="2" t="s">
        <v>5003</v>
      </c>
      <c r="J503" s="2" t="s">
        <v>4997</v>
      </c>
      <c r="K503" s="2" t="s">
        <v>4999</v>
      </c>
      <c r="L503" s="2" t="s">
        <v>5001</v>
      </c>
      <c r="M503" s="2" t="s">
        <v>5001</v>
      </c>
      <c r="N503" s="2" t="s">
        <v>59</v>
      </c>
      <c r="O503" s="2" t="s">
        <v>60</v>
      </c>
      <c r="P503" s="2" t="s">
        <v>5002</v>
      </c>
      <c r="Q503" s="2" t="s">
        <v>4999</v>
      </c>
      <c r="R503" s="2"/>
      <c r="S503" s="2"/>
      <c r="T503" s="2"/>
      <c r="U503" s="2" t="s">
        <v>59</v>
      </c>
      <c r="V503" s="2" t="s">
        <v>60</v>
      </c>
      <c r="W503" s="2" t="s">
        <v>5002</v>
      </c>
      <c r="X503" s="2" t="s">
        <v>2838</v>
      </c>
      <c r="Y503" s="2" t="s">
        <v>44</v>
      </c>
      <c r="Z503" s="2"/>
      <c r="AA503" s="2" t="s">
        <v>821</v>
      </c>
      <c r="AB503" s="2" t="s">
        <v>46</v>
      </c>
      <c r="AC503" s="2" t="s">
        <v>821</v>
      </c>
      <c r="AE503" s="2" t="s">
        <v>48</v>
      </c>
      <c r="AF503" s="2" t="s">
        <v>49</v>
      </c>
      <c r="AG503" s="2">
        <v>100</v>
      </c>
      <c r="AH503" s="2">
        <v>87</v>
      </c>
      <c r="AJ503" s="2" t="s">
        <v>5004</v>
      </c>
      <c r="AK503" s="2"/>
      <c r="AL503" s="2"/>
      <c r="AM503" s="2" t="s">
        <v>52</v>
      </c>
    </row>
    <row r="504" spans="1:39" x14ac:dyDescent="0.45">
      <c r="A504" s="2" t="s">
        <v>5005</v>
      </c>
      <c r="B504" s="2"/>
      <c r="C504" s="2" t="s">
        <v>5007</v>
      </c>
      <c r="D504" s="2" t="s">
        <v>5009</v>
      </c>
      <c r="E504" s="25"/>
      <c r="F504" s="21"/>
      <c r="G504" s="42" t="s">
        <v>28000</v>
      </c>
      <c r="H504" s="2" t="s">
        <v>50</v>
      </c>
      <c r="I504" s="2" t="s">
        <v>5013</v>
      </c>
      <c r="J504" s="2" t="s">
        <v>5006</v>
      </c>
      <c r="K504" s="2" t="s">
        <v>5008</v>
      </c>
      <c r="L504" s="2" t="s">
        <v>5010</v>
      </c>
      <c r="M504" s="2" t="s">
        <v>5010</v>
      </c>
      <c r="N504" s="2" t="s">
        <v>72</v>
      </c>
      <c r="O504" s="2" t="s">
        <v>73</v>
      </c>
      <c r="P504" s="2" t="s">
        <v>1568</v>
      </c>
      <c r="Q504" s="2" t="s">
        <v>5011</v>
      </c>
      <c r="R504" s="2"/>
      <c r="S504" s="2"/>
      <c r="T504" s="2"/>
      <c r="U504" s="2" t="s">
        <v>72</v>
      </c>
      <c r="V504" s="2" t="s">
        <v>73</v>
      </c>
      <c r="W504" s="2" t="s">
        <v>74</v>
      </c>
      <c r="X504" s="2" t="s">
        <v>5012</v>
      </c>
      <c r="Y504" s="2" t="s">
        <v>44</v>
      </c>
      <c r="Z504" s="2"/>
      <c r="AA504" s="2" t="s">
        <v>821</v>
      </c>
      <c r="AB504" s="2" t="s">
        <v>46</v>
      </c>
      <c r="AC504" s="2" t="s">
        <v>821</v>
      </c>
      <c r="AE504" s="2" t="s">
        <v>48</v>
      </c>
      <c r="AF504" s="2" t="s">
        <v>49</v>
      </c>
      <c r="AG504" s="2">
        <v>100</v>
      </c>
      <c r="AH504" s="2">
        <v>87</v>
      </c>
      <c r="AJ504" s="2" t="s">
        <v>5014</v>
      </c>
      <c r="AK504" s="2"/>
      <c r="AL504" s="2"/>
      <c r="AM504" s="2" t="s">
        <v>52</v>
      </c>
    </row>
    <row r="505" spans="1:39" x14ac:dyDescent="0.45">
      <c r="A505" s="2" t="s">
        <v>5015</v>
      </c>
      <c r="B505" s="2"/>
      <c r="C505" s="2" t="s">
        <v>5017</v>
      </c>
      <c r="D505" s="2" t="s">
        <v>5019</v>
      </c>
      <c r="E505" s="25"/>
      <c r="F505" s="21"/>
      <c r="G505" s="42" t="s">
        <v>28000</v>
      </c>
      <c r="H505" s="2" t="s">
        <v>50</v>
      </c>
      <c r="I505" s="2" t="s">
        <v>5022</v>
      </c>
      <c r="J505" s="2" t="s">
        <v>5016</v>
      </c>
      <c r="K505" s="2" t="s">
        <v>5018</v>
      </c>
      <c r="L505" s="2" t="s">
        <v>5020</v>
      </c>
      <c r="M505" s="2" t="s">
        <v>5020</v>
      </c>
      <c r="N505" s="2" t="s">
        <v>72</v>
      </c>
      <c r="O505" s="2" t="s">
        <v>73</v>
      </c>
      <c r="P505" s="2" t="s">
        <v>1610</v>
      </c>
      <c r="Q505" s="2" t="s">
        <v>5021</v>
      </c>
      <c r="R505" s="2"/>
      <c r="S505" s="2"/>
      <c r="T505" s="2"/>
      <c r="U505" s="2" t="s">
        <v>72</v>
      </c>
      <c r="V505" s="2" t="s">
        <v>73</v>
      </c>
      <c r="W505" s="2" t="s">
        <v>1610</v>
      </c>
      <c r="X505" s="2" t="s">
        <v>2875</v>
      </c>
      <c r="Y505" s="2" t="s">
        <v>44</v>
      </c>
      <c r="Z505" s="2"/>
      <c r="AA505" s="2" t="s">
        <v>821</v>
      </c>
      <c r="AB505" s="2" t="s">
        <v>46</v>
      </c>
      <c r="AC505" s="2" t="s">
        <v>821</v>
      </c>
      <c r="AE505" s="2" t="s">
        <v>48</v>
      </c>
      <c r="AF505" s="2" t="s">
        <v>49</v>
      </c>
      <c r="AG505" s="2">
        <v>100</v>
      </c>
      <c r="AH505" s="2">
        <v>87</v>
      </c>
      <c r="AJ505" s="2" t="s">
        <v>5023</v>
      </c>
      <c r="AK505" s="2"/>
      <c r="AL505" s="2"/>
      <c r="AM505" s="2" t="s">
        <v>52</v>
      </c>
    </row>
    <row r="506" spans="1:39" x14ac:dyDescent="0.45">
      <c r="A506" s="2" t="s">
        <v>5024</v>
      </c>
      <c r="B506" s="2"/>
      <c r="C506" s="2" t="s">
        <v>5026</v>
      </c>
      <c r="D506" s="2" t="s">
        <v>5028</v>
      </c>
      <c r="E506" s="25"/>
      <c r="F506" s="21"/>
      <c r="G506" s="42" t="s">
        <v>28000</v>
      </c>
      <c r="H506" s="2" t="s">
        <v>50</v>
      </c>
      <c r="I506" s="2" t="s">
        <v>5032</v>
      </c>
      <c r="J506" s="2" t="s">
        <v>5025</v>
      </c>
      <c r="K506" s="2" t="s">
        <v>5027</v>
      </c>
      <c r="L506" s="2" t="s">
        <v>5029</v>
      </c>
      <c r="M506" s="2" t="s">
        <v>5029</v>
      </c>
      <c r="N506" s="2" t="s">
        <v>72</v>
      </c>
      <c r="O506" s="2" t="s">
        <v>73</v>
      </c>
      <c r="P506" s="2" t="s">
        <v>474</v>
      </c>
      <c r="Q506" s="2" t="s">
        <v>5030</v>
      </c>
      <c r="R506" s="2"/>
      <c r="S506" s="2"/>
      <c r="T506" s="2"/>
      <c r="U506" s="2" t="s">
        <v>59</v>
      </c>
      <c r="V506" s="2" t="s">
        <v>60</v>
      </c>
      <c r="W506" s="2" t="s">
        <v>992</v>
      </c>
      <c r="X506" s="2" t="s">
        <v>5031</v>
      </c>
      <c r="Y506" s="2" t="s">
        <v>44</v>
      </c>
      <c r="Z506" s="2"/>
      <c r="AA506" s="2" t="s">
        <v>821</v>
      </c>
      <c r="AB506" s="2" t="s">
        <v>46</v>
      </c>
      <c r="AC506" s="2" t="s">
        <v>821</v>
      </c>
      <c r="AE506" s="2" t="s">
        <v>48</v>
      </c>
      <c r="AF506" s="2" t="s">
        <v>49</v>
      </c>
      <c r="AG506" s="2">
        <v>100</v>
      </c>
      <c r="AH506" s="2">
        <v>87</v>
      </c>
      <c r="AJ506" s="2" t="s">
        <v>5033</v>
      </c>
      <c r="AK506" s="2"/>
      <c r="AL506" s="2"/>
      <c r="AM506" s="2" t="s">
        <v>52</v>
      </c>
    </row>
    <row r="507" spans="1:39" x14ac:dyDescent="0.45">
      <c r="A507" s="2" t="s">
        <v>5034</v>
      </c>
      <c r="B507" s="2"/>
      <c r="C507" s="2" t="s">
        <v>5036</v>
      </c>
      <c r="D507" s="2" t="s">
        <v>5038</v>
      </c>
      <c r="E507" s="25"/>
      <c r="F507" s="21"/>
      <c r="G507" s="42" t="s">
        <v>28000</v>
      </c>
      <c r="H507" s="2" t="s">
        <v>50</v>
      </c>
      <c r="I507" s="2" t="s">
        <v>5041</v>
      </c>
      <c r="J507" s="2" t="s">
        <v>5035</v>
      </c>
      <c r="K507" s="2" t="s">
        <v>5037</v>
      </c>
      <c r="L507" s="2" t="s">
        <v>5039</v>
      </c>
      <c r="M507" s="2" t="s">
        <v>5039</v>
      </c>
      <c r="N507" s="2" t="s">
        <v>72</v>
      </c>
      <c r="O507" s="2" t="s">
        <v>73</v>
      </c>
      <c r="P507" s="2" t="s">
        <v>373</v>
      </c>
      <c r="Q507" s="2" t="s">
        <v>5037</v>
      </c>
      <c r="R507" s="2"/>
      <c r="S507" s="2"/>
      <c r="T507" s="2"/>
      <c r="U507" s="2" t="s">
        <v>72</v>
      </c>
      <c r="V507" s="2" t="s">
        <v>73</v>
      </c>
      <c r="W507" s="2" t="s">
        <v>373</v>
      </c>
      <c r="X507" s="2" t="s">
        <v>5040</v>
      </c>
      <c r="Y507" s="2" t="s">
        <v>44</v>
      </c>
      <c r="Z507" s="2"/>
      <c r="AA507" s="2" t="s">
        <v>821</v>
      </c>
      <c r="AB507" s="2" t="s">
        <v>46</v>
      </c>
      <c r="AC507" s="2" t="s">
        <v>821</v>
      </c>
      <c r="AE507" s="2" t="s">
        <v>48</v>
      </c>
      <c r="AF507" s="2" t="s">
        <v>49</v>
      </c>
      <c r="AG507" s="2">
        <v>100</v>
      </c>
      <c r="AH507" s="2">
        <v>87</v>
      </c>
      <c r="AJ507" s="2" t="s">
        <v>5042</v>
      </c>
      <c r="AK507" s="2"/>
      <c r="AL507" s="2"/>
      <c r="AM507" s="2" t="s">
        <v>52</v>
      </c>
    </row>
    <row r="508" spans="1:39" x14ac:dyDescent="0.45">
      <c r="A508" s="2" t="s">
        <v>5043</v>
      </c>
      <c r="B508" s="2"/>
      <c r="C508" s="2" t="s">
        <v>5045</v>
      </c>
      <c r="D508" s="2" t="s">
        <v>5047</v>
      </c>
      <c r="E508" s="25"/>
      <c r="F508" s="21"/>
      <c r="G508" s="42" t="s">
        <v>28000</v>
      </c>
      <c r="H508" s="2" t="s">
        <v>50</v>
      </c>
      <c r="I508" s="2" t="s">
        <v>5050</v>
      </c>
      <c r="J508" s="2" t="s">
        <v>5044</v>
      </c>
      <c r="K508" s="2" t="s">
        <v>5046</v>
      </c>
      <c r="L508" s="2" t="s">
        <v>5048</v>
      </c>
      <c r="M508" s="2" t="s">
        <v>5048</v>
      </c>
      <c r="N508" s="2" t="s">
        <v>72</v>
      </c>
      <c r="O508" s="2" t="s">
        <v>73</v>
      </c>
      <c r="P508" s="2" t="s">
        <v>474</v>
      </c>
      <c r="Q508" s="2" t="s">
        <v>5049</v>
      </c>
      <c r="R508" s="2"/>
      <c r="S508" s="2"/>
      <c r="T508" s="2"/>
      <c r="U508" s="2" t="s">
        <v>72</v>
      </c>
      <c r="V508" s="2" t="s">
        <v>73</v>
      </c>
      <c r="W508" s="2" t="s">
        <v>474</v>
      </c>
      <c r="X508" s="2" t="s">
        <v>5040</v>
      </c>
      <c r="Y508" s="2" t="s">
        <v>44</v>
      </c>
      <c r="Z508" s="2"/>
      <c r="AA508" s="2" t="s">
        <v>821</v>
      </c>
      <c r="AB508" s="2" t="s">
        <v>46</v>
      </c>
      <c r="AC508" s="2" t="s">
        <v>821</v>
      </c>
      <c r="AE508" s="2" t="s">
        <v>48</v>
      </c>
      <c r="AF508" s="2" t="s">
        <v>49</v>
      </c>
      <c r="AG508" s="2">
        <v>100</v>
      </c>
      <c r="AH508" s="2">
        <v>87</v>
      </c>
      <c r="AJ508" s="2" t="s">
        <v>5051</v>
      </c>
      <c r="AK508" s="2"/>
      <c r="AL508" s="2"/>
      <c r="AM508" s="2" t="s">
        <v>52</v>
      </c>
    </row>
    <row r="509" spans="1:39" x14ac:dyDescent="0.45">
      <c r="A509" s="2" t="s">
        <v>5052</v>
      </c>
      <c r="B509" s="2"/>
      <c r="C509" s="2" t="s">
        <v>5054</v>
      </c>
      <c r="D509" s="2" t="s">
        <v>5056</v>
      </c>
      <c r="E509" s="25"/>
      <c r="F509" s="21"/>
      <c r="G509" s="42" t="s">
        <v>28000</v>
      </c>
      <c r="H509" s="2" t="s">
        <v>50</v>
      </c>
      <c r="I509" s="2" t="s">
        <v>5060</v>
      </c>
      <c r="J509" s="2" t="s">
        <v>5053</v>
      </c>
      <c r="K509" s="2" t="s">
        <v>5055</v>
      </c>
      <c r="L509" s="2" t="s">
        <v>5057</v>
      </c>
      <c r="M509" s="2" t="s">
        <v>5057</v>
      </c>
      <c r="N509" s="2" t="s">
        <v>59</v>
      </c>
      <c r="O509" s="2" t="s">
        <v>60</v>
      </c>
      <c r="P509" s="2" t="s">
        <v>1640</v>
      </c>
      <c r="Q509" s="2" t="s">
        <v>5058</v>
      </c>
      <c r="R509" s="2"/>
      <c r="S509" s="2"/>
      <c r="T509" s="2"/>
      <c r="U509" s="2" t="s">
        <v>59</v>
      </c>
      <c r="V509" s="2" t="s">
        <v>60</v>
      </c>
      <c r="W509" s="2" t="s">
        <v>1640</v>
      </c>
      <c r="X509" s="2" t="s">
        <v>5059</v>
      </c>
      <c r="Y509" s="2" t="s">
        <v>44</v>
      </c>
      <c r="Z509" s="2"/>
      <c r="AA509" s="2" t="s">
        <v>821</v>
      </c>
      <c r="AB509" s="2" t="s">
        <v>46</v>
      </c>
      <c r="AC509" s="2" t="s">
        <v>821</v>
      </c>
      <c r="AE509" s="2" t="s">
        <v>48</v>
      </c>
      <c r="AF509" s="2" t="s">
        <v>49</v>
      </c>
      <c r="AG509" s="2">
        <v>100</v>
      </c>
      <c r="AH509" s="2">
        <v>87</v>
      </c>
      <c r="AJ509" s="2" t="s">
        <v>5061</v>
      </c>
      <c r="AK509" s="2"/>
      <c r="AL509" s="2"/>
      <c r="AM509" s="2" t="s">
        <v>52</v>
      </c>
    </row>
    <row r="510" spans="1:39" x14ac:dyDescent="0.45">
      <c r="A510" s="2" t="s">
        <v>5062</v>
      </c>
      <c r="B510" s="2"/>
      <c r="C510" s="2" t="s">
        <v>5064</v>
      </c>
      <c r="D510" s="2" t="s">
        <v>5066</v>
      </c>
      <c r="E510" s="25"/>
      <c r="F510" s="21"/>
      <c r="G510" s="42" t="s">
        <v>28000</v>
      </c>
      <c r="H510" s="2" t="s">
        <v>50</v>
      </c>
      <c r="I510" s="2" t="s">
        <v>5070</v>
      </c>
      <c r="J510" s="2" t="s">
        <v>5063</v>
      </c>
      <c r="K510" s="2" t="s">
        <v>5065</v>
      </c>
      <c r="L510" s="2" t="s">
        <v>5067</v>
      </c>
      <c r="M510" s="2" t="s">
        <v>5067</v>
      </c>
      <c r="N510" s="2" t="s">
        <v>72</v>
      </c>
      <c r="O510" s="2" t="s">
        <v>73</v>
      </c>
      <c r="P510" s="2" t="s">
        <v>1035</v>
      </c>
      <c r="Q510" s="2" t="s">
        <v>5068</v>
      </c>
      <c r="R510" s="2"/>
      <c r="S510" s="2"/>
      <c r="T510" s="2"/>
      <c r="U510" s="2" t="s">
        <v>72</v>
      </c>
      <c r="V510" s="2" t="s">
        <v>73</v>
      </c>
      <c r="W510" s="2" t="s">
        <v>607</v>
      </c>
      <c r="X510" s="2" t="s">
        <v>5069</v>
      </c>
      <c r="Y510" s="2" t="s">
        <v>44</v>
      </c>
      <c r="Z510" s="2"/>
      <c r="AA510" s="2" t="s">
        <v>821</v>
      </c>
      <c r="AB510" s="2" t="s">
        <v>46</v>
      </c>
      <c r="AC510" s="2" t="s">
        <v>821</v>
      </c>
      <c r="AE510" s="2" t="s">
        <v>48</v>
      </c>
      <c r="AF510" s="2" t="s">
        <v>49</v>
      </c>
      <c r="AG510" s="2">
        <v>100</v>
      </c>
      <c r="AH510" s="2">
        <v>87</v>
      </c>
      <c r="AJ510" s="2" t="s">
        <v>5071</v>
      </c>
      <c r="AK510" s="2"/>
      <c r="AL510" s="2"/>
      <c r="AM510" s="2" t="s">
        <v>52</v>
      </c>
    </row>
    <row r="511" spans="1:39" x14ac:dyDescent="0.45">
      <c r="A511" s="2" t="s">
        <v>5072</v>
      </c>
      <c r="B511" s="2"/>
      <c r="C511" s="2" t="s">
        <v>5074</v>
      </c>
      <c r="D511" s="2" t="s">
        <v>5076</v>
      </c>
      <c r="E511" s="25"/>
      <c r="F511" s="21"/>
      <c r="G511" s="42" t="s">
        <v>28000</v>
      </c>
      <c r="H511" s="2" t="s">
        <v>50</v>
      </c>
      <c r="I511" s="2" t="s">
        <v>5079</v>
      </c>
      <c r="J511" s="2" t="s">
        <v>5073</v>
      </c>
      <c r="K511" s="2" t="s">
        <v>5075</v>
      </c>
      <c r="L511" s="2" t="s">
        <v>5077</v>
      </c>
      <c r="M511" s="2" t="s">
        <v>5077</v>
      </c>
      <c r="N511" s="2" t="s">
        <v>72</v>
      </c>
      <c r="O511" s="2" t="s">
        <v>73</v>
      </c>
      <c r="P511" s="2" t="s">
        <v>187</v>
      </c>
      <c r="Q511" s="2" t="s">
        <v>5078</v>
      </c>
      <c r="R511" s="2"/>
      <c r="S511" s="2"/>
      <c r="T511" s="2"/>
      <c r="U511" s="2" t="s">
        <v>72</v>
      </c>
      <c r="V511" s="2" t="s">
        <v>73</v>
      </c>
      <c r="W511" s="2" t="s">
        <v>187</v>
      </c>
      <c r="X511" s="2" t="s">
        <v>642</v>
      </c>
      <c r="Y511" s="2" t="s">
        <v>44</v>
      </c>
      <c r="Z511" s="2"/>
      <c r="AA511" s="2" t="s">
        <v>821</v>
      </c>
      <c r="AB511" s="2" t="s">
        <v>46</v>
      </c>
      <c r="AC511" s="2" t="s">
        <v>821</v>
      </c>
      <c r="AE511" s="2" t="s">
        <v>48</v>
      </c>
      <c r="AF511" s="2" t="s">
        <v>49</v>
      </c>
      <c r="AG511" s="2">
        <v>100</v>
      </c>
      <c r="AH511" s="2">
        <v>87</v>
      </c>
      <c r="AJ511" s="2" t="s">
        <v>5080</v>
      </c>
      <c r="AK511" s="2"/>
      <c r="AL511" s="2"/>
      <c r="AM511" s="2" t="s">
        <v>52</v>
      </c>
    </row>
    <row r="512" spans="1:39" x14ac:dyDescent="0.45">
      <c r="A512" s="2" t="s">
        <v>5081</v>
      </c>
      <c r="B512" s="2"/>
      <c r="C512" s="2" t="s">
        <v>5083</v>
      </c>
      <c r="D512" s="2" t="s">
        <v>5085</v>
      </c>
      <c r="E512" s="25"/>
      <c r="F512" s="21"/>
      <c r="G512" s="42" t="s">
        <v>28000</v>
      </c>
      <c r="H512" s="2" t="s">
        <v>50</v>
      </c>
      <c r="I512" s="2" t="s">
        <v>5089</v>
      </c>
      <c r="J512" s="2" t="s">
        <v>5082</v>
      </c>
      <c r="K512" s="2" t="s">
        <v>5084</v>
      </c>
      <c r="L512" s="2" t="s">
        <v>5086</v>
      </c>
      <c r="M512" s="2" t="s">
        <v>5086</v>
      </c>
      <c r="N512" s="2" t="s">
        <v>72</v>
      </c>
      <c r="O512" s="2" t="s">
        <v>73</v>
      </c>
      <c r="P512" s="2" t="s">
        <v>162</v>
      </c>
      <c r="Q512" s="2" t="s">
        <v>5087</v>
      </c>
      <c r="R512" s="2"/>
      <c r="S512" s="2"/>
      <c r="T512" s="2"/>
      <c r="U512" s="2" t="s">
        <v>72</v>
      </c>
      <c r="V512" s="2" t="s">
        <v>73</v>
      </c>
      <c r="W512" s="2" t="s">
        <v>162</v>
      </c>
      <c r="X512" s="2" t="s">
        <v>5088</v>
      </c>
      <c r="Y512" s="2" t="s">
        <v>44</v>
      </c>
      <c r="Z512" s="2"/>
      <c r="AA512" s="2" t="s">
        <v>821</v>
      </c>
      <c r="AB512" s="2" t="s">
        <v>46</v>
      </c>
      <c r="AC512" s="2" t="s">
        <v>821</v>
      </c>
      <c r="AE512" s="2" t="s">
        <v>48</v>
      </c>
      <c r="AF512" s="2" t="s">
        <v>49</v>
      </c>
      <c r="AG512" s="2">
        <v>100</v>
      </c>
      <c r="AH512" s="2">
        <v>87</v>
      </c>
      <c r="AJ512" s="2" t="s">
        <v>5090</v>
      </c>
      <c r="AK512" s="2"/>
      <c r="AL512" s="2"/>
      <c r="AM512" s="2" t="s">
        <v>52</v>
      </c>
    </row>
    <row r="513" spans="1:39" x14ac:dyDescent="0.45">
      <c r="A513" s="2" t="s">
        <v>5091</v>
      </c>
      <c r="B513" s="2"/>
      <c r="C513" s="2" t="s">
        <v>5093</v>
      </c>
      <c r="D513" s="2" t="s">
        <v>5095</v>
      </c>
      <c r="E513" s="25"/>
      <c r="F513" s="21"/>
      <c r="G513" s="42" t="s">
        <v>28000</v>
      </c>
      <c r="H513" s="2" t="s">
        <v>50</v>
      </c>
      <c r="I513" s="2" t="s">
        <v>5098</v>
      </c>
      <c r="J513" s="2" t="s">
        <v>5092</v>
      </c>
      <c r="K513" s="2" t="s">
        <v>5094</v>
      </c>
      <c r="L513" s="2" t="s">
        <v>5096</v>
      </c>
      <c r="M513" s="2" t="s">
        <v>5096</v>
      </c>
      <c r="N513" s="2" t="s">
        <v>59</v>
      </c>
      <c r="O513" s="2" t="s">
        <v>60</v>
      </c>
      <c r="P513" s="2" t="s">
        <v>1640</v>
      </c>
      <c r="Q513" s="2"/>
      <c r="R513" s="2"/>
      <c r="S513" s="2"/>
      <c r="T513" s="2"/>
      <c r="U513" s="2"/>
      <c r="V513" s="2"/>
      <c r="W513" s="2"/>
      <c r="X513" s="2" t="s">
        <v>5097</v>
      </c>
      <c r="Y513" s="2" t="s">
        <v>44</v>
      </c>
      <c r="Z513" s="2"/>
      <c r="AA513" s="2" t="s">
        <v>821</v>
      </c>
      <c r="AB513" s="2" t="s">
        <v>46</v>
      </c>
      <c r="AC513" s="2" t="s">
        <v>821</v>
      </c>
      <c r="AE513" s="2" t="s">
        <v>48</v>
      </c>
      <c r="AF513" s="2" t="s">
        <v>49</v>
      </c>
      <c r="AG513" s="2">
        <v>100</v>
      </c>
      <c r="AH513" s="2">
        <v>87</v>
      </c>
      <c r="AJ513" s="2" t="s">
        <v>5099</v>
      </c>
      <c r="AK513" s="2"/>
      <c r="AL513" s="2"/>
      <c r="AM513" s="2" t="s">
        <v>52</v>
      </c>
    </row>
    <row r="514" spans="1:39" x14ac:dyDescent="0.45">
      <c r="A514" s="2" t="s">
        <v>5100</v>
      </c>
      <c r="B514" s="2"/>
      <c r="C514" s="2" t="s">
        <v>5102</v>
      </c>
      <c r="D514" s="2" t="s">
        <v>5104</v>
      </c>
      <c r="E514" s="25"/>
      <c r="F514" s="21"/>
      <c r="G514" s="42" t="s">
        <v>28000</v>
      </c>
      <c r="H514" s="2" t="s">
        <v>50</v>
      </c>
      <c r="I514" s="2" t="s">
        <v>5107</v>
      </c>
      <c r="J514" s="2" t="s">
        <v>5101</v>
      </c>
      <c r="K514" s="2" t="s">
        <v>5103</v>
      </c>
      <c r="L514" s="2" t="s">
        <v>5105</v>
      </c>
      <c r="M514" s="2" t="s">
        <v>5105</v>
      </c>
      <c r="N514" s="2" t="s">
        <v>290</v>
      </c>
      <c r="O514" s="2" t="s">
        <v>278</v>
      </c>
      <c r="P514" s="2" t="s">
        <v>291</v>
      </c>
      <c r="Q514" s="2" t="s">
        <v>5103</v>
      </c>
      <c r="R514" s="2"/>
      <c r="S514" s="2"/>
      <c r="T514" s="2"/>
      <c r="U514" s="2" t="s">
        <v>290</v>
      </c>
      <c r="V514" s="2" t="s">
        <v>278</v>
      </c>
      <c r="W514" s="2" t="s">
        <v>291</v>
      </c>
      <c r="X514" s="2" t="s">
        <v>5106</v>
      </c>
      <c r="Y514" s="2" t="s">
        <v>44</v>
      </c>
      <c r="Z514" s="2"/>
      <c r="AA514" s="2" t="s">
        <v>821</v>
      </c>
      <c r="AB514" s="2" t="s">
        <v>46</v>
      </c>
      <c r="AC514" s="2" t="s">
        <v>821</v>
      </c>
      <c r="AE514" s="2" t="s">
        <v>48</v>
      </c>
      <c r="AF514" s="2" t="s">
        <v>49</v>
      </c>
      <c r="AG514" s="2">
        <v>100</v>
      </c>
      <c r="AH514" s="2">
        <v>87</v>
      </c>
      <c r="AJ514" s="2" t="s">
        <v>5108</v>
      </c>
      <c r="AK514" s="2"/>
      <c r="AL514" s="2"/>
      <c r="AM514" s="2" t="s">
        <v>52</v>
      </c>
    </row>
    <row r="515" spans="1:39" x14ac:dyDescent="0.45">
      <c r="A515" s="2" t="s">
        <v>5109</v>
      </c>
      <c r="B515" s="2"/>
      <c r="C515" s="2" t="s">
        <v>5111</v>
      </c>
      <c r="D515" s="2" t="s">
        <v>5113</v>
      </c>
      <c r="E515" s="25"/>
      <c r="F515" s="21"/>
      <c r="G515" s="42" t="s">
        <v>28000</v>
      </c>
      <c r="H515" s="2" t="s">
        <v>50</v>
      </c>
      <c r="I515" s="2" t="s">
        <v>5116</v>
      </c>
      <c r="J515" s="2" t="s">
        <v>5110</v>
      </c>
      <c r="K515" s="2" t="s">
        <v>5112</v>
      </c>
      <c r="L515" s="2" t="s">
        <v>5114</v>
      </c>
      <c r="M515" s="2" t="s">
        <v>5114</v>
      </c>
      <c r="N515" s="2" t="s">
        <v>72</v>
      </c>
      <c r="O515" s="2" t="s">
        <v>73</v>
      </c>
      <c r="P515" s="2" t="s">
        <v>74</v>
      </c>
      <c r="Q515" s="2" t="s">
        <v>5112</v>
      </c>
      <c r="R515" s="2"/>
      <c r="S515" s="2"/>
      <c r="T515" s="2"/>
      <c r="U515" s="2" t="s">
        <v>72</v>
      </c>
      <c r="V515" s="2" t="s">
        <v>73</v>
      </c>
      <c r="W515" s="2" t="s">
        <v>74</v>
      </c>
      <c r="X515" s="2" t="s">
        <v>5115</v>
      </c>
      <c r="Y515" s="2" t="s">
        <v>44</v>
      </c>
      <c r="Z515" s="2"/>
      <c r="AA515" s="2" t="s">
        <v>821</v>
      </c>
      <c r="AB515" s="2" t="s">
        <v>46</v>
      </c>
      <c r="AC515" s="2" t="s">
        <v>821</v>
      </c>
      <c r="AE515" s="2" t="s">
        <v>48</v>
      </c>
      <c r="AF515" s="2" t="s">
        <v>49</v>
      </c>
      <c r="AG515" s="2">
        <v>100</v>
      </c>
      <c r="AH515" s="2">
        <v>87</v>
      </c>
      <c r="AJ515" s="2" t="s">
        <v>5117</v>
      </c>
      <c r="AK515" s="2"/>
      <c r="AL515" s="2"/>
      <c r="AM515" s="2" t="s">
        <v>52</v>
      </c>
    </row>
    <row r="516" spans="1:39" x14ac:dyDescent="0.45">
      <c r="A516" s="2" t="s">
        <v>5118</v>
      </c>
      <c r="B516" s="2"/>
      <c r="C516" s="2" t="s">
        <v>5120</v>
      </c>
      <c r="D516" s="2" t="s">
        <v>5122</v>
      </c>
      <c r="E516" s="25"/>
      <c r="F516" s="21"/>
      <c r="G516" s="42" t="s">
        <v>28000</v>
      </c>
      <c r="H516" s="2" t="s">
        <v>50</v>
      </c>
      <c r="I516" s="2" t="s">
        <v>5125</v>
      </c>
      <c r="J516" s="2" t="s">
        <v>5119</v>
      </c>
      <c r="K516" s="2" t="s">
        <v>5121</v>
      </c>
      <c r="L516" s="2" t="s">
        <v>5123</v>
      </c>
      <c r="M516" s="2" t="s">
        <v>5123</v>
      </c>
      <c r="N516" s="2" t="s">
        <v>384</v>
      </c>
      <c r="O516" s="2" t="s">
        <v>73</v>
      </c>
      <c r="P516" s="2" t="s">
        <v>4885</v>
      </c>
      <c r="Q516" s="2" t="s">
        <v>5121</v>
      </c>
      <c r="R516" s="2"/>
      <c r="S516" s="2"/>
      <c r="T516" s="2"/>
      <c r="U516" s="2" t="s">
        <v>384</v>
      </c>
      <c r="V516" s="2" t="s">
        <v>73</v>
      </c>
      <c r="W516" s="2" t="s">
        <v>4885</v>
      </c>
      <c r="X516" s="2" t="s">
        <v>5124</v>
      </c>
      <c r="Y516" s="2" t="s">
        <v>44</v>
      </c>
      <c r="Z516" s="2"/>
      <c r="AA516" s="2" t="s">
        <v>821</v>
      </c>
      <c r="AB516" s="2" t="s">
        <v>46</v>
      </c>
      <c r="AC516" s="2" t="s">
        <v>821</v>
      </c>
      <c r="AE516" s="2" t="s">
        <v>48</v>
      </c>
      <c r="AF516" s="2" t="s">
        <v>49</v>
      </c>
      <c r="AG516" s="2">
        <v>100</v>
      </c>
      <c r="AH516" s="2">
        <v>87</v>
      </c>
      <c r="AJ516" s="2" t="s">
        <v>5126</v>
      </c>
      <c r="AK516" s="2"/>
      <c r="AL516" s="2"/>
      <c r="AM516" s="2" t="s">
        <v>52</v>
      </c>
    </row>
    <row r="517" spans="1:39" x14ac:dyDescent="0.45">
      <c r="A517" s="2" t="s">
        <v>5127</v>
      </c>
      <c r="B517" s="2"/>
      <c r="C517" s="2" t="s">
        <v>5129</v>
      </c>
      <c r="D517" s="2" t="s">
        <v>5131</v>
      </c>
      <c r="E517" s="25"/>
      <c r="F517" s="21"/>
      <c r="G517" s="42" t="s">
        <v>28000</v>
      </c>
      <c r="H517" s="2" t="s">
        <v>50</v>
      </c>
      <c r="I517" s="2" t="s">
        <v>5134</v>
      </c>
      <c r="J517" s="2" t="s">
        <v>5128</v>
      </c>
      <c r="K517" s="2" t="s">
        <v>5130</v>
      </c>
      <c r="L517" s="2" t="s">
        <v>5132</v>
      </c>
      <c r="M517" s="2" t="s">
        <v>5132</v>
      </c>
      <c r="N517" s="2" t="s">
        <v>72</v>
      </c>
      <c r="O517" s="2" t="s">
        <v>73</v>
      </c>
      <c r="P517" s="2" t="s">
        <v>74</v>
      </c>
      <c r="Q517" s="2" t="s">
        <v>5130</v>
      </c>
      <c r="R517" s="2"/>
      <c r="S517" s="2"/>
      <c r="T517" s="2"/>
      <c r="U517" s="2" t="s">
        <v>72</v>
      </c>
      <c r="V517" s="2" t="s">
        <v>73</v>
      </c>
      <c r="W517" s="2" t="s">
        <v>74</v>
      </c>
      <c r="X517" s="2" t="s">
        <v>5133</v>
      </c>
      <c r="Y517" s="2" t="s">
        <v>44</v>
      </c>
      <c r="Z517" s="2"/>
      <c r="AA517" s="2" t="s">
        <v>821</v>
      </c>
      <c r="AB517" s="2" t="s">
        <v>46</v>
      </c>
      <c r="AC517" s="2" t="s">
        <v>821</v>
      </c>
      <c r="AE517" s="2" t="s">
        <v>48</v>
      </c>
      <c r="AF517" s="2" t="s">
        <v>49</v>
      </c>
      <c r="AG517" s="2">
        <v>100</v>
      </c>
      <c r="AH517" s="2">
        <v>87</v>
      </c>
      <c r="AJ517" s="2" t="s">
        <v>5135</v>
      </c>
      <c r="AK517" s="2"/>
      <c r="AL517" s="2"/>
      <c r="AM517" s="2" t="s">
        <v>52</v>
      </c>
    </row>
    <row r="518" spans="1:39" x14ac:dyDescent="0.45">
      <c r="A518" s="2" t="s">
        <v>5136</v>
      </c>
      <c r="B518" s="2"/>
      <c r="C518" s="2" t="s">
        <v>5138</v>
      </c>
      <c r="D518" s="2" t="s">
        <v>5140</v>
      </c>
      <c r="E518" s="25"/>
      <c r="F518" s="21"/>
      <c r="G518" s="42" t="s">
        <v>28000</v>
      </c>
      <c r="H518" s="2" t="s">
        <v>50</v>
      </c>
      <c r="I518" s="2" t="s">
        <v>5143</v>
      </c>
      <c r="J518" s="2" t="s">
        <v>5137</v>
      </c>
      <c r="K518" s="2" t="s">
        <v>5139</v>
      </c>
      <c r="L518" s="2" t="s">
        <v>5141</v>
      </c>
      <c r="M518" s="2" t="s">
        <v>5141</v>
      </c>
      <c r="N518" s="2" t="s">
        <v>290</v>
      </c>
      <c r="O518" s="2" t="s">
        <v>278</v>
      </c>
      <c r="P518" s="2" t="s">
        <v>1460</v>
      </c>
      <c r="Q518" s="2" t="s">
        <v>5139</v>
      </c>
      <c r="R518" s="2"/>
      <c r="S518" s="2"/>
      <c r="T518" s="2"/>
      <c r="U518" s="2" t="s">
        <v>290</v>
      </c>
      <c r="V518" s="2" t="s">
        <v>278</v>
      </c>
      <c r="W518" s="2" t="s">
        <v>1460</v>
      </c>
      <c r="X518" s="2" t="s">
        <v>5142</v>
      </c>
      <c r="Y518" s="2" t="s">
        <v>44</v>
      </c>
      <c r="Z518" s="2"/>
      <c r="AA518" s="2" t="s">
        <v>821</v>
      </c>
      <c r="AB518" s="2" t="s">
        <v>46</v>
      </c>
      <c r="AC518" s="2" t="s">
        <v>821</v>
      </c>
      <c r="AE518" s="2" t="s">
        <v>48</v>
      </c>
      <c r="AF518" s="2" t="s">
        <v>49</v>
      </c>
      <c r="AG518" s="2">
        <v>100</v>
      </c>
      <c r="AH518" s="2">
        <v>87</v>
      </c>
      <c r="AJ518" s="2" t="s">
        <v>5144</v>
      </c>
      <c r="AK518" s="2"/>
      <c r="AL518" s="2"/>
      <c r="AM518" s="2" t="s">
        <v>52</v>
      </c>
    </row>
    <row r="519" spans="1:39" x14ac:dyDescent="0.45">
      <c r="A519" s="2" t="s">
        <v>5145</v>
      </c>
      <c r="B519" s="2"/>
      <c r="C519" s="2" t="s">
        <v>5147</v>
      </c>
      <c r="D519" s="2" t="s">
        <v>5149</v>
      </c>
      <c r="E519" s="25"/>
      <c r="F519" s="21"/>
      <c r="G519" s="42" t="s">
        <v>28000</v>
      </c>
      <c r="H519" s="2" t="s">
        <v>50</v>
      </c>
      <c r="I519" s="2" t="s">
        <v>5152</v>
      </c>
      <c r="J519" s="2" t="s">
        <v>5146</v>
      </c>
      <c r="K519" s="2" t="s">
        <v>5148</v>
      </c>
      <c r="L519" s="2" t="s">
        <v>5150</v>
      </c>
      <c r="M519" s="2" t="s">
        <v>5150</v>
      </c>
      <c r="N519" s="2" t="s">
        <v>72</v>
      </c>
      <c r="O519" s="2" t="s">
        <v>73</v>
      </c>
      <c r="P519" s="2" t="s">
        <v>74</v>
      </c>
      <c r="Q519" s="2" t="s">
        <v>5151</v>
      </c>
      <c r="R519" s="2"/>
      <c r="S519" s="2"/>
      <c r="T519" s="2"/>
      <c r="U519" s="2" t="s">
        <v>72</v>
      </c>
      <c r="V519" s="2" t="s">
        <v>73</v>
      </c>
      <c r="W519" s="2" t="s">
        <v>74</v>
      </c>
      <c r="X519" s="2" t="s">
        <v>3148</v>
      </c>
      <c r="Y519" s="2" t="s">
        <v>44</v>
      </c>
      <c r="Z519" s="2"/>
      <c r="AA519" s="2" t="s">
        <v>821</v>
      </c>
      <c r="AB519" s="2" t="s">
        <v>46</v>
      </c>
      <c r="AC519" s="2" t="s">
        <v>821</v>
      </c>
      <c r="AE519" s="2" t="s">
        <v>48</v>
      </c>
      <c r="AF519" s="2" t="s">
        <v>49</v>
      </c>
      <c r="AG519" s="2">
        <v>100</v>
      </c>
      <c r="AH519" s="2">
        <v>87</v>
      </c>
      <c r="AJ519" s="2" t="s">
        <v>5153</v>
      </c>
      <c r="AK519" s="2"/>
      <c r="AL519" s="2"/>
      <c r="AM519" s="2" t="s">
        <v>52</v>
      </c>
    </row>
    <row r="520" spans="1:39" x14ac:dyDescent="0.45">
      <c r="A520" s="2" t="s">
        <v>5154</v>
      </c>
      <c r="B520" s="2"/>
      <c r="C520" s="2" t="s">
        <v>5156</v>
      </c>
      <c r="D520" s="2" t="s">
        <v>5158</v>
      </c>
      <c r="E520" s="25"/>
      <c r="F520" s="21"/>
      <c r="G520" s="42" t="s">
        <v>28000</v>
      </c>
      <c r="H520" s="2" t="s">
        <v>50</v>
      </c>
      <c r="I520" s="2" t="s">
        <v>5160</v>
      </c>
      <c r="J520" s="2" t="s">
        <v>5155</v>
      </c>
      <c r="K520" s="2" t="s">
        <v>5157</v>
      </c>
      <c r="L520" s="2" t="s">
        <v>5159</v>
      </c>
      <c r="M520" s="2" t="s">
        <v>5159</v>
      </c>
      <c r="N520" s="2" t="s">
        <v>72</v>
      </c>
      <c r="O520" s="2" t="s">
        <v>73</v>
      </c>
      <c r="P520" s="2" t="s">
        <v>2061</v>
      </c>
      <c r="Q520" s="2" t="s">
        <v>5157</v>
      </c>
      <c r="R520" s="2"/>
      <c r="S520" s="2"/>
      <c r="T520" s="2"/>
      <c r="U520" s="2" t="s">
        <v>72</v>
      </c>
      <c r="V520" s="2" t="s">
        <v>73</v>
      </c>
      <c r="W520" s="2" t="s">
        <v>2061</v>
      </c>
      <c r="X520" s="2" t="s">
        <v>3148</v>
      </c>
      <c r="Y520" s="2" t="s">
        <v>44</v>
      </c>
      <c r="Z520" s="2"/>
      <c r="AA520" s="2" t="s">
        <v>821</v>
      </c>
      <c r="AB520" s="2" t="s">
        <v>46</v>
      </c>
      <c r="AC520" s="2" t="s">
        <v>821</v>
      </c>
      <c r="AE520" s="2" t="s">
        <v>48</v>
      </c>
      <c r="AF520" s="2" t="s">
        <v>49</v>
      </c>
      <c r="AG520" s="2">
        <v>100</v>
      </c>
      <c r="AH520" s="2">
        <v>87</v>
      </c>
      <c r="AJ520" s="2" t="s">
        <v>5161</v>
      </c>
      <c r="AK520" s="2"/>
      <c r="AL520" s="2"/>
      <c r="AM520" s="2" t="s">
        <v>52</v>
      </c>
    </row>
    <row r="521" spans="1:39" x14ac:dyDescent="0.45">
      <c r="A521" s="2" t="s">
        <v>5162</v>
      </c>
      <c r="B521" s="2"/>
      <c r="C521" s="2" t="s">
        <v>5164</v>
      </c>
      <c r="D521" s="2" t="s">
        <v>5166</v>
      </c>
      <c r="E521" s="25"/>
      <c r="F521" s="21"/>
      <c r="G521" s="42" t="s">
        <v>28000</v>
      </c>
      <c r="H521" s="2" t="s">
        <v>50</v>
      </c>
      <c r="I521" s="2" t="s">
        <v>5170</v>
      </c>
      <c r="J521" s="2" t="s">
        <v>5163</v>
      </c>
      <c r="K521" s="2" t="s">
        <v>5165</v>
      </c>
      <c r="L521" s="2" t="s">
        <v>5167</v>
      </c>
      <c r="M521" s="2" t="s">
        <v>5167</v>
      </c>
      <c r="N521" s="2" t="s">
        <v>85</v>
      </c>
      <c r="O521" s="2" t="s">
        <v>86</v>
      </c>
      <c r="P521" s="2" t="s">
        <v>3918</v>
      </c>
      <c r="Q521" s="2" t="s">
        <v>5168</v>
      </c>
      <c r="R521" s="2"/>
      <c r="S521" s="2"/>
      <c r="T521" s="2"/>
      <c r="U521" s="2" t="s">
        <v>1188</v>
      </c>
      <c r="V521" s="2" t="s">
        <v>221</v>
      </c>
      <c r="W521" s="2" t="s">
        <v>5169</v>
      </c>
      <c r="X521" s="2" t="s">
        <v>3866</v>
      </c>
      <c r="Y521" s="2" t="s">
        <v>44</v>
      </c>
      <c r="Z521" s="2"/>
      <c r="AA521" s="2" t="s">
        <v>821</v>
      </c>
      <c r="AB521" s="2" t="s">
        <v>46</v>
      </c>
      <c r="AC521" s="2" t="s">
        <v>821</v>
      </c>
      <c r="AE521" s="2" t="s">
        <v>48</v>
      </c>
      <c r="AF521" s="2" t="s">
        <v>49</v>
      </c>
      <c r="AG521" s="2">
        <v>100</v>
      </c>
      <c r="AH521" s="2">
        <v>87</v>
      </c>
      <c r="AJ521" s="2" t="s">
        <v>5171</v>
      </c>
      <c r="AK521" s="2"/>
      <c r="AL521" s="2"/>
      <c r="AM521" s="2" t="s">
        <v>52</v>
      </c>
    </row>
    <row r="522" spans="1:39" x14ac:dyDescent="0.45">
      <c r="A522" s="2" t="s">
        <v>5172</v>
      </c>
      <c r="B522" s="2"/>
      <c r="C522" s="2" t="s">
        <v>5174</v>
      </c>
      <c r="D522" s="2" t="s">
        <v>5176</v>
      </c>
      <c r="E522" s="25"/>
      <c r="F522" s="21"/>
      <c r="G522" s="42" t="s">
        <v>28000</v>
      </c>
      <c r="H522" s="2" t="s">
        <v>50</v>
      </c>
      <c r="I522" s="2" t="s">
        <v>5179</v>
      </c>
      <c r="J522" s="2" t="s">
        <v>5173</v>
      </c>
      <c r="K522" s="2" t="s">
        <v>5175</v>
      </c>
      <c r="L522" s="2" t="s">
        <v>5177</v>
      </c>
      <c r="M522" s="2" t="s">
        <v>5177</v>
      </c>
      <c r="N522" s="2" t="s">
        <v>59</v>
      </c>
      <c r="O522" s="2" t="s">
        <v>60</v>
      </c>
      <c r="P522" s="2" t="s">
        <v>1589</v>
      </c>
      <c r="Q522" s="2" t="s">
        <v>5175</v>
      </c>
      <c r="R522" s="2"/>
      <c r="S522" s="2"/>
      <c r="T522" s="2"/>
      <c r="U522" s="2" t="s">
        <v>59</v>
      </c>
      <c r="V522" s="2" t="s">
        <v>60</v>
      </c>
      <c r="W522" s="2" t="s">
        <v>1589</v>
      </c>
      <c r="X522" s="2" t="s">
        <v>5178</v>
      </c>
      <c r="Y522" s="2" t="s">
        <v>44</v>
      </c>
      <c r="Z522" s="2"/>
      <c r="AA522" s="2" t="s">
        <v>821</v>
      </c>
      <c r="AB522" s="2" t="s">
        <v>46</v>
      </c>
      <c r="AC522" s="2" t="s">
        <v>821</v>
      </c>
      <c r="AE522" s="2" t="s">
        <v>48</v>
      </c>
      <c r="AF522" s="2" t="s">
        <v>49</v>
      </c>
      <c r="AG522" s="2">
        <v>100</v>
      </c>
      <c r="AH522" s="2">
        <v>87</v>
      </c>
      <c r="AJ522" s="2" t="s">
        <v>5180</v>
      </c>
      <c r="AK522" s="2"/>
      <c r="AL522" s="2"/>
      <c r="AM522" s="2" t="s">
        <v>52</v>
      </c>
    </row>
    <row r="523" spans="1:39" x14ac:dyDescent="0.45">
      <c r="A523" s="2" t="s">
        <v>5181</v>
      </c>
      <c r="B523" s="2"/>
      <c r="C523" s="2" t="s">
        <v>5183</v>
      </c>
      <c r="D523" s="2" t="s">
        <v>5185</v>
      </c>
      <c r="E523" s="25"/>
      <c r="F523" s="21"/>
      <c r="G523" s="42" t="s">
        <v>28000</v>
      </c>
      <c r="H523" s="2" t="s">
        <v>50</v>
      </c>
      <c r="I523" s="2" t="s">
        <v>5187</v>
      </c>
      <c r="J523" s="2" t="s">
        <v>5182</v>
      </c>
      <c r="K523" s="2" t="s">
        <v>5184</v>
      </c>
      <c r="L523" s="2" t="s">
        <v>5186</v>
      </c>
      <c r="M523" s="2" t="s">
        <v>5186</v>
      </c>
      <c r="N523" s="2" t="s">
        <v>216</v>
      </c>
      <c r="O523" s="2" t="s">
        <v>217</v>
      </c>
      <c r="P523" s="2" t="s">
        <v>2410</v>
      </c>
      <c r="Q523" s="2" t="s">
        <v>5184</v>
      </c>
      <c r="R523" s="2"/>
      <c r="S523" s="2"/>
      <c r="T523" s="2"/>
      <c r="U523" s="2" t="s">
        <v>216</v>
      </c>
      <c r="V523" s="2" t="s">
        <v>217</v>
      </c>
      <c r="W523" s="2" t="s">
        <v>2410</v>
      </c>
      <c r="X523" s="2" t="s">
        <v>5178</v>
      </c>
      <c r="Y523" s="2" t="s">
        <v>44</v>
      </c>
      <c r="Z523" s="2"/>
      <c r="AA523" s="2" t="s">
        <v>821</v>
      </c>
      <c r="AB523" s="2" t="s">
        <v>46</v>
      </c>
      <c r="AC523" s="2" t="s">
        <v>821</v>
      </c>
      <c r="AE523" s="2" t="s">
        <v>48</v>
      </c>
      <c r="AF523" s="2" t="s">
        <v>49</v>
      </c>
      <c r="AG523" s="2">
        <v>100</v>
      </c>
      <c r="AH523" s="2">
        <v>87</v>
      </c>
      <c r="AJ523" s="2" t="s">
        <v>5188</v>
      </c>
      <c r="AK523" s="2"/>
      <c r="AL523" s="2"/>
      <c r="AM523" s="2" t="s">
        <v>52</v>
      </c>
    </row>
    <row r="524" spans="1:39" x14ac:dyDescent="0.45">
      <c r="A524" s="2" t="s">
        <v>5189</v>
      </c>
      <c r="B524" s="2"/>
      <c r="C524" s="2" t="s">
        <v>5191</v>
      </c>
      <c r="D524" s="2" t="s">
        <v>5193</v>
      </c>
      <c r="E524" s="25"/>
      <c r="F524" s="21"/>
      <c r="G524" s="42" t="s">
        <v>28000</v>
      </c>
      <c r="H524" s="2" t="s">
        <v>50</v>
      </c>
      <c r="I524" s="2" t="s">
        <v>5197</v>
      </c>
      <c r="J524" s="2" t="s">
        <v>5190</v>
      </c>
      <c r="K524" s="2" t="s">
        <v>5192</v>
      </c>
      <c r="L524" s="2" t="s">
        <v>5194</v>
      </c>
      <c r="M524" s="2" t="s">
        <v>5194</v>
      </c>
      <c r="N524" s="2" t="s">
        <v>59</v>
      </c>
      <c r="O524" s="2" t="s">
        <v>60</v>
      </c>
      <c r="P524" s="2" t="s">
        <v>4840</v>
      </c>
      <c r="Q524" s="2" t="s">
        <v>5195</v>
      </c>
      <c r="R524" s="2"/>
      <c r="S524" s="2"/>
      <c r="T524" s="2"/>
      <c r="U524" s="2" t="s">
        <v>536</v>
      </c>
      <c r="V524" s="2" t="s">
        <v>537</v>
      </c>
      <c r="W524" s="2" t="s">
        <v>2429</v>
      </c>
      <c r="X524" s="2" t="s">
        <v>5196</v>
      </c>
      <c r="Y524" s="2" t="s">
        <v>44</v>
      </c>
      <c r="Z524" s="2"/>
      <c r="AA524" s="2" t="s">
        <v>821</v>
      </c>
      <c r="AB524" s="2" t="s">
        <v>46</v>
      </c>
      <c r="AC524" s="2" t="s">
        <v>821</v>
      </c>
      <c r="AE524" s="2" t="s">
        <v>48</v>
      </c>
      <c r="AF524" s="2" t="s">
        <v>49</v>
      </c>
      <c r="AG524" s="2">
        <v>100</v>
      </c>
      <c r="AH524" s="2">
        <v>87</v>
      </c>
      <c r="AJ524" s="2" t="s">
        <v>5198</v>
      </c>
      <c r="AK524" s="2"/>
      <c r="AL524" s="2"/>
      <c r="AM524" s="2" t="s">
        <v>52</v>
      </c>
    </row>
    <row r="525" spans="1:39" x14ac:dyDescent="0.45">
      <c r="A525" s="2" t="s">
        <v>5199</v>
      </c>
      <c r="B525" s="2"/>
      <c r="C525" s="2" t="s">
        <v>5201</v>
      </c>
      <c r="D525" s="2" t="s">
        <v>5203</v>
      </c>
      <c r="E525" s="25"/>
      <c r="F525" s="21"/>
      <c r="G525" s="42" t="s">
        <v>28000</v>
      </c>
      <c r="H525" s="2" t="s">
        <v>50</v>
      </c>
      <c r="I525" s="2" t="s">
        <v>5205</v>
      </c>
      <c r="J525" s="2" t="s">
        <v>5200</v>
      </c>
      <c r="K525" s="2" t="s">
        <v>5202</v>
      </c>
      <c r="L525" s="2" t="s">
        <v>5204</v>
      </c>
      <c r="M525" s="2" t="s">
        <v>5204</v>
      </c>
      <c r="N525" s="2" t="s">
        <v>72</v>
      </c>
      <c r="O525" s="2" t="s">
        <v>73</v>
      </c>
      <c r="P525" s="2" t="s">
        <v>119</v>
      </c>
      <c r="Q525" s="2" t="s">
        <v>5202</v>
      </c>
      <c r="R525" s="2"/>
      <c r="S525" s="2"/>
      <c r="T525" s="2"/>
      <c r="U525" s="2" t="s">
        <v>72</v>
      </c>
      <c r="V525" s="2" t="s">
        <v>73</v>
      </c>
      <c r="W525" s="2" t="s">
        <v>119</v>
      </c>
      <c r="X525" s="2" t="s">
        <v>3199</v>
      </c>
      <c r="Y525" s="2" t="s">
        <v>44</v>
      </c>
      <c r="Z525" s="2"/>
      <c r="AA525" s="2" t="s">
        <v>821</v>
      </c>
      <c r="AB525" s="2" t="s">
        <v>46</v>
      </c>
      <c r="AC525" s="2" t="s">
        <v>821</v>
      </c>
      <c r="AE525" s="2" t="s">
        <v>48</v>
      </c>
      <c r="AF525" s="2" t="s">
        <v>49</v>
      </c>
      <c r="AG525" s="2">
        <v>100</v>
      </c>
      <c r="AH525" s="2">
        <v>87</v>
      </c>
      <c r="AJ525" s="2" t="s">
        <v>5206</v>
      </c>
      <c r="AK525" s="2"/>
      <c r="AL525" s="2"/>
      <c r="AM525" s="2" t="s">
        <v>52</v>
      </c>
    </row>
    <row r="526" spans="1:39" x14ac:dyDescent="0.45">
      <c r="A526" s="2" t="s">
        <v>5207</v>
      </c>
      <c r="B526" s="2"/>
      <c r="C526" s="2" t="s">
        <v>5209</v>
      </c>
      <c r="D526" s="2" t="s">
        <v>5211</v>
      </c>
      <c r="E526" s="25"/>
      <c r="F526" s="21"/>
      <c r="G526" s="42" t="s">
        <v>28000</v>
      </c>
      <c r="H526" s="2" t="s">
        <v>50</v>
      </c>
      <c r="I526" s="2" t="s">
        <v>5215</v>
      </c>
      <c r="J526" s="2" t="s">
        <v>5208</v>
      </c>
      <c r="K526" s="2" t="s">
        <v>5210</v>
      </c>
      <c r="L526" s="2" t="s">
        <v>5212</v>
      </c>
      <c r="M526" s="2" t="s">
        <v>5212</v>
      </c>
      <c r="N526" s="2" t="s">
        <v>72</v>
      </c>
      <c r="O526" s="2" t="s">
        <v>73</v>
      </c>
      <c r="P526" s="2" t="s">
        <v>474</v>
      </c>
      <c r="Q526" s="2" t="s">
        <v>5213</v>
      </c>
      <c r="R526" s="2"/>
      <c r="S526" s="2"/>
      <c r="T526" s="2"/>
      <c r="U526" s="2" t="s">
        <v>72</v>
      </c>
      <c r="V526" s="2" t="s">
        <v>73</v>
      </c>
      <c r="W526" s="2" t="s">
        <v>474</v>
      </c>
      <c r="X526" s="2" t="s">
        <v>5214</v>
      </c>
      <c r="Y526" s="2" t="s">
        <v>44</v>
      </c>
      <c r="Z526" s="2"/>
      <c r="AA526" s="2" t="s">
        <v>821</v>
      </c>
      <c r="AB526" s="2" t="s">
        <v>46</v>
      </c>
      <c r="AC526" s="2" t="s">
        <v>821</v>
      </c>
      <c r="AE526" s="2" t="s">
        <v>48</v>
      </c>
      <c r="AF526" s="2" t="s">
        <v>49</v>
      </c>
      <c r="AG526" s="2">
        <v>100</v>
      </c>
      <c r="AH526" s="2">
        <v>87</v>
      </c>
      <c r="AJ526" s="2" t="s">
        <v>5216</v>
      </c>
      <c r="AK526" s="2"/>
      <c r="AL526" s="2"/>
      <c r="AM526" s="2" t="s">
        <v>52</v>
      </c>
    </row>
    <row r="527" spans="1:39" x14ac:dyDescent="0.45">
      <c r="A527" s="2" t="s">
        <v>5217</v>
      </c>
      <c r="B527" s="2"/>
      <c r="C527" s="2" t="s">
        <v>5219</v>
      </c>
      <c r="D527" s="2" t="s">
        <v>5221</v>
      </c>
      <c r="E527" s="25"/>
      <c r="F527" s="21"/>
      <c r="G527" s="42" t="s">
        <v>28000</v>
      </c>
      <c r="H527" s="2" t="s">
        <v>50</v>
      </c>
      <c r="I527" s="2" t="s">
        <v>5225</v>
      </c>
      <c r="J527" s="2" t="s">
        <v>5218</v>
      </c>
      <c r="K527" s="2" t="s">
        <v>5220</v>
      </c>
      <c r="L527" s="2" t="s">
        <v>5222</v>
      </c>
      <c r="M527" s="2" t="s">
        <v>5222</v>
      </c>
      <c r="N527" s="2" t="s">
        <v>424</v>
      </c>
      <c r="O527" s="2" t="s">
        <v>217</v>
      </c>
      <c r="P527" s="2" t="s">
        <v>2410</v>
      </c>
      <c r="Q527" s="2" t="s">
        <v>5223</v>
      </c>
      <c r="R527" s="2"/>
      <c r="S527" s="2"/>
      <c r="T527" s="2"/>
      <c r="U527" s="2" t="s">
        <v>424</v>
      </c>
      <c r="V527" s="2" t="s">
        <v>217</v>
      </c>
      <c r="W527" s="2" t="s">
        <v>1151</v>
      </c>
      <c r="X527" s="2" t="s">
        <v>5224</v>
      </c>
      <c r="Y527" s="2" t="s">
        <v>44</v>
      </c>
      <c r="Z527" s="2"/>
      <c r="AA527" s="2" t="s">
        <v>821</v>
      </c>
      <c r="AB527" s="2" t="s">
        <v>46</v>
      </c>
      <c r="AC527" s="2" t="s">
        <v>821</v>
      </c>
      <c r="AE527" s="2" t="s">
        <v>48</v>
      </c>
      <c r="AF527" s="2" t="s">
        <v>49</v>
      </c>
      <c r="AG527" s="2">
        <v>100</v>
      </c>
      <c r="AH527" s="2">
        <v>87</v>
      </c>
      <c r="AJ527" s="2" t="s">
        <v>5226</v>
      </c>
      <c r="AK527" s="2"/>
      <c r="AL527" s="2"/>
      <c r="AM527" s="2" t="s">
        <v>52</v>
      </c>
    </row>
    <row r="528" spans="1:39" x14ac:dyDescent="0.45">
      <c r="A528" s="2" t="s">
        <v>5227</v>
      </c>
      <c r="B528" s="2"/>
      <c r="C528" s="2" t="s">
        <v>5229</v>
      </c>
      <c r="D528" s="2" t="s">
        <v>5231</v>
      </c>
      <c r="E528" s="25"/>
      <c r="F528" s="21"/>
      <c r="G528" s="42" t="s">
        <v>28000</v>
      </c>
      <c r="H528" s="2" t="s">
        <v>50</v>
      </c>
      <c r="I528" s="2" t="s">
        <v>5234</v>
      </c>
      <c r="J528" s="2" t="s">
        <v>5228</v>
      </c>
      <c r="K528" s="2" t="s">
        <v>5230</v>
      </c>
      <c r="L528" s="2" t="s">
        <v>5232</v>
      </c>
      <c r="M528" s="2" t="s">
        <v>5232</v>
      </c>
      <c r="N528" s="2" t="s">
        <v>290</v>
      </c>
      <c r="O528" s="2" t="s">
        <v>278</v>
      </c>
      <c r="P528" s="2" t="s">
        <v>291</v>
      </c>
      <c r="Q528" s="2" t="s">
        <v>5230</v>
      </c>
      <c r="R528" s="2"/>
      <c r="S528" s="2"/>
      <c r="T528" s="2"/>
      <c r="U528" s="2" t="s">
        <v>290</v>
      </c>
      <c r="V528" s="2" t="s">
        <v>278</v>
      </c>
      <c r="W528" s="2" t="s">
        <v>291</v>
      </c>
      <c r="X528" s="2" t="s">
        <v>5233</v>
      </c>
      <c r="Y528" s="2" t="s">
        <v>44</v>
      </c>
      <c r="Z528" s="2"/>
      <c r="AA528" s="2" t="s">
        <v>821</v>
      </c>
      <c r="AB528" s="2" t="s">
        <v>199</v>
      </c>
      <c r="AC528" s="2" t="s">
        <v>821</v>
      </c>
      <c r="AE528" s="2" t="s">
        <v>48</v>
      </c>
      <c r="AF528" s="2" t="s">
        <v>49</v>
      </c>
      <c r="AG528" s="2">
        <v>100</v>
      </c>
      <c r="AH528" s="2">
        <v>87</v>
      </c>
      <c r="AJ528" s="2" t="s">
        <v>5235</v>
      </c>
      <c r="AK528" s="2"/>
      <c r="AL528" s="2"/>
      <c r="AM528" s="2" t="s">
        <v>52</v>
      </c>
    </row>
    <row r="529" spans="1:39" x14ac:dyDescent="0.45">
      <c r="A529" s="2" t="s">
        <v>5236</v>
      </c>
      <c r="B529" s="2"/>
      <c r="C529" s="2" t="s">
        <v>5238</v>
      </c>
      <c r="D529" s="2" t="s">
        <v>5240</v>
      </c>
      <c r="E529" s="25"/>
      <c r="F529" s="21"/>
      <c r="G529" s="42" t="s">
        <v>28000</v>
      </c>
      <c r="H529" s="2" t="s">
        <v>50</v>
      </c>
      <c r="I529" s="2" t="s">
        <v>5242</v>
      </c>
      <c r="J529" s="2" t="s">
        <v>5237</v>
      </c>
      <c r="K529" s="2" t="s">
        <v>5239</v>
      </c>
      <c r="L529" s="2" t="s">
        <v>5241</v>
      </c>
      <c r="M529" s="2" t="s">
        <v>5241</v>
      </c>
      <c r="N529" s="2" t="s">
        <v>72</v>
      </c>
      <c r="O529" s="2" t="s">
        <v>73</v>
      </c>
      <c r="P529" s="2" t="s">
        <v>232</v>
      </c>
      <c r="Q529" s="2" t="s">
        <v>5239</v>
      </c>
      <c r="R529" s="2"/>
      <c r="S529" s="2"/>
      <c r="T529" s="2"/>
      <c r="U529" s="2" t="s">
        <v>72</v>
      </c>
      <c r="V529" s="2" t="s">
        <v>73</v>
      </c>
      <c r="W529" s="2" t="s">
        <v>232</v>
      </c>
      <c r="X529" s="2" t="s">
        <v>3226</v>
      </c>
      <c r="Y529" s="2" t="s">
        <v>44</v>
      </c>
      <c r="Z529" s="2"/>
      <c r="AA529" s="2" t="s">
        <v>821</v>
      </c>
      <c r="AB529" s="2" t="s">
        <v>46</v>
      </c>
      <c r="AC529" s="2" t="s">
        <v>821</v>
      </c>
      <c r="AE529" s="2" t="s">
        <v>48</v>
      </c>
      <c r="AF529" s="2" t="s">
        <v>49</v>
      </c>
      <c r="AG529" s="2">
        <v>100</v>
      </c>
      <c r="AH529" s="2">
        <v>87</v>
      </c>
      <c r="AJ529" s="2" t="s">
        <v>5243</v>
      </c>
      <c r="AK529" s="2"/>
      <c r="AL529" s="2"/>
      <c r="AM529" s="2" t="s">
        <v>52</v>
      </c>
    </row>
    <row r="530" spans="1:39" x14ac:dyDescent="0.45">
      <c r="A530" s="2" t="s">
        <v>5244</v>
      </c>
      <c r="B530" s="2"/>
      <c r="C530" s="2" t="s">
        <v>5246</v>
      </c>
      <c r="D530" s="2" t="s">
        <v>5248</v>
      </c>
      <c r="E530" s="25"/>
      <c r="F530" s="21"/>
      <c r="G530" s="42" t="s">
        <v>28000</v>
      </c>
      <c r="H530" s="2" t="s">
        <v>50</v>
      </c>
      <c r="I530" s="2" t="s">
        <v>5252</v>
      </c>
      <c r="J530" s="2" t="s">
        <v>5245</v>
      </c>
      <c r="K530" s="2" t="s">
        <v>5247</v>
      </c>
      <c r="L530" s="2" t="s">
        <v>5249</v>
      </c>
      <c r="M530" s="2" t="s">
        <v>5249</v>
      </c>
      <c r="N530" s="2" t="s">
        <v>85</v>
      </c>
      <c r="O530" s="2" t="s">
        <v>86</v>
      </c>
      <c r="P530" s="2" t="s">
        <v>4819</v>
      </c>
      <c r="Q530" s="2" t="s">
        <v>5250</v>
      </c>
      <c r="R530" s="2"/>
      <c r="S530" s="2"/>
      <c r="T530" s="2"/>
      <c r="U530" s="2" t="s">
        <v>59</v>
      </c>
      <c r="V530" s="2" t="s">
        <v>60</v>
      </c>
      <c r="W530" s="2" t="s">
        <v>5251</v>
      </c>
      <c r="X530" s="2" t="s">
        <v>3236</v>
      </c>
      <c r="Y530" s="2" t="s">
        <v>44</v>
      </c>
      <c r="Z530" s="2"/>
      <c r="AA530" s="2" t="s">
        <v>821</v>
      </c>
      <c r="AB530" s="2" t="s">
        <v>46</v>
      </c>
      <c r="AC530" s="2" t="s">
        <v>821</v>
      </c>
      <c r="AE530" s="2" t="s">
        <v>48</v>
      </c>
      <c r="AF530" s="2" t="s">
        <v>49</v>
      </c>
      <c r="AG530" s="2">
        <v>100</v>
      </c>
      <c r="AH530" s="2">
        <v>87</v>
      </c>
      <c r="AJ530" s="2" t="s">
        <v>5253</v>
      </c>
      <c r="AK530" s="2"/>
      <c r="AL530" s="2"/>
      <c r="AM530" s="2" t="s">
        <v>52</v>
      </c>
    </row>
    <row r="531" spans="1:39" x14ac:dyDescent="0.45">
      <c r="A531" s="2" t="s">
        <v>5254</v>
      </c>
      <c r="B531" s="2"/>
      <c r="C531" s="2" t="s">
        <v>5256</v>
      </c>
      <c r="D531" s="2" t="s">
        <v>5258</v>
      </c>
      <c r="E531" s="25"/>
      <c r="F531" s="21"/>
      <c r="G531" s="42" t="s">
        <v>28000</v>
      </c>
      <c r="H531" s="2" t="s">
        <v>50</v>
      </c>
      <c r="I531" s="2" t="s">
        <v>5262</v>
      </c>
      <c r="J531" s="2" t="s">
        <v>5255</v>
      </c>
      <c r="K531" s="2" t="s">
        <v>5257</v>
      </c>
      <c r="L531" s="2" t="s">
        <v>5259</v>
      </c>
      <c r="M531" s="2" t="s">
        <v>5259</v>
      </c>
      <c r="N531" s="2" t="s">
        <v>1023</v>
      </c>
      <c r="O531" s="2" t="s">
        <v>73</v>
      </c>
      <c r="P531" s="2" t="s">
        <v>5260</v>
      </c>
      <c r="Q531" s="2" t="s">
        <v>5257</v>
      </c>
      <c r="R531" s="2"/>
      <c r="S531" s="2"/>
      <c r="T531" s="2"/>
      <c r="U531" s="2" t="s">
        <v>1023</v>
      </c>
      <c r="V531" s="2" t="s">
        <v>73</v>
      </c>
      <c r="W531" s="2" t="s">
        <v>5260</v>
      </c>
      <c r="X531" s="2" t="s">
        <v>5261</v>
      </c>
      <c r="Y531" s="2" t="s">
        <v>44</v>
      </c>
      <c r="Z531" s="2"/>
      <c r="AA531" s="2" t="s">
        <v>821</v>
      </c>
      <c r="AB531" s="2" t="s">
        <v>46</v>
      </c>
      <c r="AC531" s="2" t="s">
        <v>821</v>
      </c>
      <c r="AE531" s="2" t="s">
        <v>48</v>
      </c>
      <c r="AF531" s="2" t="s">
        <v>49</v>
      </c>
      <c r="AG531" s="2">
        <v>100</v>
      </c>
      <c r="AH531" s="2">
        <v>87</v>
      </c>
      <c r="AJ531" s="2" t="s">
        <v>5263</v>
      </c>
      <c r="AK531" s="2"/>
      <c r="AL531" s="2"/>
      <c r="AM531" s="2" t="s">
        <v>52</v>
      </c>
    </row>
    <row r="532" spans="1:39" x14ac:dyDescent="0.45">
      <c r="A532" s="2" t="s">
        <v>5264</v>
      </c>
      <c r="B532" s="2"/>
      <c r="C532" s="2" t="s">
        <v>5266</v>
      </c>
      <c r="D532" s="2" t="s">
        <v>5268</v>
      </c>
      <c r="E532" s="25"/>
      <c r="F532" s="21"/>
      <c r="G532" s="42" t="s">
        <v>28000</v>
      </c>
      <c r="H532" s="2" t="s">
        <v>50</v>
      </c>
      <c r="I532" s="2" t="s">
        <v>5270</v>
      </c>
      <c r="J532" s="2" t="s">
        <v>5265</v>
      </c>
      <c r="K532" s="2" t="s">
        <v>5267</v>
      </c>
      <c r="L532" s="2" t="s">
        <v>5269</v>
      </c>
      <c r="M532" s="2" t="s">
        <v>5269</v>
      </c>
      <c r="N532" s="2" t="s">
        <v>72</v>
      </c>
      <c r="O532" s="2" t="s">
        <v>73</v>
      </c>
      <c r="P532" s="2" t="s">
        <v>1164</v>
      </c>
      <c r="Q532" s="2" t="s">
        <v>5267</v>
      </c>
      <c r="R532" s="2"/>
      <c r="S532" s="2"/>
      <c r="T532" s="2"/>
      <c r="U532" s="2" t="s">
        <v>72</v>
      </c>
      <c r="V532" s="2" t="s">
        <v>73</v>
      </c>
      <c r="W532" s="2" t="s">
        <v>1164</v>
      </c>
      <c r="X532" s="2" t="s">
        <v>5261</v>
      </c>
      <c r="Y532" s="2" t="s">
        <v>44</v>
      </c>
      <c r="Z532" s="2"/>
      <c r="AA532" s="2" t="s">
        <v>821</v>
      </c>
      <c r="AB532" s="2" t="s">
        <v>46</v>
      </c>
      <c r="AC532" s="2" t="s">
        <v>821</v>
      </c>
      <c r="AE532" s="2" t="s">
        <v>48</v>
      </c>
      <c r="AF532" s="2" t="s">
        <v>49</v>
      </c>
      <c r="AG532" s="2">
        <v>100</v>
      </c>
      <c r="AH532" s="2">
        <v>87</v>
      </c>
      <c r="AJ532" s="2" t="s">
        <v>5271</v>
      </c>
      <c r="AK532" s="2"/>
      <c r="AL532" s="2"/>
      <c r="AM532" s="2" t="s">
        <v>52</v>
      </c>
    </row>
    <row r="533" spans="1:39" x14ac:dyDescent="0.45">
      <c r="A533" s="2" t="s">
        <v>5272</v>
      </c>
      <c r="B533" s="2"/>
      <c r="C533" s="2" t="s">
        <v>5274</v>
      </c>
      <c r="D533" s="2" t="s">
        <v>5276</v>
      </c>
      <c r="E533" s="25"/>
      <c r="F533" s="21"/>
      <c r="G533" s="42" t="s">
        <v>28000</v>
      </c>
      <c r="H533" s="2" t="s">
        <v>50</v>
      </c>
      <c r="I533" s="2" t="s">
        <v>5278</v>
      </c>
      <c r="J533" s="2" t="s">
        <v>5273</v>
      </c>
      <c r="K533" s="2" t="s">
        <v>5275</v>
      </c>
      <c r="L533" s="2" t="s">
        <v>5277</v>
      </c>
      <c r="M533" s="2" t="s">
        <v>5277</v>
      </c>
      <c r="N533" s="2" t="s">
        <v>72</v>
      </c>
      <c r="O533" s="2" t="s">
        <v>73</v>
      </c>
      <c r="P533" s="2" t="s">
        <v>474</v>
      </c>
      <c r="Q533" s="2" t="s">
        <v>5275</v>
      </c>
      <c r="R533" s="2"/>
      <c r="S533" s="2"/>
      <c r="T533" s="2"/>
      <c r="U533" s="2" t="s">
        <v>72</v>
      </c>
      <c r="V533" s="2" t="s">
        <v>73</v>
      </c>
      <c r="W533" s="2" t="s">
        <v>474</v>
      </c>
      <c r="X533" s="2" t="s">
        <v>5261</v>
      </c>
      <c r="Y533" s="2" t="s">
        <v>44</v>
      </c>
      <c r="Z533" s="2"/>
      <c r="AA533" s="2" t="s">
        <v>821</v>
      </c>
      <c r="AB533" s="2" t="s">
        <v>46</v>
      </c>
      <c r="AC533" s="2" t="s">
        <v>821</v>
      </c>
      <c r="AE533" s="2" t="s">
        <v>48</v>
      </c>
      <c r="AF533" s="2" t="s">
        <v>49</v>
      </c>
      <c r="AG533" s="2">
        <v>100</v>
      </c>
      <c r="AH533" s="2">
        <v>87</v>
      </c>
      <c r="AJ533" s="2" t="s">
        <v>5279</v>
      </c>
      <c r="AK533" s="2"/>
      <c r="AL533" s="2"/>
      <c r="AM533" s="2" t="s">
        <v>52</v>
      </c>
    </row>
    <row r="534" spans="1:39" x14ac:dyDescent="0.45">
      <c r="A534" s="2" t="s">
        <v>5280</v>
      </c>
      <c r="B534" s="2"/>
      <c r="C534" s="2" t="s">
        <v>5282</v>
      </c>
      <c r="D534" s="2" t="s">
        <v>5284</v>
      </c>
      <c r="E534" s="25"/>
      <c r="F534" s="21"/>
      <c r="G534" s="42" t="s">
        <v>28000</v>
      </c>
      <c r="H534" s="2" t="s">
        <v>50</v>
      </c>
      <c r="I534" s="2" t="s">
        <v>5287</v>
      </c>
      <c r="J534" s="2" t="s">
        <v>5281</v>
      </c>
      <c r="K534" s="2" t="s">
        <v>5283</v>
      </c>
      <c r="L534" s="2" t="s">
        <v>5285</v>
      </c>
      <c r="M534" s="2" t="s">
        <v>5285</v>
      </c>
      <c r="N534" s="2" t="s">
        <v>72</v>
      </c>
      <c r="O534" s="2" t="s">
        <v>73</v>
      </c>
      <c r="P534" s="2" t="s">
        <v>98</v>
      </c>
      <c r="Q534" s="2" t="s">
        <v>5283</v>
      </c>
      <c r="R534" s="2"/>
      <c r="S534" s="2"/>
      <c r="T534" s="2"/>
      <c r="U534" s="2" t="s">
        <v>72</v>
      </c>
      <c r="V534" s="2" t="s">
        <v>73</v>
      </c>
      <c r="W534" s="2" t="s">
        <v>98</v>
      </c>
      <c r="X534" s="2" t="s">
        <v>5286</v>
      </c>
      <c r="Y534" s="2" t="s">
        <v>44</v>
      </c>
      <c r="Z534" s="2"/>
      <c r="AA534" s="2" t="s">
        <v>821</v>
      </c>
      <c r="AB534" s="2" t="s">
        <v>46</v>
      </c>
      <c r="AC534" s="2" t="s">
        <v>821</v>
      </c>
      <c r="AE534" s="2" t="s">
        <v>48</v>
      </c>
      <c r="AF534" s="2" t="s">
        <v>49</v>
      </c>
      <c r="AG534" s="2">
        <v>100</v>
      </c>
      <c r="AH534" s="2">
        <v>87</v>
      </c>
      <c r="AJ534" s="2" t="s">
        <v>5288</v>
      </c>
      <c r="AK534" s="2"/>
      <c r="AL534" s="2"/>
      <c r="AM534" s="2" t="s">
        <v>52</v>
      </c>
    </row>
    <row r="535" spans="1:39" x14ac:dyDescent="0.45">
      <c r="A535" s="2" t="s">
        <v>5289</v>
      </c>
      <c r="B535" s="2"/>
      <c r="C535" s="2" t="s">
        <v>5291</v>
      </c>
      <c r="D535" s="2" t="s">
        <v>5293</v>
      </c>
      <c r="E535" s="25"/>
      <c r="F535" s="21"/>
      <c r="G535" s="42" t="s">
        <v>28000</v>
      </c>
      <c r="H535" s="2" t="s">
        <v>50</v>
      </c>
      <c r="I535" s="2" t="s">
        <v>5295</v>
      </c>
      <c r="J535" s="2" t="s">
        <v>5290</v>
      </c>
      <c r="K535" s="2" t="s">
        <v>5292</v>
      </c>
      <c r="L535" s="2" t="s">
        <v>5294</v>
      </c>
      <c r="M535" s="2" t="s">
        <v>5294</v>
      </c>
      <c r="N535" s="2" t="s">
        <v>59</v>
      </c>
      <c r="O535" s="2" t="s">
        <v>60</v>
      </c>
      <c r="P535" s="2" t="s">
        <v>1589</v>
      </c>
      <c r="Q535" s="2" t="s">
        <v>5292</v>
      </c>
      <c r="R535" s="2"/>
      <c r="S535" s="2"/>
      <c r="T535" s="2"/>
      <c r="U535" s="2" t="s">
        <v>59</v>
      </c>
      <c r="V535" s="2" t="s">
        <v>60</v>
      </c>
      <c r="W535" s="2" t="s">
        <v>1589</v>
      </c>
      <c r="X535" s="2" t="s">
        <v>5286</v>
      </c>
      <c r="Y535" s="2" t="s">
        <v>44</v>
      </c>
      <c r="Z535" s="2"/>
      <c r="AA535" s="2" t="s">
        <v>821</v>
      </c>
      <c r="AB535" s="2" t="s">
        <v>46</v>
      </c>
      <c r="AC535" s="2" t="s">
        <v>821</v>
      </c>
      <c r="AE535" s="2" t="s">
        <v>48</v>
      </c>
      <c r="AF535" s="2" t="s">
        <v>49</v>
      </c>
      <c r="AG535" s="2">
        <v>100</v>
      </c>
      <c r="AH535" s="2">
        <v>87</v>
      </c>
      <c r="AJ535" s="2" t="s">
        <v>5296</v>
      </c>
      <c r="AK535" s="2"/>
      <c r="AL535" s="2"/>
      <c r="AM535" s="2" t="s">
        <v>52</v>
      </c>
    </row>
    <row r="536" spans="1:39" x14ac:dyDescent="0.45">
      <c r="A536" s="2" t="s">
        <v>5297</v>
      </c>
      <c r="B536" s="2"/>
      <c r="C536" s="2" t="s">
        <v>5299</v>
      </c>
      <c r="D536" s="2" t="s">
        <v>5301</v>
      </c>
      <c r="E536" s="25"/>
      <c r="F536" s="21"/>
      <c r="G536" s="42" t="s">
        <v>28000</v>
      </c>
      <c r="H536" s="2" t="s">
        <v>50</v>
      </c>
      <c r="I536" s="2" t="s">
        <v>5304</v>
      </c>
      <c r="J536" s="2" t="s">
        <v>5298</v>
      </c>
      <c r="K536" s="2" t="s">
        <v>5300</v>
      </c>
      <c r="L536" s="2" t="s">
        <v>5302</v>
      </c>
      <c r="M536" s="2" t="s">
        <v>5302</v>
      </c>
      <c r="N536" s="2" t="s">
        <v>72</v>
      </c>
      <c r="O536" s="2" t="s">
        <v>73</v>
      </c>
      <c r="P536" s="2" t="s">
        <v>1479</v>
      </c>
      <c r="Q536" s="2" t="s">
        <v>5300</v>
      </c>
      <c r="R536" s="2"/>
      <c r="S536" s="2"/>
      <c r="T536" s="2"/>
      <c r="U536" s="2" t="s">
        <v>72</v>
      </c>
      <c r="V536" s="2" t="s">
        <v>73</v>
      </c>
      <c r="W536" s="2" t="s">
        <v>1479</v>
      </c>
      <c r="X536" s="2" t="s">
        <v>5303</v>
      </c>
      <c r="Y536" s="2" t="s">
        <v>44</v>
      </c>
      <c r="Z536" s="2"/>
      <c r="AA536" s="2" t="s">
        <v>821</v>
      </c>
      <c r="AB536" s="2" t="s">
        <v>46</v>
      </c>
      <c r="AC536" s="2" t="s">
        <v>821</v>
      </c>
      <c r="AE536" s="2" t="s">
        <v>48</v>
      </c>
      <c r="AF536" s="2" t="s">
        <v>49</v>
      </c>
      <c r="AG536" s="2">
        <v>100</v>
      </c>
      <c r="AH536" s="2">
        <v>87</v>
      </c>
      <c r="AJ536" s="2" t="s">
        <v>5305</v>
      </c>
      <c r="AK536" s="2"/>
      <c r="AL536" s="2"/>
      <c r="AM536" s="2" t="s">
        <v>52</v>
      </c>
    </row>
    <row r="537" spans="1:39" x14ac:dyDescent="0.45">
      <c r="A537" s="2" t="s">
        <v>5306</v>
      </c>
      <c r="B537" s="2"/>
      <c r="C537" s="2" t="s">
        <v>5308</v>
      </c>
      <c r="D537" s="2" t="s">
        <v>5310</v>
      </c>
      <c r="E537" s="25"/>
      <c r="F537" s="21"/>
      <c r="G537" s="42" t="s">
        <v>28000</v>
      </c>
      <c r="H537" s="2" t="s">
        <v>50</v>
      </c>
      <c r="I537" s="2" t="s">
        <v>5312</v>
      </c>
      <c r="J537" s="2" t="s">
        <v>5307</v>
      </c>
      <c r="K537" s="2" t="s">
        <v>5309</v>
      </c>
      <c r="L537" s="2" t="s">
        <v>5311</v>
      </c>
      <c r="M537" s="2" t="s">
        <v>5311</v>
      </c>
      <c r="N537" s="2" t="s">
        <v>72</v>
      </c>
      <c r="O537" s="2" t="s">
        <v>73</v>
      </c>
      <c r="P537" s="2" t="s">
        <v>722</v>
      </c>
      <c r="Q537" s="2" t="s">
        <v>5309</v>
      </c>
      <c r="R537" s="2"/>
      <c r="S537" s="2"/>
      <c r="T537" s="2"/>
      <c r="U537" s="2" t="s">
        <v>72</v>
      </c>
      <c r="V537" s="2" t="s">
        <v>73</v>
      </c>
      <c r="W537" s="2" t="s">
        <v>722</v>
      </c>
      <c r="X537" s="2" t="s">
        <v>1271</v>
      </c>
      <c r="Y537" s="2" t="s">
        <v>44</v>
      </c>
      <c r="Z537" s="2"/>
      <c r="AA537" s="2" t="s">
        <v>821</v>
      </c>
      <c r="AB537" s="2" t="s">
        <v>46</v>
      </c>
      <c r="AC537" s="2" t="s">
        <v>821</v>
      </c>
      <c r="AE537" s="2" t="s">
        <v>48</v>
      </c>
      <c r="AF537" s="2" t="s">
        <v>49</v>
      </c>
      <c r="AG537" s="2">
        <v>100</v>
      </c>
      <c r="AH537" s="2">
        <v>87</v>
      </c>
      <c r="AJ537" s="2" t="s">
        <v>5313</v>
      </c>
      <c r="AK537" s="2"/>
      <c r="AL537" s="2"/>
      <c r="AM537" s="2" t="s">
        <v>52</v>
      </c>
    </row>
    <row r="538" spans="1:39" x14ac:dyDescent="0.45">
      <c r="A538" s="2" t="s">
        <v>5314</v>
      </c>
      <c r="B538" s="2"/>
      <c r="C538" s="2" t="s">
        <v>5316</v>
      </c>
      <c r="D538" s="2" t="s">
        <v>5318</v>
      </c>
      <c r="E538" s="25"/>
      <c r="F538" s="21"/>
      <c r="G538" s="42" t="s">
        <v>28000</v>
      </c>
      <c r="H538" s="2" t="s">
        <v>50</v>
      </c>
      <c r="I538" s="2" t="s">
        <v>5321</v>
      </c>
      <c r="J538" s="2" t="s">
        <v>5315</v>
      </c>
      <c r="K538" s="2" t="s">
        <v>5317</v>
      </c>
      <c r="L538" s="2" t="s">
        <v>5319</v>
      </c>
      <c r="M538" s="2" t="s">
        <v>5319</v>
      </c>
      <c r="N538" s="2" t="s">
        <v>59</v>
      </c>
      <c r="O538" s="2" t="s">
        <v>60</v>
      </c>
      <c r="P538" s="2" t="s">
        <v>4649</v>
      </c>
      <c r="Q538" s="2" t="s">
        <v>5317</v>
      </c>
      <c r="R538" s="2"/>
      <c r="S538" s="2"/>
      <c r="T538" s="2"/>
      <c r="U538" s="2" t="s">
        <v>59</v>
      </c>
      <c r="V538" s="2" t="s">
        <v>60</v>
      </c>
      <c r="W538" s="2" t="s">
        <v>4649</v>
      </c>
      <c r="X538" s="2" t="s">
        <v>5320</v>
      </c>
      <c r="Y538" s="2" t="s">
        <v>44</v>
      </c>
      <c r="Z538" s="2"/>
      <c r="AA538" s="2" t="s">
        <v>821</v>
      </c>
      <c r="AB538" s="2" t="s">
        <v>46</v>
      </c>
      <c r="AC538" s="2" t="s">
        <v>821</v>
      </c>
      <c r="AE538" s="2" t="s">
        <v>48</v>
      </c>
      <c r="AF538" s="2" t="s">
        <v>49</v>
      </c>
      <c r="AG538" s="2">
        <v>100</v>
      </c>
      <c r="AH538" s="2">
        <v>87</v>
      </c>
      <c r="AJ538" s="2" t="s">
        <v>5322</v>
      </c>
      <c r="AK538" s="2"/>
      <c r="AL538" s="2"/>
      <c r="AM538" s="2" t="s">
        <v>52</v>
      </c>
    </row>
    <row r="539" spans="1:39" x14ac:dyDescent="0.45">
      <c r="A539" s="2" t="s">
        <v>5323</v>
      </c>
      <c r="B539" s="2"/>
      <c r="C539" s="2" t="s">
        <v>5325</v>
      </c>
      <c r="D539" s="2" t="s">
        <v>5327</v>
      </c>
      <c r="E539" s="25"/>
      <c r="F539" s="21"/>
      <c r="G539" s="42" t="s">
        <v>28000</v>
      </c>
      <c r="H539" s="2" t="s">
        <v>50</v>
      </c>
      <c r="I539" s="2" t="s">
        <v>5330</v>
      </c>
      <c r="J539" s="2" t="s">
        <v>5324</v>
      </c>
      <c r="K539" s="2" t="s">
        <v>5326</v>
      </c>
      <c r="L539" s="2" t="s">
        <v>5328</v>
      </c>
      <c r="M539" s="2" t="s">
        <v>5328</v>
      </c>
      <c r="N539" s="2" t="s">
        <v>384</v>
      </c>
      <c r="O539" s="2" t="s">
        <v>73</v>
      </c>
      <c r="P539" s="2" t="s">
        <v>5329</v>
      </c>
      <c r="Q539" s="2" t="s">
        <v>5326</v>
      </c>
      <c r="R539" s="2"/>
      <c r="S539" s="2"/>
      <c r="T539" s="2"/>
      <c r="U539" s="2" t="s">
        <v>384</v>
      </c>
      <c r="V539" s="2" t="s">
        <v>73</v>
      </c>
      <c r="W539" s="2" t="s">
        <v>5329</v>
      </c>
      <c r="X539" s="2" t="s">
        <v>4659</v>
      </c>
      <c r="Y539" s="2" t="s">
        <v>44</v>
      </c>
      <c r="Z539" s="2"/>
      <c r="AA539" s="2" t="s">
        <v>821</v>
      </c>
      <c r="AB539" s="2" t="s">
        <v>46</v>
      </c>
      <c r="AC539" s="2" t="s">
        <v>821</v>
      </c>
      <c r="AE539" s="2" t="s">
        <v>48</v>
      </c>
      <c r="AF539" s="2" t="s">
        <v>49</v>
      </c>
      <c r="AG539" s="2">
        <v>100</v>
      </c>
      <c r="AH539" s="2">
        <v>87</v>
      </c>
      <c r="AJ539" s="2" t="s">
        <v>5331</v>
      </c>
      <c r="AK539" s="2"/>
      <c r="AL539" s="2"/>
      <c r="AM539" s="2" t="s">
        <v>52</v>
      </c>
    </row>
    <row r="540" spans="1:39" x14ac:dyDescent="0.45">
      <c r="A540" s="2" t="s">
        <v>5332</v>
      </c>
      <c r="B540" s="2"/>
      <c r="C540" s="2" t="s">
        <v>5334</v>
      </c>
      <c r="D540" s="2" t="s">
        <v>5336</v>
      </c>
      <c r="E540" s="25"/>
      <c r="F540" s="21"/>
      <c r="G540" s="42" t="s">
        <v>28000</v>
      </c>
      <c r="H540" s="2" t="s">
        <v>50</v>
      </c>
      <c r="I540" s="2" t="s">
        <v>5339</v>
      </c>
      <c r="J540" s="2" t="s">
        <v>5333</v>
      </c>
      <c r="K540" s="2" t="s">
        <v>5335</v>
      </c>
      <c r="L540" s="2" t="s">
        <v>5337</v>
      </c>
      <c r="M540" s="2" t="s">
        <v>5337</v>
      </c>
      <c r="N540" s="2" t="s">
        <v>39</v>
      </c>
      <c r="O540" s="2" t="s">
        <v>40</v>
      </c>
      <c r="P540" s="2" t="s">
        <v>254</v>
      </c>
      <c r="Q540" s="2" t="s">
        <v>5338</v>
      </c>
      <c r="R540" s="2"/>
      <c r="S540" s="2"/>
      <c r="T540" s="2"/>
      <c r="U540" s="2" t="s">
        <v>39</v>
      </c>
      <c r="V540" s="2" t="s">
        <v>40</v>
      </c>
      <c r="W540" s="2" t="s">
        <v>254</v>
      </c>
      <c r="X540" s="2" t="s">
        <v>4659</v>
      </c>
      <c r="Y540" s="2" t="s">
        <v>44</v>
      </c>
      <c r="Z540" s="2"/>
      <c r="AA540" s="2" t="s">
        <v>821</v>
      </c>
      <c r="AB540" s="2" t="s">
        <v>46</v>
      </c>
      <c r="AC540" s="2" t="s">
        <v>821</v>
      </c>
      <c r="AE540" s="2" t="s">
        <v>48</v>
      </c>
      <c r="AF540" s="2" t="s">
        <v>49</v>
      </c>
      <c r="AG540" s="2">
        <v>100</v>
      </c>
      <c r="AH540" s="2">
        <v>87</v>
      </c>
      <c r="AJ540" s="2" t="s">
        <v>5340</v>
      </c>
      <c r="AK540" s="2"/>
      <c r="AL540" s="2"/>
      <c r="AM540" s="2" t="s">
        <v>52</v>
      </c>
    </row>
    <row r="541" spans="1:39" x14ac:dyDescent="0.45">
      <c r="A541" s="2" t="s">
        <v>5341</v>
      </c>
      <c r="B541" s="2"/>
      <c r="C541" s="2" t="s">
        <v>5343</v>
      </c>
      <c r="D541" s="2" t="s">
        <v>5345</v>
      </c>
      <c r="E541" s="25"/>
      <c r="F541" s="21"/>
      <c r="G541" s="42" t="s">
        <v>28000</v>
      </c>
      <c r="H541" s="2" t="s">
        <v>50</v>
      </c>
      <c r="I541" s="2" t="s">
        <v>5348</v>
      </c>
      <c r="J541" s="2" t="s">
        <v>5342</v>
      </c>
      <c r="K541" s="2" t="s">
        <v>5344</v>
      </c>
      <c r="L541" s="2" t="s">
        <v>5346</v>
      </c>
      <c r="M541" s="2" t="s">
        <v>5346</v>
      </c>
      <c r="N541" s="2" t="s">
        <v>72</v>
      </c>
      <c r="O541" s="2" t="s">
        <v>73</v>
      </c>
      <c r="P541" s="2" t="s">
        <v>2665</v>
      </c>
      <c r="Q541" s="2" t="s">
        <v>5347</v>
      </c>
      <c r="R541" s="2"/>
      <c r="S541" s="2"/>
      <c r="T541" s="2"/>
      <c r="U541" s="2" t="s">
        <v>72</v>
      </c>
      <c r="V541" s="2" t="s">
        <v>73</v>
      </c>
      <c r="W541" s="2" t="s">
        <v>2665</v>
      </c>
      <c r="X541" s="2" t="s">
        <v>4659</v>
      </c>
      <c r="Y541" s="2" t="s">
        <v>44</v>
      </c>
      <c r="Z541" s="2"/>
      <c r="AA541" s="2" t="s">
        <v>821</v>
      </c>
      <c r="AB541" s="2" t="s">
        <v>46</v>
      </c>
      <c r="AC541" s="2" t="s">
        <v>821</v>
      </c>
      <c r="AE541" s="2" t="s">
        <v>48</v>
      </c>
      <c r="AF541" s="2" t="s">
        <v>49</v>
      </c>
      <c r="AG541" s="2">
        <v>100</v>
      </c>
      <c r="AH541" s="2">
        <v>87</v>
      </c>
      <c r="AJ541" s="2" t="s">
        <v>5349</v>
      </c>
      <c r="AK541" s="2"/>
      <c r="AL541" s="2"/>
      <c r="AM541" s="2" t="s">
        <v>52</v>
      </c>
    </row>
    <row r="542" spans="1:39" x14ac:dyDescent="0.45">
      <c r="A542" s="2" t="s">
        <v>5350</v>
      </c>
      <c r="B542" s="2"/>
      <c r="C542" s="2" t="s">
        <v>5352</v>
      </c>
      <c r="D542" s="2" t="s">
        <v>5354</v>
      </c>
      <c r="E542" s="25"/>
      <c r="F542" s="21"/>
      <c r="G542" s="42" t="s">
        <v>28000</v>
      </c>
      <c r="H542" s="2" t="s">
        <v>50</v>
      </c>
      <c r="I542" s="2" t="s">
        <v>5357</v>
      </c>
      <c r="J542" s="2" t="s">
        <v>5351</v>
      </c>
      <c r="K542" s="2" t="s">
        <v>5353</v>
      </c>
      <c r="L542" s="2" t="s">
        <v>5355</v>
      </c>
      <c r="M542" s="2" t="s">
        <v>5355</v>
      </c>
      <c r="N542" s="2" t="s">
        <v>59</v>
      </c>
      <c r="O542" s="2" t="s">
        <v>60</v>
      </c>
      <c r="P542" s="2" t="s">
        <v>4649</v>
      </c>
      <c r="Q542" s="2" t="s">
        <v>5353</v>
      </c>
      <c r="R542" s="2"/>
      <c r="S542" s="2"/>
      <c r="T542" s="2"/>
      <c r="U542" s="2" t="s">
        <v>59</v>
      </c>
      <c r="V542" s="2" t="s">
        <v>60</v>
      </c>
      <c r="W542" s="2" t="s">
        <v>4649</v>
      </c>
      <c r="X542" s="2" t="s">
        <v>5356</v>
      </c>
      <c r="Y542" s="2" t="s">
        <v>44</v>
      </c>
      <c r="Z542" s="2"/>
      <c r="AA542" s="2" t="s">
        <v>821</v>
      </c>
      <c r="AB542" s="2" t="s">
        <v>46</v>
      </c>
      <c r="AC542" s="2" t="s">
        <v>821</v>
      </c>
      <c r="AE542" s="2" t="s">
        <v>48</v>
      </c>
      <c r="AF542" s="2" t="s">
        <v>49</v>
      </c>
      <c r="AG542" s="2">
        <v>100</v>
      </c>
      <c r="AH542" s="2">
        <v>87</v>
      </c>
      <c r="AJ542" s="2" t="s">
        <v>5358</v>
      </c>
      <c r="AK542" s="2"/>
      <c r="AL542" s="2"/>
      <c r="AM542" s="2" t="s">
        <v>52</v>
      </c>
    </row>
    <row r="543" spans="1:39" x14ac:dyDescent="0.45">
      <c r="A543" s="2" t="s">
        <v>5359</v>
      </c>
      <c r="B543" s="2"/>
      <c r="C543" s="2" t="s">
        <v>5361</v>
      </c>
      <c r="D543" s="2" t="s">
        <v>5363</v>
      </c>
      <c r="E543" s="25"/>
      <c r="F543" s="21"/>
      <c r="G543" s="42" t="s">
        <v>28000</v>
      </c>
      <c r="H543" s="2" t="s">
        <v>50</v>
      </c>
      <c r="I543" s="2" t="s">
        <v>5366</v>
      </c>
      <c r="J543" s="2" t="s">
        <v>5360</v>
      </c>
      <c r="K543" s="2" t="s">
        <v>5362</v>
      </c>
      <c r="L543" s="2" t="s">
        <v>5364</v>
      </c>
      <c r="M543" s="2" t="s">
        <v>5364</v>
      </c>
      <c r="N543" s="2" t="s">
        <v>59</v>
      </c>
      <c r="O543" s="2" t="s">
        <v>60</v>
      </c>
      <c r="P543" s="2" t="s">
        <v>1346</v>
      </c>
      <c r="Q543" s="2" t="s">
        <v>5365</v>
      </c>
      <c r="R543" s="2"/>
      <c r="S543" s="2"/>
      <c r="T543" s="2"/>
      <c r="U543" s="2" t="s">
        <v>59</v>
      </c>
      <c r="V543" s="2" t="s">
        <v>60</v>
      </c>
      <c r="W543" s="2" t="s">
        <v>1346</v>
      </c>
      <c r="X543" s="2" t="s">
        <v>5356</v>
      </c>
      <c r="Y543" s="2" t="s">
        <v>44</v>
      </c>
      <c r="Z543" s="2"/>
      <c r="AA543" s="2" t="s">
        <v>821</v>
      </c>
      <c r="AB543" s="2" t="s">
        <v>46</v>
      </c>
      <c r="AC543" s="2" t="s">
        <v>821</v>
      </c>
      <c r="AE543" s="2" t="s">
        <v>48</v>
      </c>
      <c r="AF543" s="2" t="s">
        <v>49</v>
      </c>
      <c r="AG543" s="2">
        <v>100</v>
      </c>
      <c r="AH543" s="2">
        <v>87</v>
      </c>
      <c r="AJ543" s="2" t="s">
        <v>5367</v>
      </c>
      <c r="AK543" s="2"/>
      <c r="AL543" s="2"/>
      <c r="AM543" s="2" t="s">
        <v>52</v>
      </c>
    </row>
    <row r="544" spans="1:39" x14ac:dyDescent="0.45">
      <c r="A544" s="2" t="s">
        <v>5368</v>
      </c>
      <c r="B544" s="2"/>
      <c r="C544" s="2" t="s">
        <v>5370</v>
      </c>
      <c r="D544" s="2" t="s">
        <v>5372</v>
      </c>
      <c r="E544" s="25"/>
      <c r="F544" s="21"/>
      <c r="G544" s="42" t="s">
        <v>28000</v>
      </c>
      <c r="H544" s="2" t="s">
        <v>50</v>
      </c>
      <c r="I544" s="2" t="s">
        <v>5375</v>
      </c>
      <c r="J544" s="2" t="s">
        <v>5369</v>
      </c>
      <c r="K544" s="2" t="s">
        <v>5371</v>
      </c>
      <c r="L544" s="2" t="s">
        <v>5373</v>
      </c>
      <c r="M544" s="2" t="s">
        <v>5373</v>
      </c>
      <c r="N544" s="2" t="s">
        <v>290</v>
      </c>
      <c r="O544" s="2" t="s">
        <v>278</v>
      </c>
      <c r="P544" s="2" t="s">
        <v>3630</v>
      </c>
      <c r="Q544" s="2" t="s">
        <v>5371</v>
      </c>
      <c r="R544" s="2"/>
      <c r="S544" s="2"/>
      <c r="T544" s="2"/>
      <c r="U544" s="2" t="s">
        <v>290</v>
      </c>
      <c r="V544" s="2" t="s">
        <v>278</v>
      </c>
      <c r="W544" s="2" t="s">
        <v>3630</v>
      </c>
      <c r="X544" s="2" t="s">
        <v>5374</v>
      </c>
      <c r="Y544" s="2" t="s">
        <v>44</v>
      </c>
      <c r="Z544" s="2"/>
      <c r="AA544" s="2" t="s">
        <v>821</v>
      </c>
      <c r="AB544" s="2" t="s">
        <v>46</v>
      </c>
      <c r="AC544" s="2" t="s">
        <v>821</v>
      </c>
      <c r="AE544" s="2" t="s">
        <v>48</v>
      </c>
      <c r="AF544" s="2" t="s">
        <v>49</v>
      </c>
      <c r="AG544" s="2">
        <v>100</v>
      </c>
      <c r="AH544" s="2">
        <v>87</v>
      </c>
      <c r="AJ544" s="2" t="s">
        <v>5376</v>
      </c>
      <c r="AK544" s="2"/>
      <c r="AL544" s="2"/>
      <c r="AM544" s="2" t="s">
        <v>52</v>
      </c>
    </row>
    <row r="545" spans="1:39" x14ac:dyDescent="0.45">
      <c r="A545" s="2" t="s">
        <v>5377</v>
      </c>
      <c r="B545" s="2"/>
      <c r="C545" s="2" t="s">
        <v>5379</v>
      </c>
      <c r="D545" s="2" t="s">
        <v>5381</v>
      </c>
      <c r="E545" s="25"/>
      <c r="F545" s="21"/>
      <c r="G545" s="42" t="s">
        <v>28000</v>
      </c>
      <c r="H545" s="2" t="s">
        <v>50</v>
      </c>
      <c r="I545" s="2" t="s">
        <v>5385</v>
      </c>
      <c r="J545" s="2" t="s">
        <v>5378</v>
      </c>
      <c r="K545" s="2" t="s">
        <v>5380</v>
      </c>
      <c r="L545" s="2" t="s">
        <v>5382</v>
      </c>
      <c r="M545" s="2" t="s">
        <v>5382</v>
      </c>
      <c r="N545" s="2" t="s">
        <v>39</v>
      </c>
      <c r="O545" s="2" t="s">
        <v>40</v>
      </c>
      <c r="P545" s="2" t="s">
        <v>5383</v>
      </c>
      <c r="Q545" s="2" t="s">
        <v>5384</v>
      </c>
      <c r="R545" s="2"/>
      <c r="S545" s="2"/>
      <c r="T545" s="2"/>
      <c r="U545" s="2" t="s">
        <v>39</v>
      </c>
      <c r="V545" s="2" t="s">
        <v>40</v>
      </c>
      <c r="W545" s="2" t="s">
        <v>5383</v>
      </c>
      <c r="X545" s="2" t="s">
        <v>1199</v>
      </c>
      <c r="Y545" s="2" t="s">
        <v>44</v>
      </c>
      <c r="Z545" s="2"/>
      <c r="AA545" s="2" t="s">
        <v>821</v>
      </c>
      <c r="AB545" s="2" t="s">
        <v>46</v>
      </c>
      <c r="AC545" s="2" t="s">
        <v>821</v>
      </c>
      <c r="AE545" s="2" t="s">
        <v>48</v>
      </c>
      <c r="AF545" s="2" t="s">
        <v>49</v>
      </c>
      <c r="AG545" s="2">
        <v>100</v>
      </c>
      <c r="AH545" s="2">
        <v>87</v>
      </c>
      <c r="AJ545" s="2" t="s">
        <v>5386</v>
      </c>
      <c r="AK545" s="2"/>
      <c r="AL545" s="2"/>
      <c r="AM545" s="2" t="s">
        <v>52</v>
      </c>
    </row>
    <row r="546" spans="1:39" x14ac:dyDescent="0.45">
      <c r="A546" s="2" t="s">
        <v>5387</v>
      </c>
      <c r="B546" s="2"/>
      <c r="C546" s="2" t="s">
        <v>5389</v>
      </c>
      <c r="D546" s="2" t="s">
        <v>5391</v>
      </c>
      <c r="E546" s="25"/>
      <c r="F546" s="21"/>
      <c r="G546" s="42" t="s">
        <v>28000</v>
      </c>
      <c r="H546" s="2" t="s">
        <v>50</v>
      </c>
      <c r="I546" s="2" t="s">
        <v>5393</v>
      </c>
      <c r="J546" s="2" t="s">
        <v>5388</v>
      </c>
      <c r="K546" s="2" t="s">
        <v>5390</v>
      </c>
      <c r="L546" s="2" t="s">
        <v>5392</v>
      </c>
      <c r="M546" s="2" t="s">
        <v>5392</v>
      </c>
      <c r="N546" s="2" t="s">
        <v>85</v>
      </c>
      <c r="O546" s="2" t="s">
        <v>86</v>
      </c>
      <c r="P546" s="2" t="s">
        <v>4819</v>
      </c>
      <c r="Q546" s="2" t="s">
        <v>5390</v>
      </c>
      <c r="R546" s="2"/>
      <c r="S546" s="2"/>
      <c r="T546" s="2"/>
      <c r="U546" s="2" t="s">
        <v>85</v>
      </c>
      <c r="V546" s="2" t="s">
        <v>86</v>
      </c>
      <c r="W546" s="2" t="s">
        <v>4819</v>
      </c>
      <c r="X546" s="2" t="s">
        <v>3991</v>
      </c>
      <c r="Y546" s="2" t="s">
        <v>44</v>
      </c>
      <c r="Z546" s="2"/>
      <c r="AA546" s="2" t="s">
        <v>821</v>
      </c>
      <c r="AB546" s="2" t="s">
        <v>46</v>
      </c>
      <c r="AC546" s="2" t="s">
        <v>821</v>
      </c>
      <c r="AE546" s="2" t="s">
        <v>48</v>
      </c>
      <c r="AF546" s="2" t="s">
        <v>49</v>
      </c>
      <c r="AG546" s="2">
        <v>100</v>
      </c>
      <c r="AH546" s="2">
        <v>87</v>
      </c>
      <c r="AJ546" s="2" t="s">
        <v>5394</v>
      </c>
      <c r="AK546" s="2"/>
      <c r="AL546" s="2"/>
      <c r="AM546" s="2" t="s">
        <v>52</v>
      </c>
    </row>
    <row r="547" spans="1:39" x14ac:dyDescent="0.45">
      <c r="A547" s="2" t="s">
        <v>5395</v>
      </c>
      <c r="B547" s="2"/>
      <c r="C547" s="2" t="s">
        <v>5397</v>
      </c>
      <c r="D547" s="2" t="s">
        <v>5399</v>
      </c>
      <c r="E547" s="25"/>
      <c r="F547" s="21"/>
      <c r="G547" s="42" t="s">
        <v>28000</v>
      </c>
      <c r="H547" s="2" t="s">
        <v>50</v>
      </c>
      <c r="I547" s="2" t="s">
        <v>5403</v>
      </c>
      <c r="J547" s="2" t="s">
        <v>5396</v>
      </c>
      <c r="K547" s="2" t="s">
        <v>5398</v>
      </c>
      <c r="L547" s="2" t="s">
        <v>5400</v>
      </c>
      <c r="M547" s="2" t="s">
        <v>5400</v>
      </c>
      <c r="N547" s="2" t="s">
        <v>72</v>
      </c>
      <c r="O547" s="2" t="s">
        <v>73</v>
      </c>
      <c r="P547" s="2" t="s">
        <v>5401</v>
      </c>
      <c r="Q547" s="2" t="s">
        <v>5402</v>
      </c>
      <c r="R547" s="2"/>
      <c r="S547" s="2"/>
      <c r="T547" s="2"/>
      <c r="U547" s="2" t="s">
        <v>72</v>
      </c>
      <c r="V547" s="2" t="s">
        <v>73</v>
      </c>
      <c r="W547" s="2" t="s">
        <v>464</v>
      </c>
      <c r="X547" s="2" t="s">
        <v>3991</v>
      </c>
      <c r="Y547" s="2" t="s">
        <v>44</v>
      </c>
      <c r="Z547" s="2"/>
      <c r="AA547" s="2" t="s">
        <v>821</v>
      </c>
      <c r="AB547" s="2" t="s">
        <v>46</v>
      </c>
      <c r="AC547" s="2" t="s">
        <v>821</v>
      </c>
      <c r="AE547" s="2" t="s">
        <v>48</v>
      </c>
      <c r="AF547" s="2" t="s">
        <v>49</v>
      </c>
      <c r="AG547" s="2">
        <v>100</v>
      </c>
      <c r="AH547" s="2">
        <v>87</v>
      </c>
      <c r="AJ547" s="2" t="s">
        <v>5404</v>
      </c>
      <c r="AK547" s="2"/>
      <c r="AL547" s="2"/>
      <c r="AM547" s="2" t="s">
        <v>52</v>
      </c>
    </row>
    <row r="548" spans="1:39" x14ac:dyDescent="0.45">
      <c r="A548" s="2" t="s">
        <v>5405</v>
      </c>
      <c r="B548" s="2"/>
      <c r="C548" s="2" t="s">
        <v>5407</v>
      </c>
      <c r="D548" s="2" t="s">
        <v>5409</v>
      </c>
      <c r="E548" s="25"/>
      <c r="F548" s="21"/>
      <c r="G548" s="42" t="s">
        <v>28000</v>
      </c>
      <c r="H548" s="2" t="s">
        <v>50</v>
      </c>
      <c r="I548" s="2" t="s">
        <v>5412</v>
      </c>
      <c r="J548" s="2" t="s">
        <v>5406</v>
      </c>
      <c r="K548" s="2" t="s">
        <v>5408</v>
      </c>
      <c r="L548" s="2" t="s">
        <v>5410</v>
      </c>
      <c r="M548" s="2" t="s">
        <v>5410</v>
      </c>
      <c r="N548" s="2" t="s">
        <v>216</v>
      </c>
      <c r="O548" s="2" t="s">
        <v>217</v>
      </c>
      <c r="P548" s="2" t="s">
        <v>2410</v>
      </c>
      <c r="Q548" s="2" t="s">
        <v>5408</v>
      </c>
      <c r="R548" s="2"/>
      <c r="S548" s="2"/>
      <c r="T548" s="2"/>
      <c r="U548" s="2" t="s">
        <v>216</v>
      </c>
      <c r="V548" s="2" t="s">
        <v>217</v>
      </c>
      <c r="W548" s="2" t="s">
        <v>2410</v>
      </c>
      <c r="X548" s="2" t="s">
        <v>5411</v>
      </c>
      <c r="Y548" s="2" t="s">
        <v>44</v>
      </c>
      <c r="Z548" s="2"/>
      <c r="AA548" s="2" t="s">
        <v>821</v>
      </c>
      <c r="AB548" s="2" t="s">
        <v>46</v>
      </c>
      <c r="AC548" s="2" t="s">
        <v>821</v>
      </c>
      <c r="AE548" s="2" t="s">
        <v>48</v>
      </c>
      <c r="AF548" s="2" t="s">
        <v>49</v>
      </c>
      <c r="AG548" s="2">
        <v>100</v>
      </c>
      <c r="AH548" s="2">
        <v>87</v>
      </c>
      <c r="AJ548" s="2" t="s">
        <v>5413</v>
      </c>
      <c r="AK548" s="2"/>
      <c r="AL548" s="2"/>
      <c r="AM548" s="2" t="s">
        <v>52</v>
      </c>
    </row>
    <row r="549" spans="1:39" x14ac:dyDescent="0.45">
      <c r="A549" s="2" t="s">
        <v>5414</v>
      </c>
      <c r="B549" s="2"/>
      <c r="C549" s="2" t="s">
        <v>5416</v>
      </c>
      <c r="D549" s="2" t="s">
        <v>5418</v>
      </c>
      <c r="E549" s="25"/>
      <c r="F549" s="21"/>
      <c r="G549" s="42" t="s">
        <v>28000</v>
      </c>
      <c r="H549" s="2" t="s">
        <v>50</v>
      </c>
      <c r="I549" s="2" t="s">
        <v>5422</v>
      </c>
      <c r="J549" s="2" t="s">
        <v>5415</v>
      </c>
      <c r="K549" s="2" t="s">
        <v>5417</v>
      </c>
      <c r="L549" s="2" t="s">
        <v>5419</v>
      </c>
      <c r="M549" s="2" t="s">
        <v>5419</v>
      </c>
      <c r="N549" s="2" t="s">
        <v>72</v>
      </c>
      <c r="O549" s="2" t="s">
        <v>73</v>
      </c>
      <c r="P549" s="2" t="s">
        <v>484</v>
      </c>
      <c r="Q549" s="2" t="s">
        <v>5420</v>
      </c>
      <c r="R549" s="2"/>
      <c r="S549" s="2"/>
      <c r="T549" s="2"/>
      <c r="U549" s="2" t="s">
        <v>72</v>
      </c>
      <c r="V549" s="2" t="s">
        <v>73</v>
      </c>
      <c r="W549" s="2" t="s">
        <v>484</v>
      </c>
      <c r="X549" s="2" t="s">
        <v>5421</v>
      </c>
      <c r="Y549" s="2" t="s">
        <v>44</v>
      </c>
      <c r="Z549" s="2"/>
      <c r="AA549" s="2" t="s">
        <v>821</v>
      </c>
      <c r="AB549" s="2" t="s">
        <v>199</v>
      </c>
      <c r="AC549" s="2" t="s">
        <v>821</v>
      </c>
      <c r="AE549" s="2" t="s">
        <v>48</v>
      </c>
      <c r="AF549" s="2" t="s">
        <v>49</v>
      </c>
      <c r="AG549" s="2">
        <v>100</v>
      </c>
      <c r="AH549" s="2">
        <v>87</v>
      </c>
      <c r="AJ549" s="2" t="s">
        <v>5423</v>
      </c>
      <c r="AK549" s="2"/>
      <c r="AL549" s="2"/>
      <c r="AM549" s="2" t="s">
        <v>52</v>
      </c>
    </row>
    <row r="550" spans="1:39" x14ac:dyDescent="0.45">
      <c r="A550" s="2" t="s">
        <v>5424</v>
      </c>
      <c r="B550" s="2"/>
      <c r="C550" s="2" t="s">
        <v>5426</v>
      </c>
      <c r="D550" s="2" t="s">
        <v>5428</v>
      </c>
      <c r="E550" s="25"/>
      <c r="F550" s="21"/>
      <c r="G550" s="42" t="s">
        <v>28000</v>
      </c>
      <c r="H550" s="2" t="s">
        <v>50</v>
      </c>
      <c r="I550" s="2" t="s">
        <v>5431</v>
      </c>
      <c r="J550" s="2" t="s">
        <v>5425</v>
      </c>
      <c r="K550" s="2" t="s">
        <v>5427</v>
      </c>
      <c r="L550" s="2" t="s">
        <v>5429</v>
      </c>
      <c r="M550" s="2" t="s">
        <v>5429</v>
      </c>
      <c r="N550" s="2" t="s">
        <v>72</v>
      </c>
      <c r="O550" s="2" t="s">
        <v>73</v>
      </c>
      <c r="P550" s="2" t="s">
        <v>607</v>
      </c>
      <c r="Q550" s="2" t="s">
        <v>5427</v>
      </c>
      <c r="R550" s="2"/>
      <c r="S550" s="2"/>
      <c r="T550" s="2"/>
      <c r="U550" s="2" t="s">
        <v>72</v>
      </c>
      <c r="V550" s="2" t="s">
        <v>73</v>
      </c>
      <c r="W550" s="2" t="s">
        <v>607</v>
      </c>
      <c r="X550" s="2" t="s">
        <v>5430</v>
      </c>
      <c r="Y550" s="2" t="s">
        <v>44</v>
      </c>
      <c r="Z550" s="2"/>
      <c r="AA550" s="2" t="s">
        <v>821</v>
      </c>
      <c r="AB550" s="2" t="s">
        <v>46</v>
      </c>
      <c r="AC550" s="2" t="s">
        <v>821</v>
      </c>
      <c r="AE550" s="2" t="s">
        <v>48</v>
      </c>
      <c r="AF550" s="2" t="s">
        <v>49</v>
      </c>
      <c r="AG550" s="2">
        <v>100</v>
      </c>
      <c r="AH550" s="2">
        <v>87</v>
      </c>
      <c r="AJ550" s="2" t="s">
        <v>5432</v>
      </c>
      <c r="AK550" s="2"/>
      <c r="AL550" s="2"/>
      <c r="AM550" s="2" t="s">
        <v>52</v>
      </c>
    </row>
    <row r="551" spans="1:39" x14ac:dyDescent="0.45">
      <c r="A551" s="2" t="s">
        <v>5433</v>
      </c>
      <c r="B551" s="2"/>
      <c r="C551" s="2" t="s">
        <v>5435</v>
      </c>
      <c r="D551" s="2" t="s">
        <v>5437</v>
      </c>
      <c r="E551" s="25"/>
      <c r="F551" s="21"/>
      <c r="G551" s="42" t="s">
        <v>28000</v>
      </c>
      <c r="H551" s="2" t="s">
        <v>50</v>
      </c>
      <c r="I551" s="2" t="s">
        <v>5441</v>
      </c>
      <c r="J551" s="2" t="s">
        <v>5434</v>
      </c>
      <c r="K551" s="2" t="s">
        <v>5436</v>
      </c>
      <c r="L551" s="2" t="s">
        <v>5438</v>
      </c>
      <c r="M551" s="2" t="s">
        <v>5438</v>
      </c>
      <c r="N551" s="2" t="s">
        <v>59</v>
      </c>
      <c r="O551" s="2" t="s">
        <v>60</v>
      </c>
      <c r="P551" s="2" t="s">
        <v>992</v>
      </c>
      <c r="Q551" s="2" t="s">
        <v>5439</v>
      </c>
      <c r="R551" s="2"/>
      <c r="S551" s="2"/>
      <c r="T551" s="2"/>
      <c r="U551" s="2" t="s">
        <v>72</v>
      </c>
      <c r="V551" s="2" t="s">
        <v>73</v>
      </c>
      <c r="W551" s="2" t="s">
        <v>791</v>
      </c>
      <c r="X551" s="2" t="s">
        <v>5440</v>
      </c>
      <c r="Y551" s="2" t="s">
        <v>44</v>
      </c>
      <c r="Z551" s="2"/>
      <c r="AA551" s="2" t="s">
        <v>821</v>
      </c>
      <c r="AB551" s="2" t="s">
        <v>46</v>
      </c>
      <c r="AC551" s="2" t="s">
        <v>821</v>
      </c>
      <c r="AE551" s="2" t="s">
        <v>48</v>
      </c>
      <c r="AF551" s="2" t="s">
        <v>49</v>
      </c>
      <c r="AG551" s="2">
        <v>100</v>
      </c>
      <c r="AH551" s="2">
        <v>87</v>
      </c>
      <c r="AJ551" s="2" t="s">
        <v>5442</v>
      </c>
      <c r="AK551" s="2"/>
      <c r="AL551" s="2"/>
      <c r="AM551" s="2" t="s">
        <v>52</v>
      </c>
    </row>
    <row r="552" spans="1:39" x14ac:dyDescent="0.45">
      <c r="A552" s="2" t="s">
        <v>5443</v>
      </c>
      <c r="B552" s="2"/>
      <c r="C552" s="2" t="s">
        <v>5445</v>
      </c>
      <c r="D552" s="2" t="s">
        <v>5447</v>
      </c>
      <c r="E552" s="25"/>
      <c r="F552" s="21"/>
      <c r="G552" s="42" t="s">
        <v>28000</v>
      </c>
      <c r="H552" s="2" t="s">
        <v>50</v>
      </c>
      <c r="I552" s="2" t="s">
        <v>5450</v>
      </c>
      <c r="J552" s="2" t="s">
        <v>5444</v>
      </c>
      <c r="K552" s="2" t="s">
        <v>5446</v>
      </c>
      <c r="L552" s="2" t="s">
        <v>5448</v>
      </c>
      <c r="M552" s="2" t="s">
        <v>5448</v>
      </c>
      <c r="N552" s="2" t="s">
        <v>72</v>
      </c>
      <c r="O552" s="2" t="s">
        <v>73</v>
      </c>
      <c r="P552" s="2" t="s">
        <v>791</v>
      </c>
      <c r="Q552" s="2" t="s">
        <v>5449</v>
      </c>
      <c r="R552" s="2"/>
      <c r="S552" s="2"/>
      <c r="T552" s="2"/>
      <c r="U552" s="2" t="s">
        <v>72</v>
      </c>
      <c r="V552" s="2" t="s">
        <v>73</v>
      </c>
      <c r="W552" s="2" t="s">
        <v>791</v>
      </c>
      <c r="X552" s="2" t="s">
        <v>5440</v>
      </c>
      <c r="Y552" s="2" t="s">
        <v>44</v>
      </c>
      <c r="Z552" s="2"/>
      <c r="AA552" s="2" t="s">
        <v>821</v>
      </c>
      <c r="AB552" s="2" t="s">
        <v>46</v>
      </c>
      <c r="AC552" s="2" t="s">
        <v>821</v>
      </c>
      <c r="AE552" s="2" t="s">
        <v>48</v>
      </c>
      <c r="AF552" s="2" t="s">
        <v>49</v>
      </c>
      <c r="AG552" s="2">
        <v>100</v>
      </c>
      <c r="AH552" s="2">
        <v>87</v>
      </c>
      <c r="AJ552" s="2" t="s">
        <v>5451</v>
      </c>
      <c r="AK552" s="2"/>
      <c r="AL552" s="2"/>
      <c r="AM552" s="2" t="s">
        <v>52</v>
      </c>
    </row>
    <row r="553" spans="1:39" x14ac:dyDescent="0.45">
      <c r="A553" s="2" t="s">
        <v>5452</v>
      </c>
      <c r="B553" s="2"/>
      <c r="C553" s="2" t="s">
        <v>5454</v>
      </c>
      <c r="D553" s="2" t="s">
        <v>5456</v>
      </c>
      <c r="E553" s="25"/>
      <c r="F553" s="21"/>
      <c r="G553" s="42" t="s">
        <v>28000</v>
      </c>
      <c r="H553" s="2" t="s">
        <v>50</v>
      </c>
      <c r="I553" s="2" t="s">
        <v>5458</v>
      </c>
      <c r="J553" s="2" t="s">
        <v>5453</v>
      </c>
      <c r="K553" s="2" t="s">
        <v>5455</v>
      </c>
      <c r="L553" s="2" t="s">
        <v>5457</v>
      </c>
      <c r="M553" s="2" t="s">
        <v>5457</v>
      </c>
      <c r="N553" s="2" t="s">
        <v>72</v>
      </c>
      <c r="O553" s="2" t="s">
        <v>73</v>
      </c>
      <c r="P553" s="2" t="s">
        <v>3264</v>
      </c>
      <c r="Q553" s="2" t="s">
        <v>5455</v>
      </c>
      <c r="R553" s="2"/>
      <c r="S553" s="2"/>
      <c r="T553" s="2"/>
      <c r="U553" s="2" t="s">
        <v>72</v>
      </c>
      <c r="V553" s="2" t="s">
        <v>73</v>
      </c>
      <c r="W553" s="2" t="s">
        <v>3264</v>
      </c>
      <c r="X553" s="2" t="s">
        <v>3304</v>
      </c>
      <c r="Y553" s="2" t="s">
        <v>44</v>
      </c>
      <c r="Z553" s="2"/>
      <c r="AA553" s="2" t="s">
        <v>821</v>
      </c>
      <c r="AB553" s="2" t="s">
        <v>46</v>
      </c>
      <c r="AC553" s="2" t="s">
        <v>821</v>
      </c>
      <c r="AE553" s="2" t="s">
        <v>48</v>
      </c>
      <c r="AF553" s="2" t="s">
        <v>49</v>
      </c>
      <c r="AG553" s="2">
        <v>100</v>
      </c>
      <c r="AH553" s="2">
        <v>87</v>
      </c>
      <c r="AJ553" s="2" t="s">
        <v>5459</v>
      </c>
      <c r="AK553" s="2"/>
      <c r="AL553" s="2"/>
      <c r="AM553" s="2" t="s">
        <v>52</v>
      </c>
    </row>
    <row r="554" spans="1:39" x14ac:dyDescent="0.45">
      <c r="A554" s="2" t="s">
        <v>5460</v>
      </c>
      <c r="B554" s="2"/>
      <c r="C554" s="2" t="s">
        <v>5462</v>
      </c>
      <c r="D554" s="2" t="s">
        <v>5464</v>
      </c>
      <c r="E554" s="25"/>
      <c r="F554" s="21"/>
      <c r="G554" s="42" t="s">
        <v>28000</v>
      </c>
      <c r="H554" s="2" t="s">
        <v>50</v>
      </c>
      <c r="I554" s="2" t="s">
        <v>5467</v>
      </c>
      <c r="J554" s="2" t="s">
        <v>5461</v>
      </c>
      <c r="K554" s="2" t="s">
        <v>5463</v>
      </c>
      <c r="L554" s="2" t="s">
        <v>5465</v>
      </c>
      <c r="M554" s="2" t="s">
        <v>5465</v>
      </c>
      <c r="N554" s="2" t="s">
        <v>39</v>
      </c>
      <c r="O554" s="2" t="s">
        <v>40</v>
      </c>
      <c r="P554" s="2" t="s">
        <v>5466</v>
      </c>
      <c r="Q554" s="2" t="s">
        <v>5463</v>
      </c>
      <c r="R554" s="2"/>
      <c r="S554" s="2"/>
      <c r="T554" s="2"/>
      <c r="U554" s="2" t="s">
        <v>39</v>
      </c>
      <c r="V554" s="2" t="s">
        <v>40</v>
      </c>
      <c r="W554" s="2" t="s">
        <v>5466</v>
      </c>
      <c r="X554" s="2" t="s">
        <v>2802</v>
      </c>
      <c r="Y554" s="2" t="s">
        <v>44</v>
      </c>
      <c r="Z554" s="2"/>
      <c r="AA554" s="2" t="s">
        <v>821</v>
      </c>
      <c r="AB554" s="2" t="s">
        <v>46</v>
      </c>
      <c r="AC554" s="2" t="s">
        <v>821</v>
      </c>
      <c r="AE554" s="2" t="s">
        <v>48</v>
      </c>
      <c r="AF554" s="2" t="s">
        <v>49</v>
      </c>
      <c r="AG554" s="2">
        <v>100</v>
      </c>
      <c r="AH554" s="2">
        <v>87</v>
      </c>
      <c r="AJ554" s="2" t="s">
        <v>5468</v>
      </c>
      <c r="AK554" s="2"/>
      <c r="AL554" s="2"/>
      <c r="AM554" s="2" t="s">
        <v>52</v>
      </c>
    </row>
    <row r="555" spans="1:39" x14ac:dyDescent="0.45">
      <c r="A555" s="2" t="s">
        <v>5469</v>
      </c>
      <c r="B555" s="2"/>
      <c r="C555" s="2" t="s">
        <v>5471</v>
      </c>
      <c r="D555" s="2" t="s">
        <v>5473</v>
      </c>
      <c r="E555" s="25"/>
      <c r="F555" s="21"/>
      <c r="G555" s="42" t="s">
        <v>28000</v>
      </c>
      <c r="H555" s="2" t="s">
        <v>50</v>
      </c>
      <c r="I555" s="2" t="s">
        <v>5480</v>
      </c>
      <c r="J555" s="2" t="s">
        <v>5470</v>
      </c>
      <c r="K555" s="2" t="s">
        <v>5472</v>
      </c>
      <c r="L555" s="2" t="s">
        <v>5474</v>
      </c>
      <c r="M555" s="2" t="s">
        <v>5474</v>
      </c>
      <c r="N555" s="2" t="s">
        <v>174</v>
      </c>
      <c r="O555" s="2" t="s">
        <v>175</v>
      </c>
      <c r="P555" s="2" t="s">
        <v>5475</v>
      </c>
      <c r="Q555" s="2" t="s">
        <v>5476</v>
      </c>
      <c r="R555" s="2"/>
      <c r="S555" s="2"/>
      <c r="T555" s="2"/>
      <c r="U555" s="2" t="s">
        <v>5477</v>
      </c>
      <c r="V555" s="2" t="s">
        <v>175</v>
      </c>
      <c r="W555" s="2" t="s">
        <v>5478</v>
      </c>
      <c r="X555" s="2" t="s">
        <v>5479</v>
      </c>
      <c r="Y555" s="2" t="s">
        <v>44</v>
      </c>
      <c r="Z555" s="2"/>
      <c r="AA555" s="2" t="s">
        <v>821</v>
      </c>
      <c r="AB555" s="2" t="s">
        <v>46</v>
      </c>
      <c r="AC555" s="2" t="s">
        <v>821</v>
      </c>
      <c r="AE555" s="2" t="s">
        <v>48</v>
      </c>
      <c r="AF555" s="2" t="s">
        <v>49</v>
      </c>
      <c r="AG555" s="2">
        <v>100</v>
      </c>
      <c r="AH555" s="2">
        <v>87</v>
      </c>
      <c r="AJ555" s="2" t="s">
        <v>5481</v>
      </c>
      <c r="AK555" s="2"/>
      <c r="AL555" s="2"/>
      <c r="AM555" s="2" t="s">
        <v>52</v>
      </c>
    </row>
    <row r="556" spans="1:39" x14ac:dyDescent="0.45">
      <c r="A556" s="2" t="s">
        <v>5482</v>
      </c>
      <c r="B556" s="2"/>
      <c r="C556" s="2" t="s">
        <v>5484</v>
      </c>
      <c r="D556" s="2" t="s">
        <v>5486</v>
      </c>
      <c r="E556" s="25"/>
      <c r="F556" s="21"/>
      <c r="G556" s="42" t="s">
        <v>28000</v>
      </c>
      <c r="H556" s="2" t="s">
        <v>50</v>
      </c>
      <c r="I556" s="2" t="s">
        <v>5489</v>
      </c>
      <c r="J556" s="2" t="s">
        <v>5483</v>
      </c>
      <c r="K556" s="2" t="s">
        <v>5485</v>
      </c>
      <c r="L556" s="2" t="s">
        <v>5487</v>
      </c>
      <c r="M556" s="2" t="s">
        <v>5487</v>
      </c>
      <c r="N556" s="2" t="s">
        <v>290</v>
      </c>
      <c r="O556" s="2" t="s">
        <v>278</v>
      </c>
      <c r="P556" s="2" t="s">
        <v>291</v>
      </c>
      <c r="Q556" s="2" t="s">
        <v>5485</v>
      </c>
      <c r="R556" s="2"/>
      <c r="S556" s="2"/>
      <c r="T556" s="2"/>
      <c r="U556" s="2" t="s">
        <v>290</v>
      </c>
      <c r="V556" s="2" t="s">
        <v>278</v>
      </c>
      <c r="W556" s="2" t="s">
        <v>291</v>
      </c>
      <c r="X556" s="2" t="s">
        <v>5488</v>
      </c>
      <c r="Y556" s="2" t="s">
        <v>44</v>
      </c>
      <c r="Z556" s="2"/>
      <c r="AA556" s="2" t="s">
        <v>821</v>
      </c>
      <c r="AB556" s="2" t="s">
        <v>46</v>
      </c>
      <c r="AC556" s="2" t="s">
        <v>821</v>
      </c>
      <c r="AE556" s="2" t="s">
        <v>48</v>
      </c>
      <c r="AF556" s="2" t="s">
        <v>49</v>
      </c>
      <c r="AG556" s="2">
        <v>100</v>
      </c>
      <c r="AH556" s="2">
        <v>87</v>
      </c>
      <c r="AJ556" s="2" t="s">
        <v>5490</v>
      </c>
      <c r="AK556" s="2"/>
      <c r="AL556" s="2"/>
      <c r="AM556" s="2" t="s">
        <v>52</v>
      </c>
    </row>
    <row r="557" spans="1:39" x14ac:dyDescent="0.45">
      <c r="A557" s="2" t="s">
        <v>5491</v>
      </c>
      <c r="B557" s="2"/>
      <c r="C557" s="2" t="s">
        <v>1383</v>
      </c>
      <c r="D557" s="2" t="s">
        <v>5494</v>
      </c>
      <c r="E557" s="25"/>
      <c r="F557" s="21"/>
      <c r="G557" s="42" t="s">
        <v>28000</v>
      </c>
      <c r="H557" s="2" t="s">
        <v>50</v>
      </c>
      <c r="I557" s="2" t="s">
        <v>5497</v>
      </c>
      <c r="J557" s="2" t="s">
        <v>5492</v>
      </c>
      <c r="K557" s="2" t="s">
        <v>5493</v>
      </c>
      <c r="L557" s="2" t="s">
        <v>5495</v>
      </c>
      <c r="M557" s="2" t="s">
        <v>5495</v>
      </c>
      <c r="N557" s="2" t="s">
        <v>72</v>
      </c>
      <c r="O557" s="2" t="s">
        <v>73</v>
      </c>
      <c r="P557" s="2" t="s">
        <v>373</v>
      </c>
      <c r="Q557" s="2" t="s">
        <v>5493</v>
      </c>
      <c r="R557" s="2"/>
      <c r="S557" s="2"/>
      <c r="T557" s="2"/>
      <c r="U557" s="2" t="s">
        <v>72</v>
      </c>
      <c r="V557" s="2" t="s">
        <v>73</v>
      </c>
      <c r="W557" s="2" t="s">
        <v>373</v>
      </c>
      <c r="X557" s="2" t="s">
        <v>5496</v>
      </c>
      <c r="Y557" s="2" t="s">
        <v>44</v>
      </c>
      <c r="Z557" s="2"/>
      <c r="AA557" s="2" t="s">
        <v>821</v>
      </c>
      <c r="AB557" s="2" t="s">
        <v>46</v>
      </c>
      <c r="AC557" s="2" t="s">
        <v>821</v>
      </c>
      <c r="AE557" s="2" t="s">
        <v>48</v>
      </c>
      <c r="AF557" s="2" t="s">
        <v>49</v>
      </c>
      <c r="AG557" s="2">
        <v>100</v>
      </c>
      <c r="AH557" s="2">
        <v>87</v>
      </c>
      <c r="AJ557" s="2" t="s">
        <v>5498</v>
      </c>
      <c r="AK557" s="2"/>
      <c r="AL557" s="2"/>
      <c r="AM557" s="2" t="s">
        <v>52</v>
      </c>
    </row>
    <row r="558" spans="1:39" x14ac:dyDescent="0.45">
      <c r="A558" s="2" t="s">
        <v>5499</v>
      </c>
      <c r="B558" s="2"/>
      <c r="C558" s="2" t="s">
        <v>5501</v>
      </c>
      <c r="D558" s="2" t="s">
        <v>5503</v>
      </c>
      <c r="E558" s="25"/>
      <c r="F558" s="21"/>
      <c r="G558" s="42" t="s">
        <v>28000</v>
      </c>
      <c r="H558" s="2" t="s">
        <v>50</v>
      </c>
      <c r="I558" s="2" t="s">
        <v>5505</v>
      </c>
      <c r="J558" s="2" t="s">
        <v>5500</v>
      </c>
      <c r="K558" s="2" t="s">
        <v>5502</v>
      </c>
      <c r="L558" s="2" t="s">
        <v>5504</v>
      </c>
      <c r="M558" s="2" t="s">
        <v>5504</v>
      </c>
      <c r="N558" s="2" t="s">
        <v>72</v>
      </c>
      <c r="O558" s="2" t="s">
        <v>73</v>
      </c>
      <c r="P558" s="2" t="s">
        <v>1568</v>
      </c>
      <c r="Q558" s="2" t="s">
        <v>5502</v>
      </c>
      <c r="R558" s="2"/>
      <c r="S558" s="2"/>
      <c r="T558" s="2"/>
      <c r="U558" s="2" t="s">
        <v>72</v>
      </c>
      <c r="V558" s="2" t="s">
        <v>73</v>
      </c>
      <c r="W558" s="2" t="s">
        <v>1568</v>
      </c>
      <c r="X558" s="2" t="s">
        <v>1419</v>
      </c>
      <c r="Y558" s="2" t="s">
        <v>44</v>
      </c>
      <c r="Z558" s="2"/>
      <c r="AA558" s="2" t="s">
        <v>821</v>
      </c>
      <c r="AB558" s="2" t="s">
        <v>46</v>
      </c>
      <c r="AC558" s="2" t="s">
        <v>821</v>
      </c>
      <c r="AE558" s="2" t="s">
        <v>48</v>
      </c>
      <c r="AF558" s="2" t="s">
        <v>49</v>
      </c>
      <c r="AG558" s="2">
        <v>100</v>
      </c>
      <c r="AH558" s="2">
        <v>87</v>
      </c>
      <c r="AJ558" s="2" t="s">
        <v>5506</v>
      </c>
      <c r="AK558" s="2"/>
      <c r="AL558" s="2"/>
      <c r="AM558" s="2" t="s">
        <v>52</v>
      </c>
    </row>
    <row r="559" spans="1:39" x14ac:dyDescent="0.45">
      <c r="A559" s="2" t="s">
        <v>5507</v>
      </c>
      <c r="B559" s="2"/>
      <c r="C559" s="2" t="s">
        <v>5509</v>
      </c>
      <c r="D559" s="2" t="s">
        <v>5511</v>
      </c>
      <c r="E559" s="25"/>
      <c r="F559" s="21"/>
      <c r="G559" s="42" t="s">
        <v>28000</v>
      </c>
      <c r="H559" s="2" t="s">
        <v>50</v>
      </c>
      <c r="I559" s="2" t="s">
        <v>5514</v>
      </c>
      <c r="J559" s="2" t="s">
        <v>5508</v>
      </c>
      <c r="K559" s="2" t="s">
        <v>5510</v>
      </c>
      <c r="L559" s="2" t="s">
        <v>5512</v>
      </c>
      <c r="M559" s="2" t="s">
        <v>5512</v>
      </c>
      <c r="N559" s="2" t="s">
        <v>59</v>
      </c>
      <c r="O559" s="2" t="s">
        <v>60</v>
      </c>
      <c r="P559" s="2" t="s">
        <v>5513</v>
      </c>
      <c r="Q559" s="2" t="s">
        <v>5510</v>
      </c>
      <c r="R559" s="2"/>
      <c r="S559" s="2"/>
      <c r="T559" s="2"/>
      <c r="U559" s="2" t="s">
        <v>59</v>
      </c>
      <c r="V559" s="2" t="s">
        <v>60</v>
      </c>
      <c r="W559" s="2" t="s">
        <v>5513</v>
      </c>
      <c r="X559" s="2" t="s">
        <v>1419</v>
      </c>
      <c r="Y559" s="2" t="s">
        <v>44</v>
      </c>
      <c r="Z559" s="2"/>
      <c r="AA559" s="2" t="s">
        <v>821</v>
      </c>
      <c r="AB559" s="2" t="s">
        <v>46</v>
      </c>
      <c r="AC559" s="2" t="s">
        <v>821</v>
      </c>
      <c r="AE559" s="2" t="s">
        <v>48</v>
      </c>
      <c r="AF559" s="2" t="s">
        <v>49</v>
      </c>
      <c r="AG559" s="2">
        <v>100</v>
      </c>
      <c r="AH559" s="2">
        <v>87</v>
      </c>
      <c r="AJ559" s="2" t="s">
        <v>5515</v>
      </c>
      <c r="AK559" s="2"/>
      <c r="AL559" s="2"/>
      <c r="AM559" s="2" t="s">
        <v>52</v>
      </c>
    </row>
    <row r="560" spans="1:39" x14ac:dyDescent="0.45">
      <c r="A560" s="2" t="s">
        <v>5516</v>
      </c>
      <c r="B560" s="2"/>
      <c r="C560" s="2" t="s">
        <v>5518</v>
      </c>
      <c r="D560" s="2" t="s">
        <v>5520</v>
      </c>
      <c r="E560" s="25"/>
      <c r="F560" s="21"/>
      <c r="G560" s="42" t="s">
        <v>28000</v>
      </c>
      <c r="H560" s="2" t="s">
        <v>50</v>
      </c>
      <c r="I560" s="2" t="s">
        <v>5522</v>
      </c>
      <c r="J560" s="2" t="s">
        <v>5517</v>
      </c>
      <c r="K560" s="2" t="s">
        <v>5519</v>
      </c>
      <c r="L560" s="2" t="s">
        <v>5521</v>
      </c>
      <c r="M560" s="2" t="s">
        <v>5521</v>
      </c>
      <c r="N560" s="2" t="s">
        <v>59</v>
      </c>
      <c r="O560" s="2" t="s">
        <v>60</v>
      </c>
      <c r="P560" s="2" t="s">
        <v>4338</v>
      </c>
      <c r="Q560" s="2" t="s">
        <v>5519</v>
      </c>
      <c r="R560" s="2"/>
      <c r="S560" s="2"/>
      <c r="T560" s="2"/>
      <c r="U560" s="2" t="s">
        <v>59</v>
      </c>
      <c r="V560" s="2" t="s">
        <v>60</v>
      </c>
      <c r="W560" s="2" t="s">
        <v>4338</v>
      </c>
      <c r="X560" s="2" t="s">
        <v>4876</v>
      </c>
      <c r="Y560" s="2" t="s">
        <v>44</v>
      </c>
      <c r="Z560" s="2"/>
      <c r="AA560" s="2" t="s">
        <v>821</v>
      </c>
      <c r="AB560" s="2" t="s">
        <v>46</v>
      </c>
      <c r="AC560" s="2" t="s">
        <v>821</v>
      </c>
      <c r="AE560" s="2" t="s">
        <v>48</v>
      </c>
      <c r="AF560" s="2" t="s">
        <v>49</v>
      </c>
      <c r="AG560" s="2">
        <v>100</v>
      </c>
      <c r="AH560" s="2">
        <v>87</v>
      </c>
      <c r="AJ560" s="2" t="s">
        <v>5523</v>
      </c>
      <c r="AK560" s="2"/>
      <c r="AL560" s="2"/>
      <c r="AM560" s="2" t="s">
        <v>52</v>
      </c>
    </row>
    <row r="561" spans="1:39" x14ac:dyDescent="0.45">
      <c r="A561" s="2" t="s">
        <v>5524</v>
      </c>
      <c r="B561" s="2"/>
      <c r="C561" s="2" t="s">
        <v>5526</v>
      </c>
      <c r="D561" s="2" t="s">
        <v>5528</v>
      </c>
      <c r="E561" s="25"/>
      <c r="F561" s="21"/>
      <c r="G561" s="42" t="s">
        <v>28000</v>
      </c>
      <c r="H561" s="2" t="s">
        <v>50</v>
      </c>
      <c r="I561" s="2" t="s">
        <v>5530</v>
      </c>
      <c r="J561" s="2" t="s">
        <v>5525</v>
      </c>
      <c r="K561" s="2" t="s">
        <v>5527</v>
      </c>
      <c r="L561" s="2" t="s">
        <v>5529</v>
      </c>
      <c r="M561" s="2" t="s">
        <v>5529</v>
      </c>
      <c r="N561" s="2" t="s">
        <v>59</v>
      </c>
      <c r="O561" s="2" t="s">
        <v>60</v>
      </c>
      <c r="P561" s="2" t="s">
        <v>3167</v>
      </c>
      <c r="Q561" s="2" t="s">
        <v>5527</v>
      </c>
      <c r="R561" s="2"/>
      <c r="S561" s="2"/>
      <c r="T561" s="2"/>
      <c r="U561" s="2" t="s">
        <v>59</v>
      </c>
      <c r="V561" s="2" t="s">
        <v>60</v>
      </c>
      <c r="W561" s="2" t="s">
        <v>3167</v>
      </c>
      <c r="X561" s="2" t="s">
        <v>1082</v>
      </c>
      <c r="Y561" s="2" t="s">
        <v>44</v>
      </c>
      <c r="Z561" s="2"/>
      <c r="AA561" s="2" t="s">
        <v>821</v>
      </c>
      <c r="AB561" s="2" t="s">
        <v>46</v>
      </c>
      <c r="AC561" s="2" t="s">
        <v>821</v>
      </c>
      <c r="AE561" s="2" t="s">
        <v>48</v>
      </c>
      <c r="AF561" s="2" t="s">
        <v>49</v>
      </c>
      <c r="AG561" s="2">
        <v>100</v>
      </c>
      <c r="AH561" s="2">
        <v>87</v>
      </c>
      <c r="AJ561" s="2" t="s">
        <v>5531</v>
      </c>
      <c r="AK561" s="2"/>
      <c r="AL561" s="2"/>
      <c r="AM561" s="2" t="s">
        <v>52</v>
      </c>
    </row>
    <row r="562" spans="1:39" x14ac:dyDescent="0.45">
      <c r="A562" s="2" t="s">
        <v>5532</v>
      </c>
      <c r="B562" s="2"/>
      <c r="C562" s="2" t="s">
        <v>5534</v>
      </c>
      <c r="D562" s="2" t="s">
        <v>5536</v>
      </c>
      <c r="E562" s="25"/>
      <c r="F562" s="21"/>
      <c r="G562" s="42" t="s">
        <v>28000</v>
      </c>
      <c r="H562" s="2" t="s">
        <v>50</v>
      </c>
      <c r="I562" s="2" t="s">
        <v>5539</v>
      </c>
      <c r="J562" s="2" t="s">
        <v>5533</v>
      </c>
      <c r="K562" s="2" t="s">
        <v>5535</v>
      </c>
      <c r="L562" s="2" t="s">
        <v>5537</v>
      </c>
      <c r="M562" s="2" t="s">
        <v>5537</v>
      </c>
      <c r="N562" s="2" t="s">
        <v>72</v>
      </c>
      <c r="O562" s="2" t="s">
        <v>73</v>
      </c>
      <c r="P562" s="2" t="s">
        <v>162</v>
      </c>
      <c r="Q562" s="2" t="s">
        <v>5535</v>
      </c>
      <c r="R562" s="2"/>
      <c r="S562" s="2"/>
      <c r="T562" s="2"/>
      <c r="U562" s="2" t="s">
        <v>72</v>
      </c>
      <c r="V562" s="2" t="s">
        <v>73</v>
      </c>
      <c r="W562" s="2" t="s">
        <v>162</v>
      </c>
      <c r="X562" s="2" t="s">
        <v>5538</v>
      </c>
      <c r="Y562" s="2" t="s">
        <v>44</v>
      </c>
      <c r="Z562" s="2"/>
      <c r="AA562" s="2" t="s">
        <v>821</v>
      </c>
      <c r="AB562" s="2" t="s">
        <v>46</v>
      </c>
      <c r="AC562" s="2" t="s">
        <v>821</v>
      </c>
      <c r="AE562" s="2" t="s">
        <v>48</v>
      </c>
      <c r="AF562" s="2" t="s">
        <v>49</v>
      </c>
      <c r="AG562" s="2">
        <v>100</v>
      </c>
      <c r="AH562" s="2">
        <v>87</v>
      </c>
      <c r="AJ562" s="2" t="s">
        <v>5540</v>
      </c>
      <c r="AK562" s="2"/>
      <c r="AL562" s="2"/>
      <c r="AM562" s="2" t="s">
        <v>52</v>
      </c>
    </row>
    <row r="563" spans="1:39" x14ac:dyDescent="0.45">
      <c r="A563" s="2" t="s">
        <v>5541</v>
      </c>
      <c r="B563" s="2"/>
      <c r="C563" s="2" t="s">
        <v>5543</v>
      </c>
      <c r="D563" s="2" t="s">
        <v>5545</v>
      </c>
      <c r="E563" s="25"/>
      <c r="F563" s="21"/>
      <c r="G563" s="42" t="s">
        <v>28000</v>
      </c>
      <c r="H563" s="2" t="s">
        <v>50</v>
      </c>
      <c r="I563" s="2" t="s">
        <v>5549</v>
      </c>
      <c r="J563" s="2" t="s">
        <v>5542</v>
      </c>
      <c r="K563" s="2" t="s">
        <v>5544</v>
      </c>
      <c r="L563" s="2" t="s">
        <v>5546</v>
      </c>
      <c r="M563" s="2" t="s">
        <v>5546</v>
      </c>
      <c r="N563" s="2" t="s">
        <v>59</v>
      </c>
      <c r="O563" s="2" t="s">
        <v>60</v>
      </c>
      <c r="P563" s="2" t="s">
        <v>5547</v>
      </c>
      <c r="Q563" s="2"/>
      <c r="R563" s="2"/>
      <c r="S563" s="2"/>
      <c r="T563" s="2"/>
      <c r="U563" s="2"/>
      <c r="V563" s="2"/>
      <c r="W563" s="2"/>
      <c r="X563" s="2" t="s">
        <v>5548</v>
      </c>
      <c r="Y563" s="2" t="s">
        <v>44</v>
      </c>
      <c r="Z563" s="2"/>
      <c r="AA563" s="2" t="s">
        <v>821</v>
      </c>
      <c r="AB563" s="2" t="s">
        <v>46</v>
      </c>
      <c r="AC563" s="2" t="s">
        <v>821</v>
      </c>
      <c r="AE563" s="2" t="s">
        <v>48</v>
      </c>
      <c r="AF563" s="2" t="s">
        <v>49</v>
      </c>
      <c r="AG563" s="2">
        <v>100</v>
      </c>
      <c r="AH563" s="2">
        <v>87</v>
      </c>
      <c r="AJ563" s="2" t="s">
        <v>5550</v>
      </c>
      <c r="AK563" s="2"/>
      <c r="AL563" s="2"/>
      <c r="AM563" s="2" t="s">
        <v>52</v>
      </c>
    </row>
    <row r="564" spans="1:39" x14ac:dyDescent="0.45">
      <c r="A564" s="2" t="s">
        <v>5551</v>
      </c>
      <c r="B564" s="2"/>
      <c r="C564" s="2" t="s">
        <v>5553</v>
      </c>
      <c r="D564" s="2" t="s">
        <v>5555</v>
      </c>
      <c r="E564" s="25"/>
      <c r="F564" s="21"/>
      <c r="G564" s="42" t="s">
        <v>28000</v>
      </c>
      <c r="H564" s="2" t="s">
        <v>50</v>
      </c>
      <c r="I564" s="2" t="s">
        <v>5558</v>
      </c>
      <c r="J564" s="2" t="s">
        <v>5552</v>
      </c>
      <c r="K564" s="2" t="s">
        <v>5554</v>
      </c>
      <c r="L564" s="2" t="s">
        <v>5556</v>
      </c>
      <c r="M564" s="2" t="s">
        <v>5556</v>
      </c>
      <c r="N564" s="2" t="s">
        <v>384</v>
      </c>
      <c r="O564" s="2" t="s">
        <v>73</v>
      </c>
      <c r="P564" s="2" t="s">
        <v>832</v>
      </c>
      <c r="Q564" s="2" t="s">
        <v>5554</v>
      </c>
      <c r="R564" s="2"/>
      <c r="S564" s="2"/>
      <c r="T564" s="2"/>
      <c r="U564" s="2" t="s">
        <v>384</v>
      </c>
      <c r="V564" s="2" t="s">
        <v>73</v>
      </c>
      <c r="W564" s="2" t="s">
        <v>832</v>
      </c>
      <c r="X564" s="2" t="s">
        <v>5557</v>
      </c>
      <c r="Y564" s="2" t="s">
        <v>44</v>
      </c>
      <c r="Z564" s="2"/>
      <c r="AA564" s="2" t="s">
        <v>821</v>
      </c>
      <c r="AB564" s="2" t="s">
        <v>46</v>
      </c>
      <c r="AC564" s="2" t="s">
        <v>821</v>
      </c>
      <c r="AE564" s="2" t="s">
        <v>48</v>
      </c>
      <c r="AF564" s="2" t="s">
        <v>49</v>
      </c>
      <c r="AG564" s="2">
        <v>100</v>
      </c>
      <c r="AH564" s="2">
        <v>87</v>
      </c>
      <c r="AJ564" s="2" t="s">
        <v>5559</v>
      </c>
      <c r="AK564" s="2"/>
      <c r="AL564" s="2"/>
      <c r="AM564" s="2" t="s">
        <v>52</v>
      </c>
    </row>
    <row r="565" spans="1:39" x14ac:dyDescent="0.45">
      <c r="A565" s="2" t="s">
        <v>5560</v>
      </c>
      <c r="B565" s="2"/>
      <c r="C565" s="2" t="s">
        <v>5562</v>
      </c>
      <c r="D565" s="2" t="s">
        <v>5564</v>
      </c>
      <c r="E565" s="25"/>
      <c r="F565" s="21"/>
      <c r="G565" s="42" t="s">
        <v>28000</v>
      </c>
      <c r="H565" s="2" t="s">
        <v>50</v>
      </c>
      <c r="I565" s="2" t="s">
        <v>5567</v>
      </c>
      <c r="J565" s="2" t="s">
        <v>5561</v>
      </c>
      <c r="K565" s="2" t="s">
        <v>5563</v>
      </c>
      <c r="L565" s="2" t="s">
        <v>5565</v>
      </c>
      <c r="M565" s="2" t="s">
        <v>5565</v>
      </c>
      <c r="N565" s="2" t="s">
        <v>59</v>
      </c>
      <c r="O565" s="2" t="s">
        <v>60</v>
      </c>
      <c r="P565" s="2" t="s">
        <v>992</v>
      </c>
      <c r="Q565" s="2" t="s">
        <v>5563</v>
      </c>
      <c r="R565" s="2"/>
      <c r="S565" s="2"/>
      <c r="T565" s="2"/>
      <c r="U565" s="2" t="s">
        <v>59</v>
      </c>
      <c r="V565" s="2" t="s">
        <v>60</v>
      </c>
      <c r="W565" s="2" t="s">
        <v>992</v>
      </c>
      <c r="X565" s="2" t="s">
        <v>5566</v>
      </c>
      <c r="Y565" s="2" t="s">
        <v>44</v>
      </c>
      <c r="Z565" s="2"/>
      <c r="AA565" s="2" t="s">
        <v>821</v>
      </c>
      <c r="AB565" s="2" t="s">
        <v>46</v>
      </c>
      <c r="AC565" s="2" t="s">
        <v>821</v>
      </c>
      <c r="AE565" s="2" t="s">
        <v>48</v>
      </c>
      <c r="AF565" s="2" t="s">
        <v>49</v>
      </c>
      <c r="AG565" s="2">
        <v>100</v>
      </c>
      <c r="AH565" s="2">
        <v>87</v>
      </c>
      <c r="AJ565" s="2" t="s">
        <v>5568</v>
      </c>
      <c r="AK565" s="2"/>
      <c r="AL565" s="2"/>
      <c r="AM565" s="2" t="s">
        <v>52</v>
      </c>
    </row>
    <row r="566" spans="1:39" x14ac:dyDescent="0.45">
      <c r="A566" s="2" t="s">
        <v>5569</v>
      </c>
      <c r="B566" s="2"/>
      <c r="C566" s="2" t="s">
        <v>5571</v>
      </c>
      <c r="D566" s="2" t="s">
        <v>5573</v>
      </c>
      <c r="E566" s="25"/>
      <c r="F566" s="21"/>
      <c r="G566" s="42" t="s">
        <v>28000</v>
      </c>
      <c r="H566" s="2" t="s">
        <v>50</v>
      </c>
      <c r="I566" s="2" t="s">
        <v>5576</v>
      </c>
      <c r="J566" s="2" t="s">
        <v>5570</v>
      </c>
      <c r="K566" s="2" t="s">
        <v>5572</v>
      </c>
      <c r="L566" s="2" t="s">
        <v>5574</v>
      </c>
      <c r="M566" s="2" t="s">
        <v>5574</v>
      </c>
      <c r="N566" s="2" t="s">
        <v>651</v>
      </c>
      <c r="O566" s="2" t="s">
        <v>86</v>
      </c>
      <c r="P566" s="2" t="s">
        <v>579</v>
      </c>
      <c r="Q566" s="2"/>
      <c r="R566" s="2"/>
      <c r="S566" s="2"/>
      <c r="T566" s="2"/>
      <c r="U566" s="2"/>
      <c r="V566" s="2"/>
      <c r="W566" s="2"/>
      <c r="X566" s="2" t="s">
        <v>5575</v>
      </c>
      <c r="Y566" s="2" t="s">
        <v>44</v>
      </c>
      <c r="Z566" s="2"/>
      <c r="AA566" s="2" t="s">
        <v>821</v>
      </c>
      <c r="AB566" s="2" t="s">
        <v>46</v>
      </c>
      <c r="AC566" s="2" t="s">
        <v>821</v>
      </c>
      <c r="AE566" s="2" t="s">
        <v>48</v>
      </c>
      <c r="AF566" s="2" t="s">
        <v>49</v>
      </c>
      <c r="AG566" s="2">
        <v>100</v>
      </c>
      <c r="AH566" s="2">
        <v>87</v>
      </c>
      <c r="AJ566" s="2" t="s">
        <v>5577</v>
      </c>
      <c r="AK566" s="2"/>
      <c r="AL566" s="2"/>
      <c r="AM566" s="2" t="s">
        <v>52</v>
      </c>
    </row>
    <row r="567" spans="1:39" x14ac:dyDescent="0.45">
      <c r="A567" s="2" t="s">
        <v>5578</v>
      </c>
      <c r="B567" s="2"/>
      <c r="C567" s="2" t="s">
        <v>5580</v>
      </c>
      <c r="D567" s="2" t="s">
        <v>5582</v>
      </c>
      <c r="E567" s="25"/>
      <c r="F567" s="21"/>
      <c r="G567" s="42" t="s">
        <v>28000</v>
      </c>
      <c r="H567" s="2" t="s">
        <v>50</v>
      </c>
      <c r="I567" s="2" t="s">
        <v>5586</v>
      </c>
      <c r="J567" s="2" t="s">
        <v>5579</v>
      </c>
      <c r="K567" s="2" t="s">
        <v>5581</v>
      </c>
      <c r="L567" s="2" t="s">
        <v>5583</v>
      </c>
      <c r="M567" s="2" t="s">
        <v>5583</v>
      </c>
      <c r="N567" s="2" t="s">
        <v>59</v>
      </c>
      <c r="O567" s="2" t="s">
        <v>60</v>
      </c>
      <c r="P567" s="2" t="s">
        <v>5584</v>
      </c>
      <c r="Q567" s="2"/>
      <c r="R567" s="2"/>
      <c r="S567" s="2"/>
      <c r="T567" s="2"/>
      <c r="U567" s="2"/>
      <c r="V567" s="2"/>
      <c r="W567" s="2"/>
      <c r="X567" s="2" t="s">
        <v>5585</v>
      </c>
      <c r="Y567" s="2" t="s">
        <v>44</v>
      </c>
      <c r="Z567" s="2"/>
      <c r="AA567" s="2" t="s">
        <v>821</v>
      </c>
      <c r="AB567" s="2" t="s">
        <v>46</v>
      </c>
      <c r="AC567" s="2" t="s">
        <v>821</v>
      </c>
      <c r="AE567" s="2" t="s">
        <v>48</v>
      </c>
      <c r="AF567" s="2" t="s">
        <v>49</v>
      </c>
      <c r="AG567" s="2">
        <v>100</v>
      </c>
      <c r="AH567" s="2">
        <v>87</v>
      </c>
      <c r="AJ567" s="2" t="s">
        <v>5587</v>
      </c>
      <c r="AK567" s="2"/>
      <c r="AL567" s="2"/>
      <c r="AM567" s="2" t="s">
        <v>52</v>
      </c>
    </row>
    <row r="568" spans="1:39" x14ac:dyDescent="0.45">
      <c r="A568" s="2" t="s">
        <v>5588</v>
      </c>
      <c r="B568" s="2"/>
      <c r="C568" s="2" t="s">
        <v>5590</v>
      </c>
      <c r="D568" s="2" t="s">
        <v>5592</v>
      </c>
      <c r="E568" s="25"/>
      <c r="F568" s="21"/>
      <c r="G568" s="42" t="s">
        <v>28000</v>
      </c>
      <c r="H568" s="2" t="s">
        <v>50</v>
      </c>
      <c r="I568" s="2" t="s">
        <v>5595</v>
      </c>
      <c r="J568" s="2" t="s">
        <v>5589</v>
      </c>
      <c r="K568" s="2" t="s">
        <v>5591</v>
      </c>
      <c r="L568" s="2" t="s">
        <v>5593</v>
      </c>
      <c r="M568" s="2" t="s">
        <v>5593</v>
      </c>
      <c r="N568" s="2" t="s">
        <v>72</v>
      </c>
      <c r="O568" s="2" t="s">
        <v>73</v>
      </c>
      <c r="P568" s="2" t="s">
        <v>1295</v>
      </c>
      <c r="Q568" s="2"/>
      <c r="R568" s="2"/>
      <c r="S568" s="2"/>
      <c r="T568" s="2"/>
      <c r="U568" s="2"/>
      <c r="V568" s="2"/>
      <c r="W568" s="2"/>
      <c r="X568" s="2" t="s">
        <v>5594</v>
      </c>
      <c r="Y568" s="2" t="s">
        <v>44</v>
      </c>
      <c r="Z568" s="2"/>
      <c r="AA568" s="2" t="s">
        <v>821</v>
      </c>
      <c r="AB568" s="2" t="s">
        <v>46</v>
      </c>
      <c r="AC568" s="2" t="s">
        <v>821</v>
      </c>
      <c r="AE568" s="2" t="s">
        <v>48</v>
      </c>
      <c r="AF568" s="2" t="s">
        <v>49</v>
      </c>
      <c r="AG568" s="2">
        <v>100</v>
      </c>
      <c r="AH568" s="2">
        <v>87</v>
      </c>
      <c r="AJ568" s="2" t="s">
        <v>5596</v>
      </c>
      <c r="AK568" s="2"/>
      <c r="AL568" s="2"/>
      <c r="AM568" s="2" t="s">
        <v>52</v>
      </c>
    </row>
    <row r="569" spans="1:39" x14ac:dyDescent="0.45">
      <c r="A569" s="2" t="s">
        <v>5597</v>
      </c>
      <c r="B569" s="2"/>
      <c r="C569" s="2" t="s">
        <v>5599</v>
      </c>
      <c r="D569" s="2" t="s">
        <v>5601</v>
      </c>
      <c r="E569" s="25"/>
      <c r="F569" s="21"/>
      <c r="G569" s="42" t="s">
        <v>28000</v>
      </c>
      <c r="H569" s="2" t="s">
        <v>50</v>
      </c>
      <c r="I569" s="2" t="s">
        <v>5604</v>
      </c>
      <c r="J569" s="2" t="s">
        <v>5598</v>
      </c>
      <c r="K569" s="2" t="s">
        <v>5600</v>
      </c>
      <c r="L569" s="2" t="s">
        <v>5602</v>
      </c>
      <c r="M569" s="2" t="s">
        <v>5602</v>
      </c>
      <c r="N569" s="2" t="s">
        <v>59</v>
      </c>
      <c r="O569" s="2" t="s">
        <v>60</v>
      </c>
      <c r="P569" s="2" t="s">
        <v>5603</v>
      </c>
      <c r="Q569" s="2"/>
      <c r="R569" s="2"/>
      <c r="S569" s="2"/>
      <c r="T569" s="2"/>
      <c r="U569" s="2"/>
      <c r="V569" s="2"/>
      <c r="W569" s="2"/>
      <c r="X569" s="2" t="s">
        <v>5594</v>
      </c>
      <c r="Y569" s="2" t="s">
        <v>44</v>
      </c>
      <c r="Z569" s="2"/>
      <c r="AA569" s="2" t="s">
        <v>821</v>
      </c>
      <c r="AB569" s="2" t="s">
        <v>46</v>
      </c>
      <c r="AC569" s="2" t="s">
        <v>821</v>
      </c>
      <c r="AE569" s="2" t="s">
        <v>48</v>
      </c>
      <c r="AF569" s="2" t="s">
        <v>49</v>
      </c>
      <c r="AG569" s="2">
        <v>100</v>
      </c>
      <c r="AH569" s="2">
        <v>87</v>
      </c>
      <c r="AJ569" s="2" t="s">
        <v>5605</v>
      </c>
      <c r="AK569" s="2"/>
      <c r="AL569" s="2"/>
      <c r="AM569" s="2" t="s">
        <v>52</v>
      </c>
    </row>
    <row r="570" spans="1:39" x14ac:dyDescent="0.45">
      <c r="A570" s="2" t="s">
        <v>5606</v>
      </c>
      <c r="B570" s="2"/>
      <c r="C570" s="2" t="s">
        <v>5608</v>
      </c>
      <c r="D570" s="2" t="s">
        <v>5610</v>
      </c>
      <c r="E570" s="25"/>
      <c r="F570" s="21"/>
      <c r="G570" s="42" t="s">
        <v>28000</v>
      </c>
      <c r="H570" s="2" t="s">
        <v>50</v>
      </c>
      <c r="I570" s="2" t="s">
        <v>5613</v>
      </c>
      <c r="J570" s="2" t="s">
        <v>5607</v>
      </c>
      <c r="K570" s="2" t="s">
        <v>5609</v>
      </c>
      <c r="L570" s="2" t="s">
        <v>5611</v>
      </c>
      <c r="M570" s="2" t="s">
        <v>5611</v>
      </c>
      <c r="N570" s="2" t="s">
        <v>1188</v>
      </c>
      <c r="O570" s="2" t="s">
        <v>221</v>
      </c>
      <c r="P570" s="2" t="s">
        <v>5612</v>
      </c>
      <c r="Q570" s="2"/>
      <c r="R570" s="2"/>
      <c r="S570" s="2"/>
      <c r="T570" s="2"/>
      <c r="U570" s="2"/>
      <c r="V570" s="2"/>
      <c r="W570" s="2"/>
      <c r="X570" s="2" t="s">
        <v>5594</v>
      </c>
      <c r="Y570" s="2" t="s">
        <v>44</v>
      </c>
      <c r="Z570" s="2"/>
      <c r="AA570" s="2" t="s">
        <v>821</v>
      </c>
      <c r="AB570" s="2" t="s">
        <v>46</v>
      </c>
      <c r="AC570" s="2" t="s">
        <v>821</v>
      </c>
      <c r="AE570" s="2" t="s">
        <v>48</v>
      </c>
      <c r="AF570" s="2" t="s">
        <v>49</v>
      </c>
      <c r="AG570" s="2">
        <v>100</v>
      </c>
      <c r="AH570" s="2">
        <v>87</v>
      </c>
      <c r="AJ570" s="2" t="s">
        <v>5614</v>
      </c>
      <c r="AK570" s="2"/>
      <c r="AL570" s="2"/>
      <c r="AM570" s="2" t="s">
        <v>52</v>
      </c>
    </row>
    <row r="571" spans="1:39" x14ac:dyDescent="0.45">
      <c r="A571" s="2" t="s">
        <v>5615</v>
      </c>
      <c r="B571" s="2"/>
      <c r="C571" s="2" t="s">
        <v>5617</v>
      </c>
      <c r="D571" s="2" t="s">
        <v>5619</v>
      </c>
      <c r="E571" s="25"/>
      <c r="F571" s="21"/>
      <c r="G571" s="42" t="s">
        <v>28000</v>
      </c>
      <c r="H571" s="2" t="s">
        <v>50</v>
      </c>
      <c r="I571" s="2" t="s">
        <v>5625</v>
      </c>
      <c r="J571" s="2" t="s">
        <v>5616</v>
      </c>
      <c r="K571" s="2" t="s">
        <v>5618</v>
      </c>
      <c r="L571" s="2" t="s">
        <v>5620</v>
      </c>
      <c r="M571" s="2" t="s">
        <v>5620</v>
      </c>
      <c r="N571" s="2" t="s">
        <v>39</v>
      </c>
      <c r="O571" s="2" t="s">
        <v>40</v>
      </c>
      <c r="P571" s="2" t="s">
        <v>5621</v>
      </c>
      <c r="Q571" s="2" t="s">
        <v>5622</v>
      </c>
      <c r="R571" s="2"/>
      <c r="S571" s="2"/>
      <c r="T571" s="2"/>
      <c r="U571" s="2" t="s">
        <v>5623</v>
      </c>
      <c r="V571" s="2" t="s">
        <v>40</v>
      </c>
      <c r="W571" s="2" t="s">
        <v>5624</v>
      </c>
      <c r="X571" s="2" t="s">
        <v>5594</v>
      </c>
      <c r="Y571" s="2" t="s">
        <v>44</v>
      </c>
      <c r="Z571" s="2"/>
      <c r="AA571" s="2" t="s">
        <v>821</v>
      </c>
      <c r="AB571" s="2" t="s">
        <v>46</v>
      </c>
      <c r="AC571" s="2" t="s">
        <v>821</v>
      </c>
      <c r="AE571" s="2" t="s">
        <v>48</v>
      </c>
      <c r="AF571" s="2" t="s">
        <v>49</v>
      </c>
      <c r="AG571" s="2">
        <v>100</v>
      </c>
      <c r="AH571" s="2">
        <v>87</v>
      </c>
      <c r="AJ571" s="2" t="s">
        <v>5626</v>
      </c>
      <c r="AK571" s="2"/>
      <c r="AL571" s="2"/>
      <c r="AM571" s="2" t="s">
        <v>52</v>
      </c>
    </row>
    <row r="572" spans="1:39" x14ac:dyDescent="0.45">
      <c r="A572" s="2" t="s">
        <v>5627</v>
      </c>
      <c r="B572" s="2"/>
      <c r="C572" s="2" t="s">
        <v>5629</v>
      </c>
      <c r="D572" s="2" t="s">
        <v>5631</v>
      </c>
      <c r="E572" s="25"/>
      <c r="F572" s="21"/>
      <c r="G572" s="42" t="s">
        <v>28000</v>
      </c>
      <c r="H572" s="2" t="s">
        <v>50</v>
      </c>
      <c r="I572" s="2" t="s">
        <v>5634</v>
      </c>
      <c r="J572" s="2" t="s">
        <v>5628</v>
      </c>
      <c r="K572" s="2" t="s">
        <v>5630</v>
      </c>
      <c r="L572" s="2" t="s">
        <v>5632</v>
      </c>
      <c r="M572" s="2" t="s">
        <v>5632</v>
      </c>
      <c r="N572" s="2" t="s">
        <v>536</v>
      </c>
      <c r="O572" s="2" t="s">
        <v>537</v>
      </c>
      <c r="P572" s="2" t="s">
        <v>5633</v>
      </c>
      <c r="Q572" s="2" t="s">
        <v>5630</v>
      </c>
      <c r="R572" s="2"/>
      <c r="S572" s="2"/>
      <c r="T572" s="2"/>
      <c r="U572" s="2" t="s">
        <v>536</v>
      </c>
      <c r="V572" s="2" t="s">
        <v>537</v>
      </c>
      <c r="W572" s="2" t="s">
        <v>5633</v>
      </c>
      <c r="X572" s="2" t="s">
        <v>3777</v>
      </c>
      <c r="Y572" s="2" t="s">
        <v>44</v>
      </c>
      <c r="Z572" s="2"/>
      <c r="AA572" s="2" t="s">
        <v>821</v>
      </c>
      <c r="AB572" s="2" t="s">
        <v>46</v>
      </c>
      <c r="AC572" s="2" t="s">
        <v>821</v>
      </c>
      <c r="AE572" s="2" t="s">
        <v>48</v>
      </c>
      <c r="AF572" s="2" t="s">
        <v>49</v>
      </c>
      <c r="AG572" s="2">
        <v>100</v>
      </c>
      <c r="AH572" s="2">
        <v>87</v>
      </c>
      <c r="AJ572" s="2" t="s">
        <v>5635</v>
      </c>
      <c r="AK572" s="2"/>
      <c r="AL572" s="2"/>
      <c r="AM572" s="2" t="s">
        <v>52</v>
      </c>
    </row>
    <row r="573" spans="1:39" x14ac:dyDescent="0.45">
      <c r="A573" s="2" t="s">
        <v>5636</v>
      </c>
      <c r="B573" s="2"/>
      <c r="C573" s="2" t="s">
        <v>5638</v>
      </c>
      <c r="D573" s="2" t="s">
        <v>5640</v>
      </c>
      <c r="E573" s="25"/>
      <c r="F573" s="21"/>
      <c r="G573" s="42" t="s">
        <v>28000</v>
      </c>
      <c r="H573" s="2" t="s">
        <v>50</v>
      </c>
      <c r="I573" s="2" t="s">
        <v>5643</v>
      </c>
      <c r="J573" s="2" t="s">
        <v>5637</v>
      </c>
      <c r="K573" s="2" t="s">
        <v>5639</v>
      </c>
      <c r="L573" s="2" t="s">
        <v>5641</v>
      </c>
      <c r="M573" s="2" t="s">
        <v>5641</v>
      </c>
      <c r="N573" s="2" t="s">
        <v>384</v>
      </c>
      <c r="O573" s="2" t="s">
        <v>73</v>
      </c>
      <c r="P573" s="2" t="s">
        <v>5642</v>
      </c>
      <c r="Q573" s="2"/>
      <c r="R573" s="2"/>
      <c r="S573" s="2"/>
      <c r="T573" s="2"/>
      <c r="U573" s="2"/>
      <c r="V573" s="2"/>
      <c r="W573" s="2"/>
      <c r="X573" s="2" t="s">
        <v>3777</v>
      </c>
      <c r="Y573" s="2" t="s">
        <v>44</v>
      </c>
      <c r="Z573" s="2"/>
      <c r="AA573" s="2" t="s">
        <v>821</v>
      </c>
      <c r="AB573" s="2" t="s">
        <v>46</v>
      </c>
      <c r="AC573" s="2" t="s">
        <v>821</v>
      </c>
      <c r="AE573" s="2" t="s">
        <v>48</v>
      </c>
      <c r="AF573" s="2" t="s">
        <v>49</v>
      </c>
      <c r="AG573" s="2">
        <v>100</v>
      </c>
      <c r="AH573" s="2">
        <v>87</v>
      </c>
      <c r="AJ573" s="2" t="s">
        <v>5644</v>
      </c>
      <c r="AK573" s="2"/>
      <c r="AL573" s="2"/>
      <c r="AM573" s="2" t="s">
        <v>52</v>
      </c>
    </row>
    <row r="574" spans="1:39" x14ac:dyDescent="0.45">
      <c r="A574" s="2" t="s">
        <v>5645</v>
      </c>
      <c r="B574" s="2"/>
      <c r="C574" s="2" t="s">
        <v>5647</v>
      </c>
      <c r="D574" s="2" t="s">
        <v>5649</v>
      </c>
      <c r="E574" s="25"/>
      <c r="F574" s="21"/>
      <c r="G574" s="42" t="s">
        <v>28000</v>
      </c>
      <c r="H574" s="2" t="s">
        <v>50</v>
      </c>
      <c r="I574" s="2" t="s">
        <v>5652</v>
      </c>
      <c r="J574" s="2" t="s">
        <v>5646</v>
      </c>
      <c r="K574" s="2" t="s">
        <v>5648</v>
      </c>
      <c r="L574" s="2" t="s">
        <v>5650</v>
      </c>
      <c r="M574" s="2" t="s">
        <v>5650</v>
      </c>
      <c r="N574" s="2" t="s">
        <v>59</v>
      </c>
      <c r="O574" s="2" t="s">
        <v>60</v>
      </c>
      <c r="P574" s="2" t="s">
        <v>5002</v>
      </c>
      <c r="Q574" s="2"/>
      <c r="R574" s="2"/>
      <c r="S574" s="2"/>
      <c r="T574" s="2"/>
      <c r="U574" s="2"/>
      <c r="V574" s="2"/>
      <c r="W574" s="2"/>
      <c r="X574" s="2" t="s">
        <v>5651</v>
      </c>
      <c r="Y574" s="2" t="s">
        <v>44</v>
      </c>
      <c r="Z574" s="2"/>
      <c r="AA574" s="2" t="s">
        <v>821</v>
      </c>
      <c r="AB574" s="2" t="s">
        <v>46</v>
      </c>
      <c r="AC574" s="2" t="s">
        <v>821</v>
      </c>
      <c r="AE574" s="2" t="s">
        <v>48</v>
      </c>
      <c r="AF574" s="2" t="s">
        <v>49</v>
      </c>
      <c r="AG574" s="2">
        <v>100</v>
      </c>
      <c r="AH574" s="2">
        <v>87</v>
      </c>
      <c r="AJ574" s="2" t="s">
        <v>5653</v>
      </c>
      <c r="AK574" s="2"/>
      <c r="AL574" s="2"/>
      <c r="AM574" s="2" t="s">
        <v>52</v>
      </c>
    </row>
    <row r="575" spans="1:39" x14ac:dyDescent="0.45">
      <c r="A575" s="2" t="s">
        <v>5654</v>
      </c>
      <c r="B575" s="2"/>
      <c r="C575" s="2" t="s">
        <v>5656</v>
      </c>
      <c r="D575" s="2" t="s">
        <v>5658</v>
      </c>
      <c r="E575" s="25"/>
      <c r="F575" s="21"/>
      <c r="G575" s="42" t="s">
        <v>28000</v>
      </c>
      <c r="H575" s="2" t="s">
        <v>50</v>
      </c>
      <c r="I575" s="2" t="s">
        <v>5662</v>
      </c>
      <c r="J575" s="2" t="s">
        <v>5655</v>
      </c>
      <c r="K575" s="2" t="s">
        <v>5657</v>
      </c>
      <c r="L575" s="2" t="s">
        <v>5659</v>
      </c>
      <c r="M575" s="2" t="s">
        <v>5659</v>
      </c>
      <c r="N575" s="2" t="s">
        <v>174</v>
      </c>
      <c r="O575" s="2" t="s">
        <v>175</v>
      </c>
      <c r="P575" s="2" t="s">
        <v>5660</v>
      </c>
      <c r="Q575" s="2" t="s">
        <v>5661</v>
      </c>
      <c r="R575" s="2"/>
      <c r="S575" s="2"/>
      <c r="T575" s="2"/>
      <c r="U575" s="2" t="s">
        <v>174</v>
      </c>
      <c r="V575" s="2" t="s">
        <v>175</v>
      </c>
      <c r="W575" s="2" t="s">
        <v>176</v>
      </c>
      <c r="X575" s="2" t="s">
        <v>5651</v>
      </c>
      <c r="Y575" s="2" t="s">
        <v>44</v>
      </c>
      <c r="Z575" s="2"/>
      <c r="AA575" s="2" t="s">
        <v>821</v>
      </c>
      <c r="AB575" s="2" t="s">
        <v>46</v>
      </c>
      <c r="AC575" s="2" t="s">
        <v>821</v>
      </c>
      <c r="AE575" s="2" t="s">
        <v>48</v>
      </c>
      <c r="AF575" s="2" t="s">
        <v>49</v>
      </c>
      <c r="AG575" s="2">
        <v>100</v>
      </c>
      <c r="AH575" s="2">
        <v>87</v>
      </c>
      <c r="AJ575" s="2" t="s">
        <v>5663</v>
      </c>
      <c r="AK575" s="2"/>
      <c r="AL575" s="2"/>
      <c r="AM575" s="2" t="s">
        <v>52</v>
      </c>
    </row>
    <row r="576" spans="1:39" x14ac:dyDescent="0.45">
      <c r="A576" s="2" t="s">
        <v>5664</v>
      </c>
      <c r="B576" s="2"/>
      <c r="C576" s="2" t="s">
        <v>5666</v>
      </c>
      <c r="D576" s="2" t="s">
        <v>5668</v>
      </c>
      <c r="E576" s="25"/>
      <c r="F576" s="21"/>
      <c r="G576" s="42" t="s">
        <v>28000</v>
      </c>
      <c r="H576" s="2" t="s">
        <v>50</v>
      </c>
      <c r="I576" s="2" t="s">
        <v>5670</v>
      </c>
      <c r="J576" s="2" t="s">
        <v>5665</v>
      </c>
      <c r="K576" s="2" t="s">
        <v>5667</v>
      </c>
      <c r="L576" s="2" t="s">
        <v>5669</v>
      </c>
      <c r="M576" s="2" t="s">
        <v>5669</v>
      </c>
      <c r="N576" s="2" t="s">
        <v>384</v>
      </c>
      <c r="O576" s="2" t="s">
        <v>73</v>
      </c>
      <c r="P576" s="2" t="s">
        <v>4885</v>
      </c>
      <c r="Q576" s="2" t="s">
        <v>5667</v>
      </c>
      <c r="R576" s="2"/>
      <c r="S576" s="2"/>
      <c r="T576" s="2"/>
      <c r="U576" s="2" t="s">
        <v>384</v>
      </c>
      <c r="V576" s="2" t="s">
        <v>73</v>
      </c>
      <c r="W576" s="2" t="s">
        <v>4885</v>
      </c>
      <c r="X576" s="2" t="s">
        <v>3889</v>
      </c>
      <c r="Y576" s="2" t="s">
        <v>44</v>
      </c>
      <c r="Z576" s="2"/>
      <c r="AA576" s="2" t="s">
        <v>821</v>
      </c>
      <c r="AB576" s="2" t="s">
        <v>46</v>
      </c>
      <c r="AC576" s="2" t="s">
        <v>821</v>
      </c>
      <c r="AE576" s="2" t="s">
        <v>48</v>
      </c>
      <c r="AF576" s="2" t="s">
        <v>49</v>
      </c>
      <c r="AG576" s="2">
        <v>100</v>
      </c>
      <c r="AH576" s="2">
        <v>87</v>
      </c>
      <c r="AJ576" s="2" t="s">
        <v>5671</v>
      </c>
      <c r="AK576" s="2"/>
      <c r="AL576" s="2"/>
      <c r="AM576" s="2" t="s">
        <v>52</v>
      </c>
    </row>
    <row r="577" spans="1:39" x14ac:dyDescent="0.45">
      <c r="A577" s="2" t="s">
        <v>5672</v>
      </c>
      <c r="B577" s="2"/>
      <c r="C577" s="2" t="s">
        <v>5674</v>
      </c>
      <c r="D577" s="2" t="s">
        <v>5676</v>
      </c>
      <c r="E577" s="25"/>
      <c r="F577" s="21"/>
      <c r="G577" s="42" t="s">
        <v>28000</v>
      </c>
      <c r="H577" s="2" t="s">
        <v>50</v>
      </c>
      <c r="I577" s="2" t="s">
        <v>5679</v>
      </c>
      <c r="J577" s="2" t="s">
        <v>5673</v>
      </c>
      <c r="K577" s="2" t="s">
        <v>5675</v>
      </c>
      <c r="L577" s="2" t="s">
        <v>5677</v>
      </c>
      <c r="M577" s="2" t="s">
        <v>5677</v>
      </c>
      <c r="N577" s="2" t="s">
        <v>72</v>
      </c>
      <c r="O577" s="2" t="s">
        <v>73</v>
      </c>
      <c r="P577" s="2" t="s">
        <v>484</v>
      </c>
      <c r="Q577" s="2" t="s">
        <v>5675</v>
      </c>
      <c r="R577" s="2"/>
      <c r="S577" s="2"/>
      <c r="T577" s="2"/>
      <c r="U577" s="2" t="s">
        <v>72</v>
      </c>
      <c r="V577" s="2" t="s">
        <v>73</v>
      </c>
      <c r="W577" s="2" t="s">
        <v>484</v>
      </c>
      <c r="X577" s="2" t="s">
        <v>5678</v>
      </c>
      <c r="Y577" s="2" t="s">
        <v>44</v>
      </c>
      <c r="Z577" s="2"/>
      <c r="AA577" s="2" t="s">
        <v>821</v>
      </c>
      <c r="AB577" s="2" t="s">
        <v>46</v>
      </c>
      <c r="AC577" s="2" t="s">
        <v>821</v>
      </c>
      <c r="AE577" s="2" t="s">
        <v>48</v>
      </c>
      <c r="AF577" s="2" t="s">
        <v>49</v>
      </c>
      <c r="AG577" s="2">
        <v>100</v>
      </c>
      <c r="AH577" s="2">
        <v>87</v>
      </c>
      <c r="AJ577" s="2" t="s">
        <v>5680</v>
      </c>
      <c r="AK577" s="2"/>
      <c r="AL577" s="2"/>
      <c r="AM577" s="2" t="s">
        <v>52</v>
      </c>
    </row>
    <row r="578" spans="1:39" x14ac:dyDescent="0.45">
      <c r="A578" s="2" t="s">
        <v>5681</v>
      </c>
      <c r="B578" s="2"/>
      <c r="C578" s="2" t="s">
        <v>5683</v>
      </c>
      <c r="D578" s="2" t="s">
        <v>5685</v>
      </c>
      <c r="E578" s="25"/>
      <c r="F578" s="21"/>
      <c r="G578" s="42" t="s">
        <v>28000</v>
      </c>
      <c r="H578" s="2" t="s">
        <v>50</v>
      </c>
      <c r="I578" s="2" t="s">
        <v>5687</v>
      </c>
      <c r="J578" s="2" t="s">
        <v>5682</v>
      </c>
      <c r="K578" s="2" t="s">
        <v>5684</v>
      </c>
      <c r="L578" s="2" t="s">
        <v>5686</v>
      </c>
      <c r="M578" s="2" t="s">
        <v>5686</v>
      </c>
      <c r="N578" s="2" t="s">
        <v>59</v>
      </c>
      <c r="O578" s="2" t="s">
        <v>60</v>
      </c>
      <c r="P578" s="2" t="s">
        <v>1589</v>
      </c>
      <c r="Q578" s="2"/>
      <c r="R578" s="2"/>
      <c r="S578" s="2"/>
      <c r="T578" s="2"/>
      <c r="U578" s="2"/>
      <c r="V578" s="2"/>
      <c r="W578" s="2"/>
      <c r="X578" s="2" t="s">
        <v>5678</v>
      </c>
      <c r="Y578" s="2" t="s">
        <v>44</v>
      </c>
      <c r="Z578" s="2"/>
      <c r="AA578" s="2" t="s">
        <v>821</v>
      </c>
      <c r="AB578" s="2" t="s">
        <v>46</v>
      </c>
      <c r="AC578" s="2" t="s">
        <v>821</v>
      </c>
      <c r="AE578" s="2" t="s">
        <v>48</v>
      </c>
      <c r="AF578" s="2" t="s">
        <v>49</v>
      </c>
      <c r="AG578" s="2">
        <v>100</v>
      </c>
      <c r="AH578" s="2">
        <v>87</v>
      </c>
      <c r="AJ578" s="2" t="s">
        <v>5688</v>
      </c>
      <c r="AK578" s="2"/>
      <c r="AL578" s="2"/>
      <c r="AM578" s="2" t="s">
        <v>52</v>
      </c>
    </row>
    <row r="579" spans="1:39" x14ac:dyDescent="0.45">
      <c r="A579" s="2" t="s">
        <v>5689</v>
      </c>
      <c r="B579" s="2"/>
      <c r="C579" s="2" t="s">
        <v>5691</v>
      </c>
      <c r="D579" s="2" t="s">
        <v>5693</v>
      </c>
      <c r="E579" s="25"/>
      <c r="F579" s="21"/>
      <c r="G579" s="42" t="s">
        <v>28000</v>
      </c>
      <c r="H579" s="2" t="s">
        <v>50</v>
      </c>
      <c r="I579" s="2" t="s">
        <v>5696</v>
      </c>
      <c r="J579" s="2" t="s">
        <v>5690</v>
      </c>
      <c r="K579" s="2" t="s">
        <v>5692</v>
      </c>
      <c r="L579" s="2" t="s">
        <v>5694</v>
      </c>
      <c r="M579" s="2" t="s">
        <v>5694</v>
      </c>
      <c r="N579" s="2" t="s">
        <v>1023</v>
      </c>
      <c r="O579" s="2" t="s">
        <v>73</v>
      </c>
      <c r="P579" s="2" t="s">
        <v>5695</v>
      </c>
      <c r="Q579" s="2"/>
      <c r="R579" s="2"/>
      <c r="S579" s="2"/>
      <c r="T579" s="2"/>
      <c r="U579" s="2"/>
      <c r="V579" s="2"/>
      <c r="W579" s="2"/>
      <c r="X579" s="2" t="s">
        <v>5678</v>
      </c>
      <c r="Y579" s="2" t="s">
        <v>44</v>
      </c>
      <c r="Z579" s="2"/>
      <c r="AA579" s="2" t="s">
        <v>821</v>
      </c>
      <c r="AB579" s="2" t="s">
        <v>46</v>
      </c>
      <c r="AC579" s="2" t="s">
        <v>821</v>
      </c>
      <c r="AE579" s="2" t="s">
        <v>48</v>
      </c>
      <c r="AF579" s="2" t="s">
        <v>49</v>
      </c>
      <c r="AG579" s="2">
        <v>100</v>
      </c>
      <c r="AH579" s="2">
        <v>87</v>
      </c>
      <c r="AJ579" s="2" t="s">
        <v>5697</v>
      </c>
      <c r="AK579" s="2"/>
      <c r="AL579" s="2"/>
      <c r="AM579" s="2" t="s">
        <v>52</v>
      </c>
    </row>
    <row r="580" spans="1:39" x14ac:dyDescent="0.45">
      <c r="A580" s="2" t="s">
        <v>5698</v>
      </c>
      <c r="B580" s="2"/>
      <c r="C580" s="2" t="s">
        <v>5700</v>
      </c>
      <c r="D580" s="2" t="s">
        <v>5702</v>
      </c>
      <c r="E580" s="25"/>
      <c r="F580" s="21"/>
      <c r="G580" s="42" t="s">
        <v>28000</v>
      </c>
      <c r="H580" s="2" t="s">
        <v>50</v>
      </c>
      <c r="I580" s="2" t="s">
        <v>5704</v>
      </c>
      <c r="J580" s="2" t="s">
        <v>5699</v>
      </c>
      <c r="K580" s="2" t="s">
        <v>5701</v>
      </c>
      <c r="L580" s="2" t="s">
        <v>5703</v>
      </c>
      <c r="M580" s="2" t="s">
        <v>5703</v>
      </c>
      <c r="N580" s="2" t="s">
        <v>59</v>
      </c>
      <c r="O580" s="2" t="s">
        <v>60</v>
      </c>
      <c r="P580" s="2" t="s">
        <v>4000</v>
      </c>
      <c r="Q580" s="2"/>
      <c r="R580" s="2"/>
      <c r="S580" s="2"/>
      <c r="T580" s="2"/>
      <c r="U580" s="2"/>
      <c r="V580" s="2"/>
      <c r="W580" s="2"/>
      <c r="X580" s="2" t="s">
        <v>5678</v>
      </c>
      <c r="Y580" s="2" t="s">
        <v>44</v>
      </c>
      <c r="Z580" s="2"/>
      <c r="AA580" s="2" t="s">
        <v>821</v>
      </c>
      <c r="AB580" s="2" t="s">
        <v>46</v>
      </c>
      <c r="AC580" s="2" t="s">
        <v>821</v>
      </c>
      <c r="AE580" s="2" t="s">
        <v>48</v>
      </c>
      <c r="AF580" s="2" t="s">
        <v>49</v>
      </c>
      <c r="AG580" s="2">
        <v>100</v>
      </c>
      <c r="AH580" s="2">
        <v>87</v>
      </c>
      <c r="AJ580" s="2" t="s">
        <v>5705</v>
      </c>
      <c r="AK580" s="2"/>
      <c r="AL580" s="2"/>
      <c r="AM580" s="2" t="s">
        <v>52</v>
      </c>
    </row>
    <row r="581" spans="1:39" x14ac:dyDescent="0.45">
      <c r="A581" s="2" t="s">
        <v>5706</v>
      </c>
      <c r="B581" s="2"/>
      <c r="C581" s="2" t="s">
        <v>5708</v>
      </c>
      <c r="D581" s="2" t="s">
        <v>5710</v>
      </c>
      <c r="E581" s="25"/>
      <c r="F581" s="21"/>
      <c r="G581" s="42" t="s">
        <v>28000</v>
      </c>
      <c r="H581" s="2" t="s">
        <v>50</v>
      </c>
      <c r="I581" s="2" t="s">
        <v>5712</v>
      </c>
      <c r="J581" s="2" t="s">
        <v>5707</v>
      </c>
      <c r="K581" s="2" t="s">
        <v>5709</v>
      </c>
      <c r="L581" s="2" t="s">
        <v>5711</v>
      </c>
      <c r="M581" s="2" t="s">
        <v>5711</v>
      </c>
      <c r="N581" s="2" t="s">
        <v>39</v>
      </c>
      <c r="O581" s="2" t="s">
        <v>40</v>
      </c>
      <c r="P581" s="2" t="s">
        <v>1418</v>
      </c>
      <c r="Q581" s="2"/>
      <c r="R581" s="2"/>
      <c r="S581" s="2"/>
      <c r="T581" s="2"/>
      <c r="U581" s="2"/>
      <c r="V581" s="2"/>
      <c r="W581" s="2"/>
      <c r="X581" s="2" t="s">
        <v>5678</v>
      </c>
      <c r="Y581" s="2" t="s">
        <v>44</v>
      </c>
      <c r="Z581" s="2"/>
      <c r="AA581" s="2" t="s">
        <v>821</v>
      </c>
      <c r="AB581" s="2" t="s">
        <v>46</v>
      </c>
      <c r="AC581" s="2" t="s">
        <v>821</v>
      </c>
      <c r="AE581" s="2" t="s">
        <v>48</v>
      </c>
      <c r="AF581" s="2" t="s">
        <v>49</v>
      </c>
      <c r="AG581" s="2">
        <v>100</v>
      </c>
      <c r="AH581" s="2">
        <v>87</v>
      </c>
      <c r="AJ581" s="2" t="s">
        <v>5713</v>
      </c>
      <c r="AK581" s="2"/>
      <c r="AL581" s="2"/>
      <c r="AM581" s="2" t="s">
        <v>52</v>
      </c>
    </row>
    <row r="582" spans="1:39" x14ac:dyDescent="0.45">
      <c r="A582" s="2" t="s">
        <v>5714</v>
      </c>
      <c r="B582" s="2"/>
      <c r="C582" s="2" t="s">
        <v>5716</v>
      </c>
      <c r="D582" s="2" t="s">
        <v>5718</v>
      </c>
      <c r="E582" s="25"/>
      <c r="F582" s="21"/>
      <c r="G582" s="42" t="s">
        <v>28000</v>
      </c>
      <c r="H582" s="2" t="s">
        <v>50</v>
      </c>
      <c r="I582" s="2" t="s">
        <v>5721</v>
      </c>
      <c r="J582" s="2" t="s">
        <v>5715</v>
      </c>
      <c r="K582" s="2" t="s">
        <v>5717</v>
      </c>
      <c r="L582" s="2" t="s">
        <v>5719</v>
      </c>
      <c r="M582" s="2" t="s">
        <v>5719</v>
      </c>
      <c r="N582" s="2" t="s">
        <v>72</v>
      </c>
      <c r="O582" s="2" t="s">
        <v>73</v>
      </c>
      <c r="P582" s="2" t="s">
        <v>1808</v>
      </c>
      <c r="Q582" s="2" t="s">
        <v>5720</v>
      </c>
      <c r="R582" s="2"/>
      <c r="S582" s="2"/>
      <c r="T582" s="2"/>
      <c r="U582" s="2" t="s">
        <v>72</v>
      </c>
      <c r="V582" s="2" t="s">
        <v>73</v>
      </c>
      <c r="W582" s="2" t="s">
        <v>1808</v>
      </c>
      <c r="X582" s="2" t="s">
        <v>3467</v>
      </c>
      <c r="Y582" s="2" t="s">
        <v>44</v>
      </c>
      <c r="Z582" s="2"/>
      <c r="AA582" s="2" t="s">
        <v>821</v>
      </c>
      <c r="AB582" s="2" t="s">
        <v>46</v>
      </c>
      <c r="AC582" s="2" t="s">
        <v>821</v>
      </c>
      <c r="AE582" s="2" t="s">
        <v>48</v>
      </c>
      <c r="AF582" s="2" t="s">
        <v>49</v>
      </c>
      <c r="AG582" s="2">
        <v>100</v>
      </c>
      <c r="AH582" s="2">
        <v>87</v>
      </c>
      <c r="AJ582" s="2" t="s">
        <v>5722</v>
      </c>
      <c r="AK582" s="2"/>
      <c r="AL582" s="2"/>
      <c r="AM582" s="2" t="s">
        <v>52</v>
      </c>
    </row>
    <row r="583" spans="1:39" x14ac:dyDescent="0.45">
      <c r="A583" s="2" t="s">
        <v>5723</v>
      </c>
      <c r="B583" s="2"/>
      <c r="C583" s="2" t="s">
        <v>5725</v>
      </c>
      <c r="D583" s="2" t="s">
        <v>5727</v>
      </c>
      <c r="E583" s="25"/>
      <c r="F583" s="21"/>
      <c r="G583" s="42" t="s">
        <v>28000</v>
      </c>
      <c r="H583" s="2" t="s">
        <v>50</v>
      </c>
      <c r="I583" s="2" t="s">
        <v>5730</v>
      </c>
      <c r="J583" s="2" t="s">
        <v>5724</v>
      </c>
      <c r="K583" s="2" t="s">
        <v>5726</v>
      </c>
      <c r="L583" s="2" t="s">
        <v>5728</v>
      </c>
      <c r="M583" s="2" t="s">
        <v>5728</v>
      </c>
      <c r="N583" s="2" t="s">
        <v>85</v>
      </c>
      <c r="O583" s="2" t="s">
        <v>86</v>
      </c>
      <c r="P583" s="2" t="s">
        <v>2021</v>
      </c>
      <c r="Q583" s="2" t="s">
        <v>5729</v>
      </c>
      <c r="R583" s="2"/>
      <c r="S583" s="2"/>
      <c r="T583" s="2"/>
      <c r="U583" s="2" t="s">
        <v>85</v>
      </c>
      <c r="V583" s="2" t="s">
        <v>86</v>
      </c>
      <c r="W583" s="2" t="s">
        <v>3073</v>
      </c>
      <c r="X583" s="2" t="s">
        <v>3467</v>
      </c>
      <c r="Y583" s="2" t="s">
        <v>44</v>
      </c>
      <c r="Z583" s="2"/>
      <c r="AA583" s="2" t="s">
        <v>821</v>
      </c>
      <c r="AB583" s="2" t="s">
        <v>46</v>
      </c>
      <c r="AC583" s="2" t="s">
        <v>821</v>
      </c>
      <c r="AE583" s="2" t="s">
        <v>48</v>
      </c>
      <c r="AF583" s="2" t="s">
        <v>49</v>
      </c>
      <c r="AG583" s="2">
        <v>100</v>
      </c>
      <c r="AH583" s="2">
        <v>87</v>
      </c>
      <c r="AJ583" s="2" t="s">
        <v>5731</v>
      </c>
      <c r="AK583" s="2"/>
      <c r="AL583" s="2"/>
      <c r="AM583" s="2" t="s">
        <v>52</v>
      </c>
    </row>
    <row r="584" spans="1:39" x14ac:dyDescent="0.45">
      <c r="A584" s="2" t="s">
        <v>5732</v>
      </c>
      <c r="B584" s="2"/>
      <c r="C584" s="2" t="s">
        <v>5734</v>
      </c>
      <c r="D584" s="2" t="s">
        <v>5736</v>
      </c>
      <c r="E584" s="25"/>
      <c r="F584" s="21"/>
      <c r="G584" s="42" t="s">
        <v>28000</v>
      </c>
      <c r="H584" s="2" t="s">
        <v>50</v>
      </c>
      <c r="I584" s="2" t="s">
        <v>5738</v>
      </c>
      <c r="J584" s="2" t="s">
        <v>5733</v>
      </c>
      <c r="K584" s="2" t="s">
        <v>5735</v>
      </c>
      <c r="L584" s="2" t="s">
        <v>5737</v>
      </c>
      <c r="M584" s="2" t="s">
        <v>5737</v>
      </c>
      <c r="N584" s="2" t="s">
        <v>72</v>
      </c>
      <c r="O584" s="2" t="s">
        <v>73</v>
      </c>
      <c r="P584" s="2" t="s">
        <v>3571</v>
      </c>
      <c r="Q584" s="2"/>
      <c r="R584" s="2"/>
      <c r="S584" s="2"/>
      <c r="T584" s="2"/>
      <c r="U584" s="2"/>
      <c r="V584" s="2"/>
      <c r="W584" s="2"/>
      <c r="X584" s="2" t="s">
        <v>1285</v>
      </c>
      <c r="Y584" s="2" t="s">
        <v>44</v>
      </c>
      <c r="Z584" s="2"/>
      <c r="AA584" s="2" t="s">
        <v>821</v>
      </c>
      <c r="AB584" s="2" t="s">
        <v>46</v>
      </c>
      <c r="AC584" s="2" t="s">
        <v>821</v>
      </c>
      <c r="AE584" s="2" t="s">
        <v>48</v>
      </c>
      <c r="AF584" s="2" t="s">
        <v>49</v>
      </c>
      <c r="AG584" s="2">
        <v>100</v>
      </c>
      <c r="AH584" s="2">
        <v>87</v>
      </c>
      <c r="AJ584" s="2" t="s">
        <v>5739</v>
      </c>
      <c r="AK584" s="2"/>
      <c r="AL584" s="2"/>
      <c r="AM584" s="2" t="s">
        <v>52</v>
      </c>
    </row>
    <row r="585" spans="1:39" x14ac:dyDescent="0.45">
      <c r="A585" s="2" t="s">
        <v>5740</v>
      </c>
      <c r="B585" s="2"/>
      <c r="C585" s="2" t="s">
        <v>5742</v>
      </c>
      <c r="D585" s="2" t="s">
        <v>5744</v>
      </c>
      <c r="E585" s="25"/>
      <c r="F585" s="21"/>
      <c r="G585" s="42" t="s">
        <v>28000</v>
      </c>
      <c r="H585" s="2" t="s">
        <v>50</v>
      </c>
      <c r="I585" s="2" t="s">
        <v>5748</v>
      </c>
      <c r="J585" s="2" t="s">
        <v>5741</v>
      </c>
      <c r="K585" s="2" t="s">
        <v>5743</v>
      </c>
      <c r="L585" s="2" t="s">
        <v>5745</v>
      </c>
      <c r="M585" s="2" t="s">
        <v>5745</v>
      </c>
      <c r="N585" s="2" t="s">
        <v>384</v>
      </c>
      <c r="O585" s="2" t="s">
        <v>73</v>
      </c>
      <c r="P585" s="2" t="s">
        <v>5746</v>
      </c>
      <c r="Q585" s="2" t="s">
        <v>5743</v>
      </c>
      <c r="R585" s="2"/>
      <c r="S585" s="2"/>
      <c r="T585" s="2"/>
      <c r="U585" s="2" t="s">
        <v>384</v>
      </c>
      <c r="V585" s="2" t="s">
        <v>73</v>
      </c>
      <c r="W585" s="2" t="s">
        <v>5746</v>
      </c>
      <c r="X585" s="2" t="s">
        <v>5747</v>
      </c>
      <c r="Y585" s="2" t="s">
        <v>44</v>
      </c>
      <c r="Z585" s="2"/>
      <c r="AA585" s="2" t="s">
        <v>821</v>
      </c>
      <c r="AB585" s="2" t="s">
        <v>46</v>
      </c>
      <c r="AC585" s="2" t="s">
        <v>821</v>
      </c>
      <c r="AE585" s="2" t="s">
        <v>48</v>
      </c>
      <c r="AF585" s="2" t="s">
        <v>49</v>
      </c>
      <c r="AG585" s="2">
        <v>100</v>
      </c>
      <c r="AH585" s="2">
        <v>87</v>
      </c>
      <c r="AJ585" s="2" t="s">
        <v>5749</v>
      </c>
      <c r="AK585" s="2"/>
      <c r="AL585" s="2"/>
      <c r="AM585" s="2" t="s">
        <v>52</v>
      </c>
    </row>
    <row r="586" spans="1:39" x14ac:dyDescent="0.45">
      <c r="A586" s="2" t="s">
        <v>5750</v>
      </c>
      <c r="B586" s="2"/>
      <c r="C586" s="2" t="s">
        <v>5752</v>
      </c>
      <c r="D586" s="2" t="s">
        <v>5754</v>
      </c>
      <c r="E586" s="25"/>
      <c r="F586" s="21"/>
      <c r="G586" s="42" t="s">
        <v>28000</v>
      </c>
      <c r="H586" s="2" t="s">
        <v>50</v>
      </c>
      <c r="I586" s="2" t="s">
        <v>5757</v>
      </c>
      <c r="J586" s="2" t="s">
        <v>5751</v>
      </c>
      <c r="K586" s="2" t="s">
        <v>5753</v>
      </c>
      <c r="L586" s="2" t="s">
        <v>5755</v>
      </c>
      <c r="M586" s="2" t="s">
        <v>5755</v>
      </c>
      <c r="N586" s="2" t="s">
        <v>59</v>
      </c>
      <c r="O586" s="2" t="s">
        <v>60</v>
      </c>
      <c r="P586" s="2" t="s">
        <v>1346</v>
      </c>
      <c r="Q586" s="2"/>
      <c r="R586" s="2"/>
      <c r="S586" s="2"/>
      <c r="T586" s="2"/>
      <c r="U586" s="2"/>
      <c r="V586" s="2"/>
      <c r="W586" s="2"/>
      <c r="X586" s="2" t="s">
        <v>5756</v>
      </c>
      <c r="Y586" s="2" t="s">
        <v>44</v>
      </c>
      <c r="Z586" s="2"/>
      <c r="AA586" s="2" t="s">
        <v>821</v>
      </c>
      <c r="AB586" s="2" t="s">
        <v>46</v>
      </c>
      <c r="AC586" s="2" t="s">
        <v>821</v>
      </c>
      <c r="AE586" s="2" t="s">
        <v>48</v>
      </c>
      <c r="AF586" s="2" t="s">
        <v>49</v>
      </c>
      <c r="AG586" s="2">
        <v>100</v>
      </c>
      <c r="AH586" s="2">
        <v>87</v>
      </c>
      <c r="AJ586" s="2" t="s">
        <v>5758</v>
      </c>
      <c r="AK586" s="2"/>
      <c r="AL586" s="2"/>
      <c r="AM586" s="2" t="s">
        <v>52</v>
      </c>
    </row>
    <row r="587" spans="1:39" x14ac:dyDescent="0.45">
      <c r="A587" s="2" t="s">
        <v>5759</v>
      </c>
      <c r="B587" s="2"/>
      <c r="C587" s="2" t="s">
        <v>5761</v>
      </c>
      <c r="D587" s="2" t="s">
        <v>5763</v>
      </c>
      <c r="E587" s="25"/>
      <c r="F587" s="21"/>
      <c r="G587" s="42" t="s">
        <v>28000</v>
      </c>
      <c r="H587" s="2" t="s">
        <v>50</v>
      </c>
      <c r="I587" s="2" t="s">
        <v>5767</v>
      </c>
      <c r="J587" s="2" t="s">
        <v>5760</v>
      </c>
      <c r="K587" s="2" t="s">
        <v>5762</v>
      </c>
      <c r="L587" s="2" t="s">
        <v>5764</v>
      </c>
      <c r="M587" s="2" t="s">
        <v>5764</v>
      </c>
      <c r="N587" s="2" t="s">
        <v>72</v>
      </c>
      <c r="O587" s="2" t="s">
        <v>73</v>
      </c>
      <c r="P587" s="2" t="s">
        <v>5765</v>
      </c>
      <c r="Q587" s="2"/>
      <c r="R587" s="2"/>
      <c r="S587" s="2"/>
      <c r="T587" s="2"/>
      <c r="U587" s="2"/>
      <c r="V587" s="2"/>
      <c r="W587" s="2"/>
      <c r="X587" s="2" t="s">
        <v>5766</v>
      </c>
      <c r="Y587" s="2" t="s">
        <v>44</v>
      </c>
      <c r="Z587" s="2"/>
      <c r="AA587" s="2" t="s">
        <v>821</v>
      </c>
      <c r="AB587" s="2" t="s">
        <v>46</v>
      </c>
      <c r="AC587" s="2" t="s">
        <v>821</v>
      </c>
      <c r="AE587" s="2" t="s">
        <v>48</v>
      </c>
      <c r="AF587" s="2" t="s">
        <v>49</v>
      </c>
      <c r="AG587" s="2">
        <v>100</v>
      </c>
      <c r="AH587" s="2">
        <v>87</v>
      </c>
      <c r="AJ587" s="2" t="s">
        <v>5768</v>
      </c>
      <c r="AK587" s="2"/>
      <c r="AL587" s="2"/>
      <c r="AM587" s="2" t="s">
        <v>52</v>
      </c>
    </row>
    <row r="588" spans="1:39" x14ac:dyDescent="0.45">
      <c r="A588" s="2" t="s">
        <v>5769</v>
      </c>
      <c r="B588" s="2"/>
      <c r="C588" s="2" t="s">
        <v>5771</v>
      </c>
      <c r="D588" s="2" t="s">
        <v>5773</v>
      </c>
      <c r="E588" s="25"/>
      <c r="F588" s="21"/>
      <c r="G588" s="42" t="s">
        <v>28000</v>
      </c>
      <c r="H588" s="2" t="s">
        <v>50</v>
      </c>
      <c r="I588" s="2" t="s">
        <v>5777</v>
      </c>
      <c r="J588" s="2" t="s">
        <v>5770</v>
      </c>
      <c r="K588" s="2" t="s">
        <v>5772</v>
      </c>
      <c r="L588" s="2" t="s">
        <v>5774</v>
      </c>
      <c r="M588" s="2" t="s">
        <v>5774</v>
      </c>
      <c r="N588" s="2" t="s">
        <v>59</v>
      </c>
      <c r="O588" s="2" t="s">
        <v>60</v>
      </c>
      <c r="P588" s="2" t="s">
        <v>4751</v>
      </c>
      <c r="Q588" s="2" t="s">
        <v>5775</v>
      </c>
      <c r="R588" s="2"/>
      <c r="S588" s="2"/>
      <c r="T588" s="2"/>
      <c r="U588" s="2" t="s">
        <v>59</v>
      </c>
      <c r="V588" s="2" t="s">
        <v>60</v>
      </c>
      <c r="W588" s="2" t="s">
        <v>4241</v>
      </c>
      <c r="X588" s="2" t="s">
        <v>5776</v>
      </c>
      <c r="Y588" s="2" t="s">
        <v>44</v>
      </c>
      <c r="Z588" s="2"/>
      <c r="AA588" s="2" t="s">
        <v>821</v>
      </c>
      <c r="AB588" s="2" t="s">
        <v>46</v>
      </c>
      <c r="AC588" s="2" t="s">
        <v>821</v>
      </c>
      <c r="AE588" s="2" t="s">
        <v>48</v>
      </c>
      <c r="AF588" s="2" t="s">
        <v>49</v>
      </c>
      <c r="AG588" s="2">
        <v>100</v>
      </c>
      <c r="AH588" s="2">
        <v>87</v>
      </c>
      <c r="AJ588" s="2" t="s">
        <v>5778</v>
      </c>
      <c r="AK588" s="2"/>
      <c r="AL588" s="2"/>
      <c r="AM588" s="2" t="s">
        <v>52</v>
      </c>
    </row>
    <row r="589" spans="1:39" x14ac:dyDescent="0.45">
      <c r="A589" s="2" t="s">
        <v>5779</v>
      </c>
      <c r="B589" s="2"/>
      <c r="C589" s="2" t="s">
        <v>5781</v>
      </c>
      <c r="D589" s="2" t="s">
        <v>5783</v>
      </c>
      <c r="E589" s="25"/>
      <c r="F589" s="21"/>
      <c r="G589" s="42" t="s">
        <v>28000</v>
      </c>
      <c r="H589" s="2" t="s">
        <v>50</v>
      </c>
      <c r="I589" s="2" t="s">
        <v>5786</v>
      </c>
      <c r="J589" s="2" t="s">
        <v>5780</v>
      </c>
      <c r="K589" s="2" t="s">
        <v>5782</v>
      </c>
      <c r="L589" s="2" t="s">
        <v>5784</v>
      </c>
      <c r="M589" s="2" t="s">
        <v>5784</v>
      </c>
      <c r="N589" s="2" t="s">
        <v>72</v>
      </c>
      <c r="O589" s="2" t="s">
        <v>73</v>
      </c>
      <c r="P589" s="2" t="s">
        <v>474</v>
      </c>
      <c r="Q589" s="2"/>
      <c r="R589" s="2"/>
      <c r="S589" s="2"/>
      <c r="T589" s="2"/>
      <c r="U589" s="2"/>
      <c r="V589" s="2"/>
      <c r="W589" s="2"/>
      <c r="X589" s="2" t="s">
        <v>5785</v>
      </c>
      <c r="Y589" s="2" t="s">
        <v>44</v>
      </c>
      <c r="Z589" s="2"/>
      <c r="AA589" s="2" t="s">
        <v>821</v>
      </c>
      <c r="AB589" s="2" t="s">
        <v>46</v>
      </c>
      <c r="AC589" s="2" t="s">
        <v>821</v>
      </c>
      <c r="AE589" s="2" t="s">
        <v>48</v>
      </c>
      <c r="AF589" s="2" t="s">
        <v>49</v>
      </c>
      <c r="AG589" s="2">
        <v>100</v>
      </c>
      <c r="AH589" s="2">
        <v>87</v>
      </c>
      <c r="AJ589" s="2" t="s">
        <v>5787</v>
      </c>
      <c r="AK589" s="2"/>
      <c r="AL589" s="2"/>
      <c r="AM589" s="2" t="s">
        <v>52</v>
      </c>
    </row>
    <row r="590" spans="1:39" x14ac:dyDescent="0.45">
      <c r="A590" s="2" t="s">
        <v>5788</v>
      </c>
      <c r="B590" s="2"/>
      <c r="C590" s="2" t="s">
        <v>5790</v>
      </c>
      <c r="D590" s="2" t="s">
        <v>5792</v>
      </c>
      <c r="E590" s="25"/>
      <c r="F590" s="21"/>
      <c r="G590" s="42" t="s">
        <v>28000</v>
      </c>
      <c r="H590" s="2" t="s">
        <v>50</v>
      </c>
      <c r="I590" s="2" t="s">
        <v>5794</v>
      </c>
      <c r="J590" s="2" t="s">
        <v>5789</v>
      </c>
      <c r="K590" s="2" t="s">
        <v>5791</v>
      </c>
      <c r="L590" s="2"/>
      <c r="M590" s="2"/>
      <c r="N590" s="2" t="s">
        <v>72</v>
      </c>
      <c r="O590" s="2" t="s">
        <v>73</v>
      </c>
      <c r="P590" s="2" t="s">
        <v>484</v>
      </c>
      <c r="Q590" s="2" t="s">
        <v>5791</v>
      </c>
      <c r="R590" s="2"/>
      <c r="S590" s="2"/>
      <c r="T590" s="2"/>
      <c r="U590" s="2" t="s">
        <v>72</v>
      </c>
      <c r="V590" s="2" t="s">
        <v>73</v>
      </c>
      <c r="W590" s="2" t="s">
        <v>484</v>
      </c>
      <c r="X590" s="2" t="s">
        <v>5793</v>
      </c>
      <c r="Y590" s="2" t="s">
        <v>44</v>
      </c>
      <c r="Z590" s="2"/>
      <c r="AA590" s="2" t="s">
        <v>821</v>
      </c>
      <c r="AB590" s="2" t="s">
        <v>46</v>
      </c>
      <c r="AC590" s="2" t="s">
        <v>821</v>
      </c>
      <c r="AE590" s="2" t="s">
        <v>48</v>
      </c>
      <c r="AF590" s="2" t="s">
        <v>49</v>
      </c>
      <c r="AG590" s="2">
        <v>90</v>
      </c>
      <c r="AH590" s="2">
        <v>87</v>
      </c>
      <c r="AJ590" s="2" t="s">
        <v>5795</v>
      </c>
      <c r="AK590" s="2"/>
      <c r="AL590" s="2"/>
      <c r="AM590" s="2" t="s">
        <v>52</v>
      </c>
    </row>
    <row r="591" spans="1:39" x14ac:dyDescent="0.45">
      <c r="A591" s="2" t="s">
        <v>5796</v>
      </c>
      <c r="B591" s="2"/>
      <c r="C591" s="2" t="s">
        <v>5798</v>
      </c>
      <c r="D591" s="2" t="s">
        <v>5800</v>
      </c>
      <c r="E591" s="25"/>
      <c r="F591" s="21"/>
      <c r="G591" s="42" t="s">
        <v>28000</v>
      </c>
      <c r="H591" s="2" t="s">
        <v>50</v>
      </c>
      <c r="I591" s="2" t="s">
        <v>5804</v>
      </c>
      <c r="J591" s="2" t="s">
        <v>5797</v>
      </c>
      <c r="K591" s="2" t="s">
        <v>5799</v>
      </c>
      <c r="L591" s="2" t="s">
        <v>5801</v>
      </c>
      <c r="M591" s="2" t="s">
        <v>5801</v>
      </c>
      <c r="N591" s="2" t="s">
        <v>85</v>
      </c>
      <c r="O591" s="2"/>
      <c r="P591" s="2" t="s">
        <v>5802</v>
      </c>
      <c r="Q591" s="2" t="s">
        <v>5799</v>
      </c>
      <c r="R591" s="2"/>
      <c r="S591" s="2"/>
      <c r="T591" s="2"/>
      <c r="U591" s="2" t="s">
        <v>85</v>
      </c>
      <c r="V591" s="2"/>
      <c r="W591" s="2" t="s">
        <v>5802</v>
      </c>
      <c r="X591" s="2" t="s">
        <v>5803</v>
      </c>
      <c r="Y591" s="2" t="s">
        <v>44</v>
      </c>
      <c r="Z591" s="2"/>
      <c r="AA591" s="2" t="s">
        <v>821</v>
      </c>
      <c r="AB591" s="2" t="s">
        <v>46</v>
      </c>
      <c r="AC591" s="2" t="s">
        <v>821</v>
      </c>
      <c r="AE591" s="2" t="s">
        <v>48</v>
      </c>
      <c r="AF591" s="2" t="s">
        <v>49</v>
      </c>
      <c r="AG591" s="2">
        <v>85</v>
      </c>
      <c r="AH591" s="2">
        <v>87</v>
      </c>
      <c r="AJ591" s="2" t="s">
        <v>5805</v>
      </c>
      <c r="AK591" s="2"/>
      <c r="AL591" s="2"/>
      <c r="AM591" s="2" t="s">
        <v>52</v>
      </c>
    </row>
    <row r="592" spans="1:39" x14ac:dyDescent="0.45">
      <c r="A592" s="2" t="s">
        <v>5806</v>
      </c>
      <c r="B592" s="2"/>
      <c r="C592" s="2" t="s">
        <v>5808</v>
      </c>
      <c r="D592" s="2" t="s">
        <v>5810</v>
      </c>
      <c r="E592" s="25"/>
      <c r="F592" s="21"/>
      <c r="G592" s="42" t="s">
        <v>28000</v>
      </c>
      <c r="H592" s="2" t="s">
        <v>50</v>
      </c>
      <c r="I592" s="2" t="s">
        <v>5813</v>
      </c>
      <c r="J592" s="2" t="s">
        <v>5807</v>
      </c>
      <c r="K592" s="2" t="s">
        <v>5809</v>
      </c>
      <c r="L592" s="2" t="s">
        <v>5811</v>
      </c>
      <c r="M592" s="2"/>
      <c r="N592" s="2" t="s">
        <v>1115</v>
      </c>
      <c r="O592" s="2" t="s">
        <v>1112</v>
      </c>
      <c r="P592" s="2" t="s">
        <v>1113</v>
      </c>
      <c r="Q592" s="2" t="s">
        <v>5809</v>
      </c>
      <c r="R592" s="2"/>
      <c r="S592" s="2"/>
      <c r="T592" s="2"/>
      <c r="U592" s="2" t="s">
        <v>1115</v>
      </c>
      <c r="V592" s="2" t="s">
        <v>1112</v>
      </c>
      <c r="W592" s="2" t="s">
        <v>1113</v>
      </c>
      <c r="X592" s="2" t="s">
        <v>5812</v>
      </c>
      <c r="Y592" s="2" t="s">
        <v>44</v>
      </c>
      <c r="Z592" s="2"/>
      <c r="AA592" s="2" t="s">
        <v>45</v>
      </c>
      <c r="AB592" s="2" t="s">
        <v>46</v>
      </c>
      <c r="AC592" s="2" t="s">
        <v>45</v>
      </c>
      <c r="AE592" s="2" t="s">
        <v>48</v>
      </c>
      <c r="AF592" s="2" t="s">
        <v>49</v>
      </c>
      <c r="AG592" s="2">
        <v>100</v>
      </c>
      <c r="AH592" s="2">
        <v>85</v>
      </c>
      <c r="AJ592" s="2" t="s">
        <v>5814</v>
      </c>
      <c r="AK592" s="2"/>
      <c r="AL592" s="2"/>
      <c r="AM592" s="2" t="s">
        <v>52</v>
      </c>
    </row>
    <row r="593" spans="1:39" x14ac:dyDescent="0.45">
      <c r="A593" s="2" t="s">
        <v>5815</v>
      </c>
      <c r="B593" s="2"/>
      <c r="C593" s="2" t="s">
        <v>5817</v>
      </c>
      <c r="D593" s="2" t="s">
        <v>5819</v>
      </c>
      <c r="E593" s="25"/>
      <c r="F593" s="21"/>
      <c r="G593" s="42" t="s">
        <v>28000</v>
      </c>
      <c r="H593" s="2" t="s">
        <v>50</v>
      </c>
      <c r="I593" s="2" t="s">
        <v>5824</v>
      </c>
      <c r="J593" s="2" t="s">
        <v>5816</v>
      </c>
      <c r="K593" s="2" t="s">
        <v>5818</v>
      </c>
      <c r="L593" s="2" t="s">
        <v>5820</v>
      </c>
      <c r="M593" s="2" t="s">
        <v>5820</v>
      </c>
      <c r="N593" s="2" t="s">
        <v>5821</v>
      </c>
      <c r="O593" s="2" t="s">
        <v>278</v>
      </c>
      <c r="P593" s="2" t="s">
        <v>5822</v>
      </c>
      <c r="Q593" s="2" t="s">
        <v>5818</v>
      </c>
      <c r="R593" s="2"/>
      <c r="S593" s="2"/>
      <c r="T593" s="2"/>
      <c r="U593" s="2" t="s">
        <v>5821</v>
      </c>
      <c r="V593" s="2" t="s">
        <v>278</v>
      </c>
      <c r="W593" s="2" t="s">
        <v>5822</v>
      </c>
      <c r="X593" s="2" t="s">
        <v>5823</v>
      </c>
      <c r="Y593" s="2" t="s">
        <v>44</v>
      </c>
      <c r="Z593" s="2"/>
      <c r="AA593" s="2" t="s">
        <v>45</v>
      </c>
      <c r="AB593" s="2" t="s">
        <v>46</v>
      </c>
      <c r="AC593" s="2" t="s">
        <v>45</v>
      </c>
      <c r="AE593" s="2" t="s">
        <v>48</v>
      </c>
      <c r="AF593" s="2" t="s">
        <v>49</v>
      </c>
      <c r="AG593" s="2">
        <v>100</v>
      </c>
      <c r="AH593" s="2">
        <v>85</v>
      </c>
      <c r="AJ593" s="2" t="s">
        <v>5825</v>
      </c>
      <c r="AK593" s="2"/>
      <c r="AL593" s="2"/>
      <c r="AM593" s="2" t="s">
        <v>52</v>
      </c>
    </row>
    <row r="594" spans="1:39" x14ac:dyDescent="0.45">
      <c r="A594" s="2" t="s">
        <v>5826</v>
      </c>
      <c r="B594" s="2"/>
      <c r="C594" s="2" t="s">
        <v>5828</v>
      </c>
      <c r="D594" s="2" t="s">
        <v>5830</v>
      </c>
      <c r="E594" s="25"/>
      <c r="F594" s="21"/>
      <c r="G594" s="42" t="s">
        <v>28000</v>
      </c>
      <c r="H594" s="2" t="s">
        <v>50</v>
      </c>
      <c r="I594" s="2" t="s">
        <v>5833</v>
      </c>
      <c r="J594" s="2" t="s">
        <v>5827</v>
      </c>
      <c r="K594" s="2" t="s">
        <v>5829</v>
      </c>
      <c r="L594" s="2" t="s">
        <v>5831</v>
      </c>
      <c r="M594" s="2" t="s">
        <v>5831</v>
      </c>
      <c r="N594" s="2" t="s">
        <v>1115</v>
      </c>
      <c r="O594" s="2" t="s">
        <v>1112</v>
      </c>
      <c r="P594" s="2" t="s">
        <v>2782</v>
      </c>
      <c r="Q594" s="2" t="s">
        <v>5829</v>
      </c>
      <c r="R594" s="2"/>
      <c r="S594" s="2"/>
      <c r="T594" s="2"/>
      <c r="U594" s="2" t="s">
        <v>1115</v>
      </c>
      <c r="V594" s="2" t="s">
        <v>1112</v>
      </c>
      <c r="W594" s="2" t="s">
        <v>2782</v>
      </c>
      <c r="X594" s="2" t="s">
        <v>5832</v>
      </c>
      <c r="Y594" s="2" t="s">
        <v>44</v>
      </c>
      <c r="Z594" s="2"/>
      <c r="AA594" s="2" t="s">
        <v>45</v>
      </c>
      <c r="AB594" s="2" t="s">
        <v>46</v>
      </c>
      <c r="AC594" s="2" t="s">
        <v>45</v>
      </c>
      <c r="AE594" s="2" t="s">
        <v>48</v>
      </c>
      <c r="AF594" s="2" t="s">
        <v>49</v>
      </c>
      <c r="AG594" s="2">
        <v>100</v>
      </c>
      <c r="AH594" s="2">
        <v>85</v>
      </c>
      <c r="AJ594" s="2" t="s">
        <v>5834</v>
      </c>
      <c r="AK594" s="2"/>
      <c r="AL594" s="2"/>
      <c r="AM594" s="2" t="s">
        <v>52</v>
      </c>
    </row>
    <row r="595" spans="1:39" x14ac:dyDescent="0.45">
      <c r="A595" s="2" t="s">
        <v>5835</v>
      </c>
      <c r="B595" s="2"/>
      <c r="C595" s="2" t="s">
        <v>5837</v>
      </c>
      <c r="D595" s="2" t="s">
        <v>5839</v>
      </c>
      <c r="E595" s="25"/>
      <c r="F595" s="21"/>
      <c r="G595" s="42" t="s">
        <v>28000</v>
      </c>
      <c r="H595" s="2" t="s">
        <v>50</v>
      </c>
      <c r="I595" s="2" t="s">
        <v>5845</v>
      </c>
      <c r="J595" s="2" t="s">
        <v>5836</v>
      </c>
      <c r="K595" s="2" t="s">
        <v>5838</v>
      </c>
      <c r="L595" s="2" t="s">
        <v>5840</v>
      </c>
      <c r="M595" s="2"/>
      <c r="N595" s="2" t="s">
        <v>1148</v>
      </c>
      <c r="O595" s="2" t="s">
        <v>278</v>
      </c>
      <c r="P595" s="2" t="s">
        <v>1149</v>
      </c>
      <c r="Q595" s="2" t="s">
        <v>5841</v>
      </c>
      <c r="R595" s="2"/>
      <c r="S595" s="2"/>
      <c r="T595" s="2"/>
      <c r="U595" s="2" t="s">
        <v>5842</v>
      </c>
      <c r="V595" s="2" t="s">
        <v>221</v>
      </c>
      <c r="W595" s="2" t="s">
        <v>5843</v>
      </c>
      <c r="X595" s="2" t="s">
        <v>5844</v>
      </c>
      <c r="Y595" s="2" t="s">
        <v>44</v>
      </c>
      <c r="Z595" s="2"/>
      <c r="AA595" s="2" t="s">
        <v>45</v>
      </c>
      <c r="AB595" s="2" t="s">
        <v>46</v>
      </c>
      <c r="AC595" s="2" t="s">
        <v>45</v>
      </c>
      <c r="AE595" s="2" t="s">
        <v>48</v>
      </c>
      <c r="AF595" s="2" t="s">
        <v>49</v>
      </c>
      <c r="AG595" s="2">
        <v>100</v>
      </c>
      <c r="AH595" s="2">
        <v>85</v>
      </c>
      <c r="AJ595" s="2" t="s">
        <v>5846</v>
      </c>
      <c r="AK595" s="2"/>
      <c r="AL595" s="2"/>
      <c r="AM595" s="2" t="s">
        <v>52</v>
      </c>
    </row>
    <row r="596" spans="1:39" x14ac:dyDescent="0.45">
      <c r="A596" s="2" t="s">
        <v>5847</v>
      </c>
      <c r="B596" s="2"/>
      <c r="C596" s="2" t="s">
        <v>5849</v>
      </c>
      <c r="D596" s="2" t="s">
        <v>5851</v>
      </c>
      <c r="E596" s="25"/>
      <c r="F596" s="21"/>
      <c r="G596" s="42" t="s">
        <v>28000</v>
      </c>
      <c r="H596" s="2" t="s">
        <v>50</v>
      </c>
      <c r="I596" s="2" t="s">
        <v>5853</v>
      </c>
      <c r="J596" s="2" t="s">
        <v>5848</v>
      </c>
      <c r="K596" s="2" t="s">
        <v>5850</v>
      </c>
      <c r="L596" s="2" t="s">
        <v>5852</v>
      </c>
      <c r="M596" s="2" t="s">
        <v>5852</v>
      </c>
      <c r="N596" s="2" t="s">
        <v>2962</v>
      </c>
      <c r="O596" s="2" t="s">
        <v>73</v>
      </c>
      <c r="P596" s="2" t="s">
        <v>2963</v>
      </c>
      <c r="Q596" s="2" t="s">
        <v>5850</v>
      </c>
      <c r="R596" s="2"/>
      <c r="S596" s="2"/>
      <c r="T596" s="2"/>
      <c r="U596" s="2" t="s">
        <v>2962</v>
      </c>
      <c r="V596" s="2" t="s">
        <v>73</v>
      </c>
      <c r="W596" s="2" t="s">
        <v>2963</v>
      </c>
      <c r="X596" s="2" t="s">
        <v>3055</v>
      </c>
      <c r="Y596" s="2" t="s">
        <v>44</v>
      </c>
      <c r="Z596" s="2"/>
      <c r="AA596" s="2" t="s">
        <v>45</v>
      </c>
      <c r="AB596" s="2" t="s">
        <v>46</v>
      </c>
      <c r="AC596" s="2" t="s">
        <v>45</v>
      </c>
      <c r="AE596" s="2" t="s">
        <v>48</v>
      </c>
      <c r="AF596" s="2" t="s">
        <v>49</v>
      </c>
      <c r="AG596" s="2">
        <v>100</v>
      </c>
      <c r="AH596" s="2">
        <v>85</v>
      </c>
      <c r="AJ596" s="2" t="s">
        <v>5854</v>
      </c>
      <c r="AK596" s="2"/>
      <c r="AL596" s="2"/>
      <c r="AM596" s="2" t="s">
        <v>52</v>
      </c>
    </row>
    <row r="597" spans="1:39" x14ac:dyDescent="0.45">
      <c r="A597" s="2" t="s">
        <v>5855</v>
      </c>
      <c r="B597" s="2"/>
      <c r="C597" s="2" t="s">
        <v>5857</v>
      </c>
      <c r="D597" s="2" t="s">
        <v>5859</v>
      </c>
      <c r="E597" s="25"/>
      <c r="F597" s="21"/>
      <c r="G597" s="42" t="s">
        <v>28000</v>
      </c>
      <c r="H597" s="2" t="s">
        <v>50</v>
      </c>
      <c r="I597" s="2" t="s">
        <v>5863</v>
      </c>
      <c r="J597" s="2" t="s">
        <v>5856</v>
      </c>
      <c r="K597" s="2" t="s">
        <v>5858</v>
      </c>
      <c r="L597" s="2" t="s">
        <v>5860</v>
      </c>
      <c r="M597" s="2" t="s">
        <v>5860</v>
      </c>
      <c r="N597" s="2" t="s">
        <v>2962</v>
      </c>
      <c r="O597" s="2" t="s">
        <v>73</v>
      </c>
      <c r="P597" s="2" t="s">
        <v>5861</v>
      </c>
      <c r="Q597" s="2" t="s">
        <v>5862</v>
      </c>
      <c r="R597" s="2"/>
      <c r="S597" s="2"/>
      <c r="T597" s="2"/>
      <c r="U597" s="2" t="s">
        <v>2962</v>
      </c>
      <c r="V597" s="2" t="s">
        <v>73</v>
      </c>
      <c r="W597" s="2" t="s">
        <v>5861</v>
      </c>
      <c r="X597" s="2" t="s">
        <v>1819</v>
      </c>
      <c r="Y597" s="2" t="s">
        <v>44</v>
      </c>
      <c r="Z597" s="2"/>
      <c r="AA597" s="2" t="s">
        <v>45</v>
      </c>
      <c r="AB597" s="2" t="s">
        <v>46</v>
      </c>
      <c r="AC597" s="2" t="s">
        <v>45</v>
      </c>
      <c r="AE597" s="2" t="s">
        <v>48</v>
      </c>
      <c r="AF597" s="2" t="s">
        <v>49</v>
      </c>
      <c r="AG597" s="2">
        <v>100</v>
      </c>
      <c r="AH597" s="2">
        <v>85</v>
      </c>
      <c r="AJ597" s="2" t="s">
        <v>5864</v>
      </c>
      <c r="AK597" s="2"/>
      <c r="AL597" s="2"/>
      <c r="AM597" s="2" t="s">
        <v>52</v>
      </c>
    </row>
    <row r="598" spans="1:39" x14ac:dyDescent="0.45">
      <c r="A598" s="2" t="s">
        <v>5865</v>
      </c>
      <c r="B598" s="2"/>
      <c r="C598" s="2" t="s">
        <v>5867</v>
      </c>
      <c r="D598" s="2" t="s">
        <v>5869</v>
      </c>
      <c r="E598" s="25"/>
      <c r="F598" s="21"/>
      <c r="G598" s="42" t="s">
        <v>28000</v>
      </c>
      <c r="H598" s="2" t="s">
        <v>50</v>
      </c>
      <c r="I598" s="2" t="s">
        <v>5873</v>
      </c>
      <c r="J598" s="2" t="s">
        <v>5866</v>
      </c>
      <c r="K598" s="2" t="s">
        <v>5868</v>
      </c>
      <c r="L598" s="2" t="s">
        <v>5870</v>
      </c>
      <c r="M598" s="2" t="s">
        <v>5870</v>
      </c>
      <c r="N598" s="2" t="s">
        <v>1161</v>
      </c>
      <c r="O598" s="2" t="s">
        <v>221</v>
      </c>
      <c r="P598" s="2" t="s">
        <v>5871</v>
      </c>
      <c r="Q598" s="2" t="s">
        <v>5868</v>
      </c>
      <c r="R598" s="2"/>
      <c r="S598" s="2"/>
      <c r="T598" s="2"/>
      <c r="U598" s="2" t="s">
        <v>1161</v>
      </c>
      <c r="V598" s="2" t="s">
        <v>221</v>
      </c>
      <c r="W598" s="2" t="s">
        <v>5871</v>
      </c>
      <c r="X598" s="2" t="s">
        <v>5872</v>
      </c>
      <c r="Y598" s="2" t="s">
        <v>44</v>
      </c>
      <c r="Z598" s="2"/>
      <c r="AA598" s="2" t="s">
        <v>45</v>
      </c>
      <c r="AB598" s="2" t="s">
        <v>46</v>
      </c>
      <c r="AC598" s="2" t="s">
        <v>45</v>
      </c>
      <c r="AE598" s="2" t="s">
        <v>48</v>
      </c>
      <c r="AF598" s="2" t="s">
        <v>49</v>
      </c>
      <c r="AG598" s="2">
        <v>100</v>
      </c>
      <c r="AH598" s="2">
        <v>85</v>
      </c>
      <c r="AJ598" s="2" t="s">
        <v>5874</v>
      </c>
      <c r="AK598" s="2"/>
      <c r="AL598" s="2"/>
      <c r="AM598" s="2" t="s">
        <v>52</v>
      </c>
    </row>
    <row r="599" spans="1:39" x14ac:dyDescent="0.45">
      <c r="A599" s="2" t="s">
        <v>5875</v>
      </c>
      <c r="B599" s="2"/>
      <c r="C599" s="2" t="s">
        <v>5877</v>
      </c>
      <c r="D599" s="2" t="s">
        <v>5879</v>
      </c>
      <c r="E599" s="25"/>
      <c r="F599" s="21"/>
      <c r="G599" s="42" t="s">
        <v>28000</v>
      </c>
      <c r="H599" s="2" t="s">
        <v>50</v>
      </c>
      <c r="I599" s="2" t="s">
        <v>5883</v>
      </c>
      <c r="J599" s="2" t="s">
        <v>5876</v>
      </c>
      <c r="K599" s="2" t="s">
        <v>5878</v>
      </c>
      <c r="L599" s="2" t="s">
        <v>5880</v>
      </c>
      <c r="M599" s="2" t="s">
        <v>5880</v>
      </c>
      <c r="N599" s="2" t="s">
        <v>1175</v>
      </c>
      <c r="O599" s="2" t="s">
        <v>1176</v>
      </c>
      <c r="P599" s="2" t="s">
        <v>5881</v>
      </c>
      <c r="Q599" s="2" t="s">
        <v>5878</v>
      </c>
      <c r="R599" s="2"/>
      <c r="S599" s="2"/>
      <c r="T599" s="2"/>
      <c r="U599" s="2" t="s">
        <v>1175</v>
      </c>
      <c r="V599" s="2" t="s">
        <v>1176</v>
      </c>
      <c r="W599" s="2" t="s">
        <v>5881</v>
      </c>
      <c r="X599" s="2" t="s">
        <v>5882</v>
      </c>
      <c r="Y599" s="2" t="s">
        <v>44</v>
      </c>
      <c r="Z599" s="2"/>
      <c r="AA599" s="2" t="s">
        <v>45</v>
      </c>
      <c r="AB599" s="2" t="s">
        <v>46</v>
      </c>
      <c r="AC599" s="2" t="s">
        <v>45</v>
      </c>
      <c r="AE599" s="2" t="s">
        <v>48</v>
      </c>
      <c r="AF599" s="2" t="s">
        <v>49</v>
      </c>
      <c r="AG599" s="2">
        <v>100</v>
      </c>
      <c r="AH599" s="2">
        <v>85</v>
      </c>
      <c r="AJ599" s="2" t="s">
        <v>5884</v>
      </c>
      <c r="AK599" s="2"/>
      <c r="AL599" s="2"/>
      <c r="AM599" s="2" t="s">
        <v>52</v>
      </c>
    </row>
    <row r="600" spans="1:39" x14ac:dyDescent="0.45">
      <c r="A600" s="2" t="s">
        <v>5885</v>
      </c>
      <c r="B600" s="2"/>
      <c r="C600" s="2" t="s">
        <v>5887</v>
      </c>
      <c r="D600" s="2" t="s">
        <v>5889</v>
      </c>
      <c r="E600" s="25"/>
      <c r="F600" s="21"/>
      <c r="G600" s="42" t="s">
        <v>28000</v>
      </c>
      <c r="H600" s="2" t="s">
        <v>50</v>
      </c>
      <c r="I600" s="2" t="s">
        <v>5895</v>
      </c>
      <c r="J600" s="2" t="s">
        <v>5886</v>
      </c>
      <c r="K600" s="2" t="s">
        <v>5888</v>
      </c>
      <c r="L600" s="2" t="s">
        <v>5890</v>
      </c>
      <c r="M600" s="2" t="s">
        <v>5890</v>
      </c>
      <c r="N600" s="2" t="s">
        <v>5891</v>
      </c>
      <c r="O600" s="2" t="s">
        <v>40</v>
      </c>
      <c r="P600" s="2" t="s">
        <v>5892</v>
      </c>
      <c r="Q600" s="2" t="s">
        <v>5893</v>
      </c>
      <c r="R600" s="2"/>
      <c r="S600" s="2"/>
      <c r="T600" s="2"/>
      <c r="U600" s="2" t="s">
        <v>39</v>
      </c>
      <c r="V600" s="2" t="s">
        <v>40</v>
      </c>
      <c r="W600" s="2" t="s">
        <v>453</v>
      </c>
      <c r="X600" s="2" t="s">
        <v>5894</v>
      </c>
      <c r="Y600" s="2" t="s">
        <v>44</v>
      </c>
      <c r="Z600" s="2"/>
      <c r="AA600" s="2" t="s">
        <v>45</v>
      </c>
      <c r="AB600" s="2" t="s">
        <v>46</v>
      </c>
      <c r="AC600" s="2" t="s">
        <v>45</v>
      </c>
      <c r="AE600" s="2" t="s">
        <v>48</v>
      </c>
      <c r="AF600" s="2" t="s">
        <v>49</v>
      </c>
      <c r="AG600" s="2">
        <v>100</v>
      </c>
      <c r="AH600" s="2">
        <v>85</v>
      </c>
      <c r="AJ600" s="2" t="s">
        <v>5896</v>
      </c>
      <c r="AK600" s="2"/>
      <c r="AL600" s="2"/>
      <c r="AM600" s="2" t="s">
        <v>52</v>
      </c>
    </row>
    <row r="601" spans="1:39" x14ac:dyDescent="0.45">
      <c r="A601" s="2" t="s">
        <v>5897</v>
      </c>
      <c r="B601" s="2"/>
      <c r="C601" s="2" t="s">
        <v>5899</v>
      </c>
      <c r="D601" s="2" t="s">
        <v>5901</v>
      </c>
      <c r="E601" s="25"/>
      <c r="F601" s="21"/>
      <c r="G601" s="42" t="s">
        <v>28000</v>
      </c>
      <c r="H601" s="2" t="s">
        <v>50</v>
      </c>
      <c r="I601" s="2" t="s">
        <v>5904</v>
      </c>
      <c r="J601" s="2" t="s">
        <v>5898</v>
      </c>
      <c r="K601" s="2" t="s">
        <v>5900</v>
      </c>
      <c r="L601" s="2" t="s">
        <v>5902</v>
      </c>
      <c r="M601" s="2" t="s">
        <v>5902</v>
      </c>
      <c r="N601" s="2" t="s">
        <v>1148</v>
      </c>
      <c r="O601" s="2" t="s">
        <v>278</v>
      </c>
      <c r="P601" s="2" t="s">
        <v>1149</v>
      </c>
      <c r="Q601" s="2" t="s">
        <v>5903</v>
      </c>
      <c r="R601" s="2"/>
      <c r="S601" s="2"/>
      <c r="T601" s="2"/>
      <c r="U601" s="2" t="s">
        <v>651</v>
      </c>
      <c r="V601" s="2" t="s">
        <v>86</v>
      </c>
      <c r="W601" s="2" t="s">
        <v>3073</v>
      </c>
      <c r="X601" s="2" t="s">
        <v>4687</v>
      </c>
      <c r="Y601" s="2" t="s">
        <v>44</v>
      </c>
      <c r="Z601" s="2"/>
      <c r="AA601" s="2" t="s">
        <v>45</v>
      </c>
      <c r="AB601" s="2" t="s">
        <v>46</v>
      </c>
      <c r="AC601" s="2" t="s">
        <v>45</v>
      </c>
      <c r="AE601" s="2" t="s">
        <v>48</v>
      </c>
      <c r="AF601" s="2" t="s">
        <v>49</v>
      </c>
      <c r="AG601" s="2">
        <v>100</v>
      </c>
      <c r="AH601" s="2">
        <v>85</v>
      </c>
      <c r="AJ601" s="2" t="s">
        <v>5905</v>
      </c>
      <c r="AK601" s="2"/>
      <c r="AL601" s="2"/>
      <c r="AM601" s="2" t="s">
        <v>52</v>
      </c>
    </row>
    <row r="602" spans="1:39" x14ac:dyDescent="0.45">
      <c r="A602" s="2" t="s">
        <v>5906</v>
      </c>
      <c r="B602" s="2"/>
      <c r="C602" s="2" t="s">
        <v>5908</v>
      </c>
      <c r="D602" s="2" t="s">
        <v>5910</v>
      </c>
      <c r="E602" s="25"/>
      <c r="F602" s="21"/>
      <c r="G602" s="42" t="s">
        <v>28000</v>
      </c>
      <c r="H602" s="2" t="s">
        <v>50</v>
      </c>
      <c r="I602" s="2" t="s">
        <v>5914</v>
      </c>
      <c r="J602" s="2" t="s">
        <v>5907</v>
      </c>
      <c r="K602" s="2" t="s">
        <v>5909</v>
      </c>
      <c r="L602" s="2" t="s">
        <v>5911</v>
      </c>
      <c r="M602" s="2"/>
      <c r="N602" s="2" t="s">
        <v>1136</v>
      </c>
      <c r="O602" s="2" t="s">
        <v>1137</v>
      </c>
      <c r="P602" s="2" t="s">
        <v>5912</v>
      </c>
      <c r="Q602" s="2" t="s">
        <v>5909</v>
      </c>
      <c r="R602" s="2"/>
      <c r="S602" s="2"/>
      <c r="T602" s="2"/>
      <c r="U602" s="2" t="s">
        <v>1136</v>
      </c>
      <c r="V602" s="2" t="s">
        <v>1137</v>
      </c>
      <c r="W602" s="2" t="s">
        <v>5912</v>
      </c>
      <c r="X602" s="2" t="s">
        <v>5913</v>
      </c>
      <c r="Y602" s="2" t="s">
        <v>44</v>
      </c>
      <c r="Z602" s="2"/>
      <c r="AA602" s="2" t="s">
        <v>45</v>
      </c>
      <c r="AB602" s="2" t="s">
        <v>46</v>
      </c>
      <c r="AC602" s="2" t="s">
        <v>45</v>
      </c>
      <c r="AE602" s="2" t="s">
        <v>48</v>
      </c>
      <c r="AF602" s="2" t="s">
        <v>49</v>
      </c>
      <c r="AG602" s="2">
        <v>100</v>
      </c>
      <c r="AH602" s="2">
        <v>85</v>
      </c>
      <c r="AJ602" s="2" t="s">
        <v>5915</v>
      </c>
      <c r="AK602" s="2"/>
      <c r="AL602" s="2"/>
      <c r="AM602" s="2" t="s">
        <v>52</v>
      </c>
    </row>
    <row r="603" spans="1:39" x14ac:dyDescent="0.45">
      <c r="A603" s="2" t="s">
        <v>5916</v>
      </c>
      <c r="B603" s="2"/>
      <c r="C603" s="2" t="s">
        <v>5918</v>
      </c>
      <c r="D603" s="2" t="s">
        <v>5920</v>
      </c>
      <c r="E603" s="25"/>
      <c r="F603" s="21"/>
      <c r="G603" s="42" t="s">
        <v>28000</v>
      </c>
      <c r="H603" s="2" t="s">
        <v>50</v>
      </c>
      <c r="I603" s="2" t="s">
        <v>5923</v>
      </c>
      <c r="J603" s="2" t="s">
        <v>5917</v>
      </c>
      <c r="K603" s="2" t="s">
        <v>5919</v>
      </c>
      <c r="L603" s="2" t="s">
        <v>5921</v>
      </c>
      <c r="M603" s="2" t="s">
        <v>5921</v>
      </c>
      <c r="N603" s="2" t="s">
        <v>5623</v>
      </c>
      <c r="O603" s="2" t="s">
        <v>40</v>
      </c>
      <c r="P603" s="2" t="s">
        <v>5624</v>
      </c>
      <c r="Q603" s="2" t="s">
        <v>5919</v>
      </c>
      <c r="R603" s="2"/>
      <c r="S603" s="2"/>
      <c r="T603" s="2"/>
      <c r="U603" s="2" t="s">
        <v>5623</v>
      </c>
      <c r="V603" s="2" t="s">
        <v>40</v>
      </c>
      <c r="W603" s="2" t="s">
        <v>5624</v>
      </c>
      <c r="X603" s="2" t="s">
        <v>5922</v>
      </c>
      <c r="Y603" s="2" t="s">
        <v>44</v>
      </c>
      <c r="Z603" s="2"/>
      <c r="AA603" s="2" t="s">
        <v>45</v>
      </c>
      <c r="AB603" s="2" t="s">
        <v>46</v>
      </c>
      <c r="AC603" s="2" t="s">
        <v>45</v>
      </c>
      <c r="AE603" s="2" t="s">
        <v>48</v>
      </c>
      <c r="AF603" s="2" t="s">
        <v>49</v>
      </c>
      <c r="AG603" s="2">
        <v>100</v>
      </c>
      <c r="AH603" s="2">
        <v>85</v>
      </c>
      <c r="AJ603" s="2" t="s">
        <v>5924</v>
      </c>
      <c r="AK603" s="2"/>
      <c r="AL603" s="2"/>
      <c r="AM603" s="2" t="s">
        <v>52</v>
      </c>
    </row>
    <row r="604" spans="1:39" x14ac:dyDescent="0.45">
      <c r="A604" s="2" t="s">
        <v>5925</v>
      </c>
      <c r="B604" s="2"/>
      <c r="C604" s="2" t="s">
        <v>5927</v>
      </c>
      <c r="D604" s="2" t="s">
        <v>5929</v>
      </c>
      <c r="E604" s="25"/>
      <c r="F604" s="21"/>
      <c r="G604" s="42" t="s">
        <v>28000</v>
      </c>
      <c r="H604" s="2" t="s">
        <v>50</v>
      </c>
      <c r="I604" s="2" t="s">
        <v>5934</v>
      </c>
      <c r="J604" s="2" t="s">
        <v>5926</v>
      </c>
      <c r="K604" s="2" t="s">
        <v>5928</v>
      </c>
      <c r="L604" s="2" t="s">
        <v>5930</v>
      </c>
      <c r="M604" s="2" t="s">
        <v>5930</v>
      </c>
      <c r="N604" s="2" t="s">
        <v>5931</v>
      </c>
      <c r="O604" s="2" t="s">
        <v>1112</v>
      </c>
      <c r="P604" s="2" t="s">
        <v>5932</v>
      </c>
      <c r="Q604" s="2" t="s">
        <v>5933</v>
      </c>
      <c r="R604" s="2"/>
      <c r="S604" s="2"/>
      <c r="T604" s="2"/>
      <c r="U604" s="2" t="s">
        <v>5931</v>
      </c>
      <c r="V604" s="2" t="s">
        <v>1112</v>
      </c>
      <c r="W604" s="2" t="s">
        <v>5932</v>
      </c>
      <c r="X604" s="2" t="s">
        <v>610</v>
      </c>
      <c r="Y604" s="2" t="s">
        <v>44</v>
      </c>
      <c r="Z604" s="2"/>
      <c r="AA604" s="2" t="s">
        <v>45</v>
      </c>
      <c r="AB604" s="2" t="s">
        <v>46</v>
      </c>
      <c r="AC604" s="2" t="s">
        <v>45</v>
      </c>
      <c r="AE604" s="2" t="s">
        <v>48</v>
      </c>
      <c r="AF604" s="2" t="s">
        <v>49</v>
      </c>
      <c r="AG604" s="2">
        <v>100</v>
      </c>
      <c r="AH604" s="2">
        <v>85</v>
      </c>
      <c r="AJ604" s="2" t="s">
        <v>5935</v>
      </c>
      <c r="AK604" s="2"/>
      <c r="AL604" s="2"/>
      <c r="AM604" s="2" t="s">
        <v>52</v>
      </c>
    </row>
    <row r="605" spans="1:39" x14ac:dyDescent="0.45">
      <c r="A605" s="2" t="s">
        <v>5936</v>
      </c>
      <c r="B605" s="2"/>
      <c r="C605" s="2" t="s">
        <v>5938</v>
      </c>
      <c r="D605" s="2" t="s">
        <v>5940</v>
      </c>
      <c r="E605" s="25"/>
      <c r="F605" s="21"/>
      <c r="G605" s="42" t="s">
        <v>28000</v>
      </c>
      <c r="H605" s="2" t="s">
        <v>50</v>
      </c>
      <c r="I605" s="2" t="s">
        <v>5944</v>
      </c>
      <c r="J605" s="2" t="s">
        <v>5937</v>
      </c>
      <c r="K605" s="2" t="s">
        <v>5939</v>
      </c>
      <c r="L605" s="2" t="s">
        <v>5941</v>
      </c>
      <c r="M605" s="2" t="s">
        <v>5941</v>
      </c>
      <c r="N605" s="2" t="s">
        <v>1148</v>
      </c>
      <c r="O605" s="2" t="s">
        <v>278</v>
      </c>
      <c r="P605" s="2" t="s">
        <v>1149</v>
      </c>
      <c r="Q605" s="2" t="s">
        <v>5942</v>
      </c>
      <c r="R605" s="2"/>
      <c r="S605" s="2"/>
      <c r="T605" s="2"/>
      <c r="U605" s="2" t="s">
        <v>1188</v>
      </c>
      <c r="V605" s="2" t="s">
        <v>221</v>
      </c>
      <c r="W605" s="2" t="s">
        <v>1189</v>
      </c>
      <c r="X605" s="2" t="s">
        <v>5943</v>
      </c>
      <c r="Y605" s="2" t="s">
        <v>44</v>
      </c>
      <c r="Z605" s="2"/>
      <c r="AA605" s="2" t="s">
        <v>45</v>
      </c>
      <c r="AB605" s="2" t="s">
        <v>46</v>
      </c>
      <c r="AC605" s="2" t="s">
        <v>45</v>
      </c>
      <c r="AE605" s="2" t="s">
        <v>48</v>
      </c>
      <c r="AF605" s="2" t="s">
        <v>49</v>
      </c>
      <c r="AG605" s="2">
        <v>100</v>
      </c>
      <c r="AH605" s="2">
        <v>85</v>
      </c>
      <c r="AJ605" s="2" t="s">
        <v>5945</v>
      </c>
      <c r="AK605" s="2"/>
      <c r="AL605" s="2"/>
      <c r="AM605" s="2" t="s">
        <v>52</v>
      </c>
    </row>
    <row r="606" spans="1:39" x14ac:dyDescent="0.45">
      <c r="A606" s="2" t="s">
        <v>5946</v>
      </c>
      <c r="B606" s="2"/>
      <c r="C606" s="2" t="s">
        <v>5948</v>
      </c>
      <c r="D606" s="2" t="s">
        <v>5950</v>
      </c>
      <c r="E606" s="25"/>
      <c r="F606" s="21"/>
      <c r="G606" s="42" t="s">
        <v>28000</v>
      </c>
      <c r="H606" s="2" t="s">
        <v>50</v>
      </c>
      <c r="I606" s="2" t="s">
        <v>5953</v>
      </c>
      <c r="J606" s="2" t="s">
        <v>5947</v>
      </c>
      <c r="K606" s="2" t="s">
        <v>5949</v>
      </c>
      <c r="L606" s="2" t="s">
        <v>5951</v>
      </c>
      <c r="M606" s="2" t="s">
        <v>5951</v>
      </c>
      <c r="N606" s="2" t="s">
        <v>1115</v>
      </c>
      <c r="O606" s="2" t="s">
        <v>1112</v>
      </c>
      <c r="P606" s="2" t="s">
        <v>5952</v>
      </c>
      <c r="Q606" s="2" t="s">
        <v>5949</v>
      </c>
      <c r="R606" s="2"/>
      <c r="S606" s="2"/>
      <c r="T606" s="2"/>
      <c r="U606" s="2" t="s">
        <v>1115</v>
      </c>
      <c r="V606" s="2" t="s">
        <v>1112</v>
      </c>
      <c r="W606" s="2" t="s">
        <v>5952</v>
      </c>
      <c r="X606" s="2" t="s">
        <v>3112</v>
      </c>
      <c r="Y606" s="2" t="s">
        <v>44</v>
      </c>
      <c r="Z606" s="2"/>
      <c r="AA606" s="2" t="s">
        <v>45</v>
      </c>
      <c r="AB606" s="2" t="s">
        <v>46</v>
      </c>
      <c r="AC606" s="2" t="s">
        <v>45</v>
      </c>
      <c r="AE606" s="2" t="s">
        <v>48</v>
      </c>
      <c r="AF606" s="2" t="s">
        <v>49</v>
      </c>
      <c r="AG606" s="2">
        <v>100</v>
      </c>
      <c r="AH606" s="2">
        <v>85</v>
      </c>
      <c r="AJ606" s="2" t="s">
        <v>5954</v>
      </c>
      <c r="AK606" s="2"/>
      <c r="AL606" s="2"/>
      <c r="AM606" s="2" t="s">
        <v>52</v>
      </c>
    </row>
    <row r="607" spans="1:39" x14ac:dyDescent="0.45">
      <c r="A607" s="2" t="s">
        <v>5955</v>
      </c>
      <c r="B607" s="2"/>
      <c r="C607" s="2" t="s">
        <v>5957</v>
      </c>
      <c r="D607" s="2" t="s">
        <v>5959</v>
      </c>
      <c r="E607" s="25"/>
      <c r="F607" s="21"/>
      <c r="G607" s="42" t="s">
        <v>28000</v>
      </c>
      <c r="H607" s="2" t="s">
        <v>50</v>
      </c>
      <c r="I607" s="2" t="s">
        <v>5964</v>
      </c>
      <c r="J607" s="2" t="s">
        <v>5956</v>
      </c>
      <c r="K607" s="2" t="s">
        <v>5958</v>
      </c>
      <c r="L607" s="2" t="s">
        <v>5960</v>
      </c>
      <c r="M607" s="2" t="s">
        <v>5960</v>
      </c>
      <c r="N607" s="2" t="s">
        <v>1269</v>
      </c>
      <c r="O607" s="2" t="s">
        <v>1176</v>
      </c>
      <c r="P607" s="2" t="s">
        <v>5961</v>
      </c>
      <c r="Q607" s="2" t="s">
        <v>5962</v>
      </c>
      <c r="R607" s="2"/>
      <c r="S607" s="2"/>
      <c r="T607" s="2"/>
      <c r="U607" s="2" t="s">
        <v>1269</v>
      </c>
      <c r="V607" s="2" t="s">
        <v>1176</v>
      </c>
      <c r="W607" s="2" t="s">
        <v>5963</v>
      </c>
      <c r="X607" s="2" t="s">
        <v>1190</v>
      </c>
      <c r="Y607" s="2" t="s">
        <v>44</v>
      </c>
      <c r="Z607" s="2"/>
      <c r="AA607" s="2" t="s">
        <v>45</v>
      </c>
      <c r="AB607" s="2" t="s">
        <v>46</v>
      </c>
      <c r="AC607" s="2" t="s">
        <v>45</v>
      </c>
      <c r="AE607" s="2" t="s">
        <v>48</v>
      </c>
      <c r="AF607" s="2" t="s">
        <v>49</v>
      </c>
      <c r="AG607" s="2">
        <v>100</v>
      </c>
      <c r="AH607" s="2">
        <v>85</v>
      </c>
      <c r="AJ607" s="2" t="s">
        <v>5965</v>
      </c>
      <c r="AK607" s="2"/>
      <c r="AL607" s="2"/>
      <c r="AM607" s="2" t="s">
        <v>52</v>
      </c>
    </row>
    <row r="608" spans="1:39" x14ac:dyDescent="0.45">
      <c r="A608" s="2" t="s">
        <v>5966</v>
      </c>
      <c r="B608" s="2"/>
      <c r="C608" s="2" t="s">
        <v>5968</v>
      </c>
      <c r="D608" s="2" t="s">
        <v>5970</v>
      </c>
      <c r="E608" s="25"/>
      <c r="F608" s="21"/>
      <c r="G608" s="42" t="s">
        <v>28000</v>
      </c>
      <c r="H608" s="2" t="s">
        <v>50</v>
      </c>
      <c r="I608" s="2" t="s">
        <v>5976</v>
      </c>
      <c r="J608" s="2" t="s">
        <v>5967</v>
      </c>
      <c r="K608" s="2" t="s">
        <v>5969</v>
      </c>
      <c r="L608" s="2" t="s">
        <v>5971</v>
      </c>
      <c r="M608" s="2" t="s">
        <v>5971</v>
      </c>
      <c r="N608" s="2" t="s">
        <v>5972</v>
      </c>
      <c r="O608" s="2" t="s">
        <v>221</v>
      </c>
      <c r="P608" s="2" t="s">
        <v>5973</v>
      </c>
      <c r="Q608" s="2" t="s">
        <v>5974</v>
      </c>
      <c r="R608" s="2"/>
      <c r="S608" s="2"/>
      <c r="T608" s="2"/>
      <c r="U608" s="2" t="s">
        <v>72</v>
      </c>
      <c r="V608" s="2" t="s">
        <v>73</v>
      </c>
      <c r="W608" s="2" t="s">
        <v>1568</v>
      </c>
      <c r="X608" s="2" t="s">
        <v>5975</v>
      </c>
      <c r="Y608" s="2" t="s">
        <v>44</v>
      </c>
      <c r="Z608" s="2"/>
      <c r="AA608" s="2" t="s">
        <v>45</v>
      </c>
      <c r="AB608" s="2" t="s">
        <v>46</v>
      </c>
      <c r="AC608" s="2" t="s">
        <v>45</v>
      </c>
      <c r="AE608" s="2" t="s">
        <v>48</v>
      </c>
      <c r="AF608" s="2" t="s">
        <v>49</v>
      </c>
      <c r="AG608" s="2">
        <v>100</v>
      </c>
      <c r="AH608" s="2">
        <v>85</v>
      </c>
      <c r="AJ608" s="2" t="s">
        <v>5977</v>
      </c>
      <c r="AK608" s="2"/>
      <c r="AL608" s="2"/>
      <c r="AM608" s="2" t="s">
        <v>52</v>
      </c>
    </row>
    <row r="609" spans="1:39" x14ac:dyDescent="0.45">
      <c r="A609" s="2" t="s">
        <v>5978</v>
      </c>
      <c r="B609" s="2"/>
      <c r="C609" s="2" t="s">
        <v>5980</v>
      </c>
      <c r="D609" s="2" t="s">
        <v>5982</v>
      </c>
      <c r="E609" s="25"/>
      <c r="F609" s="21"/>
      <c r="G609" s="42" t="s">
        <v>28000</v>
      </c>
      <c r="H609" s="2" t="s">
        <v>50</v>
      </c>
      <c r="I609" s="2" t="s">
        <v>5988</v>
      </c>
      <c r="J609" s="2" t="s">
        <v>5979</v>
      </c>
      <c r="K609" s="2" t="s">
        <v>5981</v>
      </c>
      <c r="L609" s="2" t="s">
        <v>5983</v>
      </c>
      <c r="M609" s="2"/>
      <c r="N609" s="2" t="s">
        <v>5984</v>
      </c>
      <c r="O609" s="2" t="s">
        <v>313</v>
      </c>
      <c r="P609" s="2" t="s">
        <v>5985</v>
      </c>
      <c r="Q609" s="2" t="s">
        <v>5981</v>
      </c>
      <c r="R609" s="2" t="s">
        <v>5986</v>
      </c>
      <c r="S609" s="2"/>
      <c r="T609" s="2"/>
      <c r="U609" s="2" t="s">
        <v>5984</v>
      </c>
      <c r="V609" s="2" t="s">
        <v>313</v>
      </c>
      <c r="W609" s="2" t="s">
        <v>5985</v>
      </c>
      <c r="X609" s="2" t="s">
        <v>5987</v>
      </c>
      <c r="Y609" s="2" t="s">
        <v>44</v>
      </c>
      <c r="Z609" s="2"/>
      <c r="AA609" s="2" t="s">
        <v>821</v>
      </c>
      <c r="AB609" s="2" t="s">
        <v>46</v>
      </c>
      <c r="AC609" s="2" t="s">
        <v>821</v>
      </c>
      <c r="AE609" s="2" t="s">
        <v>48</v>
      </c>
      <c r="AF609" s="2" t="s">
        <v>49</v>
      </c>
      <c r="AG609" s="2">
        <v>100</v>
      </c>
      <c r="AH609" s="2">
        <v>82</v>
      </c>
      <c r="AJ609" s="2" t="s">
        <v>5989</v>
      </c>
      <c r="AK609" s="2"/>
      <c r="AL609" s="2"/>
      <c r="AM609" s="2" t="s">
        <v>52</v>
      </c>
    </row>
    <row r="610" spans="1:39" x14ac:dyDescent="0.45">
      <c r="A610" s="2" t="s">
        <v>5990</v>
      </c>
      <c r="B610" s="2"/>
      <c r="C610" s="2" t="s">
        <v>5992</v>
      </c>
      <c r="D610" s="2" t="s">
        <v>5994</v>
      </c>
      <c r="E610" s="25"/>
      <c r="F610" s="21"/>
      <c r="G610" s="42" t="s">
        <v>28000</v>
      </c>
      <c r="H610" s="2" t="s">
        <v>50</v>
      </c>
      <c r="I610" s="2" t="s">
        <v>5999</v>
      </c>
      <c r="J610" s="2" t="s">
        <v>5991</v>
      </c>
      <c r="K610" s="2" t="s">
        <v>5993</v>
      </c>
      <c r="L610" s="2" t="s">
        <v>5995</v>
      </c>
      <c r="M610" s="2" t="s">
        <v>5995</v>
      </c>
      <c r="N610" s="2" t="s">
        <v>1136</v>
      </c>
      <c r="O610" s="2" t="s">
        <v>1137</v>
      </c>
      <c r="P610" s="2" t="s">
        <v>5996</v>
      </c>
      <c r="Q610" s="2" t="s">
        <v>5997</v>
      </c>
      <c r="R610" s="2"/>
      <c r="S610" s="2"/>
      <c r="T610" s="2"/>
      <c r="U610" s="2" t="s">
        <v>1136</v>
      </c>
      <c r="V610" s="2" t="s">
        <v>1137</v>
      </c>
      <c r="W610" s="2" t="s">
        <v>5996</v>
      </c>
      <c r="X610" s="2" t="s">
        <v>5998</v>
      </c>
      <c r="Y610" s="2" t="s">
        <v>44</v>
      </c>
      <c r="Z610" s="2"/>
      <c r="AA610" s="2" t="s">
        <v>821</v>
      </c>
      <c r="AB610" s="2" t="s">
        <v>46</v>
      </c>
      <c r="AC610" s="2" t="s">
        <v>821</v>
      </c>
      <c r="AE610" s="2" t="s">
        <v>48</v>
      </c>
      <c r="AF610" s="2" t="s">
        <v>49</v>
      </c>
      <c r="AG610" s="2">
        <v>100</v>
      </c>
      <c r="AH610" s="2">
        <v>82</v>
      </c>
      <c r="AJ610" s="2" t="s">
        <v>6000</v>
      </c>
      <c r="AK610" s="2"/>
      <c r="AL610" s="2"/>
      <c r="AM610" s="2" t="s">
        <v>52</v>
      </c>
    </row>
    <row r="611" spans="1:39" x14ac:dyDescent="0.45">
      <c r="A611" s="2" t="s">
        <v>6001</v>
      </c>
      <c r="B611" s="2"/>
      <c r="C611" s="2" t="s">
        <v>6003</v>
      </c>
      <c r="D611" s="2" t="s">
        <v>6005</v>
      </c>
      <c r="E611" s="25"/>
      <c r="F611" s="21"/>
      <c r="G611" s="42" t="s">
        <v>28000</v>
      </c>
      <c r="H611" s="2" t="s">
        <v>50</v>
      </c>
      <c r="I611" s="2" t="s">
        <v>6011</v>
      </c>
      <c r="J611" s="2" t="s">
        <v>6002</v>
      </c>
      <c r="K611" s="2" t="s">
        <v>6004</v>
      </c>
      <c r="L611" s="2" t="s">
        <v>6006</v>
      </c>
      <c r="M611" s="2" t="s">
        <v>6006</v>
      </c>
      <c r="N611" s="2" t="s">
        <v>1280</v>
      </c>
      <c r="O611" s="2" t="s">
        <v>1281</v>
      </c>
      <c r="P611" s="2" t="s">
        <v>6007</v>
      </c>
      <c r="Q611" s="2" t="s">
        <v>6008</v>
      </c>
      <c r="R611" s="2"/>
      <c r="S611" s="2"/>
      <c r="T611" s="2"/>
      <c r="U611" s="2" t="s">
        <v>1280</v>
      </c>
      <c r="V611" s="2" t="s">
        <v>1281</v>
      </c>
      <c r="W611" s="2" t="s">
        <v>6009</v>
      </c>
      <c r="X611" s="2" t="s">
        <v>6010</v>
      </c>
      <c r="Y611" s="2" t="s">
        <v>44</v>
      </c>
      <c r="Z611" s="2"/>
      <c r="AA611" s="2" t="s">
        <v>821</v>
      </c>
      <c r="AB611" s="2" t="s">
        <v>46</v>
      </c>
      <c r="AC611" s="2" t="s">
        <v>821</v>
      </c>
      <c r="AE611" s="2" t="s">
        <v>48</v>
      </c>
      <c r="AF611" s="2" t="s">
        <v>49</v>
      </c>
      <c r="AG611" s="2">
        <v>100</v>
      </c>
      <c r="AH611" s="2">
        <v>82</v>
      </c>
      <c r="AJ611" s="2" t="s">
        <v>6012</v>
      </c>
      <c r="AK611" s="2"/>
      <c r="AL611" s="2"/>
      <c r="AM611" s="2" t="s">
        <v>52</v>
      </c>
    </row>
    <row r="612" spans="1:39" x14ac:dyDescent="0.45">
      <c r="A612" s="2" t="s">
        <v>6013</v>
      </c>
      <c r="B612" s="2"/>
      <c r="C612" s="2" t="s">
        <v>6015</v>
      </c>
      <c r="D612" s="2" t="s">
        <v>6017</v>
      </c>
      <c r="E612" s="25"/>
      <c r="F612" s="21"/>
      <c r="G612" s="42" t="s">
        <v>28000</v>
      </c>
      <c r="H612" s="2" t="s">
        <v>50</v>
      </c>
      <c r="I612" s="2" t="s">
        <v>6021</v>
      </c>
      <c r="J612" s="2" t="s">
        <v>6014</v>
      </c>
      <c r="K612" s="2" t="s">
        <v>6016</v>
      </c>
      <c r="L612" s="2" t="s">
        <v>6018</v>
      </c>
      <c r="M612" s="2" t="s">
        <v>6018</v>
      </c>
      <c r="N612" s="2" t="s">
        <v>1175</v>
      </c>
      <c r="O612" s="2" t="s">
        <v>1176</v>
      </c>
      <c r="P612" s="2" t="s">
        <v>6019</v>
      </c>
      <c r="Q612" s="2" t="s">
        <v>6016</v>
      </c>
      <c r="R612" s="2"/>
      <c r="S612" s="2"/>
      <c r="T612" s="2"/>
      <c r="U612" s="2" t="s">
        <v>1175</v>
      </c>
      <c r="V612" s="2" t="s">
        <v>1176</v>
      </c>
      <c r="W612" s="2" t="s">
        <v>6019</v>
      </c>
      <c r="X612" s="2" t="s">
        <v>6020</v>
      </c>
      <c r="Y612" s="2" t="s">
        <v>44</v>
      </c>
      <c r="Z612" s="2"/>
      <c r="AA612" s="2" t="s">
        <v>821</v>
      </c>
      <c r="AB612" s="2" t="s">
        <v>46</v>
      </c>
      <c r="AC612" s="2" t="s">
        <v>821</v>
      </c>
      <c r="AE612" s="2" t="s">
        <v>48</v>
      </c>
      <c r="AF612" s="2" t="s">
        <v>49</v>
      </c>
      <c r="AG612" s="2">
        <v>100</v>
      </c>
      <c r="AH612" s="2">
        <v>82</v>
      </c>
      <c r="AJ612" s="2" t="s">
        <v>6022</v>
      </c>
      <c r="AK612" s="2"/>
      <c r="AL612" s="2"/>
      <c r="AM612" s="2" t="s">
        <v>52</v>
      </c>
    </row>
    <row r="613" spans="1:39" x14ac:dyDescent="0.45">
      <c r="A613" s="2" t="s">
        <v>6023</v>
      </c>
      <c r="B613" s="2"/>
      <c r="C613" s="2" t="s">
        <v>6025</v>
      </c>
      <c r="D613" s="2" t="s">
        <v>6027</v>
      </c>
      <c r="E613" s="25"/>
      <c r="F613" s="21"/>
      <c r="G613" s="42" t="s">
        <v>28000</v>
      </c>
      <c r="H613" s="2" t="s">
        <v>50</v>
      </c>
      <c r="I613" s="2" t="s">
        <v>6033</v>
      </c>
      <c r="J613" s="2" t="s">
        <v>6024</v>
      </c>
      <c r="K613" s="2" t="s">
        <v>6026</v>
      </c>
      <c r="L613" s="2" t="s">
        <v>6028</v>
      </c>
      <c r="M613" s="2" t="s">
        <v>6028</v>
      </c>
      <c r="N613" s="2" t="s">
        <v>6029</v>
      </c>
      <c r="O613" s="2" t="s">
        <v>278</v>
      </c>
      <c r="P613" s="2" t="s">
        <v>6030</v>
      </c>
      <c r="Q613" s="2" t="s">
        <v>6031</v>
      </c>
      <c r="R613" s="2"/>
      <c r="S613" s="2"/>
      <c r="T613" s="2"/>
      <c r="U613" s="2" t="s">
        <v>72</v>
      </c>
      <c r="V613" s="2" t="s">
        <v>73</v>
      </c>
      <c r="W613" s="2" t="s">
        <v>1568</v>
      </c>
      <c r="X613" s="2" t="s">
        <v>6032</v>
      </c>
      <c r="Y613" s="2" t="s">
        <v>44</v>
      </c>
      <c r="Z613" s="2"/>
      <c r="AA613" s="2" t="s">
        <v>821</v>
      </c>
      <c r="AB613" s="2" t="s">
        <v>46</v>
      </c>
      <c r="AC613" s="2" t="s">
        <v>821</v>
      </c>
      <c r="AE613" s="2" t="s">
        <v>48</v>
      </c>
      <c r="AF613" s="2" t="s">
        <v>49</v>
      </c>
      <c r="AG613" s="2">
        <v>100</v>
      </c>
      <c r="AH613" s="2">
        <v>82</v>
      </c>
      <c r="AJ613" s="2" t="s">
        <v>6034</v>
      </c>
      <c r="AK613" s="2"/>
      <c r="AL613" s="2"/>
      <c r="AM613" s="2" t="s">
        <v>52</v>
      </c>
    </row>
    <row r="614" spans="1:39" x14ac:dyDescent="0.45">
      <c r="A614" s="2" t="s">
        <v>6035</v>
      </c>
      <c r="B614" s="2"/>
      <c r="C614" s="2" t="s">
        <v>6037</v>
      </c>
      <c r="D614" s="2" t="s">
        <v>6039</v>
      </c>
      <c r="E614" s="25"/>
      <c r="F614" s="21"/>
      <c r="G614" s="42" t="s">
        <v>28000</v>
      </c>
      <c r="H614" s="2" t="s">
        <v>50</v>
      </c>
      <c r="I614" s="2" t="s">
        <v>6043</v>
      </c>
      <c r="J614" s="2" t="s">
        <v>6036</v>
      </c>
      <c r="K614" s="2" t="s">
        <v>6038</v>
      </c>
      <c r="L614" s="2" t="s">
        <v>6040</v>
      </c>
      <c r="M614" s="2" t="s">
        <v>6040</v>
      </c>
      <c r="N614" s="2" t="s">
        <v>1161</v>
      </c>
      <c r="O614" s="2" t="s">
        <v>221</v>
      </c>
      <c r="P614" s="2" t="s">
        <v>6041</v>
      </c>
      <c r="Q614" s="2" t="s">
        <v>6042</v>
      </c>
      <c r="R614" s="2"/>
      <c r="S614" s="2"/>
      <c r="T614" s="2"/>
      <c r="U614" s="2" t="s">
        <v>216</v>
      </c>
      <c r="V614" s="2" t="s">
        <v>217</v>
      </c>
      <c r="W614" s="2" t="s">
        <v>1151</v>
      </c>
      <c r="X614" s="2" t="s">
        <v>2547</v>
      </c>
      <c r="Y614" s="2" t="s">
        <v>44</v>
      </c>
      <c r="Z614" s="2"/>
      <c r="AA614" s="2" t="s">
        <v>821</v>
      </c>
      <c r="AB614" s="2" t="s">
        <v>46</v>
      </c>
      <c r="AC614" s="2" t="s">
        <v>821</v>
      </c>
      <c r="AE614" s="2" t="s">
        <v>48</v>
      </c>
      <c r="AF614" s="2" t="s">
        <v>49</v>
      </c>
      <c r="AG614" s="2">
        <v>100</v>
      </c>
      <c r="AH614" s="2">
        <v>82</v>
      </c>
      <c r="AJ614" s="2" t="s">
        <v>6044</v>
      </c>
      <c r="AK614" s="2"/>
      <c r="AL614" s="2"/>
      <c r="AM614" s="2" t="s">
        <v>52</v>
      </c>
    </row>
    <row r="615" spans="1:39" x14ac:dyDescent="0.45">
      <c r="A615" s="2" t="s">
        <v>6045</v>
      </c>
      <c r="B615" s="2"/>
      <c r="C615" s="2" t="s">
        <v>6047</v>
      </c>
      <c r="D615" s="2" t="s">
        <v>6049</v>
      </c>
      <c r="E615" s="25"/>
      <c r="F615" s="21"/>
      <c r="G615" s="42" t="s">
        <v>28000</v>
      </c>
      <c r="H615" s="2" t="s">
        <v>50</v>
      </c>
      <c r="I615" s="2" t="s">
        <v>6054</v>
      </c>
      <c r="J615" s="2" t="s">
        <v>6046</v>
      </c>
      <c r="K615" s="2" t="s">
        <v>6048</v>
      </c>
      <c r="L615" s="2" t="s">
        <v>6050</v>
      </c>
      <c r="M615" s="2" t="s">
        <v>6050</v>
      </c>
      <c r="N615" s="2" t="s">
        <v>6051</v>
      </c>
      <c r="O615" s="2" t="s">
        <v>6051</v>
      </c>
      <c r="P615" s="2" t="s">
        <v>6052</v>
      </c>
      <c r="Q615" s="2" t="s">
        <v>6053</v>
      </c>
      <c r="R615" s="2"/>
      <c r="S615" s="2"/>
      <c r="T615" s="2"/>
      <c r="U615" s="2" t="s">
        <v>6051</v>
      </c>
      <c r="V615" s="2" t="s">
        <v>6051</v>
      </c>
      <c r="W615" s="2" t="s">
        <v>6052</v>
      </c>
      <c r="X615" s="2" t="s">
        <v>570</v>
      </c>
      <c r="Y615" s="2" t="s">
        <v>44</v>
      </c>
      <c r="Z615" s="2"/>
      <c r="AA615" s="2" t="s">
        <v>821</v>
      </c>
      <c r="AB615" s="2" t="s">
        <v>46</v>
      </c>
      <c r="AC615" s="2" t="s">
        <v>821</v>
      </c>
      <c r="AE615" s="2" t="s">
        <v>48</v>
      </c>
      <c r="AF615" s="2" t="s">
        <v>49</v>
      </c>
      <c r="AG615" s="2">
        <v>100</v>
      </c>
      <c r="AH615" s="2">
        <v>82</v>
      </c>
      <c r="AJ615" s="2" t="s">
        <v>6055</v>
      </c>
      <c r="AK615" s="2"/>
      <c r="AL615" s="2"/>
      <c r="AM615" s="2" t="s">
        <v>52</v>
      </c>
    </row>
    <row r="616" spans="1:39" x14ac:dyDescent="0.45">
      <c r="A616" s="2" t="s">
        <v>6056</v>
      </c>
      <c r="B616" s="2"/>
      <c r="C616" s="2" t="s">
        <v>6058</v>
      </c>
      <c r="D616" s="2" t="s">
        <v>6060</v>
      </c>
      <c r="E616" s="25"/>
      <c r="F616" s="21"/>
      <c r="G616" s="42" t="s">
        <v>28000</v>
      </c>
      <c r="H616" s="2" t="s">
        <v>50</v>
      </c>
      <c r="I616" s="2" t="s">
        <v>6064</v>
      </c>
      <c r="J616" s="2" t="s">
        <v>6057</v>
      </c>
      <c r="K616" s="2" t="s">
        <v>6059</v>
      </c>
      <c r="L616" s="2" t="s">
        <v>6061</v>
      </c>
      <c r="M616" s="2" t="s">
        <v>6061</v>
      </c>
      <c r="N616" s="2" t="s">
        <v>6062</v>
      </c>
      <c r="O616" s="2" t="s">
        <v>217</v>
      </c>
      <c r="P616" s="2" t="s">
        <v>6063</v>
      </c>
      <c r="Q616" s="2" t="s">
        <v>6059</v>
      </c>
      <c r="R616" s="2"/>
      <c r="S616" s="2"/>
      <c r="T616" s="2"/>
      <c r="U616" s="2" t="s">
        <v>6062</v>
      </c>
      <c r="V616" s="2" t="s">
        <v>217</v>
      </c>
      <c r="W616" s="2" t="s">
        <v>6063</v>
      </c>
      <c r="X616" s="2" t="s">
        <v>4532</v>
      </c>
      <c r="Y616" s="2" t="s">
        <v>44</v>
      </c>
      <c r="Z616" s="2"/>
      <c r="AA616" s="2" t="s">
        <v>821</v>
      </c>
      <c r="AB616" s="2" t="s">
        <v>46</v>
      </c>
      <c r="AC616" s="2" t="s">
        <v>821</v>
      </c>
      <c r="AE616" s="2" t="s">
        <v>48</v>
      </c>
      <c r="AF616" s="2" t="s">
        <v>49</v>
      </c>
      <c r="AG616" s="2">
        <v>100</v>
      </c>
      <c r="AH616" s="2">
        <v>82</v>
      </c>
      <c r="AJ616" s="2" t="s">
        <v>6065</v>
      </c>
      <c r="AK616" s="2"/>
      <c r="AL616" s="2"/>
      <c r="AM616" s="2" t="s">
        <v>52</v>
      </c>
    </row>
    <row r="617" spans="1:39" x14ac:dyDescent="0.45">
      <c r="A617" s="2" t="s">
        <v>6066</v>
      </c>
      <c r="B617" s="2"/>
      <c r="C617" s="2" t="s">
        <v>6068</v>
      </c>
      <c r="D617" s="2" t="s">
        <v>6070</v>
      </c>
      <c r="E617" s="25"/>
      <c r="F617" s="21"/>
      <c r="G617" s="42" t="s">
        <v>28000</v>
      </c>
      <c r="H617" s="2" t="s">
        <v>50</v>
      </c>
      <c r="I617" s="2" t="s">
        <v>6074</v>
      </c>
      <c r="J617" s="2" t="s">
        <v>6067</v>
      </c>
      <c r="K617" s="2" t="s">
        <v>6069</v>
      </c>
      <c r="L617" s="2" t="s">
        <v>6071</v>
      </c>
      <c r="M617" s="2" t="s">
        <v>6071</v>
      </c>
      <c r="N617" s="2" t="s">
        <v>1125</v>
      </c>
      <c r="O617" s="2" t="s">
        <v>60</v>
      </c>
      <c r="P617" s="2" t="s">
        <v>6072</v>
      </c>
      <c r="Q617" s="2" t="s">
        <v>6073</v>
      </c>
      <c r="R617" s="2"/>
      <c r="S617" s="2"/>
      <c r="T617" s="2"/>
      <c r="U617" s="2" t="s">
        <v>1125</v>
      </c>
      <c r="V617" s="2" t="s">
        <v>60</v>
      </c>
      <c r="W617" s="2" t="s">
        <v>6072</v>
      </c>
      <c r="X617" s="2" t="s">
        <v>4974</v>
      </c>
      <c r="Y617" s="2" t="s">
        <v>44</v>
      </c>
      <c r="Z617" s="2"/>
      <c r="AA617" s="2" t="s">
        <v>821</v>
      </c>
      <c r="AB617" s="2" t="s">
        <v>46</v>
      </c>
      <c r="AC617" s="2" t="s">
        <v>821</v>
      </c>
      <c r="AE617" s="2" t="s">
        <v>48</v>
      </c>
      <c r="AF617" s="2" t="s">
        <v>49</v>
      </c>
      <c r="AG617" s="2">
        <v>100</v>
      </c>
      <c r="AH617" s="2">
        <v>82</v>
      </c>
      <c r="AJ617" s="2" t="s">
        <v>6075</v>
      </c>
      <c r="AK617" s="2"/>
      <c r="AL617" s="2"/>
      <c r="AM617" s="2" t="s">
        <v>52</v>
      </c>
    </row>
    <row r="618" spans="1:39" x14ac:dyDescent="0.45">
      <c r="A618" s="2" t="s">
        <v>6076</v>
      </c>
      <c r="B618" s="2"/>
      <c r="C618" s="2" t="s">
        <v>6078</v>
      </c>
      <c r="D618" s="2" t="s">
        <v>6080</v>
      </c>
      <c r="E618" s="25"/>
      <c r="F618" s="21"/>
      <c r="G618" s="42" t="s">
        <v>28000</v>
      </c>
      <c r="H618" s="2" t="s">
        <v>50</v>
      </c>
      <c r="I618" s="2" t="s">
        <v>6082</v>
      </c>
      <c r="J618" s="2" t="s">
        <v>6077</v>
      </c>
      <c r="K618" s="2" t="s">
        <v>6079</v>
      </c>
      <c r="L618" s="2" t="s">
        <v>6081</v>
      </c>
      <c r="M618" s="2" t="s">
        <v>6081</v>
      </c>
      <c r="N618" s="2" t="s">
        <v>6062</v>
      </c>
      <c r="O618" s="2" t="s">
        <v>217</v>
      </c>
      <c r="P618" s="2" t="s">
        <v>6063</v>
      </c>
      <c r="Q618" s="2" t="s">
        <v>6079</v>
      </c>
      <c r="R618" s="2"/>
      <c r="S618" s="2"/>
      <c r="T618" s="2"/>
      <c r="U618" s="2" t="s">
        <v>6062</v>
      </c>
      <c r="V618" s="2" t="s">
        <v>217</v>
      </c>
      <c r="W618" s="2" t="s">
        <v>6063</v>
      </c>
      <c r="X618" s="2" t="s">
        <v>2838</v>
      </c>
      <c r="Y618" s="2" t="s">
        <v>44</v>
      </c>
      <c r="Z618" s="2"/>
      <c r="AA618" s="2" t="s">
        <v>821</v>
      </c>
      <c r="AB618" s="2" t="s">
        <v>46</v>
      </c>
      <c r="AC618" s="2" t="s">
        <v>821</v>
      </c>
      <c r="AE618" s="2" t="s">
        <v>48</v>
      </c>
      <c r="AF618" s="2" t="s">
        <v>49</v>
      </c>
      <c r="AG618" s="2">
        <v>100</v>
      </c>
      <c r="AH618" s="2">
        <v>82</v>
      </c>
      <c r="AJ618" s="2" t="s">
        <v>6083</v>
      </c>
      <c r="AK618" s="2"/>
      <c r="AL618" s="2"/>
      <c r="AM618" s="2" t="s">
        <v>52</v>
      </c>
    </row>
    <row r="619" spans="1:39" x14ac:dyDescent="0.45">
      <c r="A619" s="2" t="s">
        <v>6084</v>
      </c>
      <c r="B619" s="2"/>
      <c r="C619" s="2" t="s">
        <v>6086</v>
      </c>
      <c r="D619" s="2" t="s">
        <v>6088</v>
      </c>
      <c r="E619" s="25"/>
      <c r="F619" s="21"/>
      <c r="G619" s="42" t="s">
        <v>28000</v>
      </c>
      <c r="H619" s="2" t="s">
        <v>50</v>
      </c>
      <c r="I619" s="2" t="s">
        <v>6091</v>
      </c>
      <c r="J619" s="2" t="s">
        <v>6085</v>
      </c>
      <c r="K619" s="2" t="s">
        <v>6087</v>
      </c>
      <c r="L619" s="2" t="s">
        <v>6089</v>
      </c>
      <c r="M619" s="2" t="s">
        <v>6089</v>
      </c>
      <c r="N619" s="2" t="s">
        <v>5623</v>
      </c>
      <c r="O619" s="2" t="s">
        <v>40</v>
      </c>
      <c r="P619" s="2" t="s">
        <v>5624</v>
      </c>
      <c r="Q619" s="2" t="s">
        <v>6087</v>
      </c>
      <c r="R619" s="2"/>
      <c r="S619" s="2"/>
      <c r="T619" s="2"/>
      <c r="U619" s="2" t="s">
        <v>5623</v>
      </c>
      <c r="V619" s="2" t="s">
        <v>40</v>
      </c>
      <c r="W619" s="2" t="s">
        <v>5624</v>
      </c>
      <c r="X619" s="2" t="s">
        <v>6090</v>
      </c>
      <c r="Y619" s="2" t="s">
        <v>44</v>
      </c>
      <c r="Z619" s="2"/>
      <c r="AA619" s="2" t="s">
        <v>821</v>
      </c>
      <c r="AB619" s="2" t="s">
        <v>46</v>
      </c>
      <c r="AC619" s="2" t="s">
        <v>821</v>
      </c>
      <c r="AE619" s="2" t="s">
        <v>48</v>
      </c>
      <c r="AF619" s="2" t="s">
        <v>49</v>
      </c>
      <c r="AG619" s="2">
        <v>100</v>
      </c>
      <c r="AH619" s="2">
        <v>82</v>
      </c>
      <c r="AJ619" s="2" t="s">
        <v>6092</v>
      </c>
      <c r="AK619" s="2"/>
      <c r="AL619" s="2"/>
      <c r="AM619" s="2" t="s">
        <v>52</v>
      </c>
    </row>
    <row r="620" spans="1:39" x14ac:dyDescent="0.45">
      <c r="A620" s="2" t="s">
        <v>6093</v>
      </c>
      <c r="B620" s="2"/>
      <c r="C620" s="2" t="s">
        <v>6095</v>
      </c>
      <c r="D620" s="2" t="s">
        <v>6097</v>
      </c>
      <c r="E620" s="25"/>
      <c r="F620" s="21"/>
      <c r="G620" s="42" t="s">
        <v>28000</v>
      </c>
      <c r="H620" s="2" t="s">
        <v>50</v>
      </c>
      <c r="I620" s="2" t="s">
        <v>6101</v>
      </c>
      <c r="J620" s="2" t="s">
        <v>6094</v>
      </c>
      <c r="K620" s="2" t="s">
        <v>6096</v>
      </c>
      <c r="L620" s="2" t="s">
        <v>6098</v>
      </c>
      <c r="M620" s="2" t="s">
        <v>6098</v>
      </c>
      <c r="N620" s="2" t="s">
        <v>1115</v>
      </c>
      <c r="O620" s="2" t="s">
        <v>1112</v>
      </c>
      <c r="P620" s="2" t="s">
        <v>6099</v>
      </c>
      <c r="Q620" s="2" t="s">
        <v>6096</v>
      </c>
      <c r="R620" s="2"/>
      <c r="S620" s="2"/>
      <c r="T620" s="2"/>
      <c r="U620" s="2" t="s">
        <v>1115</v>
      </c>
      <c r="V620" s="2" t="s">
        <v>1112</v>
      </c>
      <c r="W620" s="2" t="s">
        <v>6099</v>
      </c>
      <c r="X620" s="2" t="s">
        <v>6100</v>
      </c>
      <c r="Y620" s="2" t="s">
        <v>44</v>
      </c>
      <c r="Z620" s="2"/>
      <c r="AA620" s="2" t="s">
        <v>821</v>
      </c>
      <c r="AB620" s="2" t="s">
        <v>46</v>
      </c>
      <c r="AC620" s="2" t="s">
        <v>821</v>
      </c>
      <c r="AE620" s="2" t="s">
        <v>48</v>
      </c>
      <c r="AF620" s="2" t="s">
        <v>49</v>
      </c>
      <c r="AG620" s="2">
        <v>100</v>
      </c>
      <c r="AH620" s="2">
        <v>82</v>
      </c>
      <c r="AJ620" s="2" t="s">
        <v>6102</v>
      </c>
      <c r="AK620" s="2"/>
      <c r="AL620" s="2"/>
      <c r="AM620" s="2" t="s">
        <v>52</v>
      </c>
    </row>
    <row r="621" spans="1:39" x14ac:dyDescent="0.45">
      <c r="A621" s="2" t="s">
        <v>6103</v>
      </c>
      <c r="B621" s="2"/>
      <c r="C621" s="2" t="s">
        <v>6105</v>
      </c>
      <c r="D621" s="2" t="s">
        <v>6107</v>
      </c>
      <c r="E621" s="25"/>
      <c r="F621" s="21"/>
      <c r="G621" s="42" t="s">
        <v>28000</v>
      </c>
      <c r="H621" s="2" t="s">
        <v>50</v>
      </c>
      <c r="I621" s="2" t="s">
        <v>6109</v>
      </c>
      <c r="J621" s="2" t="s">
        <v>6104</v>
      </c>
      <c r="K621" s="2" t="s">
        <v>6106</v>
      </c>
      <c r="L621" s="2" t="s">
        <v>6108</v>
      </c>
      <c r="M621" s="2" t="s">
        <v>6108</v>
      </c>
      <c r="N621" s="2" t="s">
        <v>6029</v>
      </c>
      <c r="O621" s="2" t="s">
        <v>278</v>
      </c>
      <c r="P621" s="2" t="s">
        <v>6030</v>
      </c>
      <c r="Q621" s="2" t="s">
        <v>6106</v>
      </c>
      <c r="R621" s="2"/>
      <c r="S621" s="2"/>
      <c r="T621" s="2"/>
      <c r="U621" s="2" t="s">
        <v>6029</v>
      </c>
      <c r="V621" s="2" t="s">
        <v>278</v>
      </c>
      <c r="W621" s="2" t="s">
        <v>6030</v>
      </c>
      <c r="X621" s="2" t="s">
        <v>6100</v>
      </c>
      <c r="Y621" s="2" t="s">
        <v>44</v>
      </c>
      <c r="Z621" s="2"/>
      <c r="AA621" s="2" t="s">
        <v>821</v>
      </c>
      <c r="AB621" s="2" t="s">
        <v>46</v>
      </c>
      <c r="AC621" s="2" t="s">
        <v>821</v>
      </c>
      <c r="AE621" s="2" t="s">
        <v>48</v>
      </c>
      <c r="AF621" s="2" t="s">
        <v>49</v>
      </c>
      <c r="AG621" s="2">
        <v>100</v>
      </c>
      <c r="AH621" s="2">
        <v>82</v>
      </c>
      <c r="AJ621" s="2" t="s">
        <v>6110</v>
      </c>
      <c r="AK621" s="2"/>
      <c r="AL621" s="2"/>
      <c r="AM621" s="2" t="s">
        <v>52</v>
      </c>
    </row>
    <row r="622" spans="1:39" x14ac:dyDescent="0.45">
      <c r="A622" s="2" t="s">
        <v>6111</v>
      </c>
      <c r="B622" s="2"/>
      <c r="C622" s="2" t="s">
        <v>6113</v>
      </c>
      <c r="D622" s="2" t="s">
        <v>6115</v>
      </c>
      <c r="E622" s="25"/>
      <c r="F622" s="21"/>
      <c r="G622" s="42" t="s">
        <v>28000</v>
      </c>
      <c r="H622" s="2" t="s">
        <v>50</v>
      </c>
      <c r="I622" s="2" t="s">
        <v>6119</v>
      </c>
      <c r="J622" s="2" t="s">
        <v>6112</v>
      </c>
      <c r="K622" s="2" t="s">
        <v>6114</v>
      </c>
      <c r="L622" s="2" t="s">
        <v>6116</v>
      </c>
      <c r="M622" s="2" t="s">
        <v>6116</v>
      </c>
      <c r="N622" s="2" t="s">
        <v>1136</v>
      </c>
      <c r="O622" s="2" t="s">
        <v>1137</v>
      </c>
      <c r="P622" s="2" t="s">
        <v>6117</v>
      </c>
      <c r="Q622" s="2" t="s">
        <v>6114</v>
      </c>
      <c r="R622" s="2"/>
      <c r="S622" s="2"/>
      <c r="T622" s="2"/>
      <c r="U622" s="2" t="s">
        <v>1136</v>
      </c>
      <c r="V622" s="2" t="s">
        <v>1137</v>
      </c>
      <c r="W622" s="2" t="s">
        <v>6117</v>
      </c>
      <c r="X622" s="2" t="s">
        <v>6118</v>
      </c>
      <c r="Y622" s="2" t="s">
        <v>44</v>
      </c>
      <c r="Z622" s="2"/>
      <c r="AA622" s="2" t="s">
        <v>821</v>
      </c>
      <c r="AB622" s="2" t="s">
        <v>46</v>
      </c>
      <c r="AC622" s="2" t="s">
        <v>821</v>
      </c>
      <c r="AE622" s="2" t="s">
        <v>48</v>
      </c>
      <c r="AF622" s="2" t="s">
        <v>49</v>
      </c>
      <c r="AG622" s="2">
        <v>100</v>
      </c>
      <c r="AH622" s="2">
        <v>82</v>
      </c>
      <c r="AJ622" s="2" t="s">
        <v>6120</v>
      </c>
      <c r="AK622" s="2"/>
      <c r="AL622" s="2"/>
      <c r="AM622" s="2" t="s">
        <v>52</v>
      </c>
    </row>
    <row r="623" spans="1:39" x14ac:dyDescent="0.45">
      <c r="A623" s="2" t="s">
        <v>6121</v>
      </c>
      <c r="B623" s="2"/>
      <c r="C623" s="2" t="s">
        <v>6123</v>
      </c>
      <c r="D623" s="2" t="s">
        <v>6125</v>
      </c>
      <c r="E623" s="25"/>
      <c r="F623" s="21"/>
      <c r="G623" s="42" t="s">
        <v>28000</v>
      </c>
      <c r="H623" s="2" t="s">
        <v>50</v>
      </c>
      <c r="I623" s="2" t="s">
        <v>6130</v>
      </c>
      <c r="J623" s="2" t="s">
        <v>6122</v>
      </c>
      <c r="K623" s="2" t="s">
        <v>6124</v>
      </c>
      <c r="L623" s="2" t="s">
        <v>6126</v>
      </c>
      <c r="M623" s="2" t="s">
        <v>6126</v>
      </c>
      <c r="N623" s="2" t="s">
        <v>6051</v>
      </c>
      <c r="O623" s="2" t="s">
        <v>6051</v>
      </c>
      <c r="P623" s="2" t="s">
        <v>6127</v>
      </c>
      <c r="Q623" s="2" t="s">
        <v>6128</v>
      </c>
      <c r="R623" s="2"/>
      <c r="S623" s="2"/>
      <c r="T623" s="2"/>
      <c r="U623" s="2" t="s">
        <v>1161</v>
      </c>
      <c r="V623" s="2" t="s">
        <v>221</v>
      </c>
      <c r="W623" s="2" t="s">
        <v>6129</v>
      </c>
      <c r="X623" s="2" t="s">
        <v>5233</v>
      </c>
      <c r="Y623" s="2" t="s">
        <v>44</v>
      </c>
      <c r="Z623" s="2"/>
      <c r="AA623" s="2" t="s">
        <v>821</v>
      </c>
      <c r="AB623" s="2" t="s">
        <v>46</v>
      </c>
      <c r="AC623" s="2" t="s">
        <v>821</v>
      </c>
      <c r="AE623" s="2" t="s">
        <v>48</v>
      </c>
      <c r="AF623" s="2" t="s">
        <v>49</v>
      </c>
      <c r="AG623" s="2">
        <v>100</v>
      </c>
      <c r="AH623" s="2">
        <v>82</v>
      </c>
      <c r="AJ623" s="2" t="s">
        <v>6131</v>
      </c>
      <c r="AK623" s="2"/>
      <c r="AL623" s="2"/>
      <c r="AM623" s="2" t="s">
        <v>52</v>
      </c>
    </row>
    <row r="624" spans="1:39" x14ac:dyDescent="0.45">
      <c r="A624" s="2" t="s">
        <v>6132</v>
      </c>
      <c r="B624" s="2"/>
      <c r="C624" s="2" t="s">
        <v>6134</v>
      </c>
      <c r="D624" s="2" t="s">
        <v>6136</v>
      </c>
      <c r="E624" s="25"/>
      <c r="F624" s="21"/>
      <c r="G624" s="42" t="s">
        <v>28000</v>
      </c>
      <c r="H624" s="2" t="s">
        <v>50</v>
      </c>
      <c r="I624" s="2" t="s">
        <v>6138</v>
      </c>
      <c r="J624" s="2" t="s">
        <v>6133</v>
      </c>
      <c r="K624" s="2" t="s">
        <v>6135</v>
      </c>
      <c r="L624" s="2" t="s">
        <v>6137</v>
      </c>
      <c r="M624" s="2" t="s">
        <v>6137</v>
      </c>
      <c r="N624" s="2" t="s">
        <v>1136</v>
      </c>
      <c r="O624" s="2" t="s">
        <v>1137</v>
      </c>
      <c r="P624" s="2" t="s">
        <v>6117</v>
      </c>
      <c r="Q624" s="2" t="s">
        <v>6135</v>
      </c>
      <c r="R624" s="2"/>
      <c r="S624" s="2"/>
      <c r="T624" s="2"/>
      <c r="U624" s="2" t="s">
        <v>1136</v>
      </c>
      <c r="V624" s="2" t="s">
        <v>1137</v>
      </c>
      <c r="W624" s="2" t="s">
        <v>6117</v>
      </c>
      <c r="X624" s="2" t="s">
        <v>3226</v>
      </c>
      <c r="Y624" s="2" t="s">
        <v>44</v>
      </c>
      <c r="Z624" s="2"/>
      <c r="AA624" s="2" t="s">
        <v>821</v>
      </c>
      <c r="AB624" s="2" t="s">
        <v>46</v>
      </c>
      <c r="AC624" s="2" t="s">
        <v>821</v>
      </c>
      <c r="AE624" s="2" t="s">
        <v>48</v>
      </c>
      <c r="AF624" s="2" t="s">
        <v>49</v>
      </c>
      <c r="AG624" s="2">
        <v>100</v>
      </c>
      <c r="AH624" s="2">
        <v>82</v>
      </c>
      <c r="AJ624" s="2" t="s">
        <v>6139</v>
      </c>
      <c r="AK624" s="2"/>
      <c r="AL624" s="2"/>
      <c r="AM624" s="2" t="s">
        <v>52</v>
      </c>
    </row>
    <row r="625" spans="1:39" x14ac:dyDescent="0.45">
      <c r="A625" s="2" t="s">
        <v>6140</v>
      </c>
      <c r="B625" s="2"/>
      <c r="C625" s="2" t="s">
        <v>6142</v>
      </c>
      <c r="D625" s="2" t="s">
        <v>6144</v>
      </c>
      <c r="E625" s="25"/>
      <c r="F625" s="21"/>
      <c r="G625" s="42" t="s">
        <v>28000</v>
      </c>
      <c r="H625" s="2" t="s">
        <v>50</v>
      </c>
      <c r="I625" s="2" t="s">
        <v>6148</v>
      </c>
      <c r="J625" s="2" t="s">
        <v>6141</v>
      </c>
      <c r="K625" s="2" t="s">
        <v>6143</v>
      </c>
      <c r="L625" s="2" t="s">
        <v>6145</v>
      </c>
      <c r="M625" s="2" t="s">
        <v>6145</v>
      </c>
      <c r="N625" s="2" t="s">
        <v>5821</v>
      </c>
      <c r="O625" s="2" t="s">
        <v>278</v>
      </c>
      <c r="P625" s="2" t="s">
        <v>6146</v>
      </c>
      <c r="Q625" s="2" t="s">
        <v>6147</v>
      </c>
      <c r="R625" s="2"/>
      <c r="S625" s="2"/>
      <c r="T625" s="2"/>
      <c r="U625" s="2" t="s">
        <v>5821</v>
      </c>
      <c r="V625" s="2" t="s">
        <v>278</v>
      </c>
      <c r="W625" s="2" t="s">
        <v>6146</v>
      </c>
      <c r="X625" s="2" t="s">
        <v>5303</v>
      </c>
      <c r="Y625" s="2" t="s">
        <v>44</v>
      </c>
      <c r="Z625" s="2"/>
      <c r="AA625" s="2" t="s">
        <v>821</v>
      </c>
      <c r="AB625" s="2" t="s">
        <v>46</v>
      </c>
      <c r="AC625" s="2" t="s">
        <v>821</v>
      </c>
      <c r="AE625" s="2" t="s">
        <v>48</v>
      </c>
      <c r="AF625" s="2" t="s">
        <v>49</v>
      </c>
      <c r="AG625" s="2">
        <v>100</v>
      </c>
      <c r="AH625" s="2">
        <v>82</v>
      </c>
      <c r="AJ625" s="2" t="s">
        <v>6149</v>
      </c>
      <c r="AK625" s="2"/>
      <c r="AL625" s="2"/>
      <c r="AM625" s="2" t="s">
        <v>52</v>
      </c>
    </row>
    <row r="626" spans="1:39" x14ac:dyDescent="0.45">
      <c r="A626" s="2" t="s">
        <v>6150</v>
      </c>
      <c r="B626" s="2"/>
      <c r="C626" s="2" t="s">
        <v>6152</v>
      </c>
      <c r="D626" s="2" t="s">
        <v>6154</v>
      </c>
      <c r="E626" s="25"/>
      <c r="F626" s="21"/>
      <c r="G626" s="42" t="s">
        <v>28000</v>
      </c>
      <c r="H626" s="2" t="s">
        <v>50</v>
      </c>
      <c r="I626" s="2" t="s">
        <v>6159</v>
      </c>
      <c r="J626" s="2" t="s">
        <v>6151</v>
      </c>
      <c r="K626" s="2" t="s">
        <v>6153</v>
      </c>
      <c r="L626" s="2" t="s">
        <v>6155</v>
      </c>
      <c r="M626" s="2" t="s">
        <v>6155</v>
      </c>
      <c r="N626" s="2" t="s">
        <v>6156</v>
      </c>
      <c r="O626" s="2" t="s">
        <v>217</v>
      </c>
      <c r="P626" s="2" t="s">
        <v>6157</v>
      </c>
      <c r="Q626" s="2" t="s">
        <v>6158</v>
      </c>
      <c r="R626" s="2"/>
      <c r="S626" s="2"/>
      <c r="T626" s="2"/>
      <c r="U626" s="2" t="s">
        <v>6156</v>
      </c>
      <c r="V626" s="2" t="s">
        <v>217</v>
      </c>
      <c r="W626" s="2" t="s">
        <v>6157</v>
      </c>
      <c r="X626" s="2" t="s">
        <v>3283</v>
      </c>
      <c r="Y626" s="2" t="s">
        <v>44</v>
      </c>
      <c r="Z626" s="2"/>
      <c r="AA626" s="2" t="s">
        <v>821</v>
      </c>
      <c r="AB626" s="2" t="s">
        <v>46</v>
      </c>
      <c r="AC626" s="2" t="s">
        <v>821</v>
      </c>
      <c r="AE626" s="2" t="s">
        <v>48</v>
      </c>
      <c r="AF626" s="2" t="s">
        <v>49</v>
      </c>
      <c r="AG626" s="2">
        <v>100</v>
      </c>
      <c r="AH626" s="2">
        <v>82</v>
      </c>
      <c r="AJ626" s="2" t="s">
        <v>6160</v>
      </c>
      <c r="AK626" s="2"/>
      <c r="AL626" s="2"/>
      <c r="AM626" s="2" t="s">
        <v>52</v>
      </c>
    </row>
    <row r="627" spans="1:39" x14ac:dyDescent="0.45">
      <c r="A627" s="2" t="s">
        <v>6161</v>
      </c>
      <c r="B627" s="2"/>
      <c r="C627" s="2" t="s">
        <v>6163</v>
      </c>
      <c r="D627" s="2" t="s">
        <v>6165</v>
      </c>
      <c r="E627" s="25"/>
      <c r="F627" s="21"/>
      <c r="G627" s="42" t="s">
        <v>28000</v>
      </c>
      <c r="H627" s="2" t="s">
        <v>50</v>
      </c>
      <c r="I627" s="2" t="s">
        <v>6167</v>
      </c>
      <c r="J627" s="2" t="s">
        <v>6162</v>
      </c>
      <c r="K627" s="2" t="s">
        <v>6164</v>
      </c>
      <c r="L627" s="2" t="s">
        <v>6166</v>
      </c>
      <c r="M627" s="2" t="s">
        <v>6166</v>
      </c>
      <c r="N627" s="2" t="s">
        <v>1136</v>
      </c>
      <c r="O627" s="2" t="s">
        <v>1137</v>
      </c>
      <c r="P627" s="2" t="s">
        <v>1138</v>
      </c>
      <c r="Q627" s="2" t="s">
        <v>6164</v>
      </c>
      <c r="R627" s="2"/>
      <c r="S627" s="2"/>
      <c r="T627" s="2"/>
      <c r="U627" s="2" t="s">
        <v>1136</v>
      </c>
      <c r="V627" s="2" t="s">
        <v>1137</v>
      </c>
      <c r="W627" s="2" t="s">
        <v>1138</v>
      </c>
      <c r="X627" s="2" t="s">
        <v>5488</v>
      </c>
      <c r="Y627" s="2" t="s">
        <v>44</v>
      </c>
      <c r="Z627" s="2"/>
      <c r="AA627" s="2" t="s">
        <v>821</v>
      </c>
      <c r="AB627" s="2" t="s">
        <v>46</v>
      </c>
      <c r="AC627" s="2" t="s">
        <v>821</v>
      </c>
      <c r="AE627" s="2" t="s">
        <v>48</v>
      </c>
      <c r="AF627" s="2" t="s">
        <v>49</v>
      </c>
      <c r="AG627" s="2">
        <v>100</v>
      </c>
      <c r="AH627" s="2">
        <v>82</v>
      </c>
      <c r="AJ627" s="2" t="s">
        <v>6168</v>
      </c>
      <c r="AK627" s="2"/>
      <c r="AL627" s="2"/>
      <c r="AM627" s="2" t="s">
        <v>52</v>
      </c>
    </row>
    <row r="628" spans="1:39" x14ac:dyDescent="0.45">
      <c r="A628" s="2" t="s">
        <v>6169</v>
      </c>
      <c r="B628" s="2"/>
      <c r="C628" s="2" t="s">
        <v>6171</v>
      </c>
      <c r="D628" s="2" t="s">
        <v>6173</v>
      </c>
      <c r="E628" s="25"/>
      <c r="F628" s="21"/>
      <c r="G628" s="42" t="s">
        <v>28000</v>
      </c>
      <c r="H628" s="2" t="s">
        <v>50</v>
      </c>
      <c r="I628" s="2" t="s">
        <v>6175</v>
      </c>
      <c r="J628" s="2" t="s">
        <v>6170</v>
      </c>
      <c r="K628" s="2" t="s">
        <v>6172</v>
      </c>
      <c r="L628" s="2" t="s">
        <v>6174</v>
      </c>
      <c r="M628" s="2" t="s">
        <v>6174</v>
      </c>
      <c r="N628" s="2" t="s">
        <v>1161</v>
      </c>
      <c r="O628" s="2" t="s">
        <v>221</v>
      </c>
      <c r="P628" s="2" t="s">
        <v>5871</v>
      </c>
      <c r="Q628" s="2" t="s">
        <v>6172</v>
      </c>
      <c r="R628" s="2"/>
      <c r="S628" s="2"/>
      <c r="T628" s="2"/>
      <c r="U628" s="2" t="s">
        <v>1161</v>
      </c>
      <c r="V628" s="2" t="s">
        <v>221</v>
      </c>
      <c r="W628" s="2" t="s">
        <v>5871</v>
      </c>
      <c r="X628" s="2" t="s">
        <v>963</v>
      </c>
      <c r="Y628" s="2" t="s">
        <v>44</v>
      </c>
      <c r="Z628" s="2"/>
      <c r="AA628" s="2" t="s">
        <v>821</v>
      </c>
      <c r="AB628" s="2" t="s">
        <v>46</v>
      </c>
      <c r="AC628" s="2" t="s">
        <v>821</v>
      </c>
      <c r="AE628" s="2" t="s">
        <v>48</v>
      </c>
      <c r="AF628" s="2" t="s">
        <v>49</v>
      </c>
      <c r="AG628" s="2">
        <v>100</v>
      </c>
      <c r="AH628" s="2">
        <v>82</v>
      </c>
      <c r="AJ628" s="2" t="s">
        <v>6176</v>
      </c>
      <c r="AK628" s="2"/>
      <c r="AL628" s="2"/>
      <c r="AM628" s="2" t="s">
        <v>52</v>
      </c>
    </row>
    <row r="629" spans="1:39" x14ac:dyDescent="0.45">
      <c r="A629" s="2" t="s">
        <v>6177</v>
      </c>
      <c r="B629" s="2"/>
      <c r="C629" s="2" t="s">
        <v>6179</v>
      </c>
      <c r="D629" s="2" t="s">
        <v>6181</v>
      </c>
      <c r="E629" s="25"/>
      <c r="F629" s="21"/>
      <c r="G629" s="42" t="s">
        <v>28000</v>
      </c>
      <c r="H629" s="2" t="s">
        <v>50</v>
      </c>
      <c r="I629" s="2" t="s">
        <v>6184</v>
      </c>
      <c r="J629" s="2" t="s">
        <v>6178</v>
      </c>
      <c r="K629" s="2" t="s">
        <v>6180</v>
      </c>
      <c r="L629" s="2" t="s">
        <v>6182</v>
      </c>
      <c r="M629" s="2" t="s">
        <v>6182</v>
      </c>
      <c r="N629" s="2" t="s">
        <v>5821</v>
      </c>
      <c r="O629" s="2" t="s">
        <v>278</v>
      </c>
      <c r="P629" s="2" t="s">
        <v>6183</v>
      </c>
      <c r="Q629" s="2" t="s">
        <v>6180</v>
      </c>
      <c r="R629" s="2"/>
      <c r="S629" s="2"/>
      <c r="T629" s="2"/>
      <c r="U629" s="2" t="s">
        <v>5821</v>
      </c>
      <c r="V629" s="2" t="s">
        <v>278</v>
      </c>
      <c r="W629" s="2" t="s">
        <v>6183</v>
      </c>
      <c r="X629" s="2" t="s">
        <v>1419</v>
      </c>
      <c r="Y629" s="2" t="s">
        <v>44</v>
      </c>
      <c r="Z629" s="2"/>
      <c r="AA629" s="2" t="s">
        <v>821</v>
      </c>
      <c r="AB629" s="2" t="s">
        <v>46</v>
      </c>
      <c r="AC629" s="2" t="s">
        <v>821</v>
      </c>
      <c r="AE629" s="2" t="s">
        <v>48</v>
      </c>
      <c r="AF629" s="2" t="s">
        <v>49</v>
      </c>
      <c r="AG629" s="2">
        <v>100</v>
      </c>
      <c r="AH629" s="2">
        <v>82</v>
      </c>
      <c r="AJ629" s="2" t="s">
        <v>6185</v>
      </c>
      <c r="AK629" s="2"/>
      <c r="AL629" s="2"/>
      <c r="AM629" s="2" t="s">
        <v>52</v>
      </c>
    </row>
    <row r="630" spans="1:39" x14ac:dyDescent="0.45">
      <c r="A630" s="2" t="s">
        <v>6186</v>
      </c>
      <c r="B630" s="2"/>
      <c r="C630" s="2" t="s">
        <v>6188</v>
      </c>
      <c r="D630" s="2" t="s">
        <v>6190</v>
      </c>
      <c r="E630" s="25"/>
      <c r="F630" s="21"/>
      <c r="G630" s="42" t="s">
        <v>28000</v>
      </c>
      <c r="H630" s="2" t="s">
        <v>50</v>
      </c>
      <c r="I630" s="2" t="s">
        <v>6194</v>
      </c>
      <c r="J630" s="2" t="s">
        <v>6187</v>
      </c>
      <c r="K630" s="2" t="s">
        <v>6189</v>
      </c>
      <c r="L630" s="2" t="s">
        <v>6191</v>
      </c>
      <c r="M630" s="2" t="s">
        <v>6191</v>
      </c>
      <c r="N630" s="2" t="s">
        <v>5623</v>
      </c>
      <c r="O630" s="2" t="s">
        <v>40</v>
      </c>
      <c r="P630" s="2" t="s">
        <v>6192</v>
      </c>
      <c r="Q630" s="2" t="s">
        <v>6189</v>
      </c>
      <c r="R630" s="2"/>
      <c r="S630" s="2"/>
      <c r="T630" s="2"/>
      <c r="U630" s="2" t="s">
        <v>5623</v>
      </c>
      <c r="V630" s="2" t="s">
        <v>40</v>
      </c>
      <c r="W630" s="2" t="s">
        <v>6192</v>
      </c>
      <c r="X630" s="2" t="s">
        <v>6193</v>
      </c>
      <c r="Y630" s="2" t="s">
        <v>44</v>
      </c>
      <c r="Z630" s="2"/>
      <c r="AA630" s="2" t="s">
        <v>821</v>
      </c>
      <c r="AB630" s="2" t="s">
        <v>46</v>
      </c>
      <c r="AC630" s="2" t="s">
        <v>821</v>
      </c>
      <c r="AE630" s="2" t="s">
        <v>48</v>
      </c>
      <c r="AF630" s="2" t="s">
        <v>49</v>
      </c>
      <c r="AG630" s="2">
        <v>100</v>
      </c>
      <c r="AH630" s="2">
        <v>82</v>
      </c>
      <c r="AJ630" s="2" t="s">
        <v>6195</v>
      </c>
      <c r="AK630" s="2"/>
      <c r="AL630" s="2"/>
      <c r="AM630" s="2" t="s">
        <v>52</v>
      </c>
    </row>
    <row r="631" spans="1:39" x14ac:dyDescent="0.45">
      <c r="A631" s="2" t="s">
        <v>6196</v>
      </c>
      <c r="B631" s="2"/>
      <c r="C631" s="2" t="s">
        <v>6198</v>
      </c>
      <c r="D631" s="2" t="s">
        <v>6200</v>
      </c>
      <c r="E631" s="25"/>
      <c r="F631" s="21"/>
      <c r="G631" s="42" t="s">
        <v>28000</v>
      </c>
      <c r="H631" s="2" t="s">
        <v>50</v>
      </c>
      <c r="I631" s="2" t="s">
        <v>6204</v>
      </c>
      <c r="J631" s="2" t="s">
        <v>6197</v>
      </c>
      <c r="K631" s="2" t="s">
        <v>6199</v>
      </c>
      <c r="L631" s="2" t="s">
        <v>6201</v>
      </c>
      <c r="M631" s="2" t="s">
        <v>6201</v>
      </c>
      <c r="N631" s="2" t="s">
        <v>6202</v>
      </c>
      <c r="O631" s="2" t="s">
        <v>40</v>
      </c>
      <c r="P631" s="2" t="s">
        <v>6203</v>
      </c>
      <c r="Q631" s="2"/>
      <c r="R631" s="2"/>
      <c r="S631" s="2"/>
      <c r="T631" s="2"/>
      <c r="U631" s="2"/>
      <c r="V631" s="2"/>
      <c r="W631" s="2"/>
      <c r="X631" s="2" t="s">
        <v>3421</v>
      </c>
      <c r="Y631" s="2" t="s">
        <v>44</v>
      </c>
      <c r="Z631" s="2"/>
      <c r="AA631" s="2" t="s">
        <v>821</v>
      </c>
      <c r="AB631" s="2" t="s">
        <v>46</v>
      </c>
      <c r="AC631" s="2" t="s">
        <v>821</v>
      </c>
      <c r="AE631" s="2" t="s">
        <v>48</v>
      </c>
      <c r="AF631" s="2" t="s">
        <v>49</v>
      </c>
      <c r="AG631" s="2">
        <v>100</v>
      </c>
      <c r="AH631" s="2">
        <v>82</v>
      </c>
      <c r="AJ631" s="2" t="s">
        <v>6205</v>
      </c>
      <c r="AK631" s="2"/>
      <c r="AL631" s="2"/>
      <c r="AM631" s="2" t="s">
        <v>52</v>
      </c>
    </row>
    <row r="632" spans="1:39" x14ac:dyDescent="0.45">
      <c r="A632" s="2" t="s">
        <v>6206</v>
      </c>
      <c r="B632" s="2"/>
      <c r="C632" s="2" t="s">
        <v>6208</v>
      </c>
      <c r="D632" s="2" t="s">
        <v>6210</v>
      </c>
      <c r="E632" s="25"/>
      <c r="F632" s="21"/>
      <c r="G632" s="42" t="s">
        <v>28000</v>
      </c>
      <c r="H632" s="2" t="s">
        <v>50</v>
      </c>
      <c r="I632" s="2" t="s">
        <v>6215</v>
      </c>
      <c r="J632" s="2" t="s">
        <v>6207</v>
      </c>
      <c r="K632" s="2" t="s">
        <v>6209</v>
      </c>
      <c r="L632" s="2" t="s">
        <v>6211</v>
      </c>
      <c r="M632" s="2" t="s">
        <v>6211</v>
      </c>
      <c r="N632" s="2" t="s">
        <v>6062</v>
      </c>
      <c r="O632" s="2" t="s">
        <v>217</v>
      </c>
      <c r="P632" s="2" t="s">
        <v>6212</v>
      </c>
      <c r="Q632" s="2" t="s">
        <v>6213</v>
      </c>
      <c r="R632" s="2"/>
      <c r="S632" s="2"/>
      <c r="T632" s="2"/>
      <c r="U632" s="2" t="s">
        <v>1136</v>
      </c>
      <c r="V632" s="2" t="s">
        <v>1137</v>
      </c>
      <c r="W632" s="2" t="s">
        <v>1138</v>
      </c>
      <c r="X632" s="2" t="s">
        <v>6214</v>
      </c>
      <c r="Y632" s="2" t="s">
        <v>44</v>
      </c>
      <c r="Z632" s="2"/>
      <c r="AA632" s="2" t="s">
        <v>821</v>
      </c>
      <c r="AB632" s="2" t="s">
        <v>46</v>
      </c>
      <c r="AC632" s="2" t="s">
        <v>821</v>
      </c>
      <c r="AE632" s="2" t="s">
        <v>48</v>
      </c>
      <c r="AF632" s="2" t="s">
        <v>49</v>
      </c>
      <c r="AG632" s="2">
        <v>100</v>
      </c>
      <c r="AH632" s="2">
        <v>82</v>
      </c>
      <c r="AJ632" s="2" t="s">
        <v>6216</v>
      </c>
      <c r="AK632" s="2"/>
      <c r="AL632" s="2"/>
      <c r="AM632" s="2" t="s">
        <v>52</v>
      </c>
    </row>
    <row r="633" spans="1:39" x14ac:dyDescent="0.45">
      <c r="A633" s="2" t="s">
        <v>6217</v>
      </c>
      <c r="B633" s="2"/>
      <c r="C633" s="2" t="s">
        <v>6219</v>
      </c>
      <c r="D633" s="2" t="s">
        <v>6221</v>
      </c>
      <c r="E633" s="25"/>
      <c r="F633" s="21"/>
      <c r="G633" s="42" t="s">
        <v>28000</v>
      </c>
      <c r="H633" s="2" t="s">
        <v>50</v>
      </c>
      <c r="I633" s="2" t="s">
        <v>6223</v>
      </c>
      <c r="J633" s="2" t="s">
        <v>6218</v>
      </c>
      <c r="K633" s="2" t="s">
        <v>6220</v>
      </c>
      <c r="L633" s="2" t="s">
        <v>6222</v>
      </c>
      <c r="M633" s="2" t="s">
        <v>6222</v>
      </c>
      <c r="N633" s="2" t="s">
        <v>1136</v>
      </c>
      <c r="O633" s="2" t="s">
        <v>1137</v>
      </c>
      <c r="P633" s="2" t="s">
        <v>6117</v>
      </c>
      <c r="Q633" s="2"/>
      <c r="R633" s="2"/>
      <c r="S633" s="2"/>
      <c r="T633" s="2"/>
      <c r="U633" s="2"/>
      <c r="V633" s="2"/>
      <c r="W633" s="2"/>
      <c r="X633" s="2" t="s">
        <v>5785</v>
      </c>
      <c r="Y633" s="2" t="s">
        <v>44</v>
      </c>
      <c r="Z633" s="2"/>
      <c r="AA633" s="2" t="s">
        <v>821</v>
      </c>
      <c r="AB633" s="2" t="s">
        <v>46</v>
      </c>
      <c r="AC633" s="2" t="s">
        <v>821</v>
      </c>
      <c r="AE633" s="2" t="s">
        <v>48</v>
      </c>
      <c r="AF633" s="2" t="s">
        <v>49</v>
      </c>
      <c r="AG633" s="2">
        <v>100</v>
      </c>
      <c r="AH633" s="2">
        <v>82</v>
      </c>
      <c r="AJ633" s="2" t="s">
        <v>6224</v>
      </c>
      <c r="AK633" s="2"/>
      <c r="AL633" s="2"/>
      <c r="AM633" s="2" t="s">
        <v>52</v>
      </c>
    </row>
    <row r="634" spans="1:39" x14ac:dyDescent="0.45">
      <c r="A634" s="2" t="s">
        <v>6225</v>
      </c>
      <c r="B634" s="2"/>
      <c r="C634" s="7" t="s">
        <v>27976</v>
      </c>
      <c r="D634" s="2" t="s">
        <v>6228</v>
      </c>
      <c r="E634" s="25"/>
      <c r="F634" s="21"/>
      <c r="G634" s="42" t="s">
        <v>28000</v>
      </c>
      <c r="H634" s="2" t="s">
        <v>50</v>
      </c>
      <c r="I634" s="2" t="s">
        <v>6231</v>
      </c>
      <c r="J634" s="2" t="s">
        <v>6226</v>
      </c>
      <c r="K634" s="2" t="s">
        <v>6227</v>
      </c>
      <c r="L634" s="2" t="s">
        <v>6229</v>
      </c>
      <c r="M634" s="2" t="s">
        <v>6229</v>
      </c>
      <c r="N634" s="2" t="s">
        <v>85</v>
      </c>
      <c r="O634" s="2"/>
      <c r="P634" s="2" t="s">
        <v>5802</v>
      </c>
      <c r="Q634" s="2" t="s">
        <v>6230</v>
      </c>
      <c r="R634" s="2"/>
      <c r="S634" s="2"/>
      <c r="T634" s="2"/>
      <c r="U634" s="2" t="s">
        <v>85</v>
      </c>
      <c r="V634" s="2"/>
      <c r="W634" s="2" t="s">
        <v>5802</v>
      </c>
      <c r="X634" s="2" t="s">
        <v>3757</v>
      </c>
      <c r="Y634" s="2" t="s">
        <v>44</v>
      </c>
      <c r="Z634" s="2"/>
      <c r="AA634" s="2" t="s">
        <v>821</v>
      </c>
      <c r="AB634" s="2" t="s">
        <v>46</v>
      </c>
      <c r="AC634" s="2" t="s">
        <v>821</v>
      </c>
      <c r="AE634" s="2" t="s">
        <v>48</v>
      </c>
      <c r="AF634" s="2" t="s">
        <v>49</v>
      </c>
      <c r="AG634" s="2">
        <v>70</v>
      </c>
      <c r="AH634" s="2">
        <v>82</v>
      </c>
      <c r="AJ634" s="2" t="s">
        <v>6232</v>
      </c>
      <c r="AK634" s="2"/>
      <c r="AL634" s="2"/>
      <c r="AM634" s="2" t="s">
        <v>52</v>
      </c>
    </row>
    <row r="635" spans="1:39" x14ac:dyDescent="0.45">
      <c r="A635" s="2" t="s">
        <v>6233</v>
      </c>
      <c r="B635" s="2"/>
      <c r="C635" s="2" t="s">
        <v>6235</v>
      </c>
      <c r="D635" s="2" t="s">
        <v>6237</v>
      </c>
      <c r="E635" s="25"/>
      <c r="F635" s="21"/>
      <c r="G635" s="42" t="s">
        <v>28000</v>
      </c>
      <c r="H635" s="2" t="s">
        <v>50</v>
      </c>
      <c r="I635" s="2" t="s">
        <v>6241</v>
      </c>
      <c r="J635" s="2" t="s">
        <v>6234</v>
      </c>
      <c r="K635" s="2" t="s">
        <v>6236</v>
      </c>
      <c r="L635" s="2" t="s">
        <v>6238</v>
      </c>
      <c r="M635" s="2" t="s">
        <v>6238</v>
      </c>
      <c r="N635" s="2" t="s">
        <v>72</v>
      </c>
      <c r="O635" s="2" t="s">
        <v>73</v>
      </c>
      <c r="P635" s="2" t="s">
        <v>140</v>
      </c>
      <c r="Q635" s="2" t="s">
        <v>6239</v>
      </c>
      <c r="R635" s="2"/>
      <c r="S635" s="2"/>
      <c r="T635" s="2"/>
      <c r="U635" s="2" t="s">
        <v>72</v>
      </c>
      <c r="V635" s="2" t="s">
        <v>73</v>
      </c>
      <c r="W635" s="2" t="s">
        <v>187</v>
      </c>
      <c r="X635" s="2" t="s">
        <v>6240</v>
      </c>
      <c r="Y635" s="2" t="s">
        <v>44</v>
      </c>
      <c r="Z635" s="2"/>
      <c r="AA635" s="2" t="s">
        <v>3527</v>
      </c>
      <c r="AB635" s="2" t="s">
        <v>46</v>
      </c>
      <c r="AC635" s="2" t="s">
        <v>3527</v>
      </c>
      <c r="AE635" s="2" t="s">
        <v>48</v>
      </c>
      <c r="AF635" s="2" t="s">
        <v>49</v>
      </c>
      <c r="AG635" s="2">
        <v>100</v>
      </c>
      <c r="AH635" s="2">
        <v>80</v>
      </c>
      <c r="AJ635" s="2" t="s">
        <v>6242</v>
      </c>
      <c r="AK635" s="2"/>
      <c r="AL635" s="2"/>
      <c r="AM635" s="2" t="s">
        <v>52</v>
      </c>
    </row>
    <row r="636" spans="1:39" x14ac:dyDescent="0.45">
      <c r="A636" s="2" t="s">
        <v>6243</v>
      </c>
      <c r="B636" s="2"/>
      <c r="C636" s="2" t="s">
        <v>6245</v>
      </c>
      <c r="D636" s="2" t="s">
        <v>6247</v>
      </c>
      <c r="E636" s="25"/>
      <c r="F636" s="21"/>
      <c r="G636" s="42" t="s">
        <v>28000</v>
      </c>
      <c r="H636" s="2" t="s">
        <v>50</v>
      </c>
      <c r="I636" s="2" t="s">
        <v>6251</v>
      </c>
      <c r="J636" s="2" t="s">
        <v>6244</v>
      </c>
      <c r="K636" s="2" t="s">
        <v>6246</v>
      </c>
      <c r="L636" s="2" t="s">
        <v>6248</v>
      </c>
      <c r="M636" s="2" t="s">
        <v>6248</v>
      </c>
      <c r="N636" s="2" t="s">
        <v>72</v>
      </c>
      <c r="O636" s="2" t="s">
        <v>73</v>
      </c>
      <c r="P636" s="2" t="s">
        <v>74</v>
      </c>
      <c r="Q636" s="2" t="s">
        <v>6249</v>
      </c>
      <c r="R636" s="2"/>
      <c r="S636" s="2"/>
      <c r="T636" s="2"/>
      <c r="U636" s="2" t="s">
        <v>72</v>
      </c>
      <c r="V636" s="2" t="s">
        <v>73</v>
      </c>
      <c r="W636" s="2" t="s">
        <v>74</v>
      </c>
      <c r="X636" s="2" t="s">
        <v>6250</v>
      </c>
      <c r="Y636" s="2" t="s">
        <v>44</v>
      </c>
      <c r="Z636" s="2"/>
      <c r="AA636" s="2" t="s">
        <v>3527</v>
      </c>
      <c r="AB636" s="2" t="s">
        <v>46</v>
      </c>
      <c r="AC636" s="2" t="s">
        <v>3527</v>
      </c>
      <c r="AE636" s="2" t="s">
        <v>48</v>
      </c>
      <c r="AF636" s="2" t="s">
        <v>49</v>
      </c>
      <c r="AG636" s="2">
        <v>100</v>
      </c>
      <c r="AH636" s="2">
        <v>80</v>
      </c>
      <c r="AJ636" s="2" t="s">
        <v>6252</v>
      </c>
      <c r="AK636" s="2"/>
      <c r="AL636" s="2"/>
      <c r="AM636" s="2" t="s">
        <v>52</v>
      </c>
    </row>
    <row r="637" spans="1:39" x14ac:dyDescent="0.45">
      <c r="A637" s="2" t="s">
        <v>6253</v>
      </c>
      <c r="B637" s="2"/>
      <c r="C637" s="2" t="s">
        <v>6255</v>
      </c>
      <c r="D637" s="2" t="s">
        <v>6257</v>
      </c>
      <c r="E637" s="25"/>
      <c r="F637" s="21"/>
      <c r="G637" s="42" t="s">
        <v>28000</v>
      </c>
      <c r="H637" s="2" t="s">
        <v>50</v>
      </c>
      <c r="I637" s="2" t="s">
        <v>6261</v>
      </c>
      <c r="J637" s="2" t="s">
        <v>6254</v>
      </c>
      <c r="K637" s="2" t="s">
        <v>6256</v>
      </c>
      <c r="L637" s="2" t="s">
        <v>6258</v>
      </c>
      <c r="M637" s="2" t="s">
        <v>6258</v>
      </c>
      <c r="N637" s="2" t="s">
        <v>72</v>
      </c>
      <c r="O637" s="2" t="s">
        <v>73</v>
      </c>
      <c r="P637" s="2" t="s">
        <v>464</v>
      </c>
      <c r="Q637" s="2" t="s">
        <v>6259</v>
      </c>
      <c r="R637" s="2"/>
      <c r="S637" s="2"/>
      <c r="T637" s="2"/>
      <c r="U637" s="2" t="s">
        <v>72</v>
      </c>
      <c r="V637" s="2" t="s">
        <v>73</v>
      </c>
      <c r="W637" s="2" t="s">
        <v>464</v>
      </c>
      <c r="X637" s="2" t="s">
        <v>6260</v>
      </c>
      <c r="Y637" s="2" t="s">
        <v>44</v>
      </c>
      <c r="Z637" s="2"/>
      <c r="AA637" s="2" t="s">
        <v>3527</v>
      </c>
      <c r="AB637" s="2" t="s">
        <v>46</v>
      </c>
      <c r="AC637" s="2" t="s">
        <v>3527</v>
      </c>
      <c r="AE637" s="2" t="s">
        <v>48</v>
      </c>
      <c r="AF637" s="2" t="s">
        <v>49</v>
      </c>
      <c r="AG637" s="2">
        <v>100</v>
      </c>
      <c r="AH637" s="2">
        <v>80</v>
      </c>
      <c r="AJ637" s="2" t="s">
        <v>6262</v>
      </c>
      <c r="AK637" s="2"/>
      <c r="AL637" s="2"/>
      <c r="AM637" s="2" t="s">
        <v>52</v>
      </c>
    </row>
    <row r="638" spans="1:39" x14ac:dyDescent="0.45">
      <c r="A638" s="2" t="s">
        <v>6263</v>
      </c>
      <c r="B638" s="2"/>
      <c r="C638" s="2" t="s">
        <v>6265</v>
      </c>
      <c r="D638" s="2" t="s">
        <v>6267</v>
      </c>
      <c r="E638" s="25"/>
      <c r="F638" s="21"/>
      <c r="G638" s="42" t="s">
        <v>28000</v>
      </c>
      <c r="H638" s="2" t="s">
        <v>50</v>
      </c>
      <c r="I638" s="2" t="s">
        <v>6271</v>
      </c>
      <c r="J638" s="2" t="s">
        <v>6264</v>
      </c>
      <c r="K638" s="2" t="s">
        <v>6266</v>
      </c>
      <c r="L638" s="2" t="s">
        <v>6268</v>
      </c>
      <c r="M638" s="2" t="s">
        <v>6268</v>
      </c>
      <c r="N638" s="2" t="s">
        <v>72</v>
      </c>
      <c r="O638" s="2" t="s">
        <v>73</v>
      </c>
      <c r="P638" s="2" t="s">
        <v>243</v>
      </c>
      <c r="Q638" s="2" t="s">
        <v>6269</v>
      </c>
      <c r="R638" s="2"/>
      <c r="S638" s="2"/>
      <c r="T638" s="2"/>
      <c r="U638" s="2" t="s">
        <v>72</v>
      </c>
      <c r="V638" s="2" t="s">
        <v>73</v>
      </c>
      <c r="W638" s="2" t="s">
        <v>243</v>
      </c>
      <c r="X638" s="2" t="s">
        <v>6270</v>
      </c>
      <c r="Y638" s="2" t="s">
        <v>44</v>
      </c>
      <c r="Z638" s="2"/>
      <c r="AA638" s="2" t="s">
        <v>3527</v>
      </c>
      <c r="AB638" s="2" t="s">
        <v>46</v>
      </c>
      <c r="AC638" s="2" t="s">
        <v>3527</v>
      </c>
      <c r="AE638" s="2" t="s">
        <v>48</v>
      </c>
      <c r="AF638" s="2" t="s">
        <v>49</v>
      </c>
      <c r="AG638" s="2">
        <v>100</v>
      </c>
      <c r="AH638" s="2">
        <v>80</v>
      </c>
      <c r="AJ638" s="2" t="s">
        <v>6272</v>
      </c>
      <c r="AK638" s="2"/>
      <c r="AL638" s="2"/>
      <c r="AM638" s="2" t="s">
        <v>52</v>
      </c>
    </row>
    <row r="639" spans="1:39" x14ac:dyDescent="0.45">
      <c r="A639" s="2" t="s">
        <v>6273</v>
      </c>
      <c r="B639" s="2"/>
      <c r="C639" s="2" t="s">
        <v>6275</v>
      </c>
      <c r="D639" s="2" t="s">
        <v>6277</v>
      </c>
      <c r="E639" s="25"/>
      <c r="F639" s="21"/>
      <c r="G639" s="42" t="s">
        <v>28000</v>
      </c>
      <c r="H639" s="2" t="s">
        <v>50</v>
      </c>
      <c r="I639" s="2" t="s">
        <v>6279</v>
      </c>
      <c r="J639" s="2" t="s">
        <v>6274</v>
      </c>
      <c r="K639" s="2" t="s">
        <v>6276</v>
      </c>
      <c r="L639" s="2" t="s">
        <v>6278</v>
      </c>
      <c r="M639" s="2" t="s">
        <v>6278</v>
      </c>
      <c r="N639" s="2" t="s">
        <v>72</v>
      </c>
      <c r="O639" s="2" t="s">
        <v>73</v>
      </c>
      <c r="P639" s="2" t="s">
        <v>373</v>
      </c>
      <c r="Q639" s="2" t="s">
        <v>6276</v>
      </c>
      <c r="R639" s="2"/>
      <c r="S639" s="2"/>
      <c r="T639" s="2"/>
      <c r="U639" s="2" t="s">
        <v>72</v>
      </c>
      <c r="V639" s="2" t="s">
        <v>73</v>
      </c>
      <c r="W639" s="2" t="s">
        <v>373</v>
      </c>
      <c r="X639" s="2" t="s">
        <v>5651</v>
      </c>
      <c r="Y639" s="2" t="s">
        <v>44</v>
      </c>
      <c r="Z639" s="2"/>
      <c r="AA639" s="2" t="s">
        <v>3527</v>
      </c>
      <c r="AB639" s="2" t="s">
        <v>199</v>
      </c>
      <c r="AC639" s="2" t="s">
        <v>3527</v>
      </c>
      <c r="AE639" s="2" t="s">
        <v>48</v>
      </c>
      <c r="AF639" s="2" t="s">
        <v>49</v>
      </c>
      <c r="AG639" s="2">
        <v>100</v>
      </c>
      <c r="AH639" s="2">
        <v>80</v>
      </c>
      <c r="AJ639" s="2" t="s">
        <v>6280</v>
      </c>
      <c r="AK639" s="2"/>
      <c r="AL639" s="2"/>
      <c r="AM639" s="2" t="s">
        <v>52</v>
      </c>
    </row>
    <row r="640" spans="1:39" x14ac:dyDescent="0.45">
      <c r="A640" s="2" t="s">
        <v>6281</v>
      </c>
      <c r="B640" s="2"/>
      <c r="C640" s="2" t="s">
        <v>6283</v>
      </c>
      <c r="D640" s="2" t="s">
        <v>6285</v>
      </c>
      <c r="E640" s="25"/>
      <c r="F640" s="21"/>
      <c r="G640" s="42" t="s">
        <v>28000</v>
      </c>
      <c r="H640" s="2" t="s">
        <v>50</v>
      </c>
      <c r="I640" s="2" t="s">
        <v>6289</v>
      </c>
      <c r="J640" s="2" t="s">
        <v>6282</v>
      </c>
      <c r="K640" s="2" t="s">
        <v>6284</v>
      </c>
      <c r="L640" s="2" t="s">
        <v>6286</v>
      </c>
      <c r="M640" s="2" t="s">
        <v>6286</v>
      </c>
      <c r="N640" s="2" t="s">
        <v>72</v>
      </c>
      <c r="O640" s="2" t="s">
        <v>73</v>
      </c>
      <c r="P640" s="2" t="s">
        <v>1568</v>
      </c>
      <c r="Q640" s="2" t="s">
        <v>6287</v>
      </c>
      <c r="R640" s="2"/>
      <c r="S640" s="2"/>
      <c r="T640" s="2"/>
      <c r="U640" s="2" t="s">
        <v>72</v>
      </c>
      <c r="V640" s="2" t="s">
        <v>73</v>
      </c>
      <c r="W640" s="2" t="s">
        <v>1568</v>
      </c>
      <c r="X640" s="2" t="s">
        <v>6288</v>
      </c>
      <c r="Y640" s="2" t="s">
        <v>44</v>
      </c>
      <c r="Z640" s="2"/>
      <c r="AA640" s="2" t="s">
        <v>3527</v>
      </c>
      <c r="AB640" s="2" t="s">
        <v>199</v>
      </c>
      <c r="AC640" s="2" t="s">
        <v>3527</v>
      </c>
      <c r="AE640" s="2" t="s">
        <v>48</v>
      </c>
      <c r="AF640" s="2" t="s">
        <v>49</v>
      </c>
      <c r="AG640" s="2">
        <v>100</v>
      </c>
      <c r="AH640" s="2">
        <v>80</v>
      </c>
      <c r="AJ640" s="2" t="s">
        <v>6290</v>
      </c>
      <c r="AK640" s="2"/>
      <c r="AL640" s="2"/>
      <c r="AM640" s="2" t="s">
        <v>52</v>
      </c>
    </row>
    <row r="641" spans="1:39" x14ac:dyDescent="0.45">
      <c r="A641" s="2" t="s">
        <v>6291</v>
      </c>
      <c r="B641" s="2"/>
      <c r="C641" s="2" t="s">
        <v>6293</v>
      </c>
      <c r="D641" s="2" t="s">
        <v>6295</v>
      </c>
      <c r="E641" s="25"/>
      <c r="F641" s="21"/>
      <c r="G641" s="42" t="s">
        <v>28000</v>
      </c>
      <c r="H641" s="2" t="s">
        <v>50</v>
      </c>
      <c r="I641" s="2" t="s">
        <v>6300</v>
      </c>
      <c r="J641" s="2" t="s">
        <v>6292</v>
      </c>
      <c r="K641" s="2" t="s">
        <v>6294</v>
      </c>
      <c r="L641" s="2" t="s">
        <v>6296</v>
      </c>
      <c r="M641" s="2" t="s">
        <v>6296</v>
      </c>
      <c r="N641" s="2" t="s">
        <v>72</v>
      </c>
      <c r="O641" s="2" t="s">
        <v>73</v>
      </c>
      <c r="P641" s="2" t="s">
        <v>6297</v>
      </c>
      <c r="Q641" s="2" t="s">
        <v>6298</v>
      </c>
      <c r="R641" s="2"/>
      <c r="S641" s="2"/>
      <c r="T641" s="2"/>
      <c r="U641" s="2" t="s">
        <v>72</v>
      </c>
      <c r="V641" s="2" t="s">
        <v>73</v>
      </c>
      <c r="W641" s="2" t="s">
        <v>6297</v>
      </c>
      <c r="X641" s="2" t="s">
        <v>6299</v>
      </c>
      <c r="Y641" s="2" t="s">
        <v>44</v>
      </c>
      <c r="Z641" s="2"/>
      <c r="AA641" s="2" t="s">
        <v>3527</v>
      </c>
      <c r="AB641" s="2" t="s">
        <v>46</v>
      </c>
      <c r="AC641" s="2" t="s">
        <v>3527</v>
      </c>
      <c r="AE641" s="2" t="s">
        <v>48</v>
      </c>
      <c r="AF641" s="2" t="s">
        <v>49</v>
      </c>
      <c r="AG641" s="2">
        <v>100</v>
      </c>
      <c r="AH641" s="2">
        <v>80</v>
      </c>
      <c r="AJ641" s="2" t="s">
        <v>6301</v>
      </c>
      <c r="AK641" s="2"/>
      <c r="AL641" s="2"/>
      <c r="AM641" s="2" t="s">
        <v>52</v>
      </c>
    </row>
    <row r="642" spans="1:39" x14ac:dyDescent="0.45">
      <c r="A642" s="2" t="s">
        <v>6302</v>
      </c>
      <c r="B642" s="2"/>
      <c r="C642" s="2" t="s">
        <v>6304</v>
      </c>
      <c r="D642" s="2" t="s">
        <v>6306</v>
      </c>
      <c r="E642" s="25"/>
      <c r="F642" s="21"/>
      <c r="G642" s="42" t="s">
        <v>28000</v>
      </c>
      <c r="H642" s="2" t="s">
        <v>50</v>
      </c>
      <c r="I642" s="2" t="s">
        <v>6309</v>
      </c>
      <c r="J642" s="2" t="s">
        <v>6303</v>
      </c>
      <c r="K642" s="2" t="s">
        <v>6305</v>
      </c>
      <c r="L642" s="2" t="s">
        <v>6307</v>
      </c>
      <c r="M642" s="2" t="s">
        <v>6307</v>
      </c>
      <c r="N642" s="2" t="s">
        <v>72</v>
      </c>
      <c r="O642" s="2" t="s">
        <v>73</v>
      </c>
      <c r="P642" s="2" t="s">
        <v>74</v>
      </c>
      <c r="Q642" s="2" t="s">
        <v>6308</v>
      </c>
      <c r="R642" s="2"/>
      <c r="S642" s="2"/>
      <c r="T642" s="2"/>
      <c r="U642" s="2" t="s">
        <v>72</v>
      </c>
      <c r="V642" s="2" t="s">
        <v>73</v>
      </c>
      <c r="W642" s="2" t="s">
        <v>74</v>
      </c>
      <c r="X642" s="2" t="s">
        <v>6299</v>
      </c>
      <c r="Y642" s="2" t="s">
        <v>44</v>
      </c>
      <c r="Z642" s="2"/>
      <c r="AA642" s="2" t="s">
        <v>3527</v>
      </c>
      <c r="AB642" s="2" t="s">
        <v>46</v>
      </c>
      <c r="AC642" s="2" t="s">
        <v>3527</v>
      </c>
      <c r="AE642" s="2" t="s">
        <v>48</v>
      </c>
      <c r="AF642" s="2" t="s">
        <v>49</v>
      </c>
      <c r="AG642" s="2">
        <v>100</v>
      </c>
      <c r="AH642" s="2">
        <v>80</v>
      </c>
      <c r="AJ642" s="2" t="s">
        <v>6310</v>
      </c>
      <c r="AK642" s="2"/>
      <c r="AL642" s="2"/>
      <c r="AM642" s="2" t="s">
        <v>52</v>
      </c>
    </row>
    <row r="643" spans="1:39" x14ac:dyDescent="0.45">
      <c r="A643" s="2" t="s">
        <v>6311</v>
      </c>
      <c r="B643" s="2"/>
      <c r="C643" s="2" t="s">
        <v>6313</v>
      </c>
      <c r="D643" s="2" t="s">
        <v>6315</v>
      </c>
      <c r="E643" s="25"/>
      <c r="F643" s="21"/>
      <c r="G643" s="42" t="s">
        <v>28000</v>
      </c>
      <c r="H643" s="2" t="s">
        <v>50</v>
      </c>
      <c r="I643" s="2" t="s">
        <v>6319</v>
      </c>
      <c r="J643" s="2" t="s">
        <v>6312</v>
      </c>
      <c r="K643" s="2" t="s">
        <v>6314</v>
      </c>
      <c r="L643" s="2" t="s">
        <v>6316</v>
      </c>
      <c r="M643" s="2" t="s">
        <v>6316</v>
      </c>
      <c r="N643" s="2" t="s">
        <v>72</v>
      </c>
      <c r="O643" s="2" t="s">
        <v>73</v>
      </c>
      <c r="P643" s="2" t="s">
        <v>187</v>
      </c>
      <c r="Q643" s="2" t="s">
        <v>6317</v>
      </c>
      <c r="R643" s="2"/>
      <c r="S643" s="2"/>
      <c r="T643" s="2"/>
      <c r="U643" s="2" t="s">
        <v>72</v>
      </c>
      <c r="V643" s="2" t="s">
        <v>73</v>
      </c>
      <c r="W643" s="2" t="s">
        <v>187</v>
      </c>
      <c r="X643" s="2" t="s">
        <v>6318</v>
      </c>
      <c r="Y643" s="2" t="s">
        <v>44</v>
      </c>
      <c r="Z643" s="2"/>
      <c r="AA643" s="2" t="s">
        <v>3527</v>
      </c>
      <c r="AB643" s="2" t="s">
        <v>46</v>
      </c>
      <c r="AC643" s="2" t="s">
        <v>3527</v>
      </c>
      <c r="AE643" s="2" t="s">
        <v>48</v>
      </c>
      <c r="AF643" s="2" t="s">
        <v>49</v>
      </c>
      <c r="AG643" s="2">
        <v>100</v>
      </c>
      <c r="AH643" s="2">
        <v>80</v>
      </c>
      <c r="AJ643" s="2" t="s">
        <v>6320</v>
      </c>
      <c r="AK643" s="2"/>
      <c r="AL643" s="2"/>
      <c r="AM643" s="2" t="s">
        <v>52</v>
      </c>
    </row>
    <row r="644" spans="1:39" x14ac:dyDescent="0.45">
      <c r="A644" s="2" t="s">
        <v>6321</v>
      </c>
      <c r="B644" s="2"/>
      <c r="C644" s="2" t="s">
        <v>6323</v>
      </c>
      <c r="D644" s="2" t="s">
        <v>6325</v>
      </c>
      <c r="E644" s="25"/>
      <c r="F644" s="21"/>
      <c r="G644" s="42" t="s">
        <v>28000</v>
      </c>
      <c r="H644" s="2" t="s">
        <v>50</v>
      </c>
      <c r="I644" s="2" t="s">
        <v>6329</v>
      </c>
      <c r="J644" s="2" t="s">
        <v>6322</v>
      </c>
      <c r="K644" s="2" t="s">
        <v>6324</v>
      </c>
      <c r="L644" s="2" t="s">
        <v>6326</v>
      </c>
      <c r="M644" s="2" t="s">
        <v>6326</v>
      </c>
      <c r="N644" s="2" t="s">
        <v>72</v>
      </c>
      <c r="O644" s="2" t="s">
        <v>73</v>
      </c>
      <c r="P644" s="2" t="s">
        <v>1568</v>
      </c>
      <c r="Q644" s="2" t="s">
        <v>6327</v>
      </c>
      <c r="R644" s="2"/>
      <c r="S644" s="2"/>
      <c r="T644" s="2"/>
      <c r="U644" s="2" t="s">
        <v>72</v>
      </c>
      <c r="V644" s="2" t="s">
        <v>73</v>
      </c>
      <c r="W644" s="2" t="s">
        <v>98</v>
      </c>
      <c r="X644" s="2" t="s">
        <v>6328</v>
      </c>
      <c r="Y644" s="2" t="s">
        <v>44</v>
      </c>
      <c r="Z644" s="2"/>
      <c r="AA644" s="2" t="s">
        <v>3527</v>
      </c>
      <c r="AB644" s="2" t="s">
        <v>46</v>
      </c>
      <c r="AC644" s="2" t="s">
        <v>3527</v>
      </c>
      <c r="AE644" s="2" t="s">
        <v>48</v>
      </c>
      <c r="AF644" s="2" t="s">
        <v>49</v>
      </c>
      <c r="AG644" s="2">
        <v>100</v>
      </c>
      <c r="AH644" s="2">
        <v>80</v>
      </c>
      <c r="AJ644" s="2" t="s">
        <v>6330</v>
      </c>
      <c r="AK644" s="2"/>
      <c r="AL644" s="2"/>
      <c r="AM644" s="2" t="s">
        <v>52</v>
      </c>
    </row>
    <row r="645" spans="1:39" x14ac:dyDescent="0.45">
      <c r="A645" s="2" t="s">
        <v>6331</v>
      </c>
      <c r="B645" s="2"/>
      <c r="C645" s="2" t="s">
        <v>6333</v>
      </c>
      <c r="D645" s="2" t="s">
        <v>6335</v>
      </c>
      <c r="E645" s="25"/>
      <c r="F645" s="21"/>
      <c r="G645" s="42" t="s">
        <v>28000</v>
      </c>
      <c r="H645" s="2" t="s">
        <v>50</v>
      </c>
      <c r="I645" s="2" t="s">
        <v>6339</v>
      </c>
      <c r="J645" s="2" t="s">
        <v>6332</v>
      </c>
      <c r="K645" s="2" t="s">
        <v>6334</v>
      </c>
      <c r="L645" s="2" t="s">
        <v>6336</v>
      </c>
      <c r="M645" s="2" t="s">
        <v>6336</v>
      </c>
      <c r="N645" s="2" t="s">
        <v>72</v>
      </c>
      <c r="O645" s="2" t="s">
        <v>73</v>
      </c>
      <c r="P645" s="2" t="s">
        <v>187</v>
      </c>
      <c r="Q645" s="2" t="s">
        <v>6337</v>
      </c>
      <c r="R645" s="2"/>
      <c r="S645" s="2"/>
      <c r="T645" s="2"/>
      <c r="U645" s="2" t="s">
        <v>72</v>
      </c>
      <c r="V645" s="2" t="s">
        <v>73</v>
      </c>
      <c r="W645" s="2" t="s">
        <v>187</v>
      </c>
      <c r="X645" s="2" t="s">
        <v>6338</v>
      </c>
      <c r="Y645" s="2" t="s">
        <v>44</v>
      </c>
      <c r="Z645" s="2"/>
      <c r="AA645" s="2" t="s">
        <v>3527</v>
      </c>
      <c r="AB645" s="2" t="s">
        <v>46</v>
      </c>
      <c r="AC645" s="2" t="s">
        <v>3527</v>
      </c>
      <c r="AE645" s="2" t="s">
        <v>48</v>
      </c>
      <c r="AF645" s="2" t="s">
        <v>49</v>
      </c>
      <c r="AG645" s="2">
        <v>100</v>
      </c>
      <c r="AH645" s="2">
        <v>80</v>
      </c>
      <c r="AJ645" s="2" t="s">
        <v>6340</v>
      </c>
      <c r="AK645" s="2"/>
      <c r="AL645" s="2"/>
      <c r="AM645" s="2" t="s">
        <v>52</v>
      </c>
    </row>
    <row r="646" spans="1:39" x14ac:dyDescent="0.45">
      <c r="A646" s="2" t="s">
        <v>6341</v>
      </c>
      <c r="B646" s="2"/>
      <c r="C646" s="2" t="s">
        <v>6343</v>
      </c>
      <c r="D646" s="2" t="s">
        <v>6345</v>
      </c>
      <c r="E646" s="25"/>
      <c r="F646" s="21"/>
      <c r="G646" s="42" t="s">
        <v>28000</v>
      </c>
      <c r="H646" s="2" t="s">
        <v>50</v>
      </c>
      <c r="I646" s="2" t="s">
        <v>6349</v>
      </c>
      <c r="J646" s="2" t="s">
        <v>6342</v>
      </c>
      <c r="K646" s="2" t="s">
        <v>6344</v>
      </c>
      <c r="L646" s="2" t="s">
        <v>6346</v>
      </c>
      <c r="M646" s="2" t="s">
        <v>6346</v>
      </c>
      <c r="N646" s="2" t="s">
        <v>72</v>
      </c>
      <c r="O646" s="2" t="s">
        <v>73</v>
      </c>
      <c r="P646" s="2" t="s">
        <v>98</v>
      </c>
      <c r="Q646" s="2" t="s">
        <v>6347</v>
      </c>
      <c r="R646" s="2"/>
      <c r="S646" s="2"/>
      <c r="T646" s="2"/>
      <c r="U646" s="2" t="s">
        <v>72</v>
      </c>
      <c r="V646" s="2" t="s">
        <v>73</v>
      </c>
      <c r="W646" s="2" t="s">
        <v>98</v>
      </c>
      <c r="X646" s="2" t="s">
        <v>6348</v>
      </c>
      <c r="Y646" s="2" t="s">
        <v>44</v>
      </c>
      <c r="Z646" s="2"/>
      <c r="AA646" s="2" t="s">
        <v>3527</v>
      </c>
      <c r="AB646" s="2" t="s">
        <v>46</v>
      </c>
      <c r="AC646" s="2" t="s">
        <v>3527</v>
      </c>
      <c r="AE646" s="2" t="s">
        <v>48</v>
      </c>
      <c r="AF646" s="2" t="s">
        <v>49</v>
      </c>
      <c r="AG646" s="2">
        <v>100</v>
      </c>
      <c r="AH646" s="2">
        <v>80</v>
      </c>
      <c r="AJ646" s="2" t="s">
        <v>6350</v>
      </c>
      <c r="AK646" s="2"/>
      <c r="AL646" s="2"/>
      <c r="AM646" s="2" t="s">
        <v>52</v>
      </c>
    </row>
    <row r="647" spans="1:39" x14ac:dyDescent="0.45">
      <c r="A647" s="2" t="s">
        <v>6351</v>
      </c>
      <c r="B647" s="2"/>
      <c r="C647" s="2" t="s">
        <v>6353</v>
      </c>
      <c r="D647" s="2" t="s">
        <v>6355</v>
      </c>
      <c r="E647" s="25"/>
      <c r="F647" s="21"/>
      <c r="G647" s="42" t="s">
        <v>28000</v>
      </c>
      <c r="H647" s="2" t="s">
        <v>50</v>
      </c>
      <c r="I647" s="2" t="s">
        <v>6359</v>
      </c>
      <c r="J647" s="2" t="s">
        <v>6352</v>
      </c>
      <c r="K647" s="2" t="s">
        <v>6354</v>
      </c>
      <c r="L647" s="2" t="s">
        <v>6356</v>
      </c>
      <c r="M647" s="2" t="s">
        <v>6356</v>
      </c>
      <c r="N647" s="2" t="s">
        <v>72</v>
      </c>
      <c r="O647" s="2" t="s">
        <v>73</v>
      </c>
      <c r="P647" s="2" t="s">
        <v>187</v>
      </c>
      <c r="Q647" s="2" t="s">
        <v>6357</v>
      </c>
      <c r="R647" s="2"/>
      <c r="S647" s="2"/>
      <c r="T647" s="2"/>
      <c r="U647" s="2" t="s">
        <v>72</v>
      </c>
      <c r="V647" s="2" t="s">
        <v>73</v>
      </c>
      <c r="W647" s="2" t="s">
        <v>187</v>
      </c>
      <c r="X647" s="2" t="s">
        <v>6358</v>
      </c>
      <c r="Y647" s="2" t="s">
        <v>44</v>
      </c>
      <c r="Z647" s="2"/>
      <c r="AA647" s="2" t="s">
        <v>3527</v>
      </c>
      <c r="AB647" s="2" t="s">
        <v>46</v>
      </c>
      <c r="AC647" s="2" t="s">
        <v>3527</v>
      </c>
      <c r="AE647" s="2" t="s">
        <v>48</v>
      </c>
      <c r="AF647" s="2" t="s">
        <v>49</v>
      </c>
      <c r="AG647" s="2">
        <v>100</v>
      </c>
      <c r="AH647" s="2">
        <v>80</v>
      </c>
      <c r="AJ647" s="2" t="s">
        <v>6360</v>
      </c>
      <c r="AK647" s="2"/>
      <c r="AL647" s="2"/>
      <c r="AM647" s="2" t="s">
        <v>52</v>
      </c>
    </row>
    <row r="648" spans="1:39" x14ac:dyDescent="0.45">
      <c r="A648" s="2" t="s">
        <v>6361</v>
      </c>
      <c r="B648" s="2"/>
      <c r="C648" s="2" t="s">
        <v>6363</v>
      </c>
      <c r="D648" s="2" t="s">
        <v>6365</v>
      </c>
      <c r="E648" s="25"/>
      <c r="F648" s="21"/>
      <c r="G648" s="42" t="s">
        <v>28000</v>
      </c>
      <c r="H648" s="2" t="s">
        <v>50</v>
      </c>
      <c r="I648" s="2" t="s">
        <v>6368</v>
      </c>
      <c r="J648" s="2" t="s">
        <v>6362</v>
      </c>
      <c r="K648" s="2" t="s">
        <v>6364</v>
      </c>
      <c r="L648" s="2" t="s">
        <v>6366</v>
      </c>
      <c r="M648" s="2" t="s">
        <v>6366</v>
      </c>
      <c r="N648" s="2" t="s">
        <v>72</v>
      </c>
      <c r="O648" s="2" t="s">
        <v>73</v>
      </c>
      <c r="P648" s="2" t="s">
        <v>187</v>
      </c>
      <c r="Q648" s="2" t="s">
        <v>6367</v>
      </c>
      <c r="R648" s="2"/>
      <c r="S648" s="2"/>
      <c r="T648" s="2"/>
      <c r="U648" s="2" t="s">
        <v>72</v>
      </c>
      <c r="V648" s="2" t="s">
        <v>73</v>
      </c>
      <c r="W648" s="2" t="s">
        <v>187</v>
      </c>
      <c r="X648" s="2" t="s">
        <v>6358</v>
      </c>
      <c r="Y648" s="2" t="s">
        <v>44</v>
      </c>
      <c r="Z648" s="2"/>
      <c r="AA648" s="2" t="s">
        <v>3527</v>
      </c>
      <c r="AB648" s="2" t="s">
        <v>46</v>
      </c>
      <c r="AC648" s="2" t="s">
        <v>3527</v>
      </c>
      <c r="AE648" s="2" t="s">
        <v>48</v>
      </c>
      <c r="AF648" s="2" t="s">
        <v>49</v>
      </c>
      <c r="AG648" s="2">
        <v>100</v>
      </c>
      <c r="AH648" s="2">
        <v>80</v>
      </c>
      <c r="AJ648" s="2" t="s">
        <v>6369</v>
      </c>
      <c r="AK648" s="2"/>
      <c r="AL648" s="2"/>
      <c r="AM648" s="2" t="s">
        <v>52</v>
      </c>
    </row>
    <row r="649" spans="1:39" x14ac:dyDescent="0.45">
      <c r="A649" s="2" t="s">
        <v>6370</v>
      </c>
      <c r="B649" s="2"/>
      <c r="C649" s="2" t="s">
        <v>6372</v>
      </c>
      <c r="D649" s="2" t="s">
        <v>6374</v>
      </c>
      <c r="E649" s="25"/>
      <c r="F649" s="21"/>
      <c r="G649" s="42" t="s">
        <v>28000</v>
      </c>
      <c r="H649" s="2" t="s">
        <v>50</v>
      </c>
      <c r="I649" s="2" t="s">
        <v>6379</v>
      </c>
      <c r="J649" s="2" t="s">
        <v>6371</v>
      </c>
      <c r="K649" s="2" t="s">
        <v>6373</v>
      </c>
      <c r="L649" s="2" t="s">
        <v>6375</v>
      </c>
      <c r="M649" s="2" t="s">
        <v>6375</v>
      </c>
      <c r="N649" s="2" t="s">
        <v>72</v>
      </c>
      <c r="O649" s="2" t="s">
        <v>73</v>
      </c>
      <c r="P649" s="2" t="s">
        <v>6376</v>
      </c>
      <c r="Q649" s="2" t="s">
        <v>6377</v>
      </c>
      <c r="R649" s="2"/>
      <c r="S649" s="2"/>
      <c r="T649" s="2"/>
      <c r="U649" s="2" t="s">
        <v>72</v>
      </c>
      <c r="V649" s="2" t="s">
        <v>73</v>
      </c>
      <c r="W649" s="2" t="s">
        <v>6376</v>
      </c>
      <c r="X649" s="2" t="s">
        <v>6378</v>
      </c>
      <c r="Y649" s="2" t="s">
        <v>44</v>
      </c>
      <c r="Z649" s="2"/>
      <c r="AA649" s="2" t="s">
        <v>3527</v>
      </c>
      <c r="AB649" s="2" t="s">
        <v>46</v>
      </c>
      <c r="AC649" s="2" t="s">
        <v>3527</v>
      </c>
      <c r="AE649" s="2" t="s">
        <v>48</v>
      </c>
      <c r="AF649" s="2" t="s">
        <v>49</v>
      </c>
      <c r="AG649" s="2">
        <v>100</v>
      </c>
      <c r="AH649" s="2">
        <v>80</v>
      </c>
      <c r="AJ649" s="2" t="s">
        <v>6380</v>
      </c>
      <c r="AK649" s="2"/>
      <c r="AL649" s="2"/>
      <c r="AM649" s="2" t="s">
        <v>52</v>
      </c>
    </row>
    <row r="650" spans="1:39" x14ac:dyDescent="0.45">
      <c r="A650" s="2" t="s">
        <v>6381</v>
      </c>
      <c r="B650" s="2"/>
      <c r="C650" s="2" t="s">
        <v>6383</v>
      </c>
      <c r="D650" s="2" t="s">
        <v>6385</v>
      </c>
      <c r="E650" s="25"/>
      <c r="F650" s="21"/>
      <c r="G650" s="42" t="s">
        <v>28000</v>
      </c>
      <c r="H650" s="2" t="s">
        <v>50</v>
      </c>
      <c r="I650" s="2" t="s">
        <v>6389</v>
      </c>
      <c r="J650" s="2" t="s">
        <v>6382</v>
      </c>
      <c r="K650" s="2" t="s">
        <v>6384</v>
      </c>
      <c r="L650" s="2" t="s">
        <v>6386</v>
      </c>
      <c r="M650" s="2" t="s">
        <v>6386</v>
      </c>
      <c r="N650" s="2" t="s">
        <v>72</v>
      </c>
      <c r="O650" s="2" t="s">
        <v>73</v>
      </c>
      <c r="P650" s="2" t="s">
        <v>913</v>
      </c>
      <c r="Q650" s="2" t="s">
        <v>6387</v>
      </c>
      <c r="R650" s="2"/>
      <c r="S650" s="2"/>
      <c r="T650" s="2"/>
      <c r="U650" s="2" t="s">
        <v>72</v>
      </c>
      <c r="V650" s="2" t="s">
        <v>73</v>
      </c>
      <c r="W650" s="2" t="s">
        <v>98</v>
      </c>
      <c r="X650" s="2" t="s">
        <v>6388</v>
      </c>
      <c r="Y650" s="2" t="s">
        <v>44</v>
      </c>
      <c r="Z650" s="2"/>
      <c r="AA650" s="2" t="s">
        <v>3527</v>
      </c>
      <c r="AB650" s="2" t="s">
        <v>46</v>
      </c>
      <c r="AC650" s="2" t="s">
        <v>3527</v>
      </c>
      <c r="AE650" s="2" t="s">
        <v>48</v>
      </c>
      <c r="AF650" s="2" t="s">
        <v>49</v>
      </c>
      <c r="AG650" s="2">
        <v>100</v>
      </c>
      <c r="AH650" s="2">
        <v>80</v>
      </c>
      <c r="AJ650" s="2" t="s">
        <v>6390</v>
      </c>
      <c r="AK650" s="2"/>
      <c r="AL650" s="2"/>
      <c r="AM650" s="2" t="s">
        <v>52</v>
      </c>
    </row>
    <row r="651" spans="1:39" x14ac:dyDescent="0.45">
      <c r="A651" s="2" t="s">
        <v>6391</v>
      </c>
      <c r="B651" s="2"/>
      <c r="C651" s="2" t="s">
        <v>6393</v>
      </c>
      <c r="D651" s="2" t="s">
        <v>6395</v>
      </c>
      <c r="E651" s="25"/>
      <c r="F651" s="21"/>
      <c r="G651" s="42" t="s">
        <v>28000</v>
      </c>
      <c r="H651" s="2" t="s">
        <v>50</v>
      </c>
      <c r="I651" s="2" t="s">
        <v>6398</v>
      </c>
      <c r="J651" s="2" t="s">
        <v>6392</v>
      </c>
      <c r="K651" s="2" t="s">
        <v>6394</v>
      </c>
      <c r="L651" s="2" t="s">
        <v>6396</v>
      </c>
      <c r="M651" s="2" t="s">
        <v>6396</v>
      </c>
      <c r="N651" s="2" t="s">
        <v>72</v>
      </c>
      <c r="O651" s="2" t="s">
        <v>73</v>
      </c>
      <c r="P651" s="2" t="s">
        <v>2982</v>
      </c>
      <c r="Q651" s="2" t="s">
        <v>6397</v>
      </c>
      <c r="R651" s="2"/>
      <c r="S651" s="2"/>
      <c r="T651" s="2"/>
      <c r="U651" s="2" t="s">
        <v>72</v>
      </c>
      <c r="V651" s="2" t="s">
        <v>73</v>
      </c>
      <c r="W651" s="2" t="s">
        <v>2982</v>
      </c>
      <c r="X651" s="2" t="s">
        <v>6388</v>
      </c>
      <c r="Y651" s="2" t="s">
        <v>44</v>
      </c>
      <c r="Z651" s="2"/>
      <c r="AA651" s="2" t="s">
        <v>3527</v>
      </c>
      <c r="AB651" s="2" t="s">
        <v>46</v>
      </c>
      <c r="AC651" s="2" t="s">
        <v>3527</v>
      </c>
      <c r="AE651" s="2" t="s">
        <v>48</v>
      </c>
      <c r="AF651" s="2" t="s">
        <v>49</v>
      </c>
      <c r="AG651" s="2">
        <v>100</v>
      </c>
      <c r="AH651" s="2">
        <v>80</v>
      </c>
      <c r="AJ651" s="2" t="s">
        <v>6399</v>
      </c>
      <c r="AK651" s="2"/>
      <c r="AL651" s="2"/>
      <c r="AM651" s="2" t="s">
        <v>52</v>
      </c>
    </row>
    <row r="652" spans="1:39" x14ac:dyDescent="0.45">
      <c r="A652" s="2" t="s">
        <v>6400</v>
      </c>
      <c r="B652" s="2"/>
      <c r="C652" s="2" t="s">
        <v>6402</v>
      </c>
      <c r="D652" s="2" t="s">
        <v>6404</v>
      </c>
      <c r="E652" s="25"/>
      <c r="F652" s="21"/>
      <c r="G652" s="42" t="s">
        <v>28000</v>
      </c>
      <c r="H652" s="2" t="s">
        <v>50</v>
      </c>
      <c r="I652" s="2" t="s">
        <v>6407</v>
      </c>
      <c r="J652" s="2" t="s">
        <v>6401</v>
      </c>
      <c r="K652" s="2" t="s">
        <v>6403</v>
      </c>
      <c r="L652" s="2" t="s">
        <v>6405</v>
      </c>
      <c r="M652" s="2" t="s">
        <v>6405</v>
      </c>
      <c r="N652" s="2" t="s">
        <v>72</v>
      </c>
      <c r="O652" s="2" t="s">
        <v>73</v>
      </c>
      <c r="P652" s="2" t="s">
        <v>464</v>
      </c>
      <c r="Q652" s="2" t="s">
        <v>6406</v>
      </c>
      <c r="R652" s="2"/>
      <c r="S652" s="2"/>
      <c r="T652" s="2"/>
      <c r="U652" s="2" t="s">
        <v>72</v>
      </c>
      <c r="V652" s="2" t="s">
        <v>73</v>
      </c>
      <c r="W652" s="2" t="s">
        <v>464</v>
      </c>
      <c r="X652" s="2" t="s">
        <v>6388</v>
      </c>
      <c r="Y652" s="2" t="s">
        <v>44</v>
      </c>
      <c r="Z652" s="2"/>
      <c r="AA652" s="2" t="s">
        <v>3527</v>
      </c>
      <c r="AB652" s="2" t="s">
        <v>46</v>
      </c>
      <c r="AC652" s="2" t="s">
        <v>3527</v>
      </c>
      <c r="AE652" s="2" t="s">
        <v>48</v>
      </c>
      <c r="AF652" s="2" t="s">
        <v>49</v>
      </c>
      <c r="AG652" s="2">
        <v>100</v>
      </c>
      <c r="AH652" s="2">
        <v>80</v>
      </c>
      <c r="AJ652" s="2" t="s">
        <v>6408</v>
      </c>
      <c r="AK652" s="2"/>
      <c r="AL652" s="2"/>
      <c r="AM652" s="2" t="s">
        <v>52</v>
      </c>
    </row>
    <row r="653" spans="1:39" x14ac:dyDescent="0.45">
      <c r="A653" s="2" t="s">
        <v>6409</v>
      </c>
      <c r="B653" s="2"/>
      <c r="C653" s="2" t="s">
        <v>6411</v>
      </c>
      <c r="D653" s="2" t="s">
        <v>6413</v>
      </c>
      <c r="E653" s="25"/>
      <c r="F653" s="21"/>
      <c r="G653" s="42" t="s">
        <v>28000</v>
      </c>
      <c r="H653" s="2" t="s">
        <v>50</v>
      </c>
      <c r="I653" s="2" t="s">
        <v>6417</v>
      </c>
      <c r="J653" s="2" t="s">
        <v>6410</v>
      </c>
      <c r="K653" s="2" t="s">
        <v>6412</v>
      </c>
      <c r="L653" s="2" t="s">
        <v>6414</v>
      </c>
      <c r="M653" s="2" t="s">
        <v>6414</v>
      </c>
      <c r="N653" s="2" t="s">
        <v>72</v>
      </c>
      <c r="O653" s="2" t="s">
        <v>73</v>
      </c>
      <c r="P653" s="2" t="s">
        <v>791</v>
      </c>
      <c r="Q653" s="2" t="s">
        <v>6415</v>
      </c>
      <c r="R653" s="2"/>
      <c r="S653" s="2"/>
      <c r="T653" s="2"/>
      <c r="U653" s="2" t="s">
        <v>72</v>
      </c>
      <c r="V653" s="2" t="s">
        <v>73</v>
      </c>
      <c r="W653" s="2" t="s">
        <v>791</v>
      </c>
      <c r="X653" s="2" t="s">
        <v>6416</v>
      </c>
      <c r="Y653" s="2" t="s">
        <v>44</v>
      </c>
      <c r="Z653" s="2"/>
      <c r="AA653" s="2" t="s">
        <v>3527</v>
      </c>
      <c r="AB653" s="2" t="s">
        <v>46</v>
      </c>
      <c r="AC653" s="2" t="s">
        <v>3527</v>
      </c>
      <c r="AE653" s="2" t="s">
        <v>48</v>
      </c>
      <c r="AF653" s="2" t="s">
        <v>49</v>
      </c>
      <c r="AG653" s="2">
        <v>100</v>
      </c>
      <c r="AH653" s="2">
        <v>80</v>
      </c>
      <c r="AJ653" s="2" t="s">
        <v>6418</v>
      </c>
      <c r="AK653" s="2"/>
      <c r="AL653" s="2"/>
      <c r="AM653" s="2" t="s">
        <v>52</v>
      </c>
    </row>
    <row r="654" spans="1:39" x14ac:dyDescent="0.45">
      <c r="A654" s="2" t="s">
        <v>6419</v>
      </c>
      <c r="B654" s="2"/>
      <c r="C654" s="2" t="s">
        <v>6421</v>
      </c>
      <c r="D654" s="2" t="s">
        <v>6423</v>
      </c>
      <c r="E654" s="25"/>
      <c r="F654" s="21"/>
      <c r="G654" s="42" t="s">
        <v>28000</v>
      </c>
      <c r="H654" s="2" t="s">
        <v>50</v>
      </c>
      <c r="I654" s="2" t="s">
        <v>6427</v>
      </c>
      <c r="J654" s="2" t="s">
        <v>6420</v>
      </c>
      <c r="K654" s="2" t="s">
        <v>6422</v>
      </c>
      <c r="L654" s="2" t="s">
        <v>6424</v>
      </c>
      <c r="M654" s="2" t="s">
        <v>6424</v>
      </c>
      <c r="N654" s="2" t="s">
        <v>72</v>
      </c>
      <c r="O654" s="2" t="s">
        <v>73</v>
      </c>
      <c r="P654" s="2" t="s">
        <v>1568</v>
      </c>
      <c r="Q654" s="2" t="s">
        <v>6425</v>
      </c>
      <c r="R654" s="2"/>
      <c r="S654" s="2"/>
      <c r="T654" s="2"/>
      <c r="U654" s="2" t="s">
        <v>72</v>
      </c>
      <c r="V654" s="2" t="s">
        <v>73</v>
      </c>
      <c r="W654" s="2" t="s">
        <v>1568</v>
      </c>
      <c r="X654" s="2" t="s">
        <v>6426</v>
      </c>
      <c r="Y654" s="2" t="s">
        <v>44</v>
      </c>
      <c r="Z654" s="2"/>
      <c r="AA654" s="2" t="s">
        <v>3527</v>
      </c>
      <c r="AB654" s="2" t="s">
        <v>46</v>
      </c>
      <c r="AC654" s="2" t="s">
        <v>3527</v>
      </c>
      <c r="AE654" s="2" t="s">
        <v>48</v>
      </c>
      <c r="AF654" s="2" t="s">
        <v>49</v>
      </c>
      <c r="AG654" s="2">
        <v>100</v>
      </c>
      <c r="AH654" s="2">
        <v>80</v>
      </c>
      <c r="AJ654" s="2" t="s">
        <v>6428</v>
      </c>
      <c r="AK654" s="2"/>
      <c r="AL654" s="2"/>
      <c r="AM654" s="2" t="s">
        <v>52</v>
      </c>
    </row>
    <row r="655" spans="1:39" x14ac:dyDescent="0.45">
      <c r="A655" s="2" t="s">
        <v>6429</v>
      </c>
      <c r="B655" s="2"/>
      <c r="C655" s="2" t="s">
        <v>6431</v>
      </c>
      <c r="D655" s="2" t="s">
        <v>6433</v>
      </c>
      <c r="E655" s="25"/>
      <c r="F655" s="21"/>
      <c r="G655" s="42" t="s">
        <v>28000</v>
      </c>
      <c r="H655" s="2" t="s">
        <v>50</v>
      </c>
      <c r="I655" s="2" t="s">
        <v>6437</v>
      </c>
      <c r="J655" s="2" t="s">
        <v>6430</v>
      </c>
      <c r="K655" s="2" t="s">
        <v>6432</v>
      </c>
      <c r="L655" s="2" t="s">
        <v>6434</v>
      </c>
      <c r="M655" s="2" t="s">
        <v>6434</v>
      </c>
      <c r="N655" s="2" t="s">
        <v>72</v>
      </c>
      <c r="O655" s="2" t="s">
        <v>73</v>
      </c>
      <c r="P655" s="2" t="s">
        <v>464</v>
      </c>
      <c r="Q655" s="2" t="s">
        <v>6435</v>
      </c>
      <c r="R655" s="2"/>
      <c r="S655" s="2"/>
      <c r="T655" s="2"/>
      <c r="U655" s="2" t="s">
        <v>72</v>
      </c>
      <c r="V655" s="2" t="s">
        <v>73</v>
      </c>
      <c r="W655" s="2" t="s">
        <v>464</v>
      </c>
      <c r="X655" s="2" t="s">
        <v>6436</v>
      </c>
      <c r="Y655" s="2" t="s">
        <v>44</v>
      </c>
      <c r="Z655" s="2"/>
      <c r="AA655" s="2" t="s">
        <v>3527</v>
      </c>
      <c r="AB655" s="2" t="s">
        <v>46</v>
      </c>
      <c r="AC655" s="2" t="s">
        <v>3527</v>
      </c>
      <c r="AE655" s="2" t="s">
        <v>48</v>
      </c>
      <c r="AF655" s="2" t="s">
        <v>49</v>
      </c>
      <c r="AG655" s="2">
        <v>100</v>
      </c>
      <c r="AH655" s="2">
        <v>80</v>
      </c>
      <c r="AJ655" s="2" t="s">
        <v>6438</v>
      </c>
      <c r="AK655" s="2"/>
      <c r="AL655" s="2"/>
      <c r="AM655" s="2" t="s">
        <v>52</v>
      </c>
    </row>
    <row r="656" spans="1:39" x14ac:dyDescent="0.45">
      <c r="A656" s="2" t="s">
        <v>6439</v>
      </c>
      <c r="B656" s="2"/>
      <c r="C656" s="2" t="s">
        <v>6441</v>
      </c>
      <c r="D656" s="2" t="s">
        <v>6443</v>
      </c>
      <c r="E656" s="25"/>
      <c r="F656" s="21"/>
      <c r="G656" s="42" t="s">
        <v>28000</v>
      </c>
      <c r="H656" s="2" t="s">
        <v>50</v>
      </c>
      <c r="I656" s="2" t="s">
        <v>6447</v>
      </c>
      <c r="J656" s="2" t="s">
        <v>6440</v>
      </c>
      <c r="K656" s="2" t="s">
        <v>6442</v>
      </c>
      <c r="L656" s="2" t="s">
        <v>6444</v>
      </c>
      <c r="M656" s="2" t="s">
        <v>6444</v>
      </c>
      <c r="N656" s="2" t="s">
        <v>72</v>
      </c>
      <c r="O656" s="2" t="s">
        <v>73</v>
      </c>
      <c r="P656" s="2" t="s">
        <v>761</v>
      </c>
      <c r="Q656" s="2" t="s">
        <v>6445</v>
      </c>
      <c r="R656" s="2"/>
      <c r="S656" s="2"/>
      <c r="T656" s="2"/>
      <c r="U656" s="2" t="s">
        <v>72</v>
      </c>
      <c r="V656" s="2" t="s">
        <v>73</v>
      </c>
      <c r="W656" s="2" t="s">
        <v>761</v>
      </c>
      <c r="X656" s="2" t="s">
        <v>6446</v>
      </c>
      <c r="Y656" s="2" t="s">
        <v>44</v>
      </c>
      <c r="Z656" s="2"/>
      <c r="AA656" s="2" t="s">
        <v>3527</v>
      </c>
      <c r="AB656" s="2" t="s">
        <v>46</v>
      </c>
      <c r="AC656" s="2" t="s">
        <v>3527</v>
      </c>
      <c r="AE656" s="2" t="s">
        <v>48</v>
      </c>
      <c r="AF656" s="2" t="s">
        <v>49</v>
      </c>
      <c r="AG656" s="2">
        <v>100</v>
      </c>
      <c r="AH656" s="2">
        <v>80</v>
      </c>
      <c r="AJ656" s="2" t="s">
        <v>6448</v>
      </c>
      <c r="AK656" s="2"/>
      <c r="AL656" s="2"/>
      <c r="AM656" s="2" t="s">
        <v>52</v>
      </c>
    </row>
    <row r="657" spans="1:39" x14ac:dyDescent="0.45">
      <c r="A657" s="2" t="s">
        <v>6449</v>
      </c>
      <c r="B657" s="2"/>
      <c r="C657" s="2" t="s">
        <v>6451</v>
      </c>
      <c r="D657" s="2" t="s">
        <v>6453</v>
      </c>
      <c r="E657" s="25"/>
      <c r="F657" s="21"/>
      <c r="G657" s="42" t="s">
        <v>28000</v>
      </c>
      <c r="H657" s="2" t="s">
        <v>50</v>
      </c>
      <c r="I657" s="2" t="s">
        <v>6456</v>
      </c>
      <c r="J657" s="2" t="s">
        <v>6450</v>
      </c>
      <c r="K657" s="2" t="s">
        <v>6452</v>
      </c>
      <c r="L657" s="2" t="s">
        <v>6454</v>
      </c>
      <c r="M657" s="2" t="s">
        <v>6454</v>
      </c>
      <c r="N657" s="2" t="s">
        <v>72</v>
      </c>
      <c r="O657" s="2" t="s">
        <v>73</v>
      </c>
      <c r="P657" s="2" t="s">
        <v>98</v>
      </c>
      <c r="Q657" s="2" t="s">
        <v>6452</v>
      </c>
      <c r="R657" s="2"/>
      <c r="S657" s="2"/>
      <c r="T657" s="2"/>
      <c r="U657" s="2" t="s">
        <v>72</v>
      </c>
      <c r="V657" s="2" t="s">
        <v>73</v>
      </c>
      <c r="W657" s="2" t="s">
        <v>98</v>
      </c>
      <c r="X657" s="2" t="s">
        <v>6455</v>
      </c>
      <c r="Y657" s="2" t="s">
        <v>44</v>
      </c>
      <c r="Z657" s="2"/>
      <c r="AA657" s="2" t="s">
        <v>3527</v>
      </c>
      <c r="AB657" s="2" t="s">
        <v>46</v>
      </c>
      <c r="AC657" s="2" t="s">
        <v>3527</v>
      </c>
      <c r="AE657" s="2" t="s">
        <v>48</v>
      </c>
      <c r="AF657" s="2" t="s">
        <v>49</v>
      </c>
      <c r="AG657" s="2">
        <v>100</v>
      </c>
      <c r="AH657" s="2">
        <v>80</v>
      </c>
      <c r="AJ657" s="2" t="s">
        <v>6457</v>
      </c>
      <c r="AK657" s="2"/>
      <c r="AL657" s="2"/>
      <c r="AM657" s="2" t="s">
        <v>52</v>
      </c>
    </row>
    <row r="658" spans="1:39" x14ac:dyDescent="0.45">
      <c r="A658" s="2" t="s">
        <v>6458</v>
      </c>
      <c r="B658" s="2"/>
      <c r="C658" s="2" t="s">
        <v>6460</v>
      </c>
      <c r="D658" s="2" t="s">
        <v>6462</v>
      </c>
      <c r="E658" s="25"/>
      <c r="F658" s="21"/>
      <c r="G658" s="42" t="s">
        <v>28000</v>
      </c>
      <c r="H658" s="2" t="s">
        <v>50</v>
      </c>
      <c r="I658" s="2" t="s">
        <v>6465</v>
      </c>
      <c r="J658" s="2" t="s">
        <v>6459</v>
      </c>
      <c r="K658" s="2" t="s">
        <v>6461</v>
      </c>
      <c r="L658" s="2" t="s">
        <v>6463</v>
      </c>
      <c r="M658" s="2" t="s">
        <v>6463</v>
      </c>
      <c r="N658" s="2" t="s">
        <v>72</v>
      </c>
      <c r="O658" s="2" t="s">
        <v>73</v>
      </c>
      <c r="P658" s="2" t="s">
        <v>2982</v>
      </c>
      <c r="Q658" s="2" t="s">
        <v>6464</v>
      </c>
      <c r="R658" s="2"/>
      <c r="S658" s="2"/>
      <c r="T658" s="2"/>
      <c r="U658" s="2" t="s">
        <v>72</v>
      </c>
      <c r="V658" s="2" t="s">
        <v>73</v>
      </c>
      <c r="W658" s="2" t="s">
        <v>2982</v>
      </c>
      <c r="X658" s="2" t="s">
        <v>6455</v>
      </c>
      <c r="Y658" s="2" t="s">
        <v>44</v>
      </c>
      <c r="Z658" s="2"/>
      <c r="AA658" s="2" t="s">
        <v>3527</v>
      </c>
      <c r="AB658" s="2" t="s">
        <v>199</v>
      </c>
      <c r="AC658" s="2" t="s">
        <v>3527</v>
      </c>
      <c r="AE658" s="2" t="s">
        <v>48</v>
      </c>
      <c r="AF658" s="2" t="s">
        <v>49</v>
      </c>
      <c r="AG658" s="2">
        <v>100</v>
      </c>
      <c r="AH658" s="2">
        <v>80</v>
      </c>
      <c r="AJ658" s="2" t="s">
        <v>6466</v>
      </c>
      <c r="AK658" s="2"/>
      <c r="AL658" s="2"/>
      <c r="AM658" s="2" t="s">
        <v>52</v>
      </c>
    </row>
    <row r="659" spans="1:39" x14ac:dyDescent="0.45">
      <c r="A659" s="2" t="s">
        <v>6467</v>
      </c>
      <c r="B659" s="2"/>
      <c r="C659" s="2" t="s">
        <v>6469</v>
      </c>
      <c r="D659" s="2" t="s">
        <v>6471</v>
      </c>
      <c r="E659" s="25"/>
      <c r="F659" s="21"/>
      <c r="G659" s="42" t="s">
        <v>28000</v>
      </c>
      <c r="H659" s="2" t="s">
        <v>50</v>
      </c>
      <c r="I659" s="2" t="s">
        <v>6475</v>
      </c>
      <c r="J659" s="2" t="s">
        <v>6468</v>
      </c>
      <c r="K659" s="2" t="s">
        <v>6470</v>
      </c>
      <c r="L659" s="2" t="s">
        <v>6472</v>
      </c>
      <c r="M659" s="2" t="s">
        <v>6472</v>
      </c>
      <c r="N659" s="2" t="s">
        <v>72</v>
      </c>
      <c r="O659" s="2" t="s">
        <v>73</v>
      </c>
      <c r="P659" s="2" t="s">
        <v>1682</v>
      </c>
      <c r="Q659" s="2" t="s">
        <v>6473</v>
      </c>
      <c r="R659" s="2"/>
      <c r="S659" s="2"/>
      <c r="T659" s="2"/>
      <c r="U659" s="2" t="s">
        <v>72</v>
      </c>
      <c r="V659" s="2" t="s">
        <v>73</v>
      </c>
      <c r="W659" s="2" t="s">
        <v>1682</v>
      </c>
      <c r="X659" s="2" t="s">
        <v>6474</v>
      </c>
      <c r="Y659" s="2" t="s">
        <v>44</v>
      </c>
      <c r="Z659" s="2"/>
      <c r="AA659" s="2" t="s">
        <v>3527</v>
      </c>
      <c r="AB659" s="2" t="s">
        <v>46</v>
      </c>
      <c r="AC659" s="2" t="s">
        <v>3527</v>
      </c>
      <c r="AE659" s="2" t="s">
        <v>48</v>
      </c>
      <c r="AF659" s="2" t="s">
        <v>49</v>
      </c>
      <c r="AG659" s="2">
        <v>100</v>
      </c>
      <c r="AH659" s="2">
        <v>80</v>
      </c>
      <c r="AJ659" s="2" t="s">
        <v>6476</v>
      </c>
      <c r="AK659" s="2"/>
      <c r="AL659" s="2"/>
      <c r="AM659" s="2" t="s">
        <v>52</v>
      </c>
    </row>
    <row r="660" spans="1:39" x14ac:dyDescent="0.45">
      <c r="A660" s="2" t="s">
        <v>6477</v>
      </c>
      <c r="B660" s="2"/>
      <c r="C660" s="2" t="s">
        <v>6479</v>
      </c>
      <c r="D660" s="2" t="s">
        <v>6481</v>
      </c>
      <c r="E660" s="25"/>
      <c r="F660" s="21"/>
      <c r="G660" s="42" t="s">
        <v>28000</v>
      </c>
      <c r="H660" s="2" t="s">
        <v>50</v>
      </c>
      <c r="I660" s="2" t="s">
        <v>6484</v>
      </c>
      <c r="J660" s="2" t="s">
        <v>6478</v>
      </c>
      <c r="K660" s="2" t="s">
        <v>6480</v>
      </c>
      <c r="L660" s="2" t="s">
        <v>6482</v>
      </c>
      <c r="M660" s="2" t="s">
        <v>6482</v>
      </c>
      <c r="N660" s="2" t="s">
        <v>72</v>
      </c>
      <c r="O660" s="2" t="s">
        <v>73</v>
      </c>
      <c r="P660" s="2" t="s">
        <v>2982</v>
      </c>
      <c r="Q660" s="2" t="s">
        <v>6483</v>
      </c>
      <c r="R660" s="2"/>
      <c r="S660" s="2"/>
      <c r="T660" s="2"/>
      <c r="U660" s="2" t="s">
        <v>72</v>
      </c>
      <c r="V660" s="2" t="s">
        <v>73</v>
      </c>
      <c r="W660" s="2" t="s">
        <v>2982</v>
      </c>
      <c r="X660" s="2" t="s">
        <v>6474</v>
      </c>
      <c r="Y660" s="2" t="s">
        <v>44</v>
      </c>
      <c r="Z660" s="2"/>
      <c r="AA660" s="2" t="s">
        <v>3527</v>
      </c>
      <c r="AB660" s="2" t="s">
        <v>46</v>
      </c>
      <c r="AC660" s="2" t="s">
        <v>3527</v>
      </c>
      <c r="AE660" s="2" t="s">
        <v>48</v>
      </c>
      <c r="AF660" s="2" t="s">
        <v>49</v>
      </c>
      <c r="AG660" s="2">
        <v>100</v>
      </c>
      <c r="AH660" s="2">
        <v>80</v>
      </c>
      <c r="AJ660" s="2" t="s">
        <v>6485</v>
      </c>
      <c r="AK660" s="2"/>
      <c r="AL660" s="2"/>
      <c r="AM660" s="2" t="s">
        <v>52</v>
      </c>
    </row>
    <row r="661" spans="1:39" x14ac:dyDescent="0.45">
      <c r="A661" s="2" t="s">
        <v>6486</v>
      </c>
      <c r="B661" s="2"/>
      <c r="C661" s="2" t="s">
        <v>6488</v>
      </c>
      <c r="D661" s="2" t="s">
        <v>6490</v>
      </c>
      <c r="E661" s="25"/>
      <c r="F661" s="21"/>
      <c r="G661" s="42" t="s">
        <v>28000</v>
      </c>
      <c r="H661" s="2" t="s">
        <v>50</v>
      </c>
      <c r="I661" s="2" t="s">
        <v>6493</v>
      </c>
      <c r="J661" s="2" t="s">
        <v>6487</v>
      </c>
      <c r="K661" s="2" t="s">
        <v>6489</v>
      </c>
      <c r="L661" s="2" t="s">
        <v>6491</v>
      </c>
      <c r="M661" s="2" t="s">
        <v>6491</v>
      </c>
      <c r="N661" s="2" t="s">
        <v>72</v>
      </c>
      <c r="O661" s="2" t="s">
        <v>73</v>
      </c>
      <c r="P661" s="2" t="s">
        <v>187</v>
      </c>
      <c r="Q661" s="2" t="s">
        <v>6492</v>
      </c>
      <c r="R661" s="2"/>
      <c r="S661" s="2"/>
      <c r="T661" s="2"/>
      <c r="U661" s="2" t="s">
        <v>72</v>
      </c>
      <c r="V661" s="2" t="s">
        <v>73</v>
      </c>
      <c r="W661" s="2" t="s">
        <v>187</v>
      </c>
      <c r="X661" s="2" t="s">
        <v>6474</v>
      </c>
      <c r="Y661" s="2" t="s">
        <v>44</v>
      </c>
      <c r="Z661" s="2"/>
      <c r="AA661" s="2" t="s">
        <v>3527</v>
      </c>
      <c r="AB661" s="2" t="s">
        <v>46</v>
      </c>
      <c r="AC661" s="2" t="s">
        <v>3527</v>
      </c>
      <c r="AE661" s="2" t="s">
        <v>48</v>
      </c>
      <c r="AF661" s="2" t="s">
        <v>49</v>
      </c>
      <c r="AG661" s="2">
        <v>100</v>
      </c>
      <c r="AH661" s="2">
        <v>80</v>
      </c>
      <c r="AJ661" s="2" t="s">
        <v>6494</v>
      </c>
      <c r="AK661" s="2"/>
      <c r="AL661" s="2"/>
      <c r="AM661" s="2" t="s">
        <v>52</v>
      </c>
    </row>
    <row r="662" spans="1:39" x14ac:dyDescent="0.45">
      <c r="A662" s="2" t="s">
        <v>6495</v>
      </c>
      <c r="B662" s="2"/>
      <c r="C662" s="2" t="s">
        <v>6497</v>
      </c>
      <c r="D662" s="2" t="s">
        <v>6499</v>
      </c>
      <c r="E662" s="25"/>
      <c r="F662" s="21"/>
      <c r="G662" s="42" t="s">
        <v>28000</v>
      </c>
      <c r="H662" s="2" t="s">
        <v>50</v>
      </c>
      <c r="I662" s="2" t="s">
        <v>6503</v>
      </c>
      <c r="J662" s="2" t="s">
        <v>6496</v>
      </c>
      <c r="K662" s="2" t="s">
        <v>6498</v>
      </c>
      <c r="L662" s="2" t="s">
        <v>6500</v>
      </c>
      <c r="M662" s="2" t="s">
        <v>6500</v>
      </c>
      <c r="N662" s="2" t="s">
        <v>72</v>
      </c>
      <c r="O662" s="2" t="s">
        <v>73</v>
      </c>
      <c r="P662" s="2" t="s">
        <v>187</v>
      </c>
      <c r="Q662" s="2" t="s">
        <v>6501</v>
      </c>
      <c r="R662" s="2"/>
      <c r="S662" s="2"/>
      <c r="T662" s="2"/>
      <c r="U662" s="2" t="s">
        <v>72</v>
      </c>
      <c r="V662" s="2" t="s">
        <v>73</v>
      </c>
      <c r="W662" s="2" t="s">
        <v>1295</v>
      </c>
      <c r="X662" s="2" t="s">
        <v>6502</v>
      </c>
      <c r="Y662" s="2" t="s">
        <v>44</v>
      </c>
      <c r="Z662" s="2"/>
      <c r="AA662" s="2" t="s">
        <v>3527</v>
      </c>
      <c r="AB662" s="2" t="s">
        <v>46</v>
      </c>
      <c r="AC662" s="2" t="s">
        <v>3527</v>
      </c>
      <c r="AE662" s="2" t="s">
        <v>48</v>
      </c>
      <c r="AF662" s="2" t="s">
        <v>49</v>
      </c>
      <c r="AG662" s="2">
        <v>100</v>
      </c>
      <c r="AH662" s="2">
        <v>80</v>
      </c>
      <c r="AJ662" s="2" t="s">
        <v>6504</v>
      </c>
      <c r="AK662" s="2"/>
      <c r="AL662" s="2"/>
      <c r="AM662" s="2" t="s">
        <v>52</v>
      </c>
    </row>
    <row r="663" spans="1:39" x14ac:dyDescent="0.45">
      <c r="A663" s="2" t="s">
        <v>6505</v>
      </c>
      <c r="B663" s="2"/>
      <c r="C663" s="2" t="s">
        <v>6507</v>
      </c>
      <c r="D663" s="2" t="s">
        <v>6509</v>
      </c>
      <c r="E663" s="25"/>
      <c r="F663" s="21"/>
      <c r="G663" s="42" t="s">
        <v>28000</v>
      </c>
      <c r="H663" s="2" t="s">
        <v>50</v>
      </c>
      <c r="I663" s="2" t="s">
        <v>6512</v>
      </c>
      <c r="J663" s="2" t="s">
        <v>6506</v>
      </c>
      <c r="K663" s="2" t="s">
        <v>6508</v>
      </c>
      <c r="L663" s="2" t="s">
        <v>6510</v>
      </c>
      <c r="M663" s="2" t="s">
        <v>6510</v>
      </c>
      <c r="N663" s="2" t="s">
        <v>72</v>
      </c>
      <c r="O663" s="2" t="s">
        <v>73</v>
      </c>
      <c r="P663" s="2" t="s">
        <v>98</v>
      </c>
      <c r="Q663" s="2" t="s">
        <v>6511</v>
      </c>
      <c r="R663" s="2"/>
      <c r="S663" s="2"/>
      <c r="T663" s="2"/>
      <c r="U663" s="2" t="s">
        <v>72</v>
      </c>
      <c r="V663" s="2" t="s">
        <v>73</v>
      </c>
      <c r="W663" s="2" t="s">
        <v>98</v>
      </c>
      <c r="X663" s="2" t="s">
        <v>6502</v>
      </c>
      <c r="Y663" s="2" t="s">
        <v>44</v>
      </c>
      <c r="Z663" s="2"/>
      <c r="AA663" s="2" t="s">
        <v>3527</v>
      </c>
      <c r="AB663" s="2" t="s">
        <v>46</v>
      </c>
      <c r="AC663" s="2" t="s">
        <v>3527</v>
      </c>
      <c r="AE663" s="2" t="s">
        <v>48</v>
      </c>
      <c r="AF663" s="2" t="s">
        <v>49</v>
      </c>
      <c r="AG663" s="2">
        <v>100</v>
      </c>
      <c r="AH663" s="2">
        <v>80</v>
      </c>
      <c r="AJ663" s="2" t="s">
        <v>6513</v>
      </c>
      <c r="AK663" s="2"/>
      <c r="AL663" s="2"/>
      <c r="AM663" s="2" t="s">
        <v>52</v>
      </c>
    </row>
    <row r="664" spans="1:39" x14ac:dyDescent="0.45">
      <c r="A664" s="2" t="s">
        <v>6514</v>
      </c>
      <c r="B664" s="2"/>
      <c r="C664" s="2" t="s">
        <v>6516</v>
      </c>
      <c r="D664" s="2" t="s">
        <v>6518</v>
      </c>
      <c r="E664" s="25"/>
      <c r="F664" s="21"/>
      <c r="G664" s="42" t="s">
        <v>28000</v>
      </c>
      <c r="H664" s="2" t="s">
        <v>50</v>
      </c>
      <c r="I664" s="2" t="s">
        <v>6521</v>
      </c>
      <c r="J664" s="2" t="s">
        <v>6515</v>
      </c>
      <c r="K664" s="2" t="s">
        <v>6517</v>
      </c>
      <c r="L664" s="2" t="s">
        <v>6519</v>
      </c>
      <c r="M664" s="2" t="s">
        <v>6519</v>
      </c>
      <c r="N664" s="2" t="s">
        <v>72</v>
      </c>
      <c r="O664" s="2" t="s">
        <v>73</v>
      </c>
      <c r="P664" s="2" t="s">
        <v>232</v>
      </c>
      <c r="Q664" s="2" t="s">
        <v>6520</v>
      </c>
      <c r="R664" s="2"/>
      <c r="S664" s="2"/>
      <c r="T664" s="2"/>
      <c r="U664" s="2" t="s">
        <v>72</v>
      </c>
      <c r="V664" s="2" t="s">
        <v>73</v>
      </c>
      <c r="W664" s="2" t="s">
        <v>232</v>
      </c>
      <c r="X664" s="2" t="s">
        <v>6502</v>
      </c>
      <c r="Y664" s="2" t="s">
        <v>44</v>
      </c>
      <c r="Z664" s="2"/>
      <c r="AA664" s="2" t="s">
        <v>3527</v>
      </c>
      <c r="AB664" s="2" t="s">
        <v>46</v>
      </c>
      <c r="AC664" s="2" t="s">
        <v>3527</v>
      </c>
      <c r="AE664" s="2" t="s">
        <v>48</v>
      </c>
      <c r="AF664" s="2" t="s">
        <v>49</v>
      </c>
      <c r="AG664" s="2">
        <v>100</v>
      </c>
      <c r="AH664" s="2">
        <v>80</v>
      </c>
      <c r="AJ664" s="2" t="s">
        <v>6522</v>
      </c>
      <c r="AK664" s="2"/>
      <c r="AL664" s="2"/>
      <c r="AM664" s="2" t="s">
        <v>52</v>
      </c>
    </row>
    <row r="665" spans="1:39" x14ac:dyDescent="0.45">
      <c r="A665" s="2" t="s">
        <v>6523</v>
      </c>
      <c r="B665" s="2"/>
      <c r="C665" s="2" t="s">
        <v>6525</v>
      </c>
      <c r="D665" s="2" t="s">
        <v>6527</v>
      </c>
      <c r="E665" s="25"/>
      <c r="F665" s="21"/>
      <c r="G665" s="42" t="s">
        <v>28000</v>
      </c>
      <c r="H665" s="2" t="s">
        <v>50</v>
      </c>
      <c r="I665" s="2" t="s">
        <v>6531</v>
      </c>
      <c r="J665" s="2" t="s">
        <v>6524</v>
      </c>
      <c r="K665" s="2" t="s">
        <v>6526</v>
      </c>
      <c r="L665" s="2" t="s">
        <v>6528</v>
      </c>
      <c r="M665" s="2" t="s">
        <v>6528</v>
      </c>
      <c r="N665" s="2" t="s">
        <v>72</v>
      </c>
      <c r="O665" s="2" t="s">
        <v>73</v>
      </c>
      <c r="P665" s="2" t="s">
        <v>187</v>
      </c>
      <c r="Q665" s="2" t="s">
        <v>6529</v>
      </c>
      <c r="R665" s="2"/>
      <c r="S665" s="2"/>
      <c r="T665" s="2"/>
      <c r="U665" s="2" t="s">
        <v>72</v>
      </c>
      <c r="V665" s="2" t="s">
        <v>73</v>
      </c>
      <c r="W665" s="2" t="s">
        <v>3302</v>
      </c>
      <c r="X665" s="2" t="s">
        <v>6530</v>
      </c>
      <c r="Y665" s="2" t="s">
        <v>44</v>
      </c>
      <c r="Z665" s="2"/>
      <c r="AA665" s="2" t="s">
        <v>3527</v>
      </c>
      <c r="AB665" s="2" t="s">
        <v>199</v>
      </c>
      <c r="AC665" s="2" t="s">
        <v>3527</v>
      </c>
      <c r="AE665" s="2" t="s">
        <v>48</v>
      </c>
      <c r="AF665" s="2" t="s">
        <v>49</v>
      </c>
      <c r="AG665" s="2">
        <v>100</v>
      </c>
      <c r="AH665" s="2">
        <v>80</v>
      </c>
      <c r="AJ665" s="2" t="s">
        <v>6532</v>
      </c>
      <c r="AK665" s="2"/>
      <c r="AL665" s="2"/>
      <c r="AM665" s="2" t="s">
        <v>52</v>
      </c>
    </row>
    <row r="666" spans="1:39" x14ac:dyDescent="0.45">
      <c r="A666" s="2" t="s">
        <v>6533</v>
      </c>
      <c r="B666" s="2"/>
      <c r="C666" s="2" t="s">
        <v>6535</v>
      </c>
      <c r="D666" s="2" t="s">
        <v>6537</v>
      </c>
      <c r="E666" s="25"/>
      <c r="F666" s="21"/>
      <c r="G666" s="42" t="s">
        <v>28000</v>
      </c>
      <c r="H666" s="2" t="s">
        <v>50</v>
      </c>
      <c r="I666" s="2" t="s">
        <v>6539</v>
      </c>
      <c r="J666" s="2" t="s">
        <v>6534</v>
      </c>
      <c r="K666" s="2" t="s">
        <v>6536</v>
      </c>
      <c r="L666" s="2" t="s">
        <v>6538</v>
      </c>
      <c r="M666" s="2" t="s">
        <v>6538</v>
      </c>
      <c r="N666" s="2" t="s">
        <v>72</v>
      </c>
      <c r="O666" s="2" t="s">
        <v>73</v>
      </c>
      <c r="P666" s="2" t="s">
        <v>464</v>
      </c>
      <c r="Q666" s="2" t="s">
        <v>6536</v>
      </c>
      <c r="R666" s="2"/>
      <c r="S666" s="2"/>
      <c r="T666" s="2"/>
      <c r="U666" s="2" t="s">
        <v>72</v>
      </c>
      <c r="V666" s="2" t="s">
        <v>73</v>
      </c>
      <c r="W666" s="2" t="s">
        <v>464</v>
      </c>
      <c r="X666" s="2" t="s">
        <v>6530</v>
      </c>
      <c r="Y666" s="2" t="s">
        <v>44</v>
      </c>
      <c r="Z666" s="2"/>
      <c r="AA666" s="2" t="s">
        <v>3527</v>
      </c>
      <c r="AB666" s="2" t="s">
        <v>46</v>
      </c>
      <c r="AC666" s="2" t="s">
        <v>3527</v>
      </c>
      <c r="AE666" s="2" t="s">
        <v>48</v>
      </c>
      <c r="AF666" s="2" t="s">
        <v>49</v>
      </c>
      <c r="AG666" s="2">
        <v>100</v>
      </c>
      <c r="AH666" s="2">
        <v>80</v>
      </c>
      <c r="AJ666" s="2" t="s">
        <v>6540</v>
      </c>
      <c r="AK666" s="2"/>
      <c r="AL666" s="2"/>
      <c r="AM666" s="2" t="s">
        <v>52</v>
      </c>
    </row>
    <row r="667" spans="1:39" x14ac:dyDescent="0.45">
      <c r="A667" s="2" t="s">
        <v>6541</v>
      </c>
      <c r="B667" s="2"/>
      <c r="C667" s="2" t="s">
        <v>6543</v>
      </c>
      <c r="D667" s="2" t="s">
        <v>6545</v>
      </c>
      <c r="E667" s="25"/>
      <c r="F667" s="21"/>
      <c r="G667" s="42" t="s">
        <v>28000</v>
      </c>
      <c r="H667" s="2" t="s">
        <v>50</v>
      </c>
      <c r="I667" s="2" t="s">
        <v>6484</v>
      </c>
      <c r="J667" s="2" t="s">
        <v>6542</v>
      </c>
      <c r="K667" s="2" t="s">
        <v>6544</v>
      </c>
      <c r="L667" s="2" t="s">
        <v>6546</v>
      </c>
      <c r="M667" s="2" t="s">
        <v>6546</v>
      </c>
      <c r="N667" s="2" t="s">
        <v>72</v>
      </c>
      <c r="O667" s="2" t="s">
        <v>73</v>
      </c>
      <c r="P667" s="2" t="s">
        <v>98</v>
      </c>
      <c r="Q667" s="2" t="s">
        <v>6547</v>
      </c>
      <c r="R667" s="2"/>
      <c r="S667" s="2"/>
      <c r="T667" s="2"/>
      <c r="U667" s="2" t="s">
        <v>72</v>
      </c>
      <c r="V667" s="2" t="s">
        <v>73</v>
      </c>
      <c r="W667" s="2" t="s">
        <v>2982</v>
      </c>
      <c r="X667" s="2" t="s">
        <v>6548</v>
      </c>
      <c r="Y667" s="2" t="s">
        <v>44</v>
      </c>
      <c r="Z667" s="2"/>
      <c r="AA667" s="2" t="s">
        <v>3527</v>
      </c>
      <c r="AB667" s="2" t="s">
        <v>199</v>
      </c>
      <c r="AC667" s="2" t="s">
        <v>3527</v>
      </c>
      <c r="AE667" s="2" t="s">
        <v>48</v>
      </c>
      <c r="AF667" s="2" t="s">
        <v>49</v>
      </c>
      <c r="AG667" s="2">
        <v>100</v>
      </c>
      <c r="AH667" s="2">
        <v>80</v>
      </c>
      <c r="AJ667" s="2" t="s">
        <v>6485</v>
      </c>
      <c r="AK667" s="2"/>
      <c r="AL667" s="2"/>
      <c r="AM667" s="2" t="s">
        <v>52</v>
      </c>
    </row>
    <row r="668" spans="1:39" x14ac:dyDescent="0.45">
      <c r="A668" s="2" t="s">
        <v>6549</v>
      </c>
      <c r="B668" s="2"/>
      <c r="C668" s="2" t="s">
        <v>6551</v>
      </c>
      <c r="D668" s="2" t="s">
        <v>6553</v>
      </c>
      <c r="E668" s="25"/>
      <c r="F668" s="21"/>
      <c r="G668" s="42" t="s">
        <v>28000</v>
      </c>
      <c r="H668" s="2" t="s">
        <v>50</v>
      </c>
      <c r="I668" s="2" t="s">
        <v>6556</v>
      </c>
      <c r="J668" s="2" t="s">
        <v>6550</v>
      </c>
      <c r="K668" s="2" t="s">
        <v>6552</v>
      </c>
      <c r="L668" s="2" t="s">
        <v>6554</v>
      </c>
      <c r="M668" s="2" t="s">
        <v>6554</v>
      </c>
      <c r="N668" s="2" t="s">
        <v>72</v>
      </c>
      <c r="O668" s="2" t="s">
        <v>73</v>
      </c>
      <c r="P668" s="2" t="s">
        <v>187</v>
      </c>
      <c r="Q668" s="2" t="s">
        <v>6552</v>
      </c>
      <c r="R668" s="2"/>
      <c r="S668" s="2"/>
      <c r="T668" s="2"/>
      <c r="U668" s="2" t="s">
        <v>72</v>
      </c>
      <c r="V668" s="2" t="s">
        <v>73</v>
      </c>
      <c r="W668" s="2" t="s">
        <v>187</v>
      </c>
      <c r="X668" s="2" t="s">
        <v>6555</v>
      </c>
      <c r="Y668" s="2" t="s">
        <v>44</v>
      </c>
      <c r="Z668" s="2"/>
      <c r="AA668" s="2" t="s">
        <v>3527</v>
      </c>
      <c r="AB668" s="2" t="s">
        <v>46</v>
      </c>
      <c r="AC668" s="2" t="s">
        <v>3527</v>
      </c>
      <c r="AE668" s="2" t="s">
        <v>48</v>
      </c>
      <c r="AF668" s="2" t="s">
        <v>49</v>
      </c>
      <c r="AG668" s="2">
        <v>100</v>
      </c>
      <c r="AH668" s="2">
        <v>80</v>
      </c>
      <c r="AJ668" s="2" t="s">
        <v>6557</v>
      </c>
      <c r="AK668" s="2"/>
      <c r="AL668" s="2"/>
      <c r="AM668" s="2" t="s">
        <v>52</v>
      </c>
    </row>
    <row r="669" spans="1:39" x14ac:dyDescent="0.45">
      <c r="A669" s="2" t="s">
        <v>6558</v>
      </c>
      <c r="B669" s="2"/>
      <c r="C669" s="2" t="s">
        <v>6560</v>
      </c>
      <c r="D669" s="2" t="s">
        <v>6562</v>
      </c>
      <c r="E669" s="25"/>
      <c r="F669" s="21"/>
      <c r="G669" s="42" t="s">
        <v>28000</v>
      </c>
      <c r="H669" s="2" t="s">
        <v>50</v>
      </c>
      <c r="I669" s="2" t="s">
        <v>6566</v>
      </c>
      <c r="J669" s="2" t="s">
        <v>6559</v>
      </c>
      <c r="K669" s="2" t="s">
        <v>6561</v>
      </c>
      <c r="L669" s="2" t="s">
        <v>6563</v>
      </c>
      <c r="M669" s="2" t="s">
        <v>6563</v>
      </c>
      <c r="N669" s="2" t="s">
        <v>384</v>
      </c>
      <c r="O669" s="2" t="s">
        <v>73</v>
      </c>
      <c r="P669" s="2" t="s">
        <v>385</v>
      </c>
      <c r="Q669" s="2" t="s">
        <v>6564</v>
      </c>
      <c r="R669" s="2"/>
      <c r="S669" s="2"/>
      <c r="T669" s="2"/>
      <c r="U669" s="2" t="s">
        <v>384</v>
      </c>
      <c r="V669" s="2" t="s">
        <v>73</v>
      </c>
      <c r="W669" s="2" t="s">
        <v>385</v>
      </c>
      <c r="X669" s="2" t="s">
        <v>6565</v>
      </c>
      <c r="Y669" s="2" t="s">
        <v>44</v>
      </c>
      <c r="Z669" s="2"/>
      <c r="AA669" s="2" t="s">
        <v>3527</v>
      </c>
      <c r="AB669" s="2" t="s">
        <v>46</v>
      </c>
      <c r="AC669" s="2" t="s">
        <v>3527</v>
      </c>
      <c r="AE669" s="2" t="s">
        <v>48</v>
      </c>
      <c r="AF669" s="2" t="s">
        <v>49</v>
      </c>
      <c r="AG669" s="2">
        <v>100</v>
      </c>
      <c r="AH669" s="2">
        <v>80</v>
      </c>
      <c r="AJ669" s="2" t="s">
        <v>6567</v>
      </c>
      <c r="AK669" s="2"/>
      <c r="AL669" s="2"/>
      <c r="AM669" s="2" t="s">
        <v>52</v>
      </c>
    </row>
    <row r="670" spans="1:39" x14ac:dyDescent="0.45">
      <c r="A670" s="2" t="s">
        <v>6568</v>
      </c>
      <c r="B670" s="2"/>
      <c r="C670" s="2" t="s">
        <v>6543</v>
      </c>
      <c r="D670" s="2" t="s">
        <v>6571</v>
      </c>
      <c r="E670" s="25"/>
      <c r="F670" s="21"/>
      <c r="G670" s="42" t="s">
        <v>28000</v>
      </c>
      <c r="H670" s="2" t="s">
        <v>50</v>
      </c>
      <c r="I670" s="2" t="s">
        <v>6575</v>
      </c>
      <c r="J670" s="2" t="s">
        <v>6569</v>
      </c>
      <c r="K670" s="2" t="s">
        <v>6570</v>
      </c>
      <c r="L670" s="2" t="s">
        <v>6572</v>
      </c>
      <c r="M670" s="2" t="s">
        <v>6572</v>
      </c>
      <c r="N670" s="2" t="s">
        <v>72</v>
      </c>
      <c r="O670" s="2" t="s">
        <v>73</v>
      </c>
      <c r="P670" s="2" t="s">
        <v>187</v>
      </c>
      <c r="Q670" s="2" t="s">
        <v>6573</v>
      </c>
      <c r="R670" s="2"/>
      <c r="S670" s="2"/>
      <c r="T670" s="2"/>
      <c r="U670" s="2" t="s">
        <v>6051</v>
      </c>
      <c r="V670" s="2" t="s">
        <v>6051</v>
      </c>
      <c r="W670" s="2" t="s">
        <v>6574</v>
      </c>
      <c r="X670" s="2" t="s">
        <v>1441</v>
      </c>
      <c r="Y670" s="2" t="s">
        <v>44</v>
      </c>
      <c r="Z670" s="2"/>
      <c r="AA670" s="2" t="s">
        <v>3527</v>
      </c>
      <c r="AB670" s="2" t="s">
        <v>46</v>
      </c>
      <c r="AC670" s="2" t="s">
        <v>3527</v>
      </c>
      <c r="AE670" s="2" t="s">
        <v>48</v>
      </c>
      <c r="AF670" s="2" t="s">
        <v>49</v>
      </c>
      <c r="AG670" s="2">
        <v>100</v>
      </c>
      <c r="AH670" s="2">
        <v>80</v>
      </c>
      <c r="AJ670" s="2" t="s">
        <v>6576</v>
      </c>
      <c r="AK670" s="2"/>
      <c r="AL670" s="2"/>
      <c r="AM670" s="2" t="s">
        <v>52</v>
      </c>
    </row>
    <row r="671" spans="1:39" x14ac:dyDescent="0.45">
      <c r="A671" s="2" t="s">
        <v>6577</v>
      </c>
      <c r="B671" s="2"/>
      <c r="C671" s="2" t="s">
        <v>6579</v>
      </c>
      <c r="D671" s="2" t="s">
        <v>6581</v>
      </c>
      <c r="E671" s="25"/>
      <c r="F671" s="21"/>
      <c r="G671" s="42" t="s">
        <v>28000</v>
      </c>
      <c r="H671" s="2" t="s">
        <v>50</v>
      </c>
      <c r="I671" s="2" t="s">
        <v>6583</v>
      </c>
      <c r="J671" s="2" t="s">
        <v>6578</v>
      </c>
      <c r="K671" s="2" t="s">
        <v>6580</v>
      </c>
      <c r="L671" s="2" t="s">
        <v>6582</v>
      </c>
      <c r="M671" s="2" t="s">
        <v>6582</v>
      </c>
      <c r="N671" s="2" t="s">
        <v>72</v>
      </c>
      <c r="O671" s="2" t="s">
        <v>73</v>
      </c>
      <c r="P671" s="2" t="s">
        <v>98</v>
      </c>
      <c r="Q671" s="2"/>
      <c r="R671" s="2"/>
      <c r="S671" s="2"/>
      <c r="T671" s="2"/>
      <c r="U671" s="2"/>
      <c r="V671" s="2"/>
      <c r="W671" s="2"/>
      <c r="X671" s="2" t="s">
        <v>1419</v>
      </c>
      <c r="Y671" s="2" t="s">
        <v>44</v>
      </c>
      <c r="Z671" s="2"/>
      <c r="AA671" s="2" t="s">
        <v>3527</v>
      </c>
      <c r="AB671" s="2" t="s">
        <v>46</v>
      </c>
      <c r="AC671" s="2" t="s">
        <v>3527</v>
      </c>
      <c r="AE671" s="2" t="s">
        <v>48</v>
      </c>
      <c r="AF671" s="2" t="s">
        <v>49</v>
      </c>
      <c r="AG671" s="2">
        <v>100</v>
      </c>
      <c r="AH671" s="2">
        <v>80</v>
      </c>
      <c r="AJ671" s="2" t="s">
        <v>6584</v>
      </c>
      <c r="AK671" s="2"/>
      <c r="AL671" s="2"/>
      <c r="AM671" s="2" t="s">
        <v>52</v>
      </c>
    </row>
    <row r="672" spans="1:39" x14ac:dyDescent="0.45">
      <c r="A672" s="2" t="s">
        <v>6585</v>
      </c>
      <c r="B672" s="2"/>
      <c r="C672" s="2" t="s">
        <v>6587</v>
      </c>
      <c r="D672" s="2" t="s">
        <v>6589</v>
      </c>
      <c r="E672" s="25"/>
      <c r="F672" s="21"/>
      <c r="G672" s="42" t="s">
        <v>28000</v>
      </c>
      <c r="H672" s="2" t="s">
        <v>50</v>
      </c>
      <c r="I672" s="2" t="s">
        <v>6594</v>
      </c>
      <c r="J672" s="2" t="s">
        <v>6586</v>
      </c>
      <c r="K672" s="2" t="s">
        <v>6588</v>
      </c>
      <c r="L672" s="2" t="s">
        <v>6590</v>
      </c>
      <c r="M672" s="2" t="s">
        <v>6590</v>
      </c>
      <c r="N672" s="2" t="s">
        <v>72</v>
      </c>
      <c r="O672" s="2" t="s">
        <v>73</v>
      </c>
      <c r="P672" s="2" t="s">
        <v>197</v>
      </c>
      <c r="Q672" s="2" t="s">
        <v>6591</v>
      </c>
      <c r="R672" s="2"/>
      <c r="S672" s="2"/>
      <c r="T672" s="2"/>
      <c r="U672" s="2" t="s">
        <v>1115</v>
      </c>
      <c r="V672" s="2" t="s">
        <v>1112</v>
      </c>
      <c r="W672" s="2" t="s">
        <v>6592</v>
      </c>
      <c r="X672" s="2" t="s">
        <v>6593</v>
      </c>
      <c r="Y672" s="2" t="s">
        <v>44</v>
      </c>
      <c r="Z672" s="2"/>
      <c r="AA672" s="2" t="s">
        <v>3527</v>
      </c>
      <c r="AB672" s="2" t="s">
        <v>199</v>
      </c>
      <c r="AC672" s="2" t="s">
        <v>3527</v>
      </c>
      <c r="AE672" s="2" t="s">
        <v>48</v>
      </c>
      <c r="AF672" s="2" t="s">
        <v>49</v>
      </c>
      <c r="AG672" s="2">
        <v>100</v>
      </c>
      <c r="AH672" s="2">
        <v>80</v>
      </c>
      <c r="AJ672" s="2" t="s">
        <v>6595</v>
      </c>
      <c r="AK672" s="2"/>
      <c r="AL672" s="2"/>
      <c r="AM672" s="2" t="s">
        <v>52</v>
      </c>
    </row>
    <row r="673" spans="1:39" x14ac:dyDescent="0.45">
      <c r="A673" s="2" t="s">
        <v>6596</v>
      </c>
      <c r="B673" s="2"/>
      <c r="C673" s="2" t="s">
        <v>6598</v>
      </c>
      <c r="D673" s="2" t="s">
        <v>6600</v>
      </c>
      <c r="E673" s="25"/>
      <c r="F673" s="21"/>
      <c r="G673" s="42" t="s">
        <v>28000</v>
      </c>
      <c r="H673" s="2" t="s">
        <v>50</v>
      </c>
      <c r="I673" s="2" t="s">
        <v>6604</v>
      </c>
      <c r="J673" s="2" t="s">
        <v>6597</v>
      </c>
      <c r="K673" s="2" t="s">
        <v>6599</v>
      </c>
      <c r="L673" s="2" t="s">
        <v>6601</v>
      </c>
      <c r="M673" s="2" t="s">
        <v>6601</v>
      </c>
      <c r="N673" s="2" t="s">
        <v>72</v>
      </c>
      <c r="O673" s="2" t="s">
        <v>73</v>
      </c>
      <c r="P673" s="2" t="s">
        <v>464</v>
      </c>
      <c r="Q673" s="2" t="s">
        <v>6602</v>
      </c>
      <c r="R673" s="2"/>
      <c r="S673" s="2"/>
      <c r="T673" s="2"/>
      <c r="U673" s="2" t="s">
        <v>72</v>
      </c>
      <c r="V673" s="2" t="s">
        <v>73</v>
      </c>
      <c r="W673" s="2" t="s">
        <v>464</v>
      </c>
      <c r="X673" s="2" t="s">
        <v>6603</v>
      </c>
      <c r="Y673" s="2" t="s">
        <v>44</v>
      </c>
      <c r="Z673" s="2"/>
      <c r="AA673" s="2" t="s">
        <v>3527</v>
      </c>
      <c r="AB673" s="2" t="s">
        <v>46</v>
      </c>
      <c r="AC673" s="2" t="s">
        <v>3527</v>
      </c>
      <c r="AE673" s="2" t="s">
        <v>48</v>
      </c>
      <c r="AF673" s="2" t="s">
        <v>49</v>
      </c>
      <c r="AG673" s="2">
        <v>100</v>
      </c>
      <c r="AH673" s="2">
        <v>80</v>
      </c>
      <c r="AJ673" s="2" t="s">
        <v>6605</v>
      </c>
      <c r="AK673" s="2"/>
      <c r="AL673" s="2"/>
      <c r="AM673" s="2" t="s">
        <v>52</v>
      </c>
    </row>
    <row r="674" spans="1:39" x14ac:dyDescent="0.45">
      <c r="A674" s="2" t="s">
        <v>6606</v>
      </c>
      <c r="B674" s="2"/>
      <c r="C674" s="2" t="s">
        <v>6608</v>
      </c>
      <c r="D674" s="2" t="s">
        <v>6610</v>
      </c>
      <c r="E674" s="25"/>
      <c r="F674" s="21"/>
      <c r="G674" s="42" t="s">
        <v>28000</v>
      </c>
      <c r="H674" s="2" t="s">
        <v>50</v>
      </c>
      <c r="I674" s="2" t="s">
        <v>6615</v>
      </c>
      <c r="J674" s="2" t="s">
        <v>6607</v>
      </c>
      <c r="K674" s="2" t="s">
        <v>6609</v>
      </c>
      <c r="L674" s="2" t="s">
        <v>6611</v>
      </c>
      <c r="M674" s="2" t="s">
        <v>6611</v>
      </c>
      <c r="N674" s="2" t="s">
        <v>651</v>
      </c>
      <c r="O674" s="2" t="s">
        <v>86</v>
      </c>
      <c r="P674" s="2" t="s">
        <v>6612</v>
      </c>
      <c r="Q674" s="2" t="s">
        <v>6613</v>
      </c>
      <c r="R674" s="2"/>
      <c r="S674" s="2"/>
      <c r="T674" s="2"/>
      <c r="U674" s="2" t="s">
        <v>1188</v>
      </c>
      <c r="V674" s="2" t="s">
        <v>221</v>
      </c>
      <c r="W674" s="2" t="s">
        <v>1189</v>
      </c>
      <c r="X674" s="2" t="s">
        <v>6614</v>
      </c>
      <c r="Y674" s="2" t="s">
        <v>44</v>
      </c>
      <c r="Z674" s="2"/>
      <c r="AA674" s="2" t="s">
        <v>3527</v>
      </c>
      <c r="AB674" s="2" t="s">
        <v>46</v>
      </c>
      <c r="AC674" s="2" t="s">
        <v>3527</v>
      </c>
      <c r="AE674" s="2" t="s">
        <v>48</v>
      </c>
      <c r="AF674" s="2" t="s">
        <v>49</v>
      </c>
      <c r="AG674" s="2">
        <v>100</v>
      </c>
      <c r="AH674" s="2">
        <v>80</v>
      </c>
      <c r="AJ674" s="2" t="s">
        <v>6616</v>
      </c>
      <c r="AK674" s="2"/>
      <c r="AL674" s="2"/>
      <c r="AM674" s="2" t="s">
        <v>52</v>
      </c>
    </row>
    <row r="675" spans="1:39" x14ac:dyDescent="0.45">
      <c r="A675" s="2" t="s">
        <v>6617</v>
      </c>
      <c r="B675" s="2"/>
      <c r="C675" s="2" t="s">
        <v>6619</v>
      </c>
      <c r="D675" s="2" t="s">
        <v>6621</v>
      </c>
      <c r="E675" s="25"/>
      <c r="F675" s="21"/>
      <c r="G675" s="42" t="s">
        <v>28000</v>
      </c>
      <c r="H675" s="2" t="s">
        <v>50</v>
      </c>
      <c r="I675" s="2" t="s">
        <v>6625</v>
      </c>
      <c r="J675" s="2" t="s">
        <v>6618</v>
      </c>
      <c r="K675" s="2" t="s">
        <v>6620</v>
      </c>
      <c r="L675" s="2" t="s">
        <v>6622</v>
      </c>
      <c r="M675" s="2" t="s">
        <v>6622</v>
      </c>
      <c r="N675" s="2" t="s">
        <v>85</v>
      </c>
      <c r="O675" s="2" t="s">
        <v>86</v>
      </c>
      <c r="P675" s="2" t="s">
        <v>873</v>
      </c>
      <c r="Q675" s="2" t="s">
        <v>6623</v>
      </c>
      <c r="R675" s="2"/>
      <c r="S675" s="2"/>
      <c r="T675" s="2"/>
      <c r="U675" s="2" t="s">
        <v>72</v>
      </c>
      <c r="V675" s="2" t="s">
        <v>73</v>
      </c>
      <c r="W675" s="2" t="s">
        <v>1568</v>
      </c>
      <c r="X675" s="2" t="s">
        <v>6624</v>
      </c>
      <c r="Y675" s="2" t="s">
        <v>44</v>
      </c>
      <c r="Z675" s="2"/>
      <c r="AA675" s="2" t="s">
        <v>3527</v>
      </c>
      <c r="AB675" s="2" t="s">
        <v>46</v>
      </c>
      <c r="AC675" s="2" t="s">
        <v>3527</v>
      </c>
      <c r="AE675" s="2" t="s">
        <v>48</v>
      </c>
      <c r="AF675" s="2" t="s">
        <v>49</v>
      </c>
      <c r="AG675" s="2">
        <v>100</v>
      </c>
      <c r="AH675" s="2">
        <v>80</v>
      </c>
      <c r="AJ675" s="2" t="s">
        <v>6626</v>
      </c>
      <c r="AK675" s="2"/>
      <c r="AL675" s="2"/>
      <c r="AM675" s="2" t="s">
        <v>52</v>
      </c>
    </row>
    <row r="676" spans="1:39" x14ac:dyDescent="0.45">
      <c r="A676" s="2" t="s">
        <v>6627</v>
      </c>
      <c r="B676" s="2"/>
      <c r="C676" s="2" t="s">
        <v>6629</v>
      </c>
      <c r="D676" s="2" t="s">
        <v>6631</v>
      </c>
      <c r="E676" s="25"/>
      <c r="F676" s="21"/>
      <c r="G676" s="42" t="s">
        <v>28000</v>
      </c>
      <c r="H676" s="2" t="s">
        <v>50</v>
      </c>
      <c r="I676" s="2" t="s">
        <v>6635</v>
      </c>
      <c r="J676" s="2" t="s">
        <v>6628</v>
      </c>
      <c r="K676" s="2" t="s">
        <v>6630</v>
      </c>
      <c r="L676" s="2" t="s">
        <v>6632</v>
      </c>
      <c r="M676" s="2" t="s">
        <v>6632</v>
      </c>
      <c r="N676" s="2" t="s">
        <v>85</v>
      </c>
      <c r="O676" s="2" t="s">
        <v>86</v>
      </c>
      <c r="P676" s="2" t="s">
        <v>3073</v>
      </c>
      <c r="Q676" s="2" t="s">
        <v>6633</v>
      </c>
      <c r="R676" s="2"/>
      <c r="S676" s="2"/>
      <c r="T676" s="2"/>
      <c r="U676" s="2" t="s">
        <v>39</v>
      </c>
      <c r="V676" s="2" t="s">
        <v>40</v>
      </c>
      <c r="W676" s="2" t="s">
        <v>1877</v>
      </c>
      <c r="X676" s="2" t="s">
        <v>6634</v>
      </c>
      <c r="Y676" s="2" t="s">
        <v>44</v>
      </c>
      <c r="Z676" s="2"/>
      <c r="AA676" s="2" t="s">
        <v>3527</v>
      </c>
      <c r="AB676" s="2" t="s">
        <v>46</v>
      </c>
      <c r="AC676" s="2" t="s">
        <v>3527</v>
      </c>
      <c r="AE676" s="2" t="s">
        <v>48</v>
      </c>
      <c r="AF676" s="2" t="s">
        <v>49</v>
      </c>
      <c r="AG676" s="2">
        <v>100</v>
      </c>
      <c r="AH676" s="2">
        <v>80</v>
      </c>
      <c r="AJ676" s="2" t="s">
        <v>6636</v>
      </c>
      <c r="AK676" s="2"/>
      <c r="AL676" s="2"/>
      <c r="AM676" s="2" t="s">
        <v>52</v>
      </c>
    </row>
    <row r="677" spans="1:39" x14ac:dyDescent="0.45">
      <c r="A677" s="2" t="s">
        <v>6637</v>
      </c>
      <c r="B677" s="2"/>
      <c r="C677" s="2" t="s">
        <v>6639</v>
      </c>
      <c r="D677" s="2" t="s">
        <v>6641</v>
      </c>
      <c r="E677" s="25"/>
      <c r="F677" s="21"/>
      <c r="G677" s="42" t="s">
        <v>28000</v>
      </c>
      <c r="H677" s="2" t="s">
        <v>50</v>
      </c>
      <c r="I677" s="2" t="s">
        <v>6645</v>
      </c>
      <c r="J677" s="2" t="s">
        <v>6638</v>
      </c>
      <c r="K677" s="2" t="s">
        <v>6640</v>
      </c>
      <c r="L677" s="2" t="s">
        <v>6642</v>
      </c>
      <c r="M677" s="2" t="s">
        <v>6642</v>
      </c>
      <c r="N677" s="2" t="s">
        <v>216</v>
      </c>
      <c r="O677" s="2" t="s">
        <v>217</v>
      </c>
      <c r="P677" s="2" t="s">
        <v>1151</v>
      </c>
      <c r="Q677" s="2" t="s">
        <v>6643</v>
      </c>
      <c r="R677" s="2"/>
      <c r="S677" s="2"/>
      <c r="T677" s="2"/>
      <c r="U677" s="2" t="s">
        <v>1188</v>
      </c>
      <c r="V677" s="2" t="s">
        <v>221</v>
      </c>
      <c r="W677" s="2" t="s">
        <v>1189</v>
      </c>
      <c r="X677" s="2" t="s">
        <v>6644</v>
      </c>
      <c r="Y677" s="2" t="s">
        <v>44</v>
      </c>
      <c r="Z677" s="2"/>
      <c r="AA677" s="2" t="s">
        <v>3527</v>
      </c>
      <c r="AB677" s="2" t="s">
        <v>199</v>
      </c>
      <c r="AC677" s="2" t="s">
        <v>3527</v>
      </c>
      <c r="AE677" s="2" t="s">
        <v>48</v>
      </c>
      <c r="AF677" s="2" t="s">
        <v>49</v>
      </c>
      <c r="AG677" s="2">
        <v>100</v>
      </c>
      <c r="AH677" s="2">
        <v>80</v>
      </c>
      <c r="AJ677" s="2" t="s">
        <v>6646</v>
      </c>
      <c r="AK677" s="2"/>
      <c r="AL677" s="2"/>
      <c r="AM677" s="2" t="s">
        <v>52</v>
      </c>
    </row>
    <row r="678" spans="1:39" x14ac:dyDescent="0.45">
      <c r="A678" s="2" t="s">
        <v>4276</v>
      </c>
      <c r="B678" s="2"/>
      <c r="C678" s="2" t="s">
        <v>6648</v>
      </c>
      <c r="D678" s="2" t="s">
        <v>6650</v>
      </c>
      <c r="E678" s="25"/>
      <c r="F678" s="21"/>
      <c r="G678" s="42" t="s">
        <v>28000</v>
      </c>
      <c r="H678" s="2" t="s">
        <v>50</v>
      </c>
      <c r="I678" s="2" t="s">
        <v>6654</v>
      </c>
      <c r="J678" s="2" t="s">
        <v>6647</v>
      </c>
      <c r="K678" s="2" t="s">
        <v>6649</v>
      </c>
      <c r="L678" s="2" t="s">
        <v>6651</v>
      </c>
      <c r="M678" s="2" t="s">
        <v>6651</v>
      </c>
      <c r="N678" s="2" t="s">
        <v>72</v>
      </c>
      <c r="O678" s="2" t="s">
        <v>73</v>
      </c>
      <c r="P678" s="2" t="s">
        <v>464</v>
      </c>
      <c r="Q678" s="2" t="s">
        <v>6652</v>
      </c>
      <c r="R678" s="2"/>
      <c r="S678" s="2"/>
      <c r="T678" s="2"/>
      <c r="U678" s="2" t="s">
        <v>72</v>
      </c>
      <c r="V678" s="2" t="s">
        <v>73</v>
      </c>
      <c r="W678" s="2" t="s">
        <v>464</v>
      </c>
      <c r="X678" s="2" t="s">
        <v>6653</v>
      </c>
      <c r="Y678" s="2" t="s">
        <v>44</v>
      </c>
      <c r="Z678" s="2"/>
      <c r="AA678" s="2" t="s">
        <v>3527</v>
      </c>
      <c r="AB678" s="2" t="s">
        <v>199</v>
      </c>
      <c r="AC678" s="2" t="s">
        <v>3527</v>
      </c>
      <c r="AE678" s="2" t="s">
        <v>48</v>
      </c>
      <c r="AF678" s="2" t="s">
        <v>49</v>
      </c>
      <c r="AG678" s="2">
        <v>100</v>
      </c>
      <c r="AH678" s="2">
        <v>80</v>
      </c>
      <c r="AJ678" s="2" t="s">
        <v>6655</v>
      </c>
      <c r="AK678" s="2"/>
      <c r="AL678" s="2"/>
      <c r="AM678" s="2" t="s">
        <v>52</v>
      </c>
    </row>
    <row r="679" spans="1:39" x14ac:dyDescent="0.45">
      <c r="A679" s="2" t="s">
        <v>6656</v>
      </c>
      <c r="B679" s="2"/>
      <c r="C679" s="2" t="s">
        <v>6658</v>
      </c>
      <c r="D679" s="2" t="s">
        <v>6660</v>
      </c>
      <c r="E679" s="25"/>
      <c r="F679" s="21"/>
      <c r="G679" s="42" t="s">
        <v>28000</v>
      </c>
      <c r="H679" s="2" t="s">
        <v>50</v>
      </c>
      <c r="I679" s="2" t="s">
        <v>6664</v>
      </c>
      <c r="J679" s="2" t="s">
        <v>6657</v>
      </c>
      <c r="K679" s="2" t="s">
        <v>6659</v>
      </c>
      <c r="L679" s="2" t="s">
        <v>6661</v>
      </c>
      <c r="M679" s="2" t="s">
        <v>6661</v>
      </c>
      <c r="N679" s="2" t="s">
        <v>85</v>
      </c>
      <c r="O679" s="2" t="s">
        <v>86</v>
      </c>
      <c r="P679" s="2" t="s">
        <v>3948</v>
      </c>
      <c r="Q679" s="2" t="s">
        <v>6662</v>
      </c>
      <c r="R679" s="2"/>
      <c r="S679" s="2"/>
      <c r="T679" s="2"/>
      <c r="U679" s="2" t="s">
        <v>651</v>
      </c>
      <c r="V679" s="2"/>
      <c r="W679" s="2" t="s">
        <v>3948</v>
      </c>
      <c r="X679" s="2" t="s">
        <v>6663</v>
      </c>
      <c r="Y679" s="2" t="s">
        <v>44</v>
      </c>
      <c r="Z679" s="2"/>
      <c r="AA679" s="2" t="s">
        <v>3527</v>
      </c>
      <c r="AB679" s="2" t="s">
        <v>46</v>
      </c>
      <c r="AC679" s="2" t="s">
        <v>3527</v>
      </c>
      <c r="AE679" s="2" t="s">
        <v>48</v>
      </c>
      <c r="AF679" s="2" t="s">
        <v>49</v>
      </c>
      <c r="AG679" s="2">
        <v>100</v>
      </c>
      <c r="AH679" s="2">
        <v>80</v>
      </c>
      <c r="AJ679" s="2" t="s">
        <v>6665</v>
      </c>
      <c r="AK679" s="2"/>
      <c r="AL679" s="2"/>
      <c r="AM679" s="2" t="s">
        <v>52</v>
      </c>
    </row>
    <row r="680" spans="1:39" x14ac:dyDescent="0.45">
      <c r="A680" s="2" t="s">
        <v>6666</v>
      </c>
      <c r="B680" s="2"/>
      <c r="C680" s="2" t="s">
        <v>6668</v>
      </c>
      <c r="D680" s="2" t="s">
        <v>6670</v>
      </c>
      <c r="E680" s="25"/>
      <c r="F680" s="21"/>
      <c r="G680" s="42" t="s">
        <v>28000</v>
      </c>
      <c r="H680" s="2" t="s">
        <v>50</v>
      </c>
      <c r="I680" s="2" t="s">
        <v>6676</v>
      </c>
      <c r="J680" s="2" t="s">
        <v>6667</v>
      </c>
      <c r="K680" s="2" t="s">
        <v>6669</v>
      </c>
      <c r="L680" s="2" t="s">
        <v>6671</v>
      </c>
      <c r="M680" s="2" t="s">
        <v>6671</v>
      </c>
      <c r="N680" s="2" t="s">
        <v>39</v>
      </c>
      <c r="O680" s="2" t="s">
        <v>40</v>
      </c>
      <c r="P680" s="2" t="s">
        <v>6672</v>
      </c>
      <c r="Q680" s="2" t="s">
        <v>6673</v>
      </c>
      <c r="R680" s="2"/>
      <c r="S680" s="2"/>
      <c r="T680" s="2"/>
      <c r="U680" s="2" t="s">
        <v>39</v>
      </c>
      <c r="V680" s="2" t="s">
        <v>40</v>
      </c>
      <c r="W680" s="2" t="s">
        <v>6674</v>
      </c>
      <c r="X680" s="2" t="s">
        <v>6675</v>
      </c>
      <c r="Y680" s="2" t="s">
        <v>44</v>
      </c>
      <c r="Z680" s="2"/>
      <c r="AA680" s="2" t="s">
        <v>3527</v>
      </c>
      <c r="AB680" s="2" t="s">
        <v>46</v>
      </c>
      <c r="AC680" s="2" t="s">
        <v>3527</v>
      </c>
      <c r="AE680" s="2" t="s">
        <v>48</v>
      </c>
      <c r="AF680" s="2" t="s">
        <v>49</v>
      </c>
      <c r="AG680" s="2">
        <v>100</v>
      </c>
      <c r="AH680" s="2">
        <v>80</v>
      </c>
      <c r="AJ680" s="2" t="s">
        <v>6677</v>
      </c>
      <c r="AK680" s="2"/>
      <c r="AL680" s="2"/>
      <c r="AM680" s="2" t="s">
        <v>52</v>
      </c>
    </row>
    <row r="681" spans="1:39" x14ac:dyDescent="0.45">
      <c r="A681" s="2" t="s">
        <v>6678</v>
      </c>
      <c r="B681" s="2"/>
      <c r="C681" s="2" t="s">
        <v>6680</v>
      </c>
      <c r="D681" s="2" t="s">
        <v>6682</v>
      </c>
      <c r="E681" s="25"/>
      <c r="F681" s="21"/>
      <c r="G681" s="42" t="s">
        <v>28000</v>
      </c>
      <c r="H681" s="2" t="s">
        <v>50</v>
      </c>
      <c r="I681" s="2" t="s">
        <v>6686</v>
      </c>
      <c r="J681" s="2" t="s">
        <v>6679</v>
      </c>
      <c r="K681" s="2" t="s">
        <v>6681</v>
      </c>
      <c r="L681" s="2" t="s">
        <v>6683</v>
      </c>
      <c r="M681" s="2" t="s">
        <v>6683</v>
      </c>
      <c r="N681" s="2" t="s">
        <v>39</v>
      </c>
      <c r="O681" s="2" t="s">
        <v>40</v>
      </c>
      <c r="P681" s="2" t="s">
        <v>453</v>
      </c>
      <c r="Q681" s="2" t="s">
        <v>6684</v>
      </c>
      <c r="R681" s="2"/>
      <c r="S681" s="2"/>
      <c r="T681" s="2"/>
      <c r="U681" s="2" t="s">
        <v>174</v>
      </c>
      <c r="V681" s="2" t="s">
        <v>175</v>
      </c>
      <c r="W681" s="2" t="s">
        <v>176</v>
      </c>
      <c r="X681" s="2" t="s">
        <v>6685</v>
      </c>
      <c r="Y681" s="2" t="s">
        <v>44</v>
      </c>
      <c r="Z681" s="2"/>
      <c r="AA681" s="2" t="s">
        <v>3527</v>
      </c>
      <c r="AB681" s="2" t="s">
        <v>46</v>
      </c>
      <c r="AC681" s="2" t="s">
        <v>3527</v>
      </c>
      <c r="AE681" s="2" t="s">
        <v>48</v>
      </c>
      <c r="AF681" s="2" t="s">
        <v>49</v>
      </c>
      <c r="AG681" s="2">
        <v>100</v>
      </c>
      <c r="AH681" s="2">
        <v>80</v>
      </c>
      <c r="AJ681" s="2" t="s">
        <v>6687</v>
      </c>
      <c r="AK681" s="2"/>
      <c r="AL681" s="2"/>
      <c r="AM681" s="2" t="s">
        <v>52</v>
      </c>
    </row>
    <row r="682" spans="1:39" x14ac:dyDescent="0.45">
      <c r="A682" s="2" t="s">
        <v>6688</v>
      </c>
      <c r="B682" s="2"/>
      <c r="C682" s="2" t="s">
        <v>6690</v>
      </c>
      <c r="D682" s="2" t="s">
        <v>6692</v>
      </c>
      <c r="E682" s="25"/>
      <c r="F682" s="21"/>
      <c r="G682" s="42" t="s">
        <v>28000</v>
      </c>
      <c r="H682" s="2" t="s">
        <v>50</v>
      </c>
      <c r="I682" s="2" t="s">
        <v>6695</v>
      </c>
      <c r="J682" s="2" t="s">
        <v>6689</v>
      </c>
      <c r="K682" s="2" t="s">
        <v>6691</v>
      </c>
      <c r="L682" s="2" t="s">
        <v>6693</v>
      </c>
      <c r="M682" s="2" t="s">
        <v>6693</v>
      </c>
      <c r="N682" s="2" t="s">
        <v>174</v>
      </c>
      <c r="O682" s="2" t="s">
        <v>175</v>
      </c>
      <c r="P682" s="2" t="s">
        <v>772</v>
      </c>
      <c r="Q682" s="2" t="s">
        <v>6691</v>
      </c>
      <c r="R682" s="2"/>
      <c r="S682" s="2"/>
      <c r="T682" s="2"/>
      <c r="U682" s="2" t="s">
        <v>174</v>
      </c>
      <c r="V682" s="2" t="s">
        <v>175</v>
      </c>
      <c r="W682" s="2" t="s">
        <v>772</v>
      </c>
      <c r="X682" s="2" t="s">
        <v>6694</v>
      </c>
      <c r="Y682" s="2" t="s">
        <v>44</v>
      </c>
      <c r="Z682" s="2"/>
      <c r="AA682" s="2" t="s">
        <v>3527</v>
      </c>
      <c r="AB682" s="2" t="s">
        <v>199</v>
      </c>
      <c r="AC682" s="2" t="s">
        <v>3527</v>
      </c>
      <c r="AE682" s="2" t="s">
        <v>48</v>
      </c>
      <c r="AF682" s="2" t="s">
        <v>49</v>
      </c>
      <c r="AG682" s="2">
        <v>100</v>
      </c>
      <c r="AH682" s="2">
        <v>80</v>
      </c>
      <c r="AJ682" s="2" t="s">
        <v>6696</v>
      </c>
      <c r="AK682" s="2"/>
      <c r="AL682" s="2"/>
      <c r="AM682" s="2" t="s">
        <v>52</v>
      </c>
    </row>
    <row r="683" spans="1:39" x14ac:dyDescent="0.45">
      <c r="A683" s="2" t="s">
        <v>6697</v>
      </c>
      <c r="B683" s="2"/>
      <c r="C683" s="2" t="s">
        <v>6699</v>
      </c>
      <c r="D683" s="2" t="s">
        <v>6701</v>
      </c>
      <c r="E683" s="25"/>
      <c r="F683" s="21"/>
      <c r="G683" s="42" t="s">
        <v>28000</v>
      </c>
      <c r="H683" s="2" t="s">
        <v>50</v>
      </c>
      <c r="I683" s="2" t="s">
        <v>6706</v>
      </c>
      <c r="J683" s="2" t="s">
        <v>6698</v>
      </c>
      <c r="K683" s="2" t="s">
        <v>6700</v>
      </c>
      <c r="L683" s="2" t="s">
        <v>6702</v>
      </c>
      <c r="M683" s="2" t="s">
        <v>6702</v>
      </c>
      <c r="N683" s="2" t="s">
        <v>174</v>
      </c>
      <c r="O683" s="2" t="s">
        <v>175</v>
      </c>
      <c r="P683" s="2" t="s">
        <v>6703</v>
      </c>
      <c r="Q683" s="2" t="s">
        <v>6704</v>
      </c>
      <c r="R683" s="2"/>
      <c r="S683" s="2"/>
      <c r="T683" s="2"/>
      <c r="U683" s="2" t="s">
        <v>174</v>
      </c>
      <c r="V683" s="2" t="s">
        <v>175</v>
      </c>
      <c r="W683" s="2" t="s">
        <v>6703</v>
      </c>
      <c r="X683" s="2" t="s">
        <v>6705</v>
      </c>
      <c r="Y683" s="2" t="s">
        <v>44</v>
      </c>
      <c r="Z683" s="2"/>
      <c r="AA683" s="2" t="s">
        <v>3527</v>
      </c>
      <c r="AB683" s="2" t="s">
        <v>46</v>
      </c>
      <c r="AC683" s="2" t="s">
        <v>3527</v>
      </c>
      <c r="AE683" s="2" t="s">
        <v>48</v>
      </c>
      <c r="AF683" s="2" t="s">
        <v>49</v>
      </c>
      <c r="AG683" s="2">
        <v>100</v>
      </c>
      <c r="AH683" s="2">
        <v>80</v>
      </c>
      <c r="AJ683" s="2" t="s">
        <v>6707</v>
      </c>
      <c r="AK683" s="2"/>
      <c r="AL683" s="2"/>
      <c r="AM683" s="2" t="s">
        <v>52</v>
      </c>
    </row>
    <row r="684" spans="1:39" x14ac:dyDescent="0.45">
      <c r="A684" s="2" t="s">
        <v>6708</v>
      </c>
      <c r="B684" s="2"/>
      <c r="C684" s="2" t="s">
        <v>6710</v>
      </c>
      <c r="D684" s="2" t="s">
        <v>6712</v>
      </c>
      <c r="E684" s="25"/>
      <c r="F684" s="21"/>
      <c r="G684" s="42" t="s">
        <v>28000</v>
      </c>
      <c r="H684" s="2" t="s">
        <v>50</v>
      </c>
      <c r="I684" s="2" t="s">
        <v>6717</v>
      </c>
      <c r="J684" s="2" t="s">
        <v>6709</v>
      </c>
      <c r="K684" s="2" t="s">
        <v>6711</v>
      </c>
      <c r="L684" s="2" t="s">
        <v>6713</v>
      </c>
      <c r="M684" s="2" t="s">
        <v>6713</v>
      </c>
      <c r="N684" s="2" t="s">
        <v>174</v>
      </c>
      <c r="O684" s="2" t="s">
        <v>175</v>
      </c>
      <c r="P684" s="2" t="s">
        <v>6714</v>
      </c>
      <c r="Q684" s="2" t="s">
        <v>6715</v>
      </c>
      <c r="R684" s="2"/>
      <c r="S684" s="2"/>
      <c r="T684" s="2"/>
      <c r="U684" s="2" t="s">
        <v>174</v>
      </c>
      <c r="V684" s="2" t="s">
        <v>175</v>
      </c>
      <c r="W684" s="2" t="s">
        <v>6714</v>
      </c>
      <c r="X684" s="2" t="s">
        <v>6716</v>
      </c>
      <c r="Y684" s="2" t="s">
        <v>44</v>
      </c>
      <c r="Z684" s="2"/>
      <c r="AA684" s="2" t="s">
        <v>3527</v>
      </c>
      <c r="AB684" s="2" t="s">
        <v>46</v>
      </c>
      <c r="AC684" s="2" t="s">
        <v>3527</v>
      </c>
      <c r="AE684" s="2" t="s">
        <v>48</v>
      </c>
      <c r="AF684" s="2" t="s">
        <v>49</v>
      </c>
      <c r="AG684" s="2">
        <v>100</v>
      </c>
      <c r="AH684" s="2">
        <v>80</v>
      </c>
      <c r="AJ684" s="2" t="s">
        <v>6718</v>
      </c>
      <c r="AK684" s="2"/>
      <c r="AL684" s="2"/>
      <c r="AM684" s="2" t="s">
        <v>52</v>
      </c>
    </row>
    <row r="685" spans="1:39" x14ac:dyDescent="0.45">
      <c r="A685" s="2" t="s">
        <v>6719</v>
      </c>
      <c r="B685" s="2"/>
      <c r="C685" s="2" t="s">
        <v>6721</v>
      </c>
      <c r="D685" s="2" t="s">
        <v>6723</v>
      </c>
      <c r="E685" s="25"/>
      <c r="F685" s="21"/>
      <c r="G685" s="42" t="s">
        <v>28000</v>
      </c>
      <c r="H685" s="2" t="s">
        <v>50</v>
      </c>
      <c r="I685" s="2" t="s">
        <v>6727</v>
      </c>
      <c r="J685" s="2" t="s">
        <v>6720</v>
      </c>
      <c r="K685" s="2" t="s">
        <v>6722</v>
      </c>
      <c r="L685" s="2" t="s">
        <v>6724</v>
      </c>
      <c r="M685" s="2" t="s">
        <v>6724</v>
      </c>
      <c r="N685" s="2" t="s">
        <v>39</v>
      </c>
      <c r="O685" s="2" t="s">
        <v>40</v>
      </c>
      <c r="P685" s="2" t="s">
        <v>453</v>
      </c>
      <c r="Q685" s="2" t="s">
        <v>6725</v>
      </c>
      <c r="R685" s="2"/>
      <c r="S685" s="2"/>
      <c r="T685" s="2"/>
      <c r="U685" s="2" t="s">
        <v>39</v>
      </c>
      <c r="V685" s="2" t="s">
        <v>40</v>
      </c>
      <c r="W685" s="2" t="s">
        <v>453</v>
      </c>
      <c r="X685" s="2" t="s">
        <v>6726</v>
      </c>
      <c r="Y685" s="2" t="s">
        <v>44</v>
      </c>
      <c r="Z685" s="2"/>
      <c r="AA685" s="2" t="s">
        <v>3527</v>
      </c>
      <c r="AB685" s="2" t="s">
        <v>46</v>
      </c>
      <c r="AC685" s="2" t="s">
        <v>3527</v>
      </c>
      <c r="AE685" s="2" t="s">
        <v>48</v>
      </c>
      <c r="AF685" s="2" t="s">
        <v>49</v>
      </c>
      <c r="AG685" s="2">
        <v>100</v>
      </c>
      <c r="AH685" s="2">
        <v>80</v>
      </c>
      <c r="AJ685" s="2" t="s">
        <v>6728</v>
      </c>
      <c r="AK685" s="2"/>
      <c r="AL685" s="2"/>
      <c r="AM685" s="2" t="s">
        <v>52</v>
      </c>
    </row>
    <row r="686" spans="1:39" x14ac:dyDescent="0.45">
      <c r="A686" s="2" t="s">
        <v>6729</v>
      </c>
      <c r="B686" s="2"/>
      <c r="C686" s="2" t="s">
        <v>6731</v>
      </c>
      <c r="D686" s="2" t="s">
        <v>6733</v>
      </c>
      <c r="E686" s="25"/>
      <c r="F686" s="21"/>
      <c r="G686" s="42" t="s">
        <v>28000</v>
      </c>
      <c r="H686" s="2" t="s">
        <v>50</v>
      </c>
      <c r="I686" s="2" t="s">
        <v>6736</v>
      </c>
      <c r="J686" s="2" t="s">
        <v>6730</v>
      </c>
      <c r="K686" s="2" t="s">
        <v>6732</v>
      </c>
      <c r="L686" s="2" t="s">
        <v>6734</v>
      </c>
      <c r="M686" s="2" t="s">
        <v>6734</v>
      </c>
      <c r="N686" s="2" t="s">
        <v>59</v>
      </c>
      <c r="O686" s="2" t="s">
        <v>60</v>
      </c>
      <c r="P686" s="2" t="s">
        <v>1748</v>
      </c>
      <c r="Q686" s="2" t="s">
        <v>6732</v>
      </c>
      <c r="R686" s="2"/>
      <c r="S686" s="2"/>
      <c r="T686" s="2"/>
      <c r="U686" s="2" t="s">
        <v>59</v>
      </c>
      <c r="V686" s="2" t="s">
        <v>60</v>
      </c>
      <c r="W686" s="2" t="s">
        <v>1748</v>
      </c>
      <c r="X686" s="2" t="s">
        <v>6735</v>
      </c>
      <c r="Y686" s="2" t="s">
        <v>44</v>
      </c>
      <c r="Z686" s="2"/>
      <c r="AA686" s="2" t="s">
        <v>3527</v>
      </c>
      <c r="AB686" s="2" t="s">
        <v>46</v>
      </c>
      <c r="AC686" s="2" t="s">
        <v>3527</v>
      </c>
      <c r="AE686" s="2" t="s">
        <v>48</v>
      </c>
      <c r="AF686" s="2" t="s">
        <v>49</v>
      </c>
      <c r="AG686" s="2">
        <v>100</v>
      </c>
      <c r="AH686" s="2">
        <v>80</v>
      </c>
      <c r="AJ686" s="2" t="s">
        <v>6737</v>
      </c>
      <c r="AK686" s="2"/>
      <c r="AL686" s="2"/>
      <c r="AM686" s="2" t="s">
        <v>52</v>
      </c>
    </row>
    <row r="687" spans="1:39" x14ac:dyDescent="0.45">
      <c r="A687" s="2" t="s">
        <v>6738</v>
      </c>
      <c r="B687" s="2"/>
      <c r="C687" s="2" t="s">
        <v>6740</v>
      </c>
      <c r="D687" s="2" t="s">
        <v>6742</v>
      </c>
      <c r="E687" s="25"/>
      <c r="F687" s="21"/>
      <c r="G687" s="42" t="s">
        <v>28000</v>
      </c>
      <c r="H687" s="2" t="s">
        <v>50</v>
      </c>
      <c r="I687" s="2" t="s">
        <v>6745</v>
      </c>
      <c r="J687" s="2" t="s">
        <v>6739</v>
      </c>
      <c r="K687" s="2" t="s">
        <v>6741</v>
      </c>
      <c r="L687" s="2" t="s">
        <v>6743</v>
      </c>
      <c r="M687" s="2" t="s">
        <v>6743</v>
      </c>
      <c r="N687" s="2" t="s">
        <v>59</v>
      </c>
      <c r="O687" s="2" t="s">
        <v>60</v>
      </c>
      <c r="P687" s="2" t="s">
        <v>266</v>
      </c>
      <c r="Q687" s="2" t="s">
        <v>6741</v>
      </c>
      <c r="R687" s="2"/>
      <c r="S687" s="2"/>
      <c r="T687" s="2"/>
      <c r="U687" s="2" t="s">
        <v>59</v>
      </c>
      <c r="V687" s="2" t="s">
        <v>60</v>
      </c>
      <c r="W687" s="2" t="s">
        <v>266</v>
      </c>
      <c r="X687" s="2" t="s">
        <v>5913</v>
      </c>
      <c r="Y687" s="2" t="s">
        <v>6744</v>
      </c>
      <c r="Z687" s="2"/>
      <c r="AA687" s="2" t="s">
        <v>3527</v>
      </c>
      <c r="AB687" s="2" t="s">
        <v>46</v>
      </c>
      <c r="AC687" s="2" t="s">
        <v>3527</v>
      </c>
      <c r="AE687" s="2" t="s">
        <v>48</v>
      </c>
      <c r="AF687" s="2" t="s">
        <v>49</v>
      </c>
      <c r="AG687" s="2">
        <v>100</v>
      </c>
      <c r="AH687" s="2">
        <v>80</v>
      </c>
      <c r="AJ687" s="2" t="s">
        <v>6746</v>
      </c>
      <c r="AK687" s="2"/>
      <c r="AL687" s="2"/>
      <c r="AM687" s="2" t="s">
        <v>52</v>
      </c>
    </row>
    <row r="688" spans="1:39" x14ac:dyDescent="0.45">
      <c r="A688" s="2" t="s">
        <v>6747</v>
      </c>
      <c r="B688" s="2"/>
      <c r="C688" s="2" t="s">
        <v>6749</v>
      </c>
      <c r="D688" s="2" t="s">
        <v>6751</v>
      </c>
      <c r="E688" s="25"/>
      <c r="F688" s="21"/>
      <c r="G688" s="42" t="s">
        <v>28000</v>
      </c>
      <c r="H688" s="2" t="s">
        <v>50</v>
      </c>
      <c r="I688" s="2" t="s">
        <v>6754</v>
      </c>
      <c r="J688" s="2" t="s">
        <v>6748</v>
      </c>
      <c r="K688" s="2" t="s">
        <v>6750</v>
      </c>
      <c r="L688" s="2" t="s">
        <v>6752</v>
      </c>
      <c r="M688" s="2" t="s">
        <v>6752</v>
      </c>
      <c r="N688" s="2" t="s">
        <v>174</v>
      </c>
      <c r="O688" s="2" t="s">
        <v>175</v>
      </c>
      <c r="P688" s="2" t="s">
        <v>1316</v>
      </c>
      <c r="Q688" s="2"/>
      <c r="R688" s="2"/>
      <c r="S688" s="2"/>
      <c r="T688" s="2"/>
      <c r="U688" s="2"/>
      <c r="V688" s="2"/>
      <c r="W688" s="2"/>
      <c r="X688" s="2" t="s">
        <v>6753</v>
      </c>
      <c r="Y688" s="2" t="s">
        <v>44</v>
      </c>
      <c r="Z688" s="2"/>
      <c r="AA688" s="2" t="s">
        <v>3527</v>
      </c>
      <c r="AB688" s="2" t="s">
        <v>46</v>
      </c>
      <c r="AC688" s="2" t="s">
        <v>3527</v>
      </c>
      <c r="AE688" s="2" t="s">
        <v>48</v>
      </c>
      <c r="AF688" s="2" t="s">
        <v>49</v>
      </c>
      <c r="AG688" s="2">
        <v>100</v>
      </c>
      <c r="AH688" s="2">
        <v>80</v>
      </c>
      <c r="AJ688" s="2" t="s">
        <v>6755</v>
      </c>
      <c r="AK688" s="2"/>
      <c r="AL688" s="2"/>
      <c r="AM688" s="2" t="s">
        <v>52</v>
      </c>
    </row>
    <row r="689" spans="1:39" x14ac:dyDescent="0.45">
      <c r="A689" s="2" t="s">
        <v>3404</v>
      </c>
      <c r="B689" s="2"/>
      <c r="C689" s="2" t="s">
        <v>6757</v>
      </c>
      <c r="D689" s="2" t="s">
        <v>6759</v>
      </c>
      <c r="E689" s="25"/>
      <c r="F689" s="21"/>
      <c r="G689" s="42" t="s">
        <v>28000</v>
      </c>
      <c r="H689" s="2" t="s">
        <v>50</v>
      </c>
      <c r="I689" s="2" t="s">
        <v>6762</v>
      </c>
      <c r="J689" s="2" t="s">
        <v>6756</v>
      </c>
      <c r="K689" s="2" t="s">
        <v>6758</v>
      </c>
      <c r="L689" s="2" t="s">
        <v>6760</v>
      </c>
      <c r="M689" s="2" t="s">
        <v>6760</v>
      </c>
      <c r="N689" s="2" t="s">
        <v>59</v>
      </c>
      <c r="O689" s="2" t="s">
        <v>60</v>
      </c>
      <c r="P689" s="2" t="s">
        <v>266</v>
      </c>
      <c r="Q689" s="2" t="s">
        <v>6758</v>
      </c>
      <c r="R689" s="2"/>
      <c r="S689" s="2"/>
      <c r="T689" s="2"/>
      <c r="U689" s="2" t="s">
        <v>59</v>
      </c>
      <c r="V689" s="2" t="s">
        <v>60</v>
      </c>
      <c r="W689" s="2" t="s">
        <v>266</v>
      </c>
      <c r="X689" s="2" t="s">
        <v>6761</v>
      </c>
      <c r="Y689" s="2" t="s">
        <v>44</v>
      </c>
      <c r="Z689" s="2"/>
      <c r="AA689" s="2" t="s">
        <v>3527</v>
      </c>
      <c r="AB689" s="2" t="s">
        <v>199</v>
      </c>
      <c r="AC689" s="2" t="s">
        <v>3527</v>
      </c>
      <c r="AE689" s="2" t="s">
        <v>48</v>
      </c>
      <c r="AF689" s="2" t="s">
        <v>49</v>
      </c>
      <c r="AG689" s="2">
        <v>100</v>
      </c>
      <c r="AH689" s="2">
        <v>80</v>
      </c>
      <c r="AJ689" s="2" t="s">
        <v>6763</v>
      </c>
      <c r="AK689" s="2"/>
      <c r="AL689" s="2"/>
      <c r="AM689" s="2" t="s">
        <v>52</v>
      </c>
    </row>
    <row r="690" spans="1:39" x14ac:dyDescent="0.45">
      <c r="A690" s="2" t="s">
        <v>6764</v>
      </c>
      <c r="B690" s="2"/>
      <c r="C690" s="2" t="s">
        <v>6766</v>
      </c>
      <c r="D690" s="2" t="s">
        <v>6768</v>
      </c>
      <c r="E690" s="25"/>
      <c r="F690" s="21"/>
      <c r="G690" s="42" t="s">
        <v>28000</v>
      </c>
      <c r="H690" s="2" t="s">
        <v>50</v>
      </c>
      <c r="I690" s="2" t="s">
        <v>6771</v>
      </c>
      <c r="J690" s="2" t="s">
        <v>6765</v>
      </c>
      <c r="K690" s="2" t="s">
        <v>6767</v>
      </c>
      <c r="L690" s="2" t="s">
        <v>6769</v>
      </c>
      <c r="M690" s="2" t="s">
        <v>6769</v>
      </c>
      <c r="N690" s="2" t="s">
        <v>72</v>
      </c>
      <c r="O690" s="2" t="s">
        <v>73</v>
      </c>
      <c r="P690" s="2" t="s">
        <v>1896</v>
      </c>
      <c r="Q690" s="2" t="s">
        <v>6767</v>
      </c>
      <c r="R690" s="2"/>
      <c r="S690" s="2"/>
      <c r="T690" s="2"/>
      <c r="U690" s="2" t="s">
        <v>72</v>
      </c>
      <c r="V690" s="2" t="s">
        <v>73</v>
      </c>
      <c r="W690" s="2" t="s">
        <v>1896</v>
      </c>
      <c r="X690" s="2" t="s">
        <v>6770</v>
      </c>
      <c r="Y690" s="2" t="s">
        <v>44</v>
      </c>
      <c r="Z690" s="2"/>
      <c r="AA690" s="2" t="s">
        <v>3527</v>
      </c>
      <c r="AB690" s="2" t="s">
        <v>46</v>
      </c>
      <c r="AC690" s="2" t="s">
        <v>3527</v>
      </c>
      <c r="AE690" s="2" t="s">
        <v>48</v>
      </c>
      <c r="AF690" s="2" t="s">
        <v>49</v>
      </c>
      <c r="AG690" s="2">
        <v>100</v>
      </c>
      <c r="AH690" s="2">
        <v>80</v>
      </c>
      <c r="AJ690" s="2" t="s">
        <v>6772</v>
      </c>
      <c r="AK690" s="2"/>
      <c r="AL690" s="2"/>
      <c r="AM690" s="2" t="s">
        <v>52</v>
      </c>
    </row>
    <row r="691" spans="1:39" x14ac:dyDescent="0.45">
      <c r="A691" s="2" t="s">
        <v>6773</v>
      </c>
      <c r="B691" s="2"/>
      <c r="C691" s="2" t="s">
        <v>6775</v>
      </c>
      <c r="D691" s="2" t="s">
        <v>6777</v>
      </c>
      <c r="E691" s="25"/>
      <c r="F691" s="21"/>
      <c r="G691" s="42" t="s">
        <v>28000</v>
      </c>
      <c r="H691" s="2" t="s">
        <v>50</v>
      </c>
      <c r="I691" s="2" t="s">
        <v>6781</v>
      </c>
      <c r="J691" s="2" t="s">
        <v>6774</v>
      </c>
      <c r="K691" s="2" t="s">
        <v>6776</v>
      </c>
      <c r="L691" s="2" t="s">
        <v>6778</v>
      </c>
      <c r="M691" s="2" t="s">
        <v>6778</v>
      </c>
      <c r="N691" s="2" t="s">
        <v>72</v>
      </c>
      <c r="O691" s="2" t="s">
        <v>73</v>
      </c>
      <c r="P691" s="2" t="s">
        <v>197</v>
      </c>
      <c r="Q691" s="2" t="s">
        <v>6779</v>
      </c>
      <c r="R691" s="2"/>
      <c r="S691" s="2"/>
      <c r="T691" s="2"/>
      <c r="U691" s="2" t="s">
        <v>72</v>
      </c>
      <c r="V691" s="2" t="s">
        <v>73</v>
      </c>
      <c r="W691" s="2" t="s">
        <v>197</v>
      </c>
      <c r="X691" s="2" t="s">
        <v>6780</v>
      </c>
      <c r="Y691" s="2" t="s">
        <v>44</v>
      </c>
      <c r="Z691" s="2"/>
      <c r="AA691" s="2" t="s">
        <v>3527</v>
      </c>
      <c r="AB691" s="2" t="s">
        <v>46</v>
      </c>
      <c r="AC691" s="2" t="s">
        <v>3527</v>
      </c>
      <c r="AE691" s="2" t="s">
        <v>48</v>
      </c>
      <c r="AF691" s="2" t="s">
        <v>49</v>
      </c>
      <c r="AG691" s="2">
        <v>100</v>
      </c>
      <c r="AH691" s="2">
        <v>80</v>
      </c>
      <c r="AJ691" s="2" t="s">
        <v>6782</v>
      </c>
      <c r="AK691" s="2"/>
      <c r="AL691" s="2"/>
      <c r="AM691" s="2" t="s">
        <v>52</v>
      </c>
    </row>
    <row r="692" spans="1:39" x14ac:dyDescent="0.45">
      <c r="A692" s="2" t="s">
        <v>6783</v>
      </c>
      <c r="B692" s="2"/>
      <c r="C692" s="2" t="s">
        <v>6785</v>
      </c>
      <c r="D692" s="2" t="s">
        <v>6787</v>
      </c>
      <c r="E692" s="25"/>
      <c r="F692" s="21"/>
      <c r="G692" s="42" t="s">
        <v>28000</v>
      </c>
      <c r="H692" s="2" t="s">
        <v>50</v>
      </c>
      <c r="I692" s="2" t="s">
        <v>6791</v>
      </c>
      <c r="J692" s="2" t="s">
        <v>6784</v>
      </c>
      <c r="K692" s="2" t="s">
        <v>6786</v>
      </c>
      <c r="L692" s="2" t="s">
        <v>6788</v>
      </c>
      <c r="M692" s="2" t="s">
        <v>6788</v>
      </c>
      <c r="N692" s="2" t="s">
        <v>72</v>
      </c>
      <c r="O692" s="2" t="s">
        <v>73</v>
      </c>
      <c r="P692" s="2" t="s">
        <v>1568</v>
      </c>
      <c r="Q692" s="2" t="s">
        <v>6789</v>
      </c>
      <c r="R692" s="2"/>
      <c r="S692" s="2"/>
      <c r="T692" s="2"/>
      <c r="U692" s="2" t="s">
        <v>72</v>
      </c>
      <c r="V692" s="2" t="s">
        <v>73</v>
      </c>
      <c r="W692" s="2" t="s">
        <v>1568</v>
      </c>
      <c r="X692" s="2" t="s">
        <v>6790</v>
      </c>
      <c r="Y692" s="2" t="s">
        <v>44</v>
      </c>
      <c r="Z692" s="2"/>
      <c r="AA692" s="2" t="s">
        <v>3527</v>
      </c>
      <c r="AB692" s="2" t="s">
        <v>46</v>
      </c>
      <c r="AC692" s="2" t="s">
        <v>3527</v>
      </c>
      <c r="AE692" s="2" t="s">
        <v>48</v>
      </c>
      <c r="AF692" s="2" t="s">
        <v>49</v>
      </c>
      <c r="AG692" s="2">
        <v>100</v>
      </c>
      <c r="AH692" s="2">
        <v>80</v>
      </c>
      <c r="AJ692" s="2" t="s">
        <v>6792</v>
      </c>
      <c r="AK692" s="2"/>
      <c r="AL692" s="2"/>
      <c r="AM692" s="2" t="s">
        <v>52</v>
      </c>
    </row>
    <row r="693" spans="1:39" x14ac:dyDescent="0.45">
      <c r="A693" s="2" t="s">
        <v>6793</v>
      </c>
      <c r="B693" s="2"/>
      <c r="C693" s="2" t="s">
        <v>6795</v>
      </c>
      <c r="D693" s="2" t="s">
        <v>6797</v>
      </c>
      <c r="E693" s="25"/>
      <c r="F693" s="21"/>
      <c r="G693" s="42" t="s">
        <v>28000</v>
      </c>
      <c r="H693" s="2" t="s">
        <v>50</v>
      </c>
      <c r="I693" s="2" t="s">
        <v>6800</v>
      </c>
      <c r="J693" s="2" t="s">
        <v>6794</v>
      </c>
      <c r="K693" s="2" t="s">
        <v>6796</v>
      </c>
      <c r="L693" s="2" t="s">
        <v>6798</v>
      </c>
      <c r="M693" s="2" t="s">
        <v>6798</v>
      </c>
      <c r="N693" s="2" t="s">
        <v>72</v>
      </c>
      <c r="O693" s="2" t="s">
        <v>73</v>
      </c>
      <c r="P693" s="2" t="s">
        <v>791</v>
      </c>
      <c r="Q693" s="2" t="s">
        <v>6796</v>
      </c>
      <c r="R693" s="2"/>
      <c r="S693" s="2"/>
      <c r="T693" s="2"/>
      <c r="U693" s="2" t="s">
        <v>72</v>
      </c>
      <c r="V693" s="2" t="s">
        <v>73</v>
      </c>
      <c r="W693" s="2" t="s">
        <v>791</v>
      </c>
      <c r="X693" s="2" t="s">
        <v>6799</v>
      </c>
      <c r="Y693" s="2" t="s">
        <v>44</v>
      </c>
      <c r="Z693" s="2"/>
      <c r="AA693" s="2" t="s">
        <v>3527</v>
      </c>
      <c r="AB693" s="2" t="s">
        <v>46</v>
      </c>
      <c r="AC693" s="2" t="s">
        <v>3527</v>
      </c>
      <c r="AE693" s="2" t="s">
        <v>48</v>
      </c>
      <c r="AF693" s="2" t="s">
        <v>49</v>
      </c>
      <c r="AG693" s="2">
        <v>100</v>
      </c>
      <c r="AH693" s="2">
        <v>80</v>
      </c>
      <c r="AJ693" s="2" t="s">
        <v>6801</v>
      </c>
      <c r="AK693" s="2"/>
      <c r="AL693" s="2"/>
      <c r="AM693" s="2" t="s">
        <v>52</v>
      </c>
    </row>
    <row r="694" spans="1:39" x14ac:dyDescent="0.45">
      <c r="A694" s="2" t="s">
        <v>6802</v>
      </c>
      <c r="B694" s="2"/>
      <c r="C694" s="2" t="s">
        <v>6804</v>
      </c>
      <c r="D694" s="2" t="s">
        <v>6806</v>
      </c>
      <c r="E694" s="25"/>
      <c r="F694" s="21"/>
      <c r="G694" s="42" t="s">
        <v>28000</v>
      </c>
      <c r="H694" s="2" t="s">
        <v>50</v>
      </c>
      <c r="I694" s="2" t="s">
        <v>6809</v>
      </c>
      <c r="J694" s="2" t="s">
        <v>6803</v>
      </c>
      <c r="K694" s="2" t="s">
        <v>6805</v>
      </c>
      <c r="L694" s="2" t="s">
        <v>6807</v>
      </c>
      <c r="M694" s="2" t="s">
        <v>6807</v>
      </c>
      <c r="N694" s="2" t="s">
        <v>59</v>
      </c>
      <c r="O694" s="2" t="s">
        <v>60</v>
      </c>
      <c r="P694" s="2" t="s">
        <v>992</v>
      </c>
      <c r="Q694" s="2" t="s">
        <v>6805</v>
      </c>
      <c r="R694" s="2"/>
      <c r="S694" s="2"/>
      <c r="T694" s="2"/>
      <c r="U694" s="2" t="s">
        <v>59</v>
      </c>
      <c r="V694" s="2" t="s">
        <v>60</v>
      </c>
      <c r="W694" s="2" t="s">
        <v>992</v>
      </c>
      <c r="X694" s="2" t="s">
        <v>6808</v>
      </c>
      <c r="Y694" s="2" t="s">
        <v>44</v>
      </c>
      <c r="Z694" s="2"/>
      <c r="AA694" s="2" t="s">
        <v>3527</v>
      </c>
      <c r="AB694" s="2" t="s">
        <v>46</v>
      </c>
      <c r="AC694" s="2" t="s">
        <v>3527</v>
      </c>
      <c r="AE694" s="2" t="s">
        <v>48</v>
      </c>
      <c r="AF694" s="2" t="s">
        <v>49</v>
      </c>
      <c r="AG694" s="2">
        <v>100</v>
      </c>
      <c r="AH694" s="2">
        <v>80</v>
      </c>
      <c r="AJ694" s="2" t="s">
        <v>6810</v>
      </c>
      <c r="AK694" s="2"/>
      <c r="AL694" s="2"/>
      <c r="AM694" s="2" t="s">
        <v>52</v>
      </c>
    </row>
    <row r="695" spans="1:39" x14ac:dyDescent="0.45">
      <c r="A695" s="2" t="s">
        <v>6811</v>
      </c>
      <c r="B695" s="2"/>
      <c r="C695" s="2" t="s">
        <v>6813</v>
      </c>
      <c r="D695" s="2" t="s">
        <v>6815</v>
      </c>
      <c r="E695" s="25"/>
      <c r="F695" s="21"/>
      <c r="G695" s="42" t="s">
        <v>28000</v>
      </c>
      <c r="H695" s="2" t="s">
        <v>50</v>
      </c>
      <c r="I695" s="2" t="s">
        <v>6819</v>
      </c>
      <c r="J695" s="2" t="s">
        <v>6812</v>
      </c>
      <c r="K695" s="2" t="s">
        <v>6814</v>
      </c>
      <c r="L695" s="2" t="s">
        <v>6816</v>
      </c>
      <c r="M695" s="2" t="s">
        <v>6816</v>
      </c>
      <c r="N695" s="2" t="s">
        <v>324</v>
      </c>
      <c r="O695" s="2" t="s">
        <v>73</v>
      </c>
      <c r="P695" s="2" t="s">
        <v>6817</v>
      </c>
      <c r="Q695" s="2" t="s">
        <v>6814</v>
      </c>
      <c r="R695" s="2"/>
      <c r="S695" s="2"/>
      <c r="T695" s="2"/>
      <c r="U695" s="2" t="s">
        <v>324</v>
      </c>
      <c r="V695" s="2" t="s">
        <v>73</v>
      </c>
      <c r="W695" s="2" t="s">
        <v>6817</v>
      </c>
      <c r="X695" s="2" t="s">
        <v>6818</v>
      </c>
      <c r="Y695" s="2" t="s">
        <v>44</v>
      </c>
      <c r="Z695" s="2"/>
      <c r="AA695" s="2" t="s">
        <v>3527</v>
      </c>
      <c r="AB695" s="2" t="s">
        <v>46</v>
      </c>
      <c r="AC695" s="2" t="s">
        <v>3527</v>
      </c>
      <c r="AE695" s="2" t="s">
        <v>48</v>
      </c>
      <c r="AF695" s="2" t="s">
        <v>49</v>
      </c>
      <c r="AG695" s="2">
        <v>100</v>
      </c>
      <c r="AH695" s="2">
        <v>80</v>
      </c>
      <c r="AJ695" s="2" t="s">
        <v>6820</v>
      </c>
      <c r="AK695" s="2"/>
      <c r="AL695" s="2"/>
      <c r="AM695" s="2" t="s">
        <v>52</v>
      </c>
    </row>
    <row r="696" spans="1:39" x14ac:dyDescent="0.45">
      <c r="A696" s="2" t="s">
        <v>6821</v>
      </c>
      <c r="B696" s="2"/>
      <c r="C696" s="2" t="s">
        <v>6823</v>
      </c>
      <c r="D696" s="2" t="s">
        <v>6825</v>
      </c>
      <c r="E696" s="25"/>
      <c r="F696" s="21"/>
      <c r="G696" s="42" t="s">
        <v>28000</v>
      </c>
      <c r="H696" s="2" t="s">
        <v>50</v>
      </c>
      <c r="I696" s="2" t="s">
        <v>6829</v>
      </c>
      <c r="J696" s="2" t="s">
        <v>6822</v>
      </c>
      <c r="K696" s="2" t="s">
        <v>6824</v>
      </c>
      <c r="L696" s="2" t="s">
        <v>6826</v>
      </c>
      <c r="M696" s="2" t="s">
        <v>6826</v>
      </c>
      <c r="N696" s="2" t="s">
        <v>72</v>
      </c>
      <c r="O696" s="2" t="s">
        <v>73</v>
      </c>
      <c r="P696" s="2" t="s">
        <v>1610</v>
      </c>
      <c r="Q696" s="2" t="s">
        <v>6827</v>
      </c>
      <c r="R696" s="2"/>
      <c r="S696" s="2"/>
      <c r="T696" s="2"/>
      <c r="U696" s="2" t="s">
        <v>72</v>
      </c>
      <c r="V696" s="2" t="s">
        <v>73</v>
      </c>
      <c r="W696" s="2" t="s">
        <v>1046</v>
      </c>
      <c r="X696" s="2" t="s">
        <v>6828</v>
      </c>
      <c r="Y696" s="2" t="s">
        <v>44</v>
      </c>
      <c r="Z696" s="2"/>
      <c r="AA696" s="2" t="s">
        <v>3527</v>
      </c>
      <c r="AB696" s="2" t="s">
        <v>46</v>
      </c>
      <c r="AC696" s="2" t="s">
        <v>3527</v>
      </c>
      <c r="AE696" s="2" t="s">
        <v>48</v>
      </c>
      <c r="AF696" s="2" t="s">
        <v>49</v>
      </c>
      <c r="AG696" s="2">
        <v>100</v>
      </c>
      <c r="AH696" s="2">
        <v>80</v>
      </c>
      <c r="AJ696" s="2" t="s">
        <v>6830</v>
      </c>
      <c r="AK696" s="2"/>
      <c r="AL696" s="2"/>
      <c r="AM696" s="2" t="s">
        <v>52</v>
      </c>
    </row>
    <row r="697" spans="1:39" x14ac:dyDescent="0.45">
      <c r="A697" s="2" t="s">
        <v>6831</v>
      </c>
      <c r="B697" s="2"/>
      <c r="C697" s="2" t="s">
        <v>6833</v>
      </c>
      <c r="D697" s="2" t="s">
        <v>6835</v>
      </c>
      <c r="E697" s="25"/>
      <c r="F697" s="21"/>
      <c r="G697" s="42" t="s">
        <v>28000</v>
      </c>
      <c r="H697" s="2" t="s">
        <v>50</v>
      </c>
      <c r="I697" s="2" t="s">
        <v>6838</v>
      </c>
      <c r="J697" s="2" t="s">
        <v>6832</v>
      </c>
      <c r="K697" s="2" t="s">
        <v>6834</v>
      </c>
      <c r="L697" s="2" t="s">
        <v>6836</v>
      </c>
      <c r="M697" s="2" t="s">
        <v>6836</v>
      </c>
      <c r="N697" s="2" t="s">
        <v>72</v>
      </c>
      <c r="O697" s="2" t="s">
        <v>73</v>
      </c>
      <c r="P697" s="2" t="s">
        <v>6837</v>
      </c>
      <c r="Q697" s="2" t="s">
        <v>6834</v>
      </c>
      <c r="R697" s="2"/>
      <c r="S697" s="2"/>
      <c r="T697" s="2"/>
      <c r="U697" s="2" t="s">
        <v>72</v>
      </c>
      <c r="V697" s="2" t="s">
        <v>73</v>
      </c>
      <c r="W697" s="2" t="s">
        <v>6837</v>
      </c>
      <c r="X697" s="2" t="s">
        <v>2111</v>
      </c>
      <c r="Y697" s="2" t="s">
        <v>44</v>
      </c>
      <c r="Z697" s="2"/>
      <c r="AA697" s="2" t="s">
        <v>3527</v>
      </c>
      <c r="AB697" s="2" t="s">
        <v>46</v>
      </c>
      <c r="AC697" s="2" t="s">
        <v>3527</v>
      </c>
      <c r="AE697" s="2" t="s">
        <v>48</v>
      </c>
      <c r="AF697" s="2" t="s">
        <v>49</v>
      </c>
      <c r="AG697" s="2">
        <v>100</v>
      </c>
      <c r="AH697" s="2">
        <v>80</v>
      </c>
      <c r="AJ697" s="2" t="s">
        <v>6839</v>
      </c>
      <c r="AK697" s="2"/>
      <c r="AL697" s="2"/>
      <c r="AM697" s="2" t="s">
        <v>52</v>
      </c>
    </row>
    <row r="698" spans="1:39" x14ac:dyDescent="0.45">
      <c r="A698" s="2" t="s">
        <v>5414</v>
      </c>
      <c r="B698" s="2"/>
      <c r="C698" s="2" t="s">
        <v>6841</v>
      </c>
      <c r="D698" s="2" t="s">
        <v>6843</v>
      </c>
      <c r="E698" s="25"/>
      <c r="F698" s="21"/>
      <c r="G698" s="42" t="s">
        <v>28000</v>
      </c>
      <c r="H698" s="2" t="s">
        <v>50</v>
      </c>
      <c r="I698" s="2" t="s">
        <v>6847</v>
      </c>
      <c r="J698" s="2" t="s">
        <v>6840</v>
      </c>
      <c r="K698" s="2" t="s">
        <v>6842</v>
      </c>
      <c r="L698" s="2" t="s">
        <v>6844</v>
      </c>
      <c r="M698" s="2" t="s">
        <v>6844</v>
      </c>
      <c r="N698" s="2" t="s">
        <v>72</v>
      </c>
      <c r="O698" s="2" t="s">
        <v>73</v>
      </c>
      <c r="P698" s="2" t="s">
        <v>1430</v>
      </c>
      <c r="Q698" s="2" t="s">
        <v>6845</v>
      </c>
      <c r="R698" s="2"/>
      <c r="S698" s="2"/>
      <c r="T698" s="2"/>
      <c r="U698" s="2" t="s">
        <v>72</v>
      </c>
      <c r="V698" s="2" t="s">
        <v>73</v>
      </c>
      <c r="W698" s="2" t="s">
        <v>484</v>
      </c>
      <c r="X698" s="2" t="s">
        <v>6846</v>
      </c>
      <c r="Y698" s="2" t="s">
        <v>44</v>
      </c>
      <c r="Z698" s="2"/>
      <c r="AA698" s="2" t="s">
        <v>3527</v>
      </c>
      <c r="AB698" s="2" t="s">
        <v>199</v>
      </c>
      <c r="AC698" s="2" t="s">
        <v>3527</v>
      </c>
      <c r="AE698" s="2" t="s">
        <v>48</v>
      </c>
      <c r="AF698" s="2" t="s">
        <v>49</v>
      </c>
      <c r="AG698" s="2">
        <v>100</v>
      </c>
      <c r="AH698" s="2">
        <v>80</v>
      </c>
      <c r="AJ698" s="2" t="s">
        <v>6848</v>
      </c>
      <c r="AK698" s="2"/>
      <c r="AL698" s="2"/>
      <c r="AM698" s="2" t="s">
        <v>52</v>
      </c>
    </row>
    <row r="699" spans="1:39" x14ac:dyDescent="0.45">
      <c r="A699" s="2" t="s">
        <v>6849</v>
      </c>
      <c r="B699" s="2"/>
      <c r="C699" s="2" t="s">
        <v>6851</v>
      </c>
      <c r="D699" s="2" t="s">
        <v>6853</v>
      </c>
      <c r="E699" s="25"/>
      <c r="F699" s="21"/>
      <c r="G699" s="42" t="s">
        <v>28000</v>
      </c>
      <c r="H699" s="2" t="s">
        <v>50</v>
      </c>
      <c r="I699" s="2" t="s">
        <v>6856</v>
      </c>
      <c r="J699" s="2" t="s">
        <v>6850</v>
      </c>
      <c r="K699" s="2" t="s">
        <v>6852</v>
      </c>
      <c r="L699" s="2" t="s">
        <v>6854</v>
      </c>
      <c r="M699" s="2" t="s">
        <v>6854</v>
      </c>
      <c r="N699" s="2" t="s">
        <v>72</v>
      </c>
      <c r="O699" s="2" t="s">
        <v>73</v>
      </c>
      <c r="P699" s="2" t="s">
        <v>1682</v>
      </c>
      <c r="Q699" s="2" t="s">
        <v>6852</v>
      </c>
      <c r="R699" s="2"/>
      <c r="S699" s="2"/>
      <c r="T699" s="2"/>
      <c r="U699" s="2" t="s">
        <v>72</v>
      </c>
      <c r="V699" s="2" t="s">
        <v>73</v>
      </c>
      <c r="W699" s="2" t="s">
        <v>1682</v>
      </c>
      <c r="X699" s="2" t="s">
        <v>6855</v>
      </c>
      <c r="Y699" s="2" t="s">
        <v>44</v>
      </c>
      <c r="Z699" s="2"/>
      <c r="AA699" s="2" t="s">
        <v>3527</v>
      </c>
      <c r="AB699" s="2" t="s">
        <v>46</v>
      </c>
      <c r="AC699" s="2" t="s">
        <v>3527</v>
      </c>
      <c r="AE699" s="2" t="s">
        <v>48</v>
      </c>
      <c r="AF699" s="2" t="s">
        <v>49</v>
      </c>
      <c r="AG699" s="2">
        <v>100</v>
      </c>
      <c r="AH699" s="2">
        <v>80</v>
      </c>
      <c r="AJ699" s="2" t="s">
        <v>6857</v>
      </c>
      <c r="AK699" s="2"/>
      <c r="AL699" s="2"/>
      <c r="AM699" s="2" t="s">
        <v>52</v>
      </c>
    </row>
    <row r="700" spans="1:39" x14ac:dyDescent="0.45">
      <c r="A700" s="2" t="s">
        <v>6858</v>
      </c>
      <c r="B700" s="2"/>
      <c r="C700" s="2" t="s">
        <v>6860</v>
      </c>
      <c r="D700" s="2" t="s">
        <v>6862</v>
      </c>
      <c r="E700" s="25"/>
      <c r="F700" s="21"/>
      <c r="G700" s="42" t="s">
        <v>28000</v>
      </c>
      <c r="H700" s="2" t="s">
        <v>50</v>
      </c>
      <c r="I700" s="2" t="s">
        <v>6864</v>
      </c>
      <c r="J700" s="2" t="s">
        <v>6859</v>
      </c>
      <c r="K700" s="2" t="s">
        <v>6861</v>
      </c>
      <c r="L700" s="2" t="s">
        <v>6863</v>
      </c>
      <c r="M700" s="2" t="s">
        <v>6863</v>
      </c>
      <c r="N700" s="2" t="s">
        <v>39</v>
      </c>
      <c r="O700" s="2" t="s">
        <v>40</v>
      </c>
      <c r="P700" s="2" t="s">
        <v>1630</v>
      </c>
      <c r="Q700" s="2" t="s">
        <v>6861</v>
      </c>
      <c r="R700" s="2"/>
      <c r="S700" s="2"/>
      <c r="T700" s="2"/>
      <c r="U700" s="2" t="s">
        <v>39</v>
      </c>
      <c r="V700" s="2" t="s">
        <v>40</v>
      </c>
      <c r="W700" s="2" t="s">
        <v>1630</v>
      </c>
      <c r="X700" s="2" t="s">
        <v>924</v>
      </c>
      <c r="Y700" s="2" t="s">
        <v>44</v>
      </c>
      <c r="Z700" s="2"/>
      <c r="AA700" s="2" t="s">
        <v>3527</v>
      </c>
      <c r="AB700" s="2" t="s">
        <v>46</v>
      </c>
      <c r="AC700" s="2" t="s">
        <v>3527</v>
      </c>
      <c r="AE700" s="2" t="s">
        <v>48</v>
      </c>
      <c r="AF700" s="2" t="s">
        <v>49</v>
      </c>
      <c r="AG700" s="2">
        <v>100</v>
      </c>
      <c r="AH700" s="2">
        <v>80</v>
      </c>
      <c r="AJ700" s="2" t="s">
        <v>6865</v>
      </c>
      <c r="AK700" s="2"/>
      <c r="AL700" s="2"/>
      <c r="AM700" s="2" t="s">
        <v>52</v>
      </c>
    </row>
    <row r="701" spans="1:39" x14ac:dyDescent="0.45">
      <c r="A701" s="2" t="s">
        <v>6866</v>
      </c>
      <c r="B701" s="2"/>
      <c r="C701" s="2" t="s">
        <v>6868</v>
      </c>
      <c r="D701" s="2" t="s">
        <v>6870</v>
      </c>
      <c r="E701" s="25"/>
      <c r="F701" s="21"/>
      <c r="G701" s="42" t="s">
        <v>28000</v>
      </c>
      <c r="H701" s="2" t="s">
        <v>50</v>
      </c>
      <c r="I701" s="2" t="s">
        <v>6874</v>
      </c>
      <c r="J701" s="2" t="s">
        <v>6867</v>
      </c>
      <c r="K701" s="2" t="s">
        <v>6869</v>
      </c>
      <c r="L701" s="2" t="s">
        <v>6871</v>
      </c>
      <c r="M701" s="2" t="s">
        <v>6871</v>
      </c>
      <c r="N701" s="2" t="s">
        <v>384</v>
      </c>
      <c r="O701" s="2" t="s">
        <v>73</v>
      </c>
      <c r="P701" s="2" t="s">
        <v>557</v>
      </c>
      <c r="Q701" s="2" t="s">
        <v>6872</v>
      </c>
      <c r="R701" s="2"/>
      <c r="S701" s="2"/>
      <c r="T701" s="2"/>
      <c r="U701" s="2" t="s">
        <v>72</v>
      </c>
      <c r="V701" s="2" t="s">
        <v>73</v>
      </c>
      <c r="W701" s="2" t="s">
        <v>243</v>
      </c>
      <c r="X701" s="2" t="s">
        <v>6873</v>
      </c>
      <c r="Y701" s="2" t="s">
        <v>44</v>
      </c>
      <c r="Z701" s="2"/>
      <c r="AA701" s="2" t="s">
        <v>3527</v>
      </c>
      <c r="AB701" s="2" t="s">
        <v>46</v>
      </c>
      <c r="AC701" s="2" t="s">
        <v>3527</v>
      </c>
      <c r="AE701" s="2" t="s">
        <v>48</v>
      </c>
      <c r="AF701" s="2" t="s">
        <v>49</v>
      </c>
      <c r="AG701" s="2">
        <v>100</v>
      </c>
      <c r="AH701" s="2">
        <v>80</v>
      </c>
      <c r="AJ701" s="2" t="s">
        <v>6875</v>
      </c>
      <c r="AK701" s="2"/>
      <c r="AL701" s="2"/>
      <c r="AM701" s="2" t="s">
        <v>52</v>
      </c>
    </row>
    <row r="702" spans="1:39" x14ac:dyDescent="0.45">
      <c r="A702" s="2" t="s">
        <v>6866</v>
      </c>
      <c r="B702" s="2"/>
      <c r="C702" s="2" t="s">
        <v>6868</v>
      </c>
      <c r="D702" s="2" t="s">
        <v>6870</v>
      </c>
      <c r="E702" s="25"/>
      <c r="F702" s="21"/>
      <c r="G702" s="42" t="s">
        <v>28000</v>
      </c>
      <c r="H702" s="2" t="s">
        <v>50</v>
      </c>
      <c r="I702" s="2" t="s">
        <v>6874</v>
      </c>
      <c r="J702" s="2" t="s">
        <v>6867</v>
      </c>
      <c r="K702" s="2" t="s">
        <v>6869</v>
      </c>
      <c r="L702" s="2" t="s">
        <v>6871</v>
      </c>
      <c r="M702" s="2" t="s">
        <v>6871</v>
      </c>
      <c r="N702" s="2" t="s">
        <v>384</v>
      </c>
      <c r="O702" s="2" t="s">
        <v>73</v>
      </c>
      <c r="P702" s="2" t="s">
        <v>557</v>
      </c>
      <c r="Q702" s="2" t="s">
        <v>6872</v>
      </c>
      <c r="R702" s="2"/>
      <c r="S702" s="2"/>
      <c r="T702" s="2"/>
      <c r="U702" s="2" t="s">
        <v>72</v>
      </c>
      <c r="V702" s="2" t="s">
        <v>73</v>
      </c>
      <c r="W702" s="2" t="s">
        <v>243</v>
      </c>
      <c r="X702" s="2" t="s">
        <v>6873</v>
      </c>
      <c r="Y702" s="2" t="s">
        <v>44</v>
      </c>
      <c r="Z702" s="2"/>
      <c r="AA702" s="2" t="s">
        <v>3527</v>
      </c>
      <c r="AB702" s="2" t="s">
        <v>46</v>
      </c>
      <c r="AC702" s="2" t="s">
        <v>3527</v>
      </c>
      <c r="AE702" s="2" t="s">
        <v>48</v>
      </c>
      <c r="AF702" s="2" t="s">
        <v>49</v>
      </c>
      <c r="AG702" s="2">
        <v>100</v>
      </c>
      <c r="AH702" s="2">
        <v>80</v>
      </c>
      <c r="AJ702" s="2" t="s">
        <v>6875</v>
      </c>
      <c r="AK702" s="2"/>
      <c r="AL702" s="2"/>
      <c r="AM702" s="2" t="s">
        <v>52</v>
      </c>
    </row>
    <row r="703" spans="1:39" x14ac:dyDescent="0.45">
      <c r="A703" s="2" t="s">
        <v>6876</v>
      </c>
      <c r="B703" s="2"/>
      <c r="C703" s="2" t="s">
        <v>6878</v>
      </c>
      <c r="D703" s="2" t="s">
        <v>6880</v>
      </c>
      <c r="E703" s="25"/>
      <c r="F703" s="21"/>
      <c r="G703" s="42" t="s">
        <v>28000</v>
      </c>
      <c r="H703" s="2" t="s">
        <v>50</v>
      </c>
      <c r="I703" s="2" t="s">
        <v>6884</v>
      </c>
      <c r="J703" s="2" t="s">
        <v>6877</v>
      </c>
      <c r="K703" s="2" t="s">
        <v>6879</v>
      </c>
      <c r="L703" s="2" t="s">
        <v>6881</v>
      </c>
      <c r="M703" s="2" t="s">
        <v>6881</v>
      </c>
      <c r="N703" s="2" t="s">
        <v>290</v>
      </c>
      <c r="O703" s="2" t="s">
        <v>278</v>
      </c>
      <c r="P703" s="2" t="s">
        <v>6882</v>
      </c>
      <c r="Q703" s="2" t="s">
        <v>6879</v>
      </c>
      <c r="R703" s="2"/>
      <c r="S703" s="2"/>
      <c r="T703" s="2"/>
      <c r="U703" s="2" t="s">
        <v>290</v>
      </c>
      <c r="V703" s="2" t="s">
        <v>278</v>
      </c>
      <c r="W703" s="2" t="s">
        <v>6882</v>
      </c>
      <c r="X703" s="2" t="s">
        <v>6883</v>
      </c>
      <c r="Y703" s="2" t="s">
        <v>44</v>
      </c>
      <c r="Z703" s="2"/>
      <c r="AA703" s="2" t="s">
        <v>3527</v>
      </c>
      <c r="AB703" s="2" t="s">
        <v>46</v>
      </c>
      <c r="AC703" s="2" t="s">
        <v>3527</v>
      </c>
      <c r="AE703" s="2" t="s">
        <v>48</v>
      </c>
      <c r="AF703" s="2" t="s">
        <v>49</v>
      </c>
      <c r="AG703" s="2">
        <v>100</v>
      </c>
      <c r="AH703" s="2">
        <v>80</v>
      </c>
      <c r="AJ703" s="2" t="s">
        <v>6885</v>
      </c>
      <c r="AK703" s="2"/>
      <c r="AL703" s="2"/>
      <c r="AM703" s="2" t="s">
        <v>52</v>
      </c>
    </row>
    <row r="704" spans="1:39" x14ac:dyDescent="0.45">
      <c r="A704" s="2" t="s">
        <v>6886</v>
      </c>
      <c r="B704" s="2"/>
      <c r="C704" s="2" t="s">
        <v>6888</v>
      </c>
      <c r="D704" s="2" t="s">
        <v>6890</v>
      </c>
      <c r="E704" s="25"/>
      <c r="F704" s="21"/>
      <c r="G704" s="42" t="s">
        <v>28000</v>
      </c>
      <c r="H704" s="2" t="s">
        <v>50</v>
      </c>
      <c r="I704" s="2" t="s">
        <v>6894</v>
      </c>
      <c r="J704" s="2" t="s">
        <v>6887</v>
      </c>
      <c r="K704" s="2" t="s">
        <v>6889</v>
      </c>
      <c r="L704" s="2" t="s">
        <v>6891</v>
      </c>
      <c r="M704" s="2" t="s">
        <v>6891</v>
      </c>
      <c r="N704" s="2" t="s">
        <v>72</v>
      </c>
      <c r="O704" s="2" t="s">
        <v>73</v>
      </c>
      <c r="P704" s="2" t="s">
        <v>74</v>
      </c>
      <c r="Q704" s="2" t="s">
        <v>6892</v>
      </c>
      <c r="R704" s="2"/>
      <c r="S704" s="2"/>
      <c r="T704" s="2"/>
      <c r="U704" s="2" t="s">
        <v>72</v>
      </c>
      <c r="V704" s="2" t="s">
        <v>73</v>
      </c>
      <c r="W704" s="2" t="s">
        <v>74</v>
      </c>
      <c r="X704" s="2" t="s">
        <v>6893</v>
      </c>
      <c r="Y704" s="2" t="s">
        <v>44</v>
      </c>
      <c r="Z704" s="2"/>
      <c r="AA704" s="2" t="s">
        <v>3527</v>
      </c>
      <c r="AB704" s="2" t="s">
        <v>46</v>
      </c>
      <c r="AC704" s="2" t="s">
        <v>3527</v>
      </c>
      <c r="AE704" s="2" t="s">
        <v>48</v>
      </c>
      <c r="AF704" s="2" t="s">
        <v>49</v>
      </c>
      <c r="AG704" s="2">
        <v>100</v>
      </c>
      <c r="AH704" s="2">
        <v>80</v>
      </c>
      <c r="AJ704" s="2" t="s">
        <v>6895</v>
      </c>
      <c r="AK704" s="2"/>
      <c r="AL704" s="2"/>
      <c r="AM704" s="2" t="s">
        <v>52</v>
      </c>
    </row>
    <row r="705" spans="1:39" x14ac:dyDescent="0.45">
      <c r="A705" s="2" t="s">
        <v>6896</v>
      </c>
      <c r="B705" s="2"/>
      <c r="C705" s="2" t="s">
        <v>6898</v>
      </c>
      <c r="D705" s="2" t="s">
        <v>6900</v>
      </c>
      <c r="E705" s="25"/>
      <c r="F705" s="21"/>
      <c r="G705" s="42" t="s">
        <v>28000</v>
      </c>
      <c r="H705" s="2" t="s">
        <v>50</v>
      </c>
      <c r="I705" s="2" t="s">
        <v>6903</v>
      </c>
      <c r="J705" s="2" t="s">
        <v>6897</v>
      </c>
      <c r="K705" s="2" t="s">
        <v>6899</v>
      </c>
      <c r="L705" s="2" t="s">
        <v>6901</v>
      </c>
      <c r="M705" s="2" t="s">
        <v>6901</v>
      </c>
      <c r="N705" s="2" t="s">
        <v>174</v>
      </c>
      <c r="O705" s="2" t="s">
        <v>175</v>
      </c>
      <c r="P705" s="2" t="s">
        <v>1316</v>
      </c>
      <c r="Q705" s="2" t="s">
        <v>6899</v>
      </c>
      <c r="R705" s="2"/>
      <c r="S705" s="2"/>
      <c r="T705" s="2"/>
      <c r="U705" s="2" t="s">
        <v>174</v>
      </c>
      <c r="V705" s="2" t="s">
        <v>175</v>
      </c>
      <c r="W705" s="2" t="s">
        <v>1316</v>
      </c>
      <c r="X705" s="2" t="s">
        <v>6902</v>
      </c>
      <c r="Y705" s="2" t="s">
        <v>44</v>
      </c>
      <c r="Z705" s="2"/>
      <c r="AA705" s="2" t="s">
        <v>3527</v>
      </c>
      <c r="AB705" s="2" t="s">
        <v>46</v>
      </c>
      <c r="AC705" s="2" t="s">
        <v>3527</v>
      </c>
      <c r="AE705" s="2" t="s">
        <v>48</v>
      </c>
      <c r="AF705" s="2" t="s">
        <v>49</v>
      </c>
      <c r="AG705" s="2">
        <v>100</v>
      </c>
      <c r="AH705" s="2">
        <v>80</v>
      </c>
      <c r="AJ705" s="2" t="s">
        <v>6904</v>
      </c>
      <c r="AK705" s="2"/>
      <c r="AL705" s="2"/>
      <c r="AM705" s="2" t="s">
        <v>52</v>
      </c>
    </row>
    <row r="706" spans="1:39" x14ac:dyDescent="0.45">
      <c r="A706" s="2" t="s">
        <v>6905</v>
      </c>
      <c r="B706" s="2"/>
      <c r="C706" s="2" t="s">
        <v>6907</v>
      </c>
      <c r="D706" s="2" t="s">
        <v>6909</v>
      </c>
      <c r="E706" s="25"/>
      <c r="F706" s="21"/>
      <c r="G706" s="42" t="s">
        <v>28000</v>
      </c>
      <c r="H706" s="2" t="s">
        <v>50</v>
      </c>
      <c r="I706" s="2" t="s">
        <v>6913</v>
      </c>
      <c r="J706" s="2" t="s">
        <v>6906</v>
      </c>
      <c r="K706" s="2" t="s">
        <v>6908</v>
      </c>
      <c r="L706" s="2" t="s">
        <v>6910</v>
      </c>
      <c r="M706" s="2" t="s">
        <v>6910</v>
      </c>
      <c r="N706" s="2" t="s">
        <v>384</v>
      </c>
      <c r="O706" s="2" t="s">
        <v>73</v>
      </c>
      <c r="P706" s="2" t="s">
        <v>832</v>
      </c>
      <c r="Q706" s="2" t="s">
        <v>6911</v>
      </c>
      <c r="R706" s="2"/>
      <c r="S706" s="2"/>
      <c r="T706" s="2"/>
      <c r="U706" s="2" t="s">
        <v>384</v>
      </c>
      <c r="V706" s="2" t="s">
        <v>73</v>
      </c>
      <c r="W706" s="2" t="s">
        <v>832</v>
      </c>
      <c r="X706" s="2" t="s">
        <v>6912</v>
      </c>
      <c r="Y706" s="2" t="s">
        <v>44</v>
      </c>
      <c r="Z706" s="2"/>
      <c r="AA706" s="2" t="s">
        <v>3527</v>
      </c>
      <c r="AB706" s="2" t="s">
        <v>46</v>
      </c>
      <c r="AC706" s="2" t="s">
        <v>3527</v>
      </c>
      <c r="AE706" s="2" t="s">
        <v>48</v>
      </c>
      <c r="AF706" s="2" t="s">
        <v>49</v>
      </c>
      <c r="AG706" s="2">
        <v>100</v>
      </c>
      <c r="AH706" s="2">
        <v>80</v>
      </c>
      <c r="AJ706" s="2" t="s">
        <v>6914</v>
      </c>
      <c r="AK706" s="2"/>
      <c r="AL706" s="2"/>
      <c r="AM706" s="2" t="s">
        <v>52</v>
      </c>
    </row>
    <row r="707" spans="1:39" x14ac:dyDescent="0.45">
      <c r="A707" s="2" t="s">
        <v>6915</v>
      </c>
      <c r="B707" s="2"/>
      <c r="C707" s="2" t="s">
        <v>5219</v>
      </c>
      <c r="D707" s="2" t="s">
        <v>6918</v>
      </c>
      <c r="E707" s="25"/>
      <c r="F707" s="21"/>
      <c r="G707" s="42" t="s">
        <v>28000</v>
      </c>
      <c r="H707" s="2" t="s">
        <v>50</v>
      </c>
      <c r="I707" s="2" t="s">
        <v>6921</v>
      </c>
      <c r="J707" s="2" t="s">
        <v>6916</v>
      </c>
      <c r="K707" s="2" t="s">
        <v>6917</v>
      </c>
      <c r="L707" s="2" t="s">
        <v>6919</v>
      </c>
      <c r="M707" s="2" t="s">
        <v>6919</v>
      </c>
      <c r="N707" s="2" t="s">
        <v>72</v>
      </c>
      <c r="O707" s="2" t="s">
        <v>73</v>
      </c>
      <c r="P707" s="2" t="s">
        <v>484</v>
      </c>
      <c r="Q707" s="2" t="s">
        <v>6920</v>
      </c>
      <c r="R707" s="2"/>
      <c r="S707" s="2"/>
      <c r="T707" s="2"/>
      <c r="U707" s="2" t="s">
        <v>72</v>
      </c>
      <c r="V707" s="2" t="s">
        <v>73</v>
      </c>
      <c r="W707" s="2" t="s">
        <v>484</v>
      </c>
      <c r="X707" s="2" t="s">
        <v>2498</v>
      </c>
      <c r="Y707" s="2" t="s">
        <v>44</v>
      </c>
      <c r="Z707" s="2"/>
      <c r="AA707" s="2" t="s">
        <v>3527</v>
      </c>
      <c r="AB707" s="2" t="s">
        <v>46</v>
      </c>
      <c r="AC707" s="2" t="s">
        <v>3527</v>
      </c>
      <c r="AE707" s="2" t="s">
        <v>48</v>
      </c>
      <c r="AF707" s="2" t="s">
        <v>49</v>
      </c>
      <c r="AG707" s="2">
        <v>100</v>
      </c>
      <c r="AH707" s="2">
        <v>80</v>
      </c>
      <c r="AJ707" s="2" t="s">
        <v>6922</v>
      </c>
      <c r="AK707" s="2"/>
      <c r="AL707" s="2"/>
      <c r="AM707" s="2" t="s">
        <v>52</v>
      </c>
    </row>
    <row r="708" spans="1:39" x14ac:dyDescent="0.45">
      <c r="A708" s="2" t="s">
        <v>6923</v>
      </c>
      <c r="B708" s="2"/>
      <c r="C708" s="2" t="s">
        <v>6925</v>
      </c>
      <c r="D708" s="2" t="s">
        <v>6927</v>
      </c>
      <c r="E708" s="25"/>
      <c r="F708" s="21"/>
      <c r="G708" s="42" t="s">
        <v>28000</v>
      </c>
      <c r="H708" s="2" t="s">
        <v>50</v>
      </c>
      <c r="I708" s="2" t="s">
        <v>6930</v>
      </c>
      <c r="J708" s="2" t="s">
        <v>6924</v>
      </c>
      <c r="K708" s="2" t="s">
        <v>6926</v>
      </c>
      <c r="L708" s="2" t="s">
        <v>6928</v>
      </c>
      <c r="M708" s="2" t="s">
        <v>6928</v>
      </c>
      <c r="N708" s="2" t="s">
        <v>59</v>
      </c>
      <c r="O708" s="2" t="s">
        <v>60</v>
      </c>
      <c r="P708" s="2" t="s">
        <v>6929</v>
      </c>
      <c r="Q708" s="2" t="s">
        <v>6926</v>
      </c>
      <c r="R708" s="2"/>
      <c r="S708" s="2"/>
      <c r="T708" s="2"/>
      <c r="U708" s="2" t="s">
        <v>59</v>
      </c>
      <c r="V708" s="2" t="s">
        <v>60</v>
      </c>
      <c r="W708" s="2" t="s">
        <v>6929</v>
      </c>
      <c r="X708" s="2" t="s">
        <v>4687</v>
      </c>
      <c r="Y708" s="2" t="s">
        <v>44</v>
      </c>
      <c r="Z708" s="2"/>
      <c r="AA708" s="2" t="s">
        <v>3527</v>
      </c>
      <c r="AB708" s="2" t="s">
        <v>46</v>
      </c>
      <c r="AC708" s="2" t="s">
        <v>3527</v>
      </c>
      <c r="AE708" s="2" t="s">
        <v>48</v>
      </c>
      <c r="AF708" s="2" t="s">
        <v>49</v>
      </c>
      <c r="AG708" s="2">
        <v>100</v>
      </c>
      <c r="AH708" s="2">
        <v>80</v>
      </c>
      <c r="AJ708" s="2" t="s">
        <v>6931</v>
      </c>
      <c r="AK708" s="2"/>
      <c r="AL708" s="2"/>
      <c r="AM708" s="2" t="s">
        <v>52</v>
      </c>
    </row>
    <row r="709" spans="1:39" x14ac:dyDescent="0.45">
      <c r="A709" s="2" t="s">
        <v>6932</v>
      </c>
      <c r="B709" s="2"/>
      <c r="C709" s="2" t="s">
        <v>6934</v>
      </c>
      <c r="D709" s="2" t="s">
        <v>6936</v>
      </c>
      <c r="E709" s="25"/>
      <c r="F709" s="21"/>
      <c r="G709" s="42" t="s">
        <v>28000</v>
      </c>
      <c r="H709" s="2" t="s">
        <v>50</v>
      </c>
      <c r="I709" s="2" t="s">
        <v>6940</v>
      </c>
      <c r="J709" s="2" t="s">
        <v>6933</v>
      </c>
      <c r="K709" s="2" t="s">
        <v>6935</v>
      </c>
      <c r="L709" s="2" t="s">
        <v>6937</v>
      </c>
      <c r="M709" s="2" t="s">
        <v>6937</v>
      </c>
      <c r="N709" s="2" t="s">
        <v>72</v>
      </c>
      <c r="O709" s="2" t="s">
        <v>73</v>
      </c>
      <c r="P709" s="2" t="s">
        <v>791</v>
      </c>
      <c r="Q709" s="2" t="s">
        <v>6938</v>
      </c>
      <c r="R709" s="2"/>
      <c r="S709" s="2"/>
      <c r="T709" s="2"/>
      <c r="U709" s="2" t="s">
        <v>72</v>
      </c>
      <c r="V709" s="2" t="s">
        <v>73</v>
      </c>
      <c r="W709" s="2" t="s">
        <v>791</v>
      </c>
      <c r="X709" s="2" t="s">
        <v>6939</v>
      </c>
      <c r="Y709" s="2" t="s">
        <v>44</v>
      </c>
      <c r="Z709" s="2"/>
      <c r="AA709" s="2" t="s">
        <v>3527</v>
      </c>
      <c r="AB709" s="2" t="s">
        <v>46</v>
      </c>
      <c r="AC709" s="2" t="s">
        <v>3527</v>
      </c>
      <c r="AE709" s="2" t="s">
        <v>48</v>
      </c>
      <c r="AF709" s="2" t="s">
        <v>49</v>
      </c>
      <c r="AG709" s="2">
        <v>100</v>
      </c>
      <c r="AH709" s="2">
        <v>80</v>
      </c>
      <c r="AJ709" s="2" t="s">
        <v>6941</v>
      </c>
      <c r="AK709" s="2"/>
      <c r="AL709" s="2"/>
      <c r="AM709" s="2" t="s">
        <v>52</v>
      </c>
    </row>
    <row r="710" spans="1:39" x14ac:dyDescent="0.45">
      <c r="A710" s="2" t="s">
        <v>6942</v>
      </c>
      <c r="B710" s="2"/>
      <c r="C710" s="2" t="s">
        <v>6944</v>
      </c>
      <c r="D710" s="2" t="s">
        <v>6946</v>
      </c>
      <c r="E710" s="25"/>
      <c r="F710" s="21"/>
      <c r="G710" s="42" t="s">
        <v>28000</v>
      </c>
      <c r="H710" s="2" t="s">
        <v>50</v>
      </c>
      <c r="I710" s="2" t="s">
        <v>6950</v>
      </c>
      <c r="J710" s="2" t="s">
        <v>6943</v>
      </c>
      <c r="K710" s="2" t="s">
        <v>6945</v>
      </c>
      <c r="L710" s="2" t="s">
        <v>6947</v>
      </c>
      <c r="M710" s="2"/>
      <c r="N710" s="2" t="s">
        <v>59</v>
      </c>
      <c r="O710" s="2" t="s">
        <v>60</v>
      </c>
      <c r="P710" s="2" t="s">
        <v>6948</v>
      </c>
      <c r="Q710" s="2" t="s">
        <v>6945</v>
      </c>
      <c r="R710" s="2"/>
      <c r="S710" s="2"/>
      <c r="T710" s="2"/>
      <c r="U710" s="2" t="s">
        <v>59</v>
      </c>
      <c r="V710" s="2" t="s">
        <v>60</v>
      </c>
      <c r="W710" s="2" t="s">
        <v>6948</v>
      </c>
      <c r="X710" s="2" t="s">
        <v>6949</v>
      </c>
      <c r="Y710" s="2" t="s">
        <v>44</v>
      </c>
      <c r="Z710" s="2"/>
      <c r="AA710" s="2" t="s">
        <v>3527</v>
      </c>
      <c r="AB710" s="2" t="s">
        <v>46</v>
      </c>
      <c r="AC710" s="2" t="s">
        <v>3527</v>
      </c>
      <c r="AE710" s="2" t="s">
        <v>48</v>
      </c>
      <c r="AF710" s="2" t="s">
        <v>49</v>
      </c>
      <c r="AG710" s="2">
        <v>100</v>
      </c>
      <c r="AH710" s="2">
        <v>80</v>
      </c>
      <c r="AJ710" s="2" t="s">
        <v>6951</v>
      </c>
      <c r="AK710" s="2"/>
      <c r="AL710" s="2"/>
      <c r="AM710" s="2" t="s">
        <v>52</v>
      </c>
    </row>
    <row r="711" spans="1:39" x14ac:dyDescent="0.45">
      <c r="A711" s="2" t="s">
        <v>6952</v>
      </c>
      <c r="B711" s="2"/>
      <c r="C711" s="2" t="s">
        <v>6954</v>
      </c>
      <c r="D711" s="2" t="s">
        <v>6956</v>
      </c>
      <c r="E711" s="25"/>
      <c r="F711" s="21"/>
      <c r="G711" s="42" t="s">
        <v>28000</v>
      </c>
      <c r="H711" s="2" t="s">
        <v>50</v>
      </c>
      <c r="I711" s="2" t="s">
        <v>6959</v>
      </c>
      <c r="J711" s="2" t="s">
        <v>6953</v>
      </c>
      <c r="K711" s="2" t="s">
        <v>6955</v>
      </c>
      <c r="L711" s="2" t="s">
        <v>6957</v>
      </c>
      <c r="M711" s="2" t="s">
        <v>6957</v>
      </c>
      <c r="N711" s="2" t="s">
        <v>72</v>
      </c>
      <c r="O711" s="2" t="s">
        <v>73</v>
      </c>
      <c r="P711" s="2" t="s">
        <v>3571</v>
      </c>
      <c r="Q711" s="2" t="s">
        <v>6955</v>
      </c>
      <c r="R711" s="2"/>
      <c r="S711" s="2"/>
      <c r="T711" s="2"/>
      <c r="U711" s="2" t="s">
        <v>72</v>
      </c>
      <c r="V711" s="2" t="s">
        <v>73</v>
      </c>
      <c r="W711" s="2" t="s">
        <v>3571</v>
      </c>
      <c r="X711" s="2" t="s">
        <v>6958</v>
      </c>
      <c r="Y711" s="2" t="s">
        <v>44</v>
      </c>
      <c r="Z711" s="2"/>
      <c r="AA711" s="2" t="s">
        <v>3527</v>
      </c>
      <c r="AB711" s="2" t="s">
        <v>46</v>
      </c>
      <c r="AC711" s="2" t="s">
        <v>3527</v>
      </c>
      <c r="AE711" s="2" t="s">
        <v>48</v>
      </c>
      <c r="AF711" s="2" t="s">
        <v>49</v>
      </c>
      <c r="AG711" s="2">
        <v>100</v>
      </c>
      <c r="AH711" s="2">
        <v>80</v>
      </c>
      <c r="AJ711" s="2" t="s">
        <v>6960</v>
      </c>
      <c r="AK711" s="2"/>
      <c r="AL711" s="2"/>
      <c r="AM711" s="2" t="s">
        <v>52</v>
      </c>
    </row>
    <row r="712" spans="1:39" x14ac:dyDescent="0.45">
      <c r="A712" s="2" t="s">
        <v>6961</v>
      </c>
      <c r="B712" s="2"/>
      <c r="C712" s="2" t="s">
        <v>6963</v>
      </c>
      <c r="D712" s="2" t="s">
        <v>6965</v>
      </c>
      <c r="E712" s="25"/>
      <c r="F712" s="21"/>
      <c r="G712" s="42" t="s">
        <v>28000</v>
      </c>
      <c r="H712" s="2" t="s">
        <v>50</v>
      </c>
      <c r="I712" s="2" t="s">
        <v>6967</v>
      </c>
      <c r="J712" s="2" t="s">
        <v>6962</v>
      </c>
      <c r="K712" s="2" t="s">
        <v>6964</v>
      </c>
      <c r="L712" s="2" t="s">
        <v>6966</v>
      </c>
      <c r="M712" s="2" t="s">
        <v>6966</v>
      </c>
      <c r="N712" s="2" t="s">
        <v>536</v>
      </c>
      <c r="O712" s="2" t="s">
        <v>537</v>
      </c>
      <c r="P712" s="2" t="s">
        <v>4926</v>
      </c>
      <c r="Q712" s="2" t="s">
        <v>6964</v>
      </c>
      <c r="R712" s="2"/>
      <c r="S712" s="2"/>
      <c r="T712" s="2"/>
      <c r="U712" s="2" t="s">
        <v>536</v>
      </c>
      <c r="V712" s="2" t="s">
        <v>537</v>
      </c>
      <c r="W712" s="2" t="s">
        <v>4926</v>
      </c>
      <c r="X712" s="2" t="s">
        <v>973</v>
      </c>
      <c r="Y712" s="2" t="s">
        <v>44</v>
      </c>
      <c r="Z712" s="2"/>
      <c r="AA712" s="2" t="s">
        <v>3527</v>
      </c>
      <c r="AB712" s="2" t="s">
        <v>46</v>
      </c>
      <c r="AC712" s="2" t="s">
        <v>3527</v>
      </c>
      <c r="AE712" s="2" t="s">
        <v>48</v>
      </c>
      <c r="AF712" s="2" t="s">
        <v>49</v>
      </c>
      <c r="AG712" s="2">
        <v>100</v>
      </c>
      <c r="AH712" s="2">
        <v>80</v>
      </c>
      <c r="AJ712" s="2" t="s">
        <v>6968</v>
      </c>
      <c r="AK712" s="2"/>
      <c r="AL712" s="2"/>
      <c r="AM712" s="2" t="s">
        <v>52</v>
      </c>
    </row>
    <row r="713" spans="1:39" x14ac:dyDescent="0.45">
      <c r="A713" s="2" t="s">
        <v>6969</v>
      </c>
      <c r="B713" s="2"/>
      <c r="C713" s="2" t="s">
        <v>6971</v>
      </c>
      <c r="D713" s="2" t="s">
        <v>6973</v>
      </c>
      <c r="E713" s="25"/>
      <c r="F713" s="21"/>
      <c r="G713" s="42" t="s">
        <v>28000</v>
      </c>
      <c r="H713" s="2" t="s">
        <v>50</v>
      </c>
      <c r="I713" s="2" t="s">
        <v>6976</v>
      </c>
      <c r="J713" s="2" t="s">
        <v>6970</v>
      </c>
      <c r="K713" s="2" t="s">
        <v>6972</v>
      </c>
      <c r="L713" s="2" t="s">
        <v>6974</v>
      </c>
      <c r="M713" s="2" t="s">
        <v>6974</v>
      </c>
      <c r="N713" s="2" t="s">
        <v>216</v>
      </c>
      <c r="O713" s="2" t="s">
        <v>217</v>
      </c>
      <c r="P713" s="2" t="s">
        <v>3767</v>
      </c>
      <c r="Q713" s="2"/>
      <c r="R713" s="2"/>
      <c r="S713" s="2"/>
      <c r="T713" s="2"/>
      <c r="U713" s="2"/>
      <c r="V713" s="2"/>
      <c r="W713" s="2"/>
      <c r="X713" s="2" t="s">
        <v>6975</v>
      </c>
      <c r="Y713" s="2" t="s">
        <v>44</v>
      </c>
      <c r="Z713" s="2"/>
      <c r="AA713" s="2" t="s">
        <v>3527</v>
      </c>
      <c r="AB713" s="2" t="s">
        <v>46</v>
      </c>
      <c r="AC713" s="2" t="s">
        <v>3527</v>
      </c>
      <c r="AE713" s="2" t="s">
        <v>48</v>
      </c>
      <c r="AF713" s="2" t="s">
        <v>49</v>
      </c>
      <c r="AG713" s="2">
        <v>100</v>
      </c>
      <c r="AH713" s="2">
        <v>80</v>
      </c>
      <c r="AJ713" s="2" t="s">
        <v>6977</v>
      </c>
      <c r="AK713" s="2"/>
      <c r="AL713" s="2"/>
      <c r="AM713" s="2" t="s">
        <v>52</v>
      </c>
    </row>
    <row r="714" spans="1:39" x14ac:dyDescent="0.45">
      <c r="A714" s="2" t="s">
        <v>6978</v>
      </c>
      <c r="B714" s="2"/>
      <c r="C714" s="2" t="s">
        <v>6980</v>
      </c>
      <c r="D714" s="2" t="s">
        <v>6982</v>
      </c>
      <c r="E714" s="25"/>
      <c r="F714" s="21"/>
      <c r="G714" s="42" t="s">
        <v>28000</v>
      </c>
      <c r="H714" s="2" t="s">
        <v>50</v>
      </c>
      <c r="I714" s="2" t="s">
        <v>6985</v>
      </c>
      <c r="J714" s="2" t="s">
        <v>6979</v>
      </c>
      <c r="K714" s="2" t="s">
        <v>6981</v>
      </c>
      <c r="L714" s="2" t="s">
        <v>6983</v>
      </c>
      <c r="M714" s="2" t="s">
        <v>6983</v>
      </c>
      <c r="N714" s="2" t="s">
        <v>174</v>
      </c>
      <c r="O714" s="2" t="s">
        <v>175</v>
      </c>
      <c r="P714" s="2" t="s">
        <v>6984</v>
      </c>
      <c r="Q714" s="2" t="s">
        <v>6981</v>
      </c>
      <c r="R714" s="2"/>
      <c r="S714" s="2"/>
      <c r="T714" s="2"/>
      <c r="U714" s="2" t="s">
        <v>174</v>
      </c>
      <c r="V714" s="2" t="s">
        <v>175</v>
      </c>
      <c r="W714" s="2" t="s">
        <v>6984</v>
      </c>
      <c r="X714" s="2" t="s">
        <v>2614</v>
      </c>
      <c r="Y714" s="2" t="s">
        <v>44</v>
      </c>
      <c r="Z714" s="2"/>
      <c r="AA714" s="2" t="s">
        <v>3527</v>
      </c>
      <c r="AB714" s="2" t="s">
        <v>46</v>
      </c>
      <c r="AC714" s="2" t="s">
        <v>3527</v>
      </c>
      <c r="AE714" s="2" t="s">
        <v>48</v>
      </c>
      <c r="AF714" s="2" t="s">
        <v>49</v>
      </c>
      <c r="AG714" s="2">
        <v>100</v>
      </c>
      <c r="AH714" s="2">
        <v>80</v>
      </c>
      <c r="AJ714" s="2" t="s">
        <v>6986</v>
      </c>
      <c r="AK714" s="2"/>
      <c r="AL714" s="2"/>
      <c r="AM714" s="2" t="s">
        <v>52</v>
      </c>
    </row>
    <row r="715" spans="1:39" x14ac:dyDescent="0.45">
      <c r="A715" s="2" t="s">
        <v>6987</v>
      </c>
      <c r="B715" s="2"/>
      <c r="C715" s="2" t="s">
        <v>6989</v>
      </c>
      <c r="D715" s="2" t="s">
        <v>6991</v>
      </c>
      <c r="E715" s="25"/>
      <c r="F715" s="21"/>
      <c r="G715" s="42" t="s">
        <v>28000</v>
      </c>
      <c r="H715" s="2" t="s">
        <v>50</v>
      </c>
      <c r="I715" s="2" t="s">
        <v>6994</v>
      </c>
      <c r="J715" s="2" t="s">
        <v>6988</v>
      </c>
      <c r="K715" s="2" t="s">
        <v>6990</v>
      </c>
      <c r="L715" s="2" t="s">
        <v>6992</v>
      </c>
      <c r="M715" s="2" t="s">
        <v>6992</v>
      </c>
      <c r="N715" s="2" t="s">
        <v>651</v>
      </c>
      <c r="O715" s="2" t="s">
        <v>86</v>
      </c>
      <c r="P715" s="2" t="s">
        <v>2353</v>
      </c>
      <c r="Q715" s="2" t="s">
        <v>6990</v>
      </c>
      <c r="R715" s="2"/>
      <c r="S715" s="2"/>
      <c r="T715" s="2"/>
      <c r="U715" s="2" t="s">
        <v>651</v>
      </c>
      <c r="V715" s="2" t="s">
        <v>86</v>
      </c>
      <c r="W715" s="2" t="s">
        <v>2353</v>
      </c>
      <c r="X715" s="2" t="s">
        <v>6993</v>
      </c>
      <c r="Y715" s="2" t="s">
        <v>44</v>
      </c>
      <c r="Z715" s="2"/>
      <c r="AA715" s="2" t="s">
        <v>3527</v>
      </c>
      <c r="AB715" s="2" t="s">
        <v>46</v>
      </c>
      <c r="AC715" s="2" t="s">
        <v>3527</v>
      </c>
      <c r="AE715" s="2" t="s">
        <v>48</v>
      </c>
      <c r="AF715" s="2" t="s">
        <v>49</v>
      </c>
      <c r="AG715" s="2">
        <v>100</v>
      </c>
      <c r="AH715" s="2">
        <v>80</v>
      </c>
      <c r="AJ715" s="2" t="s">
        <v>6995</v>
      </c>
      <c r="AK715" s="2"/>
      <c r="AL715" s="2"/>
      <c r="AM715" s="2" t="s">
        <v>52</v>
      </c>
    </row>
    <row r="716" spans="1:39" x14ac:dyDescent="0.45">
      <c r="A716" s="2" t="s">
        <v>6996</v>
      </c>
      <c r="B716" s="2"/>
      <c r="C716" s="2" t="s">
        <v>6998</v>
      </c>
      <c r="D716" s="2" t="s">
        <v>7000</v>
      </c>
      <c r="E716" s="25"/>
      <c r="F716" s="21"/>
      <c r="G716" s="42" t="s">
        <v>28000</v>
      </c>
      <c r="H716" s="2" t="s">
        <v>50</v>
      </c>
      <c r="I716" s="2" t="s">
        <v>7005</v>
      </c>
      <c r="J716" s="2" t="s">
        <v>6997</v>
      </c>
      <c r="K716" s="2" t="s">
        <v>6999</v>
      </c>
      <c r="L716" s="2" t="s">
        <v>7001</v>
      </c>
      <c r="M716" s="2" t="s">
        <v>7001</v>
      </c>
      <c r="N716" s="2" t="s">
        <v>277</v>
      </c>
      <c r="O716" s="2" t="s">
        <v>278</v>
      </c>
      <c r="P716" s="2" t="s">
        <v>7002</v>
      </c>
      <c r="Q716" s="2" t="s">
        <v>7003</v>
      </c>
      <c r="R716" s="2"/>
      <c r="S716" s="2"/>
      <c r="T716" s="2"/>
      <c r="U716" s="2" t="s">
        <v>277</v>
      </c>
      <c r="V716" s="2" t="s">
        <v>278</v>
      </c>
      <c r="W716" s="2" t="s">
        <v>7002</v>
      </c>
      <c r="X716" s="2" t="s">
        <v>7004</v>
      </c>
      <c r="Y716" s="2" t="s">
        <v>44</v>
      </c>
      <c r="Z716" s="2"/>
      <c r="AA716" s="2" t="s">
        <v>3527</v>
      </c>
      <c r="AB716" s="2" t="s">
        <v>46</v>
      </c>
      <c r="AC716" s="2" t="s">
        <v>3527</v>
      </c>
      <c r="AE716" s="2" t="s">
        <v>48</v>
      </c>
      <c r="AF716" s="2" t="s">
        <v>49</v>
      </c>
      <c r="AG716" s="2">
        <v>100</v>
      </c>
      <c r="AH716" s="2">
        <v>80</v>
      </c>
      <c r="AJ716" s="2" t="s">
        <v>7006</v>
      </c>
      <c r="AK716" s="2"/>
      <c r="AL716" s="2"/>
      <c r="AM716" s="2" t="s">
        <v>52</v>
      </c>
    </row>
    <row r="717" spans="1:39" x14ac:dyDescent="0.45">
      <c r="A717" s="2" t="s">
        <v>7007</v>
      </c>
      <c r="B717" s="2"/>
      <c r="C717" s="2" t="s">
        <v>7009</v>
      </c>
      <c r="D717" s="2" t="s">
        <v>7011</v>
      </c>
      <c r="E717" s="25"/>
      <c r="F717" s="21"/>
      <c r="G717" s="42" t="s">
        <v>28000</v>
      </c>
      <c r="H717" s="2" t="s">
        <v>50</v>
      </c>
      <c r="I717" s="2" t="s">
        <v>7015</v>
      </c>
      <c r="J717" s="2" t="s">
        <v>7008</v>
      </c>
      <c r="K717" s="2" t="s">
        <v>7010</v>
      </c>
      <c r="L717" s="2" t="s">
        <v>7012</v>
      </c>
      <c r="M717" s="2" t="s">
        <v>7012</v>
      </c>
      <c r="N717" s="2" t="s">
        <v>174</v>
      </c>
      <c r="O717" s="2" t="s">
        <v>175</v>
      </c>
      <c r="P717" s="2" t="s">
        <v>7013</v>
      </c>
      <c r="Q717" s="2" t="s">
        <v>7014</v>
      </c>
      <c r="R717" s="2"/>
      <c r="S717" s="2"/>
      <c r="T717" s="2"/>
      <c r="U717" s="2" t="s">
        <v>174</v>
      </c>
      <c r="V717" s="2" t="s">
        <v>175</v>
      </c>
      <c r="W717" s="2" t="s">
        <v>7013</v>
      </c>
      <c r="X717" s="2" t="s">
        <v>1003</v>
      </c>
      <c r="Y717" s="2" t="s">
        <v>44</v>
      </c>
      <c r="Z717" s="2"/>
      <c r="AA717" s="2" t="s">
        <v>3527</v>
      </c>
      <c r="AB717" s="2" t="s">
        <v>46</v>
      </c>
      <c r="AC717" s="2" t="s">
        <v>3527</v>
      </c>
      <c r="AE717" s="2" t="s">
        <v>48</v>
      </c>
      <c r="AF717" s="2" t="s">
        <v>49</v>
      </c>
      <c r="AG717" s="2">
        <v>100</v>
      </c>
      <c r="AH717" s="2">
        <v>80</v>
      </c>
      <c r="AJ717" s="2" t="s">
        <v>7016</v>
      </c>
      <c r="AK717" s="2"/>
      <c r="AL717" s="2"/>
      <c r="AM717" s="2" t="s">
        <v>52</v>
      </c>
    </row>
    <row r="718" spans="1:39" x14ac:dyDescent="0.45">
      <c r="A718" s="2" t="s">
        <v>7017</v>
      </c>
      <c r="B718" s="2"/>
      <c r="C718" s="2" t="s">
        <v>7019</v>
      </c>
      <c r="D718" s="2" t="s">
        <v>7021</v>
      </c>
      <c r="E718" s="25"/>
      <c r="F718" s="21"/>
      <c r="G718" s="42" t="s">
        <v>28000</v>
      </c>
      <c r="H718" s="2" t="s">
        <v>50</v>
      </c>
      <c r="I718" s="2" t="s">
        <v>7025</v>
      </c>
      <c r="J718" s="2" t="s">
        <v>7018</v>
      </c>
      <c r="K718" s="2" t="s">
        <v>7020</v>
      </c>
      <c r="L718" s="2" t="s">
        <v>7022</v>
      </c>
      <c r="M718" s="2" t="s">
        <v>7022</v>
      </c>
      <c r="N718" s="2" t="s">
        <v>72</v>
      </c>
      <c r="O718" s="2" t="s">
        <v>73</v>
      </c>
      <c r="P718" s="2" t="s">
        <v>7023</v>
      </c>
      <c r="Q718" s="2" t="s">
        <v>7020</v>
      </c>
      <c r="R718" s="2"/>
      <c r="S718" s="2"/>
      <c r="T718" s="2"/>
      <c r="U718" s="2" t="s">
        <v>72</v>
      </c>
      <c r="V718" s="2" t="s">
        <v>73</v>
      </c>
      <c r="W718" s="2" t="s">
        <v>7023</v>
      </c>
      <c r="X718" s="2" t="s">
        <v>7024</v>
      </c>
      <c r="Y718" s="2" t="s">
        <v>44</v>
      </c>
      <c r="Z718" s="2"/>
      <c r="AA718" s="2" t="s">
        <v>3527</v>
      </c>
      <c r="AB718" s="2" t="s">
        <v>46</v>
      </c>
      <c r="AC718" s="2" t="s">
        <v>3527</v>
      </c>
      <c r="AE718" s="2" t="s">
        <v>48</v>
      </c>
      <c r="AF718" s="2" t="s">
        <v>49</v>
      </c>
      <c r="AG718" s="2">
        <v>100</v>
      </c>
      <c r="AH718" s="2">
        <v>80</v>
      </c>
      <c r="AJ718" s="2" t="s">
        <v>7026</v>
      </c>
      <c r="AK718" s="2"/>
      <c r="AL718" s="2"/>
      <c r="AM718" s="2" t="s">
        <v>52</v>
      </c>
    </row>
    <row r="719" spans="1:39" x14ac:dyDescent="0.45">
      <c r="A719" s="2" t="s">
        <v>7027</v>
      </c>
      <c r="B719" s="2"/>
      <c r="C719" s="2" t="s">
        <v>7029</v>
      </c>
      <c r="D719" s="2" t="s">
        <v>7031</v>
      </c>
      <c r="E719" s="25"/>
      <c r="F719" s="21"/>
      <c r="G719" s="42" t="s">
        <v>28000</v>
      </c>
      <c r="H719" s="2" t="s">
        <v>50</v>
      </c>
      <c r="I719" s="2" t="s">
        <v>7035</v>
      </c>
      <c r="J719" s="2" t="s">
        <v>7028</v>
      </c>
      <c r="K719" s="2" t="s">
        <v>7030</v>
      </c>
      <c r="L719" s="2" t="s">
        <v>7032</v>
      </c>
      <c r="M719" s="2" t="s">
        <v>7032</v>
      </c>
      <c r="N719" s="2" t="s">
        <v>72</v>
      </c>
      <c r="O719" s="2" t="s">
        <v>73</v>
      </c>
      <c r="P719" s="2" t="s">
        <v>7033</v>
      </c>
      <c r="Q719" s="2" t="s">
        <v>7030</v>
      </c>
      <c r="R719" s="2"/>
      <c r="S719" s="2"/>
      <c r="T719" s="2"/>
      <c r="U719" s="2" t="s">
        <v>72</v>
      </c>
      <c r="V719" s="2" t="s">
        <v>73</v>
      </c>
      <c r="W719" s="2" t="s">
        <v>7033</v>
      </c>
      <c r="X719" s="2" t="s">
        <v>7034</v>
      </c>
      <c r="Y719" s="2" t="s">
        <v>44</v>
      </c>
      <c r="Z719" s="2"/>
      <c r="AA719" s="2" t="s">
        <v>3527</v>
      </c>
      <c r="AB719" s="2" t="s">
        <v>46</v>
      </c>
      <c r="AC719" s="2" t="s">
        <v>3527</v>
      </c>
      <c r="AE719" s="2" t="s">
        <v>48</v>
      </c>
      <c r="AF719" s="2" t="s">
        <v>49</v>
      </c>
      <c r="AG719" s="2">
        <v>100</v>
      </c>
      <c r="AH719" s="2">
        <v>80</v>
      </c>
      <c r="AJ719" s="2" t="s">
        <v>7036</v>
      </c>
      <c r="AK719" s="2"/>
      <c r="AL719" s="2"/>
      <c r="AM719" s="2" t="s">
        <v>52</v>
      </c>
    </row>
    <row r="720" spans="1:39" x14ac:dyDescent="0.45">
      <c r="A720" s="2" t="s">
        <v>7037</v>
      </c>
      <c r="B720" s="2"/>
      <c r="C720" s="2" t="s">
        <v>7039</v>
      </c>
      <c r="D720" s="2" t="s">
        <v>7041</v>
      </c>
      <c r="E720" s="25"/>
      <c r="F720" s="21"/>
      <c r="G720" s="42" t="s">
        <v>28000</v>
      </c>
      <c r="H720" s="2" t="s">
        <v>50</v>
      </c>
      <c r="I720" s="2" t="s">
        <v>7044</v>
      </c>
      <c r="J720" s="2" t="s">
        <v>7038</v>
      </c>
      <c r="K720" s="2" t="s">
        <v>7040</v>
      </c>
      <c r="L720" s="2" t="s">
        <v>7042</v>
      </c>
      <c r="M720" s="2" t="s">
        <v>7042</v>
      </c>
      <c r="N720" s="2" t="s">
        <v>72</v>
      </c>
      <c r="O720" s="2" t="s">
        <v>73</v>
      </c>
      <c r="P720" s="2" t="s">
        <v>1670</v>
      </c>
      <c r="Q720" s="2" t="s">
        <v>7043</v>
      </c>
      <c r="R720" s="2"/>
      <c r="S720" s="2"/>
      <c r="T720" s="2"/>
      <c r="U720" s="2" t="s">
        <v>72</v>
      </c>
      <c r="V720" s="2" t="s">
        <v>73</v>
      </c>
      <c r="W720" s="2" t="s">
        <v>98</v>
      </c>
      <c r="X720" s="2" t="s">
        <v>7034</v>
      </c>
      <c r="Y720" s="2" t="s">
        <v>44</v>
      </c>
      <c r="Z720" s="2"/>
      <c r="AA720" s="2" t="s">
        <v>3527</v>
      </c>
      <c r="AB720" s="2" t="s">
        <v>46</v>
      </c>
      <c r="AC720" s="2" t="s">
        <v>3527</v>
      </c>
      <c r="AE720" s="2" t="s">
        <v>48</v>
      </c>
      <c r="AF720" s="2" t="s">
        <v>49</v>
      </c>
      <c r="AG720" s="2">
        <v>100</v>
      </c>
      <c r="AH720" s="2">
        <v>80</v>
      </c>
      <c r="AJ720" s="2" t="s">
        <v>7045</v>
      </c>
      <c r="AK720" s="2"/>
      <c r="AL720" s="2"/>
      <c r="AM720" s="2" t="s">
        <v>52</v>
      </c>
    </row>
    <row r="721" spans="1:39" x14ac:dyDescent="0.45">
      <c r="A721" s="2" t="s">
        <v>7046</v>
      </c>
      <c r="B721" s="2"/>
      <c r="C721" s="2" t="s">
        <v>7048</v>
      </c>
      <c r="D721" s="2" t="s">
        <v>7050</v>
      </c>
      <c r="E721" s="25"/>
      <c r="F721" s="21"/>
      <c r="G721" s="42" t="s">
        <v>28000</v>
      </c>
      <c r="H721" s="2" t="s">
        <v>50</v>
      </c>
      <c r="I721" s="2" t="s">
        <v>7053</v>
      </c>
      <c r="J721" s="2" t="s">
        <v>7047</v>
      </c>
      <c r="K721" s="2" t="s">
        <v>7049</v>
      </c>
      <c r="L721" s="2" t="s">
        <v>7051</v>
      </c>
      <c r="M721" s="2" t="s">
        <v>7051</v>
      </c>
      <c r="N721" s="2" t="s">
        <v>59</v>
      </c>
      <c r="O721" s="2" t="s">
        <v>60</v>
      </c>
      <c r="P721" s="2" t="s">
        <v>266</v>
      </c>
      <c r="Q721" s="2" t="s">
        <v>7049</v>
      </c>
      <c r="R721" s="2"/>
      <c r="S721" s="2"/>
      <c r="T721" s="2"/>
      <c r="U721" s="2" t="s">
        <v>59</v>
      </c>
      <c r="V721" s="2" t="s">
        <v>60</v>
      </c>
      <c r="W721" s="2" t="s">
        <v>266</v>
      </c>
      <c r="X721" s="2" t="s">
        <v>7052</v>
      </c>
      <c r="Y721" s="2" t="s">
        <v>44</v>
      </c>
      <c r="Z721" s="2"/>
      <c r="AA721" s="2" t="s">
        <v>3527</v>
      </c>
      <c r="AB721" s="2" t="s">
        <v>46</v>
      </c>
      <c r="AC721" s="2" t="s">
        <v>3527</v>
      </c>
      <c r="AE721" s="2" t="s">
        <v>48</v>
      </c>
      <c r="AF721" s="2" t="s">
        <v>49</v>
      </c>
      <c r="AG721" s="2">
        <v>100</v>
      </c>
      <c r="AH721" s="2">
        <v>80</v>
      </c>
      <c r="AJ721" s="2" t="s">
        <v>7054</v>
      </c>
      <c r="AK721" s="2"/>
      <c r="AL721" s="2"/>
      <c r="AM721" s="2" t="s">
        <v>52</v>
      </c>
    </row>
    <row r="722" spans="1:39" x14ac:dyDescent="0.45">
      <c r="A722" s="2" t="s">
        <v>7055</v>
      </c>
      <c r="B722" s="2"/>
      <c r="C722" s="2" t="s">
        <v>7057</v>
      </c>
      <c r="D722" s="2" t="s">
        <v>7059</v>
      </c>
      <c r="E722" s="25"/>
      <c r="F722" s="21"/>
      <c r="G722" s="42" t="s">
        <v>28000</v>
      </c>
      <c r="H722" s="2" t="s">
        <v>50</v>
      </c>
      <c r="I722" s="2" t="s">
        <v>7063</v>
      </c>
      <c r="J722" s="2" t="s">
        <v>7056</v>
      </c>
      <c r="K722" s="2" t="s">
        <v>7058</v>
      </c>
      <c r="L722" s="2" t="s">
        <v>7060</v>
      </c>
      <c r="M722" s="2" t="s">
        <v>7060</v>
      </c>
      <c r="N722" s="2" t="s">
        <v>59</v>
      </c>
      <c r="O722" s="2" t="s">
        <v>60</v>
      </c>
      <c r="P722" s="2" t="s">
        <v>5251</v>
      </c>
      <c r="Q722" s="2" t="s">
        <v>7061</v>
      </c>
      <c r="R722" s="2"/>
      <c r="S722" s="2"/>
      <c r="T722" s="2"/>
      <c r="U722" s="2" t="s">
        <v>59</v>
      </c>
      <c r="V722" s="2" t="s">
        <v>60</v>
      </c>
      <c r="W722" s="2" t="s">
        <v>5251</v>
      </c>
      <c r="X722" s="2" t="s">
        <v>7062</v>
      </c>
      <c r="Y722" s="2" t="s">
        <v>44</v>
      </c>
      <c r="Z722" s="2"/>
      <c r="AA722" s="2" t="s">
        <v>3527</v>
      </c>
      <c r="AB722" s="2" t="s">
        <v>46</v>
      </c>
      <c r="AC722" s="2" t="s">
        <v>3527</v>
      </c>
      <c r="AE722" s="2" t="s">
        <v>48</v>
      </c>
      <c r="AF722" s="2" t="s">
        <v>49</v>
      </c>
      <c r="AG722" s="2">
        <v>100</v>
      </c>
      <c r="AH722" s="2">
        <v>80</v>
      </c>
      <c r="AJ722" s="2" t="s">
        <v>7064</v>
      </c>
      <c r="AK722" s="2"/>
      <c r="AL722" s="2"/>
      <c r="AM722" s="2" t="s">
        <v>52</v>
      </c>
    </row>
    <row r="723" spans="1:39" x14ac:dyDescent="0.45">
      <c r="A723" s="2" t="s">
        <v>7065</v>
      </c>
      <c r="B723" s="2"/>
      <c r="C723" s="2" t="s">
        <v>7067</v>
      </c>
      <c r="D723" s="2" t="s">
        <v>7069</v>
      </c>
      <c r="E723" s="25"/>
      <c r="F723" s="21"/>
      <c r="G723" s="42" t="s">
        <v>28000</v>
      </c>
      <c r="H723" s="2" t="s">
        <v>50</v>
      </c>
      <c r="I723" s="2" t="s">
        <v>7072</v>
      </c>
      <c r="J723" s="2" t="s">
        <v>7066</v>
      </c>
      <c r="K723" s="2" t="s">
        <v>7068</v>
      </c>
      <c r="L723" s="2" t="s">
        <v>7070</v>
      </c>
      <c r="M723" s="2" t="s">
        <v>7070</v>
      </c>
      <c r="N723" s="2" t="s">
        <v>651</v>
      </c>
      <c r="O723" s="2" t="s">
        <v>86</v>
      </c>
      <c r="P723" s="2" t="s">
        <v>2507</v>
      </c>
      <c r="Q723" s="2" t="s">
        <v>7068</v>
      </c>
      <c r="R723" s="2"/>
      <c r="S723" s="2"/>
      <c r="T723" s="2"/>
      <c r="U723" s="2" t="s">
        <v>651</v>
      </c>
      <c r="V723" s="2" t="s">
        <v>86</v>
      </c>
      <c r="W723" s="2" t="s">
        <v>2507</v>
      </c>
      <c r="X723" s="2" t="s">
        <v>7071</v>
      </c>
      <c r="Y723" s="2" t="s">
        <v>44</v>
      </c>
      <c r="Z723" s="2"/>
      <c r="AA723" s="2" t="s">
        <v>3527</v>
      </c>
      <c r="AB723" s="2" t="s">
        <v>46</v>
      </c>
      <c r="AC723" s="2" t="s">
        <v>3527</v>
      </c>
      <c r="AE723" s="2" t="s">
        <v>48</v>
      </c>
      <c r="AF723" s="2" t="s">
        <v>49</v>
      </c>
      <c r="AG723" s="2">
        <v>100</v>
      </c>
      <c r="AH723" s="2">
        <v>80</v>
      </c>
      <c r="AJ723" s="2" t="s">
        <v>7073</v>
      </c>
      <c r="AK723" s="2"/>
      <c r="AL723" s="2"/>
      <c r="AM723" s="2" t="s">
        <v>52</v>
      </c>
    </row>
    <row r="724" spans="1:39" x14ac:dyDescent="0.45">
      <c r="A724" s="2" t="s">
        <v>7074</v>
      </c>
      <c r="B724" s="2"/>
      <c r="C724" s="2" t="s">
        <v>7076</v>
      </c>
      <c r="D724" s="2" t="s">
        <v>7078</v>
      </c>
      <c r="E724" s="25"/>
      <c r="F724" s="21"/>
      <c r="G724" s="42" t="s">
        <v>28000</v>
      </c>
      <c r="H724" s="2" t="s">
        <v>50</v>
      </c>
      <c r="I724" s="2" t="s">
        <v>7081</v>
      </c>
      <c r="J724" s="2" t="s">
        <v>7075</v>
      </c>
      <c r="K724" s="2" t="s">
        <v>7077</v>
      </c>
      <c r="L724" s="2" t="s">
        <v>7079</v>
      </c>
      <c r="M724" s="2" t="s">
        <v>7079</v>
      </c>
      <c r="N724" s="2" t="s">
        <v>72</v>
      </c>
      <c r="O724" s="2" t="s">
        <v>73</v>
      </c>
      <c r="P724" s="2" t="s">
        <v>2982</v>
      </c>
      <c r="Q724" s="2" t="s">
        <v>7077</v>
      </c>
      <c r="R724" s="2"/>
      <c r="S724" s="2"/>
      <c r="T724" s="2"/>
      <c r="U724" s="2" t="s">
        <v>72</v>
      </c>
      <c r="V724" s="2" t="s">
        <v>73</v>
      </c>
      <c r="W724" s="2" t="s">
        <v>2982</v>
      </c>
      <c r="X724" s="2" t="s">
        <v>7080</v>
      </c>
      <c r="Y724" s="2" t="s">
        <v>44</v>
      </c>
      <c r="Z724" s="2"/>
      <c r="AA724" s="2" t="s">
        <v>3527</v>
      </c>
      <c r="AB724" s="2" t="s">
        <v>46</v>
      </c>
      <c r="AC724" s="2" t="s">
        <v>3527</v>
      </c>
      <c r="AE724" s="2" t="s">
        <v>48</v>
      </c>
      <c r="AF724" s="2" t="s">
        <v>49</v>
      </c>
      <c r="AG724" s="2">
        <v>100</v>
      </c>
      <c r="AH724" s="2">
        <v>80</v>
      </c>
      <c r="AJ724" s="2" t="s">
        <v>7082</v>
      </c>
      <c r="AK724" s="2"/>
      <c r="AL724" s="2"/>
      <c r="AM724" s="2" t="s">
        <v>52</v>
      </c>
    </row>
    <row r="725" spans="1:39" x14ac:dyDescent="0.45">
      <c r="A725" s="2" t="s">
        <v>7083</v>
      </c>
      <c r="B725" s="2"/>
      <c r="C725" s="2" t="s">
        <v>7085</v>
      </c>
      <c r="D725" s="2" t="s">
        <v>7087</v>
      </c>
      <c r="E725" s="25"/>
      <c r="F725" s="21"/>
      <c r="G725" s="42" t="s">
        <v>28000</v>
      </c>
      <c r="H725" s="2" t="s">
        <v>50</v>
      </c>
      <c r="I725" s="2" t="s">
        <v>7089</v>
      </c>
      <c r="J725" s="2" t="s">
        <v>7084</v>
      </c>
      <c r="K725" s="2" t="s">
        <v>7086</v>
      </c>
      <c r="L725" s="2" t="s">
        <v>7088</v>
      </c>
      <c r="M725" s="2" t="s">
        <v>7088</v>
      </c>
      <c r="N725" s="2" t="s">
        <v>290</v>
      </c>
      <c r="O725" s="2" t="s">
        <v>278</v>
      </c>
      <c r="P725" s="2" t="s">
        <v>291</v>
      </c>
      <c r="Q725" s="2" t="s">
        <v>7086</v>
      </c>
      <c r="R725" s="2"/>
      <c r="S725" s="2"/>
      <c r="T725" s="2"/>
      <c r="U725" s="2" t="s">
        <v>290</v>
      </c>
      <c r="V725" s="2" t="s">
        <v>278</v>
      </c>
      <c r="W725" s="2" t="s">
        <v>291</v>
      </c>
      <c r="X725" s="2" t="s">
        <v>7080</v>
      </c>
      <c r="Y725" s="2" t="s">
        <v>44</v>
      </c>
      <c r="Z725" s="2"/>
      <c r="AA725" s="2" t="s">
        <v>3527</v>
      </c>
      <c r="AB725" s="2" t="s">
        <v>46</v>
      </c>
      <c r="AC725" s="2" t="s">
        <v>3527</v>
      </c>
      <c r="AE725" s="2" t="s">
        <v>48</v>
      </c>
      <c r="AF725" s="2" t="s">
        <v>49</v>
      </c>
      <c r="AG725" s="2">
        <v>100</v>
      </c>
      <c r="AH725" s="2">
        <v>80</v>
      </c>
      <c r="AJ725" s="2" t="s">
        <v>7090</v>
      </c>
      <c r="AK725" s="2"/>
      <c r="AL725" s="2"/>
      <c r="AM725" s="2" t="s">
        <v>52</v>
      </c>
    </row>
    <row r="726" spans="1:39" x14ac:dyDescent="0.45">
      <c r="A726" s="2" t="s">
        <v>7091</v>
      </c>
      <c r="B726" s="2"/>
      <c r="C726" s="2" t="s">
        <v>7093</v>
      </c>
      <c r="D726" s="2" t="s">
        <v>7095</v>
      </c>
      <c r="E726" s="25"/>
      <c r="F726" s="21"/>
      <c r="G726" s="42" t="s">
        <v>28000</v>
      </c>
      <c r="H726" s="2" t="s">
        <v>50</v>
      </c>
      <c r="I726" s="2" t="s">
        <v>7099</v>
      </c>
      <c r="J726" s="2" t="s">
        <v>7092</v>
      </c>
      <c r="K726" s="2" t="s">
        <v>7094</v>
      </c>
      <c r="L726" s="2" t="s">
        <v>7096</v>
      </c>
      <c r="M726" s="2" t="s">
        <v>7096</v>
      </c>
      <c r="N726" s="2" t="s">
        <v>85</v>
      </c>
      <c r="O726" s="2" t="s">
        <v>86</v>
      </c>
      <c r="P726" s="2" t="s">
        <v>3073</v>
      </c>
      <c r="Q726" s="2" t="s">
        <v>7097</v>
      </c>
      <c r="R726" s="2"/>
      <c r="S726" s="2"/>
      <c r="T726" s="2"/>
      <c r="U726" s="2" t="s">
        <v>1188</v>
      </c>
      <c r="V726" s="2" t="s">
        <v>221</v>
      </c>
      <c r="W726" s="2" t="s">
        <v>1189</v>
      </c>
      <c r="X726" s="2" t="s">
        <v>7098</v>
      </c>
      <c r="Y726" s="2" t="s">
        <v>44</v>
      </c>
      <c r="Z726" s="2"/>
      <c r="AA726" s="2" t="s">
        <v>3527</v>
      </c>
      <c r="AB726" s="2" t="s">
        <v>46</v>
      </c>
      <c r="AC726" s="2" t="s">
        <v>3527</v>
      </c>
      <c r="AE726" s="2" t="s">
        <v>48</v>
      </c>
      <c r="AF726" s="2" t="s">
        <v>49</v>
      </c>
      <c r="AG726" s="2">
        <v>100</v>
      </c>
      <c r="AH726" s="2">
        <v>80</v>
      </c>
      <c r="AJ726" s="2" t="s">
        <v>7100</v>
      </c>
      <c r="AK726" s="2"/>
      <c r="AL726" s="2"/>
      <c r="AM726" s="2" t="s">
        <v>52</v>
      </c>
    </row>
    <row r="727" spans="1:39" x14ac:dyDescent="0.45">
      <c r="A727" s="2" t="s">
        <v>7101</v>
      </c>
      <c r="B727" s="2"/>
      <c r="C727" s="2" t="s">
        <v>7103</v>
      </c>
      <c r="D727" s="2" t="s">
        <v>7105</v>
      </c>
      <c r="E727" s="25"/>
      <c r="F727" s="21"/>
      <c r="G727" s="42" t="s">
        <v>28000</v>
      </c>
      <c r="H727" s="2" t="s">
        <v>50</v>
      </c>
      <c r="I727" s="2" t="s">
        <v>7109</v>
      </c>
      <c r="J727" s="2" t="s">
        <v>7102</v>
      </c>
      <c r="K727" s="2" t="s">
        <v>7104</v>
      </c>
      <c r="L727" s="2" t="s">
        <v>7106</v>
      </c>
      <c r="M727" s="2" t="s">
        <v>7106</v>
      </c>
      <c r="N727" s="2" t="s">
        <v>384</v>
      </c>
      <c r="O727" s="2" t="s">
        <v>73</v>
      </c>
      <c r="P727" s="2" t="s">
        <v>7107</v>
      </c>
      <c r="Q727" s="2" t="s">
        <v>7108</v>
      </c>
      <c r="R727" s="2"/>
      <c r="S727" s="2"/>
      <c r="T727" s="2"/>
      <c r="U727" s="2" t="s">
        <v>384</v>
      </c>
      <c r="V727" s="2" t="s">
        <v>73</v>
      </c>
      <c r="W727" s="2" t="s">
        <v>7107</v>
      </c>
      <c r="X727" s="2" t="s">
        <v>2838</v>
      </c>
      <c r="Y727" s="2" t="s">
        <v>44</v>
      </c>
      <c r="Z727" s="2"/>
      <c r="AA727" s="2" t="s">
        <v>3527</v>
      </c>
      <c r="AB727" s="2" t="s">
        <v>46</v>
      </c>
      <c r="AC727" s="2" t="s">
        <v>3527</v>
      </c>
      <c r="AE727" s="2" t="s">
        <v>48</v>
      </c>
      <c r="AF727" s="2" t="s">
        <v>49</v>
      </c>
      <c r="AG727" s="2">
        <v>100</v>
      </c>
      <c r="AH727" s="2">
        <v>80</v>
      </c>
      <c r="AJ727" s="2" t="s">
        <v>7110</v>
      </c>
      <c r="AK727" s="2"/>
      <c r="AL727" s="2"/>
      <c r="AM727" s="2" t="s">
        <v>52</v>
      </c>
    </row>
    <row r="728" spans="1:39" x14ac:dyDescent="0.45">
      <c r="A728" s="2" t="s">
        <v>7111</v>
      </c>
      <c r="B728" s="2"/>
      <c r="C728" s="2" t="s">
        <v>7113</v>
      </c>
      <c r="D728" s="2" t="s">
        <v>7115</v>
      </c>
      <c r="E728" s="25"/>
      <c r="F728" s="21"/>
      <c r="G728" s="42" t="s">
        <v>28000</v>
      </c>
      <c r="H728" s="2" t="s">
        <v>50</v>
      </c>
      <c r="I728" s="2" t="s">
        <v>7117</v>
      </c>
      <c r="J728" s="2" t="s">
        <v>7112</v>
      </c>
      <c r="K728" s="2" t="s">
        <v>7114</v>
      </c>
      <c r="L728" s="2" t="s">
        <v>7116</v>
      </c>
      <c r="M728" s="2" t="s">
        <v>7116</v>
      </c>
      <c r="N728" s="2" t="s">
        <v>277</v>
      </c>
      <c r="O728" s="2" t="s">
        <v>278</v>
      </c>
      <c r="P728" s="2" t="s">
        <v>1058</v>
      </c>
      <c r="Q728" s="2" t="s">
        <v>7114</v>
      </c>
      <c r="R728" s="2"/>
      <c r="S728" s="2"/>
      <c r="T728" s="2"/>
      <c r="U728" s="2" t="s">
        <v>277</v>
      </c>
      <c r="V728" s="2" t="s">
        <v>278</v>
      </c>
      <c r="W728" s="2" t="s">
        <v>1058</v>
      </c>
      <c r="X728" s="2" t="s">
        <v>1014</v>
      </c>
      <c r="Y728" s="2" t="s">
        <v>44</v>
      </c>
      <c r="Z728" s="2"/>
      <c r="AA728" s="2" t="s">
        <v>3527</v>
      </c>
      <c r="AB728" s="2" t="s">
        <v>46</v>
      </c>
      <c r="AC728" s="2" t="s">
        <v>3527</v>
      </c>
      <c r="AE728" s="2" t="s">
        <v>48</v>
      </c>
      <c r="AF728" s="2" t="s">
        <v>49</v>
      </c>
      <c r="AG728" s="2">
        <v>100</v>
      </c>
      <c r="AH728" s="2">
        <v>80</v>
      </c>
      <c r="AJ728" s="2" t="s">
        <v>7118</v>
      </c>
      <c r="AK728" s="2"/>
      <c r="AL728" s="2"/>
      <c r="AM728" s="2" t="s">
        <v>52</v>
      </c>
    </row>
    <row r="729" spans="1:39" x14ac:dyDescent="0.45">
      <c r="A729" s="2" t="s">
        <v>7119</v>
      </c>
      <c r="B729" s="2"/>
      <c r="C729" s="2" t="s">
        <v>7121</v>
      </c>
      <c r="D729" s="2" t="s">
        <v>7123</v>
      </c>
      <c r="E729" s="25"/>
      <c r="F729" s="21"/>
      <c r="G729" s="42" t="s">
        <v>28000</v>
      </c>
      <c r="H729" s="2" t="s">
        <v>50</v>
      </c>
      <c r="I729" s="2" t="s">
        <v>7128</v>
      </c>
      <c r="J729" s="2" t="s">
        <v>7120</v>
      </c>
      <c r="K729" s="2" t="s">
        <v>7122</v>
      </c>
      <c r="L729" s="2" t="s">
        <v>7124</v>
      </c>
      <c r="M729" s="2" t="s">
        <v>7124</v>
      </c>
      <c r="N729" s="2" t="s">
        <v>174</v>
      </c>
      <c r="O729" s="2" t="s">
        <v>175</v>
      </c>
      <c r="P729" s="2" t="s">
        <v>7125</v>
      </c>
      <c r="Q729" s="2" t="s">
        <v>7126</v>
      </c>
      <c r="R729" s="2"/>
      <c r="S729" s="2"/>
      <c r="T729" s="2"/>
      <c r="U729" s="2" t="s">
        <v>59</v>
      </c>
      <c r="V729" s="2" t="s">
        <v>60</v>
      </c>
      <c r="W729" s="2" t="s">
        <v>266</v>
      </c>
      <c r="X729" s="2" t="s">
        <v>7127</v>
      </c>
      <c r="Y729" s="2" t="s">
        <v>44</v>
      </c>
      <c r="Z729" s="2"/>
      <c r="AA729" s="2" t="s">
        <v>3527</v>
      </c>
      <c r="AB729" s="2" t="s">
        <v>46</v>
      </c>
      <c r="AC729" s="2" t="s">
        <v>3527</v>
      </c>
      <c r="AE729" s="2" t="s">
        <v>48</v>
      </c>
      <c r="AF729" s="2" t="s">
        <v>49</v>
      </c>
      <c r="AG729" s="2">
        <v>100</v>
      </c>
      <c r="AH729" s="2">
        <v>80</v>
      </c>
      <c r="AJ729" s="2" t="s">
        <v>7129</v>
      </c>
      <c r="AK729" s="2"/>
      <c r="AL729" s="2"/>
      <c r="AM729" s="2" t="s">
        <v>52</v>
      </c>
    </row>
    <row r="730" spans="1:39" x14ac:dyDescent="0.45">
      <c r="A730" s="2" t="s">
        <v>7130</v>
      </c>
      <c r="B730" s="2"/>
      <c r="C730" s="2" t="s">
        <v>7132</v>
      </c>
      <c r="D730" s="2" t="s">
        <v>7134</v>
      </c>
      <c r="E730" s="25"/>
      <c r="F730" s="21"/>
      <c r="G730" s="42" t="s">
        <v>28000</v>
      </c>
      <c r="H730" s="2" t="s">
        <v>50</v>
      </c>
      <c r="I730" s="2" t="s">
        <v>7139</v>
      </c>
      <c r="J730" s="2" t="s">
        <v>7131</v>
      </c>
      <c r="K730" s="2" t="s">
        <v>7133</v>
      </c>
      <c r="L730" s="2" t="s">
        <v>7135</v>
      </c>
      <c r="M730" s="2" t="s">
        <v>7135</v>
      </c>
      <c r="N730" s="2" t="s">
        <v>174</v>
      </c>
      <c r="O730" s="2" t="s">
        <v>175</v>
      </c>
      <c r="P730" s="2" t="s">
        <v>7136</v>
      </c>
      <c r="Q730" s="2" t="s">
        <v>7137</v>
      </c>
      <c r="R730" s="2"/>
      <c r="S730" s="2"/>
      <c r="T730" s="2"/>
      <c r="U730" s="2" t="s">
        <v>174</v>
      </c>
      <c r="V730" s="2" t="s">
        <v>175</v>
      </c>
      <c r="W730" s="2" t="s">
        <v>7013</v>
      </c>
      <c r="X730" s="2" t="s">
        <v>7138</v>
      </c>
      <c r="Y730" s="2" t="s">
        <v>44</v>
      </c>
      <c r="Z730" s="2"/>
      <c r="AA730" s="2" t="s">
        <v>3527</v>
      </c>
      <c r="AB730" s="2" t="s">
        <v>46</v>
      </c>
      <c r="AC730" s="2" t="s">
        <v>3527</v>
      </c>
      <c r="AE730" s="2" t="s">
        <v>48</v>
      </c>
      <c r="AF730" s="2" t="s">
        <v>49</v>
      </c>
      <c r="AG730" s="2">
        <v>100</v>
      </c>
      <c r="AH730" s="2">
        <v>80</v>
      </c>
      <c r="AJ730" s="2" t="s">
        <v>7140</v>
      </c>
      <c r="AK730" s="2"/>
      <c r="AL730" s="2"/>
      <c r="AM730" s="2" t="s">
        <v>52</v>
      </c>
    </row>
    <row r="731" spans="1:39" x14ac:dyDescent="0.45">
      <c r="A731" s="2" t="s">
        <v>7141</v>
      </c>
      <c r="B731" s="2"/>
      <c r="C731" s="2" t="s">
        <v>7143</v>
      </c>
      <c r="D731" s="2" t="s">
        <v>7145</v>
      </c>
      <c r="E731" s="25"/>
      <c r="F731" s="21"/>
      <c r="G731" s="42" t="s">
        <v>28000</v>
      </c>
      <c r="H731" s="2" t="s">
        <v>50</v>
      </c>
      <c r="I731" s="2" t="s">
        <v>7148</v>
      </c>
      <c r="J731" s="2" t="s">
        <v>7142</v>
      </c>
      <c r="K731" s="2" t="s">
        <v>7144</v>
      </c>
      <c r="L731" s="2" t="s">
        <v>7146</v>
      </c>
      <c r="M731" s="2" t="s">
        <v>7146</v>
      </c>
      <c r="N731" s="2" t="s">
        <v>72</v>
      </c>
      <c r="O731" s="2" t="s">
        <v>73</v>
      </c>
      <c r="P731" s="2" t="s">
        <v>1035</v>
      </c>
      <c r="Q731" s="2" t="s">
        <v>7144</v>
      </c>
      <c r="R731" s="2"/>
      <c r="S731" s="2"/>
      <c r="T731" s="2"/>
      <c r="U731" s="2" t="s">
        <v>72</v>
      </c>
      <c r="V731" s="2" t="s">
        <v>73</v>
      </c>
      <c r="W731" s="2" t="s">
        <v>1035</v>
      </c>
      <c r="X731" s="2" t="s">
        <v>7147</v>
      </c>
      <c r="Y731" s="2" t="s">
        <v>44</v>
      </c>
      <c r="Z731" s="2"/>
      <c r="AA731" s="2" t="s">
        <v>3527</v>
      </c>
      <c r="AB731" s="2" t="s">
        <v>46</v>
      </c>
      <c r="AC731" s="2" t="s">
        <v>3527</v>
      </c>
      <c r="AE731" s="2" t="s">
        <v>48</v>
      </c>
      <c r="AF731" s="2" t="s">
        <v>49</v>
      </c>
      <c r="AG731" s="2">
        <v>100</v>
      </c>
      <c r="AH731" s="2">
        <v>80</v>
      </c>
      <c r="AJ731" s="2" t="s">
        <v>7149</v>
      </c>
      <c r="AK731" s="2"/>
      <c r="AL731" s="2"/>
      <c r="AM731" s="2" t="s">
        <v>52</v>
      </c>
    </row>
    <row r="732" spans="1:39" x14ac:dyDescent="0.45">
      <c r="A732" s="2" t="s">
        <v>7150</v>
      </c>
      <c r="B732" s="2"/>
      <c r="C732" s="2" t="s">
        <v>7152</v>
      </c>
      <c r="D732" s="2" t="s">
        <v>7154</v>
      </c>
      <c r="E732" s="25"/>
      <c r="F732" s="21"/>
      <c r="G732" s="42" t="s">
        <v>28000</v>
      </c>
      <c r="H732" s="2" t="s">
        <v>50</v>
      </c>
      <c r="I732" s="2" t="s">
        <v>7156</v>
      </c>
      <c r="J732" s="2" t="s">
        <v>7151</v>
      </c>
      <c r="K732" s="2" t="s">
        <v>7153</v>
      </c>
      <c r="L732" s="2" t="s">
        <v>7155</v>
      </c>
      <c r="M732" s="2" t="s">
        <v>7155</v>
      </c>
      <c r="N732" s="2" t="s">
        <v>384</v>
      </c>
      <c r="O732" s="2" t="s">
        <v>73</v>
      </c>
      <c r="P732" s="2" t="s">
        <v>559</v>
      </c>
      <c r="Q732" s="2" t="s">
        <v>7153</v>
      </c>
      <c r="R732" s="2"/>
      <c r="S732" s="2"/>
      <c r="T732" s="2"/>
      <c r="U732" s="2" t="s">
        <v>384</v>
      </c>
      <c r="V732" s="2" t="s">
        <v>73</v>
      </c>
      <c r="W732" s="2" t="s">
        <v>559</v>
      </c>
      <c r="X732" s="2" t="s">
        <v>5031</v>
      </c>
      <c r="Y732" s="2" t="s">
        <v>44</v>
      </c>
      <c r="Z732" s="2"/>
      <c r="AA732" s="2" t="s">
        <v>3527</v>
      </c>
      <c r="AB732" s="2" t="s">
        <v>46</v>
      </c>
      <c r="AC732" s="2" t="s">
        <v>3527</v>
      </c>
      <c r="AE732" s="2" t="s">
        <v>48</v>
      </c>
      <c r="AF732" s="2" t="s">
        <v>49</v>
      </c>
      <c r="AG732" s="2">
        <v>100</v>
      </c>
      <c r="AH732" s="2">
        <v>80</v>
      </c>
      <c r="AJ732" s="2" t="s">
        <v>7157</v>
      </c>
      <c r="AK732" s="2"/>
      <c r="AL732" s="2"/>
      <c r="AM732" s="2" t="s">
        <v>52</v>
      </c>
    </row>
    <row r="733" spans="1:39" x14ac:dyDescent="0.45">
      <c r="A733" s="2" t="s">
        <v>7158</v>
      </c>
      <c r="B733" s="2"/>
      <c r="C733" s="2" t="s">
        <v>7160</v>
      </c>
      <c r="D733" s="2" t="s">
        <v>7162</v>
      </c>
      <c r="E733" s="25"/>
      <c r="F733" s="21"/>
      <c r="G733" s="42" t="s">
        <v>28000</v>
      </c>
      <c r="H733" s="2" t="s">
        <v>50</v>
      </c>
      <c r="I733" s="2" t="s">
        <v>7164</v>
      </c>
      <c r="J733" s="2" t="s">
        <v>7159</v>
      </c>
      <c r="K733" s="2" t="s">
        <v>7161</v>
      </c>
      <c r="L733" s="2" t="s">
        <v>7163</v>
      </c>
      <c r="M733" s="2" t="s">
        <v>7163</v>
      </c>
      <c r="N733" s="2" t="s">
        <v>59</v>
      </c>
      <c r="O733" s="2" t="s">
        <v>60</v>
      </c>
      <c r="P733" s="2" t="s">
        <v>1589</v>
      </c>
      <c r="Q733" s="2" t="s">
        <v>7161</v>
      </c>
      <c r="R733" s="2"/>
      <c r="S733" s="2"/>
      <c r="T733" s="2"/>
      <c r="U733" s="2" t="s">
        <v>59</v>
      </c>
      <c r="V733" s="2" t="s">
        <v>60</v>
      </c>
      <c r="W733" s="2" t="s">
        <v>1589</v>
      </c>
      <c r="X733" s="2" t="s">
        <v>2973</v>
      </c>
      <c r="Y733" s="2" t="s">
        <v>44</v>
      </c>
      <c r="Z733" s="2"/>
      <c r="AA733" s="2" t="s">
        <v>3527</v>
      </c>
      <c r="AB733" s="2" t="s">
        <v>46</v>
      </c>
      <c r="AC733" s="2" t="s">
        <v>3527</v>
      </c>
      <c r="AE733" s="2" t="s">
        <v>48</v>
      </c>
      <c r="AF733" s="2" t="s">
        <v>49</v>
      </c>
      <c r="AG733" s="2">
        <v>100</v>
      </c>
      <c r="AH733" s="2">
        <v>80</v>
      </c>
      <c r="AJ733" s="2" t="s">
        <v>7165</v>
      </c>
      <c r="AK733" s="2"/>
      <c r="AL733" s="2"/>
      <c r="AM733" s="2" t="s">
        <v>52</v>
      </c>
    </row>
    <row r="734" spans="1:39" x14ac:dyDescent="0.45">
      <c r="A734" s="2" t="s">
        <v>7166</v>
      </c>
      <c r="B734" s="2"/>
      <c r="C734" s="2" t="s">
        <v>7168</v>
      </c>
      <c r="D734" s="2" t="s">
        <v>7170</v>
      </c>
      <c r="E734" s="25"/>
      <c r="F734" s="21"/>
      <c r="G734" s="42" t="s">
        <v>28000</v>
      </c>
      <c r="H734" s="2" t="s">
        <v>50</v>
      </c>
      <c r="I734" s="2" t="s">
        <v>7174</v>
      </c>
      <c r="J734" s="2" t="s">
        <v>7167</v>
      </c>
      <c r="K734" s="2" t="s">
        <v>7169</v>
      </c>
      <c r="L734" s="2" t="s">
        <v>7171</v>
      </c>
      <c r="M734" s="2" t="s">
        <v>7171</v>
      </c>
      <c r="N734" s="2" t="s">
        <v>216</v>
      </c>
      <c r="O734" s="2" t="s">
        <v>217</v>
      </c>
      <c r="P734" s="2" t="s">
        <v>7172</v>
      </c>
      <c r="Q734" s="2" t="s">
        <v>7169</v>
      </c>
      <c r="R734" s="2"/>
      <c r="S734" s="2"/>
      <c r="T734" s="2"/>
      <c r="U734" s="2" t="s">
        <v>216</v>
      </c>
      <c r="V734" s="2" t="s">
        <v>217</v>
      </c>
      <c r="W734" s="2" t="s">
        <v>7172</v>
      </c>
      <c r="X734" s="2" t="s">
        <v>7173</v>
      </c>
      <c r="Y734" s="2" t="s">
        <v>44</v>
      </c>
      <c r="Z734" s="2"/>
      <c r="AA734" s="2" t="s">
        <v>3527</v>
      </c>
      <c r="AB734" s="2" t="s">
        <v>46</v>
      </c>
      <c r="AC734" s="2" t="s">
        <v>3527</v>
      </c>
      <c r="AE734" s="2" t="s">
        <v>48</v>
      </c>
      <c r="AF734" s="2" t="s">
        <v>49</v>
      </c>
      <c r="AG734" s="2">
        <v>100</v>
      </c>
      <c r="AH734" s="2">
        <v>80</v>
      </c>
      <c r="AJ734" s="2" t="s">
        <v>7175</v>
      </c>
      <c r="AK734" s="2"/>
      <c r="AL734" s="2"/>
      <c r="AM734" s="2" t="s">
        <v>52</v>
      </c>
    </row>
    <row r="735" spans="1:39" x14ac:dyDescent="0.45">
      <c r="A735" s="2" t="s">
        <v>7176</v>
      </c>
      <c r="B735" s="2"/>
      <c r="C735" s="2" t="s">
        <v>7178</v>
      </c>
      <c r="D735" s="2" t="s">
        <v>7180</v>
      </c>
      <c r="E735" s="25"/>
      <c r="F735" s="21"/>
      <c r="G735" s="42" t="s">
        <v>28000</v>
      </c>
      <c r="H735" s="2" t="s">
        <v>50</v>
      </c>
      <c r="I735" s="2" t="s">
        <v>7182</v>
      </c>
      <c r="J735" s="2" t="s">
        <v>7177</v>
      </c>
      <c r="K735" s="2" t="s">
        <v>7179</v>
      </c>
      <c r="L735" s="2" t="s">
        <v>7181</v>
      </c>
      <c r="M735" s="2" t="s">
        <v>7181</v>
      </c>
      <c r="N735" s="2" t="s">
        <v>72</v>
      </c>
      <c r="O735" s="2" t="s">
        <v>73</v>
      </c>
      <c r="P735" s="2" t="s">
        <v>607</v>
      </c>
      <c r="Q735" s="2" t="s">
        <v>7179</v>
      </c>
      <c r="R735" s="2"/>
      <c r="S735" s="2"/>
      <c r="T735" s="2"/>
      <c r="U735" s="2" t="s">
        <v>72</v>
      </c>
      <c r="V735" s="2" t="s">
        <v>73</v>
      </c>
      <c r="W735" s="2" t="s">
        <v>607</v>
      </c>
      <c r="X735" s="2" t="s">
        <v>6090</v>
      </c>
      <c r="Y735" s="2" t="s">
        <v>44</v>
      </c>
      <c r="Z735" s="2"/>
      <c r="AA735" s="2" t="s">
        <v>3527</v>
      </c>
      <c r="AB735" s="2" t="s">
        <v>46</v>
      </c>
      <c r="AC735" s="2" t="s">
        <v>3527</v>
      </c>
      <c r="AE735" s="2" t="s">
        <v>48</v>
      </c>
      <c r="AF735" s="2" t="s">
        <v>49</v>
      </c>
      <c r="AG735" s="2">
        <v>100</v>
      </c>
      <c r="AH735" s="2">
        <v>80</v>
      </c>
      <c r="AJ735" s="2" t="s">
        <v>7183</v>
      </c>
      <c r="AK735" s="2"/>
      <c r="AL735" s="2"/>
      <c r="AM735" s="2" t="s">
        <v>52</v>
      </c>
    </row>
    <row r="736" spans="1:39" x14ac:dyDescent="0.45">
      <c r="A736" s="2" t="s">
        <v>7184</v>
      </c>
      <c r="B736" s="2"/>
      <c r="C736" s="2" t="s">
        <v>7186</v>
      </c>
      <c r="D736" s="2" t="s">
        <v>7188</v>
      </c>
      <c r="E736" s="25"/>
      <c r="F736" s="21"/>
      <c r="G736" s="42" t="s">
        <v>28000</v>
      </c>
      <c r="H736" s="2" t="s">
        <v>50</v>
      </c>
      <c r="I736" s="2" t="s">
        <v>7191</v>
      </c>
      <c r="J736" s="2" t="s">
        <v>7185</v>
      </c>
      <c r="K736" s="2" t="s">
        <v>7187</v>
      </c>
      <c r="L736" s="2" t="s">
        <v>7189</v>
      </c>
      <c r="M736" s="2" t="s">
        <v>7189</v>
      </c>
      <c r="N736" s="2" t="s">
        <v>174</v>
      </c>
      <c r="O736" s="2" t="s">
        <v>175</v>
      </c>
      <c r="P736" s="2" t="s">
        <v>176</v>
      </c>
      <c r="Q736" s="2" t="s">
        <v>7187</v>
      </c>
      <c r="R736" s="2"/>
      <c r="S736" s="2"/>
      <c r="T736" s="2"/>
      <c r="U736" s="2" t="s">
        <v>174</v>
      </c>
      <c r="V736" s="2" t="s">
        <v>175</v>
      </c>
      <c r="W736" s="2" t="s">
        <v>176</v>
      </c>
      <c r="X736" s="2" t="s">
        <v>7190</v>
      </c>
      <c r="Y736" s="2" t="s">
        <v>44</v>
      </c>
      <c r="Z736" s="2"/>
      <c r="AA736" s="2" t="s">
        <v>3527</v>
      </c>
      <c r="AB736" s="2" t="s">
        <v>46</v>
      </c>
      <c r="AC736" s="2" t="s">
        <v>3527</v>
      </c>
      <c r="AE736" s="2" t="s">
        <v>48</v>
      </c>
      <c r="AF736" s="2" t="s">
        <v>49</v>
      </c>
      <c r="AG736" s="2">
        <v>100</v>
      </c>
      <c r="AH736" s="2">
        <v>80</v>
      </c>
      <c r="AJ736" s="2" t="s">
        <v>7192</v>
      </c>
      <c r="AK736" s="2"/>
      <c r="AL736" s="2"/>
      <c r="AM736" s="2" t="s">
        <v>52</v>
      </c>
    </row>
    <row r="737" spans="1:39" x14ac:dyDescent="0.45">
      <c r="A737" s="2" t="s">
        <v>7193</v>
      </c>
      <c r="B737" s="2"/>
      <c r="C737" s="2" t="s">
        <v>7195</v>
      </c>
      <c r="D737" s="2" t="s">
        <v>7197</v>
      </c>
      <c r="E737" s="25"/>
      <c r="F737" s="21"/>
      <c r="G737" s="42" t="s">
        <v>28000</v>
      </c>
      <c r="H737" s="2" t="s">
        <v>50</v>
      </c>
      <c r="I737" s="2" t="s">
        <v>7200</v>
      </c>
      <c r="J737" s="2" t="s">
        <v>7194</v>
      </c>
      <c r="K737" s="2" t="s">
        <v>7196</v>
      </c>
      <c r="L737" s="2" t="s">
        <v>7198</v>
      </c>
      <c r="M737" s="2" t="s">
        <v>7198</v>
      </c>
      <c r="N737" s="2" t="s">
        <v>59</v>
      </c>
      <c r="O737" s="2" t="s">
        <v>60</v>
      </c>
      <c r="P737" s="2" t="s">
        <v>266</v>
      </c>
      <c r="Q737" s="2" t="s">
        <v>7196</v>
      </c>
      <c r="R737" s="2"/>
      <c r="S737" s="2"/>
      <c r="T737" s="2"/>
      <c r="U737" s="2" t="s">
        <v>59</v>
      </c>
      <c r="V737" s="2" t="s">
        <v>60</v>
      </c>
      <c r="W737" s="2" t="s">
        <v>266</v>
      </c>
      <c r="X737" s="2" t="s">
        <v>7199</v>
      </c>
      <c r="Y737" s="2" t="s">
        <v>44</v>
      </c>
      <c r="Z737" s="2"/>
      <c r="AA737" s="2" t="s">
        <v>3527</v>
      </c>
      <c r="AB737" s="2" t="s">
        <v>46</v>
      </c>
      <c r="AC737" s="2" t="s">
        <v>3527</v>
      </c>
      <c r="AE737" s="2" t="s">
        <v>48</v>
      </c>
      <c r="AF737" s="2" t="s">
        <v>49</v>
      </c>
      <c r="AG737" s="2">
        <v>100</v>
      </c>
      <c r="AH737" s="2">
        <v>80</v>
      </c>
      <c r="AJ737" s="2" t="s">
        <v>7201</v>
      </c>
      <c r="AK737" s="2"/>
      <c r="AL737" s="2"/>
      <c r="AM737" s="2" t="s">
        <v>52</v>
      </c>
    </row>
    <row r="738" spans="1:39" x14ac:dyDescent="0.45">
      <c r="A738" s="2" t="s">
        <v>7202</v>
      </c>
      <c r="B738" s="2"/>
      <c r="C738" s="2" t="s">
        <v>7204</v>
      </c>
      <c r="D738" s="2" t="s">
        <v>7206</v>
      </c>
      <c r="E738" s="25"/>
      <c r="F738" s="21"/>
      <c r="G738" s="42" t="s">
        <v>28000</v>
      </c>
      <c r="H738" s="2" t="s">
        <v>50</v>
      </c>
      <c r="I738" s="2" t="s">
        <v>7208</v>
      </c>
      <c r="J738" s="2" t="s">
        <v>7203</v>
      </c>
      <c r="K738" s="2" t="s">
        <v>7205</v>
      </c>
      <c r="L738" s="2" t="s">
        <v>7207</v>
      </c>
      <c r="M738" s="2" t="s">
        <v>7207</v>
      </c>
      <c r="N738" s="2" t="s">
        <v>72</v>
      </c>
      <c r="O738" s="2" t="s">
        <v>73</v>
      </c>
      <c r="P738" s="2" t="s">
        <v>1599</v>
      </c>
      <c r="Q738" s="2" t="s">
        <v>7205</v>
      </c>
      <c r="R738" s="2"/>
      <c r="S738" s="2"/>
      <c r="T738" s="2"/>
      <c r="U738" s="2" t="s">
        <v>72</v>
      </c>
      <c r="V738" s="2" t="s">
        <v>73</v>
      </c>
      <c r="W738" s="2" t="s">
        <v>1599</v>
      </c>
      <c r="X738" s="2" t="s">
        <v>3028</v>
      </c>
      <c r="Y738" s="2" t="s">
        <v>44</v>
      </c>
      <c r="Z738" s="2"/>
      <c r="AA738" s="2" t="s">
        <v>3527</v>
      </c>
      <c r="AB738" s="2" t="s">
        <v>46</v>
      </c>
      <c r="AC738" s="2" t="s">
        <v>3527</v>
      </c>
      <c r="AE738" s="2" t="s">
        <v>48</v>
      </c>
      <c r="AF738" s="2" t="s">
        <v>49</v>
      </c>
      <c r="AG738" s="2">
        <v>100</v>
      </c>
      <c r="AH738" s="2">
        <v>80</v>
      </c>
      <c r="AJ738" s="2" t="s">
        <v>7209</v>
      </c>
      <c r="AK738" s="2"/>
      <c r="AL738" s="2"/>
      <c r="AM738" s="2" t="s">
        <v>52</v>
      </c>
    </row>
    <row r="739" spans="1:39" x14ac:dyDescent="0.45">
      <c r="A739" s="2" t="s">
        <v>7210</v>
      </c>
      <c r="B739" s="2"/>
      <c r="C739" s="2" t="s">
        <v>7212</v>
      </c>
      <c r="D739" s="2" t="s">
        <v>7214</v>
      </c>
      <c r="E739" s="25"/>
      <c r="F739" s="21"/>
      <c r="G739" s="42" t="s">
        <v>28000</v>
      </c>
      <c r="H739" s="2" t="s">
        <v>50</v>
      </c>
      <c r="I739" s="2" t="s">
        <v>7216</v>
      </c>
      <c r="J739" s="2" t="s">
        <v>7211</v>
      </c>
      <c r="K739" s="2" t="s">
        <v>7213</v>
      </c>
      <c r="L739" s="2" t="s">
        <v>7215</v>
      </c>
      <c r="M739" s="2" t="s">
        <v>7215</v>
      </c>
      <c r="N739" s="2" t="s">
        <v>72</v>
      </c>
      <c r="O739" s="2" t="s">
        <v>73</v>
      </c>
      <c r="P739" s="2" t="s">
        <v>1164</v>
      </c>
      <c r="Q739" s="2" t="s">
        <v>7213</v>
      </c>
      <c r="R739" s="2"/>
      <c r="S739" s="2"/>
      <c r="T739" s="2"/>
      <c r="U739" s="2" t="s">
        <v>72</v>
      </c>
      <c r="V739" s="2" t="s">
        <v>73</v>
      </c>
      <c r="W739" s="2" t="s">
        <v>1164</v>
      </c>
      <c r="X739" s="2" t="s">
        <v>3037</v>
      </c>
      <c r="Y739" s="2" t="s">
        <v>44</v>
      </c>
      <c r="Z739" s="2"/>
      <c r="AA739" s="2" t="s">
        <v>3527</v>
      </c>
      <c r="AB739" s="2" t="s">
        <v>46</v>
      </c>
      <c r="AC739" s="2" t="s">
        <v>3527</v>
      </c>
      <c r="AE739" s="2" t="s">
        <v>48</v>
      </c>
      <c r="AF739" s="2" t="s">
        <v>49</v>
      </c>
      <c r="AG739" s="2">
        <v>100</v>
      </c>
      <c r="AH739" s="2">
        <v>80</v>
      </c>
      <c r="AJ739" s="2" t="s">
        <v>7217</v>
      </c>
      <c r="AK739" s="2"/>
      <c r="AL739" s="2"/>
      <c r="AM739" s="2" t="s">
        <v>52</v>
      </c>
    </row>
    <row r="740" spans="1:39" x14ac:dyDescent="0.45">
      <c r="A740" s="2" t="s">
        <v>5227</v>
      </c>
      <c r="B740" s="2"/>
      <c r="C740" s="2" t="s">
        <v>7219</v>
      </c>
      <c r="D740" s="2" t="s">
        <v>7221</v>
      </c>
      <c r="E740" s="25"/>
      <c r="F740" s="21"/>
      <c r="G740" s="42" t="s">
        <v>28000</v>
      </c>
      <c r="H740" s="2" t="s">
        <v>50</v>
      </c>
      <c r="I740" s="2" t="s">
        <v>7224</v>
      </c>
      <c r="J740" s="2" t="s">
        <v>7218</v>
      </c>
      <c r="K740" s="2" t="s">
        <v>7220</v>
      </c>
      <c r="L740" s="2" t="s">
        <v>7222</v>
      </c>
      <c r="M740" s="2" t="s">
        <v>7222</v>
      </c>
      <c r="N740" s="2" t="s">
        <v>290</v>
      </c>
      <c r="O740" s="2" t="s">
        <v>278</v>
      </c>
      <c r="P740" s="2" t="s">
        <v>291</v>
      </c>
      <c r="Q740" s="2" t="s">
        <v>7220</v>
      </c>
      <c r="R740" s="2"/>
      <c r="S740" s="2"/>
      <c r="T740" s="2"/>
      <c r="U740" s="2" t="s">
        <v>290</v>
      </c>
      <c r="V740" s="2" t="s">
        <v>278</v>
      </c>
      <c r="W740" s="2" t="s">
        <v>291</v>
      </c>
      <c r="X740" s="2" t="s">
        <v>7223</v>
      </c>
      <c r="Y740" s="2" t="s">
        <v>44</v>
      </c>
      <c r="Z740" s="2"/>
      <c r="AA740" s="2" t="s">
        <v>3527</v>
      </c>
      <c r="AB740" s="2" t="s">
        <v>199</v>
      </c>
      <c r="AC740" s="2" t="s">
        <v>3527</v>
      </c>
      <c r="AE740" s="2" t="s">
        <v>48</v>
      </c>
      <c r="AF740" s="2" t="s">
        <v>49</v>
      </c>
      <c r="AG740" s="2">
        <v>100</v>
      </c>
      <c r="AH740" s="2">
        <v>80</v>
      </c>
      <c r="AJ740" s="2" t="s">
        <v>7225</v>
      </c>
      <c r="AK740" s="2"/>
      <c r="AL740" s="2"/>
      <c r="AM740" s="2" t="s">
        <v>52</v>
      </c>
    </row>
    <row r="741" spans="1:39" x14ac:dyDescent="0.45">
      <c r="A741" s="2" t="s">
        <v>7226</v>
      </c>
      <c r="B741" s="2"/>
      <c r="C741" s="2" t="s">
        <v>7228</v>
      </c>
      <c r="D741" s="2" t="s">
        <v>7230</v>
      </c>
      <c r="E741" s="25"/>
      <c r="F741" s="21"/>
      <c r="G741" s="42" t="s">
        <v>28000</v>
      </c>
      <c r="H741" s="2" t="s">
        <v>50</v>
      </c>
      <c r="I741" s="2" t="s">
        <v>7233</v>
      </c>
      <c r="J741" s="2" t="s">
        <v>7227</v>
      </c>
      <c r="K741" s="2" t="s">
        <v>7229</v>
      </c>
      <c r="L741" s="2" t="s">
        <v>7231</v>
      </c>
      <c r="M741" s="2" t="s">
        <v>7231</v>
      </c>
      <c r="N741" s="2" t="s">
        <v>72</v>
      </c>
      <c r="O741" s="2" t="s">
        <v>73</v>
      </c>
      <c r="P741" s="2" t="s">
        <v>1682</v>
      </c>
      <c r="Q741" s="2" t="s">
        <v>7232</v>
      </c>
      <c r="R741" s="2"/>
      <c r="S741" s="2"/>
      <c r="T741" s="2"/>
      <c r="U741" s="2" t="s">
        <v>72</v>
      </c>
      <c r="V741" s="2" t="s">
        <v>73</v>
      </c>
      <c r="W741" s="2" t="s">
        <v>1682</v>
      </c>
      <c r="X741" s="2" t="s">
        <v>3046</v>
      </c>
      <c r="Y741" s="2" t="s">
        <v>44</v>
      </c>
      <c r="Z741" s="2"/>
      <c r="AA741" s="2" t="s">
        <v>3527</v>
      </c>
      <c r="AB741" s="2" t="s">
        <v>46</v>
      </c>
      <c r="AC741" s="2" t="s">
        <v>3527</v>
      </c>
      <c r="AE741" s="2" t="s">
        <v>48</v>
      </c>
      <c r="AF741" s="2" t="s">
        <v>49</v>
      </c>
      <c r="AG741" s="2">
        <v>100</v>
      </c>
      <c r="AH741" s="2">
        <v>80</v>
      </c>
      <c r="AJ741" s="2" t="s">
        <v>7234</v>
      </c>
      <c r="AK741" s="2"/>
      <c r="AL741" s="2"/>
      <c r="AM741" s="2" t="s">
        <v>52</v>
      </c>
    </row>
    <row r="742" spans="1:39" x14ac:dyDescent="0.45">
      <c r="A742" s="2" t="s">
        <v>7235</v>
      </c>
      <c r="B742" s="2"/>
      <c r="C742" s="2" t="s">
        <v>7237</v>
      </c>
      <c r="D742" s="2" t="s">
        <v>7239</v>
      </c>
      <c r="E742" s="25"/>
      <c r="F742" s="21"/>
      <c r="G742" s="42" t="s">
        <v>28000</v>
      </c>
      <c r="H742" s="2" t="s">
        <v>50</v>
      </c>
      <c r="I742" s="2" t="s">
        <v>7242</v>
      </c>
      <c r="J742" s="2" t="s">
        <v>7236</v>
      </c>
      <c r="K742" s="2" t="s">
        <v>7238</v>
      </c>
      <c r="L742" s="2" t="s">
        <v>7240</v>
      </c>
      <c r="M742" s="2" t="s">
        <v>7240</v>
      </c>
      <c r="N742" s="2" t="s">
        <v>59</v>
      </c>
      <c r="O742" s="2" t="s">
        <v>60</v>
      </c>
      <c r="P742" s="2" t="s">
        <v>266</v>
      </c>
      <c r="Q742" s="2" t="s">
        <v>7241</v>
      </c>
      <c r="R742" s="2"/>
      <c r="S742" s="2"/>
      <c r="T742" s="2"/>
      <c r="U742" s="2" t="s">
        <v>59</v>
      </c>
      <c r="V742" s="2" t="s">
        <v>60</v>
      </c>
      <c r="W742" s="2" t="s">
        <v>266</v>
      </c>
      <c r="X742" s="2" t="s">
        <v>5133</v>
      </c>
      <c r="Y742" s="2" t="s">
        <v>44</v>
      </c>
      <c r="Z742" s="2"/>
      <c r="AA742" s="2" t="s">
        <v>3527</v>
      </c>
      <c r="AB742" s="2" t="s">
        <v>46</v>
      </c>
      <c r="AC742" s="2" t="s">
        <v>3527</v>
      </c>
      <c r="AE742" s="2" t="s">
        <v>48</v>
      </c>
      <c r="AF742" s="2" t="s">
        <v>49</v>
      </c>
      <c r="AG742" s="2">
        <v>100</v>
      </c>
      <c r="AH742" s="2">
        <v>80</v>
      </c>
      <c r="AJ742" s="2" t="s">
        <v>7243</v>
      </c>
      <c r="AK742" s="2"/>
      <c r="AL742" s="2"/>
      <c r="AM742" s="2" t="s">
        <v>52</v>
      </c>
    </row>
    <row r="743" spans="1:39" x14ac:dyDescent="0.45">
      <c r="A743" s="2" t="s">
        <v>7244</v>
      </c>
      <c r="B743" s="2"/>
      <c r="C743" s="2" t="s">
        <v>7246</v>
      </c>
      <c r="D743" s="2" t="s">
        <v>7248</v>
      </c>
      <c r="E743" s="25"/>
      <c r="F743" s="21"/>
      <c r="G743" s="42" t="s">
        <v>28000</v>
      </c>
      <c r="H743" s="2" t="s">
        <v>50</v>
      </c>
      <c r="I743" s="2" t="s">
        <v>7251</v>
      </c>
      <c r="J743" s="2" t="s">
        <v>7245</v>
      </c>
      <c r="K743" s="2" t="s">
        <v>7247</v>
      </c>
      <c r="L743" s="2" t="s">
        <v>7249</v>
      </c>
      <c r="M743" s="2" t="s">
        <v>7249</v>
      </c>
      <c r="N743" s="2" t="s">
        <v>39</v>
      </c>
      <c r="O743" s="2" t="s">
        <v>40</v>
      </c>
      <c r="P743" s="2" t="s">
        <v>1877</v>
      </c>
      <c r="Q743" s="2" t="s">
        <v>7247</v>
      </c>
      <c r="R743" s="2"/>
      <c r="S743" s="2"/>
      <c r="T743" s="2"/>
      <c r="U743" s="2" t="s">
        <v>39</v>
      </c>
      <c r="V743" s="2" t="s">
        <v>40</v>
      </c>
      <c r="W743" s="2" t="s">
        <v>1877</v>
      </c>
      <c r="X743" s="2" t="s">
        <v>7250</v>
      </c>
      <c r="Y743" s="2" t="s">
        <v>44</v>
      </c>
      <c r="Z743" s="2"/>
      <c r="AA743" s="2" t="s">
        <v>3527</v>
      </c>
      <c r="AB743" s="2" t="s">
        <v>46</v>
      </c>
      <c r="AC743" s="2" t="s">
        <v>3527</v>
      </c>
      <c r="AE743" s="2" t="s">
        <v>48</v>
      </c>
      <c r="AF743" s="2" t="s">
        <v>49</v>
      </c>
      <c r="AG743" s="2">
        <v>100</v>
      </c>
      <c r="AH743" s="2">
        <v>80</v>
      </c>
      <c r="AJ743" s="2" t="s">
        <v>7252</v>
      </c>
      <c r="AK743" s="2"/>
      <c r="AL743" s="2"/>
      <c r="AM743" s="2" t="s">
        <v>52</v>
      </c>
    </row>
    <row r="744" spans="1:39" x14ac:dyDescent="0.45">
      <c r="A744" s="2" t="s">
        <v>7253</v>
      </c>
      <c r="B744" s="2"/>
      <c r="C744" s="2" t="s">
        <v>7255</v>
      </c>
      <c r="D744" s="2" t="s">
        <v>7257</v>
      </c>
      <c r="E744" s="25"/>
      <c r="F744" s="21"/>
      <c r="G744" s="42" t="s">
        <v>28000</v>
      </c>
      <c r="H744" s="2" t="s">
        <v>50</v>
      </c>
      <c r="I744" s="2" t="s">
        <v>7260</v>
      </c>
      <c r="J744" s="2" t="s">
        <v>7254</v>
      </c>
      <c r="K744" s="2" t="s">
        <v>7256</v>
      </c>
      <c r="L744" s="2" t="s">
        <v>7258</v>
      </c>
      <c r="M744" s="2" t="s">
        <v>7258</v>
      </c>
      <c r="N744" s="2" t="s">
        <v>72</v>
      </c>
      <c r="O744" s="2" t="s">
        <v>73</v>
      </c>
      <c r="P744" s="2" t="s">
        <v>607</v>
      </c>
      <c r="Q744" s="2" t="s">
        <v>7256</v>
      </c>
      <c r="R744" s="2"/>
      <c r="S744" s="2"/>
      <c r="T744" s="2"/>
      <c r="U744" s="2" t="s">
        <v>72</v>
      </c>
      <c r="V744" s="2" t="s">
        <v>73</v>
      </c>
      <c r="W744" s="2" t="s">
        <v>607</v>
      </c>
      <c r="X744" s="2" t="s">
        <v>7259</v>
      </c>
      <c r="Y744" s="2" t="s">
        <v>44</v>
      </c>
      <c r="Z744" s="2"/>
      <c r="AA744" s="2" t="s">
        <v>3527</v>
      </c>
      <c r="AB744" s="2" t="s">
        <v>199</v>
      </c>
      <c r="AC744" s="2" t="s">
        <v>3527</v>
      </c>
      <c r="AE744" s="2" t="s">
        <v>48</v>
      </c>
      <c r="AF744" s="2" t="s">
        <v>49</v>
      </c>
      <c r="AG744" s="2">
        <v>100</v>
      </c>
      <c r="AH744" s="2">
        <v>80</v>
      </c>
      <c r="AJ744" s="2" t="s">
        <v>7261</v>
      </c>
      <c r="AK744" s="2"/>
      <c r="AL744" s="2"/>
      <c r="AM744" s="2" t="s">
        <v>52</v>
      </c>
    </row>
    <row r="745" spans="1:39" x14ac:dyDescent="0.45">
      <c r="A745" s="2" t="s">
        <v>7262</v>
      </c>
      <c r="B745" s="2"/>
      <c r="C745" s="2" t="s">
        <v>7264</v>
      </c>
      <c r="D745" s="2" t="s">
        <v>7266</v>
      </c>
      <c r="E745" s="25"/>
      <c r="F745" s="21"/>
      <c r="G745" s="42" t="s">
        <v>28000</v>
      </c>
      <c r="H745" s="2" t="s">
        <v>50</v>
      </c>
      <c r="I745" s="2" t="s">
        <v>7270</v>
      </c>
      <c r="J745" s="2" t="s">
        <v>7263</v>
      </c>
      <c r="K745" s="2" t="s">
        <v>7265</v>
      </c>
      <c r="L745" s="2" t="s">
        <v>7267</v>
      </c>
      <c r="M745" s="2" t="s">
        <v>7267</v>
      </c>
      <c r="N745" s="2" t="s">
        <v>324</v>
      </c>
      <c r="O745" s="2" t="s">
        <v>73</v>
      </c>
      <c r="P745" s="2" t="s">
        <v>4463</v>
      </c>
      <c r="Q745" s="2" t="s">
        <v>7268</v>
      </c>
      <c r="R745" s="2"/>
      <c r="S745" s="2"/>
      <c r="T745" s="2"/>
      <c r="U745" s="2" t="s">
        <v>72</v>
      </c>
      <c r="V745" s="2" t="s">
        <v>73</v>
      </c>
      <c r="W745" s="2" t="s">
        <v>74</v>
      </c>
      <c r="X745" s="2" t="s">
        <v>7269</v>
      </c>
      <c r="Y745" s="2" t="s">
        <v>44</v>
      </c>
      <c r="Z745" s="2"/>
      <c r="AA745" s="2" t="s">
        <v>3527</v>
      </c>
      <c r="AB745" s="2" t="s">
        <v>46</v>
      </c>
      <c r="AC745" s="2" t="s">
        <v>3527</v>
      </c>
      <c r="AE745" s="2" t="s">
        <v>48</v>
      </c>
      <c r="AF745" s="2" t="s">
        <v>49</v>
      </c>
      <c r="AG745" s="2">
        <v>100</v>
      </c>
      <c r="AH745" s="2">
        <v>80</v>
      </c>
      <c r="AJ745" s="2" t="s">
        <v>7271</v>
      </c>
      <c r="AK745" s="2"/>
      <c r="AL745" s="2"/>
      <c r="AM745" s="2" t="s">
        <v>52</v>
      </c>
    </row>
    <row r="746" spans="1:39" x14ac:dyDescent="0.45">
      <c r="A746" s="2" t="s">
        <v>7272</v>
      </c>
      <c r="B746" s="2"/>
      <c r="C746" s="2" t="s">
        <v>7274</v>
      </c>
      <c r="D746" s="2" t="s">
        <v>7276</v>
      </c>
      <c r="E746" s="25"/>
      <c r="F746" s="21"/>
      <c r="G746" s="42" t="s">
        <v>28000</v>
      </c>
      <c r="H746" s="2" t="s">
        <v>50</v>
      </c>
      <c r="I746" s="2" t="s">
        <v>7280</v>
      </c>
      <c r="J746" s="2" t="s">
        <v>7273</v>
      </c>
      <c r="K746" s="2" t="s">
        <v>7275</v>
      </c>
      <c r="L746" s="2" t="s">
        <v>7277</v>
      </c>
      <c r="M746" s="2" t="s">
        <v>7277</v>
      </c>
      <c r="N746" s="2" t="s">
        <v>39</v>
      </c>
      <c r="O746" s="2" t="s">
        <v>40</v>
      </c>
      <c r="P746" s="2" t="s">
        <v>7278</v>
      </c>
      <c r="Q746" s="2" t="s">
        <v>7279</v>
      </c>
      <c r="R746" s="2"/>
      <c r="S746" s="2"/>
      <c r="T746" s="2"/>
      <c r="U746" s="2" t="s">
        <v>39</v>
      </c>
      <c r="V746" s="2" t="s">
        <v>40</v>
      </c>
      <c r="W746" s="2" t="s">
        <v>7278</v>
      </c>
      <c r="X746" s="2" t="s">
        <v>5142</v>
      </c>
      <c r="Y746" s="2" t="s">
        <v>44</v>
      </c>
      <c r="Z746" s="2"/>
      <c r="AA746" s="2" t="s">
        <v>3527</v>
      </c>
      <c r="AB746" s="2" t="s">
        <v>46</v>
      </c>
      <c r="AC746" s="2" t="s">
        <v>3527</v>
      </c>
      <c r="AE746" s="2" t="s">
        <v>48</v>
      </c>
      <c r="AF746" s="2" t="s">
        <v>49</v>
      </c>
      <c r="AG746" s="2">
        <v>100</v>
      </c>
      <c r="AH746" s="2">
        <v>80</v>
      </c>
      <c r="AJ746" s="2" t="s">
        <v>7281</v>
      </c>
      <c r="AK746" s="2"/>
      <c r="AL746" s="2"/>
      <c r="AM746" s="2" t="s">
        <v>52</v>
      </c>
    </row>
    <row r="747" spans="1:39" x14ac:dyDescent="0.45">
      <c r="A747" s="2" t="s">
        <v>7282</v>
      </c>
      <c r="B747" s="2"/>
      <c r="C747" s="2" t="s">
        <v>7284</v>
      </c>
      <c r="D747" s="2" t="s">
        <v>7286</v>
      </c>
      <c r="E747" s="25"/>
      <c r="F747" s="21"/>
      <c r="G747" s="42" t="s">
        <v>28000</v>
      </c>
      <c r="H747" s="2" t="s">
        <v>50</v>
      </c>
      <c r="I747" s="2" t="s">
        <v>7289</v>
      </c>
      <c r="J747" s="2" t="s">
        <v>7283</v>
      </c>
      <c r="K747" s="2" t="s">
        <v>7285</v>
      </c>
      <c r="L747" s="2" t="s">
        <v>7287</v>
      </c>
      <c r="M747" s="2" t="s">
        <v>7287</v>
      </c>
      <c r="N747" s="2" t="s">
        <v>1023</v>
      </c>
      <c r="O747" s="2" t="s">
        <v>73</v>
      </c>
      <c r="P747" s="2" t="s">
        <v>7288</v>
      </c>
      <c r="Q747" s="2" t="s">
        <v>7285</v>
      </c>
      <c r="R747" s="2"/>
      <c r="S747" s="2"/>
      <c r="T747" s="2"/>
      <c r="U747" s="2" t="s">
        <v>1023</v>
      </c>
      <c r="V747" s="2" t="s">
        <v>73</v>
      </c>
      <c r="W747" s="2" t="s">
        <v>7288</v>
      </c>
      <c r="X747" s="2" t="s">
        <v>5142</v>
      </c>
      <c r="Y747" s="2" t="s">
        <v>44</v>
      </c>
      <c r="Z747" s="2"/>
      <c r="AA747" s="2" t="s">
        <v>3527</v>
      </c>
      <c r="AB747" s="2" t="s">
        <v>46</v>
      </c>
      <c r="AC747" s="2" t="s">
        <v>3527</v>
      </c>
      <c r="AE747" s="2" t="s">
        <v>48</v>
      </c>
      <c r="AF747" s="2" t="s">
        <v>49</v>
      </c>
      <c r="AG747" s="2">
        <v>100</v>
      </c>
      <c r="AH747" s="2">
        <v>80</v>
      </c>
      <c r="AJ747" s="2" t="s">
        <v>7290</v>
      </c>
      <c r="AK747" s="2"/>
      <c r="AL747" s="2"/>
      <c r="AM747" s="2" t="s">
        <v>52</v>
      </c>
    </row>
    <row r="748" spans="1:39" x14ac:dyDescent="0.45">
      <c r="A748" s="2" t="s">
        <v>7291</v>
      </c>
      <c r="B748" s="2"/>
      <c r="C748" s="2" t="s">
        <v>7293</v>
      </c>
      <c r="D748" s="2" t="s">
        <v>7295</v>
      </c>
      <c r="E748" s="25"/>
      <c r="F748" s="21"/>
      <c r="G748" s="42" t="s">
        <v>28000</v>
      </c>
      <c r="H748" s="2" t="s">
        <v>50</v>
      </c>
      <c r="I748" s="2" t="s">
        <v>7298</v>
      </c>
      <c r="J748" s="2" t="s">
        <v>7292</v>
      </c>
      <c r="K748" s="2" t="s">
        <v>7294</v>
      </c>
      <c r="L748" s="2" t="s">
        <v>7296</v>
      </c>
      <c r="M748" s="2" t="s">
        <v>7296</v>
      </c>
      <c r="N748" s="2" t="s">
        <v>85</v>
      </c>
      <c r="O748" s="2" t="s">
        <v>86</v>
      </c>
      <c r="P748" s="2" t="s">
        <v>7297</v>
      </c>
      <c r="Q748" s="2" t="s">
        <v>7294</v>
      </c>
      <c r="R748" s="2"/>
      <c r="S748" s="2"/>
      <c r="T748" s="2"/>
      <c r="U748" s="2" t="s">
        <v>85</v>
      </c>
      <c r="V748" s="2" t="s">
        <v>86</v>
      </c>
      <c r="W748" s="2" t="s">
        <v>7297</v>
      </c>
      <c r="X748" s="2" t="s">
        <v>3866</v>
      </c>
      <c r="Y748" s="2" t="s">
        <v>44</v>
      </c>
      <c r="Z748" s="2"/>
      <c r="AA748" s="2" t="s">
        <v>3527</v>
      </c>
      <c r="AB748" s="2" t="s">
        <v>46</v>
      </c>
      <c r="AC748" s="2" t="s">
        <v>3527</v>
      </c>
      <c r="AE748" s="2" t="s">
        <v>48</v>
      </c>
      <c r="AF748" s="2" t="s">
        <v>49</v>
      </c>
      <c r="AG748" s="2">
        <v>100</v>
      </c>
      <c r="AH748" s="2">
        <v>80</v>
      </c>
      <c r="AJ748" s="2" t="s">
        <v>7299</v>
      </c>
      <c r="AK748" s="2"/>
      <c r="AL748" s="2"/>
      <c r="AM748" s="2" t="s">
        <v>52</v>
      </c>
    </row>
    <row r="749" spans="1:39" x14ac:dyDescent="0.45">
      <c r="A749" s="2" t="s">
        <v>7300</v>
      </c>
      <c r="B749" s="2"/>
      <c r="C749" s="2" t="s">
        <v>7302</v>
      </c>
      <c r="D749" s="2" t="s">
        <v>7304</v>
      </c>
      <c r="E749" s="25"/>
      <c r="F749" s="21"/>
      <c r="G749" s="42" t="s">
        <v>28000</v>
      </c>
      <c r="H749" s="2" t="s">
        <v>50</v>
      </c>
      <c r="I749" s="2" t="s">
        <v>7306</v>
      </c>
      <c r="J749" s="2" t="s">
        <v>7301</v>
      </c>
      <c r="K749" s="2" t="s">
        <v>7303</v>
      </c>
      <c r="L749" s="2" t="s">
        <v>7305</v>
      </c>
      <c r="M749" s="2" t="s">
        <v>7305</v>
      </c>
      <c r="N749" s="2" t="s">
        <v>536</v>
      </c>
      <c r="O749" s="2" t="s">
        <v>537</v>
      </c>
      <c r="P749" s="2" t="s">
        <v>538</v>
      </c>
      <c r="Q749" s="2" t="s">
        <v>7303</v>
      </c>
      <c r="R749" s="2"/>
      <c r="S749" s="2"/>
      <c r="T749" s="2"/>
      <c r="U749" s="2" t="s">
        <v>536</v>
      </c>
      <c r="V749" s="2" t="s">
        <v>537</v>
      </c>
      <c r="W749" s="2" t="s">
        <v>538</v>
      </c>
      <c r="X749" s="2" t="s">
        <v>5196</v>
      </c>
      <c r="Y749" s="2" t="s">
        <v>44</v>
      </c>
      <c r="Z749" s="2"/>
      <c r="AA749" s="2" t="s">
        <v>3527</v>
      </c>
      <c r="AB749" s="2" t="s">
        <v>46</v>
      </c>
      <c r="AC749" s="2" t="s">
        <v>3527</v>
      </c>
      <c r="AE749" s="2" t="s">
        <v>48</v>
      </c>
      <c r="AF749" s="2" t="s">
        <v>49</v>
      </c>
      <c r="AG749" s="2">
        <v>100</v>
      </c>
      <c r="AH749" s="2">
        <v>80</v>
      </c>
      <c r="AJ749" s="2" t="s">
        <v>7307</v>
      </c>
      <c r="AK749" s="2"/>
      <c r="AL749" s="2"/>
      <c r="AM749" s="2" t="s">
        <v>52</v>
      </c>
    </row>
    <row r="750" spans="1:39" x14ac:dyDescent="0.45">
      <c r="A750" s="2" t="s">
        <v>7308</v>
      </c>
      <c r="B750" s="2"/>
      <c r="C750" s="2" t="s">
        <v>7310</v>
      </c>
      <c r="D750" s="2" t="s">
        <v>7312</v>
      </c>
      <c r="E750" s="25"/>
      <c r="F750" s="21"/>
      <c r="G750" s="42" t="s">
        <v>28000</v>
      </c>
      <c r="H750" s="2" t="s">
        <v>50</v>
      </c>
      <c r="I750" s="2" t="s">
        <v>7315</v>
      </c>
      <c r="J750" s="2" t="s">
        <v>7309</v>
      </c>
      <c r="K750" s="2" t="s">
        <v>7311</v>
      </c>
      <c r="L750" s="2" t="s">
        <v>7313</v>
      </c>
      <c r="M750" s="2" t="s">
        <v>7313</v>
      </c>
      <c r="N750" s="2" t="s">
        <v>384</v>
      </c>
      <c r="O750" s="2" t="s">
        <v>73</v>
      </c>
      <c r="P750" s="2" t="s">
        <v>559</v>
      </c>
      <c r="Q750" s="2" t="s">
        <v>7311</v>
      </c>
      <c r="R750" s="2"/>
      <c r="S750" s="2"/>
      <c r="T750" s="2"/>
      <c r="U750" s="2" t="s">
        <v>384</v>
      </c>
      <c r="V750" s="2" t="s">
        <v>73</v>
      </c>
      <c r="W750" s="2" t="s">
        <v>559</v>
      </c>
      <c r="X750" s="2" t="s">
        <v>7314</v>
      </c>
      <c r="Y750" s="2" t="s">
        <v>44</v>
      </c>
      <c r="Z750" s="2"/>
      <c r="AA750" s="2" t="s">
        <v>3527</v>
      </c>
      <c r="AB750" s="2" t="s">
        <v>46</v>
      </c>
      <c r="AC750" s="2" t="s">
        <v>3527</v>
      </c>
      <c r="AE750" s="2" t="s">
        <v>48</v>
      </c>
      <c r="AF750" s="2" t="s">
        <v>49</v>
      </c>
      <c r="AG750" s="2">
        <v>100</v>
      </c>
      <c r="AH750" s="2">
        <v>80</v>
      </c>
      <c r="AJ750" s="2" t="s">
        <v>7316</v>
      </c>
      <c r="AK750" s="2"/>
      <c r="AL750" s="2"/>
      <c r="AM750" s="2" t="s">
        <v>52</v>
      </c>
    </row>
    <row r="751" spans="1:39" x14ac:dyDescent="0.45">
      <c r="A751" s="2" t="s">
        <v>7317</v>
      </c>
      <c r="B751" s="2"/>
      <c r="C751" s="2" t="s">
        <v>7319</v>
      </c>
      <c r="D751" s="2" t="s">
        <v>7321</v>
      </c>
      <c r="E751" s="25"/>
      <c r="F751" s="21"/>
      <c r="G751" s="42" t="s">
        <v>28000</v>
      </c>
      <c r="H751" s="2" t="s">
        <v>50</v>
      </c>
      <c r="I751" s="2" t="s">
        <v>7323</v>
      </c>
      <c r="J751" s="2" t="s">
        <v>7318</v>
      </c>
      <c r="K751" s="2" t="s">
        <v>7320</v>
      </c>
      <c r="L751" s="2" t="s">
        <v>7322</v>
      </c>
      <c r="M751" s="2" t="s">
        <v>7322</v>
      </c>
      <c r="N751" s="2" t="s">
        <v>1023</v>
      </c>
      <c r="O751" s="2" t="s">
        <v>73</v>
      </c>
      <c r="P751" s="2" t="s">
        <v>1024</v>
      </c>
      <c r="Q751" s="2" t="s">
        <v>7320</v>
      </c>
      <c r="R751" s="2"/>
      <c r="S751" s="2"/>
      <c r="T751" s="2"/>
      <c r="U751" s="2" t="s">
        <v>1023</v>
      </c>
      <c r="V751" s="2" t="s">
        <v>73</v>
      </c>
      <c r="W751" s="2" t="s">
        <v>1024</v>
      </c>
      <c r="X751" s="2" t="s">
        <v>5224</v>
      </c>
      <c r="Y751" s="2" t="s">
        <v>44</v>
      </c>
      <c r="Z751" s="2"/>
      <c r="AA751" s="2" t="s">
        <v>3527</v>
      </c>
      <c r="AB751" s="2" t="s">
        <v>46</v>
      </c>
      <c r="AC751" s="2" t="s">
        <v>3527</v>
      </c>
      <c r="AE751" s="2" t="s">
        <v>48</v>
      </c>
      <c r="AF751" s="2" t="s">
        <v>49</v>
      </c>
      <c r="AG751" s="2">
        <v>100</v>
      </c>
      <c r="AH751" s="2">
        <v>80</v>
      </c>
      <c r="AJ751" s="2" t="s">
        <v>7324</v>
      </c>
      <c r="AK751" s="2"/>
      <c r="AL751" s="2"/>
      <c r="AM751" s="2" t="s">
        <v>52</v>
      </c>
    </row>
    <row r="752" spans="1:39" x14ac:dyDescent="0.45">
      <c r="A752" s="2" t="s">
        <v>7325</v>
      </c>
      <c r="B752" s="2"/>
      <c r="C752" s="2" t="s">
        <v>7327</v>
      </c>
      <c r="D752" s="2" t="s">
        <v>7329</v>
      </c>
      <c r="E752" s="25"/>
      <c r="F752" s="21"/>
      <c r="G752" s="42" t="s">
        <v>28000</v>
      </c>
      <c r="H752" s="2" t="s">
        <v>50</v>
      </c>
      <c r="I752" s="2" t="s">
        <v>7331</v>
      </c>
      <c r="J752" s="2" t="s">
        <v>7326</v>
      </c>
      <c r="K752" s="2" t="s">
        <v>7328</v>
      </c>
      <c r="L752" s="2" t="s">
        <v>7330</v>
      </c>
      <c r="M752" s="2" t="s">
        <v>7330</v>
      </c>
      <c r="N752" s="2" t="s">
        <v>277</v>
      </c>
      <c r="O752" s="2" t="s">
        <v>278</v>
      </c>
      <c r="P752" s="2" t="s">
        <v>1060</v>
      </c>
      <c r="Q752" s="2" t="s">
        <v>7328</v>
      </c>
      <c r="R752" s="2"/>
      <c r="S752" s="2"/>
      <c r="T752" s="2"/>
      <c r="U752" s="2" t="s">
        <v>277</v>
      </c>
      <c r="V752" s="2" t="s">
        <v>278</v>
      </c>
      <c r="W752" s="2" t="s">
        <v>1060</v>
      </c>
      <c r="X752" s="2" t="s">
        <v>5224</v>
      </c>
      <c r="Y752" s="2" t="s">
        <v>44</v>
      </c>
      <c r="Z752" s="2"/>
      <c r="AA752" s="2" t="s">
        <v>3527</v>
      </c>
      <c r="AB752" s="2" t="s">
        <v>46</v>
      </c>
      <c r="AC752" s="2" t="s">
        <v>3527</v>
      </c>
      <c r="AE752" s="2" t="s">
        <v>48</v>
      </c>
      <c r="AF752" s="2" t="s">
        <v>49</v>
      </c>
      <c r="AG752" s="2">
        <v>100</v>
      </c>
      <c r="AH752" s="2">
        <v>80</v>
      </c>
      <c r="AJ752" s="2" t="s">
        <v>7332</v>
      </c>
      <c r="AK752" s="2"/>
      <c r="AL752" s="2"/>
      <c r="AM752" s="2" t="s">
        <v>52</v>
      </c>
    </row>
    <row r="753" spans="1:39" x14ac:dyDescent="0.45">
      <c r="A753" s="2" t="s">
        <v>7333</v>
      </c>
      <c r="B753" s="2"/>
      <c r="C753" s="2" t="s">
        <v>7335</v>
      </c>
      <c r="D753" s="2" t="s">
        <v>7337</v>
      </c>
      <c r="E753" s="25"/>
      <c r="F753" s="21"/>
      <c r="G753" s="42" t="s">
        <v>28000</v>
      </c>
      <c r="H753" s="2" t="s">
        <v>50</v>
      </c>
      <c r="I753" s="2" t="s">
        <v>7341</v>
      </c>
      <c r="J753" s="2" t="s">
        <v>7334</v>
      </c>
      <c r="K753" s="2" t="s">
        <v>7336</v>
      </c>
      <c r="L753" s="2" t="s">
        <v>7338</v>
      </c>
      <c r="M753" s="2" t="s">
        <v>7338</v>
      </c>
      <c r="N753" s="2" t="s">
        <v>59</v>
      </c>
      <c r="O753" s="2" t="s">
        <v>60</v>
      </c>
      <c r="P753" s="2" t="s">
        <v>7339</v>
      </c>
      <c r="Q753" s="2" t="s">
        <v>7340</v>
      </c>
      <c r="R753" s="2"/>
      <c r="S753" s="2"/>
      <c r="T753" s="2"/>
      <c r="U753" s="2" t="s">
        <v>59</v>
      </c>
      <c r="V753" s="2" t="s">
        <v>60</v>
      </c>
      <c r="W753" s="2" t="s">
        <v>1102</v>
      </c>
      <c r="X753" s="2" t="s">
        <v>701</v>
      </c>
      <c r="Y753" s="2" t="s">
        <v>44</v>
      </c>
      <c r="Z753" s="2"/>
      <c r="AA753" s="2" t="s">
        <v>3527</v>
      </c>
      <c r="AB753" s="2" t="s">
        <v>46</v>
      </c>
      <c r="AC753" s="2" t="s">
        <v>3527</v>
      </c>
      <c r="AE753" s="2" t="s">
        <v>48</v>
      </c>
      <c r="AF753" s="2" t="s">
        <v>49</v>
      </c>
      <c r="AG753" s="2">
        <v>100</v>
      </c>
      <c r="AH753" s="2">
        <v>80</v>
      </c>
      <c r="AJ753" s="2" t="s">
        <v>7342</v>
      </c>
      <c r="AK753" s="2"/>
      <c r="AL753" s="2"/>
      <c r="AM753" s="2" t="s">
        <v>52</v>
      </c>
    </row>
    <row r="754" spans="1:39" x14ac:dyDescent="0.45">
      <c r="A754" s="2" t="s">
        <v>7343</v>
      </c>
      <c r="B754" s="2"/>
      <c r="C754" s="2" t="s">
        <v>7345</v>
      </c>
      <c r="D754" s="2" t="s">
        <v>7347</v>
      </c>
      <c r="E754" s="25"/>
      <c r="F754" s="21"/>
      <c r="G754" s="42" t="s">
        <v>28000</v>
      </c>
      <c r="H754" s="2" t="s">
        <v>50</v>
      </c>
      <c r="I754" s="2" t="s">
        <v>7350</v>
      </c>
      <c r="J754" s="2" t="s">
        <v>7344</v>
      </c>
      <c r="K754" s="2" t="s">
        <v>7346</v>
      </c>
      <c r="L754" s="2" t="s">
        <v>7348</v>
      </c>
      <c r="M754" s="2" t="s">
        <v>7348</v>
      </c>
      <c r="N754" s="2" t="s">
        <v>1188</v>
      </c>
      <c r="O754" s="2" t="s">
        <v>221</v>
      </c>
      <c r="P754" s="2" t="s">
        <v>7349</v>
      </c>
      <c r="Q754" s="2" t="s">
        <v>7346</v>
      </c>
      <c r="R754" s="2"/>
      <c r="S754" s="2"/>
      <c r="T754" s="2"/>
      <c r="U754" s="2" t="s">
        <v>1188</v>
      </c>
      <c r="V754" s="2" t="s">
        <v>221</v>
      </c>
      <c r="W754" s="2" t="s">
        <v>7349</v>
      </c>
      <c r="X754" s="2" t="s">
        <v>701</v>
      </c>
      <c r="Y754" s="2" t="s">
        <v>44</v>
      </c>
      <c r="Z754" s="2"/>
      <c r="AA754" s="2" t="s">
        <v>3527</v>
      </c>
      <c r="AB754" s="2" t="s">
        <v>46</v>
      </c>
      <c r="AC754" s="2" t="s">
        <v>3527</v>
      </c>
      <c r="AE754" s="2" t="s">
        <v>48</v>
      </c>
      <c r="AF754" s="2" t="s">
        <v>49</v>
      </c>
      <c r="AG754" s="2">
        <v>100</v>
      </c>
      <c r="AH754" s="2">
        <v>80</v>
      </c>
      <c r="AJ754" s="2" t="s">
        <v>7351</v>
      </c>
      <c r="AK754" s="2"/>
      <c r="AL754" s="2"/>
      <c r="AM754" s="2" t="s">
        <v>52</v>
      </c>
    </row>
    <row r="755" spans="1:39" x14ac:dyDescent="0.45">
      <c r="A755" s="2" t="s">
        <v>7352</v>
      </c>
      <c r="B755" s="2"/>
      <c r="C755" s="2" t="s">
        <v>7354</v>
      </c>
      <c r="D755" s="2" t="s">
        <v>7356</v>
      </c>
      <c r="E755" s="25"/>
      <c r="F755" s="21"/>
      <c r="G755" s="42" t="s">
        <v>28000</v>
      </c>
      <c r="H755" s="2" t="s">
        <v>50</v>
      </c>
      <c r="I755" s="2" t="s">
        <v>7359</v>
      </c>
      <c r="J755" s="2" t="s">
        <v>7353</v>
      </c>
      <c r="K755" s="2" t="s">
        <v>7355</v>
      </c>
      <c r="L755" s="2" t="s">
        <v>7357</v>
      </c>
      <c r="M755" s="2" t="s">
        <v>7357</v>
      </c>
      <c r="N755" s="2" t="s">
        <v>290</v>
      </c>
      <c r="O755" s="2" t="s">
        <v>278</v>
      </c>
      <c r="P755" s="2" t="s">
        <v>291</v>
      </c>
      <c r="Q755" s="2" t="s">
        <v>7355</v>
      </c>
      <c r="R755" s="2"/>
      <c r="S755" s="2"/>
      <c r="T755" s="2"/>
      <c r="U755" s="2" t="s">
        <v>290</v>
      </c>
      <c r="V755" s="2" t="s">
        <v>278</v>
      </c>
      <c r="W755" s="2" t="s">
        <v>291</v>
      </c>
      <c r="X755" s="2" t="s">
        <v>7358</v>
      </c>
      <c r="Y755" s="2" t="s">
        <v>44</v>
      </c>
      <c r="Z755" s="2"/>
      <c r="AA755" s="2" t="s">
        <v>3527</v>
      </c>
      <c r="AB755" s="2" t="s">
        <v>46</v>
      </c>
      <c r="AC755" s="2" t="s">
        <v>3527</v>
      </c>
      <c r="AE755" s="2" t="s">
        <v>48</v>
      </c>
      <c r="AF755" s="2" t="s">
        <v>49</v>
      </c>
      <c r="AG755" s="2">
        <v>100</v>
      </c>
      <c r="AH755" s="2">
        <v>80</v>
      </c>
      <c r="AJ755" s="2" t="s">
        <v>7360</v>
      </c>
      <c r="AK755" s="2"/>
      <c r="AL755" s="2"/>
      <c r="AM755" s="2" t="s">
        <v>52</v>
      </c>
    </row>
    <row r="756" spans="1:39" x14ac:dyDescent="0.45">
      <c r="A756" s="2" t="s">
        <v>7361</v>
      </c>
      <c r="B756" s="2"/>
      <c r="C756" s="2" t="s">
        <v>7363</v>
      </c>
      <c r="D756" s="2" t="s">
        <v>7365</v>
      </c>
      <c r="E756" s="25"/>
      <c r="F756" s="21"/>
      <c r="G756" s="42" t="s">
        <v>28000</v>
      </c>
      <c r="H756" s="2" t="s">
        <v>50</v>
      </c>
      <c r="I756" s="2" t="s">
        <v>7368</v>
      </c>
      <c r="J756" s="2" t="s">
        <v>7362</v>
      </c>
      <c r="K756" s="2" t="s">
        <v>7364</v>
      </c>
      <c r="L756" s="2" t="s">
        <v>7366</v>
      </c>
      <c r="M756" s="2" t="s">
        <v>7366</v>
      </c>
      <c r="N756" s="2" t="s">
        <v>216</v>
      </c>
      <c r="O756" s="2" t="s">
        <v>217</v>
      </c>
      <c r="P756" s="2" t="s">
        <v>3767</v>
      </c>
      <c r="Q756" s="2" t="s">
        <v>7367</v>
      </c>
      <c r="R756" s="2"/>
      <c r="S756" s="2"/>
      <c r="T756" s="2"/>
      <c r="U756" s="2" t="s">
        <v>216</v>
      </c>
      <c r="V756" s="2" t="s">
        <v>217</v>
      </c>
      <c r="W756" s="2" t="s">
        <v>3767</v>
      </c>
      <c r="X756" s="2" t="s">
        <v>7358</v>
      </c>
      <c r="Y756" s="2" t="s">
        <v>44</v>
      </c>
      <c r="Z756" s="2"/>
      <c r="AA756" s="2" t="s">
        <v>3527</v>
      </c>
      <c r="AB756" s="2" t="s">
        <v>46</v>
      </c>
      <c r="AC756" s="2" t="s">
        <v>3527</v>
      </c>
      <c r="AE756" s="2" t="s">
        <v>48</v>
      </c>
      <c r="AF756" s="2" t="s">
        <v>49</v>
      </c>
      <c r="AG756" s="2">
        <v>100</v>
      </c>
      <c r="AH756" s="2">
        <v>80</v>
      </c>
      <c r="AJ756" s="2" t="s">
        <v>7369</v>
      </c>
      <c r="AK756" s="2"/>
      <c r="AL756" s="2"/>
      <c r="AM756" s="2" t="s">
        <v>52</v>
      </c>
    </row>
    <row r="757" spans="1:39" x14ac:dyDescent="0.45">
      <c r="A757" s="2" t="s">
        <v>7370</v>
      </c>
      <c r="B757" s="2"/>
      <c r="C757" s="2" t="s">
        <v>7372</v>
      </c>
      <c r="D757" s="2" t="s">
        <v>7374</v>
      </c>
      <c r="E757" s="25"/>
      <c r="F757" s="21"/>
      <c r="G757" s="42" t="s">
        <v>28000</v>
      </c>
      <c r="H757" s="2" t="s">
        <v>50</v>
      </c>
      <c r="I757" s="2" t="s">
        <v>7377</v>
      </c>
      <c r="J757" s="2" t="s">
        <v>7371</v>
      </c>
      <c r="K757" s="2" t="s">
        <v>7373</v>
      </c>
      <c r="L757" s="2" t="s">
        <v>7375</v>
      </c>
      <c r="M757" s="2" t="s">
        <v>7375</v>
      </c>
      <c r="N757" s="2" t="s">
        <v>72</v>
      </c>
      <c r="O757" s="2" t="s">
        <v>73</v>
      </c>
      <c r="P757" s="2" t="s">
        <v>119</v>
      </c>
      <c r="Q757" s="2" t="s">
        <v>7376</v>
      </c>
      <c r="R757" s="2"/>
      <c r="S757" s="2"/>
      <c r="T757" s="2"/>
      <c r="U757" s="2" t="s">
        <v>72</v>
      </c>
      <c r="V757" s="2" t="s">
        <v>73</v>
      </c>
      <c r="W757" s="2" t="s">
        <v>98</v>
      </c>
      <c r="X757" s="2" t="s">
        <v>5261</v>
      </c>
      <c r="Y757" s="2" t="s">
        <v>44</v>
      </c>
      <c r="Z757" s="2"/>
      <c r="AA757" s="2" t="s">
        <v>3527</v>
      </c>
      <c r="AB757" s="2" t="s">
        <v>46</v>
      </c>
      <c r="AC757" s="2" t="s">
        <v>3527</v>
      </c>
      <c r="AE757" s="2" t="s">
        <v>48</v>
      </c>
      <c r="AF757" s="2" t="s">
        <v>49</v>
      </c>
      <c r="AG757" s="2">
        <v>100</v>
      </c>
      <c r="AH757" s="2">
        <v>80</v>
      </c>
      <c r="AJ757" s="2" t="s">
        <v>7378</v>
      </c>
      <c r="AK757" s="2"/>
      <c r="AL757" s="2"/>
      <c r="AM757" s="2" t="s">
        <v>52</v>
      </c>
    </row>
    <row r="758" spans="1:39" x14ac:dyDescent="0.45">
      <c r="A758" s="2" t="s">
        <v>7379</v>
      </c>
      <c r="B758" s="2"/>
      <c r="C758" s="2" t="s">
        <v>7381</v>
      </c>
      <c r="D758" s="2" t="s">
        <v>7383</v>
      </c>
      <c r="E758" s="25"/>
      <c r="F758" s="21"/>
      <c r="G758" s="42" t="s">
        <v>28000</v>
      </c>
      <c r="H758" s="2" t="s">
        <v>50</v>
      </c>
      <c r="I758" s="2" t="s">
        <v>7386</v>
      </c>
      <c r="J758" s="2" t="s">
        <v>7380</v>
      </c>
      <c r="K758" s="2" t="s">
        <v>7382</v>
      </c>
      <c r="L758" s="2" t="s">
        <v>7384</v>
      </c>
      <c r="M758" s="2" t="s">
        <v>7384</v>
      </c>
      <c r="N758" s="2" t="s">
        <v>277</v>
      </c>
      <c r="O758" s="2" t="s">
        <v>278</v>
      </c>
      <c r="P758" s="2" t="s">
        <v>279</v>
      </c>
      <c r="Q758" s="2" t="s">
        <v>7385</v>
      </c>
      <c r="R758" s="2"/>
      <c r="S758" s="2"/>
      <c r="T758" s="2"/>
      <c r="U758" s="2" t="s">
        <v>277</v>
      </c>
      <c r="V758" s="2" t="s">
        <v>278</v>
      </c>
      <c r="W758" s="2" t="s">
        <v>279</v>
      </c>
      <c r="X758" s="2" t="s">
        <v>5261</v>
      </c>
      <c r="Y758" s="2" t="s">
        <v>44</v>
      </c>
      <c r="Z758" s="2"/>
      <c r="AA758" s="2" t="s">
        <v>3527</v>
      </c>
      <c r="AB758" s="2" t="s">
        <v>46</v>
      </c>
      <c r="AC758" s="2" t="s">
        <v>3527</v>
      </c>
      <c r="AE758" s="2" t="s">
        <v>48</v>
      </c>
      <c r="AF758" s="2" t="s">
        <v>49</v>
      </c>
      <c r="AG758" s="2">
        <v>100</v>
      </c>
      <c r="AH758" s="2">
        <v>80</v>
      </c>
      <c r="AJ758" s="2" t="s">
        <v>7387</v>
      </c>
      <c r="AK758" s="2"/>
      <c r="AL758" s="2"/>
      <c r="AM758" s="2" t="s">
        <v>52</v>
      </c>
    </row>
    <row r="759" spans="1:39" x14ac:dyDescent="0.45">
      <c r="A759" s="2" t="s">
        <v>7388</v>
      </c>
      <c r="B759" s="2"/>
      <c r="C759" s="2" t="s">
        <v>7390</v>
      </c>
      <c r="D759" s="2" t="s">
        <v>7392</v>
      </c>
      <c r="E759" s="25"/>
      <c r="F759" s="21"/>
      <c r="G759" s="42" t="s">
        <v>28000</v>
      </c>
      <c r="H759" s="2" t="s">
        <v>50</v>
      </c>
      <c r="I759" s="2" t="s">
        <v>7394</v>
      </c>
      <c r="J759" s="2" t="s">
        <v>7389</v>
      </c>
      <c r="K759" s="2" t="s">
        <v>7391</v>
      </c>
      <c r="L759" s="2" t="s">
        <v>7393</v>
      </c>
      <c r="M759" s="2"/>
      <c r="N759" s="2" t="s">
        <v>290</v>
      </c>
      <c r="O759" s="2" t="s">
        <v>278</v>
      </c>
      <c r="P759" s="2" t="s">
        <v>852</v>
      </c>
      <c r="Q759" s="2" t="s">
        <v>7391</v>
      </c>
      <c r="R759" s="2"/>
      <c r="S759" s="2"/>
      <c r="T759" s="2"/>
      <c r="U759" s="2" t="s">
        <v>290</v>
      </c>
      <c r="V759" s="2" t="s">
        <v>278</v>
      </c>
      <c r="W759" s="2" t="s">
        <v>852</v>
      </c>
      <c r="X759" s="2" t="s">
        <v>1271</v>
      </c>
      <c r="Y759" s="2" t="s">
        <v>44</v>
      </c>
      <c r="Z759" s="2"/>
      <c r="AA759" s="2" t="s">
        <v>3527</v>
      </c>
      <c r="AB759" s="2" t="s">
        <v>46</v>
      </c>
      <c r="AC759" s="2" t="s">
        <v>3527</v>
      </c>
      <c r="AE759" s="2" t="s">
        <v>48</v>
      </c>
      <c r="AF759" s="2" t="s">
        <v>49</v>
      </c>
      <c r="AG759" s="2">
        <v>100</v>
      </c>
      <c r="AH759" s="2">
        <v>80</v>
      </c>
      <c r="AJ759" s="2" t="s">
        <v>7395</v>
      </c>
      <c r="AK759" s="2"/>
      <c r="AL759" s="2"/>
      <c r="AM759" s="2" t="s">
        <v>52</v>
      </c>
    </row>
    <row r="760" spans="1:39" x14ac:dyDescent="0.45">
      <c r="A760" s="2" t="s">
        <v>7396</v>
      </c>
      <c r="B760" s="2"/>
      <c r="C760" s="2" t="s">
        <v>7398</v>
      </c>
      <c r="D760" s="2" t="s">
        <v>7400</v>
      </c>
      <c r="E760" s="25"/>
      <c r="F760" s="21"/>
      <c r="G760" s="42" t="s">
        <v>28000</v>
      </c>
      <c r="H760" s="2" t="s">
        <v>50</v>
      </c>
      <c r="I760" s="2" t="s">
        <v>7405</v>
      </c>
      <c r="J760" s="2" t="s">
        <v>7397</v>
      </c>
      <c r="K760" s="2" t="s">
        <v>7399</v>
      </c>
      <c r="L760" s="2" t="s">
        <v>7401</v>
      </c>
      <c r="M760" s="2" t="s">
        <v>7401</v>
      </c>
      <c r="N760" s="2" t="s">
        <v>1023</v>
      </c>
      <c r="O760" s="2" t="s">
        <v>73</v>
      </c>
      <c r="P760" s="2" t="s">
        <v>7402</v>
      </c>
      <c r="Q760" s="2" t="s">
        <v>7403</v>
      </c>
      <c r="R760" s="2"/>
      <c r="S760" s="2"/>
      <c r="T760" s="2"/>
      <c r="U760" s="2" t="s">
        <v>72</v>
      </c>
      <c r="V760" s="2" t="s">
        <v>73</v>
      </c>
      <c r="W760" s="2" t="s">
        <v>7033</v>
      </c>
      <c r="X760" s="2" t="s">
        <v>7404</v>
      </c>
      <c r="Y760" s="2" t="s">
        <v>44</v>
      </c>
      <c r="Z760" s="2"/>
      <c r="AA760" s="2" t="s">
        <v>3527</v>
      </c>
      <c r="AB760" s="2" t="s">
        <v>46</v>
      </c>
      <c r="AC760" s="2" t="s">
        <v>3527</v>
      </c>
      <c r="AE760" s="2" t="s">
        <v>48</v>
      </c>
      <c r="AF760" s="2" t="s">
        <v>49</v>
      </c>
      <c r="AG760" s="2">
        <v>100</v>
      </c>
      <c r="AH760" s="2">
        <v>80</v>
      </c>
      <c r="AJ760" s="2" t="s">
        <v>7406</v>
      </c>
      <c r="AK760" s="2"/>
      <c r="AL760" s="2"/>
      <c r="AM760" s="2" t="s">
        <v>52</v>
      </c>
    </row>
    <row r="761" spans="1:39" x14ac:dyDescent="0.45">
      <c r="A761" s="2" t="s">
        <v>7407</v>
      </c>
      <c r="B761" s="2"/>
      <c r="C761" s="2" t="s">
        <v>7409</v>
      </c>
      <c r="D761" s="2" t="s">
        <v>7411</v>
      </c>
      <c r="E761" s="25"/>
      <c r="F761" s="21"/>
      <c r="G761" s="42" t="s">
        <v>28000</v>
      </c>
      <c r="H761" s="2" t="s">
        <v>50</v>
      </c>
      <c r="I761" s="2" t="s">
        <v>7412</v>
      </c>
      <c r="J761" s="2" t="s">
        <v>7408</v>
      </c>
      <c r="K761" s="2" t="s">
        <v>7410</v>
      </c>
      <c r="L761" s="2" t="s">
        <v>709</v>
      </c>
      <c r="M761" s="2" t="s">
        <v>709</v>
      </c>
      <c r="N761" s="2" t="s">
        <v>59</v>
      </c>
      <c r="O761" s="2" t="s">
        <v>60</v>
      </c>
      <c r="P761" s="2" t="s">
        <v>4338</v>
      </c>
      <c r="Q761" s="2" t="s">
        <v>7410</v>
      </c>
      <c r="R761" s="2"/>
      <c r="S761" s="2"/>
      <c r="T761" s="2"/>
      <c r="U761" s="2" t="s">
        <v>59</v>
      </c>
      <c r="V761" s="2" t="s">
        <v>60</v>
      </c>
      <c r="W761" s="2" t="s">
        <v>4338</v>
      </c>
      <c r="X761" s="2" t="s">
        <v>5913</v>
      </c>
      <c r="Y761" s="2" t="s">
        <v>44</v>
      </c>
      <c r="Z761" s="2"/>
      <c r="AA761" s="2" t="s">
        <v>3527</v>
      </c>
      <c r="AB761" s="2" t="s">
        <v>46</v>
      </c>
      <c r="AC761" s="2" t="s">
        <v>3527</v>
      </c>
      <c r="AE761" s="2" t="s">
        <v>48</v>
      </c>
      <c r="AF761" s="2" t="s">
        <v>49</v>
      </c>
      <c r="AG761" s="2">
        <v>100</v>
      </c>
      <c r="AH761" s="2">
        <v>80</v>
      </c>
      <c r="AJ761" s="2" t="s">
        <v>7413</v>
      </c>
      <c r="AK761" s="2"/>
      <c r="AL761" s="2"/>
      <c r="AM761" s="2" t="s">
        <v>52</v>
      </c>
    </row>
    <row r="762" spans="1:39" x14ac:dyDescent="0.45">
      <c r="A762" s="2" t="s">
        <v>7414</v>
      </c>
      <c r="B762" s="2"/>
      <c r="C762" s="2" t="s">
        <v>7416</v>
      </c>
      <c r="D762" s="2" t="s">
        <v>7418</v>
      </c>
      <c r="E762" s="25"/>
      <c r="F762" s="21"/>
      <c r="G762" s="42" t="s">
        <v>28000</v>
      </c>
      <c r="H762" s="2" t="s">
        <v>50</v>
      </c>
      <c r="I762" s="2" t="s">
        <v>7421</v>
      </c>
      <c r="J762" s="2" t="s">
        <v>7415</v>
      </c>
      <c r="K762" s="2" t="s">
        <v>7417</v>
      </c>
      <c r="L762" s="2" t="s">
        <v>7419</v>
      </c>
      <c r="M762" s="2" t="s">
        <v>7419</v>
      </c>
      <c r="N762" s="2" t="s">
        <v>216</v>
      </c>
      <c r="O762" s="2" t="s">
        <v>217</v>
      </c>
      <c r="P762" s="2" t="s">
        <v>7420</v>
      </c>
      <c r="Q762" s="2" t="s">
        <v>7417</v>
      </c>
      <c r="R762" s="2"/>
      <c r="S762" s="2"/>
      <c r="T762" s="2"/>
      <c r="U762" s="2" t="s">
        <v>216</v>
      </c>
      <c r="V762" s="2" t="s">
        <v>217</v>
      </c>
      <c r="W762" s="2" t="s">
        <v>7420</v>
      </c>
      <c r="X762" s="2" t="s">
        <v>5913</v>
      </c>
      <c r="Y762" s="2" t="s">
        <v>44</v>
      </c>
      <c r="Z762" s="2"/>
      <c r="AA762" s="2" t="s">
        <v>3527</v>
      </c>
      <c r="AB762" s="2" t="s">
        <v>46</v>
      </c>
      <c r="AC762" s="2" t="s">
        <v>3527</v>
      </c>
      <c r="AE762" s="2" t="s">
        <v>48</v>
      </c>
      <c r="AF762" s="2" t="s">
        <v>49</v>
      </c>
      <c r="AG762" s="2">
        <v>100</v>
      </c>
      <c r="AH762" s="2">
        <v>80</v>
      </c>
      <c r="AJ762" s="2" t="s">
        <v>7422</v>
      </c>
      <c r="AK762" s="2"/>
      <c r="AL762" s="2"/>
      <c r="AM762" s="2" t="s">
        <v>52</v>
      </c>
    </row>
    <row r="763" spans="1:39" x14ac:dyDescent="0.45">
      <c r="A763" s="2" t="s">
        <v>7423</v>
      </c>
      <c r="B763" s="2"/>
      <c r="C763" s="2" t="s">
        <v>7425</v>
      </c>
      <c r="D763" s="2" t="s">
        <v>7427</v>
      </c>
      <c r="E763" s="25"/>
      <c r="F763" s="21"/>
      <c r="G763" s="42" t="s">
        <v>28000</v>
      </c>
      <c r="H763" s="2" t="s">
        <v>50</v>
      </c>
      <c r="I763" s="2" t="s">
        <v>7430</v>
      </c>
      <c r="J763" s="2" t="s">
        <v>7424</v>
      </c>
      <c r="K763" s="2" t="s">
        <v>7426</v>
      </c>
      <c r="L763" s="2" t="s">
        <v>709</v>
      </c>
      <c r="M763" s="2" t="s">
        <v>709</v>
      </c>
      <c r="N763" s="2" t="s">
        <v>85</v>
      </c>
      <c r="O763" s="2" t="s">
        <v>86</v>
      </c>
      <c r="P763" s="2" t="s">
        <v>7428</v>
      </c>
      <c r="Q763" s="2" t="s">
        <v>7429</v>
      </c>
      <c r="R763" s="2"/>
      <c r="S763" s="2"/>
      <c r="T763" s="2"/>
      <c r="U763" s="2" t="s">
        <v>85</v>
      </c>
      <c r="V763" s="2" t="s">
        <v>86</v>
      </c>
      <c r="W763" s="2" t="s">
        <v>7428</v>
      </c>
      <c r="X763" s="2" t="s">
        <v>4659</v>
      </c>
      <c r="Y763" s="2" t="s">
        <v>44</v>
      </c>
      <c r="Z763" s="2"/>
      <c r="AA763" s="2" t="s">
        <v>3527</v>
      </c>
      <c r="AB763" s="2" t="s">
        <v>46</v>
      </c>
      <c r="AC763" s="2" t="s">
        <v>3527</v>
      </c>
      <c r="AE763" s="2" t="s">
        <v>48</v>
      </c>
      <c r="AF763" s="2" t="s">
        <v>49</v>
      </c>
      <c r="AG763" s="2">
        <v>100</v>
      </c>
      <c r="AH763" s="2">
        <v>80</v>
      </c>
      <c r="AJ763" s="2" t="s">
        <v>7431</v>
      </c>
      <c r="AK763" s="2"/>
      <c r="AL763" s="2"/>
      <c r="AM763" s="2" t="s">
        <v>52</v>
      </c>
    </row>
    <row r="764" spans="1:39" x14ac:dyDescent="0.45">
      <c r="A764" s="2" t="s">
        <v>7432</v>
      </c>
      <c r="B764" s="2"/>
      <c r="C764" s="2" t="s">
        <v>7434</v>
      </c>
      <c r="D764" s="2" t="s">
        <v>7436</v>
      </c>
      <c r="E764" s="25"/>
      <c r="F764" s="21"/>
      <c r="G764" s="42" t="s">
        <v>28000</v>
      </c>
      <c r="H764" s="2" t="s">
        <v>50</v>
      </c>
      <c r="I764" s="2" t="s">
        <v>7439</v>
      </c>
      <c r="J764" s="2" t="s">
        <v>7433</v>
      </c>
      <c r="K764" s="2" t="s">
        <v>7435</v>
      </c>
      <c r="L764" s="2" t="s">
        <v>7437</v>
      </c>
      <c r="M764" s="2" t="s">
        <v>7437</v>
      </c>
      <c r="N764" s="2" t="s">
        <v>59</v>
      </c>
      <c r="O764" s="2" t="s">
        <v>60</v>
      </c>
      <c r="P764" s="2" t="s">
        <v>1640</v>
      </c>
      <c r="Q764" s="2" t="s">
        <v>7435</v>
      </c>
      <c r="R764" s="2"/>
      <c r="S764" s="2"/>
      <c r="T764" s="2"/>
      <c r="U764" s="2" t="s">
        <v>59</v>
      </c>
      <c r="V764" s="2" t="s">
        <v>60</v>
      </c>
      <c r="W764" s="2" t="s">
        <v>1640</v>
      </c>
      <c r="X764" s="2" t="s">
        <v>7438</v>
      </c>
      <c r="Y764" s="2" t="s">
        <v>44</v>
      </c>
      <c r="Z764" s="2"/>
      <c r="AA764" s="2" t="s">
        <v>3527</v>
      </c>
      <c r="AB764" s="2" t="s">
        <v>46</v>
      </c>
      <c r="AC764" s="2" t="s">
        <v>3527</v>
      </c>
      <c r="AE764" s="2" t="s">
        <v>48</v>
      </c>
      <c r="AF764" s="2" t="s">
        <v>49</v>
      </c>
      <c r="AG764" s="2">
        <v>100</v>
      </c>
      <c r="AH764" s="2">
        <v>80</v>
      </c>
      <c r="AJ764" s="2" t="s">
        <v>7440</v>
      </c>
      <c r="AK764" s="2"/>
      <c r="AL764" s="2"/>
      <c r="AM764" s="2" t="s">
        <v>52</v>
      </c>
    </row>
    <row r="765" spans="1:39" x14ac:dyDescent="0.45">
      <c r="A765" s="2" t="s">
        <v>7441</v>
      </c>
      <c r="B765" s="2"/>
      <c r="C765" s="2" t="s">
        <v>7443</v>
      </c>
      <c r="D765" s="2" t="s">
        <v>7445</v>
      </c>
      <c r="E765" s="25"/>
      <c r="F765" s="21"/>
      <c r="G765" s="42" t="s">
        <v>28000</v>
      </c>
      <c r="H765" s="2" t="s">
        <v>50</v>
      </c>
      <c r="I765" s="2" t="s">
        <v>7447</v>
      </c>
      <c r="J765" s="2" t="s">
        <v>7442</v>
      </c>
      <c r="K765" s="2" t="s">
        <v>7444</v>
      </c>
      <c r="L765" s="2" t="s">
        <v>3562</v>
      </c>
      <c r="M765" s="2" t="s">
        <v>3562</v>
      </c>
      <c r="N765" s="2" t="s">
        <v>59</v>
      </c>
      <c r="O765" s="2" t="s">
        <v>60</v>
      </c>
      <c r="P765" s="2" t="s">
        <v>7446</v>
      </c>
      <c r="Q765" s="2" t="s">
        <v>7444</v>
      </c>
      <c r="R765" s="2"/>
      <c r="S765" s="2"/>
      <c r="T765" s="2"/>
      <c r="U765" s="2" t="s">
        <v>59</v>
      </c>
      <c r="V765" s="2" t="s">
        <v>60</v>
      </c>
      <c r="W765" s="2" t="s">
        <v>7446</v>
      </c>
      <c r="X765" s="2" t="s">
        <v>7438</v>
      </c>
      <c r="Y765" s="2" t="s">
        <v>44</v>
      </c>
      <c r="Z765" s="2"/>
      <c r="AA765" s="2" t="s">
        <v>3527</v>
      </c>
      <c r="AB765" s="2" t="s">
        <v>46</v>
      </c>
      <c r="AC765" s="2" t="s">
        <v>3527</v>
      </c>
      <c r="AE765" s="2" t="s">
        <v>48</v>
      </c>
      <c r="AF765" s="2" t="s">
        <v>49</v>
      </c>
      <c r="AG765" s="2">
        <v>100</v>
      </c>
      <c r="AH765" s="2">
        <v>80</v>
      </c>
      <c r="AJ765" s="2" t="s">
        <v>7448</v>
      </c>
      <c r="AK765" s="2"/>
      <c r="AL765" s="2"/>
      <c r="AM765" s="2" t="s">
        <v>52</v>
      </c>
    </row>
    <row r="766" spans="1:39" x14ac:dyDescent="0.45">
      <c r="A766" s="2" t="s">
        <v>7449</v>
      </c>
      <c r="B766" s="2"/>
      <c r="C766" s="2" t="s">
        <v>7451</v>
      </c>
      <c r="D766" s="2" t="s">
        <v>7453</v>
      </c>
      <c r="E766" s="25"/>
      <c r="F766" s="21"/>
      <c r="G766" s="42" t="s">
        <v>28000</v>
      </c>
      <c r="H766" s="2" t="s">
        <v>50</v>
      </c>
      <c r="I766" s="2" t="s">
        <v>7455</v>
      </c>
      <c r="J766" s="2" t="s">
        <v>7450</v>
      </c>
      <c r="K766" s="2" t="s">
        <v>7452</v>
      </c>
      <c r="L766" s="2" t="s">
        <v>7454</v>
      </c>
      <c r="M766" s="2" t="s">
        <v>7454</v>
      </c>
      <c r="N766" s="2" t="s">
        <v>72</v>
      </c>
      <c r="O766" s="2" t="s">
        <v>73</v>
      </c>
      <c r="P766" s="2" t="s">
        <v>7033</v>
      </c>
      <c r="Q766" s="2" t="s">
        <v>7452</v>
      </c>
      <c r="R766" s="2"/>
      <c r="S766" s="2"/>
      <c r="T766" s="2"/>
      <c r="U766" s="2" t="s">
        <v>72</v>
      </c>
      <c r="V766" s="2" t="s">
        <v>73</v>
      </c>
      <c r="W766" s="2" t="s">
        <v>7033</v>
      </c>
      <c r="X766" s="2" t="s">
        <v>5356</v>
      </c>
      <c r="Y766" s="2" t="s">
        <v>44</v>
      </c>
      <c r="Z766" s="2"/>
      <c r="AA766" s="2" t="s">
        <v>3527</v>
      </c>
      <c r="AB766" s="2" t="s">
        <v>46</v>
      </c>
      <c r="AC766" s="2" t="s">
        <v>3527</v>
      </c>
      <c r="AE766" s="2" t="s">
        <v>48</v>
      </c>
      <c r="AF766" s="2" t="s">
        <v>49</v>
      </c>
      <c r="AG766" s="2">
        <v>100</v>
      </c>
      <c r="AH766" s="2">
        <v>80</v>
      </c>
      <c r="AJ766" s="2" t="s">
        <v>7456</v>
      </c>
      <c r="AK766" s="2"/>
      <c r="AL766" s="2"/>
      <c r="AM766" s="2" t="s">
        <v>52</v>
      </c>
    </row>
    <row r="767" spans="1:39" x14ac:dyDescent="0.45">
      <c r="A767" s="2" t="s">
        <v>7457</v>
      </c>
      <c r="B767" s="2"/>
      <c r="C767" s="2" t="s">
        <v>7459</v>
      </c>
      <c r="D767" s="2" t="s">
        <v>7461</v>
      </c>
      <c r="E767" s="25"/>
      <c r="F767" s="21"/>
      <c r="G767" s="42" t="s">
        <v>28000</v>
      </c>
      <c r="H767" s="2" t="s">
        <v>50</v>
      </c>
      <c r="I767" s="2" t="s">
        <v>7465</v>
      </c>
      <c r="J767" s="2" t="s">
        <v>7458</v>
      </c>
      <c r="K767" s="2" t="s">
        <v>7460</v>
      </c>
      <c r="L767" s="2" t="s">
        <v>7462</v>
      </c>
      <c r="M767" s="2" t="s">
        <v>7462</v>
      </c>
      <c r="N767" s="2" t="s">
        <v>312</v>
      </c>
      <c r="O767" s="2" t="s">
        <v>313</v>
      </c>
      <c r="P767" s="2" t="s">
        <v>7463</v>
      </c>
      <c r="Q767" s="2" t="s">
        <v>7460</v>
      </c>
      <c r="R767" s="2"/>
      <c r="S767" s="2"/>
      <c r="T767" s="2"/>
      <c r="U767" s="2" t="s">
        <v>312</v>
      </c>
      <c r="V767" s="2" t="s">
        <v>313</v>
      </c>
      <c r="W767" s="2" t="s">
        <v>7463</v>
      </c>
      <c r="X767" s="2" t="s">
        <v>7464</v>
      </c>
      <c r="Y767" s="2" t="s">
        <v>44</v>
      </c>
      <c r="Z767" s="2"/>
      <c r="AA767" s="2" t="s">
        <v>3527</v>
      </c>
      <c r="AB767" s="2" t="s">
        <v>46</v>
      </c>
      <c r="AC767" s="2" t="s">
        <v>3527</v>
      </c>
      <c r="AE767" s="2" t="s">
        <v>48</v>
      </c>
      <c r="AF767" s="2" t="s">
        <v>49</v>
      </c>
      <c r="AG767" s="2">
        <v>100</v>
      </c>
      <c r="AH767" s="2">
        <v>80</v>
      </c>
      <c r="AJ767" s="2" t="s">
        <v>7466</v>
      </c>
      <c r="AK767" s="2"/>
      <c r="AL767" s="2"/>
      <c r="AM767" s="2" t="s">
        <v>52</v>
      </c>
    </row>
    <row r="768" spans="1:39" x14ac:dyDescent="0.45">
      <c r="A768" s="2" t="s">
        <v>7467</v>
      </c>
      <c r="B768" s="2"/>
      <c r="C768" s="2" t="s">
        <v>7469</v>
      </c>
      <c r="D768" s="2" t="s">
        <v>7471</v>
      </c>
      <c r="E768" s="25"/>
      <c r="F768" s="21"/>
      <c r="G768" s="42" t="s">
        <v>28000</v>
      </c>
      <c r="H768" s="2" t="s">
        <v>50</v>
      </c>
      <c r="I768" s="2" t="s">
        <v>7474</v>
      </c>
      <c r="J768" s="2" t="s">
        <v>7468</v>
      </c>
      <c r="K768" s="2" t="s">
        <v>7470</v>
      </c>
      <c r="L768" s="2" t="s">
        <v>7472</v>
      </c>
      <c r="M768" s="2" t="s">
        <v>7472</v>
      </c>
      <c r="N768" s="2" t="s">
        <v>72</v>
      </c>
      <c r="O768" s="2" t="s">
        <v>73</v>
      </c>
      <c r="P768" s="2" t="s">
        <v>791</v>
      </c>
      <c r="Q768" s="2" t="s">
        <v>7473</v>
      </c>
      <c r="R768" s="2"/>
      <c r="S768" s="2"/>
      <c r="T768" s="2"/>
      <c r="U768" s="2" t="s">
        <v>72</v>
      </c>
      <c r="V768" s="2" t="s">
        <v>73</v>
      </c>
      <c r="W768" s="2" t="s">
        <v>791</v>
      </c>
      <c r="X768" s="2" t="s">
        <v>7464</v>
      </c>
      <c r="Y768" s="2" t="s">
        <v>44</v>
      </c>
      <c r="Z768" s="2"/>
      <c r="AA768" s="2" t="s">
        <v>3527</v>
      </c>
      <c r="AB768" s="2" t="s">
        <v>46</v>
      </c>
      <c r="AC768" s="2" t="s">
        <v>3527</v>
      </c>
      <c r="AE768" s="2" t="s">
        <v>48</v>
      </c>
      <c r="AF768" s="2" t="s">
        <v>49</v>
      </c>
      <c r="AG768" s="2">
        <v>100</v>
      </c>
      <c r="AH768" s="2">
        <v>80</v>
      </c>
      <c r="AJ768" s="2" t="s">
        <v>7475</v>
      </c>
      <c r="AK768" s="2"/>
      <c r="AL768" s="2"/>
      <c r="AM768" s="2" t="s">
        <v>52</v>
      </c>
    </row>
    <row r="769" spans="1:39" x14ac:dyDescent="0.45">
      <c r="A769" s="2" t="s">
        <v>7476</v>
      </c>
      <c r="B769" s="2"/>
      <c r="C769" s="2" t="s">
        <v>7478</v>
      </c>
      <c r="D769" s="2" t="s">
        <v>7480</v>
      </c>
      <c r="E769" s="25"/>
      <c r="F769" s="21"/>
      <c r="G769" s="42" t="s">
        <v>28000</v>
      </c>
      <c r="H769" s="2" t="s">
        <v>50</v>
      </c>
      <c r="I769" s="2" t="s">
        <v>7484</v>
      </c>
      <c r="J769" s="2" t="s">
        <v>7477</v>
      </c>
      <c r="K769" s="2" t="s">
        <v>7479</v>
      </c>
      <c r="L769" s="2" t="s">
        <v>7481</v>
      </c>
      <c r="M769" s="2" t="s">
        <v>7481</v>
      </c>
      <c r="N769" s="2" t="s">
        <v>1188</v>
      </c>
      <c r="O769" s="2" t="s">
        <v>221</v>
      </c>
      <c r="P769" s="2" t="s">
        <v>1189</v>
      </c>
      <c r="Q769" s="2" t="s">
        <v>7482</v>
      </c>
      <c r="R769" s="2"/>
      <c r="S769" s="2"/>
      <c r="T769" s="2"/>
      <c r="U769" s="2" t="s">
        <v>1188</v>
      </c>
      <c r="V769" s="2" t="s">
        <v>221</v>
      </c>
      <c r="W769" s="2" t="s">
        <v>1189</v>
      </c>
      <c r="X769" s="2" t="s">
        <v>7483</v>
      </c>
      <c r="Y769" s="2" t="s">
        <v>44</v>
      </c>
      <c r="Z769" s="2"/>
      <c r="AA769" s="2" t="s">
        <v>3527</v>
      </c>
      <c r="AB769" s="2" t="s">
        <v>46</v>
      </c>
      <c r="AC769" s="2" t="s">
        <v>3527</v>
      </c>
      <c r="AE769" s="2" t="s">
        <v>48</v>
      </c>
      <c r="AF769" s="2" t="s">
        <v>49</v>
      </c>
      <c r="AG769" s="2">
        <v>100</v>
      </c>
      <c r="AH769" s="2">
        <v>80</v>
      </c>
      <c r="AJ769" s="2" t="s">
        <v>7485</v>
      </c>
      <c r="AK769" s="2"/>
      <c r="AL769" s="2"/>
      <c r="AM769" s="2" t="s">
        <v>52</v>
      </c>
    </row>
    <row r="770" spans="1:39" x14ac:dyDescent="0.45">
      <c r="A770" s="2" t="s">
        <v>7486</v>
      </c>
      <c r="B770" s="2"/>
      <c r="C770" s="2" t="s">
        <v>7488</v>
      </c>
      <c r="D770" s="2" t="s">
        <v>7490</v>
      </c>
      <c r="E770" s="25"/>
      <c r="F770" s="21"/>
      <c r="G770" s="42" t="s">
        <v>28000</v>
      </c>
      <c r="H770" s="2" t="s">
        <v>50</v>
      </c>
      <c r="I770" s="2" t="s">
        <v>7495</v>
      </c>
      <c r="J770" s="2" t="s">
        <v>7487</v>
      </c>
      <c r="K770" s="2" t="s">
        <v>7489</v>
      </c>
      <c r="L770" s="2" t="s">
        <v>7491</v>
      </c>
      <c r="M770" s="2" t="s">
        <v>7491</v>
      </c>
      <c r="N770" s="2" t="s">
        <v>1023</v>
      </c>
      <c r="O770" s="2" t="s">
        <v>73</v>
      </c>
      <c r="P770" s="2" t="s">
        <v>7492</v>
      </c>
      <c r="Q770" s="2" t="s">
        <v>7493</v>
      </c>
      <c r="R770" s="2"/>
      <c r="S770" s="2"/>
      <c r="T770" s="2"/>
      <c r="U770" s="2" t="s">
        <v>1023</v>
      </c>
      <c r="V770" s="2" t="s">
        <v>73</v>
      </c>
      <c r="W770" s="2" t="s">
        <v>7492</v>
      </c>
      <c r="X770" s="2" t="s">
        <v>7494</v>
      </c>
      <c r="Y770" s="2" t="s">
        <v>44</v>
      </c>
      <c r="Z770" s="2"/>
      <c r="AA770" s="2" t="s">
        <v>3527</v>
      </c>
      <c r="AB770" s="2" t="s">
        <v>46</v>
      </c>
      <c r="AC770" s="2" t="s">
        <v>3527</v>
      </c>
      <c r="AE770" s="2" t="s">
        <v>48</v>
      </c>
      <c r="AF770" s="2" t="s">
        <v>49</v>
      </c>
      <c r="AG770" s="2">
        <v>100</v>
      </c>
      <c r="AH770" s="2">
        <v>80</v>
      </c>
      <c r="AJ770" s="2" t="s">
        <v>7496</v>
      </c>
      <c r="AK770" s="2"/>
      <c r="AL770" s="2"/>
      <c r="AM770" s="2" t="s">
        <v>52</v>
      </c>
    </row>
    <row r="771" spans="1:39" x14ac:dyDescent="0.45">
      <c r="A771" s="2" t="s">
        <v>7497</v>
      </c>
      <c r="B771" s="2"/>
      <c r="C771" s="2" t="s">
        <v>7499</v>
      </c>
      <c r="D771" s="2" t="s">
        <v>7501</v>
      </c>
      <c r="E771" s="25"/>
      <c r="F771" s="21"/>
      <c r="G771" s="42" t="s">
        <v>28000</v>
      </c>
      <c r="H771" s="2" t="s">
        <v>50</v>
      </c>
      <c r="I771" s="2" t="s">
        <v>7504</v>
      </c>
      <c r="J771" s="2" t="s">
        <v>7498</v>
      </c>
      <c r="K771" s="2" t="s">
        <v>7500</v>
      </c>
      <c r="L771" s="2" t="s">
        <v>7502</v>
      </c>
      <c r="M771" s="2" t="s">
        <v>7502</v>
      </c>
      <c r="N771" s="2" t="s">
        <v>651</v>
      </c>
      <c r="O771" s="2" t="s">
        <v>86</v>
      </c>
      <c r="P771" s="2" t="s">
        <v>7428</v>
      </c>
      <c r="Q771" s="2" t="s">
        <v>7503</v>
      </c>
      <c r="R771" s="2"/>
      <c r="S771" s="2"/>
      <c r="T771" s="2"/>
      <c r="U771" s="2" t="s">
        <v>651</v>
      </c>
      <c r="V771" s="2" t="s">
        <v>86</v>
      </c>
      <c r="W771" s="2" t="s">
        <v>7428</v>
      </c>
      <c r="X771" s="2" t="s">
        <v>7494</v>
      </c>
      <c r="Y771" s="2" t="s">
        <v>44</v>
      </c>
      <c r="Z771" s="2"/>
      <c r="AA771" s="2" t="s">
        <v>3527</v>
      </c>
      <c r="AB771" s="2" t="s">
        <v>46</v>
      </c>
      <c r="AC771" s="2" t="s">
        <v>3527</v>
      </c>
      <c r="AE771" s="2" t="s">
        <v>48</v>
      </c>
      <c r="AF771" s="2" t="s">
        <v>49</v>
      </c>
      <c r="AG771" s="2">
        <v>100</v>
      </c>
      <c r="AH771" s="2">
        <v>80</v>
      </c>
      <c r="AJ771" s="2" t="s">
        <v>7505</v>
      </c>
      <c r="AK771" s="2"/>
      <c r="AL771" s="2"/>
      <c r="AM771" s="2" t="s">
        <v>52</v>
      </c>
    </row>
    <row r="772" spans="1:39" x14ac:dyDescent="0.45">
      <c r="A772" s="2" t="s">
        <v>7506</v>
      </c>
      <c r="B772" s="2"/>
      <c r="C772" s="2" t="s">
        <v>7508</v>
      </c>
      <c r="D772" s="2" t="s">
        <v>7510</v>
      </c>
      <c r="E772" s="25"/>
      <c r="F772" s="21"/>
      <c r="G772" s="42" t="s">
        <v>28000</v>
      </c>
      <c r="H772" s="2" t="s">
        <v>50</v>
      </c>
      <c r="I772" s="2" t="s">
        <v>7512</v>
      </c>
      <c r="J772" s="2" t="s">
        <v>7507</v>
      </c>
      <c r="K772" s="2" t="s">
        <v>7509</v>
      </c>
      <c r="L772" s="2" t="s">
        <v>7511</v>
      </c>
      <c r="M772" s="2" t="s">
        <v>7511</v>
      </c>
      <c r="N772" s="2" t="s">
        <v>290</v>
      </c>
      <c r="O772" s="2" t="s">
        <v>278</v>
      </c>
      <c r="P772" s="2" t="s">
        <v>396</v>
      </c>
      <c r="Q772" s="2" t="s">
        <v>7509</v>
      </c>
      <c r="R772" s="2"/>
      <c r="S772" s="2"/>
      <c r="T772" s="2"/>
      <c r="U772" s="2" t="s">
        <v>290</v>
      </c>
      <c r="V772" s="2" t="s">
        <v>278</v>
      </c>
      <c r="W772" s="2" t="s">
        <v>396</v>
      </c>
      <c r="X772" s="2" t="s">
        <v>7494</v>
      </c>
      <c r="Y772" s="2" t="s">
        <v>44</v>
      </c>
      <c r="Z772" s="2"/>
      <c r="AA772" s="2" t="s">
        <v>3527</v>
      </c>
      <c r="AB772" s="2" t="s">
        <v>46</v>
      </c>
      <c r="AC772" s="2" t="s">
        <v>3527</v>
      </c>
      <c r="AE772" s="2" t="s">
        <v>48</v>
      </c>
      <c r="AF772" s="2" t="s">
        <v>49</v>
      </c>
      <c r="AG772" s="2">
        <v>100</v>
      </c>
      <c r="AH772" s="2">
        <v>80</v>
      </c>
      <c r="AJ772" s="2" t="s">
        <v>7513</v>
      </c>
      <c r="AK772" s="2"/>
      <c r="AL772" s="2"/>
      <c r="AM772" s="2" t="s">
        <v>52</v>
      </c>
    </row>
    <row r="773" spans="1:39" x14ac:dyDescent="0.45">
      <c r="A773" s="2" t="s">
        <v>7514</v>
      </c>
      <c r="B773" s="2"/>
      <c r="C773" s="2" t="s">
        <v>7516</v>
      </c>
      <c r="D773" s="2" t="s">
        <v>7518</v>
      </c>
      <c r="E773" s="25"/>
      <c r="F773" s="21"/>
      <c r="G773" s="42" t="s">
        <v>28000</v>
      </c>
      <c r="H773" s="2" t="s">
        <v>50</v>
      </c>
      <c r="I773" s="2" t="s">
        <v>7520</v>
      </c>
      <c r="J773" s="2" t="s">
        <v>7515</v>
      </c>
      <c r="K773" s="2" t="s">
        <v>7517</v>
      </c>
      <c r="L773" s="2" t="s">
        <v>3562</v>
      </c>
      <c r="M773" s="2" t="s">
        <v>3562</v>
      </c>
      <c r="N773" s="2" t="s">
        <v>536</v>
      </c>
      <c r="O773" s="2" t="s">
        <v>537</v>
      </c>
      <c r="P773" s="2" t="s">
        <v>2431</v>
      </c>
      <c r="Q773" s="2" t="s">
        <v>7517</v>
      </c>
      <c r="R773" s="2"/>
      <c r="S773" s="2"/>
      <c r="T773" s="2"/>
      <c r="U773" s="2" t="s">
        <v>536</v>
      </c>
      <c r="V773" s="2" t="s">
        <v>537</v>
      </c>
      <c r="W773" s="2" t="s">
        <v>2431</v>
      </c>
      <c r="X773" s="2" t="s">
        <v>7519</v>
      </c>
      <c r="Y773" s="2" t="s">
        <v>44</v>
      </c>
      <c r="Z773" s="2"/>
      <c r="AA773" s="2" t="s">
        <v>3527</v>
      </c>
      <c r="AB773" s="2" t="s">
        <v>46</v>
      </c>
      <c r="AC773" s="2" t="s">
        <v>3527</v>
      </c>
      <c r="AE773" s="2" t="s">
        <v>48</v>
      </c>
      <c r="AF773" s="2" t="s">
        <v>49</v>
      </c>
      <c r="AG773" s="2">
        <v>100</v>
      </c>
      <c r="AH773" s="2">
        <v>80</v>
      </c>
      <c r="AJ773" s="2" t="s">
        <v>7521</v>
      </c>
      <c r="AK773" s="2"/>
      <c r="AL773" s="2"/>
      <c r="AM773" s="2" t="s">
        <v>52</v>
      </c>
    </row>
    <row r="774" spans="1:39" x14ac:dyDescent="0.45">
      <c r="A774" s="2" t="s">
        <v>7522</v>
      </c>
      <c r="B774" s="2"/>
      <c r="C774" s="2" t="s">
        <v>7524</v>
      </c>
      <c r="D774" s="2" t="s">
        <v>7526</v>
      </c>
      <c r="E774" s="25"/>
      <c r="F774" s="21"/>
      <c r="G774" s="42" t="s">
        <v>28000</v>
      </c>
      <c r="H774" s="2" t="s">
        <v>50</v>
      </c>
      <c r="I774" s="2" t="s">
        <v>7529</v>
      </c>
      <c r="J774" s="2" t="s">
        <v>7523</v>
      </c>
      <c r="K774" s="2" t="s">
        <v>7525</v>
      </c>
      <c r="L774" s="2" t="s">
        <v>7527</v>
      </c>
      <c r="M774" s="2" t="s">
        <v>7527</v>
      </c>
      <c r="N774" s="2" t="s">
        <v>72</v>
      </c>
      <c r="O774" s="2" t="s">
        <v>73</v>
      </c>
      <c r="P774" s="2" t="s">
        <v>791</v>
      </c>
      <c r="Q774" s="2"/>
      <c r="R774" s="2"/>
      <c r="S774" s="2"/>
      <c r="T774" s="2"/>
      <c r="U774" s="2"/>
      <c r="V774" s="2"/>
      <c r="W774" s="2"/>
      <c r="X774" s="2" t="s">
        <v>7528</v>
      </c>
      <c r="Y774" s="2" t="s">
        <v>44</v>
      </c>
      <c r="Z774" s="2"/>
      <c r="AA774" s="2" t="s">
        <v>3527</v>
      </c>
      <c r="AB774" s="2" t="s">
        <v>46</v>
      </c>
      <c r="AC774" s="2" t="s">
        <v>3527</v>
      </c>
      <c r="AE774" s="2" t="s">
        <v>48</v>
      </c>
      <c r="AF774" s="2" t="s">
        <v>49</v>
      </c>
      <c r="AG774" s="2">
        <v>100</v>
      </c>
      <c r="AH774" s="2">
        <v>80</v>
      </c>
      <c r="AJ774" s="2" t="s">
        <v>7530</v>
      </c>
      <c r="AK774" s="2"/>
      <c r="AL774" s="2"/>
      <c r="AM774" s="2" t="s">
        <v>52</v>
      </c>
    </row>
    <row r="775" spans="1:39" x14ac:dyDescent="0.45">
      <c r="A775" s="2" t="s">
        <v>7531</v>
      </c>
      <c r="B775" s="2"/>
      <c r="C775" s="2" t="s">
        <v>7533</v>
      </c>
      <c r="D775" s="2" t="s">
        <v>7535</v>
      </c>
      <c r="E775" s="25"/>
      <c r="F775" s="21"/>
      <c r="G775" s="42" t="s">
        <v>28000</v>
      </c>
      <c r="H775" s="2" t="s">
        <v>50</v>
      </c>
      <c r="I775" s="2" t="s">
        <v>7539</v>
      </c>
      <c r="J775" s="2" t="s">
        <v>7532</v>
      </c>
      <c r="K775" s="2" t="s">
        <v>7534</v>
      </c>
      <c r="L775" s="2" t="s">
        <v>7536</v>
      </c>
      <c r="M775" s="2" t="s">
        <v>7536</v>
      </c>
      <c r="N775" s="2" t="s">
        <v>72</v>
      </c>
      <c r="O775" s="2" t="s">
        <v>73</v>
      </c>
      <c r="P775" s="2" t="s">
        <v>3419</v>
      </c>
      <c r="Q775" s="2" t="s">
        <v>7537</v>
      </c>
      <c r="R775" s="2"/>
      <c r="S775" s="2"/>
      <c r="T775" s="2"/>
      <c r="U775" s="2" t="s">
        <v>72</v>
      </c>
      <c r="V775" s="2" t="s">
        <v>73</v>
      </c>
      <c r="W775" s="2" t="s">
        <v>609</v>
      </c>
      <c r="X775" s="2" t="s">
        <v>7538</v>
      </c>
      <c r="Y775" s="2" t="s">
        <v>44</v>
      </c>
      <c r="Z775" s="2"/>
      <c r="AA775" s="2" t="s">
        <v>3527</v>
      </c>
      <c r="AB775" s="2" t="s">
        <v>46</v>
      </c>
      <c r="AC775" s="2" t="s">
        <v>3527</v>
      </c>
      <c r="AE775" s="2" t="s">
        <v>48</v>
      </c>
      <c r="AF775" s="2" t="s">
        <v>49</v>
      </c>
      <c r="AG775" s="2">
        <v>100</v>
      </c>
      <c r="AH775" s="2">
        <v>80</v>
      </c>
      <c r="AJ775" s="2" t="s">
        <v>7540</v>
      </c>
      <c r="AK775" s="2"/>
      <c r="AL775" s="2"/>
      <c r="AM775" s="2" t="s">
        <v>52</v>
      </c>
    </row>
    <row r="776" spans="1:39" x14ac:dyDescent="0.45">
      <c r="A776" s="2" t="s">
        <v>7541</v>
      </c>
      <c r="B776" s="2"/>
      <c r="C776" s="2" t="s">
        <v>7543</v>
      </c>
      <c r="D776" s="2" t="s">
        <v>7545</v>
      </c>
      <c r="E776" s="25"/>
      <c r="F776" s="21"/>
      <c r="G776" s="42" t="s">
        <v>28000</v>
      </c>
      <c r="H776" s="2" t="s">
        <v>50</v>
      </c>
      <c r="I776" s="2" t="s">
        <v>7546</v>
      </c>
      <c r="J776" s="2" t="s">
        <v>7542</v>
      </c>
      <c r="K776" s="2" t="s">
        <v>7544</v>
      </c>
      <c r="L776" s="2" t="s">
        <v>58</v>
      </c>
      <c r="M776" s="2" t="s">
        <v>58</v>
      </c>
      <c r="N776" s="2" t="s">
        <v>59</v>
      </c>
      <c r="O776" s="2" t="s">
        <v>60</v>
      </c>
      <c r="P776" s="2" t="s">
        <v>61</v>
      </c>
      <c r="Q776" s="2" t="s">
        <v>7544</v>
      </c>
      <c r="R776" s="2"/>
      <c r="S776" s="2"/>
      <c r="T776" s="2"/>
      <c r="U776" s="2" t="s">
        <v>59</v>
      </c>
      <c r="V776" s="2" t="s">
        <v>60</v>
      </c>
      <c r="W776" s="2" t="s">
        <v>61</v>
      </c>
      <c r="X776" s="2" t="s">
        <v>5975</v>
      </c>
      <c r="Y776" s="2" t="s">
        <v>44</v>
      </c>
      <c r="Z776" s="2"/>
      <c r="AA776" s="2" t="s">
        <v>3527</v>
      </c>
      <c r="AB776" s="2" t="s">
        <v>46</v>
      </c>
      <c r="AC776" s="2" t="s">
        <v>3527</v>
      </c>
      <c r="AE776" s="2" t="s">
        <v>48</v>
      </c>
      <c r="AF776" s="2" t="s">
        <v>49</v>
      </c>
      <c r="AG776" s="2">
        <v>100</v>
      </c>
      <c r="AH776" s="2">
        <v>80</v>
      </c>
      <c r="AJ776" s="2" t="s">
        <v>7547</v>
      </c>
      <c r="AK776" s="2"/>
      <c r="AL776" s="2"/>
      <c r="AM776" s="2" t="s">
        <v>52</v>
      </c>
    </row>
    <row r="777" spans="1:39" x14ac:dyDescent="0.45">
      <c r="A777" s="2" t="s">
        <v>7548</v>
      </c>
      <c r="B777" s="2"/>
      <c r="C777" s="2" t="s">
        <v>7550</v>
      </c>
      <c r="D777" s="2" t="s">
        <v>7552</v>
      </c>
      <c r="E777" s="25"/>
      <c r="F777" s="21"/>
      <c r="G777" s="42" t="s">
        <v>28000</v>
      </c>
      <c r="H777" s="2" t="s">
        <v>50</v>
      </c>
      <c r="I777" s="2" t="s">
        <v>7556</v>
      </c>
      <c r="J777" s="2" t="s">
        <v>7549</v>
      </c>
      <c r="K777" s="2" t="s">
        <v>7551</v>
      </c>
      <c r="L777" s="2" t="s">
        <v>3562</v>
      </c>
      <c r="M777" s="2" t="s">
        <v>3562</v>
      </c>
      <c r="N777" s="2" t="s">
        <v>72</v>
      </c>
      <c r="O777" s="2" t="s">
        <v>73</v>
      </c>
      <c r="P777" s="2" t="s">
        <v>7553</v>
      </c>
      <c r="Q777" s="2" t="s">
        <v>7554</v>
      </c>
      <c r="R777" s="2"/>
      <c r="S777" s="2"/>
      <c r="T777" s="2"/>
      <c r="U777" s="2" t="s">
        <v>72</v>
      </c>
      <c r="V777" s="2" t="s">
        <v>73</v>
      </c>
      <c r="W777" s="2" t="s">
        <v>7553</v>
      </c>
      <c r="X777" s="2" t="s">
        <v>7555</v>
      </c>
      <c r="Y777" s="2" t="s">
        <v>44</v>
      </c>
      <c r="Z777" s="2"/>
      <c r="AA777" s="2" t="s">
        <v>3527</v>
      </c>
      <c r="AB777" s="2" t="s">
        <v>46</v>
      </c>
      <c r="AC777" s="2" t="s">
        <v>3527</v>
      </c>
      <c r="AE777" s="2" t="s">
        <v>48</v>
      </c>
      <c r="AF777" s="2" t="s">
        <v>49</v>
      </c>
      <c r="AG777" s="2">
        <v>100</v>
      </c>
      <c r="AH777" s="2">
        <v>80</v>
      </c>
      <c r="AJ777" s="2" t="s">
        <v>7557</v>
      </c>
      <c r="AK777" s="2"/>
      <c r="AL777" s="2"/>
      <c r="AM777" s="2" t="s">
        <v>52</v>
      </c>
    </row>
    <row r="778" spans="1:39" x14ac:dyDescent="0.45">
      <c r="A778" s="2" t="s">
        <v>7558</v>
      </c>
      <c r="B778" s="2"/>
      <c r="C778" s="2" t="s">
        <v>7560</v>
      </c>
      <c r="D778" s="2" t="s">
        <v>7562</v>
      </c>
      <c r="E778" s="25"/>
      <c r="F778" s="21"/>
      <c r="G778" s="42" t="s">
        <v>28000</v>
      </c>
      <c r="H778" s="2" t="s">
        <v>50</v>
      </c>
      <c r="I778" s="2" t="s">
        <v>7565</v>
      </c>
      <c r="J778" s="2" t="s">
        <v>7559</v>
      </c>
      <c r="K778" s="2" t="s">
        <v>7561</v>
      </c>
      <c r="L778" s="2" t="s">
        <v>7563</v>
      </c>
      <c r="M778" s="2"/>
      <c r="N778" s="2" t="s">
        <v>72</v>
      </c>
      <c r="O778" s="2" t="s">
        <v>73</v>
      </c>
      <c r="P778" s="2" t="s">
        <v>2800</v>
      </c>
      <c r="Q778" s="2" t="s">
        <v>7561</v>
      </c>
      <c r="R778" s="2"/>
      <c r="S778" s="2"/>
      <c r="T778" s="2"/>
      <c r="U778" s="2" t="s">
        <v>72</v>
      </c>
      <c r="V778" s="2" t="s">
        <v>73</v>
      </c>
      <c r="W778" s="2" t="s">
        <v>2800</v>
      </c>
      <c r="X778" s="2" t="s">
        <v>7564</v>
      </c>
      <c r="Y778" s="2" t="s">
        <v>44</v>
      </c>
      <c r="Z778" s="2"/>
      <c r="AA778" s="2" t="s">
        <v>3527</v>
      </c>
      <c r="AB778" s="2" t="s">
        <v>46</v>
      </c>
      <c r="AC778" s="2" t="s">
        <v>3527</v>
      </c>
      <c r="AE778" s="2" t="s">
        <v>48</v>
      </c>
      <c r="AF778" s="2" t="s">
        <v>49</v>
      </c>
      <c r="AG778" s="2">
        <v>100</v>
      </c>
      <c r="AH778" s="2">
        <v>80</v>
      </c>
      <c r="AJ778" s="2" t="s">
        <v>7566</v>
      </c>
      <c r="AK778" s="2"/>
      <c r="AL778" s="2"/>
      <c r="AM778" s="2" t="s">
        <v>52</v>
      </c>
    </row>
    <row r="779" spans="1:39" x14ac:dyDescent="0.45">
      <c r="A779" s="2" t="s">
        <v>7567</v>
      </c>
      <c r="B779" s="2"/>
      <c r="C779" s="2" t="s">
        <v>7569</v>
      </c>
      <c r="D779" s="2" t="s">
        <v>7571</v>
      </c>
      <c r="E779" s="25"/>
      <c r="F779" s="21"/>
      <c r="G779" s="42" t="s">
        <v>28000</v>
      </c>
      <c r="H779" s="2" t="s">
        <v>50</v>
      </c>
      <c r="I779" s="2" t="s">
        <v>7573</v>
      </c>
      <c r="J779" s="2" t="s">
        <v>7568</v>
      </c>
      <c r="K779" s="2" t="s">
        <v>7570</v>
      </c>
      <c r="L779" s="2" t="s">
        <v>7572</v>
      </c>
      <c r="M779" s="2" t="s">
        <v>7572</v>
      </c>
      <c r="N779" s="2" t="s">
        <v>1023</v>
      </c>
      <c r="O779" s="2" t="s">
        <v>73</v>
      </c>
      <c r="P779" s="2" t="s">
        <v>326</v>
      </c>
      <c r="Q779" s="2"/>
      <c r="R779" s="2"/>
      <c r="S779" s="2"/>
      <c r="T779" s="2"/>
      <c r="U779" s="2"/>
      <c r="V779" s="2"/>
      <c r="W779" s="2"/>
      <c r="X779" s="2" t="s">
        <v>743</v>
      </c>
      <c r="Y779" s="2" t="s">
        <v>44</v>
      </c>
      <c r="Z779" s="2"/>
      <c r="AA779" s="2" t="s">
        <v>3527</v>
      </c>
      <c r="AB779" s="2" t="s">
        <v>46</v>
      </c>
      <c r="AC779" s="2" t="s">
        <v>3527</v>
      </c>
      <c r="AE779" s="2" t="s">
        <v>48</v>
      </c>
      <c r="AF779" s="2" t="s">
        <v>49</v>
      </c>
      <c r="AG779" s="2">
        <v>100</v>
      </c>
      <c r="AH779" s="2">
        <v>80</v>
      </c>
      <c r="AJ779" s="2" t="s">
        <v>7574</v>
      </c>
      <c r="AK779" s="2"/>
      <c r="AL779" s="2"/>
      <c r="AM779" s="2" t="s">
        <v>52</v>
      </c>
    </row>
    <row r="780" spans="1:39" x14ac:dyDescent="0.45">
      <c r="A780" s="2" t="s">
        <v>7575</v>
      </c>
      <c r="B780" s="2"/>
      <c r="C780" s="2" t="s">
        <v>7577</v>
      </c>
      <c r="D780" s="2" t="s">
        <v>7579</v>
      </c>
      <c r="E780" s="25"/>
      <c r="F780" s="21"/>
      <c r="G780" s="42" t="s">
        <v>28000</v>
      </c>
      <c r="H780" s="2" t="s">
        <v>50</v>
      </c>
      <c r="I780" s="2" t="s">
        <v>7582</v>
      </c>
      <c r="J780" s="2" t="s">
        <v>7576</v>
      </c>
      <c r="K780" s="2" t="s">
        <v>7578</v>
      </c>
      <c r="L780" s="2" t="s">
        <v>7580</v>
      </c>
      <c r="M780" s="2" t="s">
        <v>7580</v>
      </c>
      <c r="N780" s="2" t="s">
        <v>384</v>
      </c>
      <c r="O780" s="2" t="s">
        <v>73</v>
      </c>
      <c r="P780" s="2" t="s">
        <v>7107</v>
      </c>
      <c r="Q780" s="2"/>
      <c r="R780" s="2"/>
      <c r="S780" s="2"/>
      <c r="T780" s="2"/>
      <c r="U780" s="2"/>
      <c r="V780" s="2"/>
      <c r="W780" s="2"/>
      <c r="X780" s="2" t="s">
        <v>7581</v>
      </c>
      <c r="Y780" s="2" t="s">
        <v>44</v>
      </c>
      <c r="Z780" s="2"/>
      <c r="AA780" s="2" t="s">
        <v>3527</v>
      </c>
      <c r="AB780" s="2" t="s">
        <v>46</v>
      </c>
      <c r="AC780" s="2" t="s">
        <v>3527</v>
      </c>
      <c r="AE780" s="2" t="s">
        <v>48</v>
      </c>
      <c r="AF780" s="2" t="s">
        <v>49</v>
      </c>
      <c r="AG780" s="2">
        <v>100</v>
      </c>
      <c r="AH780" s="2">
        <v>80</v>
      </c>
      <c r="AJ780" s="2" t="s">
        <v>7583</v>
      </c>
      <c r="AK780" s="2"/>
      <c r="AL780" s="2"/>
      <c r="AM780" s="2" t="s">
        <v>52</v>
      </c>
    </row>
    <row r="781" spans="1:39" x14ac:dyDescent="0.45">
      <c r="A781" s="2" t="s">
        <v>7584</v>
      </c>
      <c r="B781" s="2"/>
      <c r="C781" s="2" t="s">
        <v>7586</v>
      </c>
      <c r="D781" s="2" t="s">
        <v>7588</v>
      </c>
      <c r="E781" s="25"/>
      <c r="F781" s="21"/>
      <c r="G781" s="42" t="s">
        <v>28000</v>
      </c>
      <c r="H781" s="2" t="s">
        <v>50</v>
      </c>
      <c r="I781" s="2" t="s">
        <v>7590</v>
      </c>
      <c r="J781" s="2" t="s">
        <v>7585</v>
      </c>
      <c r="K781" s="2" t="s">
        <v>7587</v>
      </c>
      <c r="L781" s="2" t="s">
        <v>7589</v>
      </c>
      <c r="M781" s="2" t="s">
        <v>7589</v>
      </c>
      <c r="N781" s="2" t="s">
        <v>39</v>
      </c>
      <c r="O781" s="2" t="s">
        <v>40</v>
      </c>
      <c r="P781" s="2" t="s">
        <v>1711</v>
      </c>
      <c r="Q781" s="2"/>
      <c r="R781" s="2"/>
      <c r="S781" s="2"/>
      <c r="T781" s="2"/>
      <c r="U781" s="2"/>
      <c r="V781" s="2"/>
      <c r="W781" s="2"/>
      <c r="X781" s="2" t="s">
        <v>1072</v>
      </c>
      <c r="Y781" s="2" t="s">
        <v>44</v>
      </c>
      <c r="Z781" s="2"/>
      <c r="AA781" s="2" t="s">
        <v>3527</v>
      </c>
      <c r="AB781" s="2" t="s">
        <v>46</v>
      </c>
      <c r="AC781" s="2" t="s">
        <v>3527</v>
      </c>
      <c r="AE781" s="2" t="s">
        <v>48</v>
      </c>
      <c r="AF781" s="2" t="s">
        <v>49</v>
      </c>
      <c r="AG781" s="2">
        <v>100</v>
      </c>
      <c r="AH781" s="2">
        <v>80</v>
      </c>
      <c r="AJ781" s="2" t="s">
        <v>7591</v>
      </c>
      <c r="AK781" s="2"/>
      <c r="AL781" s="2"/>
      <c r="AM781" s="2" t="s">
        <v>52</v>
      </c>
    </row>
    <row r="782" spans="1:39" x14ac:dyDescent="0.45">
      <c r="A782" s="2" t="s">
        <v>7592</v>
      </c>
      <c r="B782" s="2"/>
      <c r="C782" s="2" t="s">
        <v>7594</v>
      </c>
      <c r="D782" s="2" t="s">
        <v>7596</v>
      </c>
      <c r="E782" s="25"/>
      <c r="F782" s="21"/>
      <c r="G782" s="42" t="s">
        <v>28000</v>
      </c>
      <c r="H782" s="2" t="s">
        <v>50</v>
      </c>
      <c r="I782" s="2" t="s">
        <v>7598</v>
      </c>
      <c r="J782" s="2" t="s">
        <v>7593</v>
      </c>
      <c r="K782" s="2" t="s">
        <v>7595</v>
      </c>
      <c r="L782" s="2" t="s">
        <v>3562</v>
      </c>
      <c r="M782" s="2" t="s">
        <v>3562</v>
      </c>
      <c r="N782" s="2" t="s">
        <v>59</v>
      </c>
      <c r="O782" s="2" t="s">
        <v>60</v>
      </c>
      <c r="P782" s="2" t="s">
        <v>1100</v>
      </c>
      <c r="Q782" s="2"/>
      <c r="R782" s="2"/>
      <c r="S782" s="2"/>
      <c r="T782" s="2"/>
      <c r="U782" s="2"/>
      <c r="V782" s="2"/>
      <c r="W782" s="2"/>
      <c r="X782" s="2" t="s">
        <v>7597</v>
      </c>
      <c r="Y782" s="2" t="s">
        <v>44</v>
      </c>
      <c r="Z782" s="2"/>
      <c r="AA782" s="2" t="s">
        <v>3527</v>
      </c>
      <c r="AB782" s="2" t="s">
        <v>46</v>
      </c>
      <c r="AC782" s="2" t="s">
        <v>3527</v>
      </c>
      <c r="AE782" s="2" t="s">
        <v>48</v>
      </c>
      <c r="AF782" s="2" t="s">
        <v>49</v>
      </c>
      <c r="AG782" s="2">
        <v>100</v>
      </c>
      <c r="AH782" s="2">
        <v>80</v>
      </c>
      <c r="AJ782" s="2" t="s">
        <v>7599</v>
      </c>
      <c r="AK782" s="2"/>
      <c r="AL782" s="2"/>
      <c r="AM782" s="2" t="s">
        <v>52</v>
      </c>
    </row>
    <row r="783" spans="1:39" x14ac:dyDescent="0.45">
      <c r="A783" s="2" t="s">
        <v>7600</v>
      </c>
      <c r="B783" s="2"/>
      <c r="C783" s="2" t="s">
        <v>7602</v>
      </c>
      <c r="D783" s="2" t="s">
        <v>7604</v>
      </c>
      <c r="E783" s="25"/>
      <c r="F783" s="21"/>
      <c r="G783" s="42" t="s">
        <v>28000</v>
      </c>
      <c r="H783" s="2" t="s">
        <v>50</v>
      </c>
      <c r="I783" s="2" t="s">
        <v>7606</v>
      </c>
      <c r="J783" s="2" t="s">
        <v>7601</v>
      </c>
      <c r="K783" s="2" t="s">
        <v>7603</v>
      </c>
      <c r="L783" s="2" t="s">
        <v>7605</v>
      </c>
      <c r="M783" s="2" t="s">
        <v>7605</v>
      </c>
      <c r="N783" s="2" t="s">
        <v>72</v>
      </c>
      <c r="O783" s="2" t="s">
        <v>73</v>
      </c>
      <c r="P783" s="2" t="s">
        <v>187</v>
      </c>
      <c r="Q783" s="2"/>
      <c r="R783" s="2"/>
      <c r="S783" s="2"/>
      <c r="T783" s="2"/>
      <c r="U783" s="2"/>
      <c r="V783" s="2"/>
      <c r="W783" s="2"/>
      <c r="X783" s="2" t="s">
        <v>7597</v>
      </c>
      <c r="Y783" s="2" t="s">
        <v>44</v>
      </c>
      <c r="Z783" s="2"/>
      <c r="AA783" s="2" t="s">
        <v>3527</v>
      </c>
      <c r="AB783" s="2" t="s">
        <v>46</v>
      </c>
      <c r="AC783" s="2" t="s">
        <v>3527</v>
      </c>
      <c r="AE783" s="2" t="s">
        <v>48</v>
      </c>
      <c r="AF783" s="2" t="s">
        <v>49</v>
      </c>
      <c r="AG783" s="2">
        <v>100</v>
      </c>
      <c r="AH783" s="2">
        <v>80</v>
      </c>
      <c r="AJ783" s="2" t="s">
        <v>7607</v>
      </c>
      <c r="AK783" s="2"/>
      <c r="AL783" s="2"/>
      <c r="AM783" s="2" t="s">
        <v>52</v>
      </c>
    </row>
    <row r="784" spans="1:39" x14ac:dyDescent="0.45">
      <c r="A784" s="2" t="s">
        <v>7608</v>
      </c>
      <c r="B784" s="2"/>
      <c r="C784" s="2" t="s">
        <v>7610</v>
      </c>
      <c r="D784" s="2" t="s">
        <v>7612</v>
      </c>
      <c r="E784" s="25"/>
      <c r="F784" s="21"/>
      <c r="G784" s="42" t="s">
        <v>28000</v>
      </c>
      <c r="H784" s="2" t="s">
        <v>50</v>
      </c>
      <c r="I784" s="2" t="s">
        <v>7614</v>
      </c>
      <c r="J784" s="2" t="s">
        <v>7609</v>
      </c>
      <c r="K784" s="2" t="s">
        <v>7611</v>
      </c>
      <c r="L784" s="2" t="s">
        <v>3562</v>
      </c>
      <c r="M784" s="2" t="s">
        <v>3562</v>
      </c>
      <c r="N784" s="2" t="s">
        <v>85</v>
      </c>
      <c r="O784" s="2" t="s">
        <v>86</v>
      </c>
      <c r="P784" s="2" t="s">
        <v>2353</v>
      </c>
      <c r="Q784" s="2" t="s">
        <v>7611</v>
      </c>
      <c r="R784" s="2"/>
      <c r="S784" s="2"/>
      <c r="T784" s="2"/>
      <c r="U784" s="2" t="s">
        <v>85</v>
      </c>
      <c r="V784" s="2" t="s">
        <v>86</v>
      </c>
      <c r="W784" s="2" t="s">
        <v>2353</v>
      </c>
      <c r="X784" s="2" t="s">
        <v>7613</v>
      </c>
      <c r="Y784" s="2" t="s">
        <v>44</v>
      </c>
      <c r="Z784" s="2"/>
      <c r="AA784" s="2" t="s">
        <v>3527</v>
      </c>
      <c r="AB784" s="2" t="s">
        <v>46</v>
      </c>
      <c r="AC784" s="2" t="s">
        <v>3527</v>
      </c>
      <c r="AE784" s="2" t="s">
        <v>48</v>
      </c>
      <c r="AF784" s="2" t="s">
        <v>49</v>
      </c>
      <c r="AG784" s="2">
        <v>100</v>
      </c>
      <c r="AH784" s="2">
        <v>80</v>
      </c>
      <c r="AJ784" s="2" t="s">
        <v>7615</v>
      </c>
      <c r="AK784" s="2"/>
      <c r="AL784" s="2"/>
      <c r="AM784" s="2" t="s">
        <v>52</v>
      </c>
    </row>
    <row r="785" spans="1:39" x14ac:dyDescent="0.45">
      <c r="A785" s="2" t="s">
        <v>7616</v>
      </c>
      <c r="B785" s="2"/>
      <c r="C785" s="2" t="s">
        <v>7618</v>
      </c>
      <c r="D785" s="2" t="s">
        <v>7620</v>
      </c>
      <c r="E785" s="25"/>
      <c r="F785" s="21"/>
      <c r="G785" s="42" t="s">
        <v>28000</v>
      </c>
      <c r="H785" s="2" t="s">
        <v>50</v>
      </c>
      <c r="I785" s="2" t="s">
        <v>7623</v>
      </c>
      <c r="J785" s="2" t="s">
        <v>7617</v>
      </c>
      <c r="K785" s="2" t="s">
        <v>7619</v>
      </c>
      <c r="L785" s="2" t="s">
        <v>7621</v>
      </c>
      <c r="M785" s="2" t="s">
        <v>7621</v>
      </c>
      <c r="N785" s="2" t="s">
        <v>290</v>
      </c>
      <c r="O785" s="2" t="s">
        <v>278</v>
      </c>
      <c r="P785" s="2" t="s">
        <v>7622</v>
      </c>
      <c r="Q785" s="2"/>
      <c r="R785" s="2"/>
      <c r="S785" s="2"/>
      <c r="T785" s="2"/>
      <c r="U785" s="2"/>
      <c r="V785" s="2"/>
      <c r="W785" s="2"/>
      <c r="X785" s="2" t="s">
        <v>963</v>
      </c>
      <c r="Y785" s="2" t="s">
        <v>44</v>
      </c>
      <c r="Z785" s="2"/>
      <c r="AA785" s="2" t="s">
        <v>3527</v>
      </c>
      <c r="AB785" s="2" t="s">
        <v>46</v>
      </c>
      <c r="AC785" s="2" t="s">
        <v>3527</v>
      </c>
      <c r="AE785" s="2" t="s">
        <v>48</v>
      </c>
      <c r="AF785" s="2" t="s">
        <v>49</v>
      </c>
      <c r="AG785" s="2">
        <v>100</v>
      </c>
      <c r="AH785" s="2">
        <v>80</v>
      </c>
      <c r="AJ785" s="2" t="s">
        <v>7624</v>
      </c>
      <c r="AK785" s="2"/>
      <c r="AL785" s="2"/>
      <c r="AM785" s="2" t="s">
        <v>52</v>
      </c>
    </row>
    <row r="786" spans="1:39" x14ac:dyDescent="0.45">
      <c r="A786" s="2" t="s">
        <v>7625</v>
      </c>
      <c r="B786" s="2"/>
      <c r="C786" s="2" t="s">
        <v>7627</v>
      </c>
      <c r="D786" s="2" t="s">
        <v>7629</v>
      </c>
      <c r="E786" s="25"/>
      <c r="F786" s="21"/>
      <c r="G786" s="42" t="s">
        <v>28000</v>
      </c>
      <c r="H786" s="2" t="s">
        <v>50</v>
      </c>
      <c r="I786" s="2" t="s">
        <v>7631</v>
      </c>
      <c r="J786" s="2" t="s">
        <v>7626</v>
      </c>
      <c r="K786" s="2" t="s">
        <v>7628</v>
      </c>
      <c r="L786" s="2" t="s">
        <v>7630</v>
      </c>
      <c r="M786" s="2" t="s">
        <v>7630</v>
      </c>
      <c r="N786" s="2" t="s">
        <v>216</v>
      </c>
      <c r="O786" s="2" t="s">
        <v>217</v>
      </c>
      <c r="P786" s="2" t="s">
        <v>1151</v>
      </c>
      <c r="Q786" s="2" t="s">
        <v>7628</v>
      </c>
      <c r="R786" s="2"/>
      <c r="S786" s="2"/>
      <c r="T786" s="2"/>
      <c r="U786" s="2" t="s">
        <v>216</v>
      </c>
      <c r="V786" s="2" t="s">
        <v>217</v>
      </c>
      <c r="W786" s="2" t="s">
        <v>1151</v>
      </c>
      <c r="X786" s="2" t="s">
        <v>5496</v>
      </c>
      <c r="Y786" s="2" t="s">
        <v>44</v>
      </c>
      <c r="Z786" s="2"/>
      <c r="AA786" s="2" t="s">
        <v>3527</v>
      </c>
      <c r="AB786" s="2" t="s">
        <v>46</v>
      </c>
      <c r="AC786" s="2" t="s">
        <v>3527</v>
      </c>
      <c r="AE786" s="2" t="s">
        <v>48</v>
      </c>
      <c r="AF786" s="2" t="s">
        <v>49</v>
      </c>
      <c r="AG786" s="2">
        <v>100</v>
      </c>
      <c r="AH786" s="2">
        <v>80</v>
      </c>
      <c r="AJ786" s="2" t="s">
        <v>7632</v>
      </c>
      <c r="AK786" s="2"/>
      <c r="AL786" s="2"/>
      <c r="AM786" s="2" t="s">
        <v>52</v>
      </c>
    </row>
    <row r="787" spans="1:39" x14ac:dyDescent="0.45">
      <c r="A787" s="2" t="s">
        <v>7633</v>
      </c>
      <c r="B787" s="2"/>
      <c r="C787" s="2" t="s">
        <v>7635</v>
      </c>
      <c r="D787" s="2" t="s">
        <v>7637</v>
      </c>
      <c r="E787" s="25"/>
      <c r="F787" s="21"/>
      <c r="G787" s="42" t="s">
        <v>28000</v>
      </c>
      <c r="H787" s="2" t="s">
        <v>50</v>
      </c>
      <c r="I787" s="2" t="s">
        <v>7639</v>
      </c>
      <c r="J787" s="2" t="s">
        <v>7634</v>
      </c>
      <c r="K787" s="2" t="s">
        <v>7636</v>
      </c>
      <c r="L787" s="2" t="s">
        <v>7638</v>
      </c>
      <c r="M787" s="2"/>
      <c r="N787" s="2" t="s">
        <v>72</v>
      </c>
      <c r="O787" s="2" t="s">
        <v>73</v>
      </c>
      <c r="P787" s="2" t="s">
        <v>2372</v>
      </c>
      <c r="Q787" s="2" t="s">
        <v>7636</v>
      </c>
      <c r="R787" s="2"/>
      <c r="S787" s="2"/>
      <c r="T787" s="2"/>
      <c r="U787" s="2" t="s">
        <v>72</v>
      </c>
      <c r="V787" s="2" t="s">
        <v>73</v>
      </c>
      <c r="W787" s="2" t="s">
        <v>2372</v>
      </c>
      <c r="X787" s="2" t="s">
        <v>1419</v>
      </c>
      <c r="Y787" s="2" t="s">
        <v>44</v>
      </c>
      <c r="Z787" s="2"/>
      <c r="AA787" s="2" t="s">
        <v>3527</v>
      </c>
      <c r="AB787" s="2" t="s">
        <v>46</v>
      </c>
      <c r="AC787" s="2" t="s">
        <v>3527</v>
      </c>
      <c r="AE787" s="2" t="s">
        <v>48</v>
      </c>
      <c r="AF787" s="2" t="s">
        <v>49</v>
      </c>
      <c r="AG787" s="2">
        <v>100</v>
      </c>
      <c r="AH787" s="2">
        <v>80</v>
      </c>
      <c r="AJ787" s="2" t="s">
        <v>7640</v>
      </c>
      <c r="AK787" s="2"/>
      <c r="AL787" s="2"/>
      <c r="AM787" s="2" t="s">
        <v>52</v>
      </c>
    </row>
    <row r="788" spans="1:39" x14ac:dyDescent="0.45">
      <c r="A788" s="2" t="s">
        <v>7641</v>
      </c>
      <c r="B788" s="2"/>
      <c r="C788" s="2" t="s">
        <v>7643</v>
      </c>
      <c r="D788" s="2" t="s">
        <v>7645</v>
      </c>
      <c r="E788" s="25"/>
      <c r="F788" s="21"/>
      <c r="G788" s="42" t="s">
        <v>28000</v>
      </c>
      <c r="H788" s="2" t="s">
        <v>50</v>
      </c>
      <c r="I788" s="2" t="s">
        <v>7649</v>
      </c>
      <c r="J788" s="2" t="s">
        <v>7642</v>
      </c>
      <c r="K788" s="2" t="s">
        <v>7644</v>
      </c>
      <c r="L788" s="2" t="s">
        <v>7646</v>
      </c>
      <c r="M788" s="2" t="s">
        <v>7646</v>
      </c>
      <c r="N788" s="2" t="s">
        <v>312</v>
      </c>
      <c r="O788" s="2" t="s">
        <v>313</v>
      </c>
      <c r="P788" s="2" t="s">
        <v>7647</v>
      </c>
      <c r="Q788" s="2"/>
      <c r="R788" s="2"/>
      <c r="S788" s="2"/>
      <c r="T788" s="2"/>
      <c r="U788" s="2"/>
      <c r="V788" s="2"/>
      <c r="W788" s="2"/>
      <c r="X788" s="2" t="s">
        <v>7648</v>
      </c>
      <c r="Y788" s="2" t="s">
        <v>44</v>
      </c>
      <c r="Z788" s="2"/>
      <c r="AA788" s="2" t="s">
        <v>3527</v>
      </c>
      <c r="AB788" s="2" t="s">
        <v>46</v>
      </c>
      <c r="AC788" s="2" t="s">
        <v>3527</v>
      </c>
      <c r="AE788" s="2" t="s">
        <v>48</v>
      </c>
      <c r="AF788" s="2" t="s">
        <v>49</v>
      </c>
      <c r="AG788" s="2">
        <v>100</v>
      </c>
      <c r="AH788" s="2">
        <v>80</v>
      </c>
      <c r="AJ788" s="2" t="s">
        <v>7650</v>
      </c>
      <c r="AK788" s="2"/>
      <c r="AL788" s="2"/>
      <c r="AM788" s="2" t="s">
        <v>52</v>
      </c>
    </row>
    <row r="789" spans="1:39" x14ac:dyDescent="0.45">
      <c r="A789" s="2" t="s">
        <v>7651</v>
      </c>
      <c r="B789" s="2"/>
      <c r="C789" s="2" t="s">
        <v>7653</v>
      </c>
      <c r="D789" s="2" t="s">
        <v>7655</v>
      </c>
      <c r="E789" s="25"/>
      <c r="F789" s="21"/>
      <c r="G789" s="42" t="s">
        <v>28000</v>
      </c>
      <c r="H789" s="2" t="s">
        <v>50</v>
      </c>
      <c r="I789" s="2" t="s">
        <v>7656</v>
      </c>
      <c r="J789" s="2" t="s">
        <v>7652</v>
      </c>
      <c r="K789" s="2" t="s">
        <v>7654</v>
      </c>
      <c r="L789" s="2" t="s">
        <v>3562</v>
      </c>
      <c r="M789" s="2" t="s">
        <v>3562</v>
      </c>
      <c r="N789" s="2" t="s">
        <v>59</v>
      </c>
      <c r="O789" s="2" t="s">
        <v>60</v>
      </c>
      <c r="P789" s="2" t="s">
        <v>5251</v>
      </c>
      <c r="Q789" s="2" t="s">
        <v>7654</v>
      </c>
      <c r="R789" s="2"/>
      <c r="S789" s="2"/>
      <c r="T789" s="2"/>
      <c r="U789" s="2" t="s">
        <v>59</v>
      </c>
      <c r="V789" s="2" t="s">
        <v>60</v>
      </c>
      <c r="W789" s="2" t="s">
        <v>5251</v>
      </c>
      <c r="X789" s="2" t="s">
        <v>4876</v>
      </c>
      <c r="Y789" s="2" t="s">
        <v>44</v>
      </c>
      <c r="Z789" s="2"/>
      <c r="AA789" s="2" t="s">
        <v>3527</v>
      </c>
      <c r="AB789" s="2" t="s">
        <v>46</v>
      </c>
      <c r="AC789" s="2" t="s">
        <v>3527</v>
      </c>
      <c r="AE789" s="2" t="s">
        <v>48</v>
      </c>
      <c r="AF789" s="2" t="s">
        <v>49</v>
      </c>
      <c r="AG789" s="2">
        <v>100</v>
      </c>
      <c r="AH789" s="2">
        <v>80</v>
      </c>
      <c r="AJ789" s="2" t="s">
        <v>7657</v>
      </c>
      <c r="AK789" s="2"/>
      <c r="AL789" s="2"/>
      <c r="AM789" s="2" t="s">
        <v>52</v>
      </c>
    </row>
    <row r="790" spans="1:39" x14ac:dyDescent="0.45">
      <c r="A790" s="2" t="s">
        <v>7658</v>
      </c>
      <c r="B790" s="2"/>
      <c r="C790" s="2" t="s">
        <v>7660</v>
      </c>
      <c r="D790" s="2" t="s">
        <v>7662</v>
      </c>
      <c r="E790" s="25"/>
      <c r="F790" s="21"/>
      <c r="G790" s="42" t="s">
        <v>28000</v>
      </c>
      <c r="H790" s="2" t="s">
        <v>50</v>
      </c>
      <c r="I790" s="2" t="s">
        <v>7665</v>
      </c>
      <c r="J790" s="2" t="s">
        <v>7659</v>
      </c>
      <c r="K790" s="2" t="s">
        <v>7661</v>
      </c>
      <c r="L790" s="2" t="s">
        <v>7663</v>
      </c>
      <c r="M790" s="2" t="s">
        <v>7663</v>
      </c>
      <c r="N790" s="2" t="s">
        <v>324</v>
      </c>
      <c r="O790" s="2" t="s">
        <v>73</v>
      </c>
      <c r="P790" s="2" t="s">
        <v>7664</v>
      </c>
      <c r="Q790" s="2"/>
      <c r="R790" s="2"/>
      <c r="S790" s="2"/>
      <c r="T790" s="2"/>
      <c r="U790" s="2"/>
      <c r="V790" s="2"/>
      <c r="W790" s="2"/>
      <c r="X790" s="2" t="s">
        <v>5538</v>
      </c>
      <c r="Y790" s="2" t="s">
        <v>44</v>
      </c>
      <c r="Z790" s="2"/>
      <c r="AA790" s="2" t="s">
        <v>3527</v>
      </c>
      <c r="AB790" s="2" t="s">
        <v>46</v>
      </c>
      <c r="AC790" s="2" t="s">
        <v>3527</v>
      </c>
      <c r="AE790" s="2" t="s">
        <v>48</v>
      </c>
      <c r="AF790" s="2" t="s">
        <v>49</v>
      </c>
      <c r="AG790" s="2">
        <v>100</v>
      </c>
      <c r="AH790" s="2">
        <v>80</v>
      </c>
      <c r="AJ790" s="2" t="s">
        <v>7666</v>
      </c>
      <c r="AK790" s="2"/>
      <c r="AL790" s="2"/>
      <c r="AM790" s="2" t="s">
        <v>52</v>
      </c>
    </row>
    <row r="791" spans="1:39" x14ac:dyDescent="0.45">
      <c r="A791" s="2" t="s">
        <v>7667</v>
      </c>
      <c r="B791" s="2"/>
      <c r="C791" s="2" t="s">
        <v>7669</v>
      </c>
      <c r="D791" s="2" t="s">
        <v>7671</v>
      </c>
      <c r="E791" s="25"/>
      <c r="F791" s="21"/>
      <c r="G791" s="42" t="s">
        <v>28000</v>
      </c>
      <c r="H791" s="2" t="s">
        <v>50</v>
      </c>
      <c r="I791" s="2" t="s">
        <v>7673</v>
      </c>
      <c r="J791" s="2" t="s">
        <v>7668</v>
      </c>
      <c r="K791" s="2" t="s">
        <v>7670</v>
      </c>
      <c r="L791" s="2" t="s">
        <v>7672</v>
      </c>
      <c r="M791" s="2" t="s">
        <v>7672</v>
      </c>
      <c r="N791" s="2" t="s">
        <v>59</v>
      </c>
      <c r="O791" s="2" t="s">
        <v>60</v>
      </c>
      <c r="P791" s="2" t="s">
        <v>2323</v>
      </c>
      <c r="Q791" s="2" t="s">
        <v>7670</v>
      </c>
      <c r="R791" s="2"/>
      <c r="S791" s="2"/>
      <c r="T791" s="2"/>
      <c r="U791" s="2" t="s">
        <v>59</v>
      </c>
      <c r="V791" s="2" t="s">
        <v>60</v>
      </c>
      <c r="W791" s="2" t="s">
        <v>2323</v>
      </c>
      <c r="X791" s="2" t="s">
        <v>5538</v>
      </c>
      <c r="Y791" s="2" t="s">
        <v>44</v>
      </c>
      <c r="Z791" s="2"/>
      <c r="AA791" s="2" t="s">
        <v>3527</v>
      </c>
      <c r="AB791" s="2" t="s">
        <v>46</v>
      </c>
      <c r="AC791" s="2" t="s">
        <v>3527</v>
      </c>
      <c r="AE791" s="2" t="s">
        <v>48</v>
      </c>
      <c r="AF791" s="2" t="s">
        <v>49</v>
      </c>
      <c r="AG791" s="2">
        <v>100</v>
      </c>
      <c r="AH791" s="2">
        <v>80</v>
      </c>
      <c r="AJ791" s="2" t="s">
        <v>7674</v>
      </c>
      <c r="AK791" s="2"/>
      <c r="AL791" s="2"/>
      <c r="AM791" s="2" t="s">
        <v>52</v>
      </c>
    </row>
    <row r="792" spans="1:39" x14ac:dyDescent="0.45">
      <c r="A792" s="2" t="s">
        <v>7675</v>
      </c>
      <c r="B792" s="2"/>
      <c r="C792" s="2" t="s">
        <v>7677</v>
      </c>
      <c r="D792" s="2" t="s">
        <v>7679</v>
      </c>
      <c r="E792" s="25"/>
      <c r="F792" s="21"/>
      <c r="G792" s="42" t="s">
        <v>28000</v>
      </c>
      <c r="H792" s="2" t="s">
        <v>50</v>
      </c>
      <c r="I792" s="2" t="s">
        <v>7681</v>
      </c>
      <c r="J792" s="2" t="s">
        <v>7676</v>
      </c>
      <c r="K792" s="2" t="s">
        <v>7678</v>
      </c>
      <c r="L792" s="2" t="s">
        <v>3562</v>
      </c>
      <c r="M792" s="2" t="s">
        <v>3562</v>
      </c>
      <c r="N792" s="2" t="s">
        <v>384</v>
      </c>
      <c r="O792" s="2" t="s">
        <v>73</v>
      </c>
      <c r="P792" s="2" t="s">
        <v>1837</v>
      </c>
      <c r="Q792" s="2" t="s">
        <v>7680</v>
      </c>
      <c r="R792" s="2"/>
      <c r="S792" s="2"/>
      <c r="T792" s="2"/>
      <c r="U792" s="2" t="s">
        <v>384</v>
      </c>
      <c r="V792" s="2" t="s">
        <v>73</v>
      </c>
      <c r="W792" s="2" t="s">
        <v>1837</v>
      </c>
      <c r="X792" s="2" t="s">
        <v>5548</v>
      </c>
      <c r="Y792" s="2" t="s">
        <v>44</v>
      </c>
      <c r="Z792" s="2"/>
      <c r="AA792" s="2" t="s">
        <v>3527</v>
      </c>
      <c r="AB792" s="2" t="s">
        <v>46</v>
      </c>
      <c r="AC792" s="2" t="s">
        <v>3527</v>
      </c>
      <c r="AE792" s="2" t="s">
        <v>48</v>
      </c>
      <c r="AF792" s="2" t="s">
        <v>49</v>
      </c>
      <c r="AG792" s="2">
        <v>100</v>
      </c>
      <c r="AH792" s="2">
        <v>80</v>
      </c>
      <c r="AJ792" s="2" t="s">
        <v>7682</v>
      </c>
      <c r="AK792" s="2"/>
      <c r="AL792" s="2"/>
      <c r="AM792" s="2" t="s">
        <v>52</v>
      </c>
    </row>
    <row r="793" spans="1:39" x14ac:dyDescent="0.45">
      <c r="A793" s="2" t="s">
        <v>7683</v>
      </c>
      <c r="B793" s="2"/>
      <c r="C793" s="2" t="s">
        <v>7685</v>
      </c>
      <c r="D793" s="2" t="s">
        <v>7687</v>
      </c>
      <c r="E793" s="25"/>
      <c r="F793" s="21"/>
      <c r="G793" s="42" t="s">
        <v>28000</v>
      </c>
      <c r="H793" s="2" t="s">
        <v>50</v>
      </c>
      <c r="I793" s="2" t="s">
        <v>7689</v>
      </c>
      <c r="J793" s="2" t="s">
        <v>7684</v>
      </c>
      <c r="K793" s="2" t="s">
        <v>7686</v>
      </c>
      <c r="L793" s="2" t="s">
        <v>7688</v>
      </c>
      <c r="M793" s="2" t="s">
        <v>7688</v>
      </c>
      <c r="N793" s="2" t="s">
        <v>72</v>
      </c>
      <c r="O793" s="2" t="s">
        <v>73</v>
      </c>
      <c r="P793" s="2" t="s">
        <v>484</v>
      </c>
      <c r="Q793" s="2"/>
      <c r="R793" s="2"/>
      <c r="S793" s="2"/>
      <c r="T793" s="2"/>
      <c r="U793" s="2"/>
      <c r="V793" s="2"/>
      <c r="W793" s="2"/>
      <c r="X793" s="2" t="s">
        <v>5557</v>
      </c>
      <c r="Y793" s="2" t="s">
        <v>44</v>
      </c>
      <c r="Z793" s="2"/>
      <c r="AA793" s="2" t="s">
        <v>3527</v>
      </c>
      <c r="AB793" s="2" t="s">
        <v>46</v>
      </c>
      <c r="AC793" s="2" t="s">
        <v>3527</v>
      </c>
      <c r="AE793" s="2" t="s">
        <v>48</v>
      </c>
      <c r="AF793" s="2" t="s">
        <v>49</v>
      </c>
      <c r="AG793" s="2">
        <v>100</v>
      </c>
      <c r="AH793" s="2">
        <v>80</v>
      </c>
      <c r="AJ793" s="2" t="s">
        <v>7690</v>
      </c>
      <c r="AK793" s="2"/>
      <c r="AL793" s="2"/>
      <c r="AM793" s="2" t="s">
        <v>52</v>
      </c>
    </row>
    <row r="794" spans="1:39" x14ac:dyDescent="0.45">
      <c r="A794" s="2" t="s">
        <v>7691</v>
      </c>
      <c r="B794" s="2"/>
      <c r="C794" s="2" t="s">
        <v>7693</v>
      </c>
      <c r="D794" s="2" t="s">
        <v>7695</v>
      </c>
      <c r="E794" s="25"/>
      <c r="F794" s="21"/>
      <c r="G794" s="42" t="s">
        <v>28000</v>
      </c>
      <c r="H794" s="2" t="s">
        <v>50</v>
      </c>
      <c r="I794" s="2" t="s">
        <v>7697</v>
      </c>
      <c r="J794" s="2" t="s">
        <v>7692</v>
      </c>
      <c r="K794" s="2" t="s">
        <v>7694</v>
      </c>
      <c r="L794" s="2" t="s">
        <v>709</v>
      </c>
      <c r="M794" s="2" t="s">
        <v>709</v>
      </c>
      <c r="N794" s="2" t="s">
        <v>1023</v>
      </c>
      <c r="O794" s="2" t="s">
        <v>73</v>
      </c>
      <c r="P794" s="2" t="s">
        <v>5695</v>
      </c>
      <c r="Q794" s="2" t="s">
        <v>7694</v>
      </c>
      <c r="R794" s="2"/>
      <c r="S794" s="2"/>
      <c r="T794" s="2"/>
      <c r="U794" s="2" t="s">
        <v>1023</v>
      </c>
      <c r="V794" s="2" t="s">
        <v>73</v>
      </c>
      <c r="W794" s="2" t="s">
        <v>5695</v>
      </c>
      <c r="X794" s="2" t="s">
        <v>7696</v>
      </c>
      <c r="Y794" s="2" t="s">
        <v>44</v>
      </c>
      <c r="Z794" s="2"/>
      <c r="AA794" s="2" t="s">
        <v>3527</v>
      </c>
      <c r="AB794" s="2" t="s">
        <v>46</v>
      </c>
      <c r="AC794" s="2" t="s">
        <v>3527</v>
      </c>
      <c r="AE794" s="2" t="s">
        <v>48</v>
      </c>
      <c r="AF794" s="2" t="s">
        <v>49</v>
      </c>
      <c r="AG794" s="2">
        <v>100</v>
      </c>
      <c r="AH794" s="2">
        <v>80</v>
      </c>
      <c r="AJ794" s="2" t="s">
        <v>7698</v>
      </c>
      <c r="AK794" s="2"/>
      <c r="AL794" s="2"/>
      <c r="AM794" s="2" t="s">
        <v>52</v>
      </c>
    </row>
    <row r="795" spans="1:39" x14ac:dyDescent="0.45">
      <c r="A795" s="2" t="s">
        <v>7699</v>
      </c>
      <c r="B795" s="2"/>
      <c r="C795" s="2" t="s">
        <v>7701</v>
      </c>
      <c r="D795" s="2" t="s">
        <v>7703</v>
      </c>
      <c r="E795" s="25"/>
      <c r="F795" s="21"/>
      <c r="G795" s="42" t="s">
        <v>28000</v>
      </c>
      <c r="H795" s="2" t="s">
        <v>50</v>
      </c>
      <c r="I795" s="2" t="s">
        <v>7705</v>
      </c>
      <c r="J795" s="2" t="s">
        <v>7700</v>
      </c>
      <c r="K795" s="2" t="s">
        <v>7702</v>
      </c>
      <c r="L795" s="2" t="s">
        <v>709</v>
      </c>
      <c r="M795" s="2" t="s">
        <v>709</v>
      </c>
      <c r="N795" s="2" t="s">
        <v>324</v>
      </c>
      <c r="O795" s="2" t="s">
        <v>73</v>
      </c>
      <c r="P795" s="2" t="s">
        <v>4463</v>
      </c>
      <c r="Q795" s="2" t="s">
        <v>7702</v>
      </c>
      <c r="R795" s="2"/>
      <c r="S795" s="2"/>
      <c r="T795" s="2"/>
      <c r="U795" s="2" t="s">
        <v>324</v>
      </c>
      <c r="V795" s="2" t="s">
        <v>73</v>
      </c>
      <c r="W795" s="2" t="s">
        <v>4463</v>
      </c>
      <c r="X795" s="2" t="s">
        <v>7704</v>
      </c>
      <c r="Y795" s="2" t="s">
        <v>44</v>
      </c>
      <c r="Z795" s="2"/>
      <c r="AA795" s="2" t="s">
        <v>3527</v>
      </c>
      <c r="AB795" s="2" t="s">
        <v>46</v>
      </c>
      <c r="AC795" s="2" t="s">
        <v>3527</v>
      </c>
      <c r="AE795" s="2" t="s">
        <v>48</v>
      </c>
      <c r="AF795" s="2" t="s">
        <v>49</v>
      </c>
      <c r="AG795" s="2">
        <v>100</v>
      </c>
      <c r="AH795" s="2">
        <v>80</v>
      </c>
      <c r="AJ795" s="2" t="s">
        <v>7706</v>
      </c>
      <c r="AK795" s="2"/>
      <c r="AL795" s="2"/>
      <c r="AM795" s="2" t="s">
        <v>52</v>
      </c>
    </row>
    <row r="796" spans="1:39" x14ac:dyDescent="0.45">
      <c r="A796" s="2" t="s">
        <v>7707</v>
      </c>
      <c r="B796" s="2"/>
      <c r="C796" s="2" t="s">
        <v>7709</v>
      </c>
      <c r="D796" s="2" t="s">
        <v>7711</v>
      </c>
      <c r="E796" s="25"/>
      <c r="F796" s="21"/>
      <c r="G796" s="42" t="s">
        <v>28000</v>
      </c>
      <c r="H796" s="2" t="s">
        <v>50</v>
      </c>
      <c r="I796" s="2" t="s">
        <v>7713</v>
      </c>
      <c r="J796" s="2" t="s">
        <v>7708</v>
      </c>
      <c r="K796" s="2" t="s">
        <v>7710</v>
      </c>
      <c r="L796" s="2" t="s">
        <v>7712</v>
      </c>
      <c r="M796" s="2" t="s">
        <v>7712</v>
      </c>
      <c r="N796" s="2" t="s">
        <v>72</v>
      </c>
      <c r="O796" s="2" t="s">
        <v>73</v>
      </c>
      <c r="P796" s="2" t="s">
        <v>187</v>
      </c>
      <c r="Q796" s="2" t="s">
        <v>7710</v>
      </c>
      <c r="R796" s="2"/>
      <c r="S796" s="2"/>
      <c r="T796" s="2"/>
      <c r="U796" s="2" t="s">
        <v>72</v>
      </c>
      <c r="V796" s="2" t="s">
        <v>73</v>
      </c>
      <c r="W796" s="2" t="s">
        <v>187</v>
      </c>
      <c r="X796" s="2" t="s">
        <v>3458</v>
      </c>
      <c r="Y796" s="2" t="s">
        <v>44</v>
      </c>
      <c r="Z796" s="2"/>
      <c r="AA796" s="2" t="s">
        <v>3527</v>
      </c>
      <c r="AB796" s="2" t="s">
        <v>46</v>
      </c>
      <c r="AC796" s="2" t="s">
        <v>3527</v>
      </c>
      <c r="AE796" s="2" t="s">
        <v>48</v>
      </c>
      <c r="AF796" s="2" t="s">
        <v>49</v>
      </c>
      <c r="AG796" s="2">
        <v>100</v>
      </c>
      <c r="AH796" s="2">
        <v>80</v>
      </c>
      <c r="AJ796" s="2" t="s">
        <v>7714</v>
      </c>
      <c r="AK796" s="2"/>
      <c r="AL796" s="2"/>
      <c r="AM796" s="2" t="s">
        <v>52</v>
      </c>
    </row>
    <row r="797" spans="1:39" x14ac:dyDescent="0.45">
      <c r="A797" s="2" t="s">
        <v>7715</v>
      </c>
      <c r="B797" s="2"/>
      <c r="C797" s="2" t="s">
        <v>7717</v>
      </c>
      <c r="D797" s="2" t="s">
        <v>7719</v>
      </c>
      <c r="E797" s="25"/>
      <c r="F797" s="21"/>
      <c r="G797" s="42" t="s">
        <v>28000</v>
      </c>
      <c r="H797" s="2" t="s">
        <v>50</v>
      </c>
      <c r="I797" s="2" t="s">
        <v>7722</v>
      </c>
      <c r="J797" s="2" t="s">
        <v>7716</v>
      </c>
      <c r="K797" s="2" t="s">
        <v>7718</v>
      </c>
      <c r="L797" s="2" t="s">
        <v>7720</v>
      </c>
      <c r="M797" s="2" t="s">
        <v>7720</v>
      </c>
      <c r="N797" s="2" t="s">
        <v>174</v>
      </c>
      <c r="O797" s="2" t="s">
        <v>175</v>
      </c>
      <c r="P797" s="2" t="s">
        <v>176</v>
      </c>
      <c r="Q797" s="2" t="s">
        <v>7721</v>
      </c>
      <c r="R797" s="2"/>
      <c r="S797" s="2"/>
      <c r="T797" s="2"/>
      <c r="U797" s="2" t="s">
        <v>174</v>
      </c>
      <c r="V797" s="2" t="s">
        <v>175</v>
      </c>
      <c r="W797" s="2" t="s">
        <v>176</v>
      </c>
      <c r="X797" s="2" t="s">
        <v>5594</v>
      </c>
      <c r="Y797" s="2" t="s">
        <v>44</v>
      </c>
      <c r="Z797" s="2"/>
      <c r="AA797" s="2" t="s">
        <v>3527</v>
      </c>
      <c r="AB797" s="2" t="s">
        <v>46</v>
      </c>
      <c r="AC797" s="2" t="s">
        <v>3527</v>
      </c>
      <c r="AE797" s="2" t="s">
        <v>48</v>
      </c>
      <c r="AF797" s="2" t="s">
        <v>49</v>
      </c>
      <c r="AG797" s="2">
        <v>100</v>
      </c>
      <c r="AH797" s="2">
        <v>80</v>
      </c>
      <c r="AJ797" s="2" t="s">
        <v>7723</v>
      </c>
      <c r="AK797" s="2"/>
      <c r="AL797" s="2"/>
      <c r="AM797" s="2" t="s">
        <v>52</v>
      </c>
    </row>
    <row r="798" spans="1:39" x14ac:dyDescent="0.45">
      <c r="A798" s="2" t="s">
        <v>7724</v>
      </c>
      <c r="B798" s="2"/>
      <c r="C798" s="2" t="s">
        <v>7726</v>
      </c>
      <c r="D798" s="2" t="s">
        <v>7728</v>
      </c>
      <c r="E798" s="25"/>
      <c r="F798" s="21"/>
      <c r="G798" s="42" t="s">
        <v>28000</v>
      </c>
      <c r="H798" s="2" t="s">
        <v>50</v>
      </c>
      <c r="I798" s="2" t="s">
        <v>7731</v>
      </c>
      <c r="J798" s="2" t="s">
        <v>7725</v>
      </c>
      <c r="K798" s="2" t="s">
        <v>7727</v>
      </c>
      <c r="L798" s="2" t="s">
        <v>7729</v>
      </c>
      <c r="M798" s="2" t="s">
        <v>7729</v>
      </c>
      <c r="N798" s="2" t="s">
        <v>72</v>
      </c>
      <c r="O798" s="2" t="s">
        <v>73</v>
      </c>
      <c r="P798" s="2" t="s">
        <v>232</v>
      </c>
      <c r="Q798" s="2" t="s">
        <v>7727</v>
      </c>
      <c r="R798" s="2"/>
      <c r="S798" s="2"/>
      <c r="T798" s="2"/>
      <c r="U798" s="2" t="s">
        <v>72</v>
      </c>
      <c r="V798" s="2" t="s">
        <v>73</v>
      </c>
      <c r="W798" s="2" t="s">
        <v>232</v>
      </c>
      <c r="X798" s="2" t="s">
        <v>7730</v>
      </c>
      <c r="Y798" s="2" t="s">
        <v>44</v>
      </c>
      <c r="Z798" s="2"/>
      <c r="AA798" s="2" t="s">
        <v>3527</v>
      </c>
      <c r="AB798" s="2" t="s">
        <v>46</v>
      </c>
      <c r="AC798" s="2" t="s">
        <v>3527</v>
      </c>
      <c r="AE798" s="2" t="s">
        <v>48</v>
      </c>
      <c r="AF798" s="2" t="s">
        <v>49</v>
      </c>
      <c r="AG798" s="2">
        <v>100</v>
      </c>
      <c r="AH798" s="2">
        <v>80</v>
      </c>
      <c r="AJ798" s="2" t="s">
        <v>7732</v>
      </c>
      <c r="AK798" s="2"/>
      <c r="AL798" s="2"/>
      <c r="AM798" s="2" t="s">
        <v>52</v>
      </c>
    </row>
    <row r="799" spans="1:39" x14ac:dyDescent="0.45">
      <c r="A799" s="2" t="s">
        <v>7733</v>
      </c>
      <c r="B799" s="2"/>
      <c r="C799" s="2" t="s">
        <v>7735</v>
      </c>
      <c r="D799" s="2" t="s">
        <v>7737</v>
      </c>
      <c r="E799" s="25"/>
      <c r="F799" s="21"/>
      <c r="G799" s="42" t="s">
        <v>28000</v>
      </c>
      <c r="H799" s="2" t="s">
        <v>50</v>
      </c>
      <c r="I799" s="2" t="s">
        <v>7740</v>
      </c>
      <c r="J799" s="2" t="s">
        <v>7734</v>
      </c>
      <c r="K799" s="2" t="s">
        <v>7736</v>
      </c>
      <c r="L799" s="2" t="s">
        <v>7738</v>
      </c>
      <c r="M799" s="2" t="s">
        <v>7738</v>
      </c>
      <c r="N799" s="2" t="s">
        <v>72</v>
      </c>
      <c r="O799" s="2" t="s">
        <v>73</v>
      </c>
      <c r="P799" s="2" t="s">
        <v>7739</v>
      </c>
      <c r="Q799" s="2"/>
      <c r="R799" s="2"/>
      <c r="S799" s="2"/>
      <c r="T799" s="2"/>
      <c r="U799" s="2"/>
      <c r="V799" s="2"/>
      <c r="W799" s="2"/>
      <c r="X799" s="2" t="s">
        <v>7730</v>
      </c>
      <c r="Y799" s="2" t="s">
        <v>44</v>
      </c>
      <c r="Z799" s="2"/>
      <c r="AA799" s="2" t="s">
        <v>3527</v>
      </c>
      <c r="AB799" s="2" t="s">
        <v>46</v>
      </c>
      <c r="AC799" s="2" t="s">
        <v>3527</v>
      </c>
      <c r="AE799" s="2" t="s">
        <v>48</v>
      </c>
      <c r="AF799" s="2" t="s">
        <v>49</v>
      </c>
      <c r="AG799" s="2">
        <v>100</v>
      </c>
      <c r="AH799" s="2">
        <v>80</v>
      </c>
      <c r="AJ799" s="2" t="s">
        <v>7741</v>
      </c>
      <c r="AK799" s="2"/>
      <c r="AL799" s="2"/>
      <c r="AM799" s="2" t="s">
        <v>52</v>
      </c>
    </row>
    <row r="800" spans="1:39" x14ac:dyDescent="0.45">
      <c r="A800" s="2" t="s">
        <v>7742</v>
      </c>
      <c r="B800" s="2"/>
      <c r="C800" s="2" t="s">
        <v>7744</v>
      </c>
      <c r="D800" s="2" t="s">
        <v>7746</v>
      </c>
      <c r="E800" s="25"/>
      <c r="F800" s="21"/>
      <c r="G800" s="42" t="s">
        <v>28000</v>
      </c>
      <c r="H800" s="2" t="s">
        <v>50</v>
      </c>
      <c r="I800" s="2" t="s">
        <v>7748</v>
      </c>
      <c r="J800" s="2" t="s">
        <v>7743</v>
      </c>
      <c r="K800" s="2" t="s">
        <v>7745</v>
      </c>
      <c r="L800" s="2" t="s">
        <v>7747</v>
      </c>
      <c r="M800" s="2" t="s">
        <v>7747</v>
      </c>
      <c r="N800" s="2" t="s">
        <v>72</v>
      </c>
      <c r="O800" s="2" t="s">
        <v>73</v>
      </c>
      <c r="P800" s="2" t="s">
        <v>2372</v>
      </c>
      <c r="Q800" s="2"/>
      <c r="R800" s="2"/>
      <c r="S800" s="2"/>
      <c r="T800" s="2"/>
      <c r="U800" s="2"/>
      <c r="V800" s="2"/>
      <c r="W800" s="2"/>
      <c r="X800" s="2" t="s">
        <v>3777</v>
      </c>
      <c r="Y800" s="2" t="s">
        <v>44</v>
      </c>
      <c r="Z800" s="2"/>
      <c r="AA800" s="2" t="s">
        <v>3527</v>
      </c>
      <c r="AB800" s="2" t="s">
        <v>46</v>
      </c>
      <c r="AC800" s="2" t="s">
        <v>3527</v>
      </c>
      <c r="AE800" s="2" t="s">
        <v>48</v>
      </c>
      <c r="AF800" s="2" t="s">
        <v>49</v>
      </c>
      <c r="AG800" s="2">
        <v>100</v>
      </c>
      <c r="AH800" s="2">
        <v>80</v>
      </c>
      <c r="AJ800" s="2" t="s">
        <v>7749</v>
      </c>
      <c r="AK800" s="2"/>
      <c r="AL800" s="2"/>
      <c r="AM800" s="2" t="s">
        <v>52</v>
      </c>
    </row>
    <row r="801" spans="1:39" x14ac:dyDescent="0.45">
      <c r="A801" s="2" t="s">
        <v>7750</v>
      </c>
      <c r="B801" s="2"/>
      <c r="C801" s="2" t="s">
        <v>7752</v>
      </c>
      <c r="D801" s="2" t="s">
        <v>7754</v>
      </c>
      <c r="E801" s="25"/>
      <c r="F801" s="21"/>
      <c r="G801" s="42" t="s">
        <v>28000</v>
      </c>
      <c r="H801" s="2" t="s">
        <v>50</v>
      </c>
      <c r="I801" s="2" t="s">
        <v>7757</v>
      </c>
      <c r="J801" s="2" t="s">
        <v>7751</v>
      </c>
      <c r="K801" s="2" t="s">
        <v>7753</v>
      </c>
      <c r="L801" s="2" t="s">
        <v>709</v>
      </c>
      <c r="M801" s="2" t="s">
        <v>709</v>
      </c>
      <c r="N801" s="2" t="s">
        <v>72</v>
      </c>
      <c r="O801" s="2" t="s">
        <v>73</v>
      </c>
      <c r="P801" s="2" t="s">
        <v>187</v>
      </c>
      <c r="Q801" s="2" t="s">
        <v>7755</v>
      </c>
      <c r="R801" s="2"/>
      <c r="S801" s="2"/>
      <c r="T801" s="2"/>
      <c r="U801" s="2" t="s">
        <v>72</v>
      </c>
      <c r="V801" s="2" t="s">
        <v>73</v>
      </c>
      <c r="W801" s="2" t="s">
        <v>187</v>
      </c>
      <c r="X801" s="2" t="s">
        <v>7756</v>
      </c>
      <c r="Y801" s="2" t="s">
        <v>44</v>
      </c>
      <c r="Z801" s="2"/>
      <c r="AA801" s="2" t="s">
        <v>3527</v>
      </c>
      <c r="AB801" s="2" t="s">
        <v>46</v>
      </c>
      <c r="AC801" s="2" t="s">
        <v>3527</v>
      </c>
      <c r="AE801" s="2" t="s">
        <v>48</v>
      </c>
      <c r="AF801" s="2" t="s">
        <v>49</v>
      </c>
      <c r="AG801" s="2">
        <v>100</v>
      </c>
      <c r="AH801" s="2">
        <v>80</v>
      </c>
      <c r="AJ801" s="2" t="s">
        <v>7758</v>
      </c>
      <c r="AK801" s="2"/>
      <c r="AL801" s="2"/>
      <c r="AM801" s="2" t="s">
        <v>52</v>
      </c>
    </row>
    <row r="802" spans="1:39" x14ac:dyDescent="0.45">
      <c r="A802" s="2" t="s">
        <v>7759</v>
      </c>
      <c r="B802" s="2"/>
      <c r="C802" s="2" t="s">
        <v>7761</v>
      </c>
      <c r="D802" s="2" t="s">
        <v>7763</v>
      </c>
      <c r="E802" s="25"/>
      <c r="F802" s="21"/>
      <c r="G802" s="42" t="s">
        <v>28000</v>
      </c>
      <c r="H802" s="2" t="s">
        <v>50</v>
      </c>
      <c r="I802" s="2" t="s">
        <v>7766</v>
      </c>
      <c r="J802" s="2" t="s">
        <v>7760</v>
      </c>
      <c r="K802" s="2" t="s">
        <v>7762</v>
      </c>
      <c r="L802" s="2" t="s">
        <v>7764</v>
      </c>
      <c r="M802" s="2" t="s">
        <v>7764</v>
      </c>
      <c r="N802" s="2" t="s">
        <v>536</v>
      </c>
      <c r="O802" s="2" t="s">
        <v>537</v>
      </c>
      <c r="P802" s="2" t="s">
        <v>7765</v>
      </c>
      <c r="Q802" s="2" t="s">
        <v>7762</v>
      </c>
      <c r="R802" s="2"/>
      <c r="S802" s="2"/>
      <c r="T802" s="2"/>
      <c r="U802" s="2" t="s">
        <v>536</v>
      </c>
      <c r="V802" s="2" t="s">
        <v>537</v>
      </c>
      <c r="W802" s="2" t="s">
        <v>7765</v>
      </c>
      <c r="X802" s="2" t="s">
        <v>792</v>
      </c>
      <c r="Y802" s="2" t="s">
        <v>44</v>
      </c>
      <c r="Z802" s="2"/>
      <c r="AA802" s="2" t="s">
        <v>3527</v>
      </c>
      <c r="AB802" s="2" t="s">
        <v>46</v>
      </c>
      <c r="AC802" s="2" t="s">
        <v>3527</v>
      </c>
      <c r="AE802" s="2" t="s">
        <v>48</v>
      </c>
      <c r="AF802" s="2" t="s">
        <v>49</v>
      </c>
      <c r="AG802" s="2">
        <v>100</v>
      </c>
      <c r="AH802" s="2">
        <v>80</v>
      </c>
      <c r="AJ802" s="2" t="s">
        <v>7767</v>
      </c>
      <c r="AK802" s="2"/>
      <c r="AL802" s="2"/>
      <c r="AM802" s="2" t="s">
        <v>52</v>
      </c>
    </row>
    <row r="803" spans="1:39" x14ac:dyDescent="0.45">
      <c r="A803" s="2" t="s">
        <v>7768</v>
      </c>
      <c r="B803" s="2"/>
      <c r="C803" s="2" t="s">
        <v>7770</v>
      </c>
      <c r="D803" s="2" t="s">
        <v>7772</v>
      </c>
      <c r="E803" s="25"/>
      <c r="F803" s="21"/>
      <c r="G803" s="42" t="s">
        <v>28000</v>
      </c>
      <c r="H803" s="2" t="s">
        <v>50</v>
      </c>
      <c r="I803" s="2" t="s">
        <v>7775</v>
      </c>
      <c r="J803" s="2" t="s">
        <v>7769</v>
      </c>
      <c r="K803" s="2" t="s">
        <v>7771</v>
      </c>
      <c r="L803" s="2" t="s">
        <v>7773</v>
      </c>
      <c r="M803" s="2" t="s">
        <v>7773</v>
      </c>
      <c r="N803" s="2" t="s">
        <v>216</v>
      </c>
      <c r="O803" s="2" t="s">
        <v>217</v>
      </c>
      <c r="P803" s="2" t="s">
        <v>218</v>
      </c>
      <c r="Q803" s="2"/>
      <c r="R803" s="2"/>
      <c r="S803" s="2"/>
      <c r="T803" s="2"/>
      <c r="U803" s="2"/>
      <c r="V803" s="2"/>
      <c r="W803" s="2"/>
      <c r="X803" s="2" t="s">
        <v>7774</v>
      </c>
      <c r="Y803" s="2" t="s">
        <v>44</v>
      </c>
      <c r="Z803" s="2"/>
      <c r="AA803" s="2" t="s">
        <v>3527</v>
      </c>
      <c r="AB803" s="2" t="s">
        <v>46</v>
      </c>
      <c r="AC803" s="2" t="s">
        <v>3527</v>
      </c>
      <c r="AE803" s="2" t="s">
        <v>48</v>
      </c>
      <c r="AF803" s="2" t="s">
        <v>49</v>
      </c>
      <c r="AG803" s="2">
        <v>100</v>
      </c>
      <c r="AH803" s="2">
        <v>80</v>
      </c>
      <c r="AJ803" s="2" t="s">
        <v>7776</v>
      </c>
      <c r="AK803" s="2"/>
      <c r="AL803" s="2"/>
      <c r="AM803" s="2" t="s">
        <v>52</v>
      </c>
    </row>
    <row r="804" spans="1:39" x14ac:dyDescent="0.45">
      <c r="A804" s="2" t="s">
        <v>7777</v>
      </c>
      <c r="B804" s="2"/>
      <c r="C804" s="2" t="s">
        <v>7779</v>
      </c>
      <c r="D804" s="2" t="s">
        <v>7781</v>
      </c>
      <c r="E804" s="25"/>
      <c r="F804" s="21"/>
      <c r="G804" s="42" t="s">
        <v>28000</v>
      </c>
      <c r="H804" s="2" t="s">
        <v>50</v>
      </c>
      <c r="I804" s="2" t="s">
        <v>7783</v>
      </c>
      <c r="J804" s="2" t="s">
        <v>7778</v>
      </c>
      <c r="K804" s="2" t="s">
        <v>7780</v>
      </c>
      <c r="L804" s="2" t="s">
        <v>7782</v>
      </c>
      <c r="M804" s="2" t="s">
        <v>7782</v>
      </c>
      <c r="N804" s="2" t="s">
        <v>174</v>
      </c>
      <c r="O804" s="2" t="s">
        <v>175</v>
      </c>
      <c r="P804" s="2" t="s">
        <v>1316</v>
      </c>
      <c r="Q804" s="2" t="s">
        <v>7780</v>
      </c>
      <c r="R804" s="2"/>
      <c r="S804" s="2"/>
      <c r="T804" s="2"/>
      <c r="U804" s="2" t="s">
        <v>174</v>
      </c>
      <c r="V804" s="2" t="s">
        <v>175</v>
      </c>
      <c r="W804" s="2" t="s">
        <v>1316</v>
      </c>
      <c r="X804" s="2" t="s">
        <v>3485</v>
      </c>
      <c r="Y804" s="2" t="s">
        <v>44</v>
      </c>
      <c r="Z804" s="2"/>
      <c r="AA804" s="2" t="s">
        <v>3527</v>
      </c>
      <c r="AB804" s="2" t="s">
        <v>46</v>
      </c>
      <c r="AC804" s="2" t="s">
        <v>3527</v>
      </c>
      <c r="AE804" s="2" t="s">
        <v>48</v>
      </c>
      <c r="AF804" s="2" t="s">
        <v>49</v>
      </c>
      <c r="AG804" s="2">
        <v>100</v>
      </c>
      <c r="AH804" s="2">
        <v>80</v>
      </c>
      <c r="AJ804" s="2" t="s">
        <v>7784</v>
      </c>
      <c r="AK804" s="2"/>
      <c r="AL804" s="2"/>
      <c r="AM804" s="2" t="s">
        <v>52</v>
      </c>
    </row>
    <row r="805" spans="1:39" x14ac:dyDescent="0.45">
      <c r="A805" s="2" t="s">
        <v>7785</v>
      </c>
      <c r="B805" s="2"/>
      <c r="C805" s="2" t="s">
        <v>7787</v>
      </c>
      <c r="D805" s="2" t="s">
        <v>7789</v>
      </c>
      <c r="E805" s="25"/>
      <c r="F805" s="21"/>
      <c r="G805" s="42" t="s">
        <v>28000</v>
      </c>
      <c r="H805" s="2" t="s">
        <v>50</v>
      </c>
      <c r="I805" s="2" t="s">
        <v>7791</v>
      </c>
      <c r="J805" s="2" t="s">
        <v>7786</v>
      </c>
      <c r="K805" s="2" t="s">
        <v>7788</v>
      </c>
      <c r="L805" s="2" t="s">
        <v>7790</v>
      </c>
      <c r="M805" s="2" t="s">
        <v>7790</v>
      </c>
      <c r="N805" s="2" t="s">
        <v>85</v>
      </c>
      <c r="O805" s="2" t="s">
        <v>86</v>
      </c>
      <c r="P805" s="2" t="s">
        <v>1356</v>
      </c>
      <c r="Q805" s="2"/>
      <c r="R805" s="2"/>
      <c r="S805" s="2"/>
      <c r="T805" s="2"/>
      <c r="U805" s="2"/>
      <c r="V805" s="2"/>
      <c r="W805" s="2"/>
      <c r="X805" s="2" t="s">
        <v>5747</v>
      </c>
      <c r="Y805" s="2" t="s">
        <v>44</v>
      </c>
      <c r="Z805" s="2"/>
      <c r="AA805" s="2" t="s">
        <v>3527</v>
      </c>
      <c r="AB805" s="2" t="s">
        <v>46</v>
      </c>
      <c r="AC805" s="2" t="s">
        <v>3527</v>
      </c>
      <c r="AE805" s="2" t="s">
        <v>48</v>
      </c>
      <c r="AF805" s="2" t="s">
        <v>49</v>
      </c>
      <c r="AG805" s="2">
        <v>100</v>
      </c>
      <c r="AH805" s="2">
        <v>80</v>
      </c>
      <c r="AJ805" s="2" t="s">
        <v>7792</v>
      </c>
      <c r="AK805" s="2"/>
      <c r="AL805" s="2"/>
      <c r="AM805" s="2" t="s">
        <v>52</v>
      </c>
    </row>
    <row r="806" spans="1:39" x14ac:dyDescent="0.45">
      <c r="A806" s="2" t="s">
        <v>7793</v>
      </c>
      <c r="B806" s="2"/>
      <c r="C806" s="2" t="s">
        <v>7795</v>
      </c>
      <c r="D806" s="2" t="s">
        <v>7797</v>
      </c>
      <c r="E806" s="25"/>
      <c r="F806" s="21"/>
      <c r="G806" s="42" t="s">
        <v>28000</v>
      </c>
      <c r="H806" s="2" t="s">
        <v>50</v>
      </c>
      <c r="I806" s="2" t="s">
        <v>7799</v>
      </c>
      <c r="J806" s="2" t="s">
        <v>7794</v>
      </c>
      <c r="K806" s="2" t="s">
        <v>7796</v>
      </c>
      <c r="L806" s="2" t="s">
        <v>7798</v>
      </c>
      <c r="M806" s="2" t="s">
        <v>7798</v>
      </c>
      <c r="N806" s="2" t="s">
        <v>59</v>
      </c>
      <c r="O806" s="2" t="s">
        <v>60</v>
      </c>
      <c r="P806" s="2" t="s">
        <v>5251</v>
      </c>
      <c r="Q806" s="2"/>
      <c r="R806" s="2"/>
      <c r="S806" s="2"/>
      <c r="T806" s="2"/>
      <c r="U806" s="2"/>
      <c r="V806" s="2"/>
      <c r="W806" s="2"/>
      <c r="X806" s="2" t="s">
        <v>5747</v>
      </c>
      <c r="Y806" s="2" t="s">
        <v>44</v>
      </c>
      <c r="Z806" s="2"/>
      <c r="AA806" s="2" t="s">
        <v>3527</v>
      </c>
      <c r="AB806" s="2" t="s">
        <v>46</v>
      </c>
      <c r="AC806" s="2" t="s">
        <v>3527</v>
      </c>
      <c r="AE806" s="2" t="s">
        <v>48</v>
      </c>
      <c r="AF806" s="2" t="s">
        <v>49</v>
      </c>
      <c r="AG806" s="2">
        <v>100</v>
      </c>
      <c r="AH806" s="2">
        <v>80</v>
      </c>
      <c r="AJ806" s="2" t="s">
        <v>7800</v>
      </c>
      <c r="AK806" s="2"/>
      <c r="AL806" s="2"/>
      <c r="AM806" s="2" t="s">
        <v>52</v>
      </c>
    </row>
    <row r="807" spans="1:39" x14ac:dyDescent="0.45">
      <c r="A807" s="2" t="s">
        <v>7801</v>
      </c>
      <c r="B807" s="2"/>
      <c r="C807" s="7" t="s">
        <v>7803</v>
      </c>
      <c r="D807" s="2" t="s">
        <v>7805</v>
      </c>
      <c r="E807" s="25"/>
      <c r="F807" s="21"/>
      <c r="G807" s="42" t="s">
        <v>28000</v>
      </c>
      <c r="H807" s="2" t="s">
        <v>50</v>
      </c>
      <c r="I807" s="2" t="s">
        <v>7807</v>
      </c>
      <c r="J807" s="2" t="s">
        <v>7802</v>
      </c>
      <c r="K807" s="2" t="s">
        <v>7804</v>
      </c>
      <c r="L807" s="2" t="s">
        <v>7806</v>
      </c>
      <c r="M807" s="2" t="s">
        <v>7806</v>
      </c>
      <c r="N807" s="2" t="s">
        <v>72</v>
      </c>
      <c r="O807" s="2" t="s">
        <v>73</v>
      </c>
      <c r="P807" s="2" t="s">
        <v>1682</v>
      </c>
      <c r="Q807" s="2" t="s">
        <v>7804</v>
      </c>
      <c r="R807" s="2"/>
      <c r="S807" s="2"/>
      <c r="T807" s="2"/>
      <c r="U807" s="2" t="s">
        <v>72</v>
      </c>
      <c r="V807" s="2" t="s">
        <v>73</v>
      </c>
      <c r="W807" s="2" t="s">
        <v>1682</v>
      </c>
      <c r="X807" s="2" t="s">
        <v>6214</v>
      </c>
      <c r="Y807" s="2" t="s">
        <v>44</v>
      </c>
      <c r="Z807" s="2"/>
      <c r="AA807" s="2" t="s">
        <v>3527</v>
      </c>
      <c r="AB807" s="2" t="s">
        <v>46</v>
      </c>
      <c r="AC807" s="2" t="s">
        <v>3527</v>
      </c>
      <c r="AE807" s="2" t="s">
        <v>48</v>
      </c>
      <c r="AF807" s="2" t="s">
        <v>49</v>
      </c>
      <c r="AG807" s="2">
        <v>100</v>
      </c>
      <c r="AH807" s="2">
        <v>80</v>
      </c>
      <c r="AJ807" s="2" t="s">
        <v>7808</v>
      </c>
      <c r="AK807" s="2"/>
      <c r="AL807" s="2"/>
      <c r="AM807" s="2" t="s">
        <v>52</v>
      </c>
    </row>
    <row r="808" spans="1:39" x14ac:dyDescent="0.45">
      <c r="A808" s="2" t="s">
        <v>7809</v>
      </c>
      <c r="B808" s="2"/>
      <c r="C808" s="2" t="s">
        <v>7811</v>
      </c>
      <c r="D808" s="2" t="s">
        <v>7813</v>
      </c>
      <c r="E808" s="25"/>
      <c r="F808" s="21"/>
      <c r="G808" s="42" t="s">
        <v>28000</v>
      </c>
      <c r="H808" s="2" t="s">
        <v>50</v>
      </c>
      <c r="I808" s="2" t="s">
        <v>7817</v>
      </c>
      <c r="J808" s="2" t="s">
        <v>7810</v>
      </c>
      <c r="K808" s="2" t="s">
        <v>7812</v>
      </c>
      <c r="L808" s="2" t="s">
        <v>7814</v>
      </c>
      <c r="M808" s="2" t="s">
        <v>7814</v>
      </c>
      <c r="N808" s="2" t="s">
        <v>174</v>
      </c>
      <c r="O808" s="2" t="s">
        <v>175</v>
      </c>
      <c r="P808" s="2" t="s">
        <v>6703</v>
      </c>
      <c r="Q808" s="2" t="s">
        <v>7815</v>
      </c>
      <c r="R808" s="2"/>
      <c r="S808" s="2"/>
      <c r="T808" s="2"/>
      <c r="U808" s="2" t="s">
        <v>174</v>
      </c>
      <c r="V808" s="2" t="s">
        <v>175</v>
      </c>
      <c r="W808" s="2" t="s">
        <v>6703</v>
      </c>
      <c r="X808" s="2" t="s">
        <v>7816</v>
      </c>
      <c r="Y808" s="2" t="s">
        <v>44</v>
      </c>
      <c r="Z808" s="2"/>
      <c r="AA808" s="2" t="s">
        <v>3527</v>
      </c>
      <c r="AB808" s="2" t="s">
        <v>46</v>
      </c>
      <c r="AC808" s="2" t="s">
        <v>3527</v>
      </c>
      <c r="AE808" s="2" t="s">
        <v>48</v>
      </c>
      <c r="AF808" s="2" t="s">
        <v>49</v>
      </c>
      <c r="AG808" s="2">
        <v>100</v>
      </c>
      <c r="AH808" s="2">
        <v>80</v>
      </c>
      <c r="AJ808" s="2" t="s">
        <v>7818</v>
      </c>
      <c r="AK808" s="2"/>
      <c r="AL808" s="2"/>
      <c r="AM808" s="2" t="s">
        <v>52</v>
      </c>
    </row>
    <row r="809" spans="1:39" x14ac:dyDescent="0.45">
      <c r="A809" s="2" t="s">
        <v>7819</v>
      </c>
      <c r="B809" s="2"/>
      <c r="C809" s="2" t="s">
        <v>7821</v>
      </c>
      <c r="D809" s="2" t="s">
        <v>7823</v>
      </c>
      <c r="E809" s="25"/>
      <c r="F809" s="21"/>
      <c r="G809" s="42" t="s">
        <v>28000</v>
      </c>
      <c r="H809" s="2" t="s">
        <v>50</v>
      </c>
      <c r="I809" s="2" t="s">
        <v>7825</v>
      </c>
      <c r="J809" s="2" t="s">
        <v>7820</v>
      </c>
      <c r="K809" s="2" t="s">
        <v>7822</v>
      </c>
      <c r="L809" s="2" t="s">
        <v>3562</v>
      </c>
      <c r="M809" s="2" t="s">
        <v>3562</v>
      </c>
      <c r="N809" s="2" t="s">
        <v>277</v>
      </c>
      <c r="O809" s="2" t="s">
        <v>278</v>
      </c>
      <c r="P809" s="2" t="s">
        <v>279</v>
      </c>
      <c r="Q809" s="2"/>
      <c r="R809" s="2"/>
      <c r="S809" s="2"/>
      <c r="T809" s="2"/>
      <c r="U809" s="2"/>
      <c r="V809" s="2"/>
      <c r="W809" s="2"/>
      <c r="X809" s="2" t="s">
        <v>7824</v>
      </c>
      <c r="Y809" s="2" t="s">
        <v>44</v>
      </c>
      <c r="Z809" s="2"/>
      <c r="AA809" s="2" t="s">
        <v>3527</v>
      </c>
      <c r="AB809" s="2" t="s">
        <v>46</v>
      </c>
      <c r="AC809" s="2" t="s">
        <v>3527</v>
      </c>
      <c r="AE809" s="2" t="s">
        <v>48</v>
      </c>
      <c r="AF809" s="2" t="s">
        <v>49</v>
      </c>
      <c r="AG809" s="2">
        <v>100</v>
      </c>
      <c r="AH809" s="2">
        <v>80</v>
      </c>
      <c r="AJ809" s="2" t="s">
        <v>7826</v>
      </c>
      <c r="AK809" s="2"/>
      <c r="AL809" s="2"/>
      <c r="AM809" s="2" t="s">
        <v>52</v>
      </c>
    </row>
    <row r="810" spans="1:39" x14ac:dyDescent="0.45">
      <c r="A810" s="2" t="s">
        <v>7827</v>
      </c>
      <c r="B810" s="2"/>
      <c r="C810" s="7" t="s">
        <v>27974</v>
      </c>
      <c r="D810" s="2" t="s">
        <v>7830</v>
      </c>
      <c r="E810" s="25"/>
      <c r="F810" s="21"/>
      <c r="G810" s="42" t="s">
        <v>28000</v>
      </c>
      <c r="H810" s="2" t="s">
        <v>50</v>
      </c>
      <c r="I810" s="2" t="s">
        <v>7834</v>
      </c>
      <c r="J810" s="2" t="s">
        <v>7828</v>
      </c>
      <c r="K810" s="2" t="s">
        <v>7829</v>
      </c>
      <c r="L810" s="2" t="s">
        <v>7831</v>
      </c>
      <c r="M810" s="2" t="s">
        <v>7831</v>
      </c>
      <c r="N810" s="2" t="s">
        <v>72</v>
      </c>
      <c r="O810" s="2" t="s">
        <v>73</v>
      </c>
      <c r="P810" s="2" t="s">
        <v>474</v>
      </c>
      <c r="Q810" s="2" t="s">
        <v>7832</v>
      </c>
      <c r="R810" s="2"/>
      <c r="S810" s="2"/>
      <c r="T810" s="2"/>
      <c r="U810" s="2" t="s">
        <v>72</v>
      </c>
      <c r="V810" s="2" t="s">
        <v>73</v>
      </c>
      <c r="W810" s="2" t="s">
        <v>98</v>
      </c>
      <c r="X810" s="2" t="s">
        <v>7833</v>
      </c>
      <c r="Y810" s="2" t="s">
        <v>44</v>
      </c>
      <c r="Z810" s="2"/>
      <c r="AA810" s="2" t="s">
        <v>3527</v>
      </c>
      <c r="AB810" s="2" t="s">
        <v>46</v>
      </c>
      <c r="AC810" s="2" t="s">
        <v>3527</v>
      </c>
      <c r="AE810" s="2" t="s">
        <v>48</v>
      </c>
      <c r="AF810" s="2" t="s">
        <v>49</v>
      </c>
      <c r="AG810" s="2">
        <v>85</v>
      </c>
      <c r="AH810" s="2">
        <v>80</v>
      </c>
      <c r="AJ810" s="2" t="s">
        <v>7835</v>
      </c>
      <c r="AK810" s="2"/>
      <c r="AL810" s="2"/>
      <c r="AM810" s="2" t="s">
        <v>52</v>
      </c>
    </row>
    <row r="811" spans="1:39" x14ac:dyDescent="0.45">
      <c r="A811" s="2" t="s">
        <v>7836</v>
      </c>
      <c r="B811" s="2"/>
      <c r="C811" s="7" t="s">
        <v>27975</v>
      </c>
      <c r="D811" s="2" t="s">
        <v>7839</v>
      </c>
      <c r="E811" s="25"/>
      <c r="F811" s="21"/>
      <c r="G811" s="42" t="s">
        <v>28000</v>
      </c>
      <c r="H811" s="2" t="s">
        <v>50</v>
      </c>
      <c r="I811" s="2" t="s">
        <v>7845</v>
      </c>
      <c r="J811" s="2" t="s">
        <v>7837</v>
      </c>
      <c r="K811" s="2" t="s">
        <v>7838</v>
      </c>
      <c r="L811" s="2" t="s">
        <v>7840</v>
      </c>
      <c r="M811" s="2" t="s">
        <v>7840</v>
      </c>
      <c r="N811" s="2" t="s">
        <v>39</v>
      </c>
      <c r="O811" s="2" t="s">
        <v>40</v>
      </c>
      <c r="P811" s="2" t="s">
        <v>7841</v>
      </c>
      <c r="Q811" s="2" t="s">
        <v>7842</v>
      </c>
      <c r="R811" s="2"/>
      <c r="S811" s="2"/>
      <c r="T811" s="2"/>
      <c r="U811" s="2" t="s">
        <v>1115</v>
      </c>
      <c r="V811" s="2" t="s">
        <v>1112</v>
      </c>
      <c r="W811" s="2" t="s">
        <v>7843</v>
      </c>
      <c r="X811" s="2" t="s">
        <v>7844</v>
      </c>
      <c r="Y811" s="2" t="s">
        <v>44</v>
      </c>
      <c r="Z811" s="2"/>
      <c r="AA811" s="2" t="s">
        <v>3527</v>
      </c>
      <c r="AB811" s="2" t="s">
        <v>46</v>
      </c>
      <c r="AC811" s="2" t="s">
        <v>3527</v>
      </c>
      <c r="AE811" s="2" t="s">
        <v>48</v>
      </c>
      <c r="AF811" s="2" t="s">
        <v>49</v>
      </c>
      <c r="AG811" s="2">
        <v>85</v>
      </c>
      <c r="AH811" s="2">
        <v>80</v>
      </c>
      <c r="AJ811" s="2" t="s">
        <v>7846</v>
      </c>
      <c r="AK811" s="2"/>
      <c r="AL811" s="2"/>
      <c r="AM811" s="2" t="s">
        <v>52</v>
      </c>
    </row>
    <row r="812" spans="1:39" x14ac:dyDescent="0.45">
      <c r="A812" s="2" t="s">
        <v>7847</v>
      </c>
      <c r="B812" s="2"/>
      <c r="C812" s="7" t="s">
        <v>27978</v>
      </c>
      <c r="D812" s="2" t="s">
        <v>7850</v>
      </c>
      <c r="E812" s="25"/>
      <c r="F812" s="21"/>
      <c r="G812" s="42" t="s">
        <v>28000</v>
      </c>
      <c r="H812" s="2" t="s">
        <v>50</v>
      </c>
      <c r="I812" s="2" t="s">
        <v>7854</v>
      </c>
      <c r="J812" s="2" t="s">
        <v>7848</v>
      </c>
      <c r="K812" s="2" t="s">
        <v>7849</v>
      </c>
      <c r="L812" s="2" t="s">
        <v>7851</v>
      </c>
      <c r="M812" s="2" t="s">
        <v>7851</v>
      </c>
      <c r="N812" s="2" t="s">
        <v>174</v>
      </c>
      <c r="O812" s="2" t="s">
        <v>175</v>
      </c>
      <c r="P812" s="2" t="s">
        <v>176</v>
      </c>
      <c r="Q812" s="2" t="s">
        <v>7852</v>
      </c>
      <c r="R812" s="2"/>
      <c r="S812" s="2"/>
      <c r="T812" s="2"/>
      <c r="U812" s="2" t="s">
        <v>174</v>
      </c>
      <c r="V812" s="2" t="s">
        <v>175</v>
      </c>
      <c r="W812" s="2" t="s">
        <v>1316</v>
      </c>
      <c r="X812" s="2" t="s">
        <v>7853</v>
      </c>
      <c r="Y812" s="2" t="s">
        <v>44</v>
      </c>
      <c r="Z812" s="2"/>
      <c r="AA812" s="2" t="s">
        <v>3527</v>
      </c>
      <c r="AB812" s="2" t="s">
        <v>46</v>
      </c>
      <c r="AC812" s="2" t="s">
        <v>3527</v>
      </c>
      <c r="AE812" s="2" t="s">
        <v>48</v>
      </c>
      <c r="AF812" s="2" t="s">
        <v>49</v>
      </c>
      <c r="AG812" s="2">
        <v>85</v>
      </c>
      <c r="AH812" s="2">
        <v>80</v>
      </c>
      <c r="AJ812" s="2" t="s">
        <v>7855</v>
      </c>
      <c r="AK812" s="2"/>
      <c r="AL812" s="2"/>
      <c r="AM812" s="2" t="s">
        <v>52</v>
      </c>
    </row>
    <row r="813" spans="1:39" x14ac:dyDescent="0.45">
      <c r="A813" s="2" t="s">
        <v>7856</v>
      </c>
      <c r="B813" s="2"/>
      <c r="C813" s="2" t="s">
        <v>7858</v>
      </c>
      <c r="D813" s="2" t="s">
        <v>7860</v>
      </c>
      <c r="E813" s="25"/>
      <c r="F813" s="21"/>
      <c r="G813" s="42" t="s">
        <v>28000</v>
      </c>
      <c r="H813" s="2" t="s">
        <v>7865</v>
      </c>
      <c r="I813" s="2" t="s">
        <v>7863</v>
      </c>
      <c r="J813" s="2" t="s">
        <v>7857</v>
      </c>
      <c r="K813" s="2" t="s">
        <v>7859</v>
      </c>
      <c r="L813" s="2" t="s">
        <v>7861</v>
      </c>
      <c r="M813" s="2"/>
      <c r="N813" s="2" t="s">
        <v>72</v>
      </c>
      <c r="O813" s="2" t="s">
        <v>73</v>
      </c>
      <c r="P813" s="2" t="s">
        <v>7553</v>
      </c>
      <c r="Q813" s="2" t="s">
        <v>7859</v>
      </c>
      <c r="R813" s="2"/>
      <c r="S813" s="2"/>
      <c r="T813" s="2"/>
      <c r="U813" s="2" t="s">
        <v>72</v>
      </c>
      <c r="V813" s="2" t="s">
        <v>73</v>
      </c>
      <c r="W813" s="2" t="s">
        <v>7553</v>
      </c>
      <c r="X813" s="2" t="s">
        <v>7862</v>
      </c>
      <c r="Y813" s="2" t="s">
        <v>44</v>
      </c>
      <c r="Z813" s="2"/>
      <c r="AA813" s="2" t="s">
        <v>821</v>
      </c>
      <c r="AB813" s="2" t="s">
        <v>46</v>
      </c>
      <c r="AC813" s="2" t="s">
        <v>821</v>
      </c>
      <c r="AE813" s="2" t="s">
        <v>48</v>
      </c>
      <c r="AF813" s="2" t="s">
        <v>7864</v>
      </c>
      <c r="AG813" s="2">
        <v>100</v>
      </c>
      <c r="AH813" s="2">
        <v>77</v>
      </c>
      <c r="AJ813" s="2" t="s">
        <v>7866</v>
      </c>
      <c r="AK813" s="2"/>
      <c r="AL813" s="2"/>
      <c r="AM813" s="2" t="s">
        <v>52</v>
      </c>
    </row>
    <row r="814" spans="1:39" x14ac:dyDescent="0.45">
      <c r="A814" s="2" t="s">
        <v>7867</v>
      </c>
      <c r="B814" s="2"/>
      <c r="C814" s="2" t="s">
        <v>7869</v>
      </c>
      <c r="D814" s="2" t="s">
        <v>7871</v>
      </c>
      <c r="E814" s="25"/>
      <c r="F814" s="21"/>
      <c r="G814" s="42" t="s">
        <v>28000</v>
      </c>
      <c r="H814" s="2" t="s">
        <v>7865</v>
      </c>
      <c r="I814" s="2" t="s">
        <v>7874</v>
      </c>
      <c r="J814" s="2" t="s">
        <v>7868</v>
      </c>
      <c r="K814" s="2" t="s">
        <v>7870</v>
      </c>
      <c r="L814" s="2" t="s">
        <v>7872</v>
      </c>
      <c r="M814" s="2" t="s">
        <v>7872</v>
      </c>
      <c r="N814" s="2" t="s">
        <v>651</v>
      </c>
      <c r="O814" s="2" t="s">
        <v>86</v>
      </c>
      <c r="P814" s="2" t="s">
        <v>7873</v>
      </c>
      <c r="Q814" s="2"/>
      <c r="R814" s="2"/>
      <c r="S814" s="2"/>
      <c r="T814" s="2"/>
      <c r="U814" s="2"/>
      <c r="V814" s="2"/>
      <c r="W814" s="2"/>
      <c r="X814" s="2" t="s">
        <v>5594</v>
      </c>
      <c r="Y814" s="2" t="s">
        <v>44</v>
      </c>
      <c r="Z814" s="2"/>
      <c r="AA814" s="2" t="s">
        <v>821</v>
      </c>
      <c r="AB814" s="2" t="s">
        <v>46</v>
      </c>
      <c r="AC814" s="2" t="s">
        <v>821</v>
      </c>
      <c r="AE814" s="2" t="s">
        <v>48</v>
      </c>
      <c r="AF814" s="2" t="s">
        <v>7864</v>
      </c>
      <c r="AG814" s="2">
        <v>100</v>
      </c>
      <c r="AH814" s="2">
        <v>77</v>
      </c>
      <c r="AJ814" s="2" t="s">
        <v>7875</v>
      </c>
      <c r="AK814" s="2"/>
      <c r="AL814" s="2"/>
      <c r="AM814" s="2" t="s">
        <v>52</v>
      </c>
    </row>
    <row r="815" spans="1:39" x14ac:dyDescent="0.45">
      <c r="A815" s="2" t="s">
        <v>7876</v>
      </c>
      <c r="B815" s="2"/>
      <c r="C815" s="2" t="s">
        <v>7878</v>
      </c>
      <c r="D815" s="2" t="s">
        <v>7880</v>
      </c>
      <c r="E815" s="25"/>
      <c r="F815" s="21"/>
      <c r="G815" s="42" t="s">
        <v>28000</v>
      </c>
      <c r="H815" s="2" t="s">
        <v>7865</v>
      </c>
      <c r="I815" s="2" t="s">
        <v>7883</v>
      </c>
      <c r="J815" s="2" t="s">
        <v>7877</v>
      </c>
      <c r="K815" s="2" t="s">
        <v>7879</v>
      </c>
      <c r="L815" s="2"/>
      <c r="M815" s="2"/>
      <c r="N815" s="2" t="s">
        <v>59</v>
      </c>
      <c r="O815" s="2" t="s">
        <v>60</v>
      </c>
      <c r="P815" s="2" t="s">
        <v>1100</v>
      </c>
      <c r="Q815" s="2" t="s">
        <v>7881</v>
      </c>
      <c r="R815" s="2"/>
      <c r="S815" s="2"/>
      <c r="T815" s="2"/>
      <c r="U815" s="2" t="s">
        <v>59</v>
      </c>
      <c r="V815" s="2" t="s">
        <v>60</v>
      </c>
      <c r="W815" s="2" t="s">
        <v>1100</v>
      </c>
      <c r="X815" s="2" t="s">
        <v>7882</v>
      </c>
      <c r="Y815" s="2" t="s">
        <v>44</v>
      </c>
      <c r="Z815" s="2"/>
      <c r="AA815" s="2" t="s">
        <v>821</v>
      </c>
      <c r="AB815" s="2" t="s">
        <v>46</v>
      </c>
      <c r="AC815" s="2" t="s">
        <v>821</v>
      </c>
      <c r="AE815" s="2" t="s">
        <v>48</v>
      </c>
      <c r="AF815" s="2" t="s">
        <v>49</v>
      </c>
      <c r="AG815" s="2">
        <v>90</v>
      </c>
      <c r="AH815" s="2">
        <v>77</v>
      </c>
      <c r="AJ815" s="2" t="s">
        <v>7884</v>
      </c>
      <c r="AK815" s="2"/>
      <c r="AL815" s="2"/>
      <c r="AM815" s="2" t="s">
        <v>52</v>
      </c>
    </row>
    <row r="816" spans="1:39" x14ac:dyDescent="0.45">
      <c r="A816" s="2" t="s">
        <v>7885</v>
      </c>
      <c r="B816" s="2"/>
      <c r="C816" s="2" t="s">
        <v>7887</v>
      </c>
      <c r="D816" s="2" t="s">
        <v>7889</v>
      </c>
      <c r="E816" s="25"/>
      <c r="F816" s="21"/>
      <c r="G816" s="42" t="s">
        <v>28000</v>
      </c>
      <c r="H816" s="2" t="s">
        <v>7865</v>
      </c>
      <c r="I816" s="2" t="s">
        <v>7892</v>
      </c>
      <c r="J816" s="2" t="s">
        <v>7886</v>
      </c>
      <c r="K816" s="2" t="s">
        <v>7888</v>
      </c>
      <c r="L816" s="2"/>
      <c r="M816" s="2"/>
      <c r="N816" s="2" t="s">
        <v>72</v>
      </c>
      <c r="O816" s="2" t="s">
        <v>73</v>
      </c>
      <c r="P816" s="2" t="s">
        <v>232</v>
      </c>
      <c r="Q816" s="2" t="s">
        <v>7890</v>
      </c>
      <c r="R816" s="2"/>
      <c r="S816" s="2"/>
      <c r="T816" s="2"/>
      <c r="U816" s="2" t="s">
        <v>72</v>
      </c>
      <c r="V816" s="2" t="s">
        <v>73</v>
      </c>
      <c r="W816" s="2" t="s">
        <v>232</v>
      </c>
      <c r="X816" s="2" t="s">
        <v>7891</v>
      </c>
      <c r="Y816" s="2" t="s">
        <v>44</v>
      </c>
      <c r="Z816" s="2"/>
      <c r="AA816" s="2" t="s">
        <v>821</v>
      </c>
      <c r="AB816" s="2" t="s">
        <v>46</v>
      </c>
      <c r="AC816" s="2" t="s">
        <v>821</v>
      </c>
      <c r="AE816" s="2" t="s">
        <v>48</v>
      </c>
      <c r="AF816" s="2" t="s">
        <v>49</v>
      </c>
      <c r="AG816" s="2">
        <v>90</v>
      </c>
      <c r="AH816" s="2">
        <v>77</v>
      </c>
      <c r="AJ816" s="2" t="s">
        <v>7893</v>
      </c>
      <c r="AK816" s="2"/>
      <c r="AL816" s="2"/>
      <c r="AM816" s="2" t="s">
        <v>52</v>
      </c>
    </row>
    <row r="817" spans="1:39" x14ac:dyDescent="0.45">
      <c r="A817" s="2" t="s">
        <v>7894</v>
      </c>
      <c r="B817" s="2"/>
      <c r="C817" s="2" t="s">
        <v>7896</v>
      </c>
      <c r="D817" s="2" t="s">
        <v>7898</v>
      </c>
      <c r="E817" s="25"/>
      <c r="F817" s="21"/>
      <c r="G817" s="42" t="s">
        <v>28000</v>
      </c>
      <c r="H817" s="2" t="s">
        <v>7865</v>
      </c>
      <c r="I817" s="2" t="s">
        <v>7901</v>
      </c>
      <c r="J817" s="2" t="s">
        <v>7895</v>
      </c>
      <c r="K817" s="2" t="s">
        <v>7897</v>
      </c>
      <c r="L817" s="2"/>
      <c r="M817" s="2"/>
      <c r="N817" s="2" t="s">
        <v>72</v>
      </c>
      <c r="O817" s="2" t="s">
        <v>73</v>
      </c>
      <c r="P817" s="2" t="s">
        <v>791</v>
      </c>
      <c r="Q817" s="2" t="s">
        <v>7899</v>
      </c>
      <c r="R817" s="2"/>
      <c r="S817" s="2"/>
      <c r="T817" s="2"/>
      <c r="U817" s="2" t="s">
        <v>59</v>
      </c>
      <c r="V817" s="2" t="s">
        <v>60</v>
      </c>
      <c r="W817" s="2" t="s">
        <v>4610</v>
      </c>
      <c r="X817" s="2" t="s">
        <v>7900</v>
      </c>
      <c r="Y817" s="2" t="s">
        <v>44</v>
      </c>
      <c r="Z817" s="2"/>
      <c r="AA817" s="2" t="s">
        <v>821</v>
      </c>
      <c r="AB817" s="2" t="s">
        <v>46</v>
      </c>
      <c r="AC817" s="2" t="s">
        <v>821</v>
      </c>
      <c r="AE817" s="2" t="s">
        <v>48</v>
      </c>
      <c r="AF817" s="2" t="s">
        <v>49</v>
      </c>
      <c r="AG817" s="2">
        <v>90</v>
      </c>
      <c r="AH817" s="2">
        <v>77</v>
      </c>
      <c r="AJ817" s="2" t="s">
        <v>7902</v>
      </c>
      <c r="AK817" s="2"/>
      <c r="AL817" s="2"/>
      <c r="AM817" s="2" t="s">
        <v>52</v>
      </c>
    </row>
    <row r="818" spans="1:39" x14ac:dyDescent="0.45">
      <c r="A818" s="2" t="s">
        <v>7903</v>
      </c>
      <c r="B818" s="2"/>
      <c r="C818" s="2" t="s">
        <v>7905</v>
      </c>
      <c r="D818" s="2" t="s">
        <v>7907</v>
      </c>
      <c r="E818" s="25"/>
      <c r="F818" s="21"/>
      <c r="G818" s="42" t="s">
        <v>28000</v>
      </c>
      <c r="H818" s="2" t="s">
        <v>7865</v>
      </c>
      <c r="I818" s="2" t="s">
        <v>7908</v>
      </c>
      <c r="J818" s="2" t="s">
        <v>7904</v>
      </c>
      <c r="K818" s="2" t="s">
        <v>7906</v>
      </c>
      <c r="L818" s="2"/>
      <c r="M818" s="2"/>
      <c r="N818" s="2" t="s">
        <v>312</v>
      </c>
      <c r="O818" s="2" t="s">
        <v>313</v>
      </c>
      <c r="P818" s="2" t="s">
        <v>314</v>
      </c>
      <c r="Q818" s="2" t="s">
        <v>7906</v>
      </c>
      <c r="R818" s="2"/>
      <c r="S818" s="2"/>
      <c r="T818" s="2"/>
      <c r="U818" s="2" t="s">
        <v>312</v>
      </c>
      <c r="V818" s="2" t="s">
        <v>313</v>
      </c>
      <c r="W818" s="2" t="s">
        <v>314</v>
      </c>
      <c r="X818" s="2" t="s">
        <v>178</v>
      </c>
      <c r="Y818" s="2" t="s">
        <v>44</v>
      </c>
      <c r="Z818" s="2"/>
      <c r="AA818" s="2" t="s">
        <v>821</v>
      </c>
      <c r="AB818" s="2" t="s">
        <v>46</v>
      </c>
      <c r="AC818" s="2" t="s">
        <v>821</v>
      </c>
      <c r="AE818" s="2" t="s">
        <v>48</v>
      </c>
      <c r="AF818" s="2" t="s">
        <v>49</v>
      </c>
      <c r="AG818" s="2">
        <v>90</v>
      </c>
      <c r="AH818" s="2">
        <v>77</v>
      </c>
      <c r="AJ818" s="2" t="s">
        <v>7909</v>
      </c>
      <c r="AK818" s="2"/>
      <c r="AL818" s="2"/>
      <c r="AM818" s="2" t="s">
        <v>52</v>
      </c>
    </row>
    <row r="819" spans="1:39" x14ac:dyDescent="0.45">
      <c r="A819" s="2" t="s">
        <v>7910</v>
      </c>
      <c r="B819" s="2"/>
      <c r="C819" s="2" t="s">
        <v>7912</v>
      </c>
      <c r="D819" s="2" t="s">
        <v>7914</v>
      </c>
      <c r="E819" s="25"/>
      <c r="F819" s="21"/>
      <c r="G819" s="42" t="s">
        <v>28000</v>
      </c>
      <c r="H819" s="2" t="s">
        <v>7865</v>
      </c>
      <c r="I819" s="2" t="s">
        <v>7917</v>
      </c>
      <c r="J819" s="2" t="s">
        <v>7911</v>
      </c>
      <c r="K819" s="2" t="s">
        <v>7913</v>
      </c>
      <c r="L819" s="2"/>
      <c r="M819" s="2"/>
      <c r="N819" s="2" t="s">
        <v>72</v>
      </c>
      <c r="O819" s="2" t="s">
        <v>73</v>
      </c>
      <c r="P819" s="2" t="s">
        <v>464</v>
      </c>
      <c r="Q819" s="2" t="s">
        <v>7915</v>
      </c>
      <c r="R819" s="2"/>
      <c r="S819" s="2"/>
      <c r="T819" s="2"/>
      <c r="U819" s="2" t="s">
        <v>72</v>
      </c>
      <c r="V819" s="2" t="s">
        <v>73</v>
      </c>
      <c r="W819" s="2" t="s">
        <v>464</v>
      </c>
      <c r="X819" s="2" t="s">
        <v>7916</v>
      </c>
      <c r="Y819" s="2" t="s">
        <v>44</v>
      </c>
      <c r="Z819" s="2"/>
      <c r="AA819" s="2" t="s">
        <v>821</v>
      </c>
      <c r="AB819" s="2" t="s">
        <v>46</v>
      </c>
      <c r="AC819" s="2" t="s">
        <v>821</v>
      </c>
      <c r="AE819" s="2" t="s">
        <v>48</v>
      </c>
      <c r="AF819" s="2" t="s">
        <v>49</v>
      </c>
      <c r="AG819" s="2">
        <v>90</v>
      </c>
      <c r="AH819" s="2">
        <v>77</v>
      </c>
      <c r="AJ819" s="2" t="s">
        <v>7918</v>
      </c>
      <c r="AK819" s="2"/>
      <c r="AL819" s="2"/>
      <c r="AM819" s="2" t="s">
        <v>52</v>
      </c>
    </row>
    <row r="820" spans="1:39" x14ac:dyDescent="0.45">
      <c r="A820" s="2" t="s">
        <v>7919</v>
      </c>
      <c r="B820" s="2"/>
      <c r="C820" s="2" t="s">
        <v>7921</v>
      </c>
      <c r="D820" s="2" t="s">
        <v>7923</v>
      </c>
      <c r="E820" s="25"/>
      <c r="F820" s="21"/>
      <c r="G820" s="42" t="s">
        <v>28000</v>
      </c>
      <c r="H820" s="2" t="s">
        <v>7865</v>
      </c>
      <c r="I820" s="2" t="s">
        <v>7925</v>
      </c>
      <c r="J820" s="2" t="s">
        <v>7920</v>
      </c>
      <c r="K820" s="2" t="s">
        <v>7922</v>
      </c>
      <c r="L820" s="2"/>
      <c r="M820" s="2"/>
      <c r="N820" s="2" t="s">
        <v>72</v>
      </c>
      <c r="O820" s="2" t="s">
        <v>73</v>
      </c>
      <c r="P820" s="2" t="s">
        <v>140</v>
      </c>
      <c r="Q820" s="2" t="s">
        <v>7922</v>
      </c>
      <c r="R820" s="2"/>
      <c r="S820" s="2"/>
      <c r="T820" s="2"/>
      <c r="U820" s="2" t="s">
        <v>72</v>
      </c>
      <c r="V820" s="2" t="s">
        <v>73</v>
      </c>
      <c r="W820" s="2" t="s">
        <v>140</v>
      </c>
      <c r="X820" s="2" t="s">
        <v>7924</v>
      </c>
      <c r="Y820" s="2" t="s">
        <v>44</v>
      </c>
      <c r="Z820" s="2"/>
      <c r="AA820" s="2" t="s">
        <v>821</v>
      </c>
      <c r="AB820" s="2" t="s">
        <v>46</v>
      </c>
      <c r="AC820" s="2" t="s">
        <v>821</v>
      </c>
      <c r="AE820" s="2" t="s">
        <v>48</v>
      </c>
      <c r="AF820" s="2" t="s">
        <v>49</v>
      </c>
      <c r="AG820" s="2">
        <v>90</v>
      </c>
      <c r="AH820" s="2">
        <v>77</v>
      </c>
      <c r="AJ820" s="2" t="s">
        <v>7926</v>
      </c>
      <c r="AK820" s="2"/>
      <c r="AL820" s="2"/>
      <c r="AM820" s="2" t="s">
        <v>52</v>
      </c>
    </row>
    <row r="821" spans="1:39" x14ac:dyDescent="0.45">
      <c r="A821" s="2" t="s">
        <v>7927</v>
      </c>
      <c r="B821" s="2"/>
      <c r="C821" s="2" t="s">
        <v>7929</v>
      </c>
      <c r="D821" s="2" t="s">
        <v>7931</v>
      </c>
      <c r="E821" s="25"/>
      <c r="F821" s="21"/>
      <c r="G821" s="42" t="s">
        <v>28000</v>
      </c>
      <c r="H821" s="2" t="s">
        <v>7865</v>
      </c>
      <c r="I821" s="2" t="s">
        <v>7933</v>
      </c>
      <c r="J821" s="2" t="s">
        <v>7928</v>
      </c>
      <c r="K821" s="2" t="s">
        <v>7930</v>
      </c>
      <c r="L821" s="2"/>
      <c r="M821" s="2"/>
      <c r="N821" s="2" t="s">
        <v>72</v>
      </c>
      <c r="O821" s="2" t="s">
        <v>73</v>
      </c>
      <c r="P821" s="2" t="s">
        <v>1682</v>
      </c>
      <c r="Q821" s="2" t="s">
        <v>7930</v>
      </c>
      <c r="R821" s="2"/>
      <c r="S821" s="2"/>
      <c r="T821" s="2"/>
      <c r="U821" s="2" t="s">
        <v>72</v>
      </c>
      <c r="V821" s="2" t="s">
        <v>73</v>
      </c>
      <c r="W821" s="2" t="s">
        <v>1682</v>
      </c>
      <c r="X821" s="2" t="s">
        <v>7932</v>
      </c>
      <c r="Y821" s="2" t="s">
        <v>44</v>
      </c>
      <c r="Z821" s="2"/>
      <c r="AA821" s="2" t="s">
        <v>821</v>
      </c>
      <c r="AB821" s="2" t="s">
        <v>46</v>
      </c>
      <c r="AC821" s="2" t="s">
        <v>821</v>
      </c>
      <c r="AE821" s="2" t="s">
        <v>48</v>
      </c>
      <c r="AF821" s="2" t="s">
        <v>49</v>
      </c>
      <c r="AG821" s="2">
        <v>90</v>
      </c>
      <c r="AH821" s="2">
        <v>77</v>
      </c>
      <c r="AJ821" s="2" t="s">
        <v>7934</v>
      </c>
      <c r="AK821" s="2"/>
      <c r="AL821" s="2"/>
      <c r="AM821" s="2" t="s">
        <v>52</v>
      </c>
    </row>
    <row r="822" spans="1:39" x14ac:dyDescent="0.45">
      <c r="A822" s="2" t="s">
        <v>7935</v>
      </c>
      <c r="B822" s="2"/>
      <c r="C822" s="2" t="s">
        <v>7937</v>
      </c>
      <c r="D822" s="2" t="s">
        <v>7939</v>
      </c>
      <c r="E822" s="25"/>
      <c r="F822" s="21"/>
      <c r="G822" s="42" t="s">
        <v>28000</v>
      </c>
      <c r="H822" s="2" t="s">
        <v>7865</v>
      </c>
      <c r="I822" s="2" t="s">
        <v>7941</v>
      </c>
      <c r="J822" s="2" t="s">
        <v>7936</v>
      </c>
      <c r="K822" s="2" t="s">
        <v>7938</v>
      </c>
      <c r="L822" s="2"/>
      <c r="M822" s="2"/>
      <c r="N822" s="2" t="s">
        <v>72</v>
      </c>
      <c r="O822" s="2" t="s">
        <v>73</v>
      </c>
      <c r="P822" s="2" t="s">
        <v>187</v>
      </c>
      <c r="Q822" s="2" t="s">
        <v>7938</v>
      </c>
      <c r="R822" s="2"/>
      <c r="S822" s="2"/>
      <c r="T822" s="2"/>
      <c r="U822" s="2" t="s">
        <v>72</v>
      </c>
      <c r="V822" s="2" t="s">
        <v>73</v>
      </c>
      <c r="W822" s="2" t="s">
        <v>187</v>
      </c>
      <c r="X822" s="2" t="s">
        <v>7940</v>
      </c>
      <c r="Y822" s="2" t="s">
        <v>44</v>
      </c>
      <c r="Z822" s="2"/>
      <c r="AA822" s="2" t="s">
        <v>821</v>
      </c>
      <c r="AB822" s="2" t="s">
        <v>46</v>
      </c>
      <c r="AC822" s="2" t="s">
        <v>821</v>
      </c>
      <c r="AE822" s="2" t="s">
        <v>48</v>
      </c>
      <c r="AF822" s="2" t="s">
        <v>49</v>
      </c>
      <c r="AG822" s="2">
        <v>90</v>
      </c>
      <c r="AH822" s="2">
        <v>77</v>
      </c>
      <c r="AJ822" s="2" t="s">
        <v>7942</v>
      </c>
      <c r="AK822" s="2"/>
      <c r="AL822" s="2"/>
      <c r="AM822" s="2" t="s">
        <v>52</v>
      </c>
    </row>
    <row r="823" spans="1:39" x14ac:dyDescent="0.45">
      <c r="A823" s="2" t="s">
        <v>7943</v>
      </c>
      <c r="B823" s="2"/>
      <c r="C823" s="2" t="s">
        <v>7945</v>
      </c>
      <c r="D823" s="2" t="s">
        <v>7947</v>
      </c>
      <c r="E823" s="25"/>
      <c r="F823" s="21"/>
      <c r="G823" s="42" t="s">
        <v>28000</v>
      </c>
      <c r="H823" s="2" t="s">
        <v>7865</v>
      </c>
      <c r="I823" s="2" t="s">
        <v>7950</v>
      </c>
      <c r="J823" s="2" t="s">
        <v>7944</v>
      </c>
      <c r="K823" s="2" t="s">
        <v>7946</v>
      </c>
      <c r="L823" s="2"/>
      <c r="M823" s="2"/>
      <c r="N823" s="2" t="s">
        <v>72</v>
      </c>
      <c r="O823" s="2" t="s">
        <v>73</v>
      </c>
      <c r="P823" s="2" t="s">
        <v>7948</v>
      </c>
      <c r="Q823" s="2" t="s">
        <v>7949</v>
      </c>
      <c r="R823" s="2"/>
      <c r="S823" s="2"/>
      <c r="T823" s="2"/>
      <c r="U823" s="2" t="s">
        <v>72</v>
      </c>
      <c r="V823" s="2" t="s">
        <v>73</v>
      </c>
      <c r="W823" s="2" t="s">
        <v>2270</v>
      </c>
      <c r="X823" s="2" t="s">
        <v>1621</v>
      </c>
      <c r="Y823" s="2" t="s">
        <v>44</v>
      </c>
      <c r="Z823" s="2"/>
      <c r="AA823" s="2" t="s">
        <v>821</v>
      </c>
      <c r="AB823" s="2" t="s">
        <v>46</v>
      </c>
      <c r="AC823" s="2" t="s">
        <v>821</v>
      </c>
      <c r="AE823" s="2" t="s">
        <v>48</v>
      </c>
      <c r="AF823" s="2" t="s">
        <v>49</v>
      </c>
      <c r="AG823" s="2">
        <v>90</v>
      </c>
      <c r="AH823" s="2">
        <v>77</v>
      </c>
      <c r="AJ823" s="2" t="s">
        <v>7951</v>
      </c>
      <c r="AK823" s="2"/>
      <c r="AL823" s="2"/>
      <c r="AM823" s="2" t="s">
        <v>52</v>
      </c>
    </row>
    <row r="824" spans="1:39" x14ac:dyDescent="0.45">
      <c r="A824" s="2" t="s">
        <v>7952</v>
      </c>
      <c r="B824" s="2"/>
      <c r="C824" s="2" t="s">
        <v>7954</v>
      </c>
      <c r="D824" s="2" t="s">
        <v>7956</v>
      </c>
      <c r="E824" s="25"/>
      <c r="F824" s="21"/>
      <c r="G824" s="42" t="s">
        <v>28000</v>
      </c>
      <c r="H824" s="2" t="s">
        <v>7865</v>
      </c>
      <c r="I824" s="2" t="s">
        <v>7958</v>
      </c>
      <c r="J824" s="2" t="s">
        <v>7953</v>
      </c>
      <c r="K824" s="2" t="s">
        <v>7955</v>
      </c>
      <c r="L824" s="2"/>
      <c r="M824" s="2"/>
      <c r="N824" s="2" t="s">
        <v>85</v>
      </c>
      <c r="O824" s="2" t="s">
        <v>86</v>
      </c>
      <c r="P824" s="2" t="s">
        <v>2353</v>
      </c>
      <c r="Q824" s="2" t="s">
        <v>7955</v>
      </c>
      <c r="R824" s="2"/>
      <c r="S824" s="2"/>
      <c r="T824" s="2"/>
      <c r="U824" s="2" t="s">
        <v>85</v>
      </c>
      <c r="V824" s="2" t="s">
        <v>86</v>
      </c>
      <c r="W824" s="2" t="s">
        <v>2353</v>
      </c>
      <c r="X824" s="2" t="s">
        <v>7957</v>
      </c>
      <c r="Y824" s="2" t="s">
        <v>44</v>
      </c>
      <c r="Z824" s="2"/>
      <c r="AA824" s="2" t="s">
        <v>821</v>
      </c>
      <c r="AB824" s="2" t="s">
        <v>46</v>
      </c>
      <c r="AC824" s="2" t="s">
        <v>821</v>
      </c>
      <c r="AE824" s="2" t="s">
        <v>48</v>
      </c>
      <c r="AF824" s="2" t="s">
        <v>49</v>
      </c>
      <c r="AG824" s="2">
        <v>90</v>
      </c>
      <c r="AH824" s="2">
        <v>77</v>
      </c>
      <c r="AJ824" s="2" t="s">
        <v>7959</v>
      </c>
      <c r="AK824" s="2"/>
      <c r="AL824" s="2"/>
      <c r="AM824" s="2" t="s">
        <v>52</v>
      </c>
    </row>
    <row r="825" spans="1:39" x14ac:dyDescent="0.45">
      <c r="A825" s="2" t="s">
        <v>7960</v>
      </c>
      <c r="B825" s="2"/>
      <c r="C825" s="2" t="s">
        <v>7962</v>
      </c>
      <c r="D825" s="2" t="s">
        <v>7964</v>
      </c>
      <c r="E825" s="25"/>
      <c r="F825" s="21"/>
      <c r="G825" s="42" t="s">
        <v>28000</v>
      </c>
      <c r="H825" s="2" t="s">
        <v>7865</v>
      </c>
      <c r="I825" s="2" t="s">
        <v>7966</v>
      </c>
      <c r="J825" s="2" t="s">
        <v>7961</v>
      </c>
      <c r="K825" s="2" t="s">
        <v>7963</v>
      </c>
      <c r="L825" s="2"/>
      <c r="M825" s="2"/>
      <c r="N825" s="2" t="s">
        <v>85</v>
      </c>
      <c r="O825" s="2" t="s">
        <v>86</v>
      </c>
      <c r="P825" s="2" t="s">
        <v>982</v>
      </c>
      <c r="Q825" s="2" t="s">
        <v>7963</v>
      </c>
      <c r="R825" s="2"/>
      <c r="S825" s="2"/>
      <c r="T825" s="2"/>
      <c r="U825" s="2" t="s">
        <v>85</v>
      </c>
      <c r="V825" s="2" t="s">
        <v>86</v>
      </c>
      <c r="W825" s="2" t="s">
        <v>982</v>
      </c>
      <c r="X825" s="2" t="s">
        <v>7965</v>
      </c>
      <c r="Y825" s="2" t="s">
        <v>44</v>
      </c>
      <c r="Z825" s="2"/>
      <c r="AA825" s="2" t="s">
        <v>821</v>
      </c>
      <c r="AB825" s="2" t="s">
        <v>46</v>
      </c>
      <c r="AC825" s="2" t="s">
        <v>821</v>
      </c>
      <c r="AE825" s="2" t="s">
        <v>48</v>
      </c>
      <c r="AF825" s="2" t="s">
        <v>49</v>
      </c>
      <c r="AG825" s="2">
        <v>90</v>
      </c>
      <c r="AH825" s="2">
        <v>77</v>
      </c>
      <c r="AJ825" s="2" t="s">
        <v>7967</v>
      </c>
      <c r="AK825" s="2"/>
      <c r="AL825" s="2"/>
      <c r="AM825" s="2" t="s">
        <v>52</v>
      </c>
    </row>
    <row r="826" spans="1:39" x14ac:dyDescent="0.45">
      <c r="A826" s="2" t="s">
        <v>7968</v>
      </c>
      <c r="B826" s="2"/>
      <c r="C826" s="2" t="s">
        <v>7970</v>
      </c>
      <c r="D826" s="2" t="s">
        <v>7972</v>
      </c>
      <c r="E826" s="25"/>
      <c r="F826" s="21"/>
      <c r="G826" s="42" t="s">
        <v>28000</v>
      </c>
      <c r="H826" s="2" t="s">
        <v>7865</v>
      </c>
      <c r="I826" s="2" t="s">
        <v>7974</v>
      </c>
      <c r="J826" s="2" t="s">
        <v>7969</v>
      </c>
      <c r="K826" s="2" t="s">
        <v>7971</v>
      </c>
      <c r="L826" s="2"/>
      <c r="M826" s="2"/>
      <c r="N826" s="2" t="s">
        <v>59</v>
      </c>
      <c r="O826" s="2" t="s">
        <v>60</v>
      </c>
      <c r="P826" s="2" t="s">
        <v>266</v>
      </c>
      <c r="Q826" s="2" t="s">
        <v>7971</v>
      </c>
      <c r="R826" s="2"/>
      <c r="S826" s="2"/>
      <c r="T826" s="2"/>
      <c r="U826" s="2" t="s">
        <v>59</v>
      </c>
      <c r="V826" s="2" t="s">
        <v>60</v>
      </c>
      <c r="W826" s="2" t="s">
        <v>266</v>
      </c>
      <c r="X826" s="2" t="s">
        <v>7973</v>
      </c>
      <c r="Y826" s="2" t="s">
        <v>44</v>
      </c>
      <c r="Z826" s="2"/>
      <c r="AA826" s="2" t="s">
        <v>821</v>
      </c>
      <c r="AB826" s="2" t="s">
        <v>46</v>
      </c>
      <c r="AC826" s="2" t="s">
        <v>821</v>
      </c>
      <c r="AE826" s="2" t="s">
        <v>48</v>
      </c>
      <c r="AF826" s="2" t="s">
        <v>49</v>
      </c>
      <c r="AG826" s="2">
        <v>90</v>
      </c>
      <c r="AH826" s="2">
        <v>77</v>
      </c>
      <c r="AJ826" s="2" t="s">
        <v>7975</v>
      </c>
      <c r="AK826" s="2"/>
      <c r="AL826" s="2"/>
      <c r="AM826" s="2" t="s">
        <v>52</v>
      </c>
    </row>
    <row r="827" spans="1:39" x14ac:dyDescent="0.45">
      <c r="A827" s="2" t="s">
        <v>7976</v>
      </c>
      <c r="B827" s="2"/>
      <c r="C827" s="2" t="s">
        <v>7978</v>
      </c>
      <c r="D827" s="2" t="s">
        <v>7980</v>
      </c>
      <c r="E827" s="25"/>
      <c r="F827" s="21"/>
      <c r="G827" s="42" t="s">
        <v>28000</v>
      </c>
      <c r="H827" s="2" t="s">
        <v>7865</v>
      </c>
      <c r="I827" s="2" t="s">
        <v>7982</v>
      </c>
      <c r="J827" s="2" t="s">
        <v>7977</v>
      </c>
      <c r="K827" s="2" t="s">
        <v>7979</v>
      </c>
      <c r="L827" s="2"/>
      <c r="M827" s="2"/>
      <c r="N827" s="2" t="s">
        <v>536</v>
      </c>
      <c r="O827" s="2" t="s">
        <v>537</v>
      </c>
      <c r="P827" s="2" t="s">
        <v>1428</v>
      </c>
      <c r="Q827" s="2" t="s">
        <v>7979</v>
      </c>
      <c r="R827" s="2"/>
      <c r="S827" s="2"/>
      <c r="T827" s="2"/>
      <c r="U827" s="2" t="s">
        <v>536</v>
      </c>
      <c r="V827" s="2" t="s">
        <v>537</v>
      </c>
      <c r="W827" s="2" t="s">
        <v>1428</v>
      </c>
      <c r="X827" s="2" t="s">
        <v>7981</v>
      </c>
      <c r="Y827" s="2" t="s">
        <v>44</v>
      </c>
      <c r="Z827" s="2"/>
      <c r="AA827" s="2" t="s">
        <v>821</v>
      </c>
      <c r="AB827" s="2" t="s">
        <v>46</v>
      </c>
      <c r="AC827" s="2" t="s">
        <v>821</v>
      </c>
      <c r="AE827" s="2" t="s">
        <v>48</v>
      </c>
      <c r="AF827" s="2" t="s">
        <v>49</v>
      </c>
      <c r="AG827" s="2">
        <v>90</v>
      </c>
      <c r="AH827" s="2">
        <v>77</v>
      </c>
      <c r="AJ827" s="2" t="s">
        <v>7983</v>
      </c>
      <c r="AK827" s="2"/>
      <c r="AL827" s="2"/>
      <c r="AM827" s="2" t="s">
        <v>52</v>
      </c>
    </row>
    <row r="828" spans="1:39" x14ac:dyDescent="0.45">
      <c r="A828" s="2" t="s">
        <v>7984</v>
      </c>
      <c r="B828" s="2"/>
      <c r="C828" s="2" t="s">
        <v>7986</v>
      </c>
      <c r="D828" s="2" t="s">
        <v>7988</v>
      </c>
      <c r="E828" s="25"/>
      <c r="F828" s="21"/>
      <c r="G828" s="42" t="s">
        <v>28000</v>
      </c>
      <c r="H828" s="2" t="s">
        <v>7865</v>
      </c>
      <c r="I828" s="2" t="s">
        <v>7990</v>
      </c>
      <c r="J828" s="2" t="s">
        <v>7985</v>
      </c>
      <c r="K828" s="2" t="s">
        <v>7987</v>
      </c>
      <c r="L828" s="2"/>
      <c r="M828" s="2"/>
      <c r="N828" s="2" t="s">
        <v>59</v>
      </c>
      <c r="O828" s="2" t="s">
        <v>60</v>
      </c>
      <c r="P828" s="2" t="s">
        <v>3971</v>
      </c>
      <c r="Q828" s="2" t="s">
        <v>7987</v>
      </c>
      <c r="R828" s="2"/>
      <c r="S828" s="2"/>
      <c r="T828" s="2"/>
      <c r="U828" s="2" t="s">
        <v>59</v>
      </c>
      <c r="V828" s="2" t="s">
        <v>60</v>
      </c>
      <c r="W828" s="2" t="s">
        <v>3971</v>
      </c>
      <c r="X828" s="2" t="s">
        <v>7989</v>
      </c>
      <c r="Y828" s="2" t="s">
        <v>44</v>
      </c>
      <c r="Z828" s="2"/>
      <c r="AA828" s="2" t="s">
        <v>821</v>
      </c>
      <c r="AB828" s="2" t="s">
        <v>46</v>
      </c>
      <c r="AC828" s="2" t="s">
        <v>821</v>
      </c>
      <c r="AE828" s="2" t="s">
        <v>48</v>
      </c>
      <c r="AF828" s="2" t="s">
        <v>49</v>
      </c>
      <c r="AG828" s="2">
        <v>90</v>
      </c>
      <c r="AH828" s="2">
        <v>77</v>
      </c>
      <c r="AJ828" s="2" t="s">
        <v>7991</v>
      </c>
      <c r="AK828" s="2"/>
      <c r="AL828" s="2"/>
      <c r="AM828" s="2" t="s">
        <v>52</v>
      </c>
    </row>
    <row r="829" spans="1:39" x14ac:dyDescent="0.45">
      <c r="A829" s="2" t="s">
        <v>7992</v>
      </c>
      <c r="B829" s="2"/>
      <c r="C829" s="2" t="s">
        <v>7994</v>
      </c>
      <c r="D829" s="2" t="s">
        <v>7996</v>
      </c>
      <c r="E829" s="25"/>
      <c r="F829" s="21"/>
      <c r="G829" s="42" t="s">
        <v>28000</v>
      </c>
      <c r="H829" s="2" t="s">
        <v>7865</v>
      </c>
      <c r="I829" s="2" t="s">
        <v>7999</v>
      </c>
      <c r="J829" s="2" t="s">
        <v>7993</v>
      </c>
      <c r="K829" s="2" t="s">
        <v>7995</v>
      </c>
      <c r="L829" s="2"/>
      <c r="M829" s="2"/>
      <c r="N829" s="2" t="s">
        <v>536</v>
      </c>
      <c r="O829" s="2" t="s">
        <v>537</v>
      </c>
      <c r="P829" s="2" t="s">
        <v>538</v>
      </c>
      <c r="Q829" s="2" t="s">
        <v>7997</v>
      </c>
      <c r="R829" s="2"/>
      <c r="S829" s="2"/>
      <c r="T829" s="2"/>
      <c r="U829" s="2" t="s">
        <v>536</v>
      </c>
      <c r="V829" s="2" t="s">
        <v>537</v>
      </c>
      <c r="W829" s="2" t="s">
        <v>1818</v>
      </c>
      <c r="X829" s="2" t="s">
        <v>7998</v>
      </c>
      <c r="Y829" s="2" t="s">
        <v>44</v>
      </c>
      <c r="Z829" s="2"/>
      <c r="AA829" s="2" t="s">
        <v>821</v>
      </c>
      <c r="AB829" s="2" t="s">
        <v>46</v>
      </c>
      <c r="AC829" s="2" t="s">
        <v>821</v>
      </c>
      <c r="AE829" s="2" t="s">
        <v>48</v>
      </c>
      <c r="AF829" s="2" t="s">
        <v>49</v>
      </c>
      <c r="AG829" s="2">
        <v>90</v>
      </c>
      <c r="AH829" s="2">
        <v>77</v>
      </c>
      <c r="AJ829" s="2" t="s">
        <v>8000</v>
      </c>
      <c r="AK829" s="2"/>
      <c r="AL829" s="2"/>
      <c r="AM829" s="2" t="s">
        <v>52</v>
      </c>
    </row>
    <row r="830" spans="1:39" x14ac:dyDescent="0.45">
      <c r="A830" s="2" t="s">
        <v>8001</v>
      </c>
      <c r="B830" s="2"/>
      <c r="C830" s="2" t="s">
        <v>8003</v>
      </c>
      <c r="D830" s="2" t="s">
        <v>8005</v>
      </c>
      <c r="E830" s="25"/>
      <c r="F830" s="21"/>
      <c r="G830" s="42" t="s">
        <v>28000</v>
      </c>
      <c r="H830" s="2" t="s">
        <v>7865</v>
      </c>
      <c r="I830" s="2" t="s">
        <v>8006</v>
      </c>
      <c r="J830" s="2" t="s">
        <v>8002</v>
      </c>
      <c r="K830" s="2" t="s">
        <v>8004</v>
      </c>
      <c r="L830" s="2"/>
      <c r="M830" s="2"/>
      <c r="N830" s="2" t="s">
        <v>59</v>
      </c>
      <c r="O830" s="2" t="s">
        <v>60</v>
      </c>
      <c r="P830" s="2" t="s">
        <v>4000</v>
      </c>
      <c r="Q830" s="2" t="s">
        <v>8004</v>
      </c>
      <c r="R830" s="2"/>
      <c r="S830" s="2"/>
      <c r="T830" s="2"/>
      <c r="U830" s="2" t="s">
        <v>59</v>
      </c>
      <c r="V830" s="2" t="s">
        <v>60</v>
      </c>
      <c r="W830" s="2" t="s">
        <v>4000</v>
      </c>
      <c r="X830" s="2" t="s">
        <v>1559</v>
      </c>
      <c r="Y830" s="2" t="s">
        <v>44</v>
      </c>
      <c r="Z830" s="2"/>
      <c r="AA830" s="2" t="s">
        <v>821</v>
      </c>
      <c r="AB830" s="2" t="s">
        <v>46</v>
      </c>
      <c r="AC830" s="2" t="s">
        <v>821</v>
      </c>
      <c r="AE830" s="2" t="s">
        <v>48</v>
      </c>
      <c r="AF830" s="2" t="s">
        <v>49</v>
      </c>
      <c r="AG830" s="2">
        <v>90</v>
      </c>
      <c r="AH830" s="2">
        <v>77</v>
      </c>
      <c r="AJ830" s="2" t="s">
        <v>8007</v>
      </c>
      <c r="AK830" s="2"/>
      <c r="AL830" s="2"/>
      <c r="AM830" s="2" t="s">
        <v>52</v>
      </c>
    </row>
    <row r="831" spans="1:39" x14ac:dyDescent="0.45">
      <c r="A831" s="2" t="s">
        <v>8008</v>
      </c>
      <c r="B831" s="2"/>
      <c r="C831" s="2" t="s">
        <v>8010</v>
      </c>
      <c r="D831" s="2" t="s">
        <v>8012</v>
      </c>
      <c r="E831" s="25"/>
      <c r="F831" s="21"/>
      <c r="G831" s="42" t="s">
        <v>28000</v>
      </c>
      <c r="H831" s="2" t="s">
        <v>7865</v>
      </c>
      <c r="I831" s="2" t="s">
        <v>8015</v>
      </c>
      <c r="J831" s="2" t="s">
        <v>8009</v>
      </c>
      <c r="K831" s="2" t="s">
        <v>8011</v>
      </c>
      <c r="L831" s="2"/>
      <c r="M831" s="2"/>
      <c r="N831" s="2" t="s">
        <v>59</v>
      </c>
      <c r="O831" s="2" t="s">
        <v>60</v>
      </c>
      <c r="P831" s="2" t="s">
        <v>4000</v>
      </c>
      <c r="Q831" s="2" t="s">
        <v>8013</v>
      </c>
      <c r="R831" s="2"/>
      <c r="S831" s="2"/>
      <c r="T831" s="2"/>
      <c r="U831" s="2" t="s">
        <v>59</v>
      </c>
      <c r="V831" s="2" t="s">
        <v>60</v>
      </c>
      <c r="W831" s="2" t="s">
        <v>4000</v>
      </c>
      <c r="X831" s="2" t="s">
        <v>8014</v>
      </c>
      <c r="Y831" s="2" t="s">
        <v>44</v>
      </c>
      <c r="Z831" s="2"/>
      <c r="AA831" s="2" t="s">
        <v>821</v>
      </c>
      <c r="AB831" s="2" t="s">
        <v>46</v>
      </c>
      <c r="AC831" s="2" t="s">
        <v>821</v>
      </c>
      <c r="AE831" s="2" t="s">
        <v>48</v>
      </c>
      <c r="AF831" s="2" t="s">
        <v>49</v>
      </c>
      <c r="AG831" s="2">
        <v>90</v>
      </c>
      <c r="AH831" s="2">
        <v>77</v>
      </c>
      <c r="AJ831" s="2" t="s">
        <v>8016</v>
      </c>
      <c r="AK831" s="2"/>
      <c r="AL831" s="2"/>
      <c r="AM831" s="2" t="s">
        <v>52</v>
      </c>
    </row>
    <row r="832" spans="1:39" x14ac:dyDescent="0.45">
      <c r="A832" s="2" t="s">
        <v>8017</v>
      </c>
      <c r="B832" s="2"/>
      <c r="C832" s="2" t="s">
        <v>8019</v>
      </c>
      <c r="D832" s="2" t="s">
        <v>8021</v>
      </c>
      <c r="E832" s="25"/>
      <c r="F832" s="21"/>
      <c r="G832" s="42" t="s">
        <v>28000</v>
      </c>
      <c r="H832" s="2" t="s">
        <v>7865</v>
      </c>
      <c r="I832" s="2" t="s">
        <v>8024</v>
      </c>
      <c r="J832" s="2" t="s">
        <v>8018</v>
      </c>
      <c r="K832" s="2" t="s">
        <v>8020</v>
      </c>
      <c r="L832" s="2"/>
      <c r="M832" s="2"/>
      <c r="N832" s="2" t="s">
        <v>72</v>
      </c>
      <c r="O832" s="2" t="s">
        <v>73</v>
      </c>
      <c r="P832" s="2" t="s">
        <v>3302</v>
      </c>
      <c r="Q832" s="2" t="s">
        <v>8022</v>
      </c>
      <c r="R832" s="2"/>
      <c r="S832" s="2"/>
      <c r="T832" s="2"/>
      <c r="U832" s="2" t="s">
        <v>72</v>
      </c>
      <c r="V832" s="2" t="s">
        <v>73</v>
      </c>
      <c r="W832" s="2" t="s">
        <v>3302</v>
      </c>
      <c r="X832" s="2" t="s">
        <v>8023</v>
      </c>
      <c r="Y832" s="2" t="s">
        <v>44</v>
      </c>
      <c r="Z832" s="2"/>
      <c r="AA832" s="2" t="s">
        <v>821</v>
      </c>
      <c r="AB832" s="2" t="s">
        <v>46</v>
      </c>
      <c r="AC832" s="2" t="s">
        <v>821</v>
      </c>
      <c r="AE832" s="2" t="s">
        <v>48</v>
      </c>
      <c r="AF832" s="2" t="s">
        <v>49</v>
      </c>
      <c r="AG832" s="2">
        <v>90</v>
      </c>
      <c r="AH832" s="2">
        <v>77</v>
      </c>
      <c r="AJ832" s="2" t="s">
        <v>8025</v>
      </c>
      <c r="AK832" s="2"/>
      <c r="AL832" s="2"/>
      <c r="AM832" s="2" t="s">
        <v>52</v>
      </c>
    </row>
    <row r="833" spans="1:39" x14ac:dyDescent="0.45">
      <c r="A833" s="2" t="s">
        <v>8026</v>
      </c>
      <c r="B833" s="2"/>
      <c r="C833" s="2" t="s">
        <v>8028</v>
      </c>
      <c r="D833" s="2" t="s">
        <v>8030</v>
      </c>
      <c r="E833" s="25"/>
      <c r="F833" s="21"/>
      <c r="G833" s="42" t="s">
        <v>28000</v>
      </c>
      <c r="H833" s="2" t="s">
        <v>7865</v>
      </c>
      <c r="I833" s="2" t="s">
        <v>8031</v>
      </c>
      <c r="J833" s="2" t="s">
        <v>8027</v>
      </c>
      <c r="K833" s="2" t="s">
        <v>8029</v>
      </c>
      <c r="L833" s="2"/>
      <c r="M833" s="2"/>
      <c r="N833" s="2" t="s">
        <v>59</v>
      </c>
      <c r="O833" s="2" t="s">
        <v>60</v>
      </c>
      <c r="P833" s="2" t="s">
        <v>5603</v>
      </c>
      <c r="Q833" s="2" t="s">
        <v>8029</v>
      </c>
      <c r="R833" s="2"/>
      <c r="S833" s="2"/>
      <c r="T833" s="2"/>
      <c r="U833" s="2" t="s">
        <v>59</v>
      </c>
      <c r="V833" s="2" t="s">
        <v>60</v>
      </c>
      <c r="W833" s="2" t="s">
        <v>5603</v>
      </c>
      <c r="X833" s="2" t="s">
        <v>8023</v>
      </c>
      <c r="Y833" s="2" t="s">
        <v>44</v>
      </c>
      <c r="Z833" s="2"/>
      <c r="AA833" s="2" t="s">
        <v>821</v>
      </c>
      <c r="AB833" s="2" t="s">
        <v>46</v>
      </c>
      <c r="AC833" s="2" t="s">
        <v>821</v>
      </c>
      <c r="AE833" s="2" t="s">
        <v>48</v>
      </c>
      <c r="AF833" s="2" t="s">
        <v>49</v>
      </c>
      <c r="AG833" s="2">
        <v>90</v>
      </c>
      <c r="AH833" s="2">
        <v>77</v>
      </c>
      <c r="AJ833" s="2" t="s">
        <v>8032</v>
      </c>
      <c r="AK833" s="2"/>
      <c r="AL833" s="2"/>
      <c r="AM833" s="2" t="s">
        <v>52</v>
      </c>
    </row>
    <row r="834" spans="1:39" x14ac:dyDescent="0.45">
      <c r="A834" s="2" t="s">
        <v>8033</v>
      </c>
      <c r="B834" s="2"/>
      <c r="C834" s="2" t="s">
        <v>8035</v>
      </c>
      <c r="D834" s="2" t="s">
        <v>8037</v>
      </c>
      <c r="E834" s="25"/>
      <c r="F834" s="21"/>
      <c r="G834" s="42" t="s">
        <v>28000</v>
      </c>
      <c r="H834" s="2" t="s">
        <v>7865</v>
      </c>
      <c r="I834" s="2" t="s">
        <v>8040</v>
      </c>
      <c r="J834" s="2" t="s">
        <v>8034</v>
      </c>
      <c r="K834" s="2" t="s">
        <v>8036</v>
      </c>
      <c r="L834" s="2"/>
      <c r="M834" s="2"/>
      <c r="N834" s="2" t="s">
        <v>72</v>
      </c>
      <c r="O834" s="2" t="s">
        <v>73</v>
      </c>
      <c r="P834" s="2" t="s">
        <v>8038</v>
      </c>
      <c r="Q834" s="2" t="s">
        <v>8036</v>
      </c>
      <c r="R834" s="2"/>
      <c r="S834" s="2"/>
      <c r="T834" s="2"/>
      <c r="U834" s="2" t="s">
        <v>72</v>
      </c>
      <c r="V834" s="2" t="s">
        <v>73</v>
      </c>
      <c r="W834" s="2" t="s">
        <v>8038</v>
      </c>
      <c r="X834" s="2" t="s">
        <v>8039</v>
      </c>
      <c r="Y834" s="2" t="s">
        <v>44</v>
      </c>
      <c r="Z834" s="2"/>
      <c r="AA834" s="2" t="s">
        <v>821</v>
      </c>
      <c r="AB834" s="2" t="s">
        <v>46</v>
      </c>
      <c r="AC834" s="2" t="s">
        <v>821</v>
      </c>
      <c r="AE834" s="2" t="s">
        <v>48</v>
      </c>
      <c r="AF834" s="2" t="s">
        <v>49</v>
      </c>
      <c r="AG834" s="2">
        <v>90</v>
      </c>
      <c r="AH834" s="2">
        <v>77</v>
      </c>
      <c r="AJ834" s="2" t="s">
        <v>8041</v>
      </c>
      <c r="AK834" s="2"/>
      <c r="AL834" s="2"/>
      <c r="AM834" s="2" t="s">
        <v>52</v>
      </c>
    </row>
    <row r="835" spans="1:39" x14ac:dyDescent="0.45">
      <c r="A835" s="2" t="s">
        <v>8042</v>
      </c>
      <c r="B835" s="2"/>
      <c r="C835" s="2" t="s">
        <v>8044</v>
      </c>
      <c r="D835" s="2" t="s">
        <v>8046</v>
      </c>
      <c r="E835" s="25"/>
      <c r="F835" s="21"/>
      <c r="G835" s="42" t="s">
        <v>28000</v>
      </c>
      <c r="H835" s="2" t="s">
        <v>7865</v>
      </c>
      <c r="I835" s="2" t="s">
        <v>8049</v>
      </c>
      <c r="J835" s="2" t="s">
        <v>8043</v>
      </c>
      <c r="K835" s="2" t="s">
        <v>8045</v>
      </c>
      <c r="L835" s="2"/>
      <c r="M835" s="2"/>
      <c r="N835" s="2" t="s">
        <v>72</v>
      </c>
      <c r="O835" s="2" t="s">
        <v>73</v>
      </c>
      <c r="P835" s="2" t="s">
        <v>197</v>
      </c>
      <c r="Q835" s="2" t="s">
        <v>8047</v>
      </c>
      <c r="R835" s="2"/>
      <c r="S835" s="2"/>
      <c r="T835" s="2"/>
      <c r="U835" s="2" t="s">
        <v>72</v>
      </c>
      <c r="V835" s="2" t="s">
        <v>73</v>
      </c>
      <c r="W835" s="2" t="s">
        <v>197</v>
      </c>
      <c r="X835" s="2" t="s">
        <v>8048</v>
      </c>
      <c r="Y835" s="2" t="s">
        <v>44</v>
      </c>
      <c r="Z835" s="2"/>
      <c r="AA835" s="2" t="s">
        <v>821</v>
      </c>
      <c r="AB835" s="2" t="s">
        <v>46</v>
      </c>
      <c r="AC835" s="2" t="s">
        <v>821</v>
      </c>
      <c r="AE835" s="2" t="s">
        <v>48</v>
      </c>
      <c r="AF835" s="2" t="s">
        <v>49</v>
      </c>
      <c r="AG835" s="2">
        <v>90</v>
      </c>
      <c r="AH835" s="2">
        <v>77</v>
      </c>
      <c r="AJ835" s="2" t="s">
        <v>8050</v>
      </c>
      <c r="AK835" s="2"/>
      <c r="AL835" s="2"/>
      <c r="AM835" s="2" t="s">
        <v>52</v>
      </c>
    </row>
    <row r="836" spans="1:39" x14ac:dyDescent="0.45">
      <c r="A836" s="2" t="s">
        <v>8051</v>
      </c>
      <c r="B836" s="2"/>
      <c r="C836" s="2" t="s">
        <v>8053</v>
      </c>
      <c r="D836" s="2" t="s">
        <v>8055</v>
      </c>
      <c r="E836" s="25"/>
      <c r="F836" s="21"/>
      <c r="G836" s="42" t="s">
        <v>28000</v>
      </c>
      <c r="H836" s="2" t="s">
        <v>7865</v>
      </c>
      <c r="I836" s="2" t="s">
        <v>8057</v>
      </c>
      <c r="J836" s="2" t="s">
        <v>8052</v>
      </c>
      <c r="K836" s="2" t="s">
        <v>8054</v>
      </c>
      <c r="L836" s="2"/>
      <c r="M836" s="2"/>
      <c r="N836" s="2" t="s">
        <v>59</v>
      </c>
      <c r="O836" s="2" t="s">
        <v>60</v>
      </c>
      <c r="P836" s="2" t="s">
        <v>8056</v>
      </c>
      <c r="Q836" s="2" t="s">
        <v>8054</v>
      </c>
      <c r="R836" s="2"/>
      <c r="S836" s="2"/>
      <c r="T836" s="2"/>
      <c r="U836" s="2" t="s">
        <v>59</v>
      </c>
      <c r="V836" s="2" t="s">
        <v>60</v>
      </c>
      <c r="W836" s="2" t="s">
        <v>8056</v>
      </c>
      <c r="X836" s="2" t="s">
        <v>1768</v>
      </c>
      <c r="Y836" s="2" t="s">
        <v>44</v>
      </c>
      <c r="Z836" s="2"/>
      <c r="AA836" s="2" t="s">
        <v>821</v>
      </c>
      <c r="AB836" s="2" t="s">
        <v>46</v>
      </c>
      <c r="AC836" s="2" t="s">
        <v>821</v>
      </c>
      <c r="AE836" s="2" t="s">
        <v>48</v>
      </c>
      <c r="AF836" s="2" t="s">
        <v>49</v>
      </c>
      <c r="AG836" s="2">
        <v>90</v>
      </c>
      <c r="AH836" s="2">
        <v>77</v>
      </c>
      <c r="AJ836" s="2" t="s">
        <v>8058</v>
      </c>
      <c r="AK836" s="2"/>
      <c r="AL836" s="2"/>
      <c r="AM836" s="2" t="s">
        <v>52</v>
      </c>
    </row>
    <row r="837" spans="1:39" x14ac:dyDescent="0.45">
      <c r="A837" s="2" t="s">
        <v>8059</v>
      </c>
      <c r="B837" s="2"/>
      <c r="C837" s="2" t="s">
        <v>8061</v>
      </c>
      <c r="D837" s="2" t="s">
        <v>8063</v>
      </c>
      <c r="E837" s="25"/>
      <c r="F837" s="21"/>
      <c r="G837" s="42" t="s">
        <v>28000</v>
      </c>
      <c r="H837" s="2" t="s">
        <v>7865</v>
      </c>
      <c r="I837" s="2" t="s">
        <v>8064</v>
      </c>
      <c r="J837" s="2" t="s">
        <v>8060</v>
      </c>
      <c r="K837" s="2" t="s">
        <v>8062</v>
      </c>
      <c r="L837" s="2"/>
      <c r="M837" s="2"/>
      <c r="N837" s="2" t="s">
        <v>536</v>
      </c>
      <c r="O837" s="2" t="s">
        <v>537</v>
      </c>
      <c r="P837" s="2" t="s">
        <v>2429</v>
      </c>
      <c r="Q837" s="2" t="s">
        <v>8062</v>
      </c>
      <c r="R837" s="2"/>
      <c r="S837" s="2"/>
      <c r="T837" s="2"/>
      <c r="U837" s="2" t="s">
        <v>536</v>
      </c>
      <c r="V837" s="2" t="s">
        <v>537</v>
      </c>
      <c r="W837" s="2" t="s">
        <v>2429</v>
      </c>
      <c r="X837" s="2" t="s">
        <v>3537</v>
      </c>
      <c r="Y837" s="2" t="s">
        <v>44</v>
      </c>
      <c r="Z837" s="2"/>
      <c r="AA837" s="2" t="s">
        <v>821</v>
      </c>
      <c r="AB837" s="2" t="s">
        <v>46</v>
      </c>
      <c r="AC837" s="2" t="s">
        <v>821</v>
      </c>
      <c r="AE837" s="2" t="s">
        <v>48</v>
      </c>
      <c r="AF837" s="2" t="s">
        <v>49</v>
      </c>
      <c r="AG837" s="2">
        <v>90</v>
      </c>
      <c r="AH837" s="2">
        <v>77</v>
      </c>
      <c r="AJ837" s="2" t="s">
        <v>8065</v>
      </c>
      <c r="AK837" s="2"/>
      <c r="AL837" s="2"/>
      <c r="AM837" s="2" t="s">
        <v>52</v>
      </c>
    </row>
    <row r="838" spans="1:39" x14ac:dyDescent="0.45">
      <c r="A838" s="2" t="s">
        <v>8066</v>
      </c>
      <c r="B838" s="2"/>
      <c r="C838" s="2" t="s">
        <v>8068</v>
      </c>
      <c r="D838" s="2" t="s">
        <v>8070</v>
      </c>
      <c r="E838" s="25"/>
      <c r="F838" s="21"/>
      <c r="G838" s="42" t="s">
        <v>28000</v>
      </c>
      <c r="H838" s="2" t="s">
        <v>7865</v>
      </c>
      <c r="I838" s="2" t="s">
        <v>8072</v>
      </c>
      <c r="J838" s="2" t="s">
        <v>8067</v>
      </c>
      <c r="K838" s="2" t="s">
        <v>8069</v>
      </c>
      <c r="L838" s="2"/>
      <c r="M838" s="2"/>
      <c r="N838" s="2" t="s">
        <v>536</v>
      </c>
      <c r="O838" s="2" t="s">
        <v>537</v>
      </c>
      <c r="P838" s="2" t="s">
        <v>4926</v>
      </c>
      <c r="Q838" s="2" t="s">
        <v>8069</v>
      </c>
      <c r="R838" s="2"/>
      <c r="S838" s="2"/>
      <c r="T838" s="2"/>
      <c r="U838" s="2" t="s">
        <v>536</v>
      </c>
      <c r="V838" s="2" t="s">
        <v>537</v>
      </c>
      <c r="W838" s="2" t="s">
        <v>4926</v>
      </c>
      <c r="X838" s="2" t="s">
        <v>8071</v>
      </c>
      <c r="Y838" s="2" t="s">
        <v>44</v>
      </c>
      <c r="Z838" s="2"/>
      <c r="AA838" s="2" t="s">
        <v>821</v>
      </c>
      <c r="AB838" s="2" t="s">
        <v>46</v>
      </c>
      <c r="AC838" s="2" t="s">
        <v>821</v>
      </c>
      <c r="AE838" s="2" t="s">
        <v>48</v>
      </c>
      <c r="AF838" s="2" t="s">
        <v>49</v>
      </c>
      <c r="AG838" s="2">
        <v>90</v>
      </c>
      <c r="AH838" s="2">
        <v>77</v>
      </c>
      <c r="AJ838" s="2" t="s">
        <v>8073</v>
      </c>
      <c r="AK838" s="2"/>
      <c r="AL838" s="2"/>
      <c r="AM838" s="2" t="s">
        <v>52</v>
      </c>
    </row>
    <row r="839" spans="1:39" x14ac:dyDescent="0.45">
      <c r="A839" s="2" t="s">
        <v>8074</v>
      </c>
      <c r="B839" s="2"/>
      <c r="C839" s="2" t="s">
        <v>8076</v>
      </c>
      <c r="D839" s="2" t="s">
        <v>8078</v>
      </c>
      <c r="E839" s="25"/>
      <c r="F839" s="21"/>
      <c r="G839" s="42" t="s">
        <v>28000</v>
      </c>
      <c r="H839" s="2" t="s">
        <v>7865</v>
      </c>
      <c r="I839" s="2" t="s">
        <v>8080</v>
      </c>
      <c r="J839" s="2" t="s">
        <v>8075</v>
      </c>
      <c r="K839" s="2" t="s">
        <v>8077</v>
      </c>
      <c r="L839" s="2"/>
      <c r="M839" s="2"/>
      <c r="N839" s="2" t="s">
        <v>72</v>
      </c>
      <c r="O839" s="2" t="s">
        <v>73</v>
      </c>
      <c r="P839" s="2" t="s">
        <v>74</v>
      </c>
      <c r="Q839" s="2" t="s">
        <v>8077</v>
      </c>
      <c r="R839" s="2"/>
      <c r="S839" s="2"/>
      <c r="T839" s="2"/>
      <c r="U839" s="2" t="s">
        <v>72</v>
      </c>
      <c r="V839" s="2" t="s">
        <v>73</v>
      </c>
      <c r="W839" s="2" t="s">
        <v>74</v>
      </c>
      <c r="X839" s="2" t="s">
        <v>8079</v>
      </c>
      <c r="Y839" s="2" t="s">
        <v>44</v>
      </c>
      <c r="Z839" s="2"/>
      <c r="AA839" s="2" t="s">
        <v>821</v>
      </c>
      <c r="AB839" s="2" t="s">
        <v>46</v>
      </c>
      <c r="AC839" s="2" t="s">
        <v>821</v>
      </c>
      <c r="AE839" s="2" t="s">
        <v>48</v>
      </c>
      <c r="AF839" s="2" t="s">
        <v>49</v>
      </c>
      <c r="AG839" s="2">
        <v>90</v>
      </c>
      <c r="AH839" s="2">
        <v>77</v>
      </c>
      <c r="AJ839" s="2" t="s">
        <v>8081</v>
      </c>
      <c r="AK839" s="2"/>
      <c r="AL839" s="2"/>
      <c r="AM839" s="2" t="s">
        <v>52</v>
      </c>
    </row>
    <row r="840" spans="1:39" x14ac:dyDescent="0.45">
      <c r="A840" s="2" t="s">
        <v>8082</v>
      </c>
      <c r="B840" s="2"/>
      <c r="C840" s="2" t="s">
        <v>8084</v>
      </c>
      <c r="D840" s="2" t="s">
        <v>8086</v>
      </c>
      <c r="E840" s="25"/>
      <c r="F840" s="21"/>
      <c r="G840" s="42" t="s">
        <v>28000</v>
      </c>
      <c r="H840" s="2" t="s">
        <v>7865</v>
      </c>
      <c r="I840" s="2" t="s">
        <v>8088</v>
      </c>
      <c r="J840" s="2" t="s">
        <v>8083</v>
      </c>
      <c r="K840" s="2" t="s">
        <v>8085</v>
      </c>
      <c r="L840" s="2"/>
      <c r="M840" s="2"/>
      <c r="N840" s="2" t="s">
        <v>324</v>
      </c>
      <c r="O840" s="2" t="s">
        <v>73</v>
      </c>
      <c r="P840" s="2" t="s">
        <v>7664</v>
      </c>
      <c r="Q840" s="2" t="s">
        <v>8087</v>
      </c>
      <c r="R840" s="2"/>
      <c r="S840" s="2"/>
      <c r="T840" s="2"/>
      <c r="U840" s="2" t="s">
        <v>1023</v>
      </c>
      <c r="V840" s="2" t="s">
        <v>73</v>
      </c>
      <c r="W840" s="2" t="s">
        <v>1024</v>
      </c>
      <c r="X840" s="2" t="s">
        <v>5872</v>
      </c>
      <c r="Y840" s="2" t="s">
        <v>44</v>
      </c>
      <c r="Z840" s="2"/>
      <c r="AA840" s="2" t="s">
        <v>821</v>
      </c>
      <c r="AB840" s="2" t="s">
        <v>46</v>
      </c>
      <c r="AC840" s="2" t="s">
        <v>821</v>
      </c>
      <c r="AE840" s="2" t="s">
        <v>48</v>
      </c>
      <c r="AF840" s="2" t="s">
        <v>49</v>
      </c>
      <c r="AG840" s="2">
        <v>90</v>
      </c>
      <c r="AH840" s="2">
        <v>77</v>
      </c>
      <c r="AJ840" s="2" t="s">
        <v>8089</v>
      </c>
      <c r="AK840" s="2"/>
      <c r="AL840" s="2"/>
      <c r="AM840" s="2" t="s">
        <v>52</v>
      </c>
    </row>
    <row r="841" spans="1:39" x14ac:dyDescent="0.45">
      <c r="A841" s="2" t="s">
        <v>8090</v>
      </c>
      <c r="B841" s="2"/>
      <c r="C841" s="2" t="s">
        <v>8092</v>
      </c>
      <c r="D841" s="2" t="s">
        <v>8094</v>
      </c>
      <c r="E841" s="25"/>
      <c r="F841" s="21"/>
      <c r="G841" s="42" t="s">
        <v>28000</v>
      </c>
      <c r="H841" s="2" t="s">
        <v>7865</v>
      </c>
      <c r="I841" s="2" t="s">
        <v>8097</v>
      </c>
      <c r="J841" s="2" t="s">
        <v>8091</v>
      </c>
      <c r="K841" s="2" t="s">
        <v>8093</v>
      </c>
      <c r="L841" s="2"/>
      <c r="M841" s="2"/>
      <c r="N841" s="2" t="s">
        <v>72</v>
      </c>
      <c r="O841" s="2" t="s">
        <v>73</v>
      </c>
      <c r="P841" s="2" t="s">
        <v>722</v>
      </c>
      <c r="Q841" s="2" t="s">
        <v>8095</v>
      </c>
      <c r="R841" s="2"/>
      <c r="S841" s="2"/>
      <c r="T841" s="2"/>
      <c r="U841" s="2" t="s">
        <v>72</v>
      </c>
      <c r="V841" s="2" t="s">
        <v>73</v>
      </c>
      <c r="W841" s="2" t="s">
        <v>74</v>
      </c>
      <c r="X841" s="2" t="s">
        <v>8096</v>
      </c>
      <c r="Y841" s="2" t="s">
        <v>44</v>
      </c>
      <c r="Z841" s="2"/>
      <c r="AA841" s="2" t="s">
        <v>821</v>
      </c>
      <c r="AB841" s="2" t="s">
        <v>46</v>
      </c>
      <c r="AC841" s="2" t="s">
        <v>821</v>
      </c>
      <c r="AE841" s="2" t="s">
        <v>48</v>
      </c>
      <c r="AF841" s="2" t="s">
        <v>49</v>
      </c>
      <c r="AG841" s="2">
        <v>90</v>
      </c>
      <c r="AH841" s="2">
        <v>77</v>
      </c>
      <c r="AJ841" s="2" t="s">
        <v>8098</v>
      </c>
      <c r="AK841" s="2"/>
      <c r="AL841" s="2"/>
      <c r="AM841" s="2" t="s">
        <v>52</v>
      </c>
    </row>
    <row r="842" spans="1:39" x14ac:dyDescent="0.45">
      <c r="A842" s="2" t="s">
        <v>8099</v>
      </c>
      <c r="B842" s="2"/>
      <c r="C842" s="2" t="s">
        <v>8101</v>
      </c>
      <c r="D842" s="2" t="s">
        <v>8103</v>
      </c>
      <c r="E842" s="25"/>
      <c r="F842" s="21"/>
      <c r="G842" s="42" t="s">
        <v>28000</v>
      </c>
      <c r="H842" s="2" t="s">
        <v>7865</v>
      </c>
      <c r="I842" s="2" t="s">
        <v>8106</v>
      </c>
      <c r="J842" s="2" t="s">
        <v>8100</v>
      </c>
      <c r="K842" s="2" t="s">
        <v>8102</v>
      </c>
      <c r="L842" s="2"/>
      <c r="M842" s="2"/>
      <c r="N842" s="2" t="s">
        <v>59</v>
      </c>
      <c r="O842" s="2" t="s">
        <v>60</v>
      </c>
      <c r="P842" s="2" t="s">
        <v>8104</v>
      </c>
      <c r="Q842" s="2" t="s">
        <v>8102</v>
      </c>
      <c r="R842" s="2"/>
      <c r="S842" s="2"/>
      <c r="T842" s="2"/>
      <c r="U842" s="2" t="s">
        <v>59</v>
      </c>
      <c r="V842" s="2" t="s">
        <v>60</v>
      </c>
      <c r="W842" s="2" t="s">
        <v>8104</v>
      </c>
      <c r="X842" s="2" t="s">
        <v>8105</v>
      </c>
      <c r="Y842" s="2" t="s">
        <v>44</v>
      </c>
      <c r="Z842" s="2"/>
      <c r="AA842" s="2" t="s">
        <v>821</v>
      </c>
      <c r="AB842" s="2" t="s">
        <v>46</v>
      </c>
      <c r="AC842" s="2" t="s">
        <v>821</v>
      </c>
      <c r="AE842" s="2" t="s">
        <v>48</v>
      </c>
      <c r="AF842" s="2" t="s">
        <v>49</v>
      </c>
      <c r="AG842" s="2">
        <v>90</v>
      </c>
      <c r="AH842" s="2">
        <v>77</v>
      </c>
      <c r="AJ842" s="2" t="s">
        <v>8107</v>
      </c>
      <c r="AK842" s="2"/>
      <c r="AL842" s="2"/>
      <c r="AM842" s="2" t="s">
        <v>52</v>
      </c>
    </row>
    <row r="843" spans="1:39" x14ac:dyDescent="0.45">
      <c r="A843" s="2" t="s">
        <v>8108</v>
      </c>
      <c r="B843" s="2"/>
      <c r="C843" s="2" t="s">
        <v>8110</v>
      </c>
      <c r="D843" s="2" t="s">
        <v>8112</v>
      </c>
      <c r="E843" s="25"/>
      <c r="F843" s="21"/>
      <c r="G843" s="42" t="s">
        <v>28000</v>
      </c>
      <c r="H843" s="2" t="s">
        <v>7865</v>
      </c>
      <c r="I843" s="2" t="s">
        <v>8116</v>
      </c>
      <c r="J843" s="2" t="s">
        <v>8109</v>
      </c>
      <c r="K843" s="2" t="s">
        <v>8111</v>
      </c>
      <c r="L843" s="2"/>
      <c r="M843" s="2"/>
      <c r="N843" s="2" t="s">
        <v>59</v>
      </c>
      <c r="O843" s="2" t="s">
        <v>60</v>
      </c>
      <c r="P843" s="2" t="s">
        <v>8113</v>
      </c>
      <c r="Q843" s="2" t="s">
        <v>8114</v>
      </c>
      <c r="R843" s="2"/>
      <c r="S843" s="2"/>
      <c r="T843" s="2"/>
      <c r="U843" s="2" t="s">
        <v>59</v>
      </c>
      <c r="V843" s="2" t="s">
        <v>60</v>
      </c>
      <c r="W843" s="2" t="s">
        <v>108</v>
      </c>
      <c r="X843" s="2" t="s">
        <v>8115</v>
      </c>
      <c r="Y843" s="2" t="s">
        <v>44</v>
      </c>
      <c r="Z843" s="2"/>
      <c r="AA843" s="2" t="s">
        <v>821</v>
      </c>
      <c r="AB843" s="2" t="s">
        <v>46</v>
      </c>
      <c r="AC843" s="2" t="s">
        <v>821</v>
      </c>
      <c r="AE843" s="2" t="s">
        <v>48</v>
      </c>
      <c r="AF843" s="2" t="s">
        <v>49</v>
      </c>
      <c r="AG843" s="2">
        <v>90</v>
      </c>
      <c r="AH843" s="2">
        <v>77</v>
      </c>
      <c r="AJ843" s="2" t="s">
        <v>8117</v>
      </c>
      <c r="AK843" s="2"/>
      <c r="AL843" s="2"/>
      <c r="AM843" s="2" t="s">
        <v>52</v>
      </c>
    </row>
    <row r="844" spans="1:39" x14ac:dyDescent="0.45">
      <c r="A844" s="2" t="s">
        <v>8118</v>
      </c>
      <c r="B844" s="2"/>
      <c r="C844" s="2" t="s">
        <v>8120</v>
      </c>
      <c r="D844" s="2" t="s">
        <v>8122</v>
      </c>
      <c r="E844" s="25"/>
      <c r="F844" s="21"/>
      <c r="G844" s="42" t="s">
        <v>28000</v>
      </c>
      <c r="H844" s="2" t="s">
        <v>7865</v>
      </c>
      <c r="I844" s="2" t="s">
        <v>8125</v>
      </c>
      <c r="J844" s="2" t="s">
        <v>8119</v>
      </c>
      <c r="K844" s="2" t="s">
        <v>8121</v>
      </c>
      <c r="L844" s="2"/>
      <c r="M844" s="2"/>
      <c r="N844" s="2" t="s">
        <v>39</v>
      </c>
      <c r="O844" s="2" t="s">
        <v>40</v>
      </c>
      <c r="P844" s="2" t="s">
        <v>8123</v>
      </c>
      <c r="Q844" s="2" t="s">
        <v>8121</v>
      </c>
      <c r="R844" s="2"/>
      <c r="S844" s="2"/>
      <c r="T844" s="2"/>
      <c r="U844" s="2" t="s">
        <v>39</v>
      </c>
      <c r="V844" s="2" t="s">
        <v>40</v>
      </c>
      <c r="W844" s="2" t="s">
        <v>8123</v>
      </c>
      <c r="X844" s="2" t="s">
        <v>8124</v>
      </c>
      <c r="Y844" s="2" t="s">
        <v>44</v>
      </c>
      <c r="Z844" s="2"/>
      <c r="AA844" s="2" t="s">
        <v>821</v>
      </c>
      <c r="AB844" s="2" t="s">
        <v>46</v>
      </c>
      <c r="AC844" s="2" t="s">
        <v>821</v>
      </c>
      <c r="AE844" s="2" t="s">
        <v>48</v>
      </c>
      <c r="AF844" s="2" t="s">
        <v>49</v>
      </c>
      <c r="AG844" s="2">
        <v>90</v>
      </c>
      <c r="AH844" s="2">
        <v>77</v>
      </c>
      <c r="AJ844" s="2" t="s">
        <v>8126</v>
      </c>
      <c r="AK844" s="2"/>
      <c r="AL844" s="2"/>
      <c r="AM844" s="2" t="s">
        <v>52</v>
      </c>
    </row>
    <row r="845" spans="1:39" x14ac:dyDescent="0.45">
      <c r="A845" s="2" t="s">
        <v>8127</v>
      </c>
      <c r="B845" s="2"/>
      <c r="C845" s="2" t="s">
        <v>8129</v>
      </c>
      <c r="D845" s="2" t="s">
        <v>8131</v>
      </c>
      <c r="E845" s="25"/>
      <c r="F845" s="21"/>
      <c r="G845" s="42" t="s">
        <v>28000</v>
      </c>
      <c r="H845" s="2" t="s">
        <v>7865</v>
      </c>
      <c r="I845" s="2" t="s">
        <v>8132</v>
      </c>
      <c r="J845" s="2" t="s">
        <v>8128</v>
      </c>
      <c r="K845" s="2" t="s">
        <v>8130</v>
      </c>
      <c r="L845" s="2"/>
      <c r="M845" s="2"/>
      <c r="N845" s="2" t="s">
        <v>59</v>
      </c>
      <c r="O845" s="2" t="s">
        <v>60</v>
      </c>
      <c r="P845" s="2" t="s">
        <v>8113</v>
      </c>
      <c r="Q845" s="2" t="s">
        <v>8130</v>
      </c>
      <c r="R845" s="2"/>
      <c r="S845" s="2"/>
      <c r="T845" s="2"/>
      <c r="U845" s="2" t="s">
        <v>59</v>
      </c>
      <c r="V845" s="2" t="s">
        <v>60</v>
      </c>
      <c r="W845" s="2" t="s">
        <v>8113</v>
      </c>
      <c r="X845" s="2" t="s">
        <v>1908</v>
      </c>
      <c r="Y845" s="2" t="s">
        <v>44</v>
      </c>
      <c r="Z845" s="2"/>
      <c r="AA845" s="2" t="s">
        <v>821</v>
      </c>
      <c r="AB845" s="2" t="s">
        <v>46</v>
      </c>
      <c r="AC845" s="2" t="s">
        <v>821</v>
      </c>
      <c r="AE845" s="2" t="s">
        <v>48</v>
      </c>
      <c r="AF845" s="2" t="s">
        <v>49</v>
      </c>
      <c r="AG845" s="2">
        <v>90</v>
      </c>
      <c r="AH845" s="2">
        <v>77</v>
      </c>
      <c r="AJ845" s="2" t="s">
        <v>8133</v>
      </c>
      <c r="AK845" s="2"/>
      <c r="AL845" s="2"/>
      <c r="AM845" s="2" t="s">
        <v>52</v>
      </c>
    </row>
    <row r="846" spans="1:39" x14ac:dyDescent="0.45">
      <c r="A846" s="2" t="s">
        <v>8134</v>
      </c>
      <c r="B846" s="2"/>
      <c r="C846" s="2" t="s">
        <v>8136</v>
      </c>
      <c r="D846" s="2" t="s">
        <v>8138</v>
      </c>
      <c r="E846" s="25"/>
      <c r="F846" s="21"/>
      <c r="G846" s="42" t="s">
        <v>28000</v>
      </c>
      <c r="H846" s="2" t="s">
        <v>7865</v>
      </c>
      <c r="I846" s="2" t="s">
        <v>8141</v>
      </c>
      <c r="J846" s="2" t="s">
        <v>8135</v>
      </c>
      <c r="K846" s="2" t="s">
        <v>8137</v>
      </c>
      <c r="L846" s="2"/>
      <c r="M846" s="2"/>
      <c r="N846" s="2" t="s">
        <v>72</v>
      </c>
      <c r="O846" s="2" t="s">
        <v>73</v>
      </c>
      <c r="P846" s="2" t="s">
        <v>74</v>
      </c>
      <c r="Q846" s="2" t="s">
        <v>8139</v>
      </c>
      <c r="R846" s="2"/>
      <c r="S846" s="2"/>
      <c r="T846" s="2"/>
      <c r="U846" s="2" t="s">
        <v>72</v>
      </c>
      <c r="V846" s="2" t="s">
        <v>73</v>
      </c>
      <c r="W846" s="2" t="s">
        <v>74</v>
      </c>
      <c r="X846" s="2" t="s">
        <v>8140</v>
      </c>
      <c r="Y846" s="2" t="s">
        <v>44</v>
      </c>
      <c r="Z846" s="2"/>
      <c r="AA846" s="2" t="s">
        <v>821</v>
      </c>
      <c r="AB846" s="2" t="s">
        <v>46</v>
      </c>
      <c r="AC846" s="2" t="s">
        <v>821</v>
      </c>
      <c r="AE846" s="2" t="s">
        <v>48</v>
      </c>
      <c r="AF846" s="2" t="s">
        <v>49</v>
      </c>
      <c r="AG846" s="2">
        <v>90</v>
      </c>
      <c r="AH846" s="2">
        <v>77</v>
      </c>
      <c r="AJ846" s="2" t="s">
        <v>8142</v>
      </c>
      <c r="AK846" s="2"/>
      <c r="AL846" s="2"/>
      <c r="AM846" s="2" t="s">
        <v>52</v>
      </c>
    </row>
    <row r="847" spans="1:39" x14ac:dyDescent="0.45">
      <c r="A847" s="2" t="s">
        <v>8143</v>
      </c>
      <c r="B847" s="2"/>
      <c r="C847" s="2" t="s">
        <v>8145</v>
      </c>
      <c r="D847" s="2" t="s">
        <v>8147</v>
      </c>
      <c r="E847" s="25"/>
      <c r="F847" s="21"/>
      <c r="G847" s="42" t="s">
        <v>28000</v>
      </c>
      <c r="H847" s="2" t="s">
        <v>7865</v>
      </c>
      <c r="I847" s="2" t="s">
        <v>8151</v>
      </c>
      <c r="J847" s="2" t="s">
        <v>8144</v>
      </c>
      <c r="K847" s="2" t="s">
        <v>8146</v>
      </c>
      <c r="L847" s="2"/>
      <c r="M847" s="2"/>
      <c r="N847" s="2" t="s">
        <v>1188</v>
      </c>
      <c r="O847" s="2" t="s">
        <v>221</v>
      </c>
      <c r="P847" s="2" t="s">
        <v>8148</v>
      </c>
      <c r="Q847" s="2" t="s">
        <v>8149</v>
      </c>
      <c r="R847" s="2"/>
      <c r="S847" s="2"/>
      <c r="T847" s="2"/>
      <c r="U847" s="2" t="s">
        <v>1188</v>
      </c>
      <c r="V847" s="2" t="s">
        <v>221</v>
      </c>
      <c r="W847" s="2" t="s">
        <v>8148</v>
      </c>
      <c r="X847" s="2" t="s">
        <v>8150</v>
      </c>
      <c r="Y847" s="2" t="s">
        <v>44</v>
      </c>
      <c r="Z847" s="2"/>
      <c r="AA847" s="2" t="s">
        <v>821</v>
      </c>
      <c r="AB847" s="2" t="s">
        <v>46</v>
      </c>
      <c r="AC847" s="2" t="s">
        <v>821</v>
      </c>
      <c r="AE847" s="2" t="s">
        <v>48</v>
      </c>
      <c r="AF847" s="2" t="s">
        <v>49</v>
      </c>
      <c r="AG847" s="2">
        <v>90</v>
      </c>
      <c r="AH847" s="2">
        <v>77</v>
      </c>
      <c r="AJ847" s="2" t="s">
        <v>8152</v>
      </c>
      <c r="AK847" s="2"/>
      <c r="AL847" s="2"/>
      <c r="AM847" s="2" t="s">
        <v>52</v>
      </c>
    </row>
    <row r="848" spans="1:39" x14ac:dyDescent="0.45">
      <c r="A848" s="2" t="s">
        <v>8153</v>
      </c>
      <c r="B848" s="2"/>
      <c r="C848" s="2" t="s">
        <v>8155</v>
      </c>
      <c r="D848" s="2" t="s">
        <v>8157</v>
      </c>
      <c r="E848" s="25"/>
      <c r="F848" s="21"/>
      <c r="G848" s="42" t="s">
        <v>28000</v>
      </c>
      <c r="H848" s="2" t="s">
        <v>7865</v>
      </c>
      <c r="I848" s="2" t="s">
        <v>8160</v>
      </c>
      <c r="J848" s="2" t="s">
        <v>8154</v>
      </c>
      <c r="K848" s="2" t="s">
        <v>8156</v>
      </c>
      <c r="L848" s="2"/>
      <c r="M848" s="2"/>
      <c r="N848" s="2" t="s">
        <v>59</v>
      </c>
      <c r="O848" s="2" t="s">
        <v>60</v>
      </c>
      <c r="P848" s="2" t="s">
        <v>4239</v>
      </c>
      <c r="Q848" s="2" t="s">
        <v>8158</v>
      </c>
      <c r="R848" s="2"/>
      <c r="S848" s="2"/>
      <c r="T848" s="2"/>
      <c r="U848" s="2" t="s">
        <v>59</v>
      </c>
      <c r="V848" s="2" t="s">
        <v>60</v>
      </c>
      <c r="W848" s="2" t="s">
        <v>4239</v>
      </c>
      <c r="X848" s="2" t="s">
        <v>8159</v>
      </c>
      <c r="Y848" s="2" t="s">
        <v>44</v>
      </c>
      <c r="Z848" s="2"/>
      <c r="AA848" s="2" t="s">
        <v>821</v>
      </c>
      <c r="AB848" s="2" t="s">
        <v>46</v>
      </c>
      <c r="AC848" s="2" t="s">
        <v>821</v>
      </c>
      <c r="AE848" s="2" t="s">
        <v>48</v>
      </c>
      <c r="AF848" s="2" t="s">
        <v>49</v>
      </c>
      <c r="AG848" s="2">
        <v>90</v>
      </c>
      <c r="AH848" s="2">
        <v>77</v>
      </c>
      <c r="AJ848" s="2" t="s">
        <v>8161</v>
      </c>
      <c r="AK848" s="2"/>
      <c r="AL848" s="2"/>
      <c r="AM848" s="2" t="s">
        <v>52</v>
      </c>
    </row>
    <row r="849" spans="1:39" x14ac:dyDescent="0.45">
      <c r="A849" s="2" t="s">
        <v>8162</v>
      </c>
      <c r="B849" s="2"/>
      <c r="C849" s="2" t="s">
        <v>8164</v>
      </c>
      <c r="D849" s="2" t="s">
        <v>8166</v>
      </c>
      <c r="E849" s="25"/>
      <c r="F849" s="21"/>
      <c r="G849" s="42" t="s">
        <v>28000</v>
      </c>
      <c r="H849" s="2" t="s">
        <v>7865</v>
      </c>
      <c r="I849" s="2" t="s">
        <v>8167</v>
      </c>
      <c r="J849" s="2" t="s">
        <v>8163</v>
      </c>
      <c r="K849" s="2" t="s">
        <v>8165</v>
      </c>
      <c r="L849" s="2"/>
      <c r="M849" s="2"/>
      <c r="N849" s="2" t="s">
        <v>72</v>
      </c>
      <c r="O849" s="2" t="s">
        <v>73</v>
      </c>
      <c r="P849" s="2" t="s">
        <v>516</v>
      </c>
      <c r="Q849" s="2" t="s">
        <v>8165</v>
      </c>
      <c r="R849" s="2"/>
      <c r="S849" s="2"/>
      <c r="T849" s="2"/>
      <c r="U849" s="2" t="s">
        <v>72</v>
      </c>
      <c r="V849" s="2" t="s">
        <v>73</v>
      </c>
      <c r="W849" s="2" t="s">
        <v>516</v>
      </c>
      <c r="X849" s="2" t="s">
        <v>397</v>
      </c>
      <c r="Y849" s="2" t="s">
        <v>44</v>
      </c>
      <c r="Z849" s="2"/>
      <c r="AA849" s="2" t="s">
        <v>821</v>
      </c>
      <c r="AB849" s="2" t="s">
        <v>46</v>
      </c>
      <c r="AC849" s="2" t="s">
        <v>821</v>
      </c>
      <c r="AE849" s="2" t="s">
        <v>48</v>
      </c>
      <c r="AF849" s="2" t="s">
        <v>49</v>
      </c>
      <c r="AG849" s="2">
        <v>90</v>
      </c>
      <c r="AH849" s="2">
        <v>77</v>
      </c>
      <c r="AJ849" s="2" t="s">
        <v>8168</v>
      </c>
      <c r="AK849" s="2"/>
      <c r="AL849" s="2"/>
      <c r="AM849" s="2" t="s">
        <v>52</v>
      </c>
    </row>
    <row r="850" spans="1:39" x14ac:dyDescent="0.45">
      <c r="A850" s="2" t="s">
        <v>8169</v>
      </c>
      <c r="B850" s="2"/>
      <c r="C850" s="2" t="s">
        <v>8171</v>
      </c>
      <c r="D850" s="2" t="s">
        <v>8173</v>
      </c>
      <c r="E850" s="25"/>
      <c r="F850" s="21"/>
      <c r="G850" s="42" t="s">
        <v>28000</v>
      </c>
      <c r="H850" s="2" t="s">
        <v>7865</v>
      </c>
      <c r="I850" s="2" t="s">
        <v>8175</v>
      </c>
      <c r="J850" s="2" t="s">
        <v>8170</v>
      </c>
      <c r="K850" s="2" t="s">
        <v>8172</v>
      </c>
      <c r="L850" s="2"/>
      <c r="M850" s="2"/>
      <c r="N850" s="2" t="s">
        <v>290</v>
      </c>
      <c r="O850" s="2" t="s">
        <v>278</v>
      </c>
      <c r="P850" s="2" t="s">
        <v>852</v>
      </c>
      <c r="Q850" s="2" t="s">
        <v>8172</v>
      </c>
      <c r="R850" s="2"/>
      <c r="S850" s="2"/>
      <c r="T850" s="2"/>
      <c r="U850" s="2" t="s">
        <v>290</v>
      </c>
      <c r="V850" s="2" t="s">
        <v>278</v>
      </c>
      <c r="W850" s="2" t="s">
        <v>852</v>
      </c>
      <c r="X850" s="2" t="s">
        <v>8174</v>
      </c>
      <c r="Y850" s="2" t="s">
        <v>44</v>
      </c>
      <c r="Z850" s="2"/>
      <c r="AA850" s="2" t="s">
        <v>821</v>
      </c>
      <c r="AB850" s="2" t="s">
        <v>46</v>
      </c>
      <c r="AC850" s="2" t="s">
        <v>821</v>
      </c>
      <c r="AE850" s="2" t="s">
        <v>48</v>
      </c>
      <c r="AF850" s="2" t="s">
        <v>49</v>
      </c>
      <c r="AG850" s="2">
        <v>90</v>
      </c>
      <c r="AH850" s="2">
        <v>77</v>
      </c>
      <c r="AJ850" s="2" t="s">
        <v>8176</v>
      </c>
      <c r="AK850" s="2"/>
      <c r="AL850" s="2"/>
      <c r="AM850" s="2" t="s">
        <v>52</v>
      </c>
    </row>
    <row r="851" spans="1:39" x14ac:dyDescent="0.45">
      <c r="A851" s="2" t="s">
        <v>8177</v>
      </c>
      <c r="B851" s="2"/>
      <c r="C851" s="2" t="s">
        <v>8179</v>
      </c>
      <c r="D851" s="2" t="s">
        <v>8181</v>
      </c>
      <c r="E851" s="25"/>
      <c r="F851" s="21"/>
      <c r="G851" s="42" t="s">
        <v>28000</v>
      </c>
      <c r="H851" s="2" t="s">
        <v>7865</v>
      </c>
      <c r="I851" s="2" t="s">
        <v>8183</v>
      </c>
      <c r="J851" s="2" t="s">
        <v>8178</v>
      </c>
      <c r="K851" s="2" t="s">
        <v>8180</v>
      </c>
      <c r="L851" s="2"/>
      <c r="M851" s="2"/>
      <c r="N851" s="2" t="s">
        <v>72</v>
      </c>
      <c r="O851" s="2" t="s">
        <v>73</v>
      </c>
      <c r="P851" s="2" t="s">
        <v>1568</v>
      </c>
      <c r="Q851" s="2" t="s">
        <v>8182</v>
      </c>
      <c r="R851" s="2"/>
      <c r="S851" s="2"/>
      <c r="T851" s="2"/>
      <c r="U851" s="2" t="s">
        <v>72</v>
      </c>
      <c r="V851" s="2" t="s">
        <v>73</v>
      </c>
      <c r="W851" s="2" t="s">
        <v>1568</v>
      </c>
      <c r="X851" s="2" t="s">
        <v>6790</v>
      </c>
      <c r="Y851" s="2" t="s">
        <v>44</v>
      </c>
      <c r="Z851" s="2"/>
      <c r="AA851" s="2" t="s">
        <v>821</v>
      </c>
      <c r="AB851" s="2" t="s">
        <v>46</v>
      </c>
      <c r="AC851" s="2" t="s">
        <v>821</v>
      </c>
      <c r="AE851" s="2" t="s">
        <v>48</v>
      </c>
      <c r="AF851" s="2" t="s">
        <v>49</v>
      </c>
      <c r="AG851" s="2">
        <v>90</v>
      </c>
      <c r="AH851" s="2">
        <v>77</v>
      </c>
      <c r="AJ851" s="2" t="s">
        <v>8184</v>
      </c>
      <c r="AK851" s="2"/>
      <c r="AL851" s="2"/>
      <c r="AM851" s="2" t="s">
        <v>52</v>
      </c>
    </row>
    <row r="852" spans="1:39" x14ac:dyDescent="0.45">
      <c r="A852" s="2" t="s">
        <v>8185</v>
      </c>
      <c r="B852" s="2"/>
      <c r="C852" s="2" t="s">
        <v>8187</v>
      </c>
      <c r="D852" s="2" t="s">
        <v>8189</v>
      </c>
      <c r="E852" s="25"/>
      <c r="F852" s="21"/>
      <c r="G852" s="42" t="s">
        <v>28000</v>
      </c>
      <c r="H852" s="2" t="s">
        <v>7865</v>
      </c>
      <c r="I852" s="2" t="s">
        <v>8192</v>
      </c>
      <c r="J852" s="2" t="s">
        <v>8186</v>
      </c>
      <c r="K852" s="2" t="s">
        <v>8188</v>
      </c>
      <c r="L852" s="2"/>
      <c r="M852" s="2"/>
      <c r="N852" s="2" t="s">
        <v>1023</v>
      </c>
      <c r="O852" s="2" t="s">
        <v>73</v>
      </c>
      <c r="P852" s="2" t="s">
        <v>8190</v>
      </c>
      <c r="Q852" s="2" t="s">
        <v>8188</v>
      </c>
      <c r="R852" s="2"/>
      <c r="S852" s="2"/>
      <c r="T852" s="2"/>
      <c r="U852" s="2" t="s">
        <v>1023</v>
      </c>
      <c r="V852" s="2" t="s">
        <v>73</v>
      </c>
      <c r="W852" s="2" t="s">
        <v>8190</v>
      </c>
      <c r="X852" s="2" t="s">
        <v>8191</v>
      </c>
      <c r="Y852" s="2" t="s">
        <v>44</v>
      </c>
      <c r="Z852" s="2"/>
      <c r="AA852" s="2" t="s">
        <v>821</v>
      </c>
      <c r="AB852" s="2" t="s">
        <v>46</v>
      </c>
      <c r="AC852" s="2" t="s">
        <v>821</v>
      </c>
      <c r="AE852" s="2" t="s">
        <v>48</v>
      </c>
      <c r="AF852" s="2" t="s">
        <v>49</v>
      </c>
      <c r="AG852" s="2">
        <v>90</v>
      </c>
      <c r="AH852" s="2">
        <v>77</v>
      </c>
      <c r="AJ852" s="2" t="s">
        <v>8193</v>
      </c>
      <c r="AK852" s="2"/>
      <c r="AL852" s="2"/>
      <c r="AM852" s="2" t="s">
        <v>52</v>
      </c>
    </row>
    <row r="853" spans="1:39" x14ac:dyDescent="0.45">
      <c r="A853" s="2" t="s">
        <v>8194</v>
      </c>
      <c r="B853" s="2"/>
      <c r="C853" s="2" t="s">
        <v>8196</v>
      </c>
      <c r="D853" s="2" t="s">
        <v>8198</v>
      </c>
      <c r="E853" s="25"/>
      <c r="F853" s="21"/>
      <c r="G853" s="42" t="s">
        <v>28000</v>
      </c>
      <c r="H853" s="2" t="s">
        <v>7865</v>
      </c>
      <c r="I853" s="2" t="s">
        <v>8200</v>
      </c>
      <c r="J853" s="2" t="s">
        <v>8195</v>
      </c>
      <c r="K853" s="2" t="s">
        <v>8197</v>
      </c>
      <c r="L853" s="2"/>
      <c r="M853" s="2"/>
      <c r="N853" s="2" t="s">
        <v>39</v>
      </c>
      <c r="O853" s="2" t="s">
        <v>40</v>
      </c>
      <c r="P853" s="2" t="s">
        <v>4195</v>
      </c>
      <c r="Q853" s="2" t="s">
        <v>8197</v>
      </c>
      <c r="R853" s="2"/>
      <c r="S853" s="2"/>
      <c r="T853" s="2"/>
      <c r="U853" s="2" t="s">
        <v>39</v>
      </c>
      <c r="V853" s="2" t="s">
        <v>40</v>
      </c>
      <c r="W853" s="2" t="s">
        <v>4195</v>
      </c>
      <c r="X853" s="2" t="s">
        <v>8199</v>
      </c>
      <c r="Y853" s="2" t="s">
        <v>44</v>
      </c>
      <c r="Z853" s="2"/>
      <c r="AA853" s="2" t="s">
        <v>821</v>
      </c>
      <c r="AB853" s="2" t="s">
        <v>46</v>
      </c>
      <c r="AC853" s="2" t="s">
        <v>821</v>
      </c>
      <c r="AE853" s="2" t="s">
        <v>48</v>
      </c>
      <c r="AF853" s="2" t="s">
        <v>49</v>
      </c>
      <c r="AG853" s="2">
        <v>90</v>
      </c>
      <c r="AH853" s="2">
        <v>77</v>
      </c>
      <c r="AJ853" s="2" t="s">
        <v>8201</v>
      </c>
      <c r="AK853" s="2"/>
      <c r="AL853" s="2"/>
      <c r="AM853" s="2" t="s">
        <v>52</v>
      </c>
    </row>
    <row r="854" spans="1:39" x14ac:dyDescent="0.45">
      <c r="A854" s="2" t="s">
        <v>8202</v>
      </c>
      <c r="B854" s="2"/>
      <c r="C854" s="2" t="s">
        <v>8204</v>
      </c>
      <c r="D854" s="2" t="s">
        <v>8206</v>
      </c>
      <c r="E854" s="25"/>
      <c r="F854" s="21"/>
      <c r="G854" s="42" t="s">
        <v>28000</v>
      </c>
      <c r="H854" s="2" t="s">
        <v>7865</v>
      </c>
      <c r="I854" s="2" t="s">
        <v>8208</v>
      </c>
      <c r="J854" s="2" t="s">
        <v>8203</v>
      </c>
      <c r="K854" s="2" t="s">
        <v>8205</v>
      </c>
      <c r="L854" s="2"/>
      <c r="M854" s="2"/>
      <c r="N854" s="2" t="s">
        <v>72</v>
      </c>
      <c r="O854" s="2" t="s">
        <v>73</v>
      </c>
      <c r="P854" s="2" t="s">
        <v>74</v>
      </c>
      <c r="Q854" s="2"/>
      <c r="R854" s="2"/>
      <c r="S854" s="2"/>
      <c r="T854" s="2"/>
      <c r="U854" s="2"/>
      <c r="V854" s="2"/>
      <c r="W854" s="2"/>
      <c r="X854" s="2" t="s">
        <v>8207</v>
      </c>
      <c r="Y854" s="2" t="s">
        <v>44</v>
      </c>
      <c r="Z854" s="2"/>
      <c r="AA854" s="2" t="s">
        <v>821</v>
      </c>
      <c r="AB854" s="2" t="s">
        <v>46</v>
      </c>
      <c r="AC854" s="2" t="s">
        <v>821</v>
      </c>
      <c r="AE854" s="2" t="s">
        <v>48</v>
      </c>
      <c r="AF854" s="2" t="s">
        <v>49</v>
      </c>
      <c r="AG854" s="2">
        <v>90</v>
      </c>
      <c r="AH854" s="2">
        <v>77</v>
      </c>
      <c r="AJ854" s="2" t="s">
        <v>8209</v>
      </c>
      <c r="AK854" s="2"/>
      <c r="AL854" s="2"/>
      <c r="AM854" s="2" t="s">
        <v>52</v>
      </c>
    </row>
    <row r="855" spans="1:39" x14ac:dyDescent="0.45">
      <c r="A855" s="2" t="s">
        <v>8210</v>
      </c>
      <c r="B855" s="2"/>
      <c r="C855" s="2" t="s">
        <v>8212</v>
      </c>
      <c r="D855" s="2" t="s">
        <v>8214</v>
      </c>
      <c r="E855" s="25"/>
      <c r="F855" s="21"/>
      <c r="G855" s="42" t="s">
        <v>28000</v>
      </c>
      <c r="H855" s="2" t="s">
        <v>7865</v>
      </c>
      <c r="I855" s="2" t="s">
        <v>8216</v>
      </c>
      <c r="J855" s="2" t="s">
        <v>8211</v>
      </c>
      <c r="K855" s="2" t="s">
        <v>8213</v>
      </c>
      <c r="L855" s="2"/>
      <c r="M855" s="2"/>
      <c r="N855" s="2" t="s">
        <v>59</v>
      </c>
      <c r="O855" s="2" t="s">
        <v>60</v>
      </c>
      <c r="P855" s="2" t="s">
        <v>4000</v>
      </c>
      <c r="Q855" s="2"/>
      <c r="R855" s="2"/>
      <c r="S855" s="2"/>
      <c r="T855" s="2"/>
      <c r="U855" s="2"/>
      <c r="V855" s="2"/>
      <c r="W855" s="2"/>
      <c r="X855" s="2" t="s">
        <v>8215</v>
      </c>
      <c r="Y855" s="2" t="s">
        <v>44</v>
      </c>
      <c r="Z855" s="2"/>
      <c r="AA855" s="2" t="s">
        <v>821</v>
      </c>
      <c r="AB855" s="2" t="s">
        <v>46</v>
      </c>
      <c r="AC855" s="2" t="s">
        <v>821</v>
      </c>
      <c r="AE855" s="2" t="s">
        <v>48</v>
      </c>
      <c r="AF855" s="2" t="s">
        <v>49</v>
      </c>
      <c r="AG855" s="2">
        <v>90</v>
      </c>
      <c r="AH855" s="2">
        <v>77</v>
      </c>
      <c r="AJ855" s="2" t="s">
        <v>8217</v>
      </c>
      <c r="AK855" s="2"/>
      <c r="AL855" s="2"/>
      <c r="AM855" s="2" t="s">
        <v>52</v>
      </c>
    </row>
    <row r="856" spans="1:39" x14ac:dyDescent="0.45">
      <c r="A856" s="2" t="s">
        <v>8218</v>
      </c>
      <c r="B856" s="2"/>
      <c r="C856" s="2" t="s">
        <v>8220</v>
      </c>
      <c r="D856" s="2" t="s">
        <v>8222</v>
      </c>
      <c r="E856" s="25"/>
      <c r="F856" s="21"/>
      <c r="G856" s="42" t="s">
        <v>28000</v>
      </c>
      <c r="H856" s="2" t="s">
        <v>7865</v>
      </c>
      <c r="I856" s="2" t="s">
        <v>8226</v>
      </c>
      <c r="J856" s="2" t="s">
        <v>8219</v>
      </c>
      <c r="K856" s="2" t="s">
        <v>8221</v>
      </c>
      <c r="L856" s="2"/>
      <c r="M856" s="2"/>
      <c r="N856" s="2" t="s">
        <v>72</v>
      </c>
      <c r="O856" s="2" t="s">
        <v>73</v>
      </c>
      <c r="P856" s="2" t="s">
        <v>2222</v>
      </c>
      <c r="Q856" s="2" t="s">
        <v>8223</v>
      </c>
      <c r="R856" s="2"/>
      <c r="S856" s="2"/>
      <c r="T856" s="2"/>
      <c r="U856" s="2" t="s">
        <v>39</v>
      </c>
      <c r="V856" s="2" t="s">
        <v>40</v>
      </c>
      <c r="W856" s="2" t="s">
        <v>8224</v>
      </c>
      <c r="X856" s="2" t="s">
        <v>8225</v>
      </c>
      <c r="Y856" s="2" t="s">
        <v>44</v>
      </c>
      <c r="Z856" s="2"/>
      <c r="AA856" s="2" t="s">
        <v>821</v>
      </c>
      <c r="AB856" s="2" t="s">
        <v>46</v>
      </c>
      <c r="AC856" s="2" t="s">
        <v>821</v>
      </c>
      <c r="AE856" s="2" t="s">
        <v>48</v>
      </c>
      <c r="AF856" s="2" t="s">
        <v>49</v>
      </c>
      <c r="AG856" s="2">
        <v>90</v>
      </c>
      <c r="AH856" s="2">
        <v>77</v>
      </c>
      <c r="AJ856" s="2" t="s">
        <v>8227</v>
      </c>
      <c r="AK856" s="2"/>
      <c r="AL856" s="2"/>
      <c r="AM856" s="2" t="s">
        <v>52</v>
      </c>
    </row>
    <row r="857" spans="1:39" x14ac:dyDescent="0.45">
      <c r="A857" s="2" t="s">
        <v>8228</v>
      </c>
      <c r="B857" s="2"/>
      <c r="C857" s="2" t="s">
        <v>8230</v>
      </c>
      <c r="D857" s="2" t="s">
        <v>8232</v>
      </c>
      <c r="E857" s="25"/>
      <c r="F857" s="21"/>
      <c r="G857" s="42" t="s">
        <v>28000</v>
      </c>
      <c r="H857" s="2" t="s">
        <v>7865</v>
      </c>
      <c r="I857" s="2" t="s">
        <v>8234</v>
      </c>
      <c r="J857" s="2" t="s">
        <v>8229</v>
      </c>
      <c r="K857" s="2" t="s">
        <v>8231</v>
      </c>
      <c r="L857" s="2"/>
      <c r="M857" s="2"/>
      <c r="N857" s="2" t="s">
        <v>72</v>
      </c>
      <c r="O857" s="2" t="s">
        <v>73</v>
      </c>
      <c r="P857" s="2" t="s">
        <v>98</v>
      </c>
      <c r="Q857" s="2" t="s">
        <v>8231</v>
      </c>
      <c r="R857" s="2"/>
      <c r="S857" s="2"/>
      <c r="T857" s="2"/>
      <c r="U857" s="2" t="s">
        <v>72</v>
      </c>
      <c r="V857" s="2" t="s">
        <v>73</v>
      </c>
      <c r="W857" s="2" t="s">
        <v>98</v>
      </c>
      <c r="X857" s="2" t="s">
        <v>8233</v>
      </c>
      <c r="Y857" s="2" t="s">
        <v>44</v>
      </c>
      <c r="Z857" s="2"/>
      <c r="AA857" s="2" t="s">
        <v>821</v>
      </c>
      <c r="AB857" s="2" t="s">
        <v>46</v>
      </c>
      <c r="AC857" s="2" t="s">
        <v>821</v>
      </c>
      <c r="AE857" s="2" t="s">
        <v>48</v>
      </c>
      <c r="AF857" s="2" t="s">
        <v>49</v>
      </c>
      <c r="AG857" s="2">
        <v>90</v>
      </c>
      <c r="AH857" s="2">
        <v>77</v>
      </c>
      <c r="AJ857" s="2" t="s">
        <v>8235</v>
      </c>
      <c r="AK857" s="2"/>
      <c r="AL857" s="2"/>
      <c r="AM857" s="2" t="s">
        <v>52</v>
      </c>
    </row>
    <row r="858" spans="1:39" x14ac:dyDescent="0.45">
      <c r="A858" s="2" t="s">
        <v>8236</v>
      </c>
      <c r="B858" s="2"/>
      <c r="C858" s="2" t="s">
        <v>8238</v>
      </c>
      <c r="D858" s="2" t="s">
        <v>8240</v>
      </c>
      <c r="E858" s="25"/>
      <c r="F858" s="21"/>
      <c r="G858" s="42" t="s">
        <v>28000</v>
      </c>
      <c r="H858" s="2" t="s">
        <v>7865</v>
      </c>
      <c r="I858" s="2" t="s">
        <v>8242</v>
      </c>
      <c r="J858" s="2" t="s">
        <v>8237</v>
      </c>
      <c r="K858" s="2" t="s">
        <v>8239</v>
      </c>
      <c r="L858" s="2"/>
      <c r="M858" s="2"/>
      <c r="N858" s="2" t="s">
        <v>424</v>
      </c>
      <c r="O858" s="2" t="s">
        <v>217</v>
      </c>
      <c r="P858" s="2" t="s">
        <v>2410</v>
      </c>
      <c r="Q858" s="2" t="s">
        <v>8239</v>
      </c>
      <c r="R858" s="2"/>
      <c r="S858" s="2"/>
      <c r="T858" s="2"/>
      <c r="U858" s="2" t="s">
        <v>424</v>
      </c>
      <c r="V858" s="2" t="s">
        <v>217</v>
      </c>
      <c r="W858" s="2" t="s">
        <v>2410</v>
      </c>
      <c r="X858" s="2" t="s">
        <v>8241</v>
      </c>
      <c r="Y858" s="2" t="s">
        <v>44</v>
      </c>
      <c r="Z858" s="2"/>
      <c r="AA858" s="2" t="s">
        <v>821</v>
      </c>
      <c r="AB858" s="2" t="s">
        <v>46</v>
      </c>
      <c r="AC858" s="2" t="s">
        <v>821</v>
      </c>
      <c r="AE858" s="2" t="s">
        <v>48</v>
      </c>
      <c r="AF858" s="2" t="s">
        <v>49</v>
      </c>
      <c r="AG858" s="2">
        <v>90</v>
      </c>
      <c r="AH858" s="2">
        <v>77</v>
      </c>
      <c r="AJ858" s="2" t="s">
        <v>8243</v>
      </c>
      <c r="AK858" s="2"/>
      <c r="AL858" s="2"/>
      <c r="AM858" s="2" t="s">
        <v>52</v>
      </c>
    </row>
    <row r="859" spans="1:39" x14ac:dyDescent="0.45">
      <c r="A859" s="2" t="s">
        <v>8244</v>
      </c>
      <c r="B859" s="2"/>
      <c r="C859" s="2" t="s">
        <v>8246</v>
      </c>
      <c r="D859" s="2" t="s">
        <v>8248</v>
      </c>
      <c r="E859" s="25"/>
      <c r="F859" s="21"/>
      <c r="G859" s="42" t="s">
        <v>28000</v>
      </c>
      <c r="H859" s="2" t="s">
        <v>7865</v>
      </c>
      <c r="I859" s="2" t="s">
        <v>8250</v>
      </c>
      <c r="J859" s="2" t="s">
        <v>8245</v>
      </c>
      <c r="K859" s="2" t="s">
        <v>8247</v>
      </c>
      <c r="L859" s="2"/>
      <c r="M859" s="2"/>
      <c r="N859" s="2" t="s">
        <v>72</v>
      </c>
      <c r="O859" s="2" t="s">
        <v>73</v>
      </c>
      <c r="P859" s="2" t="s">
        <v>1295</v>
      </c>
      <c r="Q859" s="2" t="s">
        <v>8247</v>
      </c>
      <c r="R859" s="2"/>
      <c r="S859" s="2"/>
      <c r="T859" s="2"/>
      <c r="U859" s="2" t="s">
        <v>72</v>
      </c>
      <c r="V859" s="2" t="s">
        <v>73</v>
      </c>
      <c r="W859" s="2" t="s">
        <v>1295</v>
      </c>
      <c r="X859" s="2" t="s">
        <v>8249</v>
      </c>
      <c r="Y859" s="2" t="s">
        <v>44</v>
      </c>
      <c r="Z859" s="2"/>
      <c r="AA859" s="2" t="s">
        <v>821</v>
      </c>
      <c r="AB859" s="2" t="s">
        <v>46</v>
      </c>
      <c r="AC859" s="2" t="s">
        <v>821</v>
      </c>
      <c r="AE859" s="2" t="s">
        <v>48</v>
      </c>
      <c r="AF859" s="2" t="s">
        <v>49</v>
      </c>
      <c r="AG859" s="2">
        <v>90</v>
      </c>
      <c r="AH859" s="2">
        <v>77</v>
      </c>
      <c r="AJ859" s="2" t="s">
        <v>8251</v>
      </c>
      <c r="AK859" s="2"/>
      <c r="AL859" s="2"/>
      <c r="AM859" s="2" t="s">
        <v>52</v>
      </c>
    </row>
    <row r="860" spans="1:39" x14ac:dyDescent="0.45">
      <c r="A860" s="2" t="s">
        <v>8252</v>
      </c>
      <c r="B860" s="2"/>
      <c r="C860" s="2" t="s">
        <v>8254</v>
      </c>
      <c r="D860" s="2" t="s">
        <v>8256</v>
      </c>
      <c r="E860" s="25"/>
      <c r="F860" s="21"/>
      <c r="G860" s="42" t="s">
        <v>28000</v>
      </c>
      <c r="H860" s="2" t="s">
        <v>7865</v>
      </c>
      <c r="I860" s="2" t="s">
        <v>8257</v>
      </c>
      <c r="J860" s="2" t="s">
        <v>8253</v>
      </c>
      <c r="K860" s="2" t="s">
        <v>8255</v>
      </c>
      <c r="L860" s="2"/>
      <c r="M860" s="2"/>
      <c r="N860" s="2" t="s">
        <v>536</v>
      </c>
      <c r="O860" s="2" t="s">
        <v>537</v>
      </c>
      <c r="P860" s="2" t="s">
        <v>2429</v>
      </c>
      <c r="Q860" s="2" t="s">
        <v>8255</v>
      </c>
      <c r="R860" s="2"/>
      <c r="S860" s="2"/>
      <c r="T860" s="2"/>
      <c r="U860" s="2" t="s">
        <v>536</v>
      </c>
      <c r="V860" s="2" t="s">
        <v>537</v>
      </c>
      <c r="W860" s="2" t="s">
        <v>2429</v>
      </c>
      <c r="X860" s="2" t="s">
        <v>4444</v>
      </c>
      <c r="Y860" s="2" t="s">
        <v>44</v>
      </c>
      <c r="Z860" s="2"/>
      <c r="AA860" s="2" t="s">
        <v>821</v>
      </c>
      <c r="AB860" s="2" t="s">
        <v>46</v>
      </c>
      <c r="AC860" s="2" t="s">
        <v>821</v>
      </c>
      <c r="AE860" s="2" t="s">
        <v>48</v>
      </c>
      <c r="AF860" s="2" t="s">
        <v>49</v>
      </c>
      <c r="AG860" s="2">
        <v>90</v>
      </c>
      <c r="AH860" s="2">
        <v>77</v>
      </c>
      <c r="AJ860" s="2" t="s">
        <v>8258</v>
      </c>
      <c r="AK860" s="2"/>
      <c r="AL860" s="2"/>
      <c r="AM860" s="2" t="s">
        <v>52</v>
      </c>
    </row>
    <row r="861" spans="1:39" x14ac:dyDescent="0.45">
      <c r="A861" s="2" t="s">
        <v>8259</v>
      </c>
      <c r="B861" s="2"/>
      <c r="C861" s="2" t="s">
        <v>8261</v>
      </c>
      <c r="D861" s="2" t="s">
        <v>8263</v>
      </c>
      <c r="E861" s="25"/>
      <c r="F861" s="21"/>
      <c r="G861" s="42" t="s">
        <v>28000</v>
      </c>
      <c r="H861" s="2" t="s">
        <v>7865</v>
      </c>
      <c r="I861" s="2" t="s">
        <v>8266</v>
      </c>
      <c r="J861" s="2" t="s">
        <v>8260</v>
      </c>
      <c r="K861" s="2" t="s">
        <v>8262</v>
      </c>
      <c r="L861" s="2"/>
      <c r="M861" s="2"/>
      <c r="N861" s="2" t="s">
        <v>384</v>
      </c>
      <c r="O861" s="2" t="s">
        <v>73</v>
      </c>
      <c r="P861" s="2" t="s">
        <v>8264</v>
      </c>
      <c r="Q861" s="2" t="s">
        <v>8265</v>
      </c>
      <c r="R861" s="2"/>
      <c r="S861" s="2"/>
      <c r="T861" s="2"/>
      <c r="U861" s="2" t="s">
        <v>384</v>
      </c>
      <c r="V861" s="2" t="s">
        <v>73</v>
      </c>
      <c r="W861" s="2" t="s">
        <v>8264</v>
      </c>
      <c r="X861" s="2" t="s">
        <v>4454</v>
      </c>
      <c r="Y861" s="2" t="s">
        <v>44</v>
      </c>
      <c r="Z861" s="2"/>
      <c r="AA861" s="2" t="s">
        <v>821</v>
      </c>
      <c r="AB861" s="2" t="s">
        <v>46</v>
      </c>
      <c r="AC861" s="2" t="s">
        <v>821</v>
      </c>
      <c r="AE861" s="2" t="s">
        <v>48</v>
      </c>
      <c r="AF861" s="2" t="s">
        <v>49</v>
      </c>
      <c r="AG861" s="2">
        <v>90</v>
      </c>
      <c r="AH861" s="2">
        <v>77</v>
      </c>
      <c r="AJ861" s="2" t="s">
        <v>8267</v>
      </c>
      <c r="AK861" s="2"/>
      <c r="AL861" s="2"/>
      <c r="AM861" s="2" t="s">
        <v>52</v>
      </c>
    </row>
    <row r="862" spans="1:39" x14ac:dyDescent="0.45">
      <c r="A862" s="2" t="s">
        <v>8268</v>
      </c>
      <c r="B862" s="2"/>
      <c r="C862" s="2" t="s">
        <v>8270</v>
      </c>
      <c r="D862" s="2" t="s">
        <v>8272</v>
      </c>
      <c r="E862" s="25"/>
      <c r="F862" s="21"/>
      <c r="G862" s="42" t="s">
        <v>28000</v>
      </c>
      <c r="H862" s="2" t="s">
        <v>7865</v>
      </c>
      <c r="I862" s="2" t="s">
        <v>8275</v>
      </c>
      <c r="J862" s="2" t="s">
        <v>8269</v>
      </c>
      <c r="K862" s="2" t="s">
        <v>8271</v>
      </c>
      <c r="L862" s="2"/>
      <c r="M862" s="2"/>
      <c r="N862" s="2" t="s">
        <v>72</v>
      </c>
      <c r="O862" s="2" t="s">
        <v>73</v>
      </c>
      <c r="P862" s="2" t="s">
        <v>373</v>
      </c>
      <c r="Q862" s="2" t="s">
        <v>8273</v>
      </c>
      <c r="R862" s="2"/>
      <c r="S862" s="2"/>
      <c r="T862" s="2"/>
      <c r="U862" s="2" t="s">
        <v>72</v>
      </c>
      <c r="V862" s="2" t="s">
        <v>73</v>
      </c>
      <c r="W862" s="2" t="s">
        <v>373</v>
      </c>
      <c r="X862" s="2" t="s">
        <v>8274</v>
      </c>
      <c r="Y862" s="2" t="s">
        <v>44</v>
      </c>
      <c r="Z862" s="2"/>
      <c r="AA862" s="2" t="s">
        <v>821</v>
      </c>
      <c r="AB862" s="2" t="s">
        <v>46</v>
      </c>
      <c r="AC862" s="2" t="s">
        <v>821</v>
      </c>
      <c r="AE862" s="2" t="s">
        <v>48</v>
      </c>
      <c r="AF862" s="2" t="s">
        <v>49</v>
      </c>
      <c r="AG862" s="2">
        <v>90</v>
      </c>
      <c r="AH862" s="2">
        <v>77</v>
      </c>
      <c r="AJ862" s="2" t="s">
        <v>8276</v>
      </c>
      <c r="AK862" s="2"/>
      <c r="AL862" s="2"/>
      <c r="AM862" s="2" t="s">
        <v>52</v>
      </c>
    </row>
    <row r="863" spans="1:39" x14ac:dyDescent="0.45">
      <c r="A863" s="2" t="s">
        <v>8277</v>
      </c>
      <c r="B863" s="2"/>
      <c r="C863" s="2" t="s">
        <v>8279</v>
      </c>
      <c r="D863" s="2" t="s">
        <v>8281</v>
      </c>
      <c r="E863" s="25"/>
      <c r="F863" s="21"/>
      <c r="G863" s="42" t="s">
        <v>28000</v>
      </c>
      <c r="H863" s="2" t="s">
        <v>7865</v>
      </c>
      <c r="I863" s="2" t="s">
        <v>8283</v>
      </c>
      <c r="J863" s="2" t="s">
        <v>8278</v>
      </c>
      <c r="K863" s="2" t="s">
        <v>8280</v>
      </c>
      <c r="L863" s="2"/>
      <c r="M863" s="2"/>
      <c r="N863" s="2" t="s">
        <v>174</v>
      </c>
      <c r="O863" s="2" t="s">
        <v>175</v>
      </c>
      <c r="P863" s="2" t="s">
        <v>1318</v>
      </c>
      <c r="Q863" s="2" t="s">
        <v>8280</v>
      </c>
      <c r="R863" s="2"/>
      <c r="S863" s="2"/>
      <c r="T863" s="2"/>
      <c r="U863" s="2" t="s">
        <v>174</v>
      </c>
      <c r="V863" s="2" t="s">
        <v>175</v>
      </c>
      <c r="W863" s="2" t="s">
        <v>1318</v>
      </c>
      <c r="X863" s="2" t="s">
        <v>8282</v>
      </c>
      <c r="Y863" s="2" t="s">
        <v>44</v>
      </c>
      <c r="Z863" s="2"/>
      <c r="AA863" s="2" t="s">
        <v>821</v>
      </c>
      <c r="AB863" s="2" t="s">
        <v>46</v>
      </c>
      <c r="AC863" s="2" t="s">
        <v>821</v>
      </c>
      <c r="AE863" s="2" t="s">
        <v>48</v>
      </c>
      <c r="AF863" s="2" t="s">
        <v>49</v>
      </c>
      <c r="AG863" s="2">
        <v>90</v>
      </c>
      <c r="AH863" s="2">
        <v>77</v>
      </c>
      <c r="AJ863" s="2" t="s">
        <v>8284</v>
      </c>
      <c r="AK863" s="2"/>
      <c r="AL863" s="2"/>
      <c r="AM863" s="2" t="s">
        <v>52</v>
      </c>
    </row>
    <row r="864" spans="1:39" x14ac:dyDescent="0.45">
      <c r="A864" s="2" t="s">
        <v>8285</v>
      </c>
      <c r="B864" s="2"/>
      <c r="C864" s="2" t="s">
        <v>8287</v>
      </c>
      <c r="D864" s="2" t="s">
        <v>8289</v>
      </c>
      <c r="E864" s="25"/>
      <c r="F864" s="21"/>
      <c r="G864" s="42" t="s">
        <v>28000</v>
      </c>
      <c r="H864" s="2" t="s">
        <v>7865</v>
      </c>
      <c r="I864" s="2" t="s">
        <v>8291</v>
      </c>
      <c r="J864" s="2" t="s">
        <v>8286</v>
      </c>
      <c r="K864" s="2" t="s">
        <v>8288</v>
      </c>
      <c r="L864" s="2"/>
      <c r="M864" s="2"/>
      <c r="N864" s="2" t="s">
        <v>72</v>
      </c>
      <c r="O864" s="2" t="s">
        <v>73</v>
      </c>
      <c r="P864" s="2" t="s">
        <v>74</v>
      </c>
      <c r="Q864" s="2" t="s">
        <v>8288</v>
      </c>
      <c r="R864" s="2"/>
      <c r="S864" s="2"/>
      <c r="T864" s="2"/>
      <c r="U864" s="2" t="s">
        <v>72</v>
      </c>
      <c r="V864" s="2" t="s">
        <v>73</v>
      </c>
      <c r="W864" s="2" t="s">
        <v>74</v>
      </c>
      <c r="X864" s="2" t="s">
        <v>8290</v>
      </c>
      <c r="Y864" s="2" t="s">
        <v>44</v>
      </c>
      <c r="Z864" s="2"/>
      <c r="AA864" s="2" t="s">
        <v>821</v>
      </c>
      <c r="AB864" s="2" t="s">
        <v>46</v>
      </c>
      <c r="AC864" s="2" t="s">
        <v>821</v>
      </c>
      <c r="AE864" s="2" t="s">
        <v>48</v>
      </c>
      <c r="AF864" s="2" t="s">
        <v>49</v>
      </c>
      <c r="AG864" s="2">
        <v>90</v>
      </c>
      <c r="AH864" s="2">
        <v>77</v>
      </c>
      <c r="AJ864" s="2" t="s">
        <v>8292</v>
      </c>
      <c r="AK864" s="2"/>
      <c r="AL864" s="2"/>
      <c r="AM864" s="2" t="s">
        <v>52</v>
      </c>
    </row>
    <row r="865" spans="1:39" x14ac:dyDescent="0.45">
      <c r="A865" s="2" t="s">
        <v>8293</v>
      </c>
      <c r="B865" s="2"/>
      <c r="C865" s="2" t="s">
        <v>8295</v>
      </c>
      <c r="D865" s="2" t="s">
        <v>8297</v>
      </c>
      <c r="E865" s="25"/>
      <c r="F865" s="21"/>
      <c r="G865" s="42" t="s">
        <v>28000</v>
      </c>
      <c r="H865" s="2" t="s">
        <v>7865</v>
      </c>
      <c r="I865" s="2" t="s">
        <v>8299</v>
      </c>
      <c r="J865" s="2" t="s">
        <v>8294</v>
      </c>
      <c r="K865" s="2" t="s">
        <v>8296</v>
      </c>
      <c r="L865" s="2"/>
      <c r="M865" s="2"/>
      <c r="N865" s="2" t="s">
        <v>39</v>
      </c>
      <c r="O865" s="2" t="s">
        <v>40</v>
      </c>
      <c r="P865" s="2" t="s">
        <v>1877</v>
      </c>
      <c r="Q865" s="2" t="s">
        <v>8296</v>
      </c>
      <c r="R865" s="2"/>
      <c r="S865" s="2"/>
      <c r="T865" s="2"/>
      <c r="U865" s="2" t="s">
        <v>39</v>
      </c>
      <c r="V865" s="2" t="s">
        <v>40</v>
      </c>
      <c r="W865" s="2" t="s">
        <v>1877</v>
      </c>
      <c r="X865" s="2" t="s">
        <v>8298</v>
      </c>
      <c r="Y865" s="2" t="s">
        <v>44</v>
      </c>
      <c r="Z865" s="2"/>
      <c r="AA865" s="2" t="s">
        <v>821</v>
      </c>
      <c r="AB865" s="2" t="s">
        <v>46</v>
      </c>
      <c r="AC865" s="2" t="s">
        <v>821</v>
      </c>
      <c r="AE865" s="2" t="s">
        <v>48</v>
      </c>
      <c r="AF865" s="2" t="s">
        <v>49</v>
      </c>
      <c r="AG865" s="2">
        <v>90</v>
      </c>
      <c r="AH865" s="2">
        <v>77</v>
      </c>
      <c r="AJ865" s="2" t="s">
        <v>8300</v>
      </c>
      <c r="AK865" s="2"/>
      <c r="AL865" s="2"/>
      <c r="AM865" s="2" t="s">
        <v>52</v>
      </c>
    </row>
    <row r="866" spans="1:39" x14ac:dyDescent="0.45">
      <c r="A866" s="2" t="s">
        <v>8301</v>
      </c>
      <c r="B866" s="2"/>
      <c r="C866" s="2" t="s">
        <v>8303</v>
      </c>
      <c r="D866" s="2" t="s">
        <v>8305</v>
      </c>
      <c r="E866" s="25"/>
      <c r="F866" s="21"/>
      <c r="G866" s="42" t="s">
        <v>28000</v>
      </c>
      <c r="H866" s="2" t="s">
        <v>7865</v>
      </c>
      <c r="I866" s="2" t="s">
        <v>8308</v>
      </c>
      <c r="J866" s="2" t="s">
        <v>8302</v>
      </c>
      <c r="K866" s="2" t="s">
        <v>8304</v>
      </c>
      <c r="L866" s="2"/>
      <c r="M866" s="2"/>
      <c r="N866" s="2" t="s">
        <v>39</v>
      </c>
      <c r="O866" s="2" t="s">
        <v>40</v>
      </c>
      <c r="P866" s="2" t="s">
        <v>453</v>
      </c>
      <c r="Q866" s="2" t="s">
        <v>8306</v>
      </c>
      <c r="R866" s="2"/>
      <c r="S866" s="2"/>
      <c r="T866" s="2"/>
      <c r="U866" s="2" t="s">
        <v>39</v>
      </c>
      <c r="V866" s="2" t="s">
        <v>40</v>
      </c>
      <c r="W866" s="2" t="s">
        <v>453</v>
      </c>
      <c r="X866" s="2" t="s">
        <v>8307</v>
      </c>
      <c r="Y866" s="2" t="s">
        <v>44</v>
      </c>
      <c r="Z866" s="2"/>
      <c r="AA866" s="2" t="s">
        <v>821</v>
      </c>
      <c r="AB866" s="2" t="s">
        <v>46</v>
      </c>
      <c r="AC866" s="2" t="s">
        <v>821</v>
      </c>
      <c r="AE866" s="2" t="s">
        <v>48</v>
      </c>
      <c r="AF866" s="2" t="s">
        <v>49</v>
      </c>
      <c r="AG866" s="2">
        <v>90</v>
      </c>
      <c r="AH866" s="2">
        <v>77</v>
      </c>
      <c r="AJ866" s="2" t="s">
        <v>8309</v>
      </c>
      <c r="AK866" s="2"/>
      <c r="AL866" s="2"/>
      <c r="AM866" s="2" t="s">
        <v>52</v>
      </c>
    </row>
    <row r="867" spans="1:39" x14ac:dyDescent="0.45">
      <c r="A867" s="2" t="s">
        <v>8310</v>
      </c>
      <c r="B867" s="2"/>
      <c r="C867" s="2" t="s">
        <v>8312</v>
      </c>
      <c r="D867" s="2" t="s">
        <v>8314</v>
      </c>
      <c r="E867" s="25"/>
      <c r="F867" s="21"/>
      <c r="G867" s="42" t="s">
        <v>28000</v>
      </c>
      <c r="H867" s="2" t="s">
        <v>7865</v>
      </c>
      <c r="I867" s="2" t="s">
        <v>8316</v>
      </c>
      <c r="J867" s="2" t="s">
        <v>8311</v>
      </c>
      <c r="K867" s="2" t="s">
        <v>8313</v>
      </c>
      <c r="L867" s="2"/>
      <c r="M867" s="2"/>
      <c r="N867" s="2" t="s">
        <v>174</v>
      </c>
      <c r="O867" s="2" t="s">
        <v>175</v>
      </c>
      <c r="P867" s="2" t="s">
        <v>1316</v>
      </c>
      <c r="Q867" s="2" t="s">
        <v>8313</v>
      </c>
      <c r="R867" s="2"/>
      <c r="S867" s="2"/>
      <c r="T867" s="2"/>
      <c r="U867" s="2" t="s">
        <v>174</v>
      </c>
      <c r="V867" s="2" t="s">
        <v>175</v>
      </c>
      <c r="W867" s="2" t="s">
        <v>1316</v>
      </c>
      <c r="X867" s="2" t="s">
        <v>8315</v>
      </c>
      <c r="Y867" s="2" t="s">
        <v>44</v>
      </c>
      <c r="Z867" s="2"/>
      <c r="AA867" s="2" t="s">
        <v>821</v>
      </c>
      <c r="AB867" s="2" t="s">
        <v>46</v>
      </c>
      <c r="AC867" s="2" t="s">
        <v>821</v>
      </c>
      <c r="AE867" s="2" t="s">
        <v>48</v>
      </c>
      <c r="AF867" s="2" t="s">
        <v>49</v>
      </c>
      <c r="AG867" s="2">
        <v>90</v>
      </c>
      <c r="AH867" s="2">
        <v>77</v>
      </c>
      <c r="AJ867" s="2" t="s">
        <v>8317</v>
      </c>
      <c r="AK867" s="2"/>
      <c r="AL867" s="2"/>
      <c r="AM867" s="2" t="s">
        <v>52</v>
      </c>
    </row>
    <row r="868" spans="1:39" x14ac:dyDescent="0.45">
      <c r="A868" s="2" t="s">
        <v>8318</v>
      </c>
      <c r="B868" s="2"/>
      <c r="C868" s="2" t="s">
        <v>8320</v>
      </c>
      <c r="D868" s="2" t="s">
        <v>8322</v>
      </c>
      <c r="E868" s="25"/>
      <c r="F868" s="21"/>
      <c r="G868" s="42" t="s">
        <v>28000</v>
      </c>
      <c r="H868" s="2" t="s">
        <v>7865</v>
      </c>
      <c r="I868" s="2" t="s">
        <v>8324</v>
      </c>
      <c r="J868" s="2" t="s">
        <v>8319</v>
      </c>
      <c r="K868" s="2" t="s">
        <v>8321</v>
      </c>
      <c r="L868" s="2"/>
      <c r="M868" s="2"/>
      <c r="N868" s="2" t="s">
        <v>72</v>
      </c>
      <c r="O868" s="2" t="s">
        <v>73</v>
      </c>
      <c r="P868" s="2" t="s">
        <v>140</v>
      </c>
      <c r="Q868" s="2" t="s">
        <v>8323</v>
      </c>
      <c r="R868" s="2"/>
      <c r="S868" s="2"/>
      <c r="T868" s="2"/>
      <c r="U868" s="2" t="s">
        <v>72</v>
      </c>
      <c r="V868" s="2" t="s">
        <v>73</v>
      </c>
      <c r="W868" s="2" t="s">
        <v>140</v>
      </c>
      <c r="X868" s="2" t="s">
        <v>4589</v>
      </c>
      <c r="Y868" s="2" t="s">
        <v>44</v>
      </c>
      <c r="Z868" s="2"/>
      <c r="AA868" s="2" t="s">
        <v>821</v>
      </c>
      <c r="AB868" s="2" t="s">
        <v>46</v>
      </c>
      <c r="AC868" s="2" t="s">
        <v>821</v>
      </c>
      <c r="AE868" s="2" t="s">
        <v>48</v>
      </c>
      <c r="AF868" s="2" t="s">
        <v>49</v>
      </c>
      <c r="AG868" s="2">
        <v>90</v>
      </c>
      <c r="AH868" s="2">
        <v>77</v>
      </c>
      <c r="AJ868" s="2" t="s">
        <v>8325</v>
      </c>
      <c r="AK868" s="2"/>
      <c r="AL868" s="2"/>
      <c r="AM868" s="2" t="s">
        <v>52</v>
      </c>
    </row>
    <row r="869" spans="1:39" x14ac:dyDescent="0.45">
      <c r="A869" s="2" t="s">
        <v>8318</v>
      </c>
      <c r="B869" s="2"/>
      <c r="C869" s="2" t="s">
        <v>8320</v>
      </c>
      <c r="D869" s="2" t="s">
        <v>8322</v>
      </c>
      <c r="E869" s="25"/>
      <c r="F869" s="21"/>
      <c r="G869" s="42" t="s">
        <v>28000</v>
      </c>
      <c r="H869" s="2" t="s">
        <v>7865</v>
      </c>
      <c r="I869" s="2" t="s">
        <v>8324</v>
      </c>
      <c r="J869" s="2" t="s">
        <v>8319</v>
      </c>
      <c r="K869" s="2" t="s">
        <v>8321</v>
      </c>
      <c r="L869" s="2"/>
      <c r="M869" s="2"/>
      <c r="N869" s="2" t="s">
        <v>72</v>
      </c>
      <c r="O869" s="2" t="s">
        <v>73</v>
      </c>
      <c r="P869" s="2" t="s">
        <v>140</v>
      </c>
      <c r="Q869" s="2" t="s">
        <v>8323</v>
      </c>
      <c r="R869" s="2"/>
      <c r="S869" s="2"/>
      <c r="T869" s="2"/>
      <c r="U869" s="2" t="s">
        <v>72</v>
      </c>
      <c r="V869" s="2" t="s">
        <v>73</v>
      </c>
      <c r="W869" s="2" t="s">
        <v>140</v>
      </c>
      <c r="X869" s="2" t="s">
        <v>4589</v>
      </c>
      <c r="Y869" s="2" t="s">
        <v>44</v>
      </c>
      <c r="Z869" s="2"/>
      <c r="AA869" s="2" t="s">
        <v>821</v>
      </c>
      <c r="AB869" s="2" t="s">
        <v>46</v>
      </c>
      <c r="AC869" s="2" t="s">
        <v>821</v>
      </c>
      <c r="AE869" s="2" t="s">
        <v>48</v>
      </c>
      <c r="AF869" s="2" t="s">
        <v>49</v>
      </c>
      <c r="AG869" s="2">
        <v>90</v>
      </c>
      <c r="AH869" s="2">
        <v>77</v>
      </c>
      <c r="AJ869" s="2" t="s">
        <v>8325</v>
      </c>
      <c r="AK869" s="2"/>
      <c r="AL869" s="2"/>
      <c r="AM869" s="2" t="s">
        <v>52</v>
      </c>
    </row>
    <row r="870" spans="1:39" x14ac:dyDescent="0.45">
      <c r="A870" s="2" t="s">
        <v>8326</v>
      </c>
      <c r="B870" s="2"/>
      <c r="C870" s="7" t="s">
        <v>27980</v>
      </c>
      <c r="D870" s="2" t="s">
        <v>8329</v>
      </c>
      <c r="E870" s="25"/>
      <c r="F870" s="21"/>
      <c r="G870" s="42" t="s">
        <v>28000</v>
      </c>
      <c r="H870" s="2" t="s">
        <v>7865</v>
      </c>
      <c r="I870" s="2" t="s">
        <v>8333</v>
      </c>
      <c r="J870" s="2" t="s">
        <v>8327</v>
      </c>
      <c r="K870" s="2" t="s">
        <v>8328</v>
      </c>
      <c r="L870" s="2" t="s">
        <v>8330</v>
      </c>
      <c r="M870" s="2" t="s">
        <v>8330</v>
      </c>
      <c r="N870" s="2"/>
      <c r="O870" s="2" t="s">
        <v>1281</v>
      </c>
      <c r="P870" s="2" t="s">
        <v>8331</v>
      </c>
      <c r="Q870" s="2"/>
      <c r="R870" s="2"/>
      <c r="S870" s="2"/>
      <c r="T870" s="2"/>
      <c r="U870" s="2"/>
      <c r="V870" s="2"/>
      <c r="W870" s="2"/>
      <c r="X870" s="2" t="s">
        <v>8332</v>
      </c>
      <c r="Y870" s="2" t="s">
        <v>44</v>
      </c>
      <c r="Z870" s="2"/>
      <c r="AA870" s="2" t="s">
        <v>821</v>
      </c>
      <c r="AB870" s="2" t="s">
        <v>46</v>
      </c>
      <c r="AC870" s="2" t="s">
        <v>821</v>
      </c>
      <c r="AE870" s="2" t="s">
        <v>48</v>
      </c>
      <c r="AF870" s="2" t="s">
        <v>49</v>
      </c>
      <c r="AG870" s="2">
        <v>70</v>
      </c>
      <c r="AH870" s="2">
        <v>77</v>
      </c>
      <c r="AJ870" s="2" t="s">
        <v>8334</v>
      </c>
      <c r="AK870" s="2"/>
      <c r="AL870" s="2"/>
      <c r="AM870" s="2" t="s">
        <v>52</v>
      </c>
    </row>
    <row r="871" spans="1:39" x14ac:dyDescent="0.45">
      <c r="A871" s="2" t="s">
        <v>8335</v>
      </c>
      <c r="B871" s="2"/>
      <c r="C871" s="2" t="s">
        <v>8337</v>
      </c>
      <c r="D871" s="2" t="s">
        <v>8339</v>
      </c>
      <c r="E871" s="25"/>
      <c r="F871" s="21"/>
      <c r="G871" s="42" t="s">
        <v>28000</v>
      </c>
      <c r="H871" s="2" t="s">
        <v>7865</v>
      </c>
      <c r="I871" s="2" t="s">
        <v>8341</v>
      </c>
      <c r="J871" s="2" t="s">
        <v>8336</v>
      </c>
      <c r="K871" s="2" t="s">
        <v>8338</v>
      </c>
      <c r="L871" s="2" t="s">
        <v>8340</v>
      </c>
      <c r="M871" s="2" t="s">
        <v>8340</v>
      </c>
      <c r="N871" s="2" t="s">
        <v>6029</v>
      </c>
      <c r="O871" s="2" t="s">
        <v>278</v>
      </c>
      <c r="P871" s="2" t="s">
        <v>6030</v>
      </c>
      <c r="Q871" s="2" t="s">
        <v>8338</v>
      </c>
      <c r="R871" s="2"/>
      <c r="S871" s="2"/>
      <c r="T871" s="2"/>
      <c r="U871" s="2" t="s">
        <v>6029</v>
      </c>
      <c r="V871" s="2" t="s">
        <v>278</v>
      </c>
      <c r="W871" s="2" t="s">
        <v>6030</v>
      </c>
      <c r="X871" s="2" t="s">
        <v>1441</v>
      </c>
      <c r="Y871" s="2" t="s">
        <v>44</v>
      </c>
      <c r="Z871" s="2"/>
      <c r="AA871" s="2" t="s">
        <v>3527</v>
      </c>
      <c r="AB871" s="2" t="s">
        <v>46</v>
      </c>
      <c r="AC871" s="2" t="s">
        <v>3527</v>
      </c>
      <c r="AE871" s="2" t="s">
        <v>48</v>
      </c>
      <c r="AF871" s="2" t="s">
        <v>49</v>
      </c>
      <c r="AG871" s="2">
        <v>100</v>
      </c>
      <c r="AH871" s="2">
        <v>75</v>
      </c>
      <c r="AJ871" s="2" t="s">
        <v>8342</v>
      </c>
      <c r="AK871" s="2"/>
      <c r="AL871" s="2"/>
      <c r="AM871" s="2" t="s">
        <v>52</v>
      </c>
    </row>
    <row r="872" spans="1:39" x14ac:dyDescent="0.45">
      <c r="A872" s="2" t="s">
        <v>8343</v>
      </c>
      <c r="B872" s="2"/>
      <c r="C872" s="2" t="s">
        <v>8345</v>
      </c>
      <c r="D872" s="2" t="s">
        <v>8347</v>
      </c>
      <c r="E872" s="25"/>
      <c r="F872" s="21"/>
      <c r="G872" s="42" t="s">
        <v>28000</v>
      </c>
      <c r="H872" s="2" t="s">
        <v>7865</v>
      </c>
      <c r="I872" s="2" t="s">
        <v>8350</v>
      </c>
      <c r="J872" s="2" t="s">
        <v>8344</v>
      </c>
      <c r="K872" s="2" t="s">
        <v>8346</v>
      </c>
      <c r="L872" s="2" t="s">
        <v>8348</v>
      </c>
      <c r="M872" s="2" t="s">
        <v>8348</v>
      </c>
      <c r="N872" s="2" t="s">
        <v>1220</v>
      </c>
      <c r="O872" s="2" t="s">
        <v>1221</v>
      </c>
      <c r="P872" s="2" t="s">
        <v>1222</v>
      </c>
      <c r="Q872" s="2" t="s">
        <v>8349</v>
      </c>
      <c r="R872" s="2"/>
      <c r="S872" s="2"/>
      <c r="T872" s="2"/>
      <c r="U872" s="2" t="s">
        <v>290</v>
      </c>
      <c r="V872" s="2" t="s">
        <v>278</v>
      </c>
      <c r="W872" s="2" t="s">
        <v>396</v>
      </c>
      <c r="X872" s="2" t="s">
        <v>854</v>
      </c>
      <c r="Y872" s="2" t="s">
        <v>44</v>
      </c>
      <c r="Z872" s="2"/>
      <c r="AA872" s="2" t="s">
        <v>3527</v>
      </c>
      <c r="AB872" s="2" t="s">
        <v>46</v>
      </c>
      <c r="AC872" s="2" t="s">
        <v>3527</v>
      </c>
      <c r="AE872" s="2" t="s">
        <v>48</v>
      </c>
      <c r="AF872" s="2" t="s">
        <v>49</v>
      </c>
      <c r="AG872" s="2">
        <v>100</v>
      </c>
      <c r="AH872" s="2">
        <v>75</v>
      </c>
      <c r="AJ872" s="2" t="s">
        <v>8351</v>
      </c>
      <c r="AK872" s="2"/>
      <c r="AL872" s="2"/>
      <c r="AM872" s="2" t="s">
        <v>52</v>
      </c>
    </row>
    <row r="873" spans="1:39" x14ac:dyDescent="0.45">
      <c r="A873" s="2" t="s">
        <v>8352</v>
      </c>
      <c r="B873" s="2"/>
      <c r="C873" s="2" t="s">
        <v>8354</v>
      </c>
      <c r="D873" s="2" t="s">
        <v>8356</v>
      </c>
      <c r="E873" s="25"/>
      <c r="F873" s="21"/>
      <c r="G873" s="42" t="s">
        <v>28000</v>
      </c>
      <c r="H873" s="2" t="s">
        <v>7865</v>
      </c>
      <c r="I873" s="2" t="s">
        <v>8361</v>
      </c>
      <c r="J873" s="2" t="s">
        <v>8353</v>
      </c>
      <c r="K873" s="2" t="s">
        <v>8355</v>
      </c>
      <c r="L873" s="2" t="s">
        <v>8357</v>
      </c>
      <c r="M873" s="2" t="s">
        <v>8357</v>
      </c>
      <c r="N873" s="2" t="s">
        <v>1148</v>
      </c>
      <c r="O873" s="2" t="s">
        <v>278</v>
      </c>
      <c r="P873" s="2" t="s">
        <v>8358</v>
      </c>
      <c r="Q873" s="2" t="s">
        <v>8359</v>
      </c>
      <c r="R873" s="2"/>
      <c r="S873" s="2"/>
      <c r="T873" s="2"/>
      <c r="U873" s="2" t="s">
        <v>1148</v>
      </c>
      <c r="V873" s="2" t="s">
        <v>278</v>
      </c>
      <c r="W873" s="2" t="s">
        <v>8358</v>
      </c>
      <c r="X873" s="2" t="s">
        <v>8360</v>
      </c>
      <c r="Y873" s="2" t="s">
        <v>44</v>
      </c>
      <c r="Z873" s="2"/>
      <c r="AA873" s="2" t="s">
        <v>3527</v>
      </c>
      <c r="AB873" s="2" t="s">
        <v>46</v>
      </c>
      <c r="AC873" s="2" t="s">
        <v>3527</v>
      </c>
      <c r="AE873" s="2" t="s">
        <v>48</v>
      </c>
      <c r="AF873" s="2" t="s">
        <v>49</v>
      </c>
      <c r="AG873" s="2">
        <v>100</v>
      </c>
      <c r="AH873" s="2">
        <v>75</v>
      </c>
      <c r="AJ873" s="2" t="s">
        <v>8362</v>
      </c>
      <c r="AK873" s="2"/>
      <c r="AL873" s="2"/>
      <c r="AM873" s="2" t="s">
        <v>52</v>
      </c>
    </row>
    <row r="874" spans="1:39" x14ac:dyDescent="0.45">
      <c r="A874" s="2" t="s">
        <v>8363</v>
      </c>
      <c r="B874" s="2"/>
      <c r="C874" s="2" t="s">
        <v>8365</v>
      </c>
      <c r="D874" s="2" t="s">
        <v>8367</v>
      </c>
      <c r="E874" s="25"/>
      <c r="F874" s="21"/>
      <c r="G874" s="42" t="s">
        <v>28000</v>
      </c>
      <c r="H874" s="2" t="s">
        <v>7865</v>
      </c>
      <c r="I874" s="2" t="s">
        <v>8372</v>
      </c>
      <c r="J874" s="2" t="s">
        <v>8364</v>
      </c>
      <c r="K874" s="2" t="s">
        <v>8366</v>
      </c>
      <c r="L874" s="2" t="s">
        <v>8368</v>
      </c>
      <c r="M874" s="2" t="s">
        <v>8368</v>
      </c>
      <c r="N874" s="2" t="s">
        <v>8369</v>
      </c>
      <c r="O874" s="2" t="s">
        <v>1112</v>
      </c>
      <c r="P874" s="2" t="s">
        <v>8370</v>
      </c>
      <c r="Q874" s="2"/>
      <c r="R874" s="2"/>
      <c r="S874" s="2"/>
      <c r="T874" s="2"/>
      <c r="U874" s="2"/>
      <c r="V874" s="2"/>
      <c r="W874" s="2"/>
      <c r="X874" s="2" t="s">
        <v>8371</v>
      </c>
      <c r="Y874" s="2" t="s">
        <v>44</v>
      </c>
      <c r="Z874" s="2"/>
      <c r="AA874" s="2" t="s">
        <v>3527</v>
      </c>
      <c r="AB874" s="2" t="s">
        <v>46</v>
      </c>
      <c r="AC874" s="2" t="s">
        <v>3527</v>
      </c>
      <c r="AE874" s="2" t="s">
        <v>48</v>
      </c>
      <c r="AF874" s="2" t="s">
        <v>49</v>
      </c>
      <c r="AG874" s="2">
        <v>100</v>
      </c>
      <c r="AH874" s="2">
        <v>75</v>
      </c>
      <c r="AJ874" s="2" t="s">
        <v>8373</v>
      </c>
      <c r="AK874" s="2"/>
      <c r="AL874" s="2"/>
      <c r="AM874" s="2" t="s">
        <v>52</v>
      </c>
    </row>
    <row r="875" spans="1:39" x14ac:dyDescent="0.45">
      <c r="A875" s="2" t="s">
        <v>8374</v>
      </c>
      <c r="B875" s="2"/>
      <c r="C875" s="2" t="s">
        <v>8376</v>
      </c>
      <c r="D875" s="2" t="s">
        <v>8378</v>
      </c>
      <c r="E875" s="25"/>
      <c r="F875" s="21"/>
      <c r="G875" s="42" t="s">
        <v>28000</v>
      </c>
      <c r="H875" s="2" t="s">
        <v>7865</v>
      </c>
      <c r="I875" s="2" t="s">
        <v>8382</v>
      </c>
      <c r="J875" s="2" t="s">
        <v>8375</v>
      </c>
      <c r="K875" s="2" t="s">
        <v>8377</v>
      </c>
      <c r="L875" s="2" t="s">
        <v>8379</v>
      </c>
      <c r="M875" s="2" t="s">
        <v>8379</v>
      </c>
      <c r="N875" s="2" t="s">
        <v>1115</v>
      </c>
      <c r="O875" s="2" t="s">
        <v>1112</v>
      </c>
      <c r="P875" s="2" t="s">
        <v>8380</v>
      </c>
      <c r="Q875" s="2" t="s">
        <v>8377</v>
      </c>
      <c r="R875" s="2"/>
      <c r="S875" s="2"/>
      <c r="T875" s="2"/>
      <c r="U875" s="2" t="s">
        <v>1115</v>
      </c>
      <c r="V875" s="2" t="s">
        <v>1112</v>
      </c>
      <c r="W875" s="2" t="s">
        <v>8380</v>
      </c>
      <c r="X875" s="2" t="s">
        <v>8381</v>
      </c>
      <c r="Y875" s="2" t="s">
        <v>44</v>
      </c>
      <c r="Z875" s="2"/>
      <c r="AA875" s="2" t="s">
        <v>3527</v>
      </c>
      <c r="AB875" s="2" t="s">
        <v>46</v>
      </c>
      <c r="AC875" s="2" t="s">
        <v>3527</v>
      </c>
      <c r="AE875" s="2" t="s">
        <v>48</v>
      </c>
      <c r="AF875" s="2" t="s">
        <v>49</v>
      </c>
      <c r="AG875" s="2">
        <v>100</v>
      </c>
      <c r="AH875" s="2">
        <v>75</v>
      </c>
      <c r="AJ875" s="2" t="s">
        <v>8383</v>
      </c>
      <c r="AK875" s="2"/>
      <c r="AL875" s="2"/>
      <c r="AM875" s="2" t="s">
        <v>52</v>
      </c>
    </row>
    <row r="876" spans="1:39" x14ac:dyDescent="0.45">
      <c r="A876" s="2" t="s">
        <v>8384</v>
      </c>
      <c r="B876" s="2"/>
      <c r="C876" s="2" t="s">
        <v>8386</v>
      </c>
      <c r="D876" s="2" t="s">
        <v>8388</v>
      </c>
      <c r="E876" s="25"/>
      <c r="F876" s="21"/>
      <c r="G876" s="42" t="s">
        <v>28000</v>
      </c>
      <c r="H876" s="2" t="s">
        <v>7865</v>
      </c>
      <c r="I876" s="2" t="s">
        <v>8395</v>
      </c>
      <c r="J876" s="2" t="s">
        <v>8385</v>
      </c>
      <c r="K876" s="2" t="s">
        <v>8387</v>
      </c>
      <c r="L876" s="2" t="s">
        <v>8389</v>
      </c>
      <c r="M876" s="2" t="s">
        <v>8389</v>
      </c>
      <c r="N876" s="2" t="s">
        <v>2962</v>
      </c>
      <c r="O876" s="2" t="s">
        <v>73</v>
      </c>
      <c r="P876" s="2" t="s">
        <v>8390</v>
      </c>
      <c r="Q876" s="2" t="s">
        <v>8391</v>
      </c>
      <c r="R876" s="2"/>
      <c r="S876" s="2"/>
      <c r="T876" s="2"/>
      <c r="U876" s="2" t="s">
        <v>8392</v>
      </c>
      <c r="V876" s="2" t="s">
        <v>313</v>
      </c>
      <c r="W876" s="2" t="s">
        <v>8393</v>
      </c>
      <c r="X876" s="2" t="s">
        <v>8394</v>
      </c>
      <c r="Y876" s="2" t="s">
        <v>44</v>
      </c>
      <c r="Z876" s="2"/>
      <c r="AA876" s="2" t="s">
        <v>3527</v>
      </c>
      <c r="AB876" s="2" t="s">
        <v>46</v>
      </c>
      <c r="AC876" s="2" t="s">
        <v>3527</v>
      </c>
      <c r="AE876" s="2" t="s">
        <v>48</v>
      </c>
      <c r="AF876" s="2" t="s">
        <v>49</v>
      </c>
      <c r="AG876" s="2">
        <v>100</v>
      </c>
      <c r="AH876" s="2">
        <v>75</v>
      </c>
      <c r="AJ876" s="2" t="s">
        <v>8396</v>
      </c>
      <c r="AK876" s="2"/>
      <c r="AL876" s="2"/>
      <c r="AM876" s="2" t="s">
        <v>52</v>
      </c>
    </row>
    <row r="877" spans="1:39" x14ac:dyDescent="0.45">
      <c r="A877" s="2" t="s">
        <v>8397</v>
      </c>
      <c r="B877" s="2"/>
      <c r="C877" s="2" t="s">
        <v>8399</v>
      </c>
      <c r="D877" s="2" t="s">
        <v>8401</v>
      </c>
      <c r="E877" s="25"/>
      <c r="F877" s="21"/>
      <c r="G877" s="42" t="s">
        <v>28000</v>
      </c>
      <c r="H877" s="2" t="s">
        <v>7865</v>
      </c>
      <c r="I877" s="2" t="s">
        <v>8404</v>
      </c>
      <c r="J877" s="2" t="s">
        <v>8398</v>
      </c>
      <c r="K877" s="2" t="s">
        <v>8400</v>
      </c>
      <c r="L877" s="2" t="s">
        <v>8402</v>
      </c>
      <c r="M877" s="2" t="s">
        <v>8402</v>
      </c>
      <c r="N877" s="2" t="s">
        <v>6051</v>
      </c>
      <c r="O877" s="2" t="s">
        <v>6051</v>
      </c>
      <c r="P877" s="2" t="s">
        <v>6052</v>
      </c>
      <c r="Q877" s="2" t="s">
        <v>8400</v>
      </c>
      <c r="R877" s="2"/>
      <c r="S877" s="2"/>
      <c r="T877" s="2"/>
      <c r="U877" s="2" t="s">
        <v>6051</v>
      </c>
      <c r="V877" s="2" t="s">
        <v>6051</v>
      </c>
      <c r="W877" s="2" t="s">
        <v>6052</v>
      </c>
      <c r="X877" s="2" t="s">
        <v>8403</v>
      </c>
      <c r="Y877" s="2" t="s">
        <v>44</v>
      </c>
      <c r="Z877" s="2"/>
      <c r="AA877" s="2" t="s">
        <v>3527</v>
      </c>
      <c r="AB877" s="2" t="s">
        <v>46</v>
      </c>
      <c r="AC877" s="2" t="s">
        <v>3527</v>
      </c>
      <c r="AE877" s="2" t="s">
        <v>48</v>
      </c>
      <c r="AF877" s="2" t="s">
        <v>49</v>
      </c>
      <c r="AG877" s="2">
        <v>100</v>
      </c>
      <c r="AH877" s="2">
        <v>75</v>
      </c>
      <c r="AJ877" s="2" t="s">
        <v>8405</v>
      </c>
      <c r="AK877" s="2"/>
      <c r="AL877" s="2"/>
      <c r="AM877" s="2" t="s">
        <v>52</v>
      </c>
    </row>
    <row r="878" spans="1:39" x14ac:dyDescent="0.45">
      <c r="A878" s="2" t="s">
        <v>8406</v>
      </c>
      <c r="B878" s="2"/>
      <c r="C878" s="2" t="s">
        <v>8408</v>
      </c>
      <c r="D878" s="2" t="s">
        <v>8410</v>
      </c>
      <c r="E878" s="25"/>
      <c r="F878" s="21"/>
      <c r="G878" s="42" t="s">
        <v>28000</v>
      </c>
      <c r="H878" s="2" t="s">
        <v>7865</v>
      </c>
      <c r="I878" s="2" t="s">
        <v>8414</v>
      </c>
      <c r="J878" s="2" t="s">
        <v>8407</v>
      </c>
      <c r="K878" s="2" t="s">
        <v>8409</v>
      </c>
      <c r="L878" s="2" t="s">
        <v>8411</v>
      </c>
      <c r="M878" s="2" t="s">
        <v>8411</v>
      </c>
      <c r="N878" s="2" t="s">
        <v>1148</v>
      </c>
      <c r="O878" s="2" t="s">
        <v>278</v>
      </c>
      <c r="P878" s="2" t="s">
        <v>1149</v>
      </c>
      <c r="Q878" s="2" t="s">
        <v>8412</v>
      </c>
      <c r="R878" s="2"/>
      <c r="S878" s="2"/>
      <c r="T878" s="2"/>
      <c r="U878" s="2" t="s">
        <v>290</v>
      </c>
      <c r="V878" s="2" t="s">
        <v>278</v>
      </c>
      <c r="W878" s="2" t="s">
        <v>1460</v>
      </c>
      <c r="X878" s="2" t="s">
        <v>8413</v>
      </c>
      <c r="Y878" s="2" t="s">
        <v>44</v>
      </c>
      <c r="Z878" s="2"/>
      <c r="AA878" s="2" t="s">
        <v>3527</v>
      </c>
      <c r="AB878" s="2" t="s">
        <v>46</v>
      </c>
      <c r="AC878" s="2" t="s">
        <v>3527</v>
      </c>
      <c r="AE878" s="2" t="s">
        <v>48</v>
      </c>
      <c r="AF878" s="2" t="s">
        <v>49</v>
      </c>
      <c r="AG878" s="2">
        <v>100</v>
      </c>
      <c r="AH878" s="2">
        <v>75</v>
      </c>
      <c r="AJ878" s="2" t="s">
        <v>8415</v>
      </c>
      <c r="AK878" s="2"/>
      <c r="AL878" s="2"/>
      <c r="AM878" s="2" t="s">
        <v>52</v>
      </c>
    </row>
    <row r="879" spans="1:39" x14ac:dyDescent="0.45">
      <c r="A879" s="2" t="s">
        <v>8416</v>
      </c>
      <c r="B879" s="2"/>
      <c r="C879" s="2" t="s">
        <v>8418</v>
      </c>
      <c r="D879" s="2" t="s">
        <v>8420</v>
      </c>
      <c r="E879" s="25"/>
      <c r="F879" s="21"/>
      <c r="G879" s="42" t="s">
        <v>28000</v>
      </c>
      <c r="H879" s="2" t="s">
        <v>7865</v>
      </c>
      <c r="I879" s="2" t="s">
        <v>8423</v>
      </c>
      <c r="J879" s="2" t="s">
        <v>8417</v>
      </c>
      <c r="K879" s="2" t="s">
        <v>8419</v>
      </c>
      <c r="L879" s="2" t="s">
        <v>8421</v>
      </c>
      <c r="M879" s="2" t="s">
        <v>8421</v>
      </c>
      <c r="N879" s="2" t="s">
        <v>6029</v>
      </c>
      <c r="O879" s="2" t="s">
        <v>278</v>
      </c>
      <c r="P879" s="2" t="s">
        <v>8422</v>
      </c>
      <c r="Q879" s="2" t="s">
        <v>8419</v>
      </c>
      <c r="R879" s="2"/>
      <c r="S879" s="2"/>
      <c r="T879" s="2"/>
      <c r="U879" s="2" t="s">
        <v>6029</v>
      </c>
      <c r="V879" s="2" t="s">
        <v>278</v>
      </c>
      <c r="W879" s="2" t="s">
        <v>8422</v>
      </c>
      <c r="X879" s="2" t="s">
        <v>7004</v>
      </c>
      <c r="Y879" s="2" t="s">
        <v>44</v>
      </c>
      <c r="Z879" s="2"/>
      <c r="AA879" s="2" t="s">
        <v>3527</v>
      </c>
      <c r="AB879" s="2" t="s">
        <v>46</v>
      </c>
      <c r="AC879" s="2" t="s">
        <v>3527</v>
      </c>
      <c r="AE879" s="2" t="s">
        <v>48</v>
      </c>
      <c r="AF879" s="2" t="s">
        <v>49</v>
      </c>
      <c r="AG879" s="2">
        <v>100</v>
      </c>
      <c r="AH879" s="2">
        <v>75</v>
      </c>
      <c r="AJ879" s="2" t="s">
        <v>8424</v>
      </c>
      <c r="AK879" s="2"/>
      <c r="AL879" s="2"/>
      <c r="AM879" s="2" t="s">
        <v>52</v>
      </c>
    </row>
    <row r="880" spans="1:39" x14ac:dyDescent="0.45">
      <c r="A880" s="2" t="s">
        <v>8425</v>
      </c>
      <c r="B880" s="2"/>
      <c r="C880" s="2" t="s">
        <v>8427</v>
      </c>
      <c r="D880" s="2" t="s">
        <v>8429</v>
      </c>
      <c r="E880" s="25"/>
      <c r="F880" s="21"/>
      <c r="G880" s="42" t="s">
        <v>28000</v>
      </c>
      <c r="H880" s="2" t="s">
        <v>7865</v>
      </c>
      <c r="I880" s="2" t="s">
        <v>8434</v>
      </c>
      <c r="J880" s="2" t="s">
        <v>8426</v>
      </c>
      <c r="K880" s="2" t="s">
        <v>8428</v>
      </c>
      <c r="L880" s="2" t="s">
        <v>8430</v>
      </c>
      <c r="M880" s="2" t="s">
        <v>8430</v>
      </c>
      <c r="N880" s="2" t="s">
        <v>8431</v>
      </c>
      <c r="O880" s="2" t="s">
        <v>175</v>
      </c>
      <c r="P880" s="2" t="s">
        <v>8432</v>
      </c>
      <c r="Q880" s="2" t="s">
        <v>8428</v>
      </c>
      <c r="R880" s="2"/>
      <c r="S880" s="2"/>
      <c r="T880" s="2"/>
      <c r="U880" s="2" t="s">
        <v>8431</v>
      </c>
      <c r="V880" s="2" t="s">
        <v>175</v>
      </c>
      <c r="W880" s="2" t="s">
        <v>8432</v>
      </c>
      <c r="X880" s="2" t="s">
        <v>8433</v>
      </c>
      <c r="Y880" s="2" t="s">
        <v>44</v>
      </c>
      <c r="Z880" s="2"/>
      <c r="AA880" s="2" t="s">
        <v>3527</v>
      </c>
      <c r="AB880" s="2" t="s">
        <v>46</v>
      </c>
      <c r="AC880" s="2" t="s">
        <v>3527</v>
      </c>
      <c r="AE880" s="2" t="s">
        <v>48</v>
      </c>
      <c r="AF880" s="2" t="s">
        <v>49</v>
      </c>
      <c r="AG880" s="2">
        <v>100</v>
      </c>
      <c r="AH880" s="2">
        <v>75</v>
      </c>
      <c r="AJ880" s="2" t="s">
        <v>8435</v>
      </c>
      <c r="AK880" s="2"/>
      <c r="AL880" s="2"/>
      <c r="AM880" s="2" t="s">
        <v>52</v>
      </c>
    </row>
    <row r="881" spans="1:39" x14ac:dyDescent="0.45">
      <c r="A881" s="2" t="s">
        <v>8436</v>
      </c>
      <c r="B881" s="2"/>
      <c r="C881" s="2" t="s">
        <v>8438</v>
      </c>
      <c r="D881" s="2" t="s">
        <v>8440</v>
      </c>
      <c r="E881" s="25"/>
      <c r="F881" s="21"/>
      <c r="G881" s="42" t="s">
        <v>28000</v>
      </c>
      <c r="H881" s="2" t="s">
        <v>7865</v>
      </c>
      <c r="I881" s="2" t="s">
        <v>8446</v>
      </c>
      <c r="J881" s="2" t="s">
        <v>8437</v>
      </c>
      <c r="K881" s="2" t="s">
        <v>8439</v>
      </c>
      <c r="L881" s="2" t="s">
        <v>8441</v>
      </c>
      <c r="M881" s="2" t="s">
        <v>8441</v>
      </c>
      <c r="N881" s="2" t="s">
        <v>8442</v>
      </c>
      <c r="O881" s="2" t="s">
        <v>537</v>
      </c>
      <c r="P881" s="2" t="s">
        <v>8443</v>
      </c>
      <c r="Q881" s="2" t="s">
        <v>8444</v>
      </c>
      <c r="R881" s="2"/>
      <c r="S881" s="2"/>
      <c r="T881" s="2"/>
      <c r="U881" s="2" t="s">
        <v>536</v>
      </c>
      <c r="V881" s="2" t="s">
        <v>537</v>
      </c>
      <c r="W881" s="2" t="s">
        <v>2431</v>
      </c>
      <c r="X881" s="2" t="s">
        <v>8445</v>
      </c>
      <c r="Y881" s="2" t="s">
        <v>44</v>
      </c>
      <c r="Z881" s="2"/>
      <c r="AA881" s="2" t="s">
        <v>3527</v>
      </c>
      <c r="AB881" s="2" t="s">
        <v>46</v>
      </c>
      <c r="AC881" s="2" t="s">
        <v>3527</v>
      </c>
      <c r="AE881" s="2" t="s">
        <v>48</v>
      </c>
      <c r="AF881" s="2" t="s">
        <v>49</v>
      </c>
      <c r="AG881" s="2">
        <v>100</v>
      </c>
      <c r="AH881" s="2">
        <v>75</v>
      </c>
      <c r="AJ881" s="2" t="s">
        <v>8447</v>
      </c>
      <c r="AK881" s="2"/>
      <c r="AL881" s="2"/>
      <c r="AM881" s="2" t="s">
        <v>52</v>
      </c>
    </row>
    <row r="882" spans="1:39" x14ac:dyDescent="0.45">
      <c r="A882" s="2" t="s">
        <v>8448</v>
      </c>
      <c r="B882" s="2"/>
      <c r="C882" s="2" t="s">
        <v>8450</v>
      </c>
      <c r="D882" s="2" t="s">
        <v>8452</v>
      </c>
      <c r="E882" s="25"/>
      <c r="F882" s="21"/>
      <c r="G882" s="42" t="s">
        <v>28000</v>
      </c>
      <c r="H882" s="2" t="s">
        <v>7865</v>
      </c>
      <c r="I882" s="2" t="s">
        <v>8457</v>
      </c>
      <c r="J882" s="2" t="s">
        <v>8449</v>
      </c>
      <c r="K882" s="2" t="s">
        <v>8451</v>
      </c>
      <c r="L882" s="2" t="s">
        <v>8453</v>
      </c>
      <c r="M882" s="2" t="s">
        <v>8453</v>
      </c>
      <c r="N882" s="2" t="s">
        <v>6062</v>
      </c>
      <c r="O882" s="2" t="s">
        <v>217</v>
      </c>
      <c r="P882" s="2" t="s">
        <v>8454</v>
      </c>
      <c r="Q882" s="2" t="s">
        <v>8455</v>
      </c>
      <c r="R882" s="2"/>
      <c r="S882" s="2"/>
      <c r="T882" s="2"/>
      <c r="U882" s="2" t="s">
        <v>216</v>
      </c>
      <c r="V882" s="2" t="s">
        <v>217</v>
      </c>
      <c r="W882" s="2" t="s">
        <v>875</v>
      </c>
      <c r="X882" s="2" t="s">
        <v>8456</v>
      </c>
      <c r="Y882" s="2" t="s">
        <v>44</v>
      </c>
      <c r="Z882" s="2"/>
      <c r="AA882" s="2" t="s">
        <v>3527</v>
      </c>
      <c r="AB882" s="2" t="s">
        <v>46</v>
      </c>
      <c r="AC882" s="2" t="s">
        <v>3527</v>
      </c>
      <c r="AE882" s="2" t="s">
        <v>48</v>
      </c>
      <c r="AF882" s="2" t="s">
        <v>49</v>
      </c>
      <c r="AG882" s="2">
        <v>100</v>
      </c>
      <c r="AH882" s="2">
        <v>75</v>
      </c>
      <c r="AJ882" s="2" t="s">
        <v>8458</v>
      </c>
      <c r="AK882" s="2"/>
      <c r="AL882" s="2"/>
      <c r="AM882" s="2" t="s">
        <v>52</v>
      </c>
    </row>
    <row r="883" spans="1:39" x14ac:dyDescent="0.45">
      <c r="A883" s="2" t="s">
        <v>8459</v>
      </c>
      <c r="B883" s="2"/>
      <c r="C883" s="2" t="s">
        <v>8461</v>
      </c>
      <c r="D883" s="2" t="s">
        <v>8463</v>
      </c>
      <c r="E883" s="25"/>
      <c r="F883" s="21"/>
      <c r="G883" s="42" t="s">
        <v>28000</v>
      </c>
      <c r="H883" s="2" t="s">
        <v>7865</v>
      </c>
      <c r="I883" s="2" t="s">
        <v>8467</v>
      </c>
      <c r="J883" s="2" t="s">
        <v>8460</v>
      </c>
      <c r="K883" s="2" t="s">
        <v>8462</v>
      </c>
      <c r="L883" s="2" t="s">
        <v>8464</v>
      </c>
      <c r="M883" s="2" t="s">
        <v>8464</v>
      </c>
      <c r="N883" s="2" t="s">
        <v>8465</v>
      </c>
      <c r="O883" s="2" t="s">
        <v>221</v>
      </c>
      <c r="P883" s="2" t="s">
        <v>8466</v>
      </c>
      <c r="Q883" s="2" t="s">
        <v>8462</v>
      </c>
      <c r="R883" s="2"/>
      <c r="S883" s="2"/>
      <c r="T883" s="2"/>
      <c r="U883" s="2" t="s">
        <v>8465</v>
      </c>
      <c r="V883" s="2" t="s">
        <v>221</v>
      </c>
      <c r="W883" s="2" t="s">
        <v>8466</v>
      </c>
      <c r="X883" s="2" t="s">
        <v>6090</v>
      </c>
      <c r="Y883" s="2" t="s">
        <v>44</v>
      </c>
      <c r="Z883" s="2"/>
      <c r="AA883" s="2" t="s">
        <v>3527</v>
      </c>
      <c r="AB883" s="2" t="s">
        <v>46</v>
      </c>
      <c r="AC883" s="2" t="s">
        <v>3527</v>
      </c>
      <c r="AE883" s="2" t="s">
        <v>48</v>
      </c>
      <c r="AF883" s="2" t="s">
        <v>49</v>
      </c>
      <c r="AG883" s="2">
        <v>100</v>
      </c>
      <c r="AH883" s="2">
        <v>75</v>
      </c>
      <c r="AJ883" s="2" t="s">
        <v>8468</v>
      </c>
      <c r="AK883" s="2"/>
      <c r="AL883" s="2"/>
      <c r="AM883" s="2" t="s">
        <v>52</v>
      </c>
    </row>
    <row r="884" spans="1:39" x14ac:dyDescent="0.45">
      <c r="A884" s="2" t="s">
        <v>8469</v>
      </c>
      <c r="B884" s="2"/>
      <c r="C884" s="2" t="s">
        <v>8471</v>
      </c>
      <c r="D884" s="2" t="s">
        <v>8473</v>
      </c>
      <c r="E884" s="25"/>
      <c r="F884" s="21"/>
      <c r="G884" s="42" t="s">
        <v>28000</v>
      </c>
      <c r="H884" s="2" t="s">
        <v>7865</v>
      </c>
      <c r="I884" s="2" t="s">
        <v>8479</v>
      </c>
      <c r="J884" s="2" t="s">
        <v>8470</v>
      </c>
      <c r="K884" s="2" t="s">
        <v>8472</v>
      </c>
      <c r="L884" s="2" t="s">
        <v>8474</v>
      </c>
      <c r="M884" s="2" t="s">
        <v>8474</v>
      </c>
      <c r="N884" s="2" t="s">
        <v>8475</v>
      </c>
      <c r="O884" s="2" t="s">
        <v>221</v>
      </c>
      <c r="P884" s="2" t="s">
        <v>8476</v>
      </c>
      <c r="Q884" s="2" t="s">
        <v>8477</v>
      </c>
      <c r="R884" s="2"/>
      <c r="S884" s="2"/>
      <c r="T884" s="2"/>
      <c r="U884" s="2" t="s">
        <v>1188</v>
      </c>
      <c r="V884" s="2" t="s">
        <v>221</v>
      </c>
      <c r="W884" s="2" t="s">
        <v>5169</v>
      </c>
      <c r="X884" s="2" t="s">
        <v>8478</v>
      </c>
      <c r="Y884" s="2" t="s">
        <v>44</v>
      </c>
      <c r="Z884" s="2"/>
      <c r="AA884" s="2" t="s">
        <v>3527</v>
      </c>
      <c r="AB884" s="2" t="s">
        <v>46</v>
      </c>
      <c r="AC884" s="2" t="s">
        <v>3527</v>
      </c>
      <c r="AE884" s="2" t="s">
        <v>48</v>
      </c>
      <c r="AF884" s="2" t="s">
        <v>49</v>
      </c>
      <c r="AG884" s="2">
        <v>100</v>
      </c>
      <c r="AH884" s="2">
        <v>75</v>
      </c>
      <c r="AJ884" s="2" t="s">
        <v>8480</v>
      </c>
      <c r="AK884" s="2"/>
      <c r="AL884" s="2"/>
      <c r="AM884" s="2" t="s">
        <v>52</v>
      </c>
    </row>
    <row r="885" spans="1:39" x14ac:dyDescent="0.45">
      <c r="A885" s="2" t="s">
        <v>8481</v>
      </c>
      <c r="B885" s="2"/>
      <c r="C885" s="2" t="s">
        <v>8483</v>
      </c>
      <c r="D885" s="2" t="s">
        <v>8485</v>
      </c>
      <c r="E885" s="25"/>
      <c r="F885" s="21"/>
      <c r="G885" s="42" t="s">
        <v>28000</v>
      </c>
      <c r="H885" s="2" t="s">
        <v>7865</v>
      </c>
      <c r="I885" s="2" t="s">
        <v>8487</v>
      </c>
      <c r="J885" s="2" t="s">
        <v>8482</v>
      </c>
      <c r="K885" s="2" t="s">
        <v>8484</v>
      </c>
      <c r="L885" s="2" t="s">
        <v>8486</v>
      </c>
      <c r="M885" s="2" t="s">
        <v>8486</v>
      </c>
      <c r="N885" s="2" t="s">
        <v>1175</v>
      </c>
      <c r="O885" s="2" t="s">
        <v>1176</v>
      </c>
      <c r="P885" s="2" t="s">
        <v>1177</v>
      </c>
      <c r="Q885" s="2" t="s">
        <v>8484</v>
      </c>
      <c r="R885" s="2"/>
      <c r="S885" s="2"/>
      <c r="T885" s="2"/>
      <c r="U885" s="2" t="s">
        <v>1175</v>
      </c>
      <c r="V885" s="2" t="s">
        <v>1176</v>
      </c>
      <c r="W885" s="2" t="s">
        <v>1177</v>
      </c>
      <c r="X885" s="2" t="s">
        <v>3199</v>
      </c>
      <c r="Y885" s="2" t="s">
        <v>44</v>
      </c>
      <c r="Z885" s="2"/>
      <c r="AA885" s="2" t="s">
        <v>3527</v>
      </c>
      <c r="AB885" s="2" t="s">
        <v>46</v>
      </c>
      <c r="AC885" s="2" t="s">
        <v>3527</v>
      </c>
      <c r="AE885" s="2" t="s">
        <v>48</v>
      </c>
      <c r="AF885" s="2" t="s">
        <v>49</v>
      </c>
      <c r="AG885" s="2">
        <v>100</v>
      </c>
      <c r="AH885" s="2">
        <v>75</v>
      </c>
      <c r="AJ885" s="2" t="s">
        <v>8488</v>
      </c>
      <c r="AK885" s="2"/>
      <c r="AL885" s="2"/>
      <c r="AM885" s="2" t="s">
        <v>52</v>
      </c>
    </row>
    <row r="886" spans="1:39" x14ac:dyDescent="0.45">
      <c r="A886" s="2" t="s">
        <v>8489</v>
      </c>
      <c r="B886" s="2"/>
      <c r="C886" s="2" t="s">
        <v>8491</v>
      </c>
      <c r="D886" s="2" t="s">
        <v>8493</v>
      </c>
      <c r="E886" s="25"/>
      <c r="F886" s="21"/>
      <c r="G886" s="42" t="s">
        <v>28000</v>
      </c>
      <c r="H886" s="2" t="s">
        <v>7865</v>
      </c>
      <c r="I886" s="2" t="s">
        <v>8498</v>
      </c>
      <c r="J886" s="2" t="s">
        <v>8490</v>
      </c>
      <c r="K886" s="2" t="s">
        <v>8492</v>
      </c>
      <c r="L886" s="2" t="s">
        <v>8494</v>
      </c>
      <c r="M886" s="2" t="s">
        <v>8494</v>
      </c>
      <c r="N886" s="2" t="s">
        <v>8495</v>
      </c>
      <c r="O886" s="2" t="s">
        <v>8496</v>
      </c>
      <c r="P886" s="2" t="s">
        <v>8497</v>
      </c>
      <c r="Q886" s="2" t="s">
        <v>8492</v>
      </c>
      <c r="R886" s="2"/>
      <c r="S886" s="2"/>
      <c r="T886" s="2"/>
      <c r="U886" s="2" t="s">
        <v>8495</v>
      </c>
      <c r="V886" s="2" t="s">
        <v>8496</v>
      </c>
      <c r="W886" s="2" t="s">
        <v>8497</v>
      </c>
      <c r="X886" s="2" t="s">
        <v>7358</v>
      </c>
      <c r="Y886" s="2" t="s">
        <v>44</v>
      </c>
      <c r="Z886" s="2"/>
      <c r="AA886" s="2" t="s">
        <v>3527</v>
      </c>
      <c r="AB886" s="2" t="s">
        <v>46</v>
      </c>
      <c r="AC886" s="2" t="s">
        <v>3527</v>
      </c>
      <c r="AE886" s="2" t="s">
        <v>48</v>
      </c>
      <c r="AF886" s="2" t="s">
        <v>49</v>
      </c>
      <c r="AG886" s="2">
        <v>100</v>
      </c>
      <c r="AH886" s="2">
        <v>75</v>
      </c>
      <c r="AJ886" s="2" t="s">
        <v>8499</v>
      </c>
      <c r="AK886" s="2"/>
      <c r="AL886" s="2"/>
      <c r="AM886" s="2" t="s">
        <v>52</v>
      </c>
    </row>
    <row r="887" spans="1:39" x14ac:dyDescent="0.45">
      <c r="A887" s="2" t="s">
        <v>8500</v>
      </c>
      <c r="B887" s="2"/>
      <c r="C887" s="2" t="s">
        <v>8502</v>
      </c>
      <c r="D887" s="2" t="s">
        <v>8504</v>
      </c>
      <c r="E887" s="25"/>
      <c r="F887" s="21"/>
      <c r="G887" s="42" t="s">
        <v>28000</v>
      </c>
      <c r="H887" s="2" t="s">
        <v>7865</v>
      </c>
      <c r="I887" s="2" t="s">
        <v>8508</v>
      </c>
      <c r="J887" s="2" t="s">
        <v>8501</v>
      </c>
      <c r="K887" s="2" t="s">
        <v>8503</v>
      </c>
      <c r="L887" s="2" t="s">
        <v>8505</v>
      </c>
      <c r="M887" s="2" t="s">
        <v>8505</v>
      </c>
      <c r="N887" s="2" t="s">
        <v>8506</v>
      </c>
      <c r="O887" s="2" t="s">
        <v>221</v>
      </c>
      <c r="P887" s="2" t="s">
        <v>8507</v>
      </c>
      <c r="Q887" s="2" t="s">
        <v>8503</v>
      </c>
      <c r="R887" s="2"/>
      <c r="S887" s="2"/>
      <c r="T887" s="2"/>
      <c r="U887" s="2" t="s">
        <v>8506</v>
      </c>
      <c r="V887" s="2" t="s">
        <v>221</v>
      </c>
      <c r="W887" s="2" t="s">
        <v>8507</v>
      </c>
      <c r="X887" s="2" t="s">
        <v>1271</v>
      </c>
      <c r="Y887" s="2" t="s">
        <v>44</v>
      </c>
      <c r="Z887" s="2"/>
      <c r="AA887" s="2" t="s">
        <v>3527</v>
      </c>
      <c r="AB887" s="2" t="s">
        <v>46</v>
      </c>
      <c r="AC887" s="2" t="s">
        <v>3527</v>
      </c>
      <c r="AE887" s="2" t="s">
        <v>48</v>
      </c>
      <c r="AF887" s="2" t="s">
        <v>49</v>
      </c>
      <c r="AG887" s="2">
        <v>100</v>
      </c>
      <c r="AH887" s="2">
        <v>75</v>
      </c>
      <c r="AJ887" s="2" t="s">
        <v>8509</v>
      </c>
      <c r="AK887" s="2"/>
      <c r="AL887" s="2"/>
      <c r="AM887" s="2" t="s">
        <v>52</v>
      </c>
    </row>
    <row r="888" spans="1:39" x14ac:dyDescent="0.45">
      <c r="A888" s="2" t="s">
        <v>8510</v>
      </c>
      <c r="B888" s="2"/>
      <c r="C888" s="2" t="s">
        <v>8512</v>
      </c>
      <c r="D888" s="2" t="s">
        <v>8514</v>
      </c>
      <c r="E888" s="25"/>
      <c r="F888" s="21"/>
      <c r="G888" s="42" t="s">
        <v>28000</v>
      </c>
      <c r="H888" s="2" t="s">
        <v>7865</v>
      </c>
      <c r="I888" s="2" t="s">
        <v>8517</v>
      </c>
      <c r="J888" s="2" t="s">
        <v>8511</v>
      </c>
      <c r="K888" s="2" t="s">
        <v>8513</v>
      </c>
      <c r="L888" s="2" t="s">
        <v>8515</v>
      </c>
      <c r="M888" s="2" t="s">
        <v>8515</v>
      </c>
      <c r="N888" s="2" t="s">
        <v>6029</v>
      </c>
      <c r="O888" s="2" t="s">
        <v>278</v>
      </c>
      <c r="P888" s="2" t="s">
        <v>8516</v>
      </c>
      <c r="Q888" s="2" t="s">
        <v>8513</v>
      </c>
      <c r="R888" s="2"/>
      <c r="S888" s="2"/>
      <c r="T888" s="2"/>
      <c r="U888" s="2" t="s">
        <v>6029</v>
      </c>
      <c r="V888" s="2" t="s">
        <v>278</v>
      </c>
      <c r="W888" s="2" t="s">
        <v>8516</v>
      </c>
      <c r="X888" s="2" t="s">
        <v>7438</v>
      </c>
      <c r="Y888" s="2" t="s">
        <v>44</v>
      </c>
      <c r="Z888" s="2"/>
      <c r="AA888" s="2" t="s">
        <v>3527</v>
      </c>
      <c r="AB888" s="2" t="s">
        <v>46</v>
      </c>
      <c r="AC888" s="2" t="s">
        <v>3527</v>
      </c>
      <c r="AE888" s="2" t="s">
        <v>48</v>
      </c>
      <c r="AF888" s="2" t="s">
        <v>49</v>
      </c>
      <c r="AG888" s="2">
        <v>100</v>
      </c>
      <c r="AH888" s="2">
        <v>75</v>
      </c>
      <c r="AJ888" s="2" t="s">
        <v>8518</v>
      </c>
      <c r="AK888" s="2"/>
      <c r="AL888" s="2"/>
      <c r="AM888" s="2" t="s">
        <v>52</v>
      </c>
    </row>
    <row r="889" spans="1:39" x14ac:dyDescent="0.45">
      <c r="A889" s="2" t="s">
        <v>8519</v>
      </c>
      <c r="B889" s="2"/>
      <c r="C889" s="2" t="s">
        <v>8521</v>
      </c>
      <c r="D889" s="2" t="s">
        <v>8523</v>
      </c>
      <c r="E889" s="25"/>
      <c r="F889" s="21"/>
      <c r="G889" s="42" t="s">
        <v>28000</v>
      </c>
      <c r="H889" s="2" t="s">
        <v>7865</v>
      </c>
      <c r="I889" s="2" t="s">
        <v>8527</v>
      </c>
      <c r="J889" s="2" t="s">
        <v>8520</v>
      </c>
      <c r="K889" s="2" t="s">
        <v>8522</v>
      </c>
      <c r="L889" s="2" t="s">
        <v>8524</v>
      </c>
      <c r="M889" s="2" t="s">
        <v>8524</v>
      </c>
      <c r="N889" s="2" t="s">
        <v>8431</v>
      </c>
      <c r="O889" s="2" t="s">
        <v>175</v>
      </c>
      <c r="P889" s="2" t="s">
        <v>176</v>
      </c>
      <c r="Q889" s="2" t="s">
        <v>8525</v>
      </c>
      <c r="R889" s="2"/>
      <c r="S889" s="2"/>
      <c r="T889" s="2"/>
      <c r="U889" s="2" t="s">
        <v>8431</v>
      </c>
      <c r="V889" s="2" t="s">
        <v>175</v>
      </c>
      <c r="W889" s="2" t="s">
        <v>176</v>
      </c>
      <c r="X889" s="2" t="s">
        <v>8526</v>
      </c>
      <c r="Y889" s="2" t="s">
        <v>44</v>
      </c>
      <c r="Z889" s="2"/>
      <c r="AA889" s="2" t="s">
        <v>3527</v>
      </c>
      <c r="AB889" s="2" t="s">
        <v>46</v>
      </c>
      <c r="AC889" s="2" t="s">
        <v>3527</v>
      </c>
      <c r="AE889" s="2" t="s">
        <v>48</v>
      </c>
      <c r="AF889" s="2" t="s">
        <v>49</v>
      </c>
      <c r="AG889" s="2">
        <v>100</v>
      </c>
      <c r="AH889" s="2">
        <v>75</v>
      </c>
      <c r="AJ889" s="2" t="s">
        <v>8528</v>
      </c>
      <c r="AK889" s="2"/>
      <c r="AL889" s="2"/>
      <c r="AM889" s="2" t="s">
        <v>52</v>
      </c>
    </row>
    <row r="890" spans="1:39" x14ac:dyDescent="0.45">
      <c r="A890" s="2" t="s">
        <v>8529</v>
      </c>
      <c r="B890" s="2"/>
      <c r="C890" s="2" t="s">
        <v>8531</v>
      </c>
      <c r="D890" s="2" t="s">
        <v>8533</v>
      </c>
      <c r="E890" s="25"/>
      <c r="F890" s="21"/>
      <c r="G890" s="42" t="s">
        <v>28000</v>
      </c>
      <c r="H890" s="2" t="s">
        <v>7865</v>
      </c>
      <c r="I890" s="2" t="s">
        <v>8537</v>
      </c>
      <c r="J890" s="2" t="s">
        <v>8530</v>
      </c>
      <c r="K890" s="2" t="s">
        <v>8532</v>
      </c>
      <c r="L890" s="2" t="s">
        <v>8534</v>
      </c>
      <c r="M890" s="2" t="s">
        <v>8534</v>
      </c>
      <c r="N890" s="2" t="s">
        <v>8535</v>
      </c>
      <c r="O890" s="2" t="s">
        <v>60</v>
      </c>
      <c r="P890" s="2" t="s">
        <v>8536</v>
      </c>
      <c r="Q890" s="2"/>
      <c r="R890" s="2"/>
      <c r="S890" s="2"/>
      <c r="T890" s="2"/>
      <c r="U890" s="2"/>
      <c r="V890" s="2"/>
      <c r="W890" s="2"/>
      <c r="X890" s="2" t="s">
        <v>5421</v>
      </c>
      <c r="Y890" s="2" t="s">
        <v>44</v>
      </c>
      <c r="Z890" s="2"/>
      <c r="AA890" s="2" t="s">
        <v>3527</v>
      </c>
      <c r="AB890" s="2" t="s">
        <v>46</v>
      </c>
      <c r="AC890" s="2" t="s">
        <v>3527</v>
      </c>
      <c r="AE890" s="2" t="s">
        <v>48</v>
      </c>
      <c r="AF890" s="2" t="s">
        <v>49</v>
      </c>
      <c r="AG890" s="2">
        <v>100</v>
      </c>
      <c r="AH890" s="2">
        <v>75</v>
      </c>
      <c r="AJ890" s="2" t="s">
        <v>8538</v>
      </c>
      <c r="AK890" s="2"/>
      <c r="AL890" s="2"/>
      <c r="AM890" s="2" t="s">
        <v>52</v>
      </c>
    </row>
    <row r="891" spans="1:39" x14ac:dyDescent="0.45">
      <c r="A891" s="2" t="s">
        <v>8539</v>
      </c>
      <c r="B891" s="2"/>
      <c r="C891" s="2" t="s">
        <v>8541</v>
      </c>
      <c r="D891" s="2" t="s">
        <v>8543</v>
      </c>
      <c r="E891" s="25"/>
      <c r="F891" s="21"/>
      <c r="G891" s="42" t="s">
        <v>28000</v>
      </c>
      <c r="H891" s="2" t="s">
        <v>7865</v>
      </c>
      <c r="I891" s="2" t="s">
        <v>8546</v>
      </c>
      <c r="J891" s="2" t="s">
        <v>8540</v>
      </c>
      <c r="K891" s="2" t="s">
        <v>8542</v>
      </c>
      <c r="L891" s="2" t="s">
        <v>3562</v>
      </c>
      <c r="M891" s="2" t="s">
        <v>3562</v>
      </c>
      <c r="N891" s="2" t="s">
        <v>8544</v>
      </c>
      <c r="O891" s="2" t="s">
        <v>73</v>
      </c>
      <c r="P891" s="2" t="s">
        <v>8545</v>
      </c>
      <c r="Q891" s="2"/>
      <c r="R891" s="2"/>
      <c r="S891" s="2"/>
      <c r="T891" s="2"/>
      <c r="U891" s="2"/>
      <c r="V891" s="2"/>
      <c r="W891" s="2"/>
      <c r="X891" s="2" t="s">
        <v>743</v>
      </c>
      <c r="Y891" s="2" t="s">
        <v>44</v>
      </c>
      <c r="Z891" s="2"/>
      <c r="AA891" s="2" t="s">
        <v>3527</v>
      </c>
      <c r="AB891" s="2" t="s">
        <v>46</v>
      </c>
      <c r="AC891" s="2" t="s">
        <v>3527</v>
      </c>
      <c r="AE891" s="2" t="s">
        <v>48</v>
      </c>
      <c r="AF891" s="2" t="s">
        <v>49</v>
      </c>
      <c r="AG891" s="2">
        <v>100</v>
      </c>
      <c r="AH891" s="2">
        <v>75</v>
      </c>
      <c r="AJ891" s="2" t="s">
        <v>8547</v>
      </c>
      <c r="AK891" s="2"/>
      <c r="AL891" s="2"/>
      <c r="AM891" s="2" t="s">
        <v>52</v>
      </c>
    </row>
    <row r="892" spans="1:39" x14ac:dyDescent="0.45">
      <c r="A892" s="2" t="s">
        <v>8548</v>
      </c>
      <c r="B892" s="2"/>
      <c r="C892" s="2" t="s">
        <v>8550</v>
      </c>
      <c r="D892" s="2" t="s">
        <v>8552</v>
      </c>
      <c r="E892" s="25"/>
      <c r="F892" s="21"/>
      <c r="G892" s="42" t="s">
        <v>28000</v>
      </c>
      <c r="H892" s="2" t="s">
        <v>7865</v>
      </c>
      <c r="I892" s="2" t="s">
        <v>8555</v>
      </c>
      <c r="J892" s="2" t="s">
        <v>8549</v>
      </c>
      <c r="K892" s="2" t="s">
        <v>8551</v>
      </c>
      <c r="L892" s="2" t="s">
        <v>8553</v>
      </c>
      <c r="M892" s="2" t="s">
        <v>8553</v>
      </c>
      <c r="N892" s="2" t="s">
        <v>5821</v>
      </c>
      <c r="O892" s="2" t="s">
        <v>278</v>
      </c>
      <c r="P892" s="2" t="s">
        <v>8554</v>
      </c>
      <c r="Q892" s="2" t="s">
        <v>8551</v>
      </c>
      <c r="R892" s="2"/>
      <c r="S892" s="2"/>
      <c r="T892" s="2"/>
      <c r="U892" s="2" t="s">
        <v>5821</v>
      </c>
      <c r="V892" s="2" t="s">
        <v>278</v>
      </c>
      <c r="W892" s="2" t="s">
        <v>8554</v>
      </c>
      <c r="X892" s="2" t="s">
        <v>743</v>
      </c>
      <c r="Y892" s="2" t="s">
        <v>44</v>
      </c>
      <c r="Z892" s="2"/>
      <c r="AA892" s="2" t="s">
        <v>3527</v>
      </c>
      <c r="AB892" s="2" t="s">
        <v>46</v>
      </c>
      <c r="AC892" s="2" t="s">
        <v>3527</v>
      </c>
      <c r="AE892" s="2" t="s">
        <v>48</v>
      </c>
      <c r="AF892" s="2" t="s">
        <v>49</v>
      </c>
      <c r="AG892" s="2">
        <v>100</v>
      </c>
      <c r="AH892" s="2">
        <v>75</v>
      </c>
      <c r="AJ892" s="2" t="s">
        <v>8556</v>
      </c>
      <c r="AK892" s="2"/>
      <c r="AL892" s="2"/>
      <c r="AM892" s="2" t="s">
        <v>52</v>
      </c>
    </row>
    <row r="893" spans="1:39" x14ac:dyDescent="0.45">
      <c r="A893" s="2" t="s">
        <v>8557</v>
      </c>
      <c r="B893" s="2"/>
      <c r="C893" s="2" t="s">
        <v>8559</v>
      </c>
      <c r="D893" s="2" t="s">
        <v>8561</v>
      </c>
      <c r="E893" s="25"/>
      <c r="F893" s="21"/>
      <c r="G893" s="42" t="s">
        <v>28000</v>
      </c>
      <c r="H893" s="2" t="s">
        <v>7865</v>
      </c>
      <c r="I893" s="2" t="s">
        <v>8564</v>
      </c>
      <c r="J893" s="2" t="s">
        <v>8558</v>
      </c>
      <c r="K893" s="2" t="s">
        <v>8560</v>
      </c>
      <c r="L893" s="2" t="s">
        <v>8562</v>
      </c>
      <c r="M893" s="2" t="s">
        <v>8562</v>
      </c>
      <c r="N893" s="2" t="s">
        <v>1208</v>
      </c>
      <c r="O893" s="2" t="s">
        <v>1209</v>
      </c>
      <c r="P893" s="2" t="s">
        <v>1210</v>
      </c>
      <c r="Q893" s="2" t="s">
        <v>8563</v>
      </c>
      <c r="R893" s="2"/>
      <c r="S893" s="2"/>
      <c r="T893" s="2"/>
      <c r="U893" s="2" t="s">
        <v>1208</v>
      </c>
      <c r="V893" s="2" t="s">
        <v>1209</v>
      </c>
      <c r="W893" s="2" t="s">
        <v>1210</v>
      </c>
      <c r="X893" s="2" t="s">
        <v>6193</v>
      </c>
      <c r="Y893" s="2" t="s">
        <v>44</v>
      </c>
      <c r="Z893" s="2"/>
      <c r="AA893" s="2" t="s">
        <v>3527</v>
      </c>
      <c r="AB893" s="2" t="s">
        <v>46</v>
      </c>
      <c r="AC893" s="2" t="s">
        <v>3527</v>
      </c>
      <c r="AE893" s="2" t="s">
        <v>48</v>
      </c>
      <c r="AF893" s="2" t="s">
        <v>49</v>
      </c>
      <c r="AG893" s="2">
        <v>100</v>
      </c>
      <c r="AH893" s="2">
        <v>75</v>
      </c>
      <c r="AJ893" s="2" t="s">
        <v>8565</v>
      </c>
      <c r="AK893" s="2"/>
      <c r="AL893" s="2"/>
      <c r="AM893" s="2" t="s">
        <v>52</v>
      </c>
    </row>
    <row r="894" spans="1:39" x14ac:dyDescent="0.45">
      <c r="A894" s="2" t="s">
        <v>8566</v>
      </c>
      <c r="B894" s="2"/>
      <c r="C894" s="2" t="s">
        <v>8568</v>
      </c>
      <c r="D894" s="2" t="s">
        <v>8570</v>
      </c>
      <c r="E894" s="25"/>
      <c r="F894" s="21"/>
      <c r="G894" s="42" t="s">
        <v>28000</v>
      </c>
      <c r="H894" s="2" t="s">
        <v>7865</v>
      </c>
      <c r="I894" s="2" t="s">
        <v>8572</v>
      </c>
      <c r="J894" s="2" t="s">
        <v>8567</v>
      </c>
      <c r="K894" s="2" t="s">
        <v>8569</v>
      </c>
      <c r="L894" s="2" t="s">
        <v>709</v>
      </c>
      <c r="M894" s="2" t="s">
        <v>709</v>
      </c>
      <c r="N894" s="2" t="s">
        <v>1148</v>
      </c>
      <c r="O894" s="2" t="s">
        <v>278</v>
      </c>
      <c r="P894" s="2" t="s">
        <v>8358</v>
      </c>
      <c r="Q894" s="2" t="s">
        <v>8571</v>
      </c>
      <c r="R894" s="2"/>
      <c r="S894" s="2"/>
      <c r="T894" s="2"/>
      <c r="U894" s="2" t="s">
        <v>174</v>
      </c>
      <c r="V894" s="2" t="s">
        <v>175</v>
      </c>
      <c r="W894" s="2" t="s">
        <v>176</v>
      </c>
      <c r="X894" s="2" t="s">
        <v>5566</v>
      </c>
      <c r="Y894" s="2" t="s">
        <v>44</v>
      </c>
      <c r="Z894" s="2"/>
      <c r="AA894" s="2" t="s">
        <v>3527</v>
      </c>
      <c r="AB894" s="2" t="s">
        <v>46</v>
      </c>
      <c r="AC894" s="2" t="s">
        <v>3527</v>
      </c>
      <c r="AE894" s="2" t="s">
        <v>48</v>
      </c>
      <c r="AF894" s="2" t="s">
        <v>49</v>
      </c>
      <c r="AG894" s="2">
        <v>100</v>
      </c>
      <c r="AH894" s="2">
        <v>75</v>
      </c>
      <c r="AJ894" s="2" t="s">
        <v>8573</v>
      </c>
      <c r="AK894" s="2"/>
      <c r="AL894" s="2"/>
      <c r="AM894" s="2" t="s">
        <v>52</v>
      </c>
    </row>
    <row r="895" spans="1:39" x14ac:dyDescent="0.45">
      <c r="A895" s="2" t="s">
        <v>8574</v>
      </c>
      <c r="B895" s="2"/>
      <c r="C895" s="2" t="s">
        <v>8576</v>
      </c>
      <c r="D895" s="2" t="s">
        <v>8578</v>
      </c>
      <c r="E895" s="25"/>
      <c r="F895" s="21"/>
      <c r="G895" s="42" t="s">
        <v>28000</v>
      </c>
      <c r="H895" s="2" t="s">
        <v>7865</v>
      </c>
      <c r="I895" s="2" t="s">
        <v>8581</v>
      </c>
      <c r="J895" s="2" t="s">
        <v>8575</v>
      </c>
      <c r="K895" s="2" t="s">
        <v>8577</v>
      </c>
      <c r="L895" s="2" t="s">
        <v>709</v>
      </c>
      <c r="M895" s="2" t="s">
        <v>709</v>
      </c>
      <c r="N895" s="2" t="s">
        <v>5821</v>
      </c>
      <c r="O895" s="2" t="s">
        <v>278</v>
      </c>
      <c r="P895" s="2" t="s">
        <v>8579</v>
      </c>
      <c r="Q895" s="2" t="s">
        <v>8577</v>
      </c>
      <c r="R895" s="2"/>
      <c r="S895" s="2"/>
      <c r="T895" s="2"/>
      <c r="U895" s="2" t="s">
        <v>5821</v>
      </c>
      <c r="V895" s="2" t="s">
        <v>278</v>
      </c>
      <c r="W895" s="2" t="s">
        <v>8579</v>
      </c>
      <c r="X895" s="2" t="s">
        <v>8580</v>
      </c>
      <c r="Y895" s="2" t="s">
        <v>44</v>
      </c>
      <c r="Z895" s="2"/>
      <c r="AA895" s="2" t="s">
        <v>3527</v>
      </c>
      <c r="AB895" s="2" t="s">
        <v>46</v>
      </c>
      <c r="AC895" s="2" t="s">
        <v>3527</v>
      </c>
      <c r="AE895" s="2" t="s">
        <v>48</v>
      </c>
      <c r="AF895" s="2" t="s">
        <v>49</v>
      </c>
      <c r="AG895" s="2">
        <v>100</v>
      </c>
      <c r="AH895" s="2">
        <v>75</v>
      </c>
      <c r="AJ895" s="2" t="s">
        <v>8582</v>
      </c>
      <c r="AK895" s="2"/>
      <c r="AL895" s="2"/>
      <c r="AM895" s="2" t="s">
        <v>52</v>
      </c>
    </row>
    <row r="896" spans="1:39" x14ac:dyDescent="0.45">
      <c r="A896" s="2" t="s">
        <v>8583</v>
      </c>
      <c r="B896" s="2"/>
      <c r="C896" s="2" t="s">
        <v>8585</v>
      </c>
      <c r="D896" s="2" t="s">
        <v>8587</v>
      </c>
      <c r="E896" s="25"/>
      <c r="F896" s="21"/>
      <c r="G896" s="42" t="s">
        <v>28000</v>
      </c>
      <c r="H896" s="2" t="s">
        <v>7865</v>
      </c>
      <c r="I896" s="2" t="s">
        <v>8591</v>
      </c>
      <c r="J896" s="2" t="s">
        <v>8584</v>
      </c>
      <c r="K896" s="2" t="s">
        <v>8586</v>
      </c>
      <c r="L896" s="2" t="s">
        <v>8588</v>
      </c>
      <c r="M896" s="2" t="s">
        <v>8588</v>
      </c>
      <c r="N896" s="2" t="s">
        <v>8369</v>
      </c>
      <c r="O896" s="2" t="s">
        <v>1112</v>
      </c>
      <c r="P896" s="2" t="s">
        <v>8589</v>
      </c>
      <c r="Q896" s="2" t="s">
        <v>8590</v>
      </c>
      <c r="R896" s="2"/>
      <c r="S896" s="2"/>
      <c r="T896" s="2"/>
      <c r="U896" s="2" t="s">
        <v>8369</v>
      </c>
      <c r="V896" s="2" t="s">
        <v>1112</v>
      </c>
      <c r="W896" s="2" t="s">
        <v>8589</v>
      </c>
      <c r="X896" s="2" t="s">
        <v>801</v>
      </c>
      <c r="Y896" s="2" t="s">
        <v>44</v>
      </c>
      <c r="Z896" s="2"/>
      <c r="AA896" s="2" t="s">
        <v>3527</v>
      </c>
      <c r="AB896" s="2" t="s">
        <v>46</v>
      </c>
      <c r="AC896" s="2" t="s">
        <v>3527</v>
      </c>
      <c r="AE896" s="2" t="s">
        <v>48</v>
      </c>
      <c r="AF896" s="2" t="s">
        <v>49</v>
      </c>
      <c r="AG896" s="2">
        <v>100</v>
      </c>
      <c r="AH896" s="2">
        <v>75</v>
      </c>
      <c r="AJ896" s="2" t="s">
        <v>8592</v>
      </c>
      <c r="AK896" s="2"/>
      <c r="AL896" s="2"/>
      <c r="AM896" s="2" t="s">
        <v>52</v>
      </c>
    </row>
    <row r="897" spans="1:39" x14ac:dyDescent="0.45">
      <c r="A897" s="2" t="s">
        <v>8593</v>
      </c>
      <c r="B897" s="2"/>
      <c r="C897" s="2" t="s">
        <v>8595</v>
      </c>
      <c r="D897" s="2" t="s">
        <v>8597</v>
      </c>
      <c r="E897" s="25"/>
      <c r="F897" s="21"/>
      <c r="G897" s="42" t="s">
        <v>28000</v>
      </c>
      <c r="H897" s="2" t="s">
        <v>7865</v>
      </c>
      <c r="I897" s="2" t="s">
        <v>8602</v>
      </c>
      <c r="J897" s="2" t="s">
        <v>8594</v>
      </c>
      <c r="K897" s="2" t="s">
        <v>8596</v>
      </c>
      <c r="L897" s="2" t="s">
        <v>8598</v>
      </c>
      <c r="M897" s="2" t="s">
        <v>8598</v>
      </c>
      <c r="N897" s="2" t="s">
        <v>8599</v>
      </c>
      <c r="O897" s="2" t="s">
        <v>40</v>
      </c>
      <c r="P897" s="2" t="s">
        <v>8600</v>
      </c>
      <c r="Q897" s="2"/>
      <c r="R897" s="2"/>
      <c r="S897" s="2"/>
      <c r="T897" s="2"/>
      <c r="U897" s="2"/>
      <c r="V897" s="2"/>
      <c r="W897" s="2"/>
      <c r="X897" s="2" t="s">
        <v>8601</v>
      </c>
      <c r="Y897" s="2" t="s">
        <v>44</v>
      </c>
      <c r="Z897" s="2"/>
      <c r="AA897" s="2" t="s">
        <v>3527</v>
      </c>
      <c r="AB897" s="2" t="s">
        <v>46</v>
      </c>
      <c r="AC897" s="2" t="s">
        <v>3527</v>
      </c>
      <c r="AE897" s="2" t="s">
        <v>48</v>
      </c>
      <c r="AF897" s="2" t="s">
        <v>49</v>
      </c>
      <c r="AG897" s="2">
        <v>100</v>
      </c>
      <c r="AH897" s="2">
        <v>75</v>
      </c>
      <c r="AJ897" s="2" t="s">
        <v>8603</v>
      </c>
      <c r="AK897" s="2"/>
      <c r="AL897" s="2"/>
      <c r="AM897" s="2" t="s">
        <v>52</v>
      </c>
    </row>
    <row r="898" spans="1:39" x14ac:dyDescent="0.45">
      <c r="A898" s="2" t="s">
        <v>8604</v>
      </c>
      <c r="B898" s="2"/>
      <c r="C898" s="7" t="s">
        <v>27997</v>
      </c>
      <c r="D898" s="2" t="s">
        <v>8607</v>
      </c>
      <c r="E898" s="25"/>
      <c r="F898" s="21"/>
      <c r="G898" s="42" t="s">
        <v>28000</v>
      </c>
      <c r="H898" s="2" t="s">
        <v>7865</v>
      </c>
      <c r="I898" s="2" t="s">
        <v>8611</v>
      </c>
      <c r="J898" s="2" t="s">
        <v>8605</v>
      </c>
      <c r="K898" s="2" t="s">
        <v>8606</v>
      </c>
      <c r="L898" s="2" t="s">
        <v>8608</v>
      </c>
      <c r="M898" s="2" t="s">
        <v>8608</v>
      </c>
      <c r="N898" s="2" t="s">
        <v>1115</v>
      </c>
      <c r="O898" s="2" t="s">
        <v>1112</v>
      </c>
      <c r="P898" s="2" t="s">
        <v>8609</v>
      </c>
      <c r="Q898" s="2"/>
      <c r="R898" s="2"/>
      <c r="S898" s="2"/>
      <c r="T898" s="2"/>
      <c r="U898" s="2"/>
      <c r="V898" s="2"/>
      <c r="W898" s="2"/>
      <c r="X898" s="2" t="s">
        <v>8610</v>
      </c>
      <c r="Y898" s="2" t="s">
        <v>44</v>
      </c>
      <c r="Z898" s="2"/>
      <c r="AA898" s="2" t="s">
        <v>3527</v>
      </c>
      <c r="AB898" s="2" t="s">
        <v>46</v>
      </c>
      <c r="AC898" s="2" t="s">
        <v>3527</v>
      </c>
      <c r="AE898" s="2" t="s">
        <v>48</v>
      </c>
      <c r="AF898" s="2" t="s">
        <v>49</v>
      </c>
      <c r="AG898" s="2">
        <v>85</v>
      </c>
      <c r="AH898" s="2">
        <v>75</v>
      </c>
      <c r="AJ898" s="2" t="s">
        <v>8612</v>
      </c>
      <c r="AK898" s="2"/>
      <c r="AL898" s="2"/>
      <c r="AM898" s="2" t="s">
        <v>52</v>
      </c>
    </row>
    <row r="899" spans="1:39" x14ac:dyDescent="0.45">
      <c r="A899" s="2" t="s">
        <v>8613</v>
      </c>
      <c r="B899" s="2"/>
      <c r="C899" s="2" t="s">
        <v>8615</v>
      </c>
      <c r="D899" s="2" t="s">
        <v>8617</v>
      </c>
      <c r="E899" s="25"/>
      <c r="F899" s="21"/>
      <c r="G899" s="42" t="s">
        <v>28000</v>
      </c>
      <c r="H899" s="2" t="s">
        <v>7865</v>
      </c>
      <c r="I899" s="2" t="s">
        <v>8621</v>
      </c>
      <c r="J899" s="2" t="s">
        <v>8614</v>
      </c>
      <c r="K899" s="2" t="s">
        <v>8616</v>
      </c>
      <c r="L899" s="2" t="s">
        <v>8618</v>
      </c>
      <c r="M899" s="2"/>
      <c r="N899" s="2" t="s">
        <v>1235</v>
      </c>
      <c r="O899" s="2" t="s">
        <v>40</v>
      </c>
      <c r="P899" s="2" t="s">
        <v>8619</v>
      </c>
      <c r="Q899" s="2" t="s">
        <v>8620</v>
      </c>
      <c r="R899" s="2"/>
      <c r="S899" s="2"/>
      <c r="T899" s="2"/>
      <c r="U899" s="2" t="s">
        <v>1235</v>
      </c>
      <c r="V899" s="2" t="s">
        <v>40</v>
      </c>
      <c r="W899" s="2" t="s">
        <v>8619</v>
      </c>
      <c r="X899" s="2" t="s">
        <v>245</v>
      </c>
      <c r="Y899" s="2" t="s">
        <v>44</v>
      </c>
      <c r="Z899" s="2"/>
      <c r="AA899" s="2" t="s">
        <v>821</v>
      </c>
      <c r="AB899" s="2" t="s">
        <v>46</v>
      </c>
      <c r="AC899" s="2" t="s">
        <v>821</v>
      </c>
      <c r="AE899" s="2" t="s">
        <v>48</v>
      </c>
      <c r="AF899" s="2" t="s">
        <v>7864</v>
      </c>
      <c r="AG899" s="2">
        <v>100</v>
      </c>
      <c r="AH899" s="2">
        <v>72</v>
      </c>
      <c r="AJ899" s="2" t="s">
        <v>8622</v>
      </c>
      <c r="AK899" s="2"/>
      <c r="AL899" s="2"/>
      <c r="AM899" s="2" t="s">
        <v>52</v>
      </c>
    </row>
    <row r="900" spans="1:39" x14ac:dyDescent="0.45">
      <c r="A900" s="2" t="s">
        <v>8623</v>
      </c>
      <c r="B900" s="2"/>
      <c r="C900" s="2" t="s">
        <v>8625</v>
      </c>
      <c r="D900" s="2" t="s">
        <v>8627</v>
      </c>
      <c r="E900" s="25"/>
      <c r="F900" s="21"/>
      <c r="G900" s="42" t="s">
        <v>28000</v>
      </c>
      <c r="H900" s="2" t="s">
        <v>7865</v>
      </c>
      <c r="I900" s="2" t="s">
        <v>8630</v>
      </c>
      <c r="J900" s="2" t="s">
        <v>8624</v>
      </c>
      <c r="K900" s="2" t="s">
        <v>8626</v>
      </c>
      <c r="L900" s="2" t="s">
        <v>8628</v>
      </c>
      <c r="M900" s="2"/>
      <c r="N900" s="2" t="s">
        <v>1115</v>
      </c>
      <c r="O900" s="2" t="s">
        <v>1112</v>
      </c>
      <c r="P900" s="2" t="s">
        <v>1113</v>
      </c>
      <c r="Q900" s="2" t="s">
        <v>8626</v>
      </c>
      <c r="R900" s="2"/>
      <c r="S900" s="2"/>
      <c r="T900" s="2"/>
      <c r="U900" s="2" t="s">
        <v>1115</v>
      </c>
      <c r="V900" s="2" t="s">
        <v>1112</v>
      </c>
      <c r="W900" s="2" t="s">
        <v>1113</v>
      </c>
      <c r="X900" s="2" t="s">
        <v>8629</v>
      </c>
      <c r="Y900" s="2" t="s">
        <v>44</v>
      </c>
      <c r="Z900" s="2"/>
      <c r="AA900" s="2" t="s">
        <v>821</v>
      </c>
      <c r="AB900" s="2" t="s">
        <v>46</v>
      </c>
      <c r="AC900" s="2" t="s">
        <v>821</v>
      </c>
      <c r="AE900" s="2" t="s">
        <v>48</v>
      </c>
      <c r="AF900" s="2" t="s">
        <v>7864</v>
      </c>
      <c r="AG900" s="2">
        <v>100</v>
      </c>
      <c r="AH900" s="2">
        <v>72</v>
      </c>
      <c r="AJ900" s="2" t="s">
        <v>8631</v>
      </c>
      <c r="AK900" s="2"/>
      <c r="AL900" s="2"/>
      <c r="AM900" s="2" t="s">
        <v>52</v>
      </c>
    </row>
    <row r="901" spans="1:39" x14ac:dyDescent="0.45">
      <c r="A901" s="2" t="s">
        <v>8632</v>
      </c>
      <c r="B901" s="2"/>
      <c r="C901" s="2" t="s">
        <v>8634</v>
      </c>
      <c r="D901" s="2" t="s">
        <v>8636</v>
      </c>
      <c r="E901" s="25"/>
      <c r="F901" s="21"/>
      <c r="G901" s="42" t="s">
        <v>28000</v>
      </c>
      <c r="H901" s="2" t="s">
        <v>7865</v>
      </c>
      <c r="I901" s="2" t="s">
        <v>8640</v>
      </c>
      <c r="J901" s="2" t="s">
        <v>8633</v>
      </c>
      <c r="K901" s="2" t="s">
        <v>8635</v>
      </c>
      <c r="L901" s="2"/>
      <c r="M901" s="2"/>
      <c r="N901" s="2" t="s">
        <v>1136</v>
      </c>
      <c r="O901" s="2" t="s">
        <v>1137</v>
      </c>
      <c r="P901" s="2" t="s">
        <v>8637</v>
      </c>
      <c r="Q901" s="2" t="s">
        <v>8638</v>
      </c>
      <c r="R901" s="2"/>
      <c r="S901" s="2"/>
      <c r="T901" s="2"/>
      <c r="U901" s="2" t="s">
        <v>277</v>
      </c>
      <c r="V901" s="2" t="s">
        <v>278</v>
      </c>
      <c r="W901" s="2" t="s">
        <v>1060</v>
      </c>
      <c r="X901" s="2" t="s">
        <v>8639</v>
      </c>
      <c r="Y901" s="2" t="s">
        <v>44</v>
      </c>
      <c r="Z901" s="2"/>
      <c r="AA901" s="2" t="s">
        <v>821</v>
      </c>
      <c r="AB901" s="2" t="s">
        <v>46</v>
      </c>
      <c r="AC901" s="2" t="s">
        <v>821</v>
      </c>
      <c r="AE901" s="2" t="s">
        <v>48</v>
      </c>
      <c r="AF901" s="2" t="s">
        <v>49</v>
      </c>
      <c r="AG901" s="2">
        <v>90</v>
      </c>
      <c r="AH901" s="2">
        <v>72</v>
      </c>
      <c r="AJ901" s="2" t="s">
        <v>8641</v>
      </c>
      <c r="AK901" s="2"/>
      <c r="AL901" s="2"/>
      <c r="AM901" s="2" t="s">
        <v>52</v>
      </c>
    </row>
    <row r="902" spans="1:39" x14ac:dyDescent="0.45">
      <c r="A902" s="2" t="s">
        <v>8642</v>
      </c>
      <c r="B902" s="2"/>
      <c r="C902" s="2" t="s">
        <v>8644</v>
      </c>
      <c r="D902" s="2" t="s">
        <v>8646</v>
      </c>
      <c r="E902" s="25"/>
      <c r="F902" s="21"/>
      <c r="G902" s="42" t="s">
        <v>28000</v>
      </c>
      <c r="H902" s="2" t="s">
        <v>7865</v>
      </c>
      <c r="I902" s="2" t="s">
        <v>8650</v>
      </c>
      <c r="J902" s="2" t="s">
        <v>8643</v>
      </c>
      <c r="K902" s="2" t="s">
        <v>8645</v>
      </c>
      <c r="L902" s="2"/>
      <c r="M902" s="2"/>
      <c r="N902" s="2" t="s">
        <v>8647</v>
      </c>
      <c r="O902" s="2" t="s">
        <v>537</v>
      </c>
      <c r="P902" s="2" t="s">
        <v>8648</v>
      </c>
      <c r="Q902" s="2" t="s">
        <v>8645</v>
      </c>
      <c r="R902" s="2"/>
      <c r="S902" s="2"/>
      <c r="T902" s="2"/>
      <c r="U902" s="2" t="s">
        <v>8647</v>
      </c>
      <c r="V902" s="2" t="s">
        <v>537</v>
      </c>
      <c r="W902" s="2" t="s">
        <v>8648</v>
      </c>
      <c r="X902" s="2" t="s">
        <v>8649</v>
      </c>
      <c r="Y902" s="2" t="s">
        <v>44</v>
      </c>
      <c r="Z902" s="2"/>
      <c r="AA902" s="2" t="s">
        <v>821</v>
      </c>
      <c r="AB902" s="2" t="s">
        <v>46</v>
      </c>
      <c r="AC902" s="2" t="s">
        <v>821</v>
      </c>
      <c r="AE902" s="2" t="s">
        <v>48</v>
      </c>
      <c r="AF902" s="2" t="s">
        <v>49</v>
      </c>
      <c r="AG902" s="2">
        <v>90</v>
      </c>
      <c r="AH902" s="2">
        <v>72</v>
      </c>
      <c r="AJ902" s="2" t="s">
        <v>8651</v>
      </c>
      <c r="AK902" s="2"/>
      <c r="AL902" s="2"/>
      <c r="AM902" s="2" t="s">
        <v>52</v>
      </c>
    </row>
    <row r="903" spans="1:39" x14ac:dyDescent="0.45">
      <c r="A903" s="2" t="s">
        <v>8652</v>
      </c>
      <c r="B903" s="2"/>
      <c r="C903" s="2" t="s">
        <v>8654</v>
      </c>
      <c r="D903" s="2" t="s">
        <v>8656</v>
      </c>
      <c r="E903" s="25"/>
      <c r="F903" s="21"/>
      <c r="G903" s="42" t="s">
        <v>28000</v>
      </c>
      <c r="H903" s="2" t="s">
        <v>7865</v>
      </c>
      <c r="I903" s="2" t="s">
        <v>8660</v>
      </c>
      <c r="J903" s="2" t="s">
        <v>8653</v>
      </c>
      <c r="K903" s="2" t="s">
        <v>8655</v>
      </c>
      <c r="L903" s="2"/>
      <c r="M903" s="2"/>
      <c r="N903" s="2" t="s">
        <v>1115</v>
      </c>
      <c r="O903" s="2" t="s">
        <v>1112</v>
      </c>
      <c r="P903" s="2" t="s">
        <v>8657</v>
      </c>
      <c r="Q903" s="2" t="s">
        <v>8658</v>
      </c>
      <c r="R903" s="2"/>
      <c r="S903" s="2"/>
      <c r="T903" s="2"/>
      <c r="U903" s="2" t="s">
        <v>1115</v>
      </c>
      <c r="V903" s="2" t="s">
        <v>1112</v>
      </c>
      <c r="W903" s="2" t="s">
        <v>8657</v>
      </c>
      <c r="X903" s="2" t="s">
        <v>8659</v>
      </c>
      <c r="Y903" s="2" t="s">
        <v>44</v>
      </c>
      <c r="Z903" s="2"/>
      <c r="AA903" s="2" t="s">
        <v>821</v>
      </c>
      <c r="AB903" s="2" t="s">
        <v>46</v>
      </c>
      <c r="AC903" s="2" t="s">
        <v>821</v>
      </c>
      <c r="AE903" s="2" t="s">
        <v>48</v>
      </c>
      <c r="AF903" s="2" t="s">
        <v>49</v>
      </c>
      <c r="AG903" s="2">
        <v>90</v>
      </c>
      <c r="AH903" s="2">
        <v>72</v>
      </c>
      <c r="AJ903" s="2" t="s">
        <v>8661</v>
      </c>
      <c r="AK903" s="2"/>
      <c r="AL903" s="2"/>
      <c r="AM903" s="2" t="s">
        <v>52</v>
      </c>
    </row>
    <row r="904" spans="1:39" x14ac:dyDescent="0.45">
      <c r="A904" s="2" t="s">
        <v>8662</v>
      </c>
      <c r="B904" s="2"/>
      <c r="C904" s="2" t="s">
        <v>8664</v>
      </c>
      <c r="D904" s="2" t="s">
        <v>8666</v>
      </c>
      <c r="E904" s="25"/>
      <c r="F904" s="21"/>
      <c r="G904" s="42" t="s">
        <v>28000</v>
      </c>
      <c r="H904" s="2" t="s">
        <v>7865</v>
      </c>
      <c r="I904" s="2" t="s">
        <v>8668</v>
      </c>
      <c r="J904" s="2" t="s">
        <v>8663</v>
      </c>
      <c r="K904" s="2" t="s">
        <v>8665</v>
      </c>
      <c r="L904" s="2"/>
      <c r="M904" s="2"/>
      <c r="N904" s="2" t="s">
        <v>5821</v>
      </c>
      <c r="O904" s="2" t="s">
        <v>278</v>
      </c>
      <c r="P904" s="2" t="s">
        <v>6183</v>
      </c>
      <c r="Q904" s="2" t="s">
        <v>8665</v>
      </c>
      <c r="R904" s="2"/>
      <c r="S904" s="2"/>
      <c r="T904" s="2"/>
      <c r="U904" s="2" t="s">
        <v>5821</v>
      </c>
      <c r="V904" s="2" t="s">
        <v>278</v>
      </c>
      <c r="W904" s="2" t="s">
        <v>6183</v>
      </c>
      <c r="X904" s="2" t="s">
        <v>8667</v>
      </c>
      <c r="Y904" s="2" t="s">
        <v>44</v>
      </c>
      <c r="Z904" s="2"/>
      <c r="AA904" s="2" t="s">
        <v>821</v>
      </c>
      <c r="AB904" s="2" t="s">
        <v>46</v>
      </c>
      <c r="AC904" s="2" t="s">
        <v>821</v>
      </c>
      <c r="AE904" s="2" t="s">
        <v>48</v>
      </c>
      <c r="AF904" s="2" t="s">
        <v>49</v>
      </c>
      <c r="AG904" s="2">
        <v>90</v>
      </c>
      <c r="AH904" s="2">
        <v>72</v>
      </c>
      <c r="AJ904" s="2" t="s">
        <v>8669</v>
      </c>
      <c r="AK904" s="2"/>
      <c r="AL904" s="2"/>
      <c r="AM904" s="2" t="s">
        <v>52</v>
      </c>
    </row>
    <row r="905" spans="1:39" x14ac:dyDescent="0.45">
      <c r="A905" s="2" t="s">
        <v>8670</v>
      </c>
      <c r="B905" s="2"/>
      <c r="C905" s="7" t="s">
        <v>27979</v>
      </c>
      <c r="D905" s="2" t="s">
        <v>8673</v>
      </c>
      <c r="E905" s="25"/>
      <c r="F905" s="21"/>
      <c r="G905" s="42" t="s">
        <v>28000</v>
      </c>
      <c r="H905" s="2" t="s">
        <v>7865</v>
      </c>
      <c r="I905" s="2" t="s">
        <v>8675</v>
      </c>
      <c r="J905" s="2" t="s">
        <v>8671</v>
      </c>
      <c r="K905" s="2" t="s">
        <v>8672</v>
      </c>
      <c r="L905" s="2"/>
      <c r="M905" s="2"/>
      <c r="N905" s="2" t="s">
        <v>72</v>
      </c>
      <c r="O905" s="2" t="s">
        <v>73</v>
      </c>
      <c r="P905" s="2" t="s">
        <v>140</v>
      </c>
      <c r="Q905" s="2" t="s">
        <v>8674</v>
      </c>
      <c r="R905" s="2"/>
      <c r="S905" s="2"/>
      <c r="T905" s="2"/>
      <c r="U905" s="2" t="s">
        <v>72</v>
      </c>
      <c r="V905" s="2" t="s">
        <v>73</v>
      </c>
      <c r="W905" s="2" t="s">
        <v>140</v>
      </c>
      <c r="X905" s="2" t="s">
        <v>1399</v>
      </c>
      <c r="Y905" s="2" t="s">
        <v>44</v>
      </c>
      <c r="Z905" s="2"/>
      <c r="AA905" s="2" t="s">
        <v>821</v>
      </c>
      <c r="AB905" s="2" t="s">
        <v>46</v>
      </c>
      <c r="AC905" s="2" t="s">
        <v>821</v>
      </c>
      <c r="AE905" s="2" t="s">
        <v>48</v>
      </c>
      <c r="AF905" s="2" t="s">
        <v>49</v>
      </c>
      <c r="AG905" s="2">
        <v>75</v>
      </c>
      <c r="AH905" s="2">
        <v>72</v>
      </c>
      <c r="AJ905" s="2" t="s">
        <v>8676</v>
      </c>
      <c r="AK905" s="2"/>
      <c r="AL905" s="2"/>
      <c r="AM905" s="2" t="s">
        <v>52</v>
      </c>
    </row>
    <row r="906" spans="1:39" x14ac:dyDescent="0.45">
      <c r="A906" s="2" t="s">
        <v>8677</v>
      </c>
      <c r="B906" s="2"/>
      <c r="C906" s="2" t="s">
        <v>8679</v>
      </c>
      <c r="D906" s="2" t="s">
        <v>8681</v>
      </c>
      <c r="E906" s="25"/>
      <c r="F906" s="21"/>
      <c r="G906" s="42" t="s">
        <v>28000</v>
      </c>
      <c r="H906" s="2" t="s">
        <v>7865</v>
      </c>
      <c r="I906" s="2" t="s">
        <v>8684</v>
      </c>
      <c r="J906" s="2" t="s">
        <v>8678</v>
      </c>
      <c r="K906" s="2" t="s">
        <v>8680</v>
      </c>
      <c r="L906" s="2"/>
      <c r="M906" s="2"/>
      <c r="N906" s="2" t="s">
        <v>72</v>
      </c>
      <c r="O906" s="2" t="s">
        <v>73</v>
      </c>
      <c r="P906" s="2" t="s">
        <v>162</v>
      </c>
      <c r="Q906" s="2" t="s">
        <v>8682</v>
      </c>
      <c r="R906" s="2"/>
      <c r="S906" s="2"/>
      <c r="T906" s="2"/>
      <c r="U906" s="2" t="s">
        <v>1248</v>
      </c>
      <c r="V906" s="2" t="s">
        <v>1137</v>
      </c>
      <c r="W906" s="2" t="s">
        <v>8683</v>
      </c>
      <c r="X906" s="2" t="s">
        <v>3809</v>
      </c>
      <c r="Y906" s="2" t="s">
        <v>44</v>
      </c>
      <c r="Z906" s="2"/>
      <c r="AA906" s="2" t="s">
        <v>3527</v>
      </c>
      <c r="AB906" s="2" t="s">
        <v>46</v>
      </c>
      <c r="AC906" s="2" t="s">
        <v>3527</v>
      </c>
      <c r="AE906" s="2" t="s">
        <v>48</v>
      </c>
      <c r="AF906" s="2" t="s">
        <v>49</v>
      </c>
      <c r="AG906" s="2">
        <v>90</v>
      </c>
      <c r="AH906" s="2">
        <v>70</v>
      </c>
      <c r="AJ906" s="2" t="s">
        <v>8685</v>
      </c>
      <c r="AK906" s="2"/>
      <c r="AL906" s="2"/>
      <c r="AM906" s="2" t="s">
        <v>52</v>
      </c>
    </row>
    <row r="907" spans="1:39" x14ac:dyDescent="0.45">
      <c r="A907" s="2" t="s">
        <v>8686</v>
      </c>
      <c r="B907" s="2"/>
      <c r="C907" s="2" t="s">
        <v>8688</v>
      </c>
      <c r="D907" s="2" t="s">
        <v>8690</v>
      </c>
      <c r="E907" s="25"/>
      <c r="F907" s="21"/>
      <c r="G907" s="42" t="s">
        <v>28000</v>
      </c>
      <c r="H907" s="2" t="s">
        <v>7865</v>
      </c>
      <c r="I907" s="2" t="s">
        <v>8693</v>
      </c>
      <c r="J907" s="2" t="s">
        <v>8687</v>
      </c>
      <c r="K907" s="2" t="s">
        <v>8689</v>
      </c>
      <c r="L907" s="2"/>
      <c r="M907" s="2"/>
      <c r="N907" s="2" t="s">
        <v>72</v>
      </c>
      <c r="O907" s="2" t="s">
        <v>73</v>
      </c>
      <c r="P907" s="2" t="s">
        <v>187</v>
      </c>
      <c r="Q907" s="2" t="s">
        <v>8691</v>
      </c>
      <c r="R907" s="2"/>
      <c r="S907" s="2"/>
      <c r="T907" s="2"/>
      <c r="U907" s="2" t="s">
        <v>72</v>
      </c>
      <c r="V907" s="2" t="s">
        <v>73</v>
      </c>
      <c r="W907" s="2" t="s">
        <v>187</v>
      </c>
      <c r="X907" s="2" t="s">
        <v>8692</v>
      </c>
      <c r="Y907" s="2" t="s">
        <v>44</v>
      </c>
      <c r="Z907" s="2"/>
      <c r="AA907" s="2" t="s">
        <v>3527</v>
      </c>
      <c r="AB907" s="2" t="s">
        <v>46</v>
      </c>
      <c r="AC907" s="2" t="s">
        <v>3527</v>
      </c>
      <c r="AE907" s="2" t="s">
        <v>48</v>
      </c>
      <c r="AF907" s="2" t="s">
        <v>49</v>
      </c>
      <c r="AG907" s="2">
        <v>90</v>
      </c>
      <c r="AH907" s="2">
        <v>70</v>
      </c>
      <c r="AJ907" s="2" t="s">
        <v>8694</v>
      </c>
      <c r="AK907" s="2"/>
      <c r="AL907" s="2"/>
      <c r="AM907" s="2" t="s">
        <v>52</v>
      </c>
    </row>
    <row r="908" spans="1:39" x14ac:dyDescent="0.45">
      <c r="A908" s="2" t="s">
        <v>8695</v>
      </c>
      <c r="B908" s="2"/>
      <c r="C908" s="2" t="s">
        <v>8697</v>
      </c>
      <c r="D908" s="2" t="s">
        <v>8699</v>
      </c>
      <c r="E908" s="25"/>
      <c r="F908" s="21"/>
      <c r="G908" s="42" t="s">
        <v>28000</v>
      </c>
      <c r="H908" s="2" t="s">
        <v>7865</v>
      </c>
      <c r="I908" s="2" t="s">
        <v>8701</v>
      </c>
      <c r="J908" s="2" t="s">
        <v>8696</v>
      </c>
      <c r="K908" s="2" t="s">
        <v>8698</v>
      </c>
      <c r="L908" s="2"/>
      <c r="M908" s="2"/>
      <c r="N908" s="2" t="s">
        <v>72</v>
      </c>
      <c r="O908" s="2" t="s">
        <v>73</v>
      </c>
      <c r="P908" s="2" t="s">
        <v>607</v>
      </c>
      <c r="Q908" s="2" t="s">
        <v>8698</v>
      </c>
      <c r="R908" s="2"/>
      <c r="S908" s="2"/>
      <c r="T908" s="2"/>
      <c r="U908" s="2" t="s">
        <v>72</v>
      </c>
      <c r="V908" s="2" t="s">
        <v>73</v>
      </c>
      <c r="W908" s="2" t="s">
        <v>607</v>
      </c>
      <c r="X908" s="2" t="s">
        <v>8700</v>
      </c>
      <c r="Y908" s="2" t="s">
        <v>44</v>
      </c>
      <c r="Z908" s="2"/>
      <c r="AA908" s="2" t="s">
        <v>3527</v>
      </c>
      <c r="AB908" s="2" t="s">
        <v>46</v>
      </c>
      <c r="AC908" s="2" t="s">
        <v>3527</v>
      </c>
      <c r="AE908" s="2" t="s">
        <v>48</v>
      </c>
      <c r="AF908" s="2" t="s">
        <v>49</v>
      </c>
      <c r="AG908" s="2">
        <v>90</v>
      </c>
      <c r="AH908" s="2">
        <v>70</v>
      </c>
      <c r="AJ908" s="2" t="s">
        <v>8702</v>
      </c>
      <c r="AK908" s="2"/>
      <c r="AL908" s="2"/>
      <c r="AM908" s="2" t="s">
        <v>52</v>
      </c>
    </row>
    <row r="909" spans="1:39" x14ac:dyDescent="0.45">
      <c r="A909" s="2" t="s">
        <v>8703</v>
      </c>
      <c r="B909" s="2"/>
      <c r="C909" s="2" t="s">
        <v>8705</v>
      </c>
      <c r="D909" s="2" t="s">
        <v>8707</v>
      </c>
      <c r="E909" s="25"/>
      <c r="F909" s="21"/>
      <c r="G909" s="42" t="s">
        <v>28000</v>
      </c>
      <c r="H909" s="2" t="s">
        <v>7865</v>
      </c>
      <c r="I909" s="2" t="s">
        <v>8710</v>
      </c>
      <c r="J909" s="2" t="s">
        <v>8704</v>
      </c>
      <c r="K909" s="2" t="s">
        <v>8706</v>
      </c>
      <c r="L909" s="2"/>
      <c r="M909" s="2"/>
      <c r="N909" s="2" t="s">
        <v>72</v>
      </c>
      <c r="O909" s="2" t="s">
        <v>73</v>
      </c>
      <c r="P909" s="2" t="s">
        <v>791</v>
      </c>
      <c r="Q909" s="2" t="s">
        <v>8708</v>
      </c>
      <c r="R909" s="2"/>
      <c r="S909" s="2"/>
      <c r="T909" s="2"/>
      <c r="U909" s="2" t="s">
        <v>72</v>
      </c>
      <c r="V909" s="2" t="s">
        <v>73</v>
      </c>
      <c r="W909" s="2" t="s">
        <v>791</v>
      </c>
      <c r="X909" s="2" t="s">
        <v>8709</v>
      </c>
      <c r="Y909" s="2" t="s">
        <v>44</v>
      </c>
      <c r="Z909" s="2"/>
      <c r="AA909" s="2" t="s">
        <v>3527</v>
      </c>
      <c r="AB909" s="2" t="s">
        <v>46</v>
      </c>
      <c r="AC909" s="2" t="s">
        <v>3527</v>
      </c>
      <c r="AE909" s="2" t="s">
        <v>48</v>
      </c>
      <c r="AF909" s="2" t="s">
        <v>49</v>
      </c>
      <c r="AG909" s="2">
        <v>90</v>
      </c>
      <c r="AH909" s="2">
        <v>70</v>
      </c>
      <c r="AJ909" s="2" t="s">
        <v>8711</v>
      </c>
      <c r="AK909" s="2"/>
      <c r="AL909" s="2"/>
      <c r="AM909" s="2" t="s">
        <v>52</v>
      </c>
    </row>
    <row r="910" spans="1:39" x14ac:dyDescent="0.45">
      <c r="A910" s="2" t="s">
        <v>8703</v>
      </c>
      <c r="B910" s="2"/>
      <c r="C910" s="2" t="s">
        <v>8705</v>
      </c>
      <c r="D910" s="2" t="s">
        <v>8707</v>
      </c>
      <c r="E910" s="25"/>
      <c r="F910" s="21"/>
      <c r="G910" s="42" t="s">
        <v>28000</v>
      </c>
      <c r="H910" s="2" t="s">
        <v>7865</v>
      </c>
      <c r="I910" s="2" t="s">
        <v>8710</v>
      </c>
      <c r="J910" s="2" t="s">
        <v>8704</v>
      </c>
      <c r="K910" s="2" t="s">
        <v>8706</v>
      </c>
      <c r="L910" s="2"/>
      <c r="M910" s="2"/>
      <c r="N910" s="2" t="s">
        <v>72</v>
      </c>
      <c r="O910" s="2" t="s">
        <v>73</v>
      </c>
      <c r="P910" s="2" t="s">
        <v>791</v>
      </c>
      <c r="Q910" s="2" t="s">
        <v>8708</v>
      </c>
      <c r="R910" s="2"/>
      <c r="S910" s="2"/>
      <c r="T910" s="2"/>
      <c r="U910" s="2" t="s">
        <v>72</v>
      </c>
      <c r="V910" s="2" t="s">
        <v>73</v>
      </c>
      <c r="W910" s="2" t="s">
        <v>791</v>
      </c>
      <c r="X910" s="2" t="s">
        <v>8709</v>
      </c>
      <c r="Y910" s="2" t="s">
        <v>44</v>
      </c>
      <c r="Z910" s="2"/>
      <c r="AA910" s="2" t="s">
        <v>3527</v>
      </c>
      <c r="AB910" s="2" t="s">
        <v>46</v>
      </c>
      <c r="AC910" s="2" t="s">
        <v>3527</v>
      </c>
      <c r="AE910" s="2" t="s">
        <v>48</v>
      </c>
      <c r="AF910" s="2" t="s">
        <v>49</v>
      </c>
      <c r="AG910" s="2">
        <v>90</v>
      </c>
      <c r="AH910" s="2">
        <v>70</v>
      </c>
      <c r="AJ910" s="2" t="s">
        <v>8711</v>
      </c>
      <c r="AK910" s="2"/>
      <c r="AL910" s="2"/>
      <c r="AM910" s="2" t="s">
        <v>52</v>
      </c>
    </row>
    <row r="911" spans="1:39" x14ac:dyDescent="0.45">
      <c r="A911" s="2" t="s">
        <v>8712</v>
      </c>
      <c r="B911" s="2"/>
      <c r="C911" s="2" t="s">
        <v>8714</v>
      </c>
      <c r="D911" s="2" t="s">
        <v>8716</v>
      </c>
      <c r="E911" s="25"/>
      <c r="F911" s="21"/>
      <c r="G911" s="42" t="s">
        <v>28000</v>
      </c>
      <c r="H911" s="2" t="s">
        <v>7865</v>
      </c>
      <c r="I911" s="2" t="s">
        <v>8718</v>
      </c>
      <c r="J911" s="2" t="s">
        <v>8713</v>
      </c>
      <c r="K911" s="2" t="s">
        <v>8715</v>
      </c>
      <c r="L911" s="2"/>
      <c r="M911" s="2"/>
      <c r="N911" s="2" t="s">
        <v>85</v>
      </c>
      <c r="O911" s="2" t="s">
        <v>86</v>
      </c>
      <c r="P911" s="2" t="s">
        <v>87</v>
      </c>
      <c r="Q911" s="2" t="s">
        <v>8715</v>
      </c>
      <c r="R911" s="2"/>
      <c r="S911" s="2"/>
      <c r="T911" s="2"/>
      <c r="U911" s="2" t="s">
        <v>85</v>
      </c>
      <c r="V911" s="2" t="s">
        <v>86</v>
      </c>
      <c r="W911" s="2" t="s">
        <v>87</v>
      </c>
      <c r="X911" s="2" t="s">
        <v>8717</v>
      </c>
      <c r="Y911" s="2" t="s">
        <v>44</v>
      </c>
      <c r="Z911" s="2"/>
      <c r="AA911" s="2" t="s">
        <v>3527</v>
      </c>
      <c r="AB911" s="2" t="s">
        <v>46</v>
      </c>
      <c r="AC911" s="2" t="s">
        <v>3527</v>
      </c>
      <c r="AE911" s="2" t="s">
        <v>48</v>
      </c>
      <c r="AF911" s="2" t="s">
        <v>49</v>
      </c>
      <c r="AG911" s="2">
        <v>90</v>
      </c>
      <c r="AH911" s="2">
        <v>70</v>
      </c>
      <c r="AJ911" s="2" t="s">
        <v>8719</v>
      </c>
      <c r="AK911" s="2"/>
      <c r="AL911" s="2"/>
      <c r="AM911" s="2" t="s">
        <v>52</v>
      </c>
    </row>
    <row r="912" spans="1:39" x14ac:dyDescent="0.45">
      <c r="A912" s="2" t="s">
        <v>8720</v>
      </c>
      <c r="B912" s="2"/>
      <c r="C912" s="2" t="s">
        <v>8722</v>
      </c>
      <c r="D912" s="2" t="s">
        <v>8724</v>
      </c>
      <c r="E912" s="25"/>
      <c r="F912" s="21"/>
      <c r="G912" s="42" t="s">
        <v>28000</v>
      </c>
      <c r="H912" s="2" t="s">
        <v>7865</v>
      </c>
      <c r="I912" s="2" t="s">
        <v>8726</v>
      </c>
      <c r="J912" s="2" t="s">
        <v>8721</v>
      </c>
      <c r="K912" s="2" t="s">
        <v>8723</v>
      </c>
      <c r="L912" s="2"/>
      <c r="M912" s="2"/>
      <c r="N912" s="2" t="s">
        <v>85</v>
      </c>
      <c r="O912" s="2" t="s">
        <v>86</v>
      </c>
      <c r="P912" s="2" t="s">
        <v>873</v>
      </c>
      <c r="Q912" s="2" t="s">
        <v>8723</v>
      </c>
      <c r="R912" s="2"/>
      <c r="S912" s="2"/>
      <c r="T912" s="2"/>
      <c r="U912" s="2" t="s">
        <v>85</v>
      </c>
      <c r="V912" s="2" t="s">
        <v>86</v>
      </c>
      <c r="W912" s="2" t="s">
        <v>873</v>
      </c>
      <c r="X912" s="2" t="s">
        <v>8725</v>
      </c>
      <c r="Y912" s="2" t="s">
        <v>44</v>
      </c>
      <c r="Z912" s="2"/>
      <c r="AA912" s="2" t="s">
        <v>3527</v>
      </c>
      <c r="AB912" s="2" t="s">
        <v>46</v>
      </c>
      <c r="AC912" s="2" t="s">
        <v>3527</v>
      </c>
      <c r="AE912" s="2" t="s">
        <v>48</v>
      </c>
      <c r="AF912" s="2" t="s">
        <v>49</v>
      </c>
      <c r="AG912" s="2">
        <v>90</v>
      </c>
      <c r="AH912" s="2">
        <v>70</v>
      </c>
      <c r="AJ912" s="2" t="s">
        <v>8727</v>
      </c>
      <c r="AK912" s="2"/>
      <c r="AL912" s="2"/>
      <c r="AM912" s="2" t="s">
        <v>52</v>
      </c>
    </row>
    <row r="913" spans="1:39" x14ac:dyDescent="0.45">
      <c r="A913" s="2" t="s">
        <v>8728</v>
      </c>
      <c r="B913" s="2"/>
      <c r="C913" s="2" t="s">
        <v>8730</v>
      </c>
      <c r="D913" s="2" t="s">
        <v>8732</v>
      </c>
      <c r="E913" s="25"/>
      <c r="F913" s="21"/>
      <c r="G913" s="42" t="s">
        <v>28000</v>
      </c>
      <c r="H913" s="2" t="s">
        <v>7865</v>
      </c>
      <c r="I913" s="2" t="s">
        <v>8735</v>
      </c>
      <c r="J913" s="2" t="s">
        <v>8729</v>
      </c>
      <c r="K913" s="2" t="s">
        <v>8731</v>
      </c>
      <c r="L913" s="2"/>
      <c r="M913" s="2"/>
      <c r="N913" s="2" t="s">
        <v>39</v>
      </c>
      <c r="O913" s="2" t="s">
        <v>40</v>
      </c>
      <c r="P913" s="2" t="s">
        <v>8733</v>
      </c>
      <c r="Q913" s="2" t="s">
        <v>8731</v>
      </c>
      <c r="R913" s="2"/>
      <c r="S913" s="2"/>
      <c r="T913" s="2"/>
      <c r="U913" s="2" t="s">
        <v>39</v>
      </c>
      <c r="V913" s="2" t="s">
        <v>40</v>
      </c>
      <c r="W913" s="2" t="s">
        <v>8733</v>
      </c>
      <c r="X913" s="2" t="s">
        <v>8734</v>
      </c>
      <c r="Y913" s="2" t="s">
        <v>44</v>
      </c>
      <c r="Z913" s="2"/>
      <c r="AA913" s="2" t="s">
        <v>3527</v>
      </c>
      <c r="AB913" s="2" t="s">
        <v>46</v>
      </c>
      <c r="AC913" s="2" t="s">
        <v>3527</v>
      </c>
      <c r="AE913" s="2" t="s">
        <v>48</v>
      </c>
      <c r="AF913" s="2" t="s">
        <v>49</v>
      </c>
      <c r="AG913" s="2">
        <v>90</v>
      </c>
      <c r="AH913" s="2">
        <v>70</v>
      </c>
      <c r="AJ913" s="2" t="s">
        <v>8736</v>
      </c>
      <c r="AK913" s="2"/>
      <c r="AL913" s="2"/>
      <c r="AM913" s="2" t="s">
        <v>52</v>
      </c>
    </row>
    <row r="914" spans="1:39" x14ac:dyDescent="0.45">
      <c r="A914" s="2" t="s">
        <v>8737</v>
      </c>
      <c r="B914" s="2"/>
      <c r="C914" s="2" t="s">
        <v>8739</v>
      </c>
      <c r="D914" s="2" t="s">
        <v>8741</v>
      </c>
      <c r="E914" s="25"/>
      <c r="F914" s="21"/>
      <c r="G914" s="42" t="s">
        <v>28000</v>
      </c>
      <c r="H914" s="2" t="s">
        <v>7865</v>
      </c>
      <c r="I914" s="2" t="s">
        <v>8746</v>
      </c>
      <c r="J914" s="2" t="s">
        <v>8738</v>
      </c>
      <c r="K914" s="2" t="s">
        <v>8740</v>
      </c>
      <c r="L914" s="2"/>
      <c r="M914" s="2"/>
      <c r="N914" s="2" t="s">
        <v>39</v>
      </c>
      <c r="O914" s="2" t="s">
        <v>40</v>
      </c>
      <c r="P914" s="2" t="s">
        <v>8742</v>
      </c>
      <c r="Q914" s="2" t="s">
        <v>8743</v>
      </c>
      <c r="R914" s="2"/>
      <c r="S914" s="2"/>
      <c r="T914" s="2"/>
      <c r="U914" s="2" t="s">
        <v>39</v>
      </c>
      <c r="V914" s="2" t="s">
        <v>40</v>
      </c>
      <c r="W914" s="2" t="s">
        <v>8744</v>
      </c>
      <c r="X914" s="2" t="s">
        <v>8745</v>
      </c>
      <c r="Y914" s="2" t="s">
        <v>44</v>
      </c>
      <c r="Z914" s="2"/>
      <c r="AA914" s="2" t="s">
        <v>3527</v>
      </c>
      <c r="AB914" s="2" t="s">
        <v>46</v>
      </c>
      <c r="AC914" s="2" t="s">
        <v>3527</v>
      </c>
      <c r="AE914" s="2" t="s">
        <v>48</v>
      </c>
      <c r="AF914" s="2" t="s">
        <v>49</v>
      </c>
      <c r="AG914" s="2">
        <v>90</v>
      </c>
      <c r="AH914" s="2">
        <v>70</v>
      </c>
      <c r="AJ914" s="2" t="s">
        <v>8747</v>
      </c>
      <c r="AK914" s="2"/>
      <c r="AL914" s="2"/>
      <c r="AM914" s="2" t="s">
        <v>52</v>
      </c>
    </row>
    <row r="915" spans="1:39" x14ac:dyDescent="0.45">
      <c r="A915" s="2" t="s">
        <v>8748</v>
      </c>
      <c r="B915" s="2"/>
      <c r="C915" s="2" t="s">
        <v>8750</v>
      </c>
      <c r="D915" s="2" t="s">
        <v>8752</v>
      </c>
      <c r="E915" s="25"/>
      <c r="F915" s="21"/>
      <c r="G915" s="42" t="s">
        <v>28000</v>
      </c>
      <c r="H915" s="2" t="s">
        <v>7865</v>
      </c>
      <c r="I915" s="2" t="s">
        <v>8753</v>
      </c>
      <c r="J915" s="2" t="s">
        <v>8749</v>
      </c>
      <c r="K915" s="2" t="s">
        <v>8751</v>
      </c>
      <c r="L915" s="2"/>
      <c r="M915" s="2"/>
      <c r="N915" s="2" t="s">
        <v>72</v>
      </c>
      <c r="O915" s="2" t="s">
        <v>73</v>
      </c>
      <c r="P915" s="2" t="s">
        <v>187</v>
      </c>
      <c r="Q915" s="2" t="s">
        <v>8751</v>
      </c>
      <c r="R915" s="2"/>
      <c r="S915" s="2"/>
      <c r="T915" s="2"/>
      <c r="U915" s="2" t="s">
        <v>72</v>
      </c>
      <c r="V915" s="2" t="s">
        <v>73</v>
      </c>
      <c r="W915" s="2" t="s">
        <v>187</v>
      </c>
      <c r="X915" s="2" t="s">
        <v>6726</v>
      </c>
      <c r="Y915" s="2" t="s">
        <v>44</v>
      </c>
      <c r="Z915" s="2"/>
      <c r="AA915" s="2" t="s">
        <v>3527</v>
      </c>
      <c r="AB915" s="2" t="s">
        <v>46</v>
      </c>
      <c r="AC915" s="2" t="s">
        <v>3527</v>
      </c>
      <c r="AE915" s="2" t="s">
        <v>48</v>
      </c>
      <c r="AF915" s="2" t="s">
        <v>49</v>
      </c>
      <c r="AG915" s="2">
        <v>90</v>
      </c>
      <c r="AH915" s="2">
        <v>70</v>
      </c>
      <c r="AJ915" s="2" t="s">
        <v>8754</v>
      </c>
      <c r="AK915" s="2"/>
      <c r="AL915" s="2"/>
      <c r="AM915" s="2" t="s">
        <v>52</v>
      </c>
    </row>
    <row r="916" spans="1:39" x14ac:dyDescent="0.45">
      <c r="A916" s="2" t="s">
        <v>8755</v>
      </c>
      <c r="B916" s="2"/>
      <c r="C916" s="2" t="s">
        <v>8757</v>
      </c>
      <c r="D916" s="2" t="s">
        <v>8759</v>
      </c>
      <c r="E916" s="25"/>
      <c r="F916" s="21"/>
      <c r="G916" s="42" t="s">
        <v>28000</v>
      </c>
      <c r="H916" s="2" t="s">
        <v>7865</v>
      </c>
      <c r="I916" s="2" t="s">
        <v>8760</v>
      </c>
      <c r="J916" s="2" t="s">
        <v>8756</v>
      </c>
      <c r="K916" s="2" t="s">
        <v>8758</v>
      </c>
      <c r="L916" s="2"/>
      <c r="M916" s="2"/>
      <c r="N916" s="2" t="s">
        <v>72</v>
      </c>
      <c r="O916" s="2" t="s">
        <v>73</v>
      </c>
      <c r="P916" s="2" t="s">
        <v>1568</v>
      </c>
      <c r="Q916" s="2" t="s">
        <v>8758</v>
      </c>
      <c r="R916" s="2"/>
      <c r="S916" s="2"/>
      <c r="T916" s="2"/>
      <c r="U916" s="2" t="s">
        <v>72</v>
      </c>
      <c r="V916" s="2" t="s">
        <v>73</v>
      </c>
      <c r="W916" s="2" t="s">
        <v>1568</v>
      </c>
      <c r="X916" s="2" t="s">
        <v>7024</v>
      </c>
      <c r="Y916" s="2" t="s">
        <v>44</v>
      </c>
      <c r="Z916" s="2"/>
      <c r="AA916" s="2" t="s">
        <v>3527</v>
      </c>
      <c r="AB916" s="2" t="s">
        <v>46</v>
      </c>
      <c r="AC916" s="2" t="s">
        <v>3527</v>
      </c>
      <c r="AE916" s="2" t="s">
        <v>48</v>
      </c>
      <c r="AF916" s="2" t="s">
        <v>49</v>
      </c>
      <c r="AG916" s="2">
        <v>90</v>
      </c>
      <c r="AH916" s="2">
        <v>70</v>
      </c>
      <c r="AJ916" s="2" t="s">
        <v>8761</v>
      </c>
      <c r="AK916" s="2"/>
      <c r="AL916" s="2"/>
      <c r="AM916" s="2" t="s">
        <v>52</v>
      </c>
    </row>
    <row r="917" spans="1:39" x14ac:dyDescent="0.45">
      <c r="A917" s="2" t="s">
        <v>8762</v>
      </c>
      <c r="B917" s="2"/>
      <c r="C917" s="2" t="s">
        <v>8764</v>
      </c>
      <c r="D917" s="2" t="s">
        <v>8766</v>
      </c>
      <c r="E917" s="25"/>
      <c r="F917" s="21"/>
      <c r="G917" s="42" t="s">
        <v>28000</v>
      </c>
      <c r="H917" s="2" t="s">
        <v>7865</v>
      </c>
      <c r="I917" s="2" t="s">
        <v>8768</v>
      </c>
      <c r="J917" s="2" t="s">
        <v>8763</v>
      </c>
      <c r="K917" s="2" t="s">
        <v>8765</v>
      </c>
      <c r="L917" s="2"/>
      <c r="M917" s="2"/>
      <c r="N917" s="2" t="s">
        <v>39</v>
      </c>
      <c r="O917" s="2" t="s">
        <v>40</v>
      </c>
      <c r="P917" s="2" t="s">
        <v>1630</v>
      </c>
      <c r="Q917" s="2" t="s">
        <v>8765</v>
      </c>
      <c r="R917" s="2"/>
      <c r="S917" s="2"/>
      <c r="T917" s="2"/>
      <c r="U917" s="2" t="s">
        <v>39</v>
      </c>
      <c r="V917" s="2" t="s">
        <v>40</v>
      </c>
      <c r="W917" s="2" t="s">
        <v>1630</v>
      </c>
      <c r="X917" s="2" t="s">
        <v>8767</v>
      </c>
      <c r="Y917" s="2" t="s">
        <v>44</v>
      </c>
      <c r="Z917" s="2"/>
      <c r="AA917" s="2" t="s">
        <v>3527</v>
      </c>
      <c r="AB917" s="2" t="s">
        <v>46</v>
      </c>
      <c r="AC917" s="2" t="s">
        <v>3527</v>
      </c>
      <c r="AE917" s="2" t="s">
        <v>48</v>
      </c>
      <c r="AF917" s="2" t="s">
        <v>49</v>
      </c>
      <c r="AG917" s="2">
        <v>90</v>
      </c>
      <c r="AH917" s="2">
        <v>70</v>
      </c>
      <c r="AJ917" s="2" t="s">
        <v>8769</v>
      </c>
      <c r="AK917" s="2"/>
      <c r="AL917" s="2"/>
      <c r="AM917" s="2" t="s">
        <v>52</v>
      </c>
    </row>
    <row r="918" spans="1:39" x14ac:dyDescent="0.45">
      <c r="A918" s="2" t="s">
        <v>8770</v>
      </c>
      <c r="B918" s="2"/>
      <c r="C918" s="2" t="s">
        <v>8772</v>
      </c>
      <c r="D918" s="2" t="s">
        <v>8774</v>
      </c>
      <c r="E918" s="25"/>
      <c r="F918" s="21"/>
      <c r="G918" s="42" t="s">
        <v>28000</v>
      </c>
      <c r="H918" s="2" t="s">
        <v>7865</v>
      </c>
      <c r="I918" s="2" t="s">
        <v>8776</v>
      </c>
      <c r="J918" s="2" t="s">
        <v>8771</v>
      </c>
      <c r="K918" s="2" t="s">
        <v>8773</v>
      </c>
      <c r="L918" s="2"/>
      <c r="M918" s="2"/>
      <c r="N918" s="2" t="s">
        <v>72</v>
      </c>
      <c r="O918" s="2" t="s">
        <v>73</v>
      </c>
      <c r="P918" s="2" t="s">
        <v>1896</v>
      </c>
      <c r="Q918" s="2" t="s">
        <v>8773</v>
      </c>
      <c r="R918" s="2"/>
      <c r="S918" s="2"/>
      <c r="T918" s="2"/>
      <c r="U918" s="2" t="s">
        <v>72</v>
      </c>
      <c r="V918" s="2" t="s">
        <v>73</v>
      </c>
      <c r="W918" s="2" t="s">
        <v>1896</v>
      </c>
      <c r="X918" s="2" t="s">
        <v>8775</v>
      </c>
      <c r="Y918" s="2" t="s">
        <v>44</v>
      </c>
      <c r="Z918" s="2"/>
      <c r="AA918" s="2" t="s">
        <v>3527</v>
      </c>
      <c r="AB918" s="2" t="s">
        <v>46</v>
      </c>
      <c r="AC918" s="2" t="s">
        <v>3527</v>
      </c>
      <c r="AE918" s="2" t="s">
        <v>48</v>
      </c>
      <c r="AF918" s="2" t="s">
        <v>49</v>
      </c>
      <c r="AG918" s="2">
        <v>90</v>
      </c>
      <c r="AH918" s="2">
        <v>70</v>
      </c>
      <c r="AJ918" s="2" t="s">
        <v>8777</v>
      </c>
      <c r="AK918" s="2"/>
      <c r="AL918" s="2"/>
      <c r="AM918" s="2" t="s">
        <v>52</v>
      </c>
    </row>
    <row r="919" spans="1:39" x14ac:dyDescent="0.45">
      <c r="A919" s="2" t="s">
        <v>8778</v>
      </c>
      <c r="B919" s="2"/>
      <c r="C919" s="2" t="s">
        <v>8780</v>
      </c>
      <c r="D919" s="2" t="s">
        <v>8782</v>
      </c>
      <c r="E919" s="25"/>
      <c r="F919" s="21"/>
      <c r="G919" s="42" t="s">
        <v>28000</v>
      </c>
      <c r="H919" s="2" t="s">
        <v>7865</v>
      </c>
      <c r="I919" s="2" t="s">
        <v>8784</v>
      </c>
      <c r="J919" s="2" t="s">
        <v>8779</v>
      </c>
      <c r="K919" s="2" t="s">
        <v>8781</v>
      </c>
      <c r="L919" s="2"/>
      <c r="M919" s="2"/>
      <c r="N919" s="2" t="s">
        <v>72</v>
      </c>
      <c r="O919" s="2" t="s">
        <v>73</v>
      </c>
      <c r="P919" s="2" t="s">
        <v>187</v>
      </c>
      <c r="Q919" s="2" t="s">
        <v>8781</v>
      </c>
      <c r="R919" s="2"/>
      <c r="S919" s="2"/>
      <c r="T919" s="2"/>
      <c r="U919" s="2" t="s">
        <v>72</v>
      </c>
      <c r="V919" s="2" t="s">
        <v>73</v>
      </c>
      <c r="W919" s="2" t="s">
        <v>187</v>
      </c>
      <c r="X919" s="2" t="s">
        <v>8783</v>
      </c>
      <c r="Y919" s="2" t="s">
        <v>44</v>
      </c>
      <c r="Z919" s="2"/>
      <c r="AA919" s="2" t="s">
        <v>3527</v>
      </c>
      <c r="AB919" s="2" t="s">
        <v>46</v>
      </c>
      <c r="AC919" s="2" t="s">
        <v>3527</v>
      </c>
      <c r="AE919" s="2" t="s">
        <v>48</v>
      </c>
      <c r="AF919" s="2" t="s">
        <v>49</v>
      </c>
      <c r="AG919" s="2">
        <v>90</v>
      </c>
      <c r="AH919" s="2">
        <v>70</v>
      </c>
      <c r="AJ919" s="2" t="s">
        <v>8785</v>
      </c>
      <c r="AK919" s="2"/>
      <c r="AL919" s="2"/>
      <c r="AM919" s="2" t="s">
        <v>52</v>
      </c>
    </row>
    <row r="920" spans="1:39" x14ac:dyDescent="0.45">
      <c r="A920" s="2" t="s">
        <v>8786</v>
      </c>
      <c r="B920" s="2"/>
      <c r="C920" s="2" t="s">
        <v>8788</v>
      </c>
      <c r="D920" s="2" t="s">
        <v>8790</v>
      </c>
      <c r="E920" s="25"/>
      <c r="F920" s="21"/>
      <c r="G920" s="42" t="s">
        <v>28000</v>
      </c>
      <c r="H920" s="2" t="s">
        <v>7865</v>
      </c>
      <c r="I920" s="2" t="s">
        <v>8792</v>
      </c>
      <c r="J920" s="2" t="s">
        <v>8787</v>
      </c>
      <c r="K920" s="2" t="s">
        <v>8789</v>
      </c>
      <c r="L920" s="2"/>
      <c r="M920" s="2"/>
      <c r="N920" s="2" t="s">
        <v>174</v>
      </c>
      <c r="O920" s="2" t="s">
        <v>175</v>
      </c>
      <c r="P920" s="2" t="s">
        <v>1316</v>
      </c>
      <c r="Q920" s="2" t="s">
        <v>8789</v>
      </c>
      <c r="R920" s="2"/>
      <c r="S920" s="2"/>
      <c r="T920" s="2"/>
      <c r="U920" s="2" t="s">
        <v>174</v>
      </c>
      <c r="V920" s="2" t="s">
        <v>175</v>
      </c>
      <c r="W920" s="2" t="s">
        <v>1316</v>
      </c>
      <c r="X920" s="2" t="s">
        <v>8791</v>
      </c>
      <c r="Y920" s="2" t="s">
        <v>44</v>
      </c>
      <c r="Z920" s="2"/>
      <c r="AA920" s="2" t="s">
        <v>3527</v>
      </c>
      <c r="AB920" s="2" t="s">
        <v>46</v>
      </c>
      <c r="AC920" s="2" t="s">
        <v>3527</v>
      </c>
      <c r="AE920" s="2" t="s">
        <v>48</v>
      </c>
      <c r="AF920" s="2" t="s">
        <v>49</v>
      </c>
      <c r="AG920" s="2">
        <v>90</v>
      </c>
      <c r="AH920" s="2">
        <v>70</v>
      </c>
      <c r="AJ920" s="2" t="s">
        <v>8793</v>
      </c>
      <c r="AK920" s="2"/>
      <c r="AL920" s="2"/>
      <c r="AM920" s="2" t="s">
        <v>52</v>
      </c>
    </row>
    <row r="921" spans="1:39" x14ac:dyDescent="0.45">
      <c r="A921" s="2" t="s">
        <v>8794</v>
      </c>
      <c r="B921" s="2"/>
      <c r="C921" s="2" t="s">
        <v>8796</v>
      </c>
      <c r="D921" s="2" t="s">
        <v>8798</v>
      </c>
      <c r="E921" s="25"/>
      <c r="F921" s="21"/>
      <c r="G921" s="42" t="s">
        <v>28000</v>
      </c>
      <c r="H921" s="2" t="s">
        <v>7865</v>
      </c>
      <c r="I921" s="2" t="s">
        <v>8800</v>
      </c>
      <c r="J921" s="2" t="s">
        <v>8795</v>
      </c>
      <c r="K921" s="2" t="s">
        <v>8797</v>
      </c>
      <c r="L921" s="2"/>
      <c r="M921" s="2"/>
      <c r="N921" s="2" t="s">
        <v>72</v>
      </c>
      <c r="O921" s="2" t="s">
        <v>73</v>
      </c>
      <c r="P921" s="2" t="s">
        <v>187</v>
      </c>
      <c r="Q921" s="2" t="s">
        <v>8797</v>
      </c>
      <c r="R921" s="2"/>
      <c r="S921" s="2"/>
      <c r="T921" s="2"/>
      <c r="U921" s="2" t="s">
        <v>72</v>
      </c>
      <c r="V921" s="2" t="s">
        <v>73</v>
      </c>
      <c r="W921" s="2" t="s">
        <v>187</v>
      </c>
      <c r="X921" s="2" t="s">
        <v>8799</v>
      </c>
      <c r="Y921" s="2" t="s">
        <v>44</v>
      </c>
      <c r="Z921" s="2"/>
      <c r="AA921" s="2" t="s">
        <v>3527</v>
      </c>
      <c r="AB921" s="2" t="s">
        <v>46</v>
      </c>
      <c r="AC921" s="2" t="s">
        <v>3527</v>
      </c>
      <c r="AE921" s="2" t="s">
        <v>48</v>
      </c>
      <c r="AF921" s="2" t="s">
        <v>49</v>
      </c>
      <c r="AG921" s="2">
        <v>90</v>
      </c>
      <c r="AH921" s="2">
        <v>70</v>
      </c>
      <c r="AJ921" s="2" t="s">
        <v>8801</v>
      </c>
      <c r="AK921" s="2"/>
      <c r="AL921" s="2"/>
      <c r="AM921" s="2" t="s">
        <v>52</v>
      </c>
    </row>
    <row r="922" spans="1:39" x14ac:dyDescent="0.45">
      <c r="A922" s="2" t="s">
        <v>8802</v>
      </c>
      <c r="B922" s="2"/>
      <c r="C922" s="2" t="s">
        <v>8804</v>
      </c>
      <c r="D922" s="2" t="s">
        <v>8806</v>
      </c>
      <c r="E922" s="25"/>
      <c r="F922" s="21"/>
      <c r="G922" s="42" t="s">
        <v>28000</v>
      </c>
      <c r="H922" s="2" t="s">
        <v>7865</v>
      </c>
      <c r="I922" s="2" t="s">
        <v>8808</v>
      </c>
      <c r="J922" s="2" t="s">
        <v>8803</v>
      </c>
      <c r="K922" s="2" t="s">
        <v>8805</v>
      </c>
      <c r="L922" s="2"/>
      <c r="M922" s="2"/>
      <c r="N922" s="2" t="s">
        <v>72</v>
      </c>
      <c r="O922" s="2" t="s">
        <v>73</v>
      </c>
      <c r="P922" s="2" t="s">
        <v>8038</v>
      </c>
      <c r="Q922" s="2" t="s">
        <v>8805</v>
      </c>
      <c r="R922" s="2"/>
      <c r="S922" s="2"/>
      <c r="T922" s="2"/>
      <c r="U922" s="2" t="s">
        <v>72</v>
      </c>
      <c r="V922" s="2" t="s">
        <v>73</v>
      </c>
      <c r="W922" s="2" t="s">
        <v>8038</v>
      </c>
      <c r="X922" s="2" t="s">
        <v>8807</v>
      </c>
      <c r="Y922" s="2" t="s">
        <v>44</v>
      </c>
      <c r="Z922" s="2"/>
      <c r="AA922" s="2" t="s">
        <v>3527</v>
      </c>
      <c r="AB922" s="2" t="s">
        <v>46</v>
      </c>
      <c r="AC922" s="2" t="s">
        <v>3527</v>
      </c>
      <c r="AE922" s="2" t="s">
        <v>48</v>
      </c>
      <c r="AF922" s="2" t="s">
        <v>49</v>
      </c>
      <c r="AG922" s="2">
        <v>90</v>
      </c>
      <c r="AH922" s="2">
        <v>70</v>
      </c>
      <c r="AJ922" s="2" t="s">
        <v>8809</v>
      </c>
      <c r="AK922" s="2"/>
      <c r="AL922" s="2"/>
      <c r="AM922" s="2" t="s">
        <v>52</v>
      </c>
    </row>
    <row r="923" spans="1:39" x14ac:dyDescent="0.45">
      <c r="A923" s="2" t="s">
        <v>1929</v>
      </c>
      <c r="B923" s="2"/>
      <c r="C923" s="2" t="s">
        <v>1931</v>
      </c>
      <c r="D923" s="2" t="s">
        <v>8812</v>
      </c>
      <c r="E923" s="25"/>
      <c r="F923" s="21"/>
      <c r="G923" s="42" t="s">
        <v>28000</v>
      </c>
      <c r="H923" s="2" t="s">
        <v>7865</v>
      </c>
      <c r="I923" s="2" t="s">
        <v>8815</v>
      </c>
      <c r="J923" s="2" t="s">
        <v>8810</v>
      </c>
      <c r="K923" s="2" t="s">
        <v>8811</v>
      </c>
      <c r="L923" s="2"/>
      <c r="M923" s="2"/>
      <c r="N923" s="2" t="s">
        <v>72</v>
      </c>
      <c r="O923" s="2" t="s">
        <v>73</v>
      </c>
      <c r="P923" s="2" t="s">
        <v>74</v>
      </c>
      <c r="Q923" s="2" t="s">
        <v>8813</v>
      </c>
      <c r="R923" s="2"/>
      <c r="S923" s="2"/>
      <c r="T923" s="2"/>
      <c r="U923" s="2" t="s">
        <v>72</v>
      </c>
      <c r="V923" s="2" t="s">
        <v>73</v>
      </c>
      <c r="W923" s="2" t="s">
        <v>74</v>
      </c>
      <c r="X923" s="2" t="s">
        <v>8814</v>
      </c>
      <c r="Y923" s="2" t="s">
        <v>44</v>
      </c>
      <c r="Z923" s="2"/>
      <c r="AA923" s="2" t="s">
        <v>3527</v>
      </c>
      <c r="AB923" s="2" t="s">
        <v>199</v>
      </c>
      <c r="AC923" s="2" t="s">
        <v>3527</v>
      </c>
      <c r="AE923" s="2" t="s">
        <v>48</v>
      </c>
      <c r="AF923" s="2" t="s">
        <v>49</v>
      </c>
      <c r="AG923" s="2">
        <v>90</v>
      </c>
      <c r="AH923" s="2">
        <v>70</v>
      </c>
      <c r="AJ923" s="2" t="s">
        <v>8816</v>
      </c>
      <c r="AK923" s="2"/>
      <c r="AL923" s="2"/>
      <c r="AM923" s="2" t="s">
        <v>52</v>
      </c>
    </row>
    <row r="924" spans="1:39" x14ac:dyDescent="0.45">
      <c r="A924" s="2" t="s">
        <v>8817</v>
      </c>
      <c r="B924" s="2"/>
      <c r="C924" s="2" t="s">
        <v>8819</v>
      </c>
      <c r="D924" s="2" t="s">
        <v>8821</v>
      </c>
      <c r="E924" s="25"/>
      <c r="F924" s="21"/>
      <c r="G924" s="42" t="s">
        <v>28000</v>
      </c>
      <c r="H924" s="2" t="s">
        <v>7865</v>
      </c>
      <c r="I924" s="2" t="s">
        <v>8824</v>
      </c>
      <c r="J924" s="2" t="s">
        <v>8818</v>
      </c>
      <c r="K924" s="2" t="s">
        <v>8820</v>
      </c>
      <c r="L924" s="2"/>
      <c r="M924" s="2"/>
      <c r="N924" s="2" t="s">
        <v>72</v>
      </c>
      <c r="O924" s="2" t="s">
        <v>73</v>
      </c>
      <c r="P924" s="2" t="s">
        <v>119</v>
      </c>
      <c r="Q924" s="2" t="s">
        <v>8822</v>
      </c>
      <c r="R924" s="2"/>
      <c r="S924" s="2"/>
      <c r="T924" s="2"/>
      <c r="U924" s="2" t="s">
        <v>72</v>
      </c>
      <c r="V924" s="2" t="s">
        <v>73</v>
      </c>
      <c r="W924" s="2" t="s">
        <v>119</v>
      </c>
      <c r="X924" s="2" t="s">
        <v>8823</v>
      </c>
      <c r="Y924" s="2" t="s">
        <v>44</v>
      </c>
      <c r="Z924" s="2"/>
      <c r="AA924" s="2" t="s">
        <v>3527</v>
      </c>
      <c r="AB924" s="2" t="s">
        <v>46</v>
      </c>
      <c r="AC924" s="2" t="s">
        <v>3527</v>
      </c>
      <c r="AE924" s="2" t="s">
        <v>48</v>
      </c>
      <c r="AF924" s="2" t="s">
        <v>49</v>
      </c>
      <c r="AG924" s="2">
        <v>90</v>
      </c>
      <c r="AH924" s="2">
        <v>70</v>
      </c>
      <c r="AJ924" s="2" t="s">
        <v>8825</v>
      </c>
      <c r="AK924" s="2"/>
      <c r="AL924" s="2"/>
      <c r="AM924" s="2" t="s">
        <v>52</v>
      </c>
    </row>
    <row r="925" spans="1:39" x14ac:dyDescent="0.45">
      <c r="A925" s="2" t="s">
        <v>8826</v>
      </c>
      <c r="B925" s="2"/>
      <c r="C925" s="2" t="s">
        <v>8828</v>
      </c>
      <c r="D925" s="2" t="s">
        <v>8830</v>
      </c>
      <c r="E925" s="25"/>
      <c r="F925" s="21"/>
      <c r="G925" s="42" t="s">
        <v>28000</v>
      </c>
      <c r="H925" s="2" t="s">
        <v>7865</v>
      </c>
      <c r="I925" s="2" t="s">
        <v>8832</v>
      </c>
      <c r="J925" s="2" t="s">
        <v>8827</v>
      </c>
      <c r="K925" s="2" t="s">
        <v>8829</v>
      </c>
      <c r="L925" s="2"/>
      <c r="M925" s="2"/>
      <c r="N925" s="2" t="s">
        <v>174</v>
      </c>
      <c r="O925" s="2" t="s">
        <v>175</v>
      </c>
      <c r="P925" s="2" t="s">
        <v>1316</v>
      </c>
      <c r="Q925" s="2" t="s">
        <v>8829</v>
      </c>
      <c r="R925" s="2"/>
      <c r="S925" s="2"/>
      <c r="T925" s="2"/>
      <c r="U925" s="2" t="s">
        <v>174</v>
      </c>
      <c r="V925" s="2" t="s">
        <v>175</v>
      </c>
      <c r="W925" s="2" t="s">
        <v>1316</v>
      </c>
      <c r="X925" s="2" t="s">
        <v>8831</v>
      </c>
      <c r="Y925" s="2" t="s">
        <v>44</v>
      </c>
      <c r="Z925" s="2"/>
      <c r="AA925" s="2" t="s">
        <v>3527</v>
      </c>
      <c r="AB925" s="2" t="s">
        <v>46</v>
      </c>
      <c r="AC925" s="2" t="s">
        <v>3527</v>
      </c>
      <c r="AE925" s="2" t="s">
        <v>48</v>
      </c>
      <c r="AF925" s="2" t="s">
        <v>49</v>
      </c>
      <c r="AG925" s="2">
        <v>90</v>
      </c>
      <c r="AH925" s="2">
        <v>70</v>
      </c>
      <c r="AJ925" s="2" t="s">
        <v>8833</v>
      </c>
      <c r="AK925" s="2"/>
      <c r="AL925" s="2"/>
      <c r="AM925" s="2" t="s">
        <v>52</v>
      </c>
    </row>
    <row r="926" spans="1:39" x14ac:dyDescent="0.45">
      <c r="A926" s="2" t="s">
        <v>8834</v>
      </c>
      <c r="B926" s="2"/>
      <c r="C926" s="2" t="s">
        <v>8836</v>
      </c>
      <c r="D926" s="2" t="s">
        <v>8838</v>
      </c>
      <c r="E926" s="25"/>
      <c r="F926" s="21"/>
      <c r="G926" s="42" t="s">
        <v>28000</v>
      </c>
      <c r="H926" s="2" t="s">
        <v>7865</v>
      </c>
      <c r="I926" s="2" t="s">
        <v>8840</v>
      </c>
      <c r="J926" s="2" t="s">
        <v>8835</v>
      </c>
      <c r="K926" s="2" t="s">
        <v>8837</v>
      </c>
      <c r="L926" s="2"/>
      <c r="M926" s="2"/>
      <c r="N926" s="2" t="s">
        <v>1023</v>
      </c>
      <c r="O926" s="2" t="s">
        <v>73</v>
      </c>
      <c r="P926" s="2" t="s">
        <v>5695</v>
      </c>
      <c r="Q926" s="2" t="s">
        <v>8839</v>
      </c>
      <c r="R926" s="2"/>
      <c r="S926" s="2"/>
      <c r="T926" s="2"/>
      <c r="U926" s="2" t="s">
        <v>1023</v>
      </c>
      <c r="V926" s="2" t="s">
        <v>73</v>
      </c>
      <c r="W926" s="2" t="s">
        <v>5695</v>
      </c>
      <c r="X926" s="2" t="s">
        <v>8298</v>
      </c>
      <c r="Y926" s="2" t="s">
        <v>44</v>
      </c>
      <c r="Z926" s="2"/>
      <c r="AA926" s="2" t="s">
        <v>3527</v>
      </c>
      <c r="AB926" s="2" t="s">
        <v>46</v>
      </c>
      <c r="AC926" s="2" t="s">
        <v>3527</v>
      </c>
      <c r="AE926" s="2" t="s">
        <v>48</v>
      </c>
      <c r="AF926" s="2" t="s">
        <v>49</v>
      </c>
      <c r="AG926" s="2">
        <v>90</v>
      </c>
      <c r="AH926" s="2">
        <v>70</v>
      </c>
      <c r="AJ926" s="2" t="s">
        <v>8841</v>
      </c>
      <c r="AK926" s="2"/>
      <c r="AL926" s="2"/>
      <c r="AM926" s="2" t="s">
        <v>52</v>
      </c>
    </row>
    <row r="927" spans="1:39" x14ac:dyDescent="0.45">
      <c r="A927" s="2" t="s">
        <v>8842</v>
      </c>
      <c r="B927" s="2"/>
      <c r="C927" s="2" t="s">
        <v>8844</v>
      </c>
      <c r="D927" s="2" t="s">
        <v>8846</v>
      </c>
      <c r="E927" s="25"/>
      <c r="F927" s="21"/>
      <c r="G927" s="42" t="s">
        <v>28000</v>
      </c>
      <c r="H927" s="2" t="s">
        <v>7865</v>
      </c>
      <c r="I927" s="2" t="s">
        <v>8849</v>
      </c>
      <c r="J927" s="2" t="s">
        <v>8843</v>
      </c>
      <c r="K927" s="2" t="s">
        <v>8845</v>
      </c>
      <c r="L927" s="2"/>
      <c r="M927" s="2"/>
      <c r="N927" s="2" t="s">
        <v>651</v>
      </c>
      <c r="O927" s="2" t="s">
        <v>86</v>
      </c>
      <c r="P927" s="2" t="s">
        <v>8847</v>
      </c>
      <c r="Q927" s="2" t="s">
        <v>8848</v>
      </c>
      <c r="R927" s="2"/>
      <c r="S927" s="2"/>
      <c r="T927" s="2"/>
      <c r="U927" s="2" t="s">
        <v>651</v>
      </c>
      <c r="V927" s="2" t="s">
        <v>86</v>
      </c>
      <c r="W927" s="2" t="s">
        <v>4731</v>
      </c>
      <c r="X927" s="2" t="s">
        <v>8315</v>
      </c>
      <c r="Y927" s="2" t="s">
        <v>44</v>
      </c>
      <c r="Z927" s="2"/>
      <c r="AA927" s="2" t="s">
        <v>3527</v>
      </c>
      <c r="AB927" s="2" t="s">
        <v>46</v>
      </c>
      <c r="AC927" s="2" t="s">
        <v>3527</v>
      </c>
      <c r="AE927" s="2" t="s">
        <v>48</v>
      </c>
      <c r="AF927" s="2" t="s">
        <v>49</v>
      </c>
      <c r="AG927" s="2">
        <v>90</v>
      </c>
      <c r="AH927" s="2">
        <v>70</v>
      </c>
      <c r="AJ927" s="2" t="s">
        <v>8850</v>
      </c>
      <c r="AK927" s="2"/>
      <c r="AL927" s="2"/>
      <c r="AM927" s="2" t="s">
        <v>52</v>
      </c>
    </row>
    <row r="928" spans="1:39" x14ac:dyDescent="0.45">
      <c r="A928" s="2" t="s">
        <v>8851</v>
      </c>
      <c r="B928" s="2"/>
      <c r="C928" s="2" t="s">
        <v>8853</v>
      </c>
      <c r="D928" s="2" t="s">
        <v>8855</v>
      </c>
      <c r="E928" s="25"/>
      <c r="F928" s="21"/>
      <c r="G928" s="42" t="s">
        <v>28000</v>
      </c>
      <c r="H928" s="2" t="s">
        <v>7865</v>
      </c>
      <c r="I928" s="2" t="s">
        <v>8857</v>
      </c>
      <c r="J928" s="2" t="s">
        <v>8852</v>
      </c>
      <c r="K928" s="2" t="s">
        <v>8854</v>
      </c>
      <c r="L928" s="2"/>
      <c r="M928" s="2"/>
      <c r="N928" s="2" t="s">
        <v>384</v>
      </c>
      <c r="O928" s="2" t="s">
        <v>73</v>
      </c>
      <c r="P928" s="2" t="s">
        <v>1837</v>
      </c>
      <c r="Q928" s="2" t="s">
        <v>8856</v>
      </c>
      <c r="R928" s="2"/>
      <c r="S928" s="2"/>
      <c r="T928" s="2"/>
      <c r="U928" s="2" t="s">
        <v>384</v>
      </c>
      <c r="V928" s="2" t="s">
        <v>73</v>
      </c>
      <c r="W928" s="2" t="s">
        <v>1837</v>
      </c>
      <c r="X928" s="2" t="s">
        <v>6846</v>
      </c>
      <c r="Y928" s="2" t="s">
        <v>44</v>
      </c>
      <c r="Z928" s="2"/>
      <c r="AA928" s="2" t="s">
        <v>3527</v>
      </c>
      <c r="AB928" s="2" t="s">
        <v>46</v>
      </c>
      <c r="AC928" s="2" t="s">
        <v>3527</v>
      </c>
      <c r="AE928" s="2" t="s">
        <v>48</v>
      </c>
      <c r="AF928" s="2" t="s">
        <v>49</v>
      </c>
      <c r="AG928" s="2">
        <v>90</v>
      </c>
      <c r="AH928" s="2">
        <v>70</v>
      </c>
      <c r="AJ928" s="2" t="s">
        <v>8858</v>
      </c>
      <c r="AK928" s="2"/>
      <c r="AL928" s="2"/>
      <c r="AM928" s="2" t="s">
        <v>52</v>
      </c>
    </row>
    <row r="929" spans="1:39" x14ac:dyDescent="0.45">
      <c r="A929" s="2" t="s">
        <v>8859</v>
      </c>
      <c r="B929" s="2"/>
      <c r="C929" s="2" t="s">
        <v>8861</v>
      </c>
      <c r="D929" s="2" t="s">
        <v>8863</v>
      </c>
      <c r="E929" s="25"/>
      <c r="F929" s="21"/>
      <c r="G929" s="42" t="s">
        <v>28000</v>
      </c>
      <c r="H929" s="2" t="s">
        <v>7865</v>
      </c>
      <c r="I929" s="2" t="s">
        <v>8865</v>
      </c>
      <c r="J929" s="2" t="s">
        <v>8860</v>
      </c>
      <c r="K929" s="2" t="s">
        <v>8862</v>
      </c>
      <c r="L929" s="2"/>
      <c r="M929" s="2"/>
      <c r="N929" s="2" t="s">
        <v>536</v>
      </c>
      <c r="O929" s="2" t="s">
        <v>537</v>
      </c>
      <c r="P929" s="2" t="s">
        <v>4926</v>
      </c>
      <c r="Q929" s="2" t="s">
        <v>8862</v>
      </c>
      <c r="R929" s="2"/>
      <c r="S929" s="2"/>
      <c r="T929" s="2"/>
      <c r="U929" s="2" t="s">
        <v>536</v>
      </c>
      <c r="V929" s="2" t="s">
        <v>537</v>
      </c>
      <c r="W929" s="2" t="s">
        <v>4926</v>
      </c>
      <c r="X929" s="2" t="s">
        <v>8864</v>
      </c>
      <c r="Y929" s="2" t="s">
        <v>44</v>
      </c>
      <c r="Z929" s="2"/>
      <c r="AA929" s="2" t="s">
        <v>3527</v>
      </c>
      <c r="AB929" s="2" t="s">
        <v>46</v>
      </c>
      <c r="AC929" s="2" t="s">
        <v>3527</v>
      </c>
      <c r="AE929" s="2" t="s">
        <v>48</v>
      </c>
      <c r="AF929" s="2" t="s">
        <v>49</v>
      </c>
      <c r="AG929" s="2">
        <v>90</v>
      </c>
      <c r="AH929" s="2">
        <v>70</v>
      </c>
      <c r="AJ929" s="2" t="s">
        <v>8866</v>
      </c>
      <c r="AK929" s="2"/>
      <c r="AL929" s="2"/>
      <c r="AM929" s="2" t="s">
        <v>52</v>
      </c>
    </row>
    <row r="930" spans="1:39" x14ac:dyDescent="0.45">
      <c r="A930" s="2" t="s">
        <v>6821</v>
      </c>
      <c r="B930" s="2"/>
      <c r="C930" s="2" t="s">
        <v>8868</v>
      </c>
      <c r="D930" s="2" t="s">
        <v>6825</v>
      </c>
      <c r="E930" s="25"/>
      <c r="F930" s="21"/>
      <c r="G930" s="42" t="s">
        <v>28000</v>
      </c>
      <c r="H930" s="2" t="s">
        <v>7865</v>
      </c>
      <c r="I930" s="2" t="s">
        <v>6829</v>
      </c>
      <c r="J930" s="2" t="s">
        <v>8867</v>
      </c>
      <c r="K930" s="2" t="s">
        <v>6824</v>
      </c>
      <c r="L930" s="2"/>
      <c r="M930" s="2"/>
      <c r="N930" s="2" t="s">
        <v>72</v>
      </c>
      <c r="O930" s="2" t="s">
        <v>73</v>
      </c>
      <c r="P930" s="2" t="s">
        <v>1610</v>
      </c>
      <c r="Q930" s="2" t="s">
        <v>6827</v>
      </c>
      <c r="R930" s="2"/>
      <c r="S930" s="2"/>
      <c r="T930" s="2"/>
      <c r="U930" s="2" t="s">
        <v>72</v>
      </c>
      <c r="V930" s="2" t="s">
        <v>73</v>
      </c>
      <c r="W930" s="2" t="s">
        <v>1046</v>
      </c>
      <c r="X930" s="2" t="s">
        <v>8869</v>
      </c>
      <c r="Y930" s="2" t="s">
        <v>44</v>
      </c>
      <c r="Z930" s="2"/>
      <c r="AA930" s="2" t="s">
        <v>3527</v>
      </c>
      <c r="AB930" s="2" t="s">
        <v>46</v>
      </c>
      <c r="AC930" s="2" t="s">
        <v>3527</v>
      </c>
      <c r="AE930" s="2" t="s">
        <v>48</v>
      </c>
      <c r="AF930" s="2" t="s">
        <v>49</v>
      </c>
      <c r="AG930" s="2">
        <v>90</v>
      </c>
      <c r="AH930" s="2">
        <v>70</v>
      </c>
      <c r="AJ930" s="2" t="s">
        <v>6830</v>
      </c>
      <c r="AK930" s="2"/>
      <c r="AL930" s="2"/>
      <c r="AM930" s="2" t="s">
        <v>52</v>
      </c>
    </row>
    <row r="931" spans="1:39" x14ac:dyDescent="0.45">
      <c r="A931" s="2" t="s">
        <v>8870</v>
      </c>
      <c r="B931" s="2"/>
      <c r="C931" s="2" t="s">
        <v>8872</v>
      </c>
      <c r="D931" s="2" t="s">
        <v>8874</v>
      </c>
      <c r="E931" s="25"/>
      <c r="F931" s="21"/>
      <c r="G931" s="42" t="s">
        <v>28000</v>
      </c>
      <c r="H931" s="2" t="s">
        <v>7865</v>
      </c>
      <c r="I931" s="2" t="s">
        <v>8877</v>
      </c>
      <c r="J931" s="2" t="s">
        <v>8871</v>
      </c>
      <c r="K931" s="2" t="s">
        <v>8873</v>
      </c>
      <c r="L931" s="2"/>
      <c r="M931" s="2"/>
      <c r="N931" s="2" t="s">
        <v>1188</v>
      </c>
      <c r="O931" s="2" t="s">
        <v>221</v>
      </c>
      <c r="P931" s="2" t="s">
        <v>7349</v>
      </c>
      <c r="Q931" s="2" t="s">
        <v>8875</v>
      </c>
      <c r="R931" s="2"/>
      <c r="S931" s="2"/>
      <c r="T931" s="2"/>
      <c r="U931" s="2" t="s">
        <v>651</v>
      </c>
      <c r="V931" s="2" t="s">
        <v>86</v>
      </c>
      <c r="W931" s="2" t="s">
        <v>1189</v>
      </c>
      <c r="X931" s="2" t="s">
        <v>8876</v>
      </c>
      <c r="Y931" s="2" t="s">
        <v>44</v>
      </c>
      <c r="Z931" s="2"/>
      <c r="AA931" s="2" t="s">
        <v>3527</v>
      </c>
      <c r="AB931" s="2" t="s">
        <v>46</v>
      </c>
      <c r="AC931" s="2" t="s">
        <v>3527</v>
      </c>
      <c r="AE931" s="2" t="s">
        <v>48</v>
      </c>
      <c r="AF931" s="2" t="s">
        <v>49</v>
      </c>
      <c r="AG931" s="2">
        <v>90</v>
      </c>
      <c r="AH931" s="2">
        <v>70</v>
      </c>
      <c r="AJ931" s="2" t="s">
        <v>8878</v>
      </c>
      <c r="AK931" s="2"/>
      <c r="AL931" s="2"/>
      <c r="AM931" s="2" t="s">
        <v>52</v>
      </c>
    </row>
    <row r="932" spans="1:39" x14ac:dyDescent="0.45">
      <c r="A932" s="2" t="s">
        <v>8879</v>
      </c>
      <c r="B932" s="2"/>
      <c r="C932" s="2" t="s">
        <v>8881</v>
      </c>
      <c r="D932" s="2" t="s">
        <v>8883</v>
      </c>
      <c r="E932" s="25"/>
      <c r="F932" s="21"/>
      <c r="G932" s="42" t="s">
        <v>28000</v>
      </c>
      <c r="H932" s="2" t="s">
        <v>7865</v>
      </c>
      <c r="I932" s="2" t="s">
        <v>8885</v>
      </c>
      <c r="J932" s="2" t="s">
        <v>8880</v>
      </c>
      <c r="K932" s="2" t="s">
        <v>8882</v>
      </c>
      <c r="L932" s="2"/>
      <c r="M932" s="2"/>
      <c r="N932" s="2" t="s">
        <v>59</v>
      </c>
      <c r="O932" s="2" t="s">
        <v>60</v>
      </c>
      <c r="P932" s="2" t="s">
        <v>1589</v>
      </c>
      <c r="Q932" s="2" t="s">
        <v>8882</v>
      </c>
      <c r="R932" s="2"/>
      <c r="S932" s="2"/>
      <c r="T932" s="2"/>
      <c r="U932" s="2" t="s">
        <v>59</v>
      </c>
      <c r="V932" s="2" t="s">
        <v>60</v>
      </c>
      <c r="W932" s="2" t="s">
        <v>1589</v>
      </c>
      <c r="X932" s="2" t="s">
        <v>8884</v>
      </c>
      <c r="Y932" s="2" t="s">
        <v>44</v>
      </c>
      <c r="Z932" s="2"/>
      <c r="AA932" s="2" t="s">
        <v>3527</v>
      </c>
      <c r="AB932" s="2" t="s">
        <v>46</v>
      </c>
      <c r="AC932" s="2" t="s">
        <v>3527</v>
      </c>
      <c r="AE932" s="2" t="s">
        <v>48</v>
      </c>
      <c r="AF932" s="2" t="s">
        <v>49</v>
      </c>
      <c r="AG932" s="2">
        <v>90</v>
      </c>
      <c r="AH932" s="2">
        <v>70</v>
      </c>
      <c r="AJ932" s="2" t="s">
        <v>8886</v>
      </c>
      <c r="AK932" s="2"/>
      <c r="AL932" s="2"/>
      <c r="AM932" s="2" t="s">
        <v>52</v>
      </c>
    </row>
    <row r="933" spans="1:39" x14ac:dyDescent="0.45">
      <c r="A933" s="2" t="s">
        <v>8887</v>
      </c>
      <c r="B933" s="2"/>
      <c r="C933" s="2" t="s">
        <v>8889</v>
      </c>
      <c r="D933" s="2" t="s">
        <v>8891</v>
      </c>
      <c r="E933" s="25"/>
      <c r="F933" s="21"/>
      <c r="G933" s="42" t="s">
        <v>28000</v>
      </c>
      <c r="H933" s="2" t="s">
        <v>7865</v>
      </c>
      <c r="I933" s="2" t="s">
        <v>8893</v>
      </c>
      <c r="J933" s="2" t="s">
        <v>8888</v>
      </c>
      <c r="K933" s="2" t="s">
        <v>8890</v>
      </c>
      <c r="L933" s="2"/>
      <c r="M933" s="2"/>
      <c r="N933" s="2" t="s">
        <v>85</v>
      </c>
      <c r="O933" s="2" t="s">
        <v>86</v>
      </c>
      <c r="P933" s="2" t="s">
        <v>87</v>
      </c>
      <c r="Q933" s="2" t="s">
        <v>8890</v>
      </c>
      <c r="R933" s="2"/>
      <c r="S933" s="2"/>
      <c r="T933" s="2"/>
      <c r="U933" s="2" t="s">
        <v>85</v>
      </c>
      <c r="V933" s="2" t="s">
        <v>86</v>
      </c>
      <c r="W933" s="2" t="s">
        <v>87</v>
      </c>
      <c r="X933" s="2" t="s">
        <v>8892</v>
      </c>
      <c r="Y933" s="2" t="s">
        <v>44</v>
      </c>
      <c r="Z933" s="2"/>
      <c r="AA933" s="2" t="s">
        <v>3527</v>
      </c>
      <c r="AB933" s="2" t="s">
        <v>46</v>
      </c>
      <c r="AC933" s="2" t="s">
        <v>3527</v>
      </c>
      <c r="AE933" s="2" t="s">
        <v>48</v>
      </c>
      <c r="AF933" s="2" t="s">
        <v>49</v>
      </c>
      <c r="AG933" s="2">
        <v>90</v>
      </c>
      <c r="AH933" s="2">
        <v>70</v>
      </c>
      <c r="AJ933" s="2" t="s">
        <v>8894</v>
      </c>
      <c r="AK933" s="2"/>
      <c r="AL933" s="2"/>
      <c r="AM933" s="2" t="s">
        <v>52</v>
      </c>
    </row>
    <row r="934" spans="1:39" x14ac:dyDescent="0.45">
      <c r="A934" s="2" t="s">
        <v>8895</v>
      </c>
      <c r="B934" s="2"/>
      <c r="C934" s="2" t="s">
        <v>8897</v>
      </c>
      <c r="D934" s="2" t="s">
        <v>8899</v>
      </c>
      <c r="E934" s="25"/>
      <c r="F934" s="21"/>
      <c r="G934" s="42" t="s">
        <v>28000</v>
      </c>
      <c r="H934" s="2" t="s">
        <v>7865</v>
      </c>
      <c r="I934" s="2" t="s">
        <v>8901</v>
      </c>
      <c r="J934" s="2" t="s">
        <v>8896</v>
      </c>
      <c r="K934" s="2" t="s">
        <v>8898</v>
      </c>
      <c r="L934" s="2"/>
      <c r="M934" s="2"/>
      <c r="N934" s="2" t="s">
        <v>59</v>
      </c>
      <c r="O934" s="2" t="s">
        <v>60</v>
      </c>
      <c r="P934" s="2" t="s">
        <v>1589</v>
      </c>
      <c r="Q934" s="2" t="s">
        <v>8898</v>
      </c>
      <c r="R934" s="2"/>
      <c r="S934" s="2"/>
      <c r="T934" s="2"/>
      <c r="U934" s="2" t="s">
        <v>59</v>
      </c>
      <c r="V934" s="2" t="s">
        <v>60</v>
      </c>
      <c r="W934" s="2" t="s">
        <v>1589</v>
      </c>
      <c r="X934" s="2" t="s">
        <v>8900</v>
      </c>
      <c r="Y934" s="2" t="s">
        <v>44</v>
      </c>
      <c r="Z934" s="2"/>
      <c r="AA934" s="2" t="s">
        <v>3527</v>
      </c>
      <c r="AB934" s="2" t="s">
        <v>46</v>
      </c>
      <c r="AC934" s="2" t="s">
        <v>3527</v>
      </c>
      <c r="AE934" s="2" t="s">
        <v>48</v>
      </c>
      <c r="AF934" s="2" t="s">
        <v>49</v>
      </c>
      <c r="AG934" s="2">
        <v>90</v>
      </c>
      <c r="AH934" s="2">
        <v>70</v>
      </c>
      <c r="AJ934" s="2" t="s">
        <v>8902</v>
      </c>
      <c r="AK934" s="2"/>
      <c r="AL934" s="2"/>
      <c r="AM934" s="2" t="s">
        <v>52</v>
      </c>
    </row>
    <row r="935" spans="1:39" x14ac:dyDescent="0.45">
      <c r="A935" s="2" t="s">
        <v>8903</v>
      </c>
      <c r="B935" s="2"/>
      <c r="C935" s="2" t="s">
        <v>8905</v>
      </c>
      <c r="D935" s="2" t="s">
        <v>8907</v>
      </c>
      <c r="E935" s="25"/>
      <c r="F935" s="21"/>
      <c r="G935" s="42" t="s">
        <v>28000</v>
      </c>
      <c r="H935" s="2" t="s">
        <v>7865</v>
      </c>
      <c r="I935" s="2" t="s">
        <v>8908</v>
      </c>
      <c r="J935" s="2" t="s">
        <v>8904</v>
      </c>
      <c r="K935" s="2" t="s">
        <v>8906</v>
      </c>
      <c r="L935" s="2"/>
      <c r="M935" s="2"/>
      <c r="N935" s="2" t="s">
        <v>72</v>
      </c>
      <c r="O935" s="2" t="s">
        <v>73</v>
      </c>
      <c r="P935" s="2" t="s">
        <v>464</v>
      </c>
      <c r="Q935" s="2" t="s">
        <v>8906</v>
      </c>
      <c r="R935" s="2"/>
      <c r="S935" s="2"/>
      <c r="T935" s="2"/>
      <c r="U935" s="2" t="s">
        <v>72</v>
      </c>
      <c r="V935" s="2" t="s">
        <v>73</v>
      </c>
      <c r="W935" s="2" t="s">
        <v>464</v>
      </c>
      <c r="X935" s="2" t="s">
        <v>2498</v>
      </c>
      <c r="Y935" s="2" t="s">
        <v>44</v>
      </c>
      <c r="Z935" s="2"/>
      <c r="AA935" s="2" t="s">
        <v>3527</v>
      </c>
      <c r="AB935" s="2" t="s">
        <v>46</v>
      </c>
      <c r="AC935" s="2" t="s">
        <v>3527</v>
      </c>
      <c r="AE935" s="2" t="s">
        <v>48</v>
      </c>
      <c r="AF935" s="2" t="s">
        <v>49</v>
      </c>
      <c r="AG935" s="2">
        <v>90</v>
      </c>
      <c r="AH935" s="2">
        <v>70</v>
      </c>
      <c r="AJ935" s="2" t="s">
        <v>8909</v>
      </c>
      <c r="AK935" s="2"/>
      <c r="AL935" s="2"/>
      <c r="AM935" s="2" t="s">
        <v>52</v>
      </c>
    </row>
    <row r="936" spans="1:39" x14ac:dyDescent="0.45">
      <c r="A936" s="2" t="s">
        <v>8910</v>
      </c>
      <c r="B936" s="2"/>
      <c r="C936" s="2" t="s">
        <v>8912</v>
      </c>
      <c r="D936" s="2" t="s">
        <v>8914</v>
      </c>
      <c r="E936" s="25"/>
      <c r="F936" s="21"/>
      <c r="G936" s="42" t="s">
        <v>28000</v>
      </c>
      <c r="H936" s="2" t="s">
        <v>7865</v>
      </c>
      <c r="I936" s="2" t="s">
        <v>8916</v>
      </c>
      <c r="J936" s="2" t="s">
        <v>8911</v>
      </c>
      <c r="K936" s="2" t="s">
        <v>8913</v>
      </c>
      <c r="L936" s="2"/>
      <c r="M936" s="2"/>
      <c r="N936" s="2" t="s">
        <v>72</v>
      </c>
      <c r="O936" s="2" t="s">
        <v>73</v>
      </c>
      <c r="P936" s="2" t="s">
        <v>5401</v>
      </c>
      <c r="Q936" s="2" t="s">
        <v>8913</v>
      </c>
      <c r="R936" s="2"/>
      <c r="S936" s="2"/>
      <c r="T936" s="2"/>
      <c r="U936" s="2" t="s">
        <v>72</v>
      </c>
      <c r="V936" s="2" t="s">
        <v>73</v>
      </c>
      <c r="W936" s="2" t="s">
        <v>5401</v>
      </c>
      <c r="X936" s="2" t="s">
        <v>8915</v>
      </c>
      <c r="Y936" s="2" t="s">
        <v>44</v>
      </c>
      <c r="Z936" s="2"/>
      <c r="AA936" s="2" t="s">
        <v>3527</v>
      </c>
      <c r="AB936" s="2" t="s">
        <v>46</v>
      </c>
      <c r="AC936" s="2" t="s">
        <v>3527</v>
      </c>
      <c r="AE936" s="2" t="s">
        <v>48</v>
      </c>
      <c r="AF936" s="2" t="s">
        <v>49</v>
      </c>
      <c r="AG936" s="2">
        <v>90</v>
      </c>
      <c r="AH936" s="2">
        <v>70</v>
      </c>
      <c r="AJ936" s="2" t="s">
        <v>8917</v>
      </c>
      <c r="AK936" s="2"/>
      <c r="AL936" s="2"/>
      <c r="AM936" s="2" t="s">
        <v>52</v>
      </c>
    </row>
    <row r="937" spans="1:39" x14ac:dyDescent="0.45">
      <c r="A937" s="2" t="s">
        <v>8918</v>
      </c>
      <c r="B937" s="2"/>
      <c r="C937" s="2" t="s">
        <v>8920</v>
      </c>
      <c r="D937" s="2" t="s">
        <v>8922</v>
      </c>
      <c r="E937" s="25"/>
      <c r="F937" s="21"/>
      <c r="G937" s="42" t="s">
        <v>28000</v>
      </c>
      <c r="H937" s="2" t="s">
        <v>7865</v>
      </c>
      <c r="I937" s="2" t="s">
        <v>8924</v>
      </c>
      <c r="J937" s="2" t="s">
        <v>8919</v>
      </c>
      <c r="K937" s="2" t="s">
        <v>8921</v>
      </c>
      <c r="L937" s="2"/>
      <c r="M937" s="2"/>
      <c r="N937" s="2" t="s">
        <v>72</v>
      </c>
      <c r="O937" s="2" t="s">
        <v>73</v>
      </c>
      <c r="P937" s="2" t="s">
        <v>187</v>
      </c>
      <c r="Q937" s="2" t="s">
        <v>8923</v>
      </c>
      <c r="R937" s="2"/>
      <c r="S937" s="2"/>
      <c r="T937" s="2"/>
      <c r="U937" s="2" t="s">
        <v>72</v>
      </c>
      <c r="V937" s="2" t="s">
        <v>73</v>
      </c>
      <c r="W937" s="2" t="s">
        <v>8038</v>
      </c>
      <c r="X937" s="2" t="s">
        <v>6958</v>
      </c>
      <c r="Y937" s="2" t="s">
        <v>44</v>
      </c>
      <c r="Z937" s="2"/>
      <c r="AA937" s="2" t="s">
        <v>3527</v>
      </c>
      <c r="AB937" s="2" t="s">
        <v>46</v>
      </c>
      <c r="AC937" s="2" t="s">
        <v>3527</v>
      </c>
      <c r="AE937" s="2" t="s">
        <v>48</v>
      </c>
      <c r="AF937" s="2" t="s">
        <v>49</v>
      </c>
      <c r="AG937" s="2">
        <v>90</v>
      </c>
      <c r="AH937" s="2">
        <v>70</v>
      </c>
      <c r="AJ937" s="2" t="s">
        <v>8925</v>
      </c>
      <c r="AK937" s="2"/>
      <c r="AL937" s="2"/>
      <c r="AM937" s="2" t="s">
        <v>52</v>
      </c>
    </row>
    <row r="938" spans="1:39" x14ac:dyDescent="0.45">
      <c r="A938" s="2" t="s">
        <v>8926</v>
      </c>
      <c r="B938" s="2"/>
      <c r="C938" s="2" t="s">
        <v>8928</v>
      </c>
      <c r="D938" s="2" t="s">
        <v>8930</v>
      </c>
      <c r="E938" s="25"/>
      <c r="F938" s="21"/>
      <c r="G938" s="42" t="s">
        <v>28000</v>
      </c>
      <c r="H938" s="2" t="s">
        <v>7865</v>
      </c>
      <c r="I938" s="2" t="s">
        <v>8931</v>
      </c>
      <c r="J938" s="2" t="s">
        <v>8927</v>
      </c>
      <c r="K938" s="2" t="s">
        <v>8929</v>
      </c>
      <c r="L938" s="2"/>
      <c r="M938" s="2"/>
      <c r="N938" s="2" t="s">
        <v>536</v>
      </c>
      <c r="O938" s="2" t="s">
        <v>537</v>
      </c>
      <c r="P938" s="2" t="s">
        <v>538</v>
      </c>
      <c r="Q938" s="2" t="s">
        <v>8929</v>
      </c>
      <c r="R938" s="2"/>
      <c r="S938" s="2"/>
      <c r="T938" s="2"/>
      <c r="U938" s="2" t="s">
        <v>536</v>
      </c>
      <c r="V938" s="2" t="s">
        <v>537</v>
      </c>
      <c r="W938" s="2" t="s">
        <v>538</v>
      </c>
      <c r="X938" s="2" t="s">
        <v>4782</v>
      </c>
      <c r="Y938" s="2" t="s">
        <v>44</v>
      </c>
      <c r="Z938" s="2"/>
      <c r="AA938" s="2" t="s">
        <v>3527</v>
      </c>
      <c r="AB938" s="2" t="s">
        <v>46</v>
      </c>
      <c r="AC938" s="2" t="s">
        <v>3527</v>
      </c>
      <c r="AE938" s="2" t="s">
        <v>48</v>
      </c>
      <c r="AF938" s="2" t="s">
        <v>49</v>
      </c>
      <c r="AG938" s="2">
        <v>90</v>
      </c>
      <c r="AH938" s="2">
        <v>70</v>
      </c>
      <c r="AJ938" s="2" t="s">
        <v>8932</v>
      </c>
      <c r="AK938" s="2"/>
      <c r="AL938" s="2"/>
      <c r="AM938" s="2" t="s">
        <v>52</v>
      </c>
    </row>
    <row r="939" spans="1:39" x14ac:dyDescent="0.45">
      <c r="A939" s="2" t="s">
        <v>8933</v>
      </c>
      <c r="B939" s="2"/>
      <c r="C939" s="2" t="s">
        <v>8935</v>
      </c>
      <c r="D939" s="2" t="s">
        <v>8937</v>
      </c>
      <c r="E939" s="25"/>
      <c r="F939" s="21"/>
      <c r="G939" s="42" t="s">
        <v>28000</v>
      </c>
      <c r="H939" s="2" t="s">
        <v>7865</v>
      </c>
      <c r="I939" s="2" t="s">
        <v>8939</v>
      </c>
      <c r="J939" s="2" t="s">
        <v>8934</v>
      </c>
      <c r="K939" s="2" t="s">
        <v>8936</v>
      </c>
      <c r="L939" s="2"/>
      <c r="M939" s="2"/>
      <c r="N939" s="2" t="s">
        <v>72</v>
      </c>
      <c r="O939" s="2" t="s">
        <v>73</v>
      </c>
      <c r="P939" s="2" t="s">
        <v>791</v>
      </c>
      <c r="Q939" s="2" t="s">
        <v>8938</v>
      </c>
      <c r="R939" s="2"/>
      <c r="S939" s="2"/>
      <c r="T939" s="2"/>
      <c r="U939" s="2" t="s">
        <v>72</v>
      </c>
      <c r="V939" s="2" t="s">
        <v>73</v>
      </c>
      <c r="W939" s="2" t="s">
        <v>791</v>
      </c>
      <c r="X939" s="2" t="s">
        <v>245</v>
      </c>
      <c r="Y939" s="2" t="s">
        <v>44</v>
      </c>
      <c r="Z939" s="2"/>
      <c r="AA939" s="2" t="s">
        <v>3527</v>
      </c>
      <c r="AB939" s="2" t="s">
        <v>46</v>
      </c>
      <c r="AC939" s="2" t="s">
        <v>3527</v>
      </c>
      <c r="AE939" s="2" t="s">
        <v>48</v>
      </c>
      <c r="AF939" s="2" t="s">
        <v>49</v>
      </c>
      <c r="AG939" s="2">
        <v>90</v>
      </c>
      <c r="AH939" s="2">
        <v>70</v>
      </c>
      <c r="AJ939" s="2" t="s">
        <v>8940</v>
      </c>
      <c r="AK939" s="2"/>
      <c r="AL939" s="2"/>
      <c r="AM939" s="2" t="s">
        <v>52</v>
      </c>
    </row>
    <row r="940" spans="1:39" x14ac:dyDescent="0.45">
      <c r="A940" s="2" t="s">
        <v>8941</v>
      </c>
      <c r="B940" s="2"/>
      <c r="C940" s="2" t="s">
        <v>8943</v>
      </c>
      <c r="D940" s="2" t="s">
        <v>8945</v>
      </c>
      <c r="E940" s="25"/>
      <c r="F940" s="21"/>
      <c r="G940" s="42" t="s">
        <v>28000</v>
      </c>
      <c r="H940" s="2" t="s">
        <v>7865</v>
      </c>
      <c r="I940" s="2" t="s">
        <v>8946</v>
      </c>
      <c r="J940" s="2" t="s">
        <v>8942</v>
      </c>
      <c r="K940" s="2" t="s">
        <v>8944</v>
      </c>
      <c r="L940" s="2"/>
      <c r="M940" s="2"/>
      <c r="N940" s="2" t="s">
        <v>72</v>
      </c>
      <c r="O940" s="2" t="s">
        <v>73</v>
      </c>
      <c r="P940" s="2" t="s">
        <v>6297</v>
      </c>
      <c r="Q940" s="2" t="s">
        <v>8944</v>
      </c>
      <c r="R940" s="2"/>
      <c r="S940" s="2"/>
      <c r="T940" s="2"/>
      <c r="U940" s="2" t="s">
        <v>72</v>
      </c>
      <c r="V940" s="2" t="s">
        <v>73</v>
      </c>
      <c r="W940" s="2" t="s">
        <v>6297</v>
      </c>
      <c r="X940" s="2" t="s">
        <v>245</v>
      </c>
      <c r="Y940" s="2" t="s">
        <v>44</v>
      </c>
      <c r="Z940" s="2"/>
      <c r="AA940" s="2" t="s">
        <v>3527</v>
      </c>
      <c r="AB940" s="2" t="s">
        <v>46</v>
      </c>
      <c r="AC940" s="2" t="s">
        <v>3527</v>
      </c>
      <c r="AE940" s="2" t="s">
        <v>48</v>
      </c>
      <c r="AF940" s="2" t="s">
        <v>49</v>
      </c>
      <c r="AG940" s="2">
        <v>90</v>
      </c>
      <c r="AH940" s="2">
        <v>70</v>
      </c>
      <c r="AJ940" s="2" t="s">
        <v>8947</v>
      </c>
      <c r="AK940" s="2"/>
      <c r="AL940" s="2"/>
      <c r="AM940" s="2" t="s">
        <v>52</v>
      </c>
    </row>
    <row r="941" spans="1:39" x14ac:dyDescent="0.45">
      <c r="A941" s="2" t="s">
        <v>8948</v>
      </c>
      <c r="B941" s="2"/>
      <c r="C941" s="2" t="s">
        <v>8950</v>
      </c>
      <c r="D941" s="2" t="s">
        <v>8952</v>
      </c>
      <c r="E941" s="25"/>
      <c r="F941" s="21"/>
      <c r="G941" s="42" t="s">
        <v>28000</v>
      </c>
      <c r="H941" s="2" t="s">
        <v>7865</v>
      </c>
      <c r="I941" s="2" t="s">
        <v>8955</v>
      </c>
      <c r="J941" s="2" t="s">
        <v>8949</v>
      </c>
      <c r="K941" s="2" t="s">
        <v>8951</v>
      </c>
      <c r="L941" s="2"/>
      <c r="M941" s="2"/>
      <c r="N941" s="2" t="s">
        <v>174</v>
      </c>
      <c r="O941" s="2" t="s">
        <v>175</v>
      </c>
      <c r="P941" s="2" t="s">
        <v>8953</v>
      </c>
      <c r="Q941" s="2" t="s">
        <v>8951</v>
      </c>
      <c r="R941" s="2"/>
      <c r="S941" s="2"/>
      <c r="T941" s="2"/>
      <c r="U941" s="2" t="s">
        <v>174</v>
      </c>
      <c r="V941" s="2" t="s">
        <v>175</v>
      </c>
      <c r="W941" s="2" t="s">
        <v>8953</v>
      </c>
      <c r="X941" s="2" t="s">
        <v>8954</v>
      </c>
      <c r="Y941" s="2" t="s">
        <v>44</v>
      </c>
      <c r="Z941" s="2"/>
      <c r="AA941" s="2" t="s">
        <v>3527</v>
      </c>
      <c r="AB941" s="2" t="s">
        <v>46</v>
      </c>
      <c r="AC941" s="2" t="s">
        <v>3527</v>
      </c>
      <c r="AE941" s="2" t="s">
        <v>48</v>
      </c>
      <c r="AF941" s="2" t="s">
        <v>49</v>
      </c>
      <c r="AG941" s="2">
        <v>90</v>
      </c>
      <c r="AH941" s="2">
        <v>70</v>
      </c>
      <c r="AJ941" s="2" t="s">
        <v>8956</v>
      </c>
      <c r="AK941" s="2"/>
      <c r="AL941" s="2"/>
      <c r="AM941" s="2" t="s">
        <v>52</v>
      </c>
    </row>
    <row r="942" spans="1:39" x14ac:dyDescent="0.45">
      <c r="A942" s="2" t="s">
        <v>8957</v>
      </c>
      <c r="B942" s="2"/>
      <c r="C942" s="2" t="s">
        <v>8959</v>
      </c>
      <c r="D942" s="2" t="s">
        <v>8961</v>
      </c>
      <c r="E942" s="25"/>
      <c r="F942" s="21"/>
      <c r="G942" s="42" t="s">
        <v>28000</v>
      </c>
      <c r="H942" s="2" t="s">
        <v>7865</v>
      </c>
      <c r="I942" s="2" t="s">
        <v>8964</v>
      </c>
      <c r="J942" s="2" t="s">
        <v>8958</v>
      </c>
      <c r="K942" s="2" t="s">
        <v>8960</v>
      </c>
      <c r="L942" s="2"/>
      <c r="M942" s="2"/>
      <c r="N942" s="2" t="s">
        <v>72</v>
      </c>
      <c r="O942" s="2" t="s">
        <v>73</v>
      </c>
      <c r="P942" s="2" t="s">
        <v>98</v>
      </c>
      <c r="Q942" s="2" t="s">
        <v>8962</v>
      </c>
      <c r="R942" s="2"/>
      <c r="S942" s="2"/>
      <c r="T942" s="2"/>
      <c r="U942" s="2" t="s">
        <v>72</v>
      </c>
      <c r="V942" s="2" t="s">
        <v>73</v>
      </c>
      <c r="W942" s="2" t="s">
        <v>98</v>
      </c>
      <c r="X942" s="2" t="s">
        <v>8963</v>
      </c>
      <c r="Y942" s="2" t="s">
        <v>44</v>
      </c>
      <c r="Z942" s="2"/>
      <c r="AA942" s="2" t="s">
        <v>3527</v>
      </c>
      <c r="AB942" s="2" t="s">
        <v>46</v>
      </c>
      <c r="AC942" s="2" t="s">
        <v>3527</v>
      </c>
      <c r="AE942" s="2" t="s">
        <v>48</v>
      </c>
      <c r="AF942" s="2" t="s">
        <v>49</v>
      </c>
      <c r="AG942" s="2">
        <v>90</v>
      </c>
      <c r="AH942" s="2">
        <v>70</v>
      </c>
      <c r="AJ942" s="2" t="s">
        <v>8965</v>
      </c>
      <c r="AK942" s="2"/>
      <c r="AL942" s="2"/>
      <c r="AM942" s="2" t="s">
        <v>52</v>
      </c>
    </row>
    <row r="943" spans="1:39" x14ac:dyDescent="0.45">
      <c r="A943" s="2" t="s">
        <v>8966</v>
      </c>
      <c r="B943" s="2"/>
      <c r="C943" s="2" t="s">
        <v>8968</v>
      </c>
      <c r="D943" s="2" t="s">
        <v>8970</v>
      </c>
      <c r="E943" s="25"/>
      <c r="F943" s="21"/>
      <c r="G943" s="42" t="s">
        <v>28000</v>
      </c>
      <c r="H943" s="2" t="s">
        <v>7865</v>
      </c>
      <c r="I943" s="2" t="s">
        <v>8971</v>
      </c>
      <c r="J943" s="2" t="s">
        <v>8967</v>
      </c>
      <c r="K943" s="2" t="s">
        <v>8969</v>
      </c>
      <c r="L943" s="2"/>
      <c r="M943" s="2"/>
      <c r="N943" s="2" t="s">
        <v>59</v>
      </c>
      <c r="O943" s="2" t="s">
        <v>60</v>
      </c>
      <c r="P943" s="2" t="s">
        <v>1589</v>
      </c>
      <c r="Q943" s="2" t="s">
        <v>8969</v>
      </c>
      <c r="R943" s="2"/>
      <c r="S943" s="2"/>
      <c r="T943" s="2"/>
      <c r="U943" s="2" t="s">
        <v>59</v>
      </c>
      <c r="V943" s="2" t="s">
        <v>60</v>
      </c>
      <c r="W943" s="2" t="s">
        <v>1589</v>
      </c>
      <c r="X943" s="2" t="s">
        <v>8963</v>
      </c>
      <c r="Y943" s="2" t="s">
        <v>44</v>
      </c>
      <c r="Z943" s="2"/>
      <c r="AA943" s="2" t="s">
        <v>3527</v>
      </c>
      <c r="AB943" s="2" t="s">
        <v>46</v>
      </c>
      <c r="AC943" s="2" t="s">
        <v>3527</v>
      </c>
      <c r="AE943" s="2" t="s">
        <v>48</v>
      </c>
      <c r="AF943" s="2" t="s">
        <v>49</v>
      </c>
      <c r="AG943" s="2">
        <v>90</v>
      </c>
      <c r="AH943" s="2">
        <v>70</v>
      </c>
      <c r="AJ943" s="2" t="s">
        <v>8972</v>
      </c>
      <c r="AK943" s="2"/>
      <c r="AL943" s="2"/>
      <c r="AM943" s="2" t="s">
        <v>52</v>
      </c>
    </row>
    <row r="944" spans="1:39" x14ac:dyDescent="0.45">
      <c r="A944" s="2" t="s">
        <v>8973</v>
      </c>
      <c r="B944" s="2"/>
      <c r="C944" s="2" t="s">
        <v>8975</v>
      </c>
      <c r="D944" s="2" t="s">
        <v>8977</v>
      </c>
      <c r="E944" s="25"/>
      <c r="F944" s="21"/>
      <c r="G944" s="42" t="s">
        <v>28000</v>
      </c>
      <c r="H944" s="2" t="s">
        <v>7865</v>
      </c>
      <c r="I944" s="2" t="s">
        <v>8978</v>
      </c>
      <c r="J944" s="2" t="s">
        <v>8974</v>
      </c>
      <c r="K944" s="2" t="s">
        <v>8976</v>
      </c>
      <c r="L944" s="2"/>
      <c r="M944" s="2"/>
      <c r="N944" s="2" t="s">
        <v>424</v>
      </c>
      <c r="O944" s="2" t="s">
        <v>217</v>
      </c>
      <c r="P944" s="2" t="s">
        <v>2410</v>
      </c>
      <c r="Q944" s="2" t="s">
        <v>8976</v>
      </c>
      <c r="R944" s="2"/>
      <c r="S944" s="2"/>
      <c r="T944" s="2"/>
      <c r="U944" s="2" t="s">
        <v>424</v>
      </c>
      <c r="V944" s="2" t="s">
        <v>217</v>
      </c>
      <c r="W944" s="2" t="s">
        <v>2410</v>
      </c>
      <c r="X944" s="2" t="s">
        <v>580</v>
      </c>
      <c r="Y944" s="2" t="s">
        <v>44</v>
      </c>
      <c r="Z944" s="2"/>
      <c r="AA944" s="2" t="s">
        <v>3527</v>
      </c>
      <c r="AB944" s="2" t="s">
        <v>46</v>
      </c>
      <c r="AC944" s="2" t="s">
        <v>3527</v>
      </c>
      <c r="AE944" s="2" t="s">
        <v>48</v>
      </c>
      <c r="AF944" s="2" t="s">
        <v>49</v>
      </c>
      <c r="AG944" s="2">
        <v>90</v>
      </c>
      <c r="AH944" s="2">
        <v>70</v>
      </c>
      <c r="AJ944" s="2" t="s">
        <v>8979</v>
      </c>
      <c r="AK944" s="2"/>
      <c r="AL944" s="2"/>
      <c r="AM944" s="2" t="s">
        <v>52</v>
      </c>
    </row>
    <row r="945" spans="1:39" x14ac:dyDescent="0.45">
      <c r="A945" s="2" t="s">
        <v>8980</v>
      </c>
      <c r="B945" s="2"/>
      <c r="C945" s="2" t="s">
        <v>8982</v>
      </c>
      <c r="D945" s="2" t="s">
        <v>8984</v>
      </c>
      <c r="E945" s="25"/>
      <c r="F945" s="21"/>
      <c r="G945" s="42" t="s">
        <v>28000</v>
      </c>
      <c r="H945" s="2" t="s">
        <v>7865</v>
      </c>
      <c r="I945" s="2" t="s">
        <v>8985</v>
      </c>
      <c r="J945" s="2" t="s">
        <v>8981</v>
      </c>
      <c r="K945" s="2" t="s">
        <v>8983</v>
      </c>
      <c r="L945" s="2"/>
      <c r="M945" s="2"/>
      <c r="N945" s="2" t="s">
        <v>277</v>
      </c>
      <c r="O945" s="2" t="s">
        <v>278</v>
      </c>
      <c r="P945" s="2" t="s">
        <v>1546</v>
      </c>
      <c r="Q945" s="2" t="s">
        <v>8983</v>
      </c>
      <c r="R945" s="2"/>
      <c r="S945" s="2"/>
      <c r="T945" s="2"/>
      <c r="U945" s="2" t="s">
        <v>277</v>
      </c>
      <c r="V945" s="2" t="s">
        <v>278</v>
      </c>
      <c r="W945" s="2" t="s">
        <v>1546</v>
      </c>
      <c r="X945" s="2" t="s">
        <v>6993</v>
      </c>
      <c r="Y945" s="2" t="s">
        <v>44</v>
      </c>
      <c r="Z945" s="2"/>
      <c r="AA945" s="2" t="s">
        <v>3527</v>
      </c>
      <c r="AB945" s="2" t="s">
        <v>46</v>
      </c>
      <c r="AC945" s="2" t="s">
        <v>3527</v>
      </c>
      <c r="AE945" s="2" t="s">
        <v>48</v>
      </c>
      <c r="AF945" s="2" t="s">
        <v>49</v>
      </c>
      <c r="AG945" s="2">
        <v>90</v>
      </c>
      <c r="AH945" s="2">
        <v>70</v>
      </c>
      <c r="AJ945" s="2" t="s">
        <v>8986</v>
      </c>
      <c r="AK945" s="2"/>
      <c r="AL945" s="2"/>
      <c r="AM945" s="2" t="s">
        <v>52</v>
      </c>
    </row>
    <row r="946" spans="1:39" x14ac:dyDescent="0.45">
      <c r="A946" s="2" t="s">
        <v>8987</v>
      </c>
      <c r="B946" s="2"/>
      <c r="C946" s="2" t="s">
        <v>8989</v>
      </c>
      <c r="D946" s="2" t="s">
        <v>8991</v>
      </c>
      <c r="E946" s="25"/>
      <c r="F946" s="21"/>
      <c r="G946" s="42" t="s">
        <v>28000</v>
      </c>
      <c r="H946" s="2" t="s">
        <v>7865</v>
      </c>
      <c r="I946" s="2" t="s">
        <v>8992</v>
      </c>
      <c r="J946" s="2" t="s">
        <v>8988</v>
      </c>
      <c r="K946" s="2" t="s">
        <v>8990</v>
      </c>
      <c r="L946" s="2"/>
      <c r="M946" s="2"/>
      <c r="N946" s="2" t="s">
        <v>72</v>
      </c>
      <c r="O946" s="2" t="s">
        <v>73</v>
      </c>
      <c r="P946" s="2" t="s">
        <v>1670</v>
      </c>
      <c r="Q946" s="2" t="s">
        <v>8990</v>
      </c>
      <c r="R946" s="2"/>
      <c r="S946" s="2"/>
      <c r="T946" s="2"/>
      <c r="U946" s="2" t="s">
        <v>72</v>
      </c>
      <c r="V946" s="2" t="s">
        <v>73</v>
      </c>
      <c r="W946" s="2" t="s">
        <v>1670</v>
      </c>
      <c r="X946" s="2" t="s">
        <v>7004</v>
      </c>
      <c r="Y946" s="2" t="s">
        <v>44</v>
      </c>
      <c r="Z946" s="2"/>
      <c r="AA946" s="2" t="s">
        <v>3527</v>
      </c>
      <c r="AB946" s="2" t="s">
        <v>46</v>
      </c>
      <c r="AC946" s="2" t="s">
        <v>3527</v>
      </c>
      <c r="AE946" s="2" t="s">
        <v>48</v>
      </c>
      <c r="AF946" s="2" t="s">
        <v>49</v>
      </c>
      <c r="AG946" s="2">
        <v>90</v>
      </c>
      <c r="AH946" s="2">
        <v>70</v>
      </c>
      <c r="AJ946" s="2" t="s">
        <v>8993</v>
      </c>
      <c r="AK946" s="2"/>
      <c r="AL946" s="2"/>
      <c r="AM946" s="2" t="s">
        <v>52</v>
      </c>
    </row>
    <row r="947" spans="1:39" x14ac:dyDescent="0.45">
      <c r="A947" s="2" t="s">
        <v>8994</v>
      </c>
      <c r="B947" s="2"/>
      <c r="C947" s="2" t="s">
        <v>8996</v>
      </c>
      <c r="D947" s="2" t="s">
        <v>8998</v>
      </c>
      <c r="E947" s="25"/>
      <c r="F947" s="21"/>
      <c r="G947" s="42" t="s">
        <v>28000</v>
      </c>
      <c r="H947" s="2" t="s">
        <v>7865</v>
      </c>
      <c r="I947" s="2" t="s">
        <v>9000</v>
      </c>
      <c r="J947" s="2" t="s">
        <v>8995</v>
      </c>
      <c r="K947" s="2" t="s">
        <v>8997</v>
      </c>
      <c r="L947" s="2"/>
      <c r="M947" s="2"/>
      <c r="N947" s="2" t="s">
        <v>59</v>
      </c>
      <c r="O947" s="2" t="s">
        <v>60</v>
      </c>
      <c r="P947" s="2" t="s">
        <v>8999</v>
      </c>
      <c r="Q947" s="2" t="s">
        <v>8997</v>
      </c>
      <c r="R947" s="2"/>
      <c r="S947" s="2"/>
      <c r="T947" s="2"/>
      <c r="U947" s="2" t="s">
        <v>59</v>
      </c>
      <c r="V947" s="2" t="s">
        <v>60</v>
      </c>
      <c r="W947" s="2" t="s">
        <v>8999</v>
      </c>
      <c r="X947" s="2" t="s">
        <v>1003</v>
      </c>
      <c r="Y947" s="2" t="s">
        <v>44</v>
      </c>
      <c r="Z947" s="2"/>
      <c r="AA947" s="2" t="s">
        <v>3527</v>
      </c>
      <c r="AB947" s="2" t="s">
        <v>46</v>
      </c>
      <c r="AC947" s="2" t="s">
        <v>3527</v>
      </c>
      <c r="AE947" s="2" t="s">
        <v>48</v>
      </c>
      <c r="AF947" s="2" t="s">
        <v>49</v>
      </c>
      <c r="AG947" s="2">
        <v>90</v>
      </c>
      <c r="AH947" s="2">
        <v>70</v>
      </c>
      <c r="AJ947" s="2" t="s">
        <v>9001</v>
      </c>
      <c r="AK947" s="2"/>
      <c r="AL947" s="2"/>
      <c r="AM947" s="2" t="s">
        <v>52</v>
      </c>
    </row>
    <row r="948" spans="1:39" x14ac:dyDescent="0.45">
      <c r="A948" s="2" t="s">
        <v>9002</v>
      </c>
      <c r="B948" s="2"/>
      <c r="C948" s="2" t="s">
        <v>9004</v>
      </c>
      <c r="D948" s="2" t="s">
        <v>9006</v>
      </c>
      <c r="E948" s="25"/>
      <c r="F948" s="21"/>
      <c r="G948" s="42" t="s">
        <v>28000</v>
      </c>
      <c r="H948" s="2" t="s">
        <v>7865</v>
      </c>
      <c r="I948" s="2" t="s">
        <v>9008</v>
      </c>
      <c r="J948" s="2" t="s">
        <v>9003</v>
      </c>
      <c r="K948" s="2" t="s">
        <v>9005</v>
      </c>
      <c r="L948" s="2"/>
      <c r="M948" s="2"/>
      <c r="N948" s="2" t="s">
        <v>59</v>
      </c>
      <c r="O948" s="2" t="s">
        <v>60</v>
      </c>
      <c r="P948" s="2" t="s">
        <v>1640</v>
      </c>
      <c r="Q948" s="2" t="s">
        <v>9005</v>
      </c>
      <c r="R948" s="2"/>
      <c r="S948" s="2"/>
      <c r="T948" s="2"/>
      <c r="U948" s="2" t="s">
        <v>59</v>
      </c>
      <c r="V948" s="2" t="s">
        <v>60</v>
      </c>
      <c r="W948" s="2" t="s">
        <v>1640</v>
      </c>
      <c r="X948" s="2" t="s">
        <v>9007</v>
      </c>
      <c r="Y948" s="2" t="s">
        <v>44</v>
      </c>
      <c r="Z948" s="2"/>
      <c r="AA948" s="2" t="s">
        <v>3527</v>
      </c>
      <c r="AB948" s="2" t="s">
        <v>46</v>
      </c>
      <c r="AC948" s="2" t="s">
        <v>3527</v>
      </c>
      <c r="AE948" s="2" t="s">
        <v>48</v>
      </c>
      <c r="AF948" s="2" t="s">
        <v>49</v>
      </c>
      <c r="AG948" s="2">
        <v>90</v>
      </c>
      <c r="AH948" s="2">
        <v>70</v>
      </c>
      <c r="AJ948" s="2" t="s">
        <v>9009</v>
      </c>
      <c r="AK948" s="2"/>
      <c r="AL948" s="2"/>
      <c r="AM948" s="2" t="s">
        <v>52</v>
      </c>
    </row>
    <row r="949" spans="1:39" x14ac:dyDescent="0.45">
      <c r="A949" s="2" t="s">
        <v>9010</v>
      </c>
      <c r="B949" s="2"/>
      <c r="C949" s="2" t="s">
        <v>9012</v>
      </c>
      <c r="D949" s="2" t="s">
        <v>9014</v>
      </c>
      <c r="E949" s="25"/>
      <c r="F949" s="21"/>
      <c r="G949" s="42" t="s">
        <v>28000</v>
      </c>
      <c r="H949" s="2" t="s">
        <v>7865</v>
      </c>
      <c r="I949" s="2" t="s">
        <v>6261</v>
      </c>
      <c r="J949" s="2" t="s">
        <v>9011</v>
      </c>
      <c r="K949" s="2" t="s">
        <v>9013</v>
      </c>
      <c r="L949" s="2"/>
      <c r="M949" s="2"/>
      <c r="N949" s="2" t="s">
        <v>174</v>
      </c>
      <c r="O949" s="2" t="s">
        <v>175</v>
      </c>
      <c r="P949" s="2" t="s">
        <v>772</v>
      </c>
      <c r="Q949" s="2" t="s">
        <v>9015</v>
      </c>
      <c r="R949" s="2"/>
      <c r="S949" s="2"/>
      <c r="T949" s="2"/>
      <c r="U949" s="2" t="s">
        <v>72</v>
      </c>
      <c r="V949" s="2" t="s">
        <v>73</v>
      </c>
      <c r="W949" s="2" t="s">
        <v>464</v>
      </c>
      <c r="X949" s="2" t="s">
        <v>9016</v>
      </c>
      <c r="Y949" s="2" t="s">
        <v>44</v>
      </c>
      <c r="Z949" s="2"/>
      <c r="AA949" s="2" t="s">
        <v>3527</v>
      </c>
      <c r="AB949" s="2" t="s">
        <v>46</v>
      </c>
      <c r="AC949" s="2" t="s">
        <v>3527</v>
      </c>
      <c r="AE949" s="2" t="s">
        <v>48</v>
      </c>
      <c r="AF949" s="2" t="s">
        <v>49</v>
      </c>
      <c r="AG949" s="2">
        <v>90</v>
      </c>
      <c r="AH949" s="2">
        <v>70</v>
      </c>
      <c r="AJ949" s="2" t="s">
        <v>6262</v>
      </c>
      <c r="AK949" s="2"/>
      <c r="AL949" s="2"/>
      <c r="AM949" s="2" t="s">
        <v>52</v>
      </c>
    </row>
    <row r="950" spans="1:39" x14ac:dyDescent="0.45">
      <c r="A950" s="2" t="s">
        <v>9017</v>
      </c>
      <c r="B950" s="2"/>
      <c r="C950" s="2" t="s">
        <v>9019</v>
      </c>
      <c r="D950" s="2" t="s">
        <v>9021</v>
      </c>
      <c r="E950" s="25"/>
      <c r="F950" s="21"/>
      <c r="G950" s="42" t="s">
        <v>28000</v>
      </c>
      <c r="H950" s="2" t="s">
        <v>7865</v>
      </c>
      <c r="I950" s="2" t="s">
        <v>9023</v>
      </c>
      <c r="J950" s="2" t="s">
        <v>9018</v>
      </c>
      <c r="K950" s="2" t="s">
        <v>9020</v>
      </c>
      <c r="L950" s="2"/>
      <c r="M950" s="2"/>
      <c r="N950" s="2" t="s">
        <v>1188</v>
      </c>
      <c r="O950" s="2" t="s">
        <v>221</v>
      </c>
      <c r="P950" s="2" t="s">
        <v>8148</v>
      </c>
      <c r="Q950" s="2" t="s">
        <v>9020</v>
      </c>
      <c r="R950" s="2"/>
      <c r="S950" s="2"/>
      <c r="T950" s="2"/>
      <c r="U950" s="2" t="s">
        <v>1188</v>
      </c>
      <c r="V950" s="2" t="s">
        <v>221</v>
      </c>
      <c r="W950" s="2" t="s">
        <v>8148</v>
      </c>
      <c r="X950" s="2" t="s">
        <v>9022</v>
      </c>
      <c r="Y950" s="2" t="s">
        <v>44</v>
      </c>
      <c r="Z950" s="2"/>
      <c r="AA950" s="2" t="s">
        <v>3527</v>
      </c>
      <c r="AB950" s="2" t="s">
        <v>46</v>
      </c>
      <c r="AC950" s="2" t="s">
        <v>3527</v>
      </c>
      <c r="AE950" s="2" t="s">
        <v>48</v>
      </c>
      <c r="AF950" s="2" t="s">
        <v>49</v>
      </c>
      <c r="AG950" s="2">
        <v>90</v>
      </c>
      <c r="AH950" s="2">
        <v>70</v>
      </c>
      <c r="AJ950" s="2" t="s">
        <v>9024</v>
      </c>
      <c r="AK950" s="2"/>
      <c r="AL950" s="2"/>
      <c r="AM950" s="2" t="s">
        <v>52</v>
      </c>
    </row>
    <row r="951" spans="1:39" x14ac:dyDescent="0.45">
      <c r="A951" s="2" t="s">
        <v>9025</v>
      </c>
      <c r="B951" s="2"/>
      <c r="C951" s="2" t="s">
        <v>9027</v>
      </c>
      <c r="D951" s="2" t="s">
        <v>9029</v>
      </c>
      <c r="E951" s="25"/>
      <c r="F951" s="21"/>
      <c r="G951" s="42" t="s">
        <v>28000</v>
      </c>
      <c r="H951" s="2" t="s">
        <v>7865</v>
      </c>
      <c r="I951" s="2" t="s">
        <v>9030</v>
      </c>
      <c r="J951" s="2" t="s">
        <v>9026</v>
      </c>
      <c r="K951" s="2" t="s">
        <v>9028</v>
      </c>
      <c r="L951" s="2"/>
      <c r="M951" s="2"/>
      <c r="N951" s="2" t="s">
        <v>1023</v>
      </c>
      <c r="O951" s="2" t="s">
        <v>73</v>
      </c>
      <c r="P951" s="2" t="s">
        <v>5695</v>
      </c>
      <c r="Q951" s="2" t="s">
        <v>9028</v>
      </c>
      <c r="R951" s="2"/>
      <c r="S951" s="2"/>
      <c r="T951" s="2"/>
      <c r="U951" s="2" t="s">
        <v>1023</v>
      </c>
      <c r="V951" s="2" t="s">
        <v>73</v>
      </c>
      <c r="W951" s="2" t="s">
        <v>5695</v>
      </c>
      <c r="X951" s="2" t="s">
        <v>9022</v>
      </c>
      <c r="Y951" s="2" t="s">
        <v>44</v>
      </c>
      <c r="Z951" s="2"/>
      <c r="AA951" s="2" t="s">
        <v>3527</v>
      </c>
      <c r="AB951" s="2" t="s">
        <v>46</v>
      </c>
      <c r="AC951" s="2" t="s">
        <v>3527</v>
      </c>
      <c r="AE951" s="2" t="s">
        <v>48</v>
      </c>
      <c r="AF951" s="2" t="s">
        <v>49</v>
      </c>
      <c r="AG951" s="2">
        <v>90</v>
      </c>
      <c r="AH951" s="2">
        <v>70</v>
      </c>
      <c r="AJ951" s="2" t="s">
        <v>9031</v>
      </c>
      <c r="AK951" s="2"/>
      <c r="AL951" s="2"/>
      <c r="AM951" s="2" t="s">
        <v>52</v>
      </c>
    </row>
    <row r="952" spans="1:39" x14ac:dyDescent="0.45">
      <c r="A952" s="2" t="s">
        <v>9032</v>
      </c>
      <c r="B952" s="2"/>
      <c r="C952" s="2" t="s">
        <v>9034</v>
      </c>
      <c r="D952" s="2" t="s">
        <v>9036</v>
      </c>
      <c r="E952" s="25"/>
      <c r="F952" s="21"/>
      <c r="G952" s="42" t="s">
        <v>28000</v>
      </c>
      <c r="H952" s="2" t="s">
        <v>7865</v>
      </c>
      <c r="I952" s="2" t="s">
        <v>9038</v>
      </c>
      <c r="J952" s="2" t="s">
        <v>9033</v>
      </c>
      <c r="K952" s="2" t="s">
        <v>9035</v>
      </c>
      <c r="L952" s="2"/>
      <c r="M952" s="2"/>
      <c r="N952" s="2" t="s">
        <v>72</v>
      </c>
      <c r="O952" s="2" t="s">
        <v>73</v>
      </c>
      <c r="P952" s="2" t="s">
        <v>791</v>
      </c>
      <c r="Q952" s="2" t="s">
        <v>9037</v>
      </c>
      <c r="R952" s="2"/>
      <c r="S952" s="2"/>
      <c r="T952" s="2"/>
      <c r="U952" s="2" t="s">
        <v>72</v>
      </c>
      <c r="V952" s="2" t="s">
        <v>73</v>
      </c>
      <c r="W952" s="2" t="s">
        <v>791</v>
      </c>
      <c r="X952" s="2" t="s">
        <v>7071</v>
      </c>
      <c r="Y952" s="2" t="s">
        <v>44</v>
      </c>
      <c r="Z952" s="2"/>
      <c r="AA952" s="2" t="s">
        <v>3527</v>
      </c>
      <c r="AB952" s="2" t="s">
        <v>46</v>
      </c>
      <c r="AC952" s="2" t="s">
        <v>3527</v>
      </c>
      <c r="AE952" s="2" t="s">
        <v>48</v>
      </c>
      <c r="AF952" s="2" t="s">
        <v>49</v>
      </c>
      <c r="AG952" s="2">
        <v>90</v>
      </c>
      <c r="AH952" s="2">
        <v>70</v>
      </c>
      <c r="AJ952" s="2" t="s">
        <v>9039</v>
      </c>
      <c r="AK952" s="2"/>
      <c r="AL952" s="2"/>
      <c r="AM952" s="2" t="s">
        <v>52</v>
      </c>
    </row>
    <row r="953" spans="1:39" x14ac:dyDescent="0.45">
      <c r="A953" s="2" t="s">
        <v>9040</v>
      </c>
      <c r="B953" s="2"/>
      <c r="C953" s="2" t="s">
        <v>9042</v>
      </c>
      <c r="D953" s="2" t="s">
        <v>9044</v>
      </c>
      <c r="E953" s="25"/>
      <c r="F953" s="21"/>
      <c r="G953" s="42" t="s">
        <v>28000</v>
      </c>
      <c r="H953" s="2" t="s">
        <v>7865</v>
      </c>
      <c r="I953" s="2" t="s">
        <v>9045</v>
      </c>
      <c r="J953" s="2" t="s">
        <v>9041</v>
      </c>
      <c r="K953" s="2" t="s">
        <v>9043</v>
      </c>
      <c r="L953" s="2"/>
      <c r="M953" s="2"/>
      <c r="N953" s="2" t="s">
        <v>72</v>
      </c>
      <c r="O953" s="2" t="s">
        <v>73</v>
      </c>
      <c r="P953" s="2" t="s">
        <v>98</v>
      </c>
      <c r="Q953" s="2" t="s">
        <v>9043</v>
      </c>
      <c r="R953" s="2"/>
      <c r="S953" s="2"/>
      <c r="T953" s="2"/>
      <c r="U953" s="2" t="s">
        <v>72</v>
      </c>
      <c r="V953" s="2" t="s">
        <v>73</v>
      </c>
      <c r="W953" s="2" t="s">
        <v>98</v>
      </c>
      <c r="X953" s="2" t="s">
        <v>7071</v>
      </c>
      <c r="Y953" s="2" t="s">
        <v>44</v>
      </c>
      <c r="Z953" s="2"/>
      <c r="AA953" s="2" t="s">
        <v>3527</v>
      </c>
      <c r="AB953" s="2" t="s">
        <v>46</v>
      </c>
      <c r="AC953" s="2" t="s">
        <v>3527</v>
      </c>
      <c r="AE953" s="2" t="s">
        <v>48</v>
      </c>
      <c r="AF953" s="2" t="s">
        <v>49</v>
      </c>
      <c r="AG953" s="2">
        <v>90</v>
      </c>
      <c r="AH953" s="2">
        <v>70</v>
      </c>
      <c r="AJ953" s="2" t="s">
        <v>9046</v>
      </c>
      <c r="AK953" s="2"/>
      <c r="AL953" s="2"/>
      <c r="AM953" s="2" t="s">
        <v>52</v>
      </c>
    </row>
    <row r="954" spans="1:39" x14ac:dyDescent="0.45">
      <c r="A954" s="2" t="s">
        <v>9047</v>
      </c>
      <c r="B954" s="2"/>
      <c r="C954" s="2" t="s">
        <v>9049</v>
      </c>
      <c r="D954" s="2" t="s">
        <v>9051</v>
      </c>
      <c r="E954" s="25"/>
      <c r="F954" s="21"/>
      <c r="G954" s="42" t="s">
        <v>28000</v>
      </c>
      <c r="H954" s="2" t="s">
        <v>7865</v>
      </c>
      <c r="I954" s="2" t="s">
        <v>9054</v>
      </c>
      <c r="J954" s="2" t="s">
        <v>9048</v>
      </c>
      <c r="K954" s="2" t="s">
        <v>9050</v>
      </c>
      <c r="L954" s="2"/>
      <c r="M954" s="2"/>
      <c r="N954" s="2" t="s">
        <v>59</v>
      </c>
      <c r="O954" s="2" t="s">
        <v>60</v>
      </c>
      <c r="P954" s="2" t="s">
        <v>9052</v>
      </c>
      <c r="Q954" s="2" t="s">
        <v>9050</v>
      </c>
      <c r="R954" s="2"/>
      <c r="S954" s="2"/>
      <c r="T954" s="2"/>
      <c r="U954" s="2" t="s">
        <v>59</v>
      </c>
      <c r="V954" s="2" t="s">
        <v>60</v>
      </c>
      <c r="W954" s="2" t="s">
        <v>9052</v>
      </c>
      <c r="X954" s="2" t="s">
        <v>9053</v>
      </c>
      <c r="Y954" s="2" t="s">
        <v>44</v>
      </c>
      <c r="Z954" s="2"/>
      <c r="AA954" s="2" t="s">
        <v>3527</v>
      </c>
      <c r="AB954" s="2" t="s">
        <v>46</v>
      </c>
      <c r="AC954" s="2" t="s">
        <v>3527</v>
      </c>
      <c r="AE954" s="2" t="s">
        <v>48</v>
      </c>
      <c r="AF954" s="2" t="s">
        <v>49</v>
      </c>
      <c r="AG954" s="2">
        <v>90</v>
      </c>
      <c r="AH954" s="2">
        <v>70</v>
      </c>
      <c r="AJ954" s="2" t="s">
        <v>9055</v>
      </c>
      <c r="AK954" s="2"/>
      <c r="AL954" s="2"/>
      <c r="AM954" s="2" t="s">
        <v>52</v>
      </c>
    </row>
    <row r="955" spans="1:39" x14ac:dyDescent="0.45">
      <c r="A955" s="2" t="s">
        <v>9056</v>
      </c>
      <c r="B955" s="2"/>
      <c r="C955" s="2" t="s">
        <v>9058</v>
      </c>
      <c r="D955" s="2" t="s">
        <v>9060</v>
      </c>
      <c r="E955" s="25"/>
      <c r="F955" s="21"/>
      <c r="G955" s="42" t="s">
        <v>28000</v>
      </c>
      <c r="H955" s="2" t="s">
        <v>7865</v>
      </c>
      <c r="I955" s="2" t="s">
        <v>9061</v>
      </c>
      <c r="J955" s="2" t="s">
        <v>9057</v>
      </c>
      <c r="K955" s="2" t="s">
        <v>9059</v>
      </c>
      <c r="L955" s="2"/>
      <c r="M955" s="2"/>
      <c r="N955" s="2" t="s">
        <v>1188</v>
      </c>
      <c r="O955" s="2" t="s">
        <v>221</v>
      </c>
      <c r="P955" s="2" t="s">
        <v>7349</v>
      </c>
      <c r="Q955" s="2" t="s">
        <v>9059</v>
      </c>
      <c r="R955" s="2"/>
      <c r="S955" s="2"/>
      <c r="T955" s="2"/>
      <c r="U955" s="2" t="s">
        <v>1188</v>
      </c>
      <c r="V955" s="2" t="s">
        <v>221</v>
      </c>
      <c r="W955" s="2" t="s">
        <v>7349</v>
      </c>
      <c r="X955" s="2" t="s">
        <v>589</v>
      </c>
      <c r="Y955" s="2" t="s">
        <v>44</v>
      </c>
      <c r="Z955" s="2"/>
      <c r="AA955" s="2" t="s">
        <v>3527</v>
      </c>
      <c r="AB955" s="2" t="s">
        <v>46</v>
      </c>
      <c r="AC955" s="2" t="s">
        <v>3527</v>
      </c>
      <c r="AE955" s="2" t="s">
        <v>48</v>
      </c>
      <c r="AF955" s="2" t="s">
        <v>49</v>
      </c>
      <c r="AG955" s="2">
        <v>90</v>
      </c>
      <c r="AH955" s="2">
        <v>70</v>
      </c>
      <c r="AJ955" s="2" t="s">
        <v>9062</v>
      </c>
      <c r="AK955" s="2"/>
      <c r="AL955" s="2"/>
      <c r="AM955" s="2" t="s">
        <v>52</v>
      </c>
    </row>
    <row r="956" spans="1:39" x14ac:dyDescent="0.45">
      <c r="A956" s="2" t="s">
        <v>9063</v>
      </c>
      <c r="B956" s="2"/>
      <c r="C956" s="2" t="s">
        <v>9065</v>
      </c>
      <c r="D956" s="2" t="s">
        <v>9067</v>
      </c>
      <c r="E956" s="25"/>
      <c r="F956" s="21"/>
      <c r="G956" s="42" t="s">
        <v>28000</v>
      </c>
      <c r="H956" s="2" t="s">
        <v>7865</v>
      </c>
      <c r="I956" s="2" t="s">
        <v>9068</v>
      </c>
      <c r="J956" s="2" t="s">
        <v>9064</v>
      </c>
      <c r="K956" s="2" t="s">
        <v>9066</v>
      </c>
      <c r="L956" s="2"/>
      <c r="M956" s="2"/>
      <c r="N956" s="2" t="s">
        <v>312</v>
      </c>
      <c r="O956" s="2" t="s">
        <v>313</v>
      </c>
      <c r="P956" s="2" t="s">
        <v>314</v>
      </c>
      <c r="Q956" s="2" t="s">
        <v>9066</v>
      </c>
      <c r="R956" s="2"/>
      <c r="S956" s="2"/>
      <c r="T956" s="2"/>
      <c r="U956" s="2" t="s">
        <v>312</v>
      </c>
      <c r="V956" s="2" t="s">
        <v>313</v>
      </c>
      <c r="W956" s="2" t="s">
        <v>314</v>
      </c>
      <c r="X956" s="2" t="s">
        <v>7080</v>
      </c>
      <c r="Y956" s="2" t="s">
        <v>44</v>
      </c>
      <c r="Z956" s="2"/>
      <c r="AA956" s="2" t="s">
        <v>3527</v>
      </c>
      <c r="AB956" s="2" t="s">
        <v>46</v>
      </c>
      <c r="AC956" s="2" t="s">
        <v>3527</v>
      </c>
      <c r="AE956" s="2" t="s">
        <v>48</v>
      </c>
      <c r="AF956" s="2" t="s">
        <v>49</v>
      </c>
      <c r="AG956" s="2">
        <v>90</v>
      </c>
      <c r="AH956" s="2">
        <v>70</v>
      </c>
      <c r="AJ956" s="2" t="s">
        <v>9069</v>
      </c>
      <c r="AK956" s="2"/>
      <c r="AL956" s="2"/>
      <c r="AM956" s="2" t="s">
        <v>52</v>
      </c>
    </row>
    <row r="957" spans="1:39" x14ac:dyDescent="0.45">
      <c r="A957" s="2" t="s">
        <v>9070</v>
      </c>
      <c r="B957" s="2"/>
      <c r="C957" s="2" t="s">
        <v>9072</v>
      </c>
      <c r="D957" s="2" t="s">
        <v>9074</v>
      </c>
      <c r="E957" s="25"/>
      <c r="F957" s="21"/>
      <c r="G957" s="42" t="s">
        <v>28000</v>
      </c>
      <c r="H957" s="2" t="s">
        <v>7865</v>
      </c>
      <c r="I957" s="2" t="s">
        <v>9075</v>
      </c>
      <c r="J957" s="2" t="s">
        <v>9071</v>
      </c>
      <c r="K957" s="2" t="s">
        <v>9073</v>
      </c>
      <c r="L957" s="2"/>
      <c r="M957" s="2"/>
      <c r="N957" s="2" t="s">
        <v>85</v>
      </c>
      <c r="O957" s="2" t="s">
        <v>86</v>
      </c>
      <c r="P957" s="2" t="s">
        <v>3073</v>
      </c>
      <c r="Q957" s="2" t="s">
        <v>9073</v>
      </c>
      <c r="R957" s="2"/>
      <c r="S957" s="2"/>
      <c r="T957" s="2"/>
      <c r="U957" s="2" t="s">
        <v>85</v>
      </c>
      <c r="V957" s="2" t="s">
        <v>86</v>
      </c>
      <c r="W957" s="2" t="s">
        <v>3073</v>
      </c>
      <c r="X957" s="2" t="s">
        <v>2848</v>
      </c>
      <c r="Y957" s="2" t="s">
        <v>44</v>
      </c>
      <c r="Z957" s="2"/>
      <c r="AA957" s="2" t="s">
        <v>3527</v>
      </c>
      <c r="AB957" s="2" t="s">
        <v>46</v>
      </c>
      <c r="AC957" s="2" t="s">
        <v>3527</v>
      </c>
      <c r="AE957" s="2" t="s">
        <v>48</v>
      </c>
      <c r="AF957" s="2" t="s">
        <v>49</v>
      </c>
      <c r="AG957" s="2">
        <v>90</v>
      </c>
      <c r="AH957" s="2">
        <v>70</v>
      </c>
      <c r="AJ957" s="2" t="s">
        <v>9076</v>
      </c>
      <c r="AK957" s="2"/>
      <c r="AL957" s="2"/>
      <c r="AM957" s="2" t="s">
        <v>52</v>
      </c>
    </row>
    <row r="958" spans="1:39" x14ac:dyDescent="0.45">
      <c r="A958" s="2" t="s">
        <v>9077</v>
      </c>
      <c r="B958" s="2"/>
      <c r="C958" s="2" t="s">
        <v>9079</v>
      </c>
      <c r="D958" s="2" t="s">
        <v>9081</v>
      </c>
      <c r="E958" s="25"/>
      <c r="F958" s="21"/>
      <c r="G958" s="42" t="s">
        <v>28000</v>
      </c>
      <c r="H958" s="2" t="s">
        <v>7865</v>
      </c>
      <c r="I958" s="2" t="s">
        <v>9083</v>
      </c>
      <c r="J958" s="2" t="s">
        <v>9078</v>
      </c>
      <c r="K958" s="2" t="s">
        <v>9080</v>
      </c>
      <c r="L958" s="2"/>
      <c r="M958" s="2"/>
      <c r="N958" s="2" t="s">
        <v>384</v>
      </c>
      <c r="O958" s="2" t="s">
        <v>73</v>
      </c>
      <c r="P958" s="2" t="s">
        <v>9082</v>
      </c>
      <c r="Q958" s="2" t="s">
        <v>9080</v>
      </c>
      <c r="R958" s="2"/>
      <c r="S958" s="2"/>
      <c r="T958" s="2"/>
      <c r="U958" s="2" t="s">
        <v>384</v>
      </c>
      <c r="V958" s="2" t="s">
        <v>73</v>
      </c>
      <c r="W958" s="2" t="s">
        <v>9082</v>
      </c>
      <c r="X958" s="2" t="s">
        <v>2857</v>
      </c>
      <c r="Y958" s="2" t="s">
        <v>44</v>
      </c>
      <c r="Z958" s="2"/>
      <c r="AA958" s="2" t="s">
        <v>3527</v>
      </c>
      <c r="AB958" s="2" t="s">
        <v>46</v>
      </c>
      <c r="AC958" s="2" t="s">
        <v>3527</v>
      </c>
      <c r="AE958" s="2" t="s">
        <v>48</v>
      </c>
      <c r="AF958" s="2" t="s">
        <v>49</v>
      </c>
      <c r="AG958" s="2">
        <v>90</v>
      </c>
      <c r="AH958" s="2">
        <v>70</v>
      </c>
      <c r="AJ958" s="2" t="s">
        <v>9084</v>
      </c>
      <c r="AK958" s="2"/>
      <c r="AL958" s="2"/>
      <c r="AM958" s="2" t="s">
        <v>52</v>
      </c>
    </row>
    <row r="959" spans="1:39" x14ac:dyDescent="0.45">
      <c r="A959" s="2" t="s">
        <v>9085</v>
      </c>
      <c r="B959" s="2"/>
      <c r="C959" s="2" t="s">
        <v>9087</v>
      </c>
      <c r="D959" s="2" t="s">
        <v>9089</v>
      </c>
      <c r="E959" s="25"/>
      <c r="F959" s="21"/>
      <c r="G959" s="42" t="s">
        <v>28000</v>
      </c>
      <c r="H959" s="2" t="s">
        <v>7865</v>
      </c>
      <c r="I959" s="2" t="s">
        <v>9091</v>
      </c>
      <c r="J959" s="2" t="s">
        <v>9086</v>
      </c>
      <c r="K959" s="2" t="s">
        <v>9088</v>
      </c>
      <c r="L959" s="2"/>
      <c r="M959" s="2"/>
      <c r="N959" s="2" t="s">
        <v>72</v>
      </c>
      <c r="O959" s="2" t="s">
        <v>73</v>
      </c>
      <c r="P959" s="2" t="s">
        <v>607</v>
      </c>
      <c r="Q959" s="2" t="s">
        <v>9090</v>
      </c>
      <c r="R959" s="2"/>
      <c r="S959" s="2"/>
      <c r="T959" s="2"/>
      <c r="U959" s="2" t="s">
        <v>72</v>
      </c>
      <c r="V959" s="2" t="s">
        <v>73</v>
      </c>
      <c r="W959" s="2" t="s">
        <v>607</v>
      </c>
      <c r="X959" s="2" t="s">
        <v>1014</v>
      </c>
      <c r="Y959" s="2" t="s">
        <v>44</v>
      </c>
      <c r="Z959" s="2"/>
      <c r="AA959" s="2" t="s">
        <v>3527</v>
      </c>
      <c r="AB959" s="2" t="s">
        <v>46</v>
      </c>
      <c r="AC959" s="2" t="s">
        <v>3527</v>
      </c>
      <c r="AE959" s="2" t="s">
        <v>48</v>
      </c>
      <c r="AF959" s="2" t="s">
        <v>49</v>
      </c>
      <c r="AG959" s="2">
        <v>90</v>
      </c>
      <c r="AH959" s="2">
        <v>70</v>
      </c>
      <c r="AJ959" s="2" t="s">
        <v>9092</v>
      </c>
      <c r="AK959" s="2"/>
      <c r="AL959" s="2"/>
      <c r="AM959" s="2" t="s">
        <v>52</v>
      </c>
    </row>
    <row r="960" spans="1:39" x14ac:dyDescent="0.45">
      <c r="A960" s="2" t="s">
        <v>9093</v>
      </c>
      <c r="B960" s="2"/>
      <c r="C960" s="2" t="s">
        <v>9095</v>
      </c>
      <c r="D960" s="2" t="s">
        <v>9097</v>
      </c>
      <c r="E960" s="25"/>
      <c r="F960" s="21"/>
      <c r="G960" s="42" t="s">
        <v>28000</v>
      </c>
      <c r="H960" s="2" t="s">
        <v>7865</v>
      </c>
      <c r="I960" s="2" t="s">
        <v>9100</v>
      </c>
      <c r="J960" s="2" t="s">
        <v>9094</v>
      </c>
      <c r="K960" s="2" t="s">
        <v>9096</v>
      </c>
      <c r="L960" s="2"/>
      <c r="M960" s="2"/>
      <c r="N960" s="2" t="s">
        <v>72</v>
      </c>
      <c r="O960" s="2" t="s">
        <v>73</v>
      </c>
      <c r="P960" s="2" t="s">
        <v>3302</v>
      </c>
      <c r="Q960" s="2" t="s">
        <v>9098</v>
      </c>
      <c r="R960" s="2"/>
      <c r="S960" s="2"/>
      <c r="T960" s="2"/>
      <c r="U960" s="2" t="s">
        <v>72</v>
      </c>
      <c r="V960" s="2" t="s">
        <v>73</v>
      </c>
      <c r="W960" s="2" t="s">
        <v>3302</v>
      </c>
      <c r="X960" s="2" t="s">
        <v>9099</v>
      </c>
      <c r="Y960" s="2" t="s">
        <v>44</v>
      </c>
      <c r="Z960" s="2"/>
      <c r="AA960" s="2" t="s">
        <v>3527</v>
      </c>
      <c r="AB960" s="2" t="s">
        <v>46</v>
      </c>
      <c r="AC960" s="2" t="s">
        <v>3527</v>
      </c>
      <c r="AE960" s="2" t="s">
        <v>48</v>
      </c>
      <c r="AF960" s="2" t="s">
        <v>49</v>
      </c>
      <c r="AG960" s="2">
        <v>90</v>
      </c>
      <c r="AH960" s="2">
        <v>70</v>
      </c>
      <c r="AJ960" s="2" t="s">
        <v>9101</v>
      </c>
      <c r="AK960" s="2"/>
      <c r="AL960" s="2"/>
      <c r="AM960" s="2" t="s">
        <v>52</v>
      </c>
    </row>
    <row r="961" spans="1:39" x14ac:dyDescent="0.45">
      <c r="A961" s="2" t="s">
        <v>9102</v>
      </c>
      <c r="B961" s="2"/>
      <c r="C961" s="2" t="s">
        <v>9102</v>
      </c>
      <c r="D961" s="2" t="s">
        <v>9105</v>
      </c>
      <c r="E961" s="25"/>
      <c r="F961" s="21"/>
      <c r="G961" s="42" t="s">
        <v>28000</v>
      </c>
      <c r="H961" s="2" t="s">
        <v>7865</v>
      </c>
      <c r="I961" s="2" t="s">
        <v>9109</v>
      </c>
      <c r="J961" s="2" t="s">
        <v>9103</v>
      </c>
      <c r="K961" s="2" t="s">
        <v>9104</v>
      </c>
      <c r="L961" s="2" t="s">
        <v>9106</v>
      </c>
      <c r="M961" s="2" t="s">
        <v>9106</v>
      </c>
      <c r="N961" s="2" t="s">
        <v>324</v>
      </c>
      <c r="O961" s="2" t="s">
        <v>73</v>
      </c>
      <c r="P961" s="2" t="s">
        <v>4463</v>
      </c>
      <c r="Q961" s="2" t="s">
        <v>9107</v>
      </c>
      <c r="R961" s="2"/>
      <c r="S961" s="2"/>
      <c r="T961" s="2"/>
      <c r="U961" s="2" t="s">
        <v>324</v>
      </c>
      <c r="V961" s="2" t="s">
        <v>73</v>
      </c>
      <c r="W961" s="2" t="s">
        <v>4463</v>
      </c>
      <c r="X961" s="2" t="s">
        <v>9108</v>
      </c>
      <c r="Y961" s="2" t="s">
        <v>44</v>
      </c>
      <c r="Z961" s="2"/>
      <c r="AA961" s="2" t="s">
        <v>821</v>
      </c>
      <c r="AB961" s="2" t="s">
        <v>46</v>
      </c>
      <c r="AC961" s="2" t="s">
        <v>821</v>
      </c>
      <c r="AE961" s="2" t="s">
        <v>48</v>
      </c>
      <c r="AF961" s="2" t="s">
        <v>7864</v>
      </c>
      <c r="AG961" s="2">
        <v>100</v>
      </c>
      <c r="AH961" s="2">
        <v>67</v>
      </c>
      <c r="AJ961" s="2" t="s">
        <v>9110</v>
      </c>
      <c r="AK961" s="2"/>
      <c r="AL961" s="2"/>
      <c r="AM961" s="2" t="s">
        <v>52</v>
      </c>
    </row>
    <row r="962" spans="1:39" x14ac:dyDescent="0.45">
      <c r="A962" s="2" t="s">
        <v>9111</v>
      </c>
      <c r="B962" s="2"/>
      <c r="C962" s="2" t="s">
        <v>9113</v>
      </c>
      <c r="D962" s="2" t="s">
        <v>9115</v>
      </c>
      <c r="E962" s="25"/>
      <c r="F962" s="21"/>
      <c r="G962" s="42" t="s">
        <v>28000</v>
      </c>
      <c r="H962" s="2" t="s">
        <v>7865</v>
      </c>
      <c r="I962" s="2" t="s">
        <v>9119</v>
      </c>
      <c r="J962" s="2" t="s">
        <v>9112</v>
      </c>
      <c r="K962" s="2" t="s">
        <v>9114</v>
      </c>
      <c r="L962" s="2" t="s">
        <v>9116</v>
      </c>
      <c r="M962" s="2" t="s">
        <v>9116</v>
      </c>
      <c r="N962" s="2" t="s">
        <v>72</v>
      </c>
      <c r="O962" s="2" t="s">
        <v>73</v>
      </c>
      <c r="P962" s="2" t="s">
        <v>9117</v>
      </c>
      <c r="Q962" s="2" t="s">
        <v>9114</v>
      </c>
      <c r="R962" s="2"/>
      <c r="S962" s="2"/>
      <c r="T962" s="2"/>
      <c r="U962" s="2" t="s">
        <v>72</v>
      </c>
      <c r="V962" s="2" t="s">
        <v>73</v>
      </c>
      <c r="W962" s="2" t="s">
        <v>9117</v>
      </c>
      <c r="X962" s="2" t="s">
        <v>9118</v>
      </c>
      <c r="Y962" s="2" t="s">
        <v>44</v>
      </c>
      <c r="Z962" s="2"/>
      <c r="AA962" s="2" t="s">
        <v>821</v>
      </c>
      <c r="AB962" s="2" t="s">
        <v>46</v>
      </c>
      <c r="AC962" s="2" t="s">
        <v>821</v>
      </c>
      <c r="AE962" s="2" t="s">
        <v>48</v>
      </c>
      <c r="AF962" s="2" t="s">
        <v>7864</v>
      </c>
      <c r="AG962" s="2">
        <v>100</v>
      </c>
      <c r="AH962" s="2">
        <v>67</v>
      </c>
      <c r="AJ962" s="2" t="s">
        <v>9120</v>
      </c>
      <c r="AK962" s="2"/>
      <c r="AL962" s="2"/>
      <c r="AM962" s="2" t="s">
        <v>52</v>
      </c>
    </row>
    <row r="963" spans="1:39" x14ac:dyDescent="0.45">
      <c r="A963" s="2" t="s">
        <v>9121</v>
      </c>
      <c r="B963" s="2"/>
      <c r="C963" s="2" t="s">
        <v>9121</v>
      </c>
      <c r="D963" s="2" t="s">
        <v>9124</v>
      </c>
      <c r="E963" s="25"/>
      <c r="F963" s="21"/>
      <c r="G963" s="42" t="s">
        <v>28000</v>
      </c>
      <c r="H963" s="2" t="s">
        <v>7865</v>
      </c>
      <c r="I963" s="2" t="s">
        <v>9127</v>
      </c>
      <c r="J963" s="2" t="s">
        <v>9122</v>
      </c>
      <c r="K963" s="2" t="s">
        <v>9123</v>
      </c>
      <c r="L963" s="2" t="s">
        <v>9125</v>
      </c>
      <c r="M963" s="2" t="s">
        <v>9125</v>
      </c>
      <c r="N963" s="2" t="s">
        <v>72</v>
      </c>
      <c r="O963" s="2" t="s">
        <v>73</v>
      </c>
      <c r="P963" s="2" t="s">
        <v>3571</v>
      </c>
      <c r="Q963" s="2" t="s">
        <v>9123</v>
      </c>
      <c r="R963" s="2"/>
      <c r="S963" s="2"/>
      <c r="T963" s="2"/>
      <c r="U963" s="2" t="s">
        <v>72</v>
      </c>
      <c r="V963" s="2" t="s">
        <v>73</v>
      </c>
      <c r="W963" s="2" t="s">
        <v>3571</v>
      </c>
      <c r="X963" s="2" t="s">
        <v>9126</v>
      </c>
      <c r="Y963" s="2" t="s">
        <v>44</v>
      </c>
      <c r="Z963" s="2"/>
      <c r="AA963" s="2" t="s">
        <v>821</v>
      </c>
      <c r="AB963" s="2" t="s">
        <v>46</v>
      </c>
      <c r="AC963" s="2" t="s">
        <v>821</v>
      </c>
      <c r="AE963" s="2" t="s">
        <v>48</v>
      </c>
      <c r="AF963" s="2" t="s">
        <v>7864</v>
      </c>
      <c r="AG963" s="2">
        <v>100</v>
      </c>
      <c r="AH963" s="2">
        <v>67</v>
      </c>
      <c r="AJ963" s="2" t="s">
        <v>9128</v>
      </c>
      <c r="AK963" s="2"/>
      <c r="AL963" s="2"/>
      <c r="AM963" s="2" t="s">
        <v>52</v>
      </c>
    </row>
    <row r="964" spans="1:39" x14ac:dyDescent="0.45">
      <c r="A964" s="2" t="s">
        <v>9129</v>
      </c>
      <c r="B964" s="2"/>
      <c r="C964" s="2" t="s">
        <v>9131</v>
      </c>
      <c r="D964" s="2" t="s">
        <v>9133</v>
      </c>
      <c r="E964" s="25"/>
      <c r="F964" s="21"/>
      <c r="G964" s="42" t="s">
        <v>28000</v>
      </c>
      <c r="H964" s="2" t="s">
        <v>7865</v>
      </c>
      <c r="I964" s="2" t="s">
        <v>9136</v>
      </c>
      <c r="J964" s="2" t="s">
        <v>9130</v>
      </c>
      <c r="K964" s="2" t="s">
        <v>9132</v>
      </c>
      <c r="L964" s="2" t="s">
        <v>9134</v>
      </c>
      <c r="M964" s="2" t="s">
        <v>9134</v>
      </c>
      <c r="N964" s="2" t="s">
        <v>72</v>
      </c>
      <c r="O964" s="2" t="s">
        <v>73</v>
      </c>
      <c r="P964" s="2" t="s">
        <v>761</v>
      </c>
      <c r="Q964" s="2" t="s">
        <v>9135</v>
      </c>
      <c r="R964" s="2"/>
      <c r="S964" s="2"/>
      <c r="T964" s="2"/>
      <c r="U964" s="2" t="s">
        <v>72</v>
      </c>
      <c r="V964" s="2" t="s">
        <v>73</v>
      </c>
      <c r="W964" s="2" t="s">
        <v>119</v>
      </c>
      <c r="X964" s="2" t="s">
        <v>4051</v>
      </c>
      <c r="Y964" s="2" t="s">
        <v>44</v>
      </c>
      <c r="Z964" s="2"/>
      <c r="AA964" s="2" t="s">
        <v>821</v>
      </c>
      <c r="AB964" s="2" t="s">
        <v>46</v>
      </c>
      <c r="AC964" s="2" t="s">
        <v>821</v>
      </c>
      <c r="AE964" s="2" t="s">
        <v>48</v>
      </c>
      <c r="AF964" s="2" t="s">
        <v>7864</v>
      </c>
      <c r="AG964" s="2">
        <v>100</v>
      </c>
      <c r="AH964" s="2">
        <v>67</v>
      </c>
      <c r="AJ964" s="2" t="s">
        <v>9137</v>
      </c>
      <c r="AK964" s="2"/>
      <c r="AL964" s="2"/>
      <c r="AM964" s="2" t="s">
        <v>52</v>
      </c>
    </row>
    <row r="965" spans="1:39" x14ac:dyDescent="0.45">
      <c r="A965" s="2" t="s">
        <v>9138</v>
      </c>
      <c r="B965" s="2"/>
      <c r="C965" s="2" t="s">
        <v>9140</v>
      </c>
      <c r="D965" s="2" t="s">
        <v>9142</v>
      </c>
      <c r="E965" s="25"/>
      <c r="F965" s="21"/>
      <c r="G965" s="42" t="s">
        <v>28000</v>
      </c>
      <c r="H965" s="2" t="s">
        <v>7865</v>
      </c>
      <c r="I965" s="2" t="s">
        <v>9146</v>
      </c>
      <c r="J965" s="2" t="s">
        <v>9139</v>
      </c>
      <c r="K965" s="2" t="s">
        <v>9141</v>
      </c>
      <c r="L965" s="2" t="s">
        <v>9143</v>
      </c>
      <c r="M965" s="2" t="s">
        <v>9143</v>
      </c>
      <c r="N965" s="2" t="s">
        <v>72</v>
      </c>
      <c r="O965" s="2" t="s">
        <v>73</v>
      </c>
      <c r="P965" s="2" t="s">
        <v>7553</v>
      </c>
      <c r="Q965" s="2" t="s">
        <v>9144</v>
      </c>
      <c r="R965" s="2"/>
      <c r="S965" s="2"/>
      <c r="T965" s="2"/>
      <c r="U965" s="2" t="s">
        <v>72</v>
      </c>
      <c r="V965" s="2" t="s">
        <v>73</v>
      </c>
      <c r="W965" s="2" t="s">
        <v>7553</v>
      </c>
      <c r="X965" s="2" t="s">
        <v>9145</v>
      </c>
      <c r="Y965" s="2" t="s">
        <v>44</v>
      </c>
      <c r="Z965" s="2"/>
      <c r="AA965" s="2" t="s">
        <v>821</v>
      </c>
      <c r="AB965" s="2" t="s">
        <v>46</v>
      </c>
      <c r="AC965" s="2" t="s">
        <v>821</v>
      </c>
      <c r="AE965" s="2" t="s">
        <v>48</v>
      </c>
      <c r="AF965" s="2" t="s">
        <v>7864</v>
      </c>
      <c r="AG965" s="2">
        <v>100</v>
      </c>
      <c r="AH965" s="2">
        <v>67</v>
      </c>
      <c r="AJ965" s="2" t="s">
        <v>9147</v>
      </c>
      <c r="AK965" s="2"/>
      <c r="AL965" s="2"/>
      <c r="AM965" s="2" t="s">
        <v>52</v>
      </c>
    </row>
    <row r="966" spans="1:39" x14ac:dyDescent="0.45">
      <c r="A966" s="2" t="s">
        <v>9148</v>
      </c>
      <c r="B966" s="2"/>
      <c r="C966" s="2" t="s">
        <v>9150</v>
      </c>
      <c r="D966" s="2" t="s">
        <v>9152</v>
      </c>
      <c r="E966" s="25"/>
      <c r="F966" s="21"/>
      <c r="G966" s="42" t="s">
        <v>28000</v>
      </c>
      <c r="H966" s="2" t="s">
        <v>7865</v>
      </c>
      <c r="I966" s="2" t="s">
        <v>9156</v>
      </c>
      <c r="J966" s="2" t="s">
        <v>9149</v>
      </c>
      <c r="K966" s="2" t="s">
        <v>9151</v>
      </c>
      <c r="L966" s="2" t="s">
        <v>9153</v>
      </c>
      <c r="M966" s="2" t="s">
        <v>9153</v>
      </c>
      <c r="N966" s="2" t="s">
        <v>1023</v>
      </c>
      <c r="O966" s="2" t="s">
        <v>73</v>
      </c>
      <c r="P966" s="2" t="s">
        <v>4550</v>
      </c>
      <c r="Q966" s="2" t="s">
        <v>9154</v>
      </c>
      <c r="R966" s="2"/>
      <c r="S966" s="2"/>
      <c r="T966" s="2"/>
      <c r="U966" s="2" t="s">
        <v>1023</v>
      </c>
      <c r="V966" s="2" t="s">
        <v>73</v>
      </c>
      <c r="W966" s="2" t="s">
        <v>4550</v>
      </c>
      <c r="X966" s="2" t="s">
        <v>9155</v>
      </c>
      <c r="Y966" s="2" t="s">
        <v>44</v>
      </c>
      <c r="Z966" s="2"/>
      <c r="AA966" s="2" t="s">
        <v>821</v>
      </c>
      <c r="AB966" s="2" t="s">
        <v>46</v>
      </c>
      <c r="AC966" s="2" t="s">
        <v>821</v>
      </c>
      <c r="AE966" s="2" t="s">
        <v>48</v>
      </c>
      <c r="AF966" s="2" t="s">
        <v>7864</v>
      </c>
      <c r="AG966" s="2">
        <v>100</v>
      </c>
      <c r="AH966" s="2">
        <v>67</v>
      </c>
      <c r="AJ966" s="2" t="s">
        <v>9157</v>
      </c>
      <c r="AK966" s="2"/>
      <c r="AL966" s="2"/>
      <c r="AM966" s="2" t="s">
        <v>52</v>
      </c>
    </row>
    <row r="967" spans="1:39" x14ac:dyDescent="0.45">
      <c r="A967" s="2" t="s">
        <v>9158</v>
      </c>
      <c r="B967" s="2"/>
      <c r="C967" s="2" t="s">
        <v>9160</v>
      </c>
      <c r="D967" s="2" t="s">
        <v>9162</v>
      </c>
      <c r="E967" s="25"/>
      <c r="F967" s="21"/>
      <c r="G967" s="42" t="s">
        <v>28000</v>
      </c>
      <c r="H967" s="2" t="s">
        <v>7865</v>
      </c>
      <c r="I967" s="2" t="s">
        <v>9165</v>
      </c>
      <c r="J967" s="2" t="s">
        <v>9159</v>
      </c>
      <c r="K967" s="2" t="s">
        <v>9161</v>
      </c>
      <c r="L967" s="2" t="s">
        <v>9163</v>
      </c>
      <c r="M967" s="2" t="s">
        <v>9163</v>
      </c>
      <c r="N967" s="2" t="s">
        <v>312</v>
      </c>
      <c r="O967" s="2" t="s">
        <v>313</v>
      </c>
      <c r="P967" s="2" t="s">
        <v>7463</v>
      </c>
      <c r="Q967" s="2" t="s">
        <v>9164</v>
      </c>
      <c r="R967" s="2"/>
      <c r="S967" s="2"/>
      <c r="T967" s="2"/>
      <c r="U967" s="2" t="s">
        <v>312</v>
      </c>
      <c r="V967" s="2" t="s">
        <v>313</v>
      </c>
      <c r="W967" s="2" t="s">
        <v>7463</v>
      </c>
      <c r="X967" s="2" t="s">
        <v>3809</v>
      </c>
      <c r="Y967" s="2" t="s">
        <v>44</v>
      </c>
      <c r="Z967" s="2"/>
      <c r="AA967" s="2" t="s">
        <v>821</v>
      </c>
      <c r="AB967" s="2" t="s">
        <v>46</v>
      </c>
      <c r="AC967" s="2" t="s">
        <v>821</v>
      </c>
      <c r="AE967" s="2" t="s">
        <v>48</v>
      </c>
      <c r="AF967" s="2" t="s">
        <v>7864</v>
      </c>
      <c r="AG967" s="2">
        <v>100</v>
      </c>
      <c r="AH967" s="2">
        <v>67</v>
      </c>
      <c r="AJ967" s="2" t="s">
        <v>9166</v>
      </c>
      <c r="AK967" s="2"/>
      <c r="AL967" s="2"/>
      <c r="AM967" s="2" t="s">
        <v>52</v>
      </c>
    </row>
    <row r="968" spans="1:39" x14ac:dyDescent="0.45">
      <c r="A968" s="2" t="s">
        <v>9167</v>
      </c>
      <c r="B968" s="2"/>
      <c r="C968" s="2" t="s">
        <v>9167</v>
      </c>
      <c r="D968" s="2" t="s">
        <v>9170</v>
      </c>
      <c r="E968" s="25"/>
      <c r="F968" s="21"/>
      <c r="G968" s="42" t="s">
        <v>28000</v>
      </c>
      <c r="H968" s="2" t="s">
        <v>7865</v>
      </c>
      <c r="I968" s="2" t="s">
        <v>9173</v>
      </c>
      <c r="J968" s="2" t="s">
        <v>9168</v>
      </c>
      <c r="K968" s="2" t="s">
        <v>9169</v>
      </c>
      <c r="L968" s="2" t="s">
        <v>9171</v>
      </c>
      <c r="M968" s="2" t="s">
        <v>9171</v>
      </c>
      <c r="N968" s="2" t="s">
        <v>72</v>
      </c>
      <c r="O968" s="2" t="s">
        <v>73</v>
      </c>
      <c r="P968" s="2" t="s">
        <v>197</v>
      </c>
      <c r="Q968" s="2" t="s">
        <v>9172</v>
      </c>
      <c r="R968" s="2"/>
      <c r="S968" s="2"/>
      <c r="T968" s="2"/>
      <c r="U968" s="2" t="s">
        <v>72</v>
      </c>
      <c r="V968" s="2" t="s">
        <v>73</v>
      </c>
      <c r="W968" s="2" t="s">
        <v>720</v>
      </c>
      <c r="X968" s="2" t="s">
        <v>8692</v>
      </c>
      <c r="Y968" s="2" t="s">
        <v>44</v>
      </c>
      <c r="Z968" s="2"/>
      <c r="AA968" s="2" t="s">
        <v>821</v>
      </c>
      <c r="AB968" s="2" t="s">
        <v>46</v>
      </c>
      <c r="AC968" s="2" t="s">
        <v>821</v>
      </c>
      <c r="AE968" s="2" t="s">
        <v>48</v>
      </c>
      <c r="AF968" s="2" t="s">
        <v>7864</v>
      </c>
      <c r="AG968" s="2">
        <v>100</v>
      </c>
      <c r="AH968" s="2">
        <v>67</v>
      </c>
      <c r="AJ968" s="2" t="s">
        <v>9174</v>
      </c>
      <c r="AK968" s="2"/>
      <c r="AL968" s="2"/>
      <c r="AM968" s="2" t="s">
        <v>52</v>
      </c>
    </row>
    <row r="969" spans="1:39" x14ac:dyDescent="0.45">
      <c r="A969" s="2" t="s">
        <v>9175</v>
      </c>
      <c r="B969" s="2"/>
      <c r="C969" s="2" t="s">
        <v>9177</v>
      </c>
      <c r="D969" s="2" t="s">
        <v>9179</v>
      </c>
      <c r="E969" s="25"/>
      <c r="F969" s="21"/>
      <c r="G969" s="42" t="s">
        <v>28000</v>
      </c>
      <c r="H969" s="2" t="s">
        <v>7865</v>
      </c>
      <c r="I969" s="2" t="s">
        <v>9183</v>
      </c>
      <c r="J969" s="2" t="s">
        <v>9176</v>
      </c>
      <c r="K969" s="2" t="s">
        <v>9178</v>
      </c>
      <c r="L969" s="2" t="s">
        <v>9180</v>
      </c>
      <c r="M969" s="2" t="s">
        <v>9180</v>
      </c>
      <c r="N969" s="2" t="s">
        <v>651</v>
      </c>
      <c r="O969" s="2" t="s">
        <v>86</v>
      </c>
      <c r="P969" s="2" t="s">
        <v>4731</v>
      </c>
      <c r="Q969" s="2" t="s">
        <v>9181</v>
      </c>
      <c r="R969" s="2"/>
      <c r="S969" s="2"/>
      <c r="T969" s="2"/>
      <c r="U969" s="2" t="s">
        <v>216</v>
      </c>
      <c r="V969" s="2" t="s">
        <v>217</v>
      </c>
      <c r="W969" s="2" t="s">
        <v>4569</v>
      </c>
      <c r="X969" s="2" t="s">
        <v>9182</v>
      </c>
      <c r="Y969" s="2" t="s">
        <v>44</v>
      </c>
      <c r="Z969" s="2"/>
      <c r="AA969" s="2" t="s">
        <v>821</v>
      </c>
      <c r="AB969" s="2" t="s">
        <v>46</v>
      </c>
      <c r="AC969" s="2" t="s">
        <v>821</v>
      </c>
      <c r="AE969" s="2" t="s">
        <v>48</v>
      </c>
      <c r="AF969" s="2" t="s">
        <v>7864</v>
      </c>
      <c r="AG969" s="2">
        <v>100</v>
      </c>
      <c r="AH969" s="2">
        <v>67</v>
      </c>
      <c r="AJ969" s="2" t="s">
        <v>9184</v>
      </c>
      <c r="AK969" s="2"/>
      <c r="AL969" s="2"/>
      <c r="AM969" s="2" t="s">
        <v>52</v>
      </c>
    </row>
    <row r="970" spans="1:39" x14ac:dyDescent="0.45">
      <c r="A970" s="2" t="s">
        <v>9185</v>
      </c>
      <c r="B970" s="2"/>
      <c r="C970" s="2" t="s">
        <v>9187</v>
      </c>
      <c r="D970" s="2" t="s">
        <v>9189</v>
      </c>
      <c r="E970" s="25"/>
      <c r="F970" s="21"/>
      <c r="G970" s="42" t="s">
        <v>28000</v>
      </c>
      <c r="H970" s="2" t="s">
        <v>7865</v>
      </c>
      <c r="I970" s="2" t="s">
        <v>9194</v>
      </c>
      <c r="J970" s="2" t="s">
        <v>9186</v>
      </c>
      <c r="K970" s="2" t="s">
        <v>9188</v>
      </c>
      <c r="L970" s="2" t="s">
        <v>9190</v>
      </c>
      <c r="M970" s="2"/>
      <c r="N970" s="2" t="s">
        <v>651</v>
      </c>
      <c r="O970" s="2" t="s">
        <v>86</v>
      </c>
      <c r="P970" s="2" t="s">
        <v>9191</v>
      </c>
      <c r="Q970" s="2" t="s">
        <v>9192</v>
      </c>
      <c r="R970" s="2"/>
      <c r="S970" s="2"/>
      <c r="T970" s="2"/>
      <c r="U970" s="2" t="s">
        <v>651</v>
      </c>
      <c r="V970" s="2" t="s">
        <v>86</v>
      </c>
      <c r="W970" s="2" t="s">
        <v>9191</v>
      </c>
      <c r="X970" s="2" t="s">
        <v>9193</v>
      </c>
      <c r="Y970" s="2" t="s">
        <v>44</v>
      </c>
      <c r="Z970" s="2"/>
      <c r="AA970" s="2" t="s">
        <v>821</v>
      </c>
      <c r="AB970" s="2" t="s">
        <v>46</v>
      </c>
      <c r="AC970" s="2" t="s">
        <v>821</v>
      </c>
      <c r="AE970" s="2" t="s">
        <v>48</v>
      </c>
      <c r="AF970" s="2" t="s">
        <v>7864</v>
      </c>
      <c r="AG970" s="2">
        <v>100</v>
      </c>
      <c r="AH970" s="2">
        <v>67</v>
      </c>
      <c r="AJ970" s="2" t="s">
        <v>9195</v>
      </c>
      <c r="AK970" s="2"/>
      <c r="AL970" s="2"/>
      <c r="AM970" s="2" t="s">
        <v>52</v>
      </c>
    </row>
    <row r="971" spans="1:39" x14ac:dyDescent="0.45">
      <c r="A971" s="2" t="s">
        <v>9196</v>
      </c>
      <c r="B971" s="2"/>
      <c r="C971" s="2" t="s">
        <v>9196</v>
      </c>
      <c r="D971" s="2" t="s">
        <v>9199</v>
      </c>
      <c r="E971" s="25"/>
      <c r="F971" s="21"/>
      <c r="G971" s="42" t="s">
        <v>28000</v>
      </c>
      <c r="H971" s="2" t="s">
        <v>7865</v>
      </c>
      <c r="I971" s="2" t="s">
        <v>9203</v>
      </c>
      <c r="J971" s="2" t="s">
        <v>9197</v>
      </c>
      <c r="K971" s="2" t="s">
        <v>9198</v>
      </c>
      <c r="L971" s="2" t="s">
        <v>9200</v>
      </c>
      <c r="M971" s="2" t="s">
        <v>9200</v>
      </c>
      <c r="N971" s="2" t="s">
        <v>39</v>
      </c>
      <c r="O971" s="2" t="s">
        <v>40</v>
      </c>
      <c r="P971" s="2" t="s">
        <v>2250</v>
      </c>
      <c r="Q971" s="2" t="s">
        <v>9201</v>
      </c>
      <c r="R971" s="2"/>
      <c r="S971" s="2"/>
      <c r="T971" s="2"/>
      <c r="U971" s="2" t="s">
        <v>39</v>
      </c>
      <c r="V971" s="2" t="s">
        <v>40</v>
      </c>
      <c r="W971" s="2" t="s">
        <v>2250</v>
      </c>
      <c r="X971" s="2" t="s">
        <v>9202</v>
      </c>
      <c r="Y971" s="2" t="s">
        <v>44</v>
      </c>
      <c r="Z971" s="2"/>
      <c r="AA971" s="2" t="s">
        <v>821</v>
      </c>
      <c r="AB971" s="2" t="s">
        <v>46</v>
      </c>
      <c r="AC971" s="2" t="s">
        <v>821</v>
      </c>
      <c r="AE971" s="2" t="s">
        <v>48</v>
      </c>
      <c r="AF971" s="2" t="s">
        <v>7864</v>
      </c>
      <c r="AG971" s="2">
        <v>100</v>
      </c>
      <c r="AH971" s="2">
        <v>67</v>
      </c>
      <c r="AJ971" s="2" t="s">
        <v>9204</v>
      </c>
      <c r="AK971" s="2"/>
      <c r="AL971" s="2"/>
      <c r="AM971" s="2" t="s">
        <v>52</v>
      </c>
    </row>
    <row r="972" spans="1:39" x14ac:dyDescent="0.45">
      <c r="A972" s="2" t="s">
        <v>9205</v>
      </c>
      <c r="B972" s="2"/>
      <c r="C972" s="2" t="s">
        <v>9205</v>
      </c>
      <c r="D972" s="2" t="s">
        <v>9208</v>
      </c>
      <c r="E972" s="25"/>
      <c r="F972" s="21"/>
      <c r="G972" s="42" t="s">
        <v>28000</v>
      </c>
      <c r="H972" s="2" t="s">
        <v>7865</v>
      </c>
      <c r="I972" s="2" t="s">
        <v>9212</v>
      </c>
      <c r="J972" s="2" t="s">
        <v>9206</v>
      </c>
      <c r="K972" s="2" t="s">
        <v>9207</v>
      </c>
      <c r="L972" s="2" t="s">
        <v>9209</v>
      </c>
      <c r="M972" s="2" t="s">
        <v>9209</v>
      </c>
      <c r="N972" s="2" t="s">
        <v>59</v>
      </c>
      <c r="O972" s="2" t="s">
        <v>60</v>
      </c>
      <c r="P972" s="2" t="s">
        <v>9210</v>
      </c>
      <c r="Q972" s="2" t="s">
        <v>9207</v>
      </c>
      <c r="R972" s="2"/>
      <c r="S972" s="2"/>
      <c r="T972" s="2"/>
      <c r="U972" s="2" t="s">
        <v>59</v>
      </c>
      <c r="V972" s="2" t="s">
        <v>60</v>
      </c>
      <c r="W972" s="2" t="s">
        <v>9210</v>
      </c>
      <c r="X972" s="2" t="s">
        <v>9211</v>
      </c>
      <c r="Y972" s="2" t="s">
        <v>44</v>
      </c>
      <c r="Z972" s="2"/>
      <c r="AA972" s="2" t="s">
        <v>821</v>
      </c>
      <c r="AB972" s="2" t="s">
        <v>46</v>
      </c>
      <c r="AC972" s="2" t="s">
        <v>821</v>
      </c>
      <c r="AE972" s="2" t="s">
        <v>48</v>
      </c>
      <c r="AF972" s="2" t="s">
        <v>7864</v>
      </c>
      <c r="AG972" s="2">
        <v>100</v>
      </c>
      <c r="AH972" s="2">
        <v>67</v>
      </c>
      <c r="AJ972" s="2" t="s">
        <v>9213</v>
      </c>
      <c r="AK972" s="2"/>
      <c r="AL972" s="2"/>
      <c r="AM972" s="2" t="s">
        <v>52</v>
      </c>
    </row>
    <row r="973" spans="1:39" x14ac:dyDescent="0.45">
      <c r="A973" s="2" t="s">
        <v>9214</v>
      </c>
      <c r="B973" s="2"/>
      <c r="C973" s="2" t="s">
        <v>9216</v>
      </c>
      <c r="D973" s="2" t="s">
        <v>9218</v>
      </c>
      <c r="E973" s="25"/>
      <c r="F973" s="21"/>
      <c r="G973" s="42" t="s">
        <v>28000</v>
      </c>
      <c r="H973" s="2" t="s">
        <v>7865</v>
      </c>
      <c r="I973" s="2" t="s">
        <v>9223</v>
      </c>
      <c r="J973" s="2" t="s">
        <v>9215</v>
      </c>
      <c r="K973" s="2" t="s">
        <v>9217</v>
      </c>
      <c r="L973" s="2" t="s">
        <v>9219</v>
      </c>
      <c r="M973" s="2"/>
      <c r="N973" s="2" t="s">
        <v>39</v>
      </c>
      <c r="O973" s="2" t="s">
        <v>40</v>
      </c>
      <c r="P973" s="2" t="s">
        <v>9220</v>
      </c>
      <c r="Q973" s="2" t="s">
        <v>9221</v>
      </c>
      <c r="R973" s="2"/>
      <c r="S973" s="2"/>
      <c r="T973" s="2"/>
      <c r="U973" s="2" t="s">
        <v>39</v>
      </c>
      <c r="V973" s="2" t="s">
        <v>40</v>
      </c>
      <c r="W973" s="2" t="s">
        <v>9220</v>
      </c>
      <c r="X973" s="2" t="s">
        <v>9222</v>
      </c>
      <c r="Y973" s="2" t="s">
        <v>44</v>
      </c>
      <c r="Z973" s="2"/>
      <c r="AA973" s="2" t="s">
        <v>821</v>
      </c>
      <c r="AB973" s="2" t="s">
        <v>46</v>
      </c>
      <c r="AC973" s="2" t="s">
        <v>821</v>
      </c>
      <c r="AE973" s="2" t="s">
        <v>48</v>
      </c>
      <c r="AF973" s="2" t="s">
        <v>7864</v>
      </c>
      <c r="AG973" s="2">
        <v>100</v>
      </c>
      <c r="AH973" s="2">
        <v>67</v>
      </c>
      <c r="AJ973" s="2" t="s">
        <v>9224</v>
      </c>
      <c r="AK973" s="2"/>
      <c r="AL973" s="2"/>
      <c r="AM973" s="2" t="s">
        <v>52</v>
      </c>
    </row>
    <row r="974" spans="1:39" x14ac:dyDescent="0.45">
      <c r="A974" s="2" t="s">
        <v>9225</v>
      </c>
      <c r="B974" s="2"/>
      <c r="C974" s="2" t="s">
        <v>9227</v>
      </c>
      <c r="D974" s="2" t="s">
        <v>9229</v>
      </c>
      <c r="E974" s="25"/>
      <c r="F974" s="21"/>
      <c r="G974" s="42" t="s">
        <v>28000</v>
      </c>
      <c r="H974" s="2" t="s">
        <v>7865</v>
      </c>
      <c r="I974" s="2" t="s">
        <v>9233</v>
      </c>
      <c r="J974" s="2" t="s">
        <v>9226</v>
      </c>
      <c r="K974" s="2" t="s">
        <v>9228</v>
      </c>
      <c r="L974" s="2" t="s">
        <v>9230</v>
      </c>
      <c r="M974" s="2" t="s">
        <v>9230</v>
      </c>
      <c r="N974" s="2" t="s">
        <v>39</v>
      </c>
      <c r="O974" s="2" t="s">
        <v>40</v>
      </c>
      <c r="P974" s="2" t="s">
        <v>8123</v>
      </c>
      <c r="Q974" s="2" t="s">
        <v>9231</v>
      </c>
      <c r="R974" s="2"/>
      <c r="S974" s="2"/>
      <c r="T974" s="2"/>
      <c r="U974" s="2" t="s">
        <v>39</v>
      </c>
      <c r="V974" s="2" t="s">
        <v>40</v>
      </c>
      <c r="W974" s="2" t="s">
        <v>8123</v>
      </c>
      <c r="X974" s="2" t="s">
        <v>9232</v>
      </c>
      <c r="Y974" s="2" t="s">
        <v>44</v>
      </c>
      <c r="Z974" s="2"/>
      <c r="AA974" s="2" t="s">
        <v>821</v>
      </c>
      <c r="AB974" s="2" t="s">
        <v>46</v>
      </c>
      <c r="AC974" s="2" t="s">
        <v>821</v>
      </c>
      <c r="AE974" s="2" t="s">
        <v>48</v>
      </c>
      <c r="AF974" s="2" t="s">
        <v>7864</v>
      </c>
      <c r="AG974" s="2">
        <v>100</v>
      </c>
      <c r="AH974" s="2">
        <v>67</v>
      </c>
      <c r="AJ974" s="2" t="s">
        <v>9234</v>
      </c>
      <c r="AK974" s="2"/>
      <c r="AL974" s="2"/>
      <c r="AM974" s="2" t="s">
        <v>52</v>
      </c>
    </row>
    <row r="975" spans="1:39" x14ac:dyDescent="0.45">
      <c r="A975" s="2" t="s">
        <v>9235</v>
      </c>
      <c r="B975" s="2"/>
      <c r="C975" s="2" t="s">
        <v>9235</v>
      </c>
      <c r="D975" s="2" t="s">
        <v>9238</v>
      </c>
      <c r="E975" s="25"/>
      <c r="F975" s="21"/>
      <c r="G975" s="42" t="s">
        <v>28000</v>
      </c>
      <c r="H975" s="2" t="s">
        <v>7865</v>
      </c>
      <c r="I975" s="2" t="s">
        <v>9241</v>
      </c>
      <c r="J975" s="2" t="s">
        <v>9236</v>
      </c>
      <c r="K975" s="2" t="s">
        <v>9237</v>
      </c>
      <c r="L975" s="2" t="s">
        <v>9239</v>
      </c>
      <c r="M975" s="2"/>
      <c r="N975" s="2" t="s">
        <v>59</v>
      </c>
      <c r="O975" s="2" t="s">
        <v>60</v>
      </c>
      <c r="P975" s="2" t="s">
        <v>1640</v>
      </c>
      <c r="Q975" s="2" t="s">
        <v>9237</v>
      </c>
      <c r="R975" s="2"/>
      <c r="S975" s="2"/>
      <c r="T975" s="2"/>
      <c r="U975" s="2" t="s">
        <v>59</v>
      </c>
      <c r="V975" s="2" t="s">
        <v>60</v>
      </c>
      <c r="W975" s="2" t="s">
        <v>1640</v>
      </c>
      <c r="X975" s="2" t="s">
        <v>9240</v>
      </c>
      <c r="Y975" s="2" t="s">
        <v>44</v>
      </c>
      <c r="Z975" s="2"/>
      <c r="AA975" s="2" t="s">
        <v>821</v>
      </c>
      <c r="AB975" s="2" t="s">
        <v>46</v>
      </c>
      <c r="AC975" s="2" t="s">
        <v>821</v>
      </c>
      <c r="AE975" s="2" t="s">
        <v>48</v>
      </c>
      <c r="AF975" s="2" t="s">
        <v>7864</v>
      </c>
      <c r="AG975" s="2">
        <v>100</v>
      </c>
      <c r="AH975" s="2">
        <v>67</v>
      </c>
      <c r="AJ975" s="2" t="s">
        <v>9242</v>
      </c>
      <c r="AK975" s="2"/>
      <c r="AL975" s="2"/>
      <c r="AM975" s="2" t="s">
        <v>52</v>
      </c>
    </row>
    <row r="976" spans="1:39" x14ac:dyDescent="0.45">
      <c r="A976" s="2" t="s">
        <v>9243</v>
      </c>
      <c r="B976" s="2"/>
      <c r="C976" s="2" t="s">
        <v>9245</v>
      </c>
      <c r="D976" s="2" t="s">
        <v>9247</v>
      </c>
      <c r="E976" s="25"/>
      <c r="F976" s="21"/>
      <c r="G976" s="42" t="s">
        <v>28000</v>
      </c>
      <c r="H976" s="2" t="s">
        <v>7865</v>
      </c>
      <c r="I976" s="2" t="s">
        <v>9251</v>
      </c>
      <c r="J976" s="2" t="s">
        <v>9244</v>
      </c>
      <c r="K976" s="2" t="s">
        <v>9246</v>
      </c>
      <c r="L976" s="2" t="s">
        <v>9248</v>
      </c>
      <c r="M976" s="2" t="s">
        <v>9248</v>
      </c>
      <c r="N976" s="2" t="s">
        <v>59</v>
      </c>
      <c r="O976" s="2" t="s">
        <v>60</v>
      </c>
      <c r="P976" s="2" t="s">
        <v>4840</v>
      </c>
      <c r="Q976" s="2" t="s">
        <v>9249</v>
      </c>
      <c r="R976" s="2"/>
      <c r="S976" s="2"/>
      <c r="T976" s="2"/>
      <c r="U976" s="2" t="s">
        <v>59</v>
      </c>
      <c r="V976" s="2" t="s">
        <v>60</v>
      </c>
      <c r="W976" s="2" t="s">
        <v>4840</v>
      </c>
      <c r="X976" s="2" t="s">
        <v>9250</v>
      </c>
      <c r="Y976" s="2" t="s">
        <v>44</v>
      </c>
      <c r="Z976" s="2"/>
      <c r="AA976" s="2" t="s">
        <v>821</v>
      </c>
      <c r="AB976" s="2" t="s">
        <v>46</v>
      </c>
      <c r="AC976" s="2" t="s">
        <v>821</v>
      </c>
      <c r="AE976" s="2" t="s">
        <v>48</v>
      </c>
      <c r="AF976" s="2" t="s">
        <v>7864</v>
      </c>
      <c r="AG976" s="2">
        <v>100</v>
      </c>
      <c r="AH976" s="2">
        <v>67</v>
      </c>
      <c r="AJ976" s="2" t="s">
        <v>9252</v>
      </c>
      <c r="AK976" s="2"/>
      <c r="AL976" s="2"/>
      <c r="AM976" s="2" t="s">
        <v>52</v>
      </c>
    </row>
    <row r="977" spans="1:39" x14ac:dyDescent="0.45">
      <c r="A977" s="2" t="s">
        <v>9253</v>
      </c>
      <c r="B977" s="2"/>
      <c r="C977" s="2" t="s">
        <v>9255</v>
      </c>
      <c r="D977" s="2" t="s">
        <v>9257</v>
      </c>
      <c r="E977" s="25"/>
      <c r="F977" s="21"/>
      <c r="G977" s="42" t="s">
        <v>28000</v>
      </c>
      <c r="H977" s="2" t="s">
        <v>7865</v>
      </c>
      <c r="I977" s="2" t="s">
        <v>9261</v>
      </c>
      <c r="J977" s="2" t="s">
        <v>9254</v>
      </c>
      <c r="K977" s="2" t="s">
        <v>9256</v>
      </c>
      <c r="L977" s="2" t="s">
        <v>9258</v>
      </c>
      <c r="M977" s="2" t="s">
        <v>9258</v>
      </c>
      <c r="N977" s="2" t="s">
        <v>72</v>
      </c>
      <c r="O977" s="2" t="s">
        <v>73</v>
      </c>
      <c r="P977" s="2" t="s">
        <v>197</v>
      </c>
      <c r="Q977" s="2" t="s">
        <v>9259</v>
      </c>
      <c r="R977" s="2"/>
      <c r="S977" s="2"/>
      <c r="T977" s="2"/>
      <c r="U977" s="2" t="s">
        <v>174</v>
      </c>
      <c r="V977" s="2" t="s">
        <v>175</v>
      </c>
      <c r="W977" s="2" t="s">
        <v>772</v>
      </c>
      <c r="X977" s="2" t="s">
        <v>9260</v>
      </c>
      <c r="Y977" s="2" t="s">
        <v>44</v>
      </c>
      <c r="Z977" s="2"/>
      <c r="AA977" s="2" t="s">
        <v>821</v>
      </c>
      <c r="AB977" s="2" t="s">
        <v>46</v>
      </c>
      <c r="AC977" s="2" t="s">
        <v>821</v>
      </c>
      <c r="AE977" s="2" t="s">
        <v>48</v>
      </c>
      <c r="AF977" s="2" t="s">
        <v>7864</v>
      </c>
      <c r="AG977" s="2">
        <v>100</v>
      </c>
      <c r="AH977" s="2">
        <v>67</v>
      </c>
      <c r="AJ977" s="2" t="s">
        <v>9262</v>
      </c>
      <c r="AK977" s="2"/>
      <c r="AL977" s="2"/>
      <c r="AM977" s="2" t="s">
        <v>52</v>
      </c>
    </row>
    <row r="978" spans="1:39" x14ac:dyDescent="0.45">
      <c r="A978" s="2" t="s">
        <v>9263</v>
      </c>
      <c r="B978" s="2"/>
      <c r="C978" s="2" t="s">
        <v>9263</v>
      </c>
      <c r="D978" s="2" t="s">
        <v>9266</v>
      </c>
      <c r="E978" s="25"/>
      <c r="F978" s="21"/>
      <c r="G978" s="42" t="s">
        <v>28000</v>
      </c>
      <c r="H978" s="2" t="s">
        <v>7865</v>
      </c>
      <c r="I978" s="2" t="s">
        <v>9269</v>
      </c>
      <c r="J978" s="2" t="s">
        <v>9264</v>
      </c>
      <c r="K978" s="2" t="s">
        <v>9265</v>
      </c>
      <c r="L978" s="2" t="s">
        <v>9267</v>
      </c>
      <c r="M978" s="2" t="s">
        <v>9267</v>
      </c>
      <c r="N978" s="2" t="s">
        <v>174</v>
      </c>
      <c r="O978" s="2" t="s">
        <v>175</v>
      </c>
      <c r="P978" s="2" t="s">
        <v>9268</v>
      </c>
      <c r="Q978" s="2" t="s">
        <v>9265</v>
      </c>
      <c r="R978" s="2"/>
      <c r="S978" s="2"/>
      <c r="T978" s="2"/>
      <c r="U978" s="2" t="s">
        <v>174</v>
      </c>
      <c r="V978" s="2" t="s">
        <v>175</v>
      </c>
      <c r="W978" s="2" t="s">
        <v>9268</v>
      </c>
      <c r="X978" s="2" t="s">
        <v>7916</v>
      </c>
      <c r="Y978" s="2" t="s">
        <v>44</v>
      </c>
      <c r="Z978" s="2"/>
      <c r="AA978" s="2" t="s">
        <v>821</v>
      </c>
      <c r="AB978" s="2" t="s">
        <v>46</v>
      </c>
      <c r="AC978" s="2" t="s">
        <v>821</v>
      </c>
      <c r="AE978" s="2" t="s">
        <v>48</v>
      </c>
      <c r="AF978" s="2" t="s">
        <v>7864</v>
      </c>
      <c r="AG978" s="2">
        <v>100</v>
      </c>
      <c r="AH978" s="2">
        <v>67</v>
      </c>
      <c r="AJ978" s="2" t="s">
        <v>9270</v>
      </c>
      <c r="AK978" s="2"/>
      <c r="AL978" s="2"/>
      <c r="AM978" s="2" t="s">
        <v>52</v>
      </c>
    </row>
    <row r="979" spans="1:39" x14ac:dyDescent="0.45">
      <c r="A979" s="2" t="s">
        <v>9271</v>
      </c>
      <c r="B979" s="2"/>
      <c r="C979" s="2" t="s">
        <v>9271</v>
      </c>
      <c r="D979" s="2" t="s">
        <v>9274</v>
      </c>
      <c r="E979" s="25"/>
      <c r="F979" s="21"/>
      <c r="G979" s="42" t="s">
        <v>28000</v>
      </c>
      <c r="H979" s="2" t="s">
        <v>7865</v>
      </c>
      <c r="I979" s="2" t="s">
        <v>9279</v>
      </c>
      <c r="J979" s="2" t="s">
        <v>9272</v>
      </c>
      <c r="K979" s="2" t="s">
        <v>9273</v>
      </c>
      <c r="L979" s="2" t="s">
        <v>9275</v>
      </c>
      <c r="M979" s="2"/>
      <c r="N979" s="2" t="s">
        <v>174</v>
      </c>
      <c r="O979" s="2" t="s">
        <v>175</v>
      </c>
      <c r="P979" s="2" t="s">
        <v>9276</v>
      </c>
      <c r="Q979" s="2" t="s">
        <v>9277</v>
      </c>
      <c r="R979" s="2"/>
      <c r="S979" s="2"/>
      <c r="T979" s="2"/>
      <c r="U979" s="2" t="s">
        <v>174</v>
      </c>
      <c r="V979" s="2" t="s">
        <v>175</v>
      </c>
      <c r="W979" s="2" t="s">
        <v>9276</v>
      </c>
      <c r="X979" s="2" t="s">
        <v>9278</v>
      </c>
      <c r="Y979" s="2" t="s">
        <v>44</v>
      </c>
      <c r="Z979" s="2"/>
      <c r="AA979" s="2" t="s">
        <v>821</v>
      </c>
      <c r="AB979" s="2" t="s">
        <v>46</v>
      </c>
      <c r="AC979" s="2" t="s">
        <v>821</v>
      </c>
      <c r="AE979" s="2" t="s">
        <v>48</v>
      </c>
      <c r="AF979" s="2" t="s">
        <v>7864</v>
      </c>
      <c r="AG979" s="2">
        <v>100</v>
      </c>
      <c r="AH979" s="2">
        <v>67</v>
      </c>
      <c r="AJ979" s="2" t="s">
        <v>9280</v>
      </c>
      <c r="AK979" s="2"/>
      <c r="AL979" s="2"/>
      <c r="AM979" s="2" t="s">
        <v>52</v>
      </c>
    </row>
    <row r="980" spans="1:39" x14ac:dyDescent="0.45">
      <c r="A980" s="2" t="s">
        <v>9281</v>
      </c>
      <c r="B980" s="2"/>
      <c r="C980" s="2" t="s">
        <v>9281</v>
      </c>
      <c r="D980" s="2" t="s">
        <v>9284</v>
      </c>
      <c r="E980" s="25"/>
      <c r="F980" s="21"/>
      <c r="G980" s="42" t="s">
        <v>28000</v>
      </c>
      <c r="H980" s="2" t="s">
        <v>7865</v>
      </c>
      <c r="I980" s="2" t="s">
        <v>9288</v>
      </c>
      <c r="J980" s="2" t="s">
        <v>9282</v>
      </c>
      <c r="K980" s="2" t="s">
        <v>9283</v>
      </c>
      <c r="L980" s="2" t="s">
        <v>9285</v>
      </c>
      <c r="M980" s="2" t="s">
        <v>9285</v>
      </c>
      <c r="N980" s="2" t="s">
        <v>39</v>
      </c>
      <c r="O980" s="2" t="s">
        <v>40</v>
      </c>
      <c r="P980" s="2" t="s">
        <v>2250</v>
      </c>
      <c r="Q980" s="2" t="s">
        <v>9286</v>
      </c>
      <c r="R980" s="2"/>
      <c r="S980" s="2"/>
      <c r="T980" s="2"/>
      <c r="U980" s="2" t="s">
        <v>39</v>
      </c>
      <c r="V980" s="2" t="s">
        <v>40</v>
      </c>
      <c r="W980" s="2" t="s">
        <v>2250</v>
      </c>
      <c r="X980" s="2" t="s">
        <v>9287</v>
      </c>
      <c r="Y980" s="2" t="s">
        <v>44</v>
      </c>
      <c r="Z980" s="2"/>
      <c r="AA980" s="2" t="s">
        <v>821</v>
      </c>
      <c r="AB980" s="2" t="s">
        <v>46</v>
      </c>
      <c r="AC980" s="2" t="s">
        <v>821</v>
      </c>
      <c r="AE980" s="2" t="s">
        <v>48</v>
      </c>
      <c r="AF980" s="2" t="s">
        <v>7864</v>
      </c>
      <c r="AG980" s="2">
        <v>100</v>
      </c>
      <c r="AH980" s="2">
        <v>67</v>
      </c>
      <c r="AJ980" s="2" t="s">
        <v>9289</v>
      </c>
      <c r="AK980" s="2"/>
      <c r="AL980" s="2"/>
      <c r="AM980" s="2" t="s">
        <v>52</v>
      </c>
    </row>
    <row r="981" spans="1:39" x14ac:dyDescent="0.45">
      <c r="A981" s="2" t="s">
        <v>9290</v>
      </c>
      <c r="B981" s="2"/>
      <c r="C981" s="2" t="s">
        <v>9292</v>
      </c>
      <c r="D981" s="2" t="s">
        <v>9294</v>
      </c>
      <c r="E981" s="25"/>
      <c r="F981" s="21"/>
      <c r="G981" s="42" t="s">
        <v>28000</v>
      </c>
      <c r="H981" s="2" t="s">
        <v>7865</v>
      </c>
      <c r="I981" s="2" t="s">
        <v>9298</v>
      </c>
      <c r="J981" s="2" t="s">
        <v>9291</v>
      </c>
      <c r="K981" s="2" t="s">
        <v>9293</v>
      </c>
      <c r="L981" s="2" t="s">
        <v>9295</v>
      </c>
      <c r="M981" s="2" t="s">
        <v>9295</v>
      </c>
      <c r="N981" s="2" t="s">
        <v>59</v>
      </c>
      <c r="O981" s="2" t="s">
        <v>60</v>
      </c>
      <c r="P981" s="2" t="s">
        <v>9296</v>
      </c>
      <c r="Q981" s="2" t="s">
        <v>9293</v>
      </c>
      <c r="R981" s="2"/>
      <c r="S981" s="2"/>
      <c r="T981" s="2"/>
      <c r="U981" s="2" t="s">
        <v>59</v>
      </c>
      <c r="V981" s="2" t="s">
        <v>60</v>
      </c>
      <c r="W981" s="2" t="s">
        <v>9296</v>
      </c>
      <c r="X981" s="2" t="s">
        <v>9297</v>
      </c>
      <c r="Y981" s="2" t="s">
        <v>44</v>
      </c>
      <c r="Z981" s="2"/>
      <c r="AA981" s="2" t="s">
        <v>821</v>
      </c>
      <c r="AB981" s="2" t="s">
        <v>46</v>
      </c>
      <c r="AC981" s="2" t="s">
        <v>821</v>
      </c>
      <c r="AE981" s="2" t="s">
        <v>48</v>
      </c>
      <c r="AF981" s="2" t="s">
        <v>7864</v>
      </c>
      <c r="AG981" s="2">
        <v>100</v>
      </c>
      <c r="AH981" s="2">
        <v>67</v>
      </c>
      <c r="AJ981" s="2" t="s">
        <v>9299</v>
      </c>
      <c r="AK981" s="2"/>
      <c r="AL981" s="2"/>
      <c r="AM981" s="2" t="s">
        <v>52</v>
      </c>
    </row>
    <row r="982" spans="1:39" x14ac:dyDescent="0.45">
      <c r="A982" s="2" t="s">
        <v>9300</v>
      </c>
      <c r="B982" s="2"/>
      <c r="C982" s="2" t="s">
        <v>9302</v>
      </c>
      <c r="D982" s="2" t="s">
        <v>9304</v>
      </c>
      <c r="E982" s="25"/>
      <c r="F982" s="21"/>
      <c r="G982" s="42" t="s">
        <v>28000</v>
      </c>
      <c r="H982" s="2" t="s">
        <v>7865</v>
      </c>
      <c r="I982" s="2" t="s">
        <v>9307</v>
      </c>
      <c r="J982" s="2" t="s">
        <v>9301</v>
      </c>
      <c r="K982" s="2" t="s">
        <v>9303</v>
      </c>
      <c r="L982" s="2" t="s">
        <v>9305</v>
      </c>
      <c r="M982" s="2"/>
      <c r="N982" s="2" t="s">
        <v>72</v>
      </c>
      <c r="O982" s="2" t="s">
        <v>73</v>
      </c>
      <c r="P982" s="2" t="s">
        <v>7023</v>
      </c>
      <c r="Q982" s="2" t="s">
        <v>9303</v>
      </c>
      <c r="R982" s="2"/>
      <c r="S982" s="2"/>
      <c r="T982" s="2"/>
      <c r="U982" s="2" t="s">
        <v>72</v>
      </c>
      <c r="V982" s="2" t="s">
        <v>73</v>
      </c>
      <c r="W982" s="2" t="s">
        <v>7023</v>
      </c>
      <c r="X982" s="2" t="s">
        <v>9306</v>
      </c>
      <c r="Y982" s="2" t="s">
        <v>44</v>
      </c>
      <c r="Z982" s="2"/>
      <c r="AA982" s="2" t="s">
        <v>821</v>
      </c>
      <c r="AB982" s="2" t="s">
        <v>46</v>
      </c>
      <c r="AC982" s="2" t="s">
        <v>821</v>
      </c>
      <c r="AE982" s="2" t="s">
        <v>48</v>
      </c>
      <c r="AF982" s="2" t="s">
        <v>7864</v>
      </c>
      <c r="AG982" s="2">
        <v>100</v>
      </c>
      <c r="AH982" s="2">
        <v>67</v>
      </c>
      <c r="AJ982" s="2" t="s">
        <v>9308</v>
      </c>
      <c r="AK982" s="2"/>
      <c r="AL982" s="2"/>
      <c r="AM982" s="2" t="s">
        <v>52</v>
      </c>
    </row>
    <row r="983" spans="1:39" x14ac:dyDescent="0.45">
      <c r="A983" s="2" t="s">
        <v>9309</v>
      </c>
      <c r="B983" s="2"/>
      <c r="C983" s="2" t="s">
        <v>9309</v>
      </c>
      <c r="D983" s="2" t="s">
        <v>9312</v>
      </c>
      <c r="E983" s="25"/>
      <c r="F983" s="21"/>
      <c r="G983" s="42" t="s">
        <v>28000</v>
      </c>
      <c r="H983" s="2" t="s">
        <v>7865</v>
      </c>
      <c r="I983" s="2" t="s">
        <v>9316</v>
      </c>
      <c r="J983" s="2" t="s">
        <v>9310</v>
      </c>
      <c r="K983" s="2" t="s">
        <v>9311</v>
      </c>
      <c r="L983" s="2" t="s">
        <v>9313</v>
      </c>
      <c r="M983" s="2"/>
      <c r="N983" s="2" t="s">
        <v>39</v>
      </c>
      <c r="O983" s="2" t="s">
        <v>40</v>
      </c>
      <c r="P983" s="2" t="s">
        <v>9314</v>
      </c>
      <c r="Q983" s="2" t="s">
        <v>9311</v>
      </c>
      <c r="R983" s="2"/>
      <c r="S983" s="2"/>
      <c r="T983" s="2"/>
      <c r="U983" s="2" t="s">
        <v>39</v>
      </c>
      <c r="V983" s="2" t="s">
        <v>40</v>
      </c>
      <c r="W983" s="2" t="s">
        <v>9314</v>
      </c>
      <c r="X983" s="2" t="s">
        <v>9315</v>
      </c>
      <c r="Y983" s="2" t="s">
        <v>44</v>
      </c>
      <c r="Z983" s="2"/>
      <c r="AA983" s="2" t="s">
        <v>821</v>
      </c>
      <c r="AB983" s="2" t="s">
        <v>46</v>
      </c>
      <c r="AC983" s="2" t="s">
        <v>821</v>
      </c>
      <c r="AE983" s="2" t="s">
        <v>48</v>
      </c>
      <c r="AF983" s="2" t="s">
        <v>7864</v>
      </c>
      <c r="AG983" s="2">
        <v>100</v>
      </c>
      <c r="AH983" s="2">
        <v>67</v>
      </c>
      <c r="AJ983" s="2" t="s">
        <v>9317</v>
      </c>
      <c r="AK983" s="2"/>
      <c r="AL983" s="2"/>
      <c r="AM983" s="2" t="s">
        <v>52</v>
      </c>
    </row>
    <row r="984" spans="1:39" x14ac:dyDescent="0.45">
      <c r="A984" s="2" t="s">
        <v>9318</v>
      </c>
      <c r="B984" s="2"/>
      <c r="C984" s="2" t="s">
        <v>9320</v>
      </c>
      <c r="D984" s="2" t="s">
        <v>9322</v>
      </c>
      <c r="E984" s="25"/>
      <c r="F984" s="21"/>
      <c r="G984" s="42" t="s">
        <v>28000</v>
      </c>
      <c r="H984" s="2" t="s">
        <v>7865</v>
      </c>
      <c r="I984" s="2" t="s">
        <v>9325</v>
      </c>
      <c r="J984" s="2" t="s">
        <v>9319</v>
      </c>
      <c r="K984" s="2" t="s">
        <v>9321</v>
      </c>
      <c r="L984" s="2" t="s">
        <v>9323</v>
      </c>
      <c r="M984" s="2"/>
      <c r="N984" s="2" t="s">
        <v>72</v>
      </c>
      <c r="O984" s="2" t="s">
        <v>73</v>
      </c>
      <c r="P984" s="2" t="s">
        <v>3419</v>
      </c>
      <c r="Q984" s="2" t="s">
        <v>9324</v>
      </c>
      <c r="R984" s="2"/>
      <c r="S984" s="2"/>
      <c r="T984" s="2"/>
      <c r="U984" s="2" t="s">
        <v>72</v>
      </c>
      <c r="V984" s="2" t="s">
        <v>73</v>
      </c>
      <c r="W984" s="2" t="s">
        <v>3419</v>
      </c>
      <c r="X984" s="2" t="s">
        <v>2111</v>
      </c>
      <c r="Y984" s="2" t="s">
        <v>44</v>
      </c>
      <c r="Z984" s="2"/>
      <c r="AA984" s="2" t="s">
        <v>821</v>
      </c>
      <c r="AB984" s="2" t="s">
        <v>46</v>
      </c>
      <c r="AC984" s="2" t="s">
        <v>821</v>
      </c>
      <c r="AE984" s="2" t="s">
        <v>48</v>
      </c>
      <c r="AF984" s="2" t="s">
        <v>7864</v>
      </c>
      <c r="AG984" s="2">
        <v>100</v>
      </c>
      <c r="AH984" s="2">
        <v>67</v>
      </c>
      <c r="AJ984" s="2" t="s">
        <v>9326</v>
      </c>
      <c r="AK984" s="2"/>
      <c r="AL984" s="2"/>
      <c r="AM984" s="2" t="s">
        <v>52</v>
      </c>
    </row>
    <row r="985" spans="1:39" x14ac:dyDescent="0.45">
      <c r="A985" s="2" t="s">
        <v>9327</v>
      </c>
      <c r="B985" s="2"/>
      <c r="C985" s="2" t="s">
        <v>9329</v>
      </c>
      <c r="D985" s="2" t="s">
        <v>9331</v>
      </c>
      <c r="E985" s="25"/>
      <c r="F985" s="21"/>
      <c r="G985" s="42" t="s">
        <v>28000</v>
      </c>
      <c r="H985" s="2" t="s">
        <v>7865</v>
      </c>
      <c r="I985" s="2" t="s">
        <v>9333</v>
      </c>
      <c r="J985" s="2" t="s">
        <v>9328</v>
      </c>
      <c r="K985" s="2" t="s">
        <v>9330</v>
      </c>
      <c r="L985" s="2" t="s">
        <v>9332</v>
      </c>
      <c r="M985" s="2"/>
      <c r="N985" s="2" t="s">
        <v>1188</v>
      </c>
      <c r="O985" s="2" t="s">
        <v>221</v>
      </c>
      <c r="P985" s="2" t="s">
        <v>1189</v>
      </c>
      <c r="Q985" s="2" t="s">
        <v>9330</v>
      </c>
      <c r="R985" s="2"/>
      <c r="S985" s="2"/>
      <c r="T985" s="2"/>
      <c r="U985" s="2" t="s">
        <v>1188</v>
      </c>
      <c r="V985" s="2" t="s">
        <v>221</v>
      </c>
      <c r="W985" s="2" t="s">
        <v>1189</v>
      </c>
      <c r="X985" s="2" t="s">
        <v>6912</v>
      </c>
      <c r="Y985" s="2" t="s">
        <v>44</v>
      </c>
      <c r="Z985" s="2"/>
      <c r="AA985" s="2" t="s">
        <v>821</v>
      </c>
      <c r="AB985" s="2" t="s">
        <v>46</v>
      </c>
      <c r="AC985" s="2" t="s">
        <v>821</v>
      </c>
      <c r="AE985" s="2" t="s">
        <v>48</v>
      </c>
      <c r="AF985" s="2" t="s">
        <v>7864</v>
      </c>
      <c r="AG985" s="2">
        <v>100</v>
      </c>
      <c r="AH985" s="2">
        <v>67</v>
      </c>
      <c r="AJ985" s="2" t="s">
        <v>9334</v>
      </c>
      <c r="AK985" s="2"/>
      <c r="AL985" s="2"/>
      <c r="AM985" s="2" t="s">
        <v>52</v>
      </c>
    </row>
    <row r="986" spans="1:39" x14ac:dyDescent="0.45">
      <c r="A986" s="2" t="s">
        <v>9335</v>
      </c>
      <c r="B986" s="2"/>
      <c r="C986" s="2" t="s">
        <v>9337</v>
      </c>
      <c r="D986" s="2" t="s">
        <v>9339</v>
      </c>
      <c r="E986" s="25"/>
      <c r="F986" s="21"/>
      <c r="G986" s="42" t="s">
        <v>28000</v>
      </c>
      <c r="H986" s="2" t="s">
        <v>7865</v>
      </c>
      <c r="I986" s="2" t="s">
        <v>9341</v>
      </c>
      <c r="J986" s="2" t="s">
        <v>9336</v>
      </c>
      <c r="K986" s="2" t="s">
        <v>9338</v>
      </c>
      <c r="L986" s="2" t="s">
        <v>9340</v>
      </c>
      <c r="M986" s="2" t="s">
        <v>9340</v>
      </c>
      <c r="N986" s="2" t="s">
        <v>72</v>
      </c>
      <c r="O986" s="2" t="s">
        <v>73</v>
      </c>
      <c r="P986" s="2" t="s">
        <v>791</v>
      </c>
      <c r="Q986" s="2" t="s">
        <v>9338</v>
      </c>
      <c r="R986" s="2"/>
      <c r="S986" s="2"/>
      <c r="T986" s="2"/>
      <c r="U986" s="2" t="s">
        <v>72</v>
      </c>
      <c r="V986" s="2" t="s">
        <v>73</v>
      </c>
      <c r="W986" s="2" t="s">
        <v>791</v>
      </c>
      <c r="X986" s="2" t="s">
        <v>4589</v>
      </c>
      <c r="Y986" s="2" t="s">
        <v>44</v>
      </c>
      <c r="Z986" s="2"/>
      <c r="AA986" s="2" t="s">
        <v>821</v>
      </c>
      <c r="AB986" s="2" t="s">
        <v>46</v>
      </c>
      <c r="AC986" s="2" t="s">
        <v>821</v>
      </c>
      <c r="AE986" s="2" t="s">
        <v>48</v>
      </c>
      <c r="AF986" s="2" t="s">
        <v>7864</v>
      </c>
      <c r="AG986" s="2">
        <v>100</v>
      </c>
      <c r="AH986" s="2">
        <v>67</v>
      </c>
      <c r="AJ986" s="2" t="s">
        <v>9342</v>
      </c>
      <c r="AK986" s="2"/>
      <c r="AL986" s="2"/>
      <c r="AM986" s="2" t="s">
        <v>52</v>
      </c>
    </row>
    <row r="987" spans="1:39" x14ac:dyDescent="0.45">
      <c r="A987" s="2" t="s">
        <v>9343</v>
      </c>
      <c r="B987" s="2"/>
      <c r="C987" s="2" t="s">
        <v>9345</v>
      </c>
      <c r="D987" s="2" t="s">
        <v>9347</v>
      </c>
      <c r="E987" s="25"/>
      <c r="F987" s="21"/>
      <c r="G987" s="42" t="s">
        <v>28000</v>
      </c>
      <c r="H987" s="2" t="s">
        <v>7865</v>
      </c>
      <c r="I987" s="2" t="s">
        <v>9350</v>
      </c>
      <c r="J987" s="2" t="s">
        <v>9344</v>
      </c>
      <c r="K987" s="2" t="s">
        <v>9346</v>
      </c>
      <c r="L987" s="2" t="s">
        <v>9348</v>
      </c>
      <c r="M987" s="2" t="s">
        <v>9348</v>
      </c>
      <c r="N987" s="2" t="s">
        <v>384</v>
      </c>
      <c r="O987" s="2" t="s">
        <v>73</v>
      </c>
      <c r="P987" s="2" t="s">
        <v>832</v>
      </c>
      <c r="Q987" s="2" t="s">
        <v>9346</v>
      </c>
      <c r="R987" s="2"/>
      <c r="S987" s="2"/>
      <c r="T987" s="2"/>
      <c r="U987" s="2" t="s">
        <v>384</v>
      </c>
      <c r="V987" s="2" t="s">
        <v>73</v>
      </c>
      <c r="W987" s="2" t="s">
        <v>832</v>
      </c>
      <c r="X987" s="2" t="s">
        <v>9349</v>
      </c>
      <c r="Y987" s="2" t="s">
        <v>44</v>
      </c>
      <c r="Z987" s="2"/>
      <c r="AA987" s="2" t="s">
        <v>821</v>
      </c>
      <c r="AB987" s="2" t="s">
        <v>46</v>
      </c>
      <c r="AC987" s="2" t="s">
        <v>821</v>
      </c>
      <c r="AE987" s="2" t="s">
        <v>48</v>
      </c>
      <c r="AF987" s="2" t="s">
        <v>7864</v>
      </c>
      <c r="AG987" s="2">
        <v>100</v>
      </c>
      <c r="AH987" s="2">
        <v>67</v>
      </c>
      <c r="AJ987" s="2" t="s">
        <v>9351</v>
      </c>
      <c r="AK987" s="2"/>
      <c r="AL987" s="2"/>
      <c r="AM987" s="2" t="s">
        <v>52</v>
      </c>
    </row>
    <row r="988" spans="1:39" x14ac:dyDescent="0.45">
      <c r="A988" s="2" t="s">
        <v>9352</v>
      </c>
      <c r="B988" s="2"/>
      <c r="C988" s="2" t="s">
        <v>9354</v>
      </c>
      <c r="D988" s="2" t="s">
        <v>9356</v>
      </c>
      <c r="E988" s="25"/>
      <c r="F988" s="21"/>
      <c r="G988" s="42" t="s">
        <v>28000</v>
      </c>
      <c r="H988" s="2" t="s">
        <v>7865</v>
      </c>
      <c r="I988" s="2" t="s">
        <v>9360</v>
      </c>
      <c r="J988" s="2" t="s">
        <v>9353</v>
      </c>
      <c r="K988" s="2" t="s">
        <v>9355</v>
      </c>
      <c r="L988" s="2" t="s">
        <v>9357</v>
      </c>
      <c r="M988" s="2" t="s">
        <v>9357</v>
      </c>
      <c r="N988" s="2" t="s">
        <v>72</v>
      </c>
      <c r="O988" s="2" t="s">
        <v>73</v>
      </c>
      <c r="P988" s="2" t="s">
        <v>8038</v>
      </c>
      <c r="Q988" s="2" t="s">
        <v>9358</v>
      </c>
      <c r="R988" s="2"/>
      <c r="S988" s="2"/>
      <c r="T988" s="2"/>
      <c r="U988" s="2" t="s">
        <v>72</v>
      </c>
      <c r="V988" s="2" t="s">
        <v>73</v>
      </c>
      <c r="W988" s="2" t="s">
        <v>8038</v>
      </c>
      <c r="X988" s="2" t="s">
        <v>9359</v>
      </c>
      <c r="Y988" s="2" t="s">
        <v>44</v>
      </c>
      <c r="Z988" s="2"/>
      <c r="AA988" s="2" t="s">
        <v>821</v>
      </c>
      <c r="AB988" s="2" t="s">
        <v>46</v>
      </c>
      <c r="AC988" s="2" t="s">
        <v>821</v>
      </c>
      <c r="AE988" s="2" t="s">
        <v>48</v>
      </c>
      <c r="AF988" s="2" t="s">
        <v>7864</v>
      </c>
      <c r="AG988" s="2">
        <v>100</v>
      </c>
      <c r="AH988" s="2">
        <v>67</v>
      </c>
      <c r="AJ988" s="2" t="s">
        <v>9361</v>
      </c>
      <c r="AK988" s="2"/>
      <c r="AL988" s="2"/>
      <c r="AM988" s="2" t="s">
        <v>52</v>
      </c>
    </row>
    <row r="989" spans="1:39" x14ac:dyDescent="0.45">
      <c r="A989" s="2" t="s">
        <v>9362</v>
      </c>
      <c r="B989" s="2"/>
      <c r="C989" s="2" t="s">
        <v>9364</v>
      </c>
      <c r="D989" s="2" t="s">
        <v>9366</v>
      </c>
      <c r="E989" s="25"/>
      <c r="F989" s="21"/>
      <c r="G989" s="42" t="s">
        <v>28000</v>
      </c>
      <c r="H989" s="2" t="s">
        <v>7865</v>
      </c>
      <c r="I989" s="2" t="s">
        <v>9370</v>
      </c>
      <c r="J989" s="2" t="s">
        <v>9363</v>
      </c>
      <c r="K989" s="2" t="s">
        <v>9365</v>
      </c>
      <c r="L989" s="2" t="s">
        <v>9367</v>
      </c>
      <c r="M989" s="2"/>
      <c r="N989" s="2" t="s">
        <v>72</v>
      </c>
      <c r="O989" s="2" t="s">
        <v>73</v>
      </c>
      <c r="P989" s="2" t="s">
        <v>1479</v>
      </c>
      <c r="Q989" s="2" t="s">
        <v>9368</v>
      </c>
      <c r="R989" s="2"/>
      <c r="S989" s="2"/>
      <c r="T989" s="2"/>
      <c r="U989" s="2" t="s">
        <v>72</v>
      </c>
      <c r="V989" s="2" t="s">
        <v>73</v>
      </c>
      <c r="W989" s="2" t="s">
        <v>1479</v>
      </c>
      <c r="X989" s="2" t="s">
        <v>9369</v>
      </c>
      <c r="Y989" s="2" t="s">
        <v>44</v>
      </c>
      <c r="Z989" s="2"/>
      <c r="AA989" s="2" t="s">
        <v>821</v>
      </c>
      <c r="AB989" s="2" t="s">
        <v>46</v>
      </c>
      <c r="AC989" s="2" t="s">
        <v>821</v>
      </c>
      <c r="AE989" s="2" t="s">
        <v>48</v>
      </c>
      <c r="AF989" s="2" t="s">
        <v>7864</v>
      </c>
      <c r="AG989" s="2">
        <v>100</v>
      </c>
      <c r="AH989" s="2">
        <v>67</v>
      </c>
      <c r="AJ989" s="2" t="s">
        <v>9371</v>
      </c>
      <c r="AK989" s="2"/>
      <c r="AL989" s="2"/>
      <c r="AM989" s="2" t="s">
        <v>52</v>
      </c>
    </row>
    <row r="990" spans="1:39" x14ac:dyDescent="0.45">
      <c r="A990" s="2" t="s">
        <v>9372</v>
      </c>
      <c r="B990" s="2"/>
      <c r="C990" s="2" t="s">
        <v>9374</v>
      </c>
      <c r="D990" s="2" t="s">
        <v>9376</v>
      </c>
      <c r="E990" s="25"/>
      <c r="F990" s="21"/>
      <c r="G990" s="42" t="s">
        <v>28000</v>
      </c>
      <c r="H990" s="2" t="s">
        <v>7865</v>
      </c>
      <c r="I990" s="2" t="s">
        <v>9379</v>
      </c>
      <c r="J990" s="2" t="s">
        <v>9373</v>
      </c>
      <c r="K990" s="2" t="s">
        <v>9375</v>
      </c>
      <c r="L990" s="2" t="s">
        <v>9377</v>
      </c>
      <c r="M990" s="2" t="s">
        <v>9377</v>
      </c>
      <c r="N990" s="2" t="s">
        <v>72</v>
      </c>
      <c r="O990" s="2" t="s">
        <v>73</v>
      </c>
      <c r="P990" s="2" t="s">
        <v>2665</v>
      </c>
      <c r="Q990" s="2" t="s">
        <v>9378</v>
      </c>
      <c r="R990" s="2"/>
      <c r="S990" s="2"/>
      <c r="T990" s="2"/>
      <c r="U990" s="2" t="s">
        <v>72</v>
      </c>
      <c r="V990" s="2" t="s">
        <v>73</v>
      </c>
      <c r="W990" s="2" t="s">
        <v>2665</v>
      </c>
      <c r="X990" s="2" t="s">
        <v>580</v>
      </c>
      <c r="Y990" s="2" t="s">
        <v>44</v>
      </c>
      <c r="Z990" s="2"/>
      <c r="AA990" s="2" t="s">
        <v>821</v>
      </c>
      <c r="AB990" s="2" t="s">
        <v>46</v>
      </c>
      <c r="AC990" s="2" t="s">
        <v>821</v>
      </c>
      <c r="AE990" s="2" t="s">
        <v>48</v>
      </c>
      <c r="AF990" s="2" t="s">
        <v>7864</v>
      </c>
      <c r="AG990" s="2">
        <v>100</v>
      </c>
      <c r="AH990" s="2">
        <v>67</v>
      </c>
      <c r="AJ990" s="2" t="s">
        <v>9380</v>
      </c>
      <c r="AK990" s="2"/>
      <c r="AL990" s="2"/>
      <c r="AM990" s="2" t="s">
        <v>52</v>
      </c>
    </row>
    <row r="991" spans="1:39" x14ac:dyDescent="0.45">
      <c r="A991" s="2" t="s">
        <v>9381</v>
      </c>
      <c r="B991" s="2"/>
      <c r="C991" s="2" t="s">
        <v>9383</v>
      </c>
      <c r="D991" s="2" t="s">
        <v>9385</v>
      </c>
      <c r="E991" s="25"/>
      <c r="F991" s="21"/>
      <c r="G991" s="42" t="s">
        <v>28000</v>
      </c>
      <c r="H991" s="2" t="s">
        <v>7865</v>
      </c>
      <c r="I991" s="2" t="s">
        <v>9388</v>
      </c>
      <c r="J991" s="2" t="s">
        <v>9382</v>
      </c>
      <c r="K991" s="2" t="s">
        <v>9384</v>
      </c>
      <c r="L991" s="2" t="s">
        <v>9386</v>
      </c>
      <c r="M991" s="2"/>
      <c r="N991" s="2" t="s">
        <v>1188</v>
      </c>
      <c r="O991" s="2" t="s">
        <v>221</v>
      </c>
      <c r="P991" s="2" t="s">
        <v>5169</v>
      </c>
      <c r="Q991" s="2" t="s">
        <v>9384</v>
      </c>
      <c r="R991" s="2"/>
      <c r="S991" s="2"/>
      <c r="T991" s="2"/>
      <c r="U991" s="2" t="s">
        <v>1188</v>
      </c>
      <c r="V991" s="2" t="s">
        <v>221</v>
      </c>
      <c r="W991" s="2" t="s">
        <v>5169</v>
      </c>
      <c r="X991" s="2" t="s">
        <v>9387</v>
      </c>
      <c r="Y991" s="2" t="s">
        <v>44</v>
      </c>
      <c r="Z991" s="2"/>
      <c r="AA991" s="2" t="s">
        <v>821</v>
      </c>
      <c r="AB991" s="2" t="s">
        <v>46</v>
      </c>
      <c r="AC991" s="2" t="s">
        <v>821</v>
      </c>
      <c r="AE991" s="2" t="s">
        <v>48</v>
      </c>
      <c r="AF991" s="2" t="s">
        <v>7864</v>
      </c>
      <c r="AG991" s="2">
        <v>100</v>
      </c>
      <c r="AH991" s="2">
        <v>67</v>
      </c>
      <c r="AJ991" s="2" t="s">
        <v>9389</v>
      </c>
      <c r="AK991" s="2"/>
      <c r="AL991" s="2"/>
      <c r="AM991" s="2" t="s">
        <v>52</v>
      </c>
    </row>
    <row r="992" spans="1:39" x14ac:dyDescent="0.45">
      <c r="A992" s="2" t="s">
        <v>9390</v>
      </c>
      <c r="B992" s="2"/>
      <c r="C992" s="2" t="s">
        <v>9392</v>
      </c>
      <c r="D992" s="2" t="s">
        <v>9394</v>
      </c>
      <c r="E992" s="25"/>
      <c r="F992" s="21"/>
      <c r="G992" s="42" t="s">
        <v>28000</v>
      </c>
      <c r="H992" s="2" t="s">
        <v>7865</v>
      </c>
      <c r="I992" s="2" t="s">
        <v>9397</v>
      </c>
      <c r="J992" s="2" t="s">
        <v>9391</v>
      </c>
      <c r="K992" s="2" t="s">
        <v>9393</v>
      </c>
      <c r="L992" s="2" t="s">
        <v>9395</v>
      </c>
      <c r="M992" s="2" t="s">
        <v>9395</v>
      </c>
      <c r="N992" s="2" t="s">
        <v>384</v>
      </c>
      <c r="O992" s="2" t="s">
        <v>73</v>
      </c>
      <c r="P992" s="2" t="s">
        <v>7107</v>
      </c>
      <c r="Q992" s="2" t="s">
        <v>9396</v>
      </c>
      <c r="R992" s="2"/>
      <c r="S992" s="2"/>
      <c r="T992" s="2"/>
      <c r="U992" s="2" t="s">
        <v>384</v>
      </c>
      <c r="V992" s="2" t="s">
        <v>73</v>
      </c>
      <c r="W992" s="2" t="s">
        <v>7107</v>
      </c>
      <c r="X992" s="2" t="s">
        <v>4984</v>
      </c>
      <c r="Y992" s="2" t="s">
        <v>44</v>
      </c>
      <c r="Z992" s="2"/>
      <c r="AA992" s="2" t="s">
        <v>821</v>
      </c>
      <c r="AB992" s="2" t="s">
        <v>46</v>
      </c>
      <c r="AC992" s="2" t="s">
        <v>821</v>
      </c>
      <c r="AE992" s="2" t="s">
        <v>48</v>
      </c>
      <c r="AF992" s="2" t="s">
        <v>7864</v>
      </c>
      <c r="AG992" s="2">
        <v>100</v>
      </c>
      <c r="AH992" s="2">
        <v>67</v>
      </c>
      <c r="AJ992" s="2" t="s">
        <v>9398</v>
      </c>
      <c r="AK992" s="2"/>
      <c r="AL992" s="2"/>
      <c r="AM992" s="2" t="s">
        <v>52</v>
      </c>
    </row>
    <row r="993" spans="1:39" x14ac:dyDescent="0.45">
      <c r="A993" s="2" t="s">
        <v>9399</v>
      </c>
      <c r="B993" s="2"/>
      <c r="C993" s="2" t="s">
        <v>9401</v>
      </c>
      <c r="D993" s="2" t="s">
        <v>9403</v>
      </c>
      <c r="E993" s="25"/>
      <c r="F993" s="21"/>
      <c r="G993" s="42" t="s">
        <v>28000</v>
      </c>
      <c r="H993" s="2" t="s">
        <v>7865</v>
      </c>
      <c r="I993" s="2" t="s">
        <v>9405</v>
      </c>
      <c r="J993" s="2" t="s">
        <v>9400</v>
      </c>
      <c r="K993" s="2" t="s">
        <v>9402</v>
      </c>
      <c r="L993" s="2" t="s">
        <v>9404</v>
      </c>
      <c r="M993" s="2"/>
      <c r="N993" s="2" t="s">
        <v>324</v>
      </c>
      <c r="O993" s="2" t="s">
        <v>73</v>
      </c>
      <c r="P993" s="2" t="s">
        <v>326</v>
      </c>
      <c r="Q993" s="2" t="s">
        <v>9402</v>
      </c>
      <c r="R993" s="2"/>
      <c r="S993" s="2"/>
      <c r="T993" s="2"/>
      <c r="U993" s="2" t="s">
        <v>324</v>
      </c>
      <c r="V993" s="2" t="s">
        <v>73</v>
      </c>
      <c r="W993" s="2" t="s">
        <v>326</v>
      </c>
      <c r="X993" s="2" t="s">
        <v>4984</v>
      </c>
      <c r="Y993" s="2" t="s">
        <v>44</v>
      </c>
      <c r="Z993" s="2"/>
      <c r="AA993" s="2" t="s">
        <v>821</v>
      </c>
      <c r="AB993" s="2" t="s">
        <v>46</v>
      </c>
      <c r="AC993" s="2" t="s">
        <v>821</v>
      </c>
      <c r="AE993" s="2" t="s">
        <v>48</v>
      </c>
      <c r="AF993" s="2" t="s">
        <v>7864</v>
      </c>
      <c r="AG993" s="2">
        <v>100</v>
      </c>
      <c r="AH993" s="2">
        <v>67</v>
      </c>
      <c r="AJ993" s="2" t="s">
        <v>9406</v>
      </c>
      <c r="AK993" s="2"/>
      <c r="AL993" s="2"/>
      <c r="AM993" s="2" t="s">
        <v>52</v>
      </c>
    </row>
    <row r="994" spans="1:39" x14ac:dyDescent="0.45">
      <c r="A994" s="2" t="s">
        <v>9407</v>
      </c>
      <c r="B994" s="2"/>
      <c r="C994" s="2" t="s">
        <v>9409</v>
      </c>
      <c r="D994" s="2" t="s">
        <v>9411</v>
      </c>
      <c r="E994" s="25"/>
      <c r="F994" s="21"/>
      <c r="G994" s="42" t="s">
        <v>28000</v>
      </c>
      <c r="H994" s="2" t="s">
        <v>7865</v>
      </c>
      <c r="I994" s="2" t="s">
        <v>9414</v>
      </c>
      <c r="J994" s="2" t="s">
        <v>9408</v>
      </c>
      <c r="K994" s="2" t="s">
        <v>9410</v>
      </c>
      <c r="L994" s="2" t="s">
        <v>9412</v>
      </c>
      <c r="M994" s="2" t="s">
        <v>9412</v>
      </c>
      <c r="N994" s="2" t="s">
        <v>59</v>
      </c>
      <c r="O994" s="2" t="s">
        <v>60</v>
      </c>
      <c r="P994" s="2" t="s">
        <v>1589</v>
      </c>
      <c r="Q994" s="2" t="s">
        <v>9410</v>
      </c>
      <c r="R994" s="2"/>
      <c r="S994" s="2"/>
      <c r="T994" s="2"/>
      <c r="U994" s="2" t="s">
        <v>59</v>
      </c>
      <c r="V994" s="2" t="s">
        <v>60</v>
      </c>
      <c r="W994" s="2" t="s">
        <v>1589</v>
      </c>
      <c r="X994" s="2" t="s">
        <v>9413</v>
      </c>
      <c r="Y994" s="2" t="s">
        <v>44</v>
      </c>
      <c r="Z994" s="2"/>
      <c r="AA994" s="2" t="s">
        <v>821</v>
      </c>
      <c r="AB994" s="2" t="s">
        <v>46</v>
      </c>
      <c r="AC994" s="2" t="s">
        <v>821</v>
      </c>
      <c r="AE994" s="2" t="s">
        <v>48</v>
      </c>
      <c r="AF994" s="2" t="s">
        <v>7864</v>
      </c>
      <c r="AG994" s="2">
        <v>100</v>
      </c>
      <c r="AH994" s="2">
        <v>67</v>
      </c>
      <c r="AJ994" s="2" t="s">
        <v>9415</v>
      </c>
      <c r="AK994" s="2"/>
      <c r="AL994" s="2"/>
      <c r="AM994" s="2" t="s">
        <v>52</v>
      </c>
    </row>
    <row r="995" spans="1:39" x14ac:dyDescent="0.45">
      <c r="A995" s="2" t="s">
        <v>9416</v>
      </c>
      <c r="B995" s="2"/>
      <c r="C995" s="2" t="s">
        <v>9418</v>
      </c>
      <c r="D995" s="2" t="s">
        <v>9420</v>
      </c>
      <c r="E995" s="25"/>
      <c r="F995" s="21"/>
      <c r="G995" s="42" t="s">
        <v>28000</v>
      </c>
      <c r="H995" s="2" t="s">
        <v>7865</v>
      </c>
      <c r="I995" s="2" t="s">
        <v>9423</v>
      </c>
      <c r="J995" s="2" t="s">
        <v>9417</v>
      </c>
      <c r="K995" s="2" t="s">
        <v>9419</v>
      </c>
      <c r="L995" s="2" t="s">
        <v>9421</v>
      </c>
      <c r="M995" s="2"/>
      <c r="N995" s="2" t="s">
        <v>59</v>
      </c>
      <c r="O995" s="2" t="s">
        <v>60</v>
      </c>
      <c r="P995" s="2" t="s">
        <v>4241</v>
      </c>
      <c r="Q995" s="2" t="s">
        <v>9422</v>
      </c>
      <c r="R995" s="2"/>
      <c r="S995" s="2"/>
      <c r="T995" s="2"/>
      <c r="U995" s="2" t="s">
        <v>59</v>
      </c>
      <c r="V995" s="2" t="s">
        <v>60</v>
      </c>
      <c r="W995" s="2" t="s">
        <v>4241</v>
      </c>
      <c r="X995" s="2" t="s">
        <v>9413</v>
      </c>
      <c r="Y995" s="2" t="s">
        <v>44</v>
      </c>
      <c r="Z995" s="2"/>
      <c r="AA995" s="2" t="s">
        <v>821</v>
      </c>
      <c r="AB995" s="2" t="s">
        <v>46</v>
      </c>
      <c r="AC995" s="2" t="s">
        <v>821</v>
      </c>
      <c r="AE995" s="2" t="s">
        <v>48</v>
      </c>
      <c r="AF995" s="2" t="s">
        <v>7864</v>
      </c>
      <c r="AG995" s="2">
        <v>100</v>
      </c>
      <c r="AH995" s="2">
        <v>67</v>
      </c>
      <c r="AJ995" s="2" t="s">
        <v>9424</v>
      </c>
      <c r="AK995" s="2"/>
      <c r="AL995" s="2"/>
      <c r="AM995" s="2" t="s">
        <v>52</v>
      </c>
    </row>
    <row r="996" spans="1:39" x14ac:dyDescent="0.45">
      <c r="A996" s="2" t="s">
        <v>9425</v>
      </c>
      <c r="B996" s="2"/>
      <c r="C996" s="2" t="s">
        <v>9427</v>
      </c>
      <c r="D996" s="2" t="s">
        <v>9429</v>
      </c>
      <c r="E996" s="25"/>
      <c r="F996" s="21"/>
      <c r="G996" s="42" t="s">
        <v>28000</v>
      </c>
      <c r="H996" s="2" t="s">
        <v>7865</v>
      </c>
      <c r="I996" s="2" t="s">
        <v>9432</v>
      </c>
      <c r="J996" s="2" t="s">
        <v>9426</v>
      </c>
      <c r="K996" s="2" t="s">
        <v>9428</v>
      </c>
      <c r="L996" s="2" t="s">
        <v>9430</v>
      </c>
      <c r="M996" s="2"/>
      <c r="N996" s="2" t="s">
        <v>651</v>
      </c>
      <c r="O996" s="2" t="s">
        <v>86</v>
      </c>
      <c r="P996" s="2" t="s">
        <v>9191</v>
      </c>
      <c r="Q996" s="2" t="s">
        <v>9428</v>
      </c>
      <c r="R996" s="2"/>
      <c r="S996" s="2"/>
      <c r="T996" s="2"/>
      <c r="U996" s="2" t="s">
        <v>651</v>
      </c>
      <c r="V996" s="2" t="s">
        <v>86</v>
      </c>
      <c r="W996" s="2" t="s">
        <v>9191</v>
      </c>
      <c r="X996" s="2" t="s">
        <v>9431</v>
      </c>
      <c r="Y996" s="2" t="s">
        <v>44</v>
      </c>
      <c r="Z996" s="2"/>
      <c r="AA996" s="2" t="s">
        <v>821</v>
      </c>
      <c r="AB996" s="2" t="s">
        <v>46</v>
      </c>
      <c r="AC996" s="2" t="s">
        <v>821</v>
      </c>
      <c r="AE996" s="2" t="s">
        <v>48</v>
      </c>
      <c r="AF996" s="2" t="s">
        <v>7864</v>
      </c>
      <c r="AG996" s="2">
        <v>100</v>
      </c>
      <c r="AH996" s="2">
        <v>67</v>
      </c>
      <c r="AJ996" s="2" t="s">
        <v>9433</v>
      </c>
      <c r="AK996" s="2"/>
      <c r="AL996" s="2"/>
      <c r="AM996" s="2" t="s">
        <v>52</v>
      </c>
    </row>
    <row r="997" spans="1:39" x14ac:dyDescent="0.45">
      <c r="A997" s="2" t="s">
        <v>9434</v>
      </c>
      <c r="B997" s="2"/>
      <c r="C997" s="2" t="s">
        <v>9434</v>
      </c>
      <c r="D997" s="2" t="s">
        <v>9437</v>
      </c>
      <c r="E997" s="25"/>
      <c r="F997" s="21"/>
      <c r="G997" s="42" t="s">
        <v>28000</v>
      </c>
      <c r="H997" s="2" t="s">
        <v>7865</v>
      </c>
      <c r="I997" s="2" t="s">
        <v>9441</v>
      </c>
      <c r="J997" s="2" t="s">
        <v>9435</v>
      </c>
      <c r="K997" s="2" t="s">
        <v>9436</v>
      </c>
      <c r="L997" s="2" t="s">
        <v>9438</v>
      </c>
      <c r="M997" s="2"/>
      <c r="N997" s="2" t="s">
        <v>59</v>
      </c>
      <c r="O997" s="2" t="s">
        <v>60</v>
      </c>
      <c r="P997" s="2" t="s">
        <v>4598</v>
      </c>
      <c r="Q997" s="2" t="s">
        <v>9439</v>
      </c>
      <c r="R997" s="2"/>
      <c r="S997" s="2"/>
      <c r="T997" s="2"/>
      <c r="U997" s="2" t="s">
        <v>59</v>
      </c>
      <c r="V997" s="2" t="s">
        <v>60</v>
      </c>
      <c r="W997" s="2" t="s">
        <v>4598</v>
      </c>
      <c r="X997" s="2" t="s">
        <v>9440</v>
      </c>
      <c r="Y997" s="2" t="s">
        <v>44</v>
      </c>
      <c r="Z997" s="2"/>
      <c r="AA997" s="2" t="s">
        <v>821</v>
      </c>
      <c r="AB997" s="2" t="s">
        <v>46</v>
      </c>
      <c r="AC997" s="2" t="s">
        <v>821</v>
      </c>
      <c r="AE997" s="2" t="s">
        <v>48</v>
      </c>
      <c r="AF997" s="2" t="s">
        <v>7864</v>
      </c>
      <c r="AG997" s="2">
        <v>100</v>
      </c>
      <c r="AH997" s="2">
        <v>67</v>
      </c>
      <c r="AJ997" s="2" t="s">
        <v>9442</v>
      </c>
      <c r="AK997" s="2"/>
      <c r="AL997" s="2"/>
      <c r="AM997" s="2" t="s">
        <v>52</v>
      </c>
    </row>
    <row r="998" spans="1:39" x14ac:dyDescent="0.45">
      <c r="A998" s="2" t="s">
        <v>9443</v>
      </c>
      <c r="B998" s="2"/>
      <c r="C998" s="2" t="s">
        <v>9445</v>
      </c>
      <c r="D998" s="2" t="s">
        <v>9447</v>
      </c>
      <c r="E998" s="25"/>
      <c r="F998" s="21"/>
      <c r="G998" s="42" t="s">
        <v>28000</v>
      </c>
      <c r="H998" s="2" t="s">
        <v>7865</v>
      </c>
      <c r="I998" s="2" t="s">
        <v>9450</v>
      </c>
      <c r="J998" s="2" t="s">
        <v>9444</v>
      </c>
      <c r="K998" s="2" t="s">
        <v>9446</v>
      </c>
      <c r="L998" s="2" t="s">
        <v>9448</v>
      </c>
      <c r="M998" s="2"/>
      <c r="N998" s="2" t="s">
        <v>651</v>
      </c>
      <c r="O998" s="2" t="s">
        <v>86</v>
      </c>
      <c r="P998" s="2" t="s">
        <v>9449</v>
      </c>
      <c r="Q998" s="2" t="s">
        <v>9446</v>
      </c>
      <c r="R998" s="2"/>
      <c r="S998" s="2"/>
      <c r="T998" s="2"/>
      <c r="U998" s="2" t="s">
        <v>651</v>
      </c>
      <c r="V998" s="2" t="s">
        <v>86</v>
      </c>
      <c r="W998" s="2" t="s">
        <v>9449</v>
      </c>
      <c r="X998" s="2" t="s">
        <v>7269</v>
      </c>
      <c r="Y998" s="2" t="s">
        <v>44</v>
      </c>
      <c r="Z998" s="2"/>
      <c r="AA998" s="2" t="s">
        <v>821</v>
      </c>
      <c r="AB998" s="2" t="s">
        <v>46</v>
      </c>
      <c r="AC998" s="2" t="s">
        <v>821</v>
      </c>
      <c r="AE998" s="2" t="s">
        <v>48</v>
      </c>
      <c r="AF998" s="2" t="s">
        <v>7864</v>
      </c>
      <c r="AG998" s="2">
        <v>100</v>
      </c>
      <c r="AH998" s="2">
        <v>67</v>
      </c>
      <c r="AJ998" s="2" t="s">
        <v>9451</v>
      </c>
      <c r="AK998" s="2"/>
      <c r="AL998" s="2"/>
      <c r="AM998" s="2" t="s">
        <v>52</v>
      </c>
    </row>
    <row r="999" spans="1:39" x14ac:dyDescent="0.45">
      <c r="A999" s="2" t="s">
        <v>9452</v>
      </c>
      <c r="B999" s="2"/>
      <c r="C999" s="2" t="s">
        <v>9452</v>
      </c>
      <c r="D999" s="2" t="s">
        <v>9455</v>
      </c>
      <c r="E999" s="25"/>
      <c r="F999" s="21"/>
      <c r="G999" s="42" t="s">
        <v>28000</v>
      </c>
      <c r="H999" s="2" t="s">
        <v>7865</v>
      </c>
      <c r="I999" s="2" t="s">
        <v>9458</v>
      </c>
      <c r="J999" s="2" t="s">
        <v>9453</v>
      </c>
      <c r="K999" s="2" t="s">
        <v>9454</v>
      </c>
      <c r="L999" s="2" t="s">
        <v>9456</v>
      </c>
      <c r="M999" s="2" t="s">
        <v>9456</v>
      </c>
      <c r="N999" s="2" t="s">
        <v>85</v>
      </c>
      <c r="O999" s="2" t="s">
        <v>86</v>
      </c>
      <c r="P999" s="2" t="s">
        <v>4731</v>
      </c>
      <c r="Q999" s="2" t="s">
        <v>9457</v>
      </c>
      <c r="R999" s="2"/>
      <c r="S999" s="2"/>
      <c r="T999" s="2"/>
      <c r="U999" s="2" t="s">
        <v>85</v>
      </c>
      <c r="V999" s="2" t="s">
        <v>86</v>
      </c>
      <c r="W999" s="2" t="s">
        <v>4731</v>
      </c>
      <c r="X999" s="2" t="s">
        <v>682</v>
      </c>
      <c r="Y999" s="2" t="s">
        <v>44</v>
      </c>
      <c r="Z999" s="2"/>
      <c r="AA999" s="2" t="s">
        <v>821</v>
      </c>
      <c r="AB999" s="2" t="s">
        <v>46</v>
      </c>
      <c r="AC999" s="2" t="s">
        <v>821</v>
      </c>
      <c r="AE999" s="2" t="s">
        <v>48</v>
      </c>
      <c r="AF999" s="2" t="s">
        <v>7864</v>
      </c>
      <c r="AG999" s="2">
        <v>100</v>
      </c>
      <c r="AH999" s="2">
        <v>67</v>
      </c>
      <c r="AJ999" s="2" t="s">
        <v>9459</v>
      </c>
      <c r="AK999" s="2"/>
      <c r="AL999" s="2"/>
      <c r="AM999" s="2" t="s">
        <v>52</v>
      </c>
    </row>
    <row r="1000" spans="1:39" x14ac:dyDescent="0.45">
      <c r="A1000" s="2" t="s">
        <v>9460</v>
      </c>
      <c r="B1000" s="2"/>
      <c r="C1000" s="2" t="s">
        <v>9462</v>
      </c>
      <c r="D1000" s="2" t="s">
        <v>9464</v>
      </c>
      <c r="E1000" s="25"/>
      <c r="F1000" s="21"/>
      <c r="G1000" s="42" t="s">
        <v>28000</v>
      </c>
      <c r="H1000" s="2" t="s">
        <v>7865</v>
      </c>
      <c r="I1000" s="2" t="s">
        <v>9469</v>
      </c>
      <c r="J1000" s="2" t="s">
        <v>9461</v>
      </c>
      <c r="K1000" s="2" t="s">
        <v>9463</v>
      </c>
      <c r="L1000" s="2" t="s">
        <v>9465</v>
      </c>
      <c r="M1000" s="2" t="s">
        <v>9465</v>
      </c>
      <c r="N1000" s="2" t="s">
        <v>1023</v>
      </c>
      <c r="O1000" s="2" t="s">
        <v>73</v>
      </c>
      <c r="P1000" s="2" t="s">
        <v>9466</v>
      </c>
      <c r="Q1000" s="2" t="s">
        <v>9467</v>
      </c>
      <c r="R1000" s="2"/>
      <c r="S1000" s="2"/>
      <c r="T1000" s="2"/>
      <c r="U1000" s="2" t="s">
        <v>1023</v>
      </c>
      <c r="V1000" s="2" t="s">
        <v>73</v>
      </c>
      <c r="W1000" s="2" t="s">
        <v>9468</v>
      </c>
      <c r="X1000" s="2" t="s">
        <v>5196</v>
      </c>
      <c r="Y1000" s="2" t="s">
        <v>44</v>
      </c>
      <c r="Z1000" s="2"/>
      <c r="AA1000" s="2" t="s">
        <v>821</v>
      </c>
      <c r="AB1000" s="2" t="s">
        <v>199</v>
      </c>
      <c r="AC1000" s="2" t="s">
        <v>821</v>
      </c>
      <c r="AE1000" s="2" t="s">
        <v>48</v>
      </c>
      <c r="AF1000" s="2" t="s">
        <v>7864</v>
      </c>
      <c r="AG1000" s="2">
        <v>100</v>
      </c>
      <c r="AH1000" s="2">
        <v>67</v>
      </c>
      <c r="AJ1000" s="2" t="s">
        <v>9470</v>
      </c>
      <c r="AK1000" s="2"/>
      <c r="AL1000" s="2"/>
      <c r="AM1000" s="2" t="s">
        <v>52</v>
      </c>
    </row>
    <row r="1001" spans="1:39" x14ac:dyDescent="0.45">
      <c r="A1001" s="2" t="s">
        <v>9471</v>
      </c>
      <c r="B1001" s="2"/>
      <c r="C1001" s="2" t="s">
        <v>9473</v>
      </c>
      <c r="D1001" s="2" t="s">
        <v>9475</v>
      </c>
      <c r="E1001" s="25"/>
      <c r="F1001" s="21"/>
      <c r="G1001" s="42" t="s">
        <v>28000</v>
      </c>
      <c r="H1001" s="2" t="s">
        <v>7865</v>
      </c>
      <c r="I1001" s="2" t="s">
        <v>9479</v>
      </c>
      <c r="J1001" s="2" t="s">
        <v>9472</v>
      </c>
      <c r="K1001" s="2" t="s">
        <v>9474</v>
      </c>
      <c r="L1001" s="2" t="s">
        <v>9476</v>
      </c>
      <c r="M1001" s="2"/>
      <c r="N1001" s="2" t="s">
        <v>72</v>
      </c>
      <c r="O1001" s="2" t="s">
        <v>73</v>
      </c>
      <c r="P1001" s="2" t="s">
        <v>830</v>
      </c>
      <c r="Q1001" s="2" t="s">
        <v>9477</v>
      </c>
      <c r="R1001" s="2"/>
      <c r="S1001" s="2"/>
      <c r="T1001" s="2"/>
      <c r="U1001" s="2" t="s">
        <v>72</v>
      </c>
      <c r="V1001" s="2" t="s">
        <v>73</v>
      </c>
      <c r="W1001" s="2" t="s">
        <v>830</v>
      </c>
      <c r="X1001" s="2" t="s">
        <v>9478</v>
      </c>
      <c r="Y1001" s="2" t="s">
        <v>44</v>
      </c>
      <c r="Z1001" s="2"/>
      <c r="AA1001" s="2" t="s">
        <v>821</v>
      </c>
      <c r="AB1001" s="2" t="s">
        <v>46</v>
      </c>
      <c r="AC1001" s="2" t="s">
        <v>821</v>
      </c>
      <c r="AE1001" s="2" t="s">
        <v>48</v>
      </c>
      <c r="AF1001" s="2" t="s">
        <v>7864</v>
      </c>
      <c r="AG1001" s="2">
        <v>100</v>
      </c>
      <c r="AH1001" s="2">
        <v>67</v>
      </c>
      <c r="AJ1001" s="2" t="s">
        <v>9480</v>
      </c>
      <c r="AK1001" s="2"/>
      <c r="AL1001" s="2"/>
      <c r="AM1001" s="2" t="s">
        <v>52</v>
      </c>
    </row>
    <row r="1002" spans="1:39" x14ac:dyDescent="0.45">
      <c r="A1002" s="2" t="s">
        <v>9481</v>
      </c>
      <c r="B1002" s="2"/>
      <c r="C1002" s="2" t="s">
        <v>9481</v>
      </c>
      <c r="D1002" s="2" t="s">
        <v>9484</v>
      </c>
      <c r="E1002" s="25"/>
      <c r="F1002" s="21"/>
      <c r="G1002" s="42" t="s">
        <v>28000</v>
      </c>
      <c r="H1002" s="2" t="s">
        <v>7865</v>
      </c>
      <c r="I1002" s="2" t="s">
        <v>9487</v>
      </c>
      <c r="J1002" s="2" t="s">
        <v>9482</v>
      </c>
      <c r="K1002" s="2" t="s">
        <v>9483</v>
      </c>
      <c r="L1002" s="2" t="s">
        <v>9485</v>
      </c>
      <c r="M1002" s="2"/>
      <c r="N1002" s="2" t="s">
        <v>72</v>
      </c>
      <c r="O1002" s="2" t="s">
        <v>73</v>
      </c>
      <c r="P1002" s="2" t="s">
        <v>7033</v>
      </c>
      <c r="Q1002" s="2" t="s">
        <v>9486</v>
      </c>
      <c r="R1002" s="2"/>
      <c r="S1002" s="2"/>
      <c r="T1002" s="2"/>
      <c r="U1002" s="2" t="s">
        <v>72</v>
      </c>
      <c r="V1002" s="2" t="s">
        <v>73</v>
      </c>
      <c r="W1002" s="2" t="s">
        <v>7033</v>
      </c>
      <c r="X1002" s="2" t="s">
        <v>7358</v>
      </c>
      <c r="Y1002" s="2" t="s">
        <v>44</v>
      </c>
      <c r="Z1002" s="2"/>
      <c r="AA1002" s="2" t="s">
        <v>821</v>
      </c>
      <c r="AB1002" s="2" t="s">
        <v>46</v>
      </c>
      <c r="AC1002" s="2" t="s">
        <v>821</v>
      </c>
      <c r="AE1002" s="2" t="s">
        <v>48</v>
      </c>
      <c r="AF1002" s="2" t="s">
        <v>7864</v>
      </c>
      <c r="AG1002" s="2">
        <v>100</v>
      </c>
      <c r="AH1002" s="2">
        <v>67</v>
      </c>
      <c r="AJ1002" s="2" t="s">
        <v>9488</v>
      </c>
      <c r="AK1002" s="2"/>
      <c r="AL1002" s="2"/>
      <c r="AM1002" s="2" t="s">
        <v>52</v>
      </c>
    </row>
    <row r="1003" spans="1:39" x14ac:dyDescent="0.45">
      <c r="A1003" s="2" t="s">
        <v>9489</v>
      </c>
      <c r="B1003" s="2"/>
      <c r="C1003" s="2" t="s">
        <v>9491</v>
      </c>
      <c r="D1003" s="2" t="s">
        <v>9493</v>
      </c>
      <c r="E1003" s="25"/>
      <c r="F1003" s="21"/>
      <c r="G1003" s="42" t="s">
        <v>28000</v>
      </c>
      <c r="H1003" s="2" t="s">
        <v>7865</v>
      </c>
      <c r="I1003" s="2" t="s">
        <v>9497</v>
      </c>
      <c r="J1003" s="2" t="s">
        <v>9490</v>
      </c>
      <c r="K1003" s="2" t="s">
        <v>9492</v>
      </c>
      <c r="L1003" s="2" t="s">
        <v>9494</v>
      </c>
      <c r="M1003" s="2" t="s">
        <v>9494</v>
      </c>
      <c r="N1003" s="2" t="s">
        <v>59</v>
      </c>
      <c r="O1003" s="2" t="s">
        <v>60</v>
      </c>
      <c r="P1003" s="2" t="s">
        <v>9495</v>
      </c>
      <c r="Q1003" s="2" t="s">
        <v>9496</v>
      </c>
      <c r="R1003" s="2"/>
      <c r="S1003" s="2"/>
      <c r="T1003" s="2"/>
      <c r="U1003" s="2" t="s">
        <v>59</v>
      </c>
      <c r="V1003" s="2" t="s">
        <v>60</v>
      </c>
      <c r="W1003" s="2" t="s">
        <v>9495</v>
      </c>
      <c r="X1003" s="2" t="s">
        <v>5261</v>
      </c>
      <c r="Y1003" s="2" t="s">
        <v>44</v>
      </c>
      <c r="Z1003" s="2"/>
      <c r="AA1003" s="2" t="s">
        <v>821</v>
      </c>
      <c r="AB1003" s="2" t="s">
        <v>46</v>
      </c>
      <c r="AC1003" s="2" t="s">
        <v>821</v>
      </c>
      <c r="AE1003" s="2" t="s">
        <v>48</v>
      </c>
      <c r="AF1003" s="2" t="s">
        <v>7864</v>
      </c>
      <c r="AG1003" s="2">
        <v>100</v>
      </c>
      <c r="AH1003" s="2">
        <v>67</v>
      </c>
      <c r="AJ1003" s="2" t="s">
        <v>9498</v>
      </c>
      <c r="AK1003" s="2"/>
      <c r="AL1003" s="2"/>
      <c r="AM1003" s="2" t="s">
        <v>52</v>
      </c>
    </row>
    <row r="1004" spans="1:39" x14ac:dyDescent="0.45">
      <c r="A1004" s="2" t="s">
        <v>9499</v>
      </c>
      <c r="B1004" s="2"/>
      <c r="C1004" s="2" t="s">
        <v>9499</v>
      </c>
      <c r="D1004" s="2" t="s">
        <v>9502</v>
      </c>
      <c r="E1004" s="25"/>
      <c r="F1004" s="21"/>
      <c r="G1004" s="42" t="s">
        <v>28000</v>
      </c>
      <c r="H1004" s="2" t="s">
        <v>7865</v>
      </c>
      <c r="I1004" s="2" t="s">
        <v>9504</v>
      </c>
      <c r="J1004" s="2" t="s">
        <v>9500</v>
      </c>
      <c r="K1004" s="2" t="s">
        <v>9501</v>
      </c>
      <c r="L1004" s="2" t="s">
        <v>9503</v>
      </c>
      <c r="M1004" s="2" t="s">
        <v>9503</v>
      </c>
      <c r="N1004" s="2" t="s">
        <v>290</v>
      </c>
      <c r="O1004" s="2" t="s">
        <v>278</v>
      </c>
      <c r="P1004" s="2" t="s">
        <v>291</v>
      </c>
      <c r="Q1004" s="2" t="s">
        <v>9501</v>
      </c>
      <c r="R1004" s="2"/>
      <c r="S1004" s="2"/>
      <c r="T1004" s="2"/>
      <c r="U1004" s="2" t="s">
        <v>290</v>
      </c>
      <c r="V1004" s="2" t="s">
        <v>278</v>
      </c>
      <c r="W1004" s="2" t="s">
        <v>291</v>
      </c>
      <c r="X1004" s="2" t="s">
        <v>5356</v>
      </c>
      <c r="Y1004" s="2" t="s">
        <v>44</v>
      </c>
      <c r="Z1004" s="2"/>
      <c r="AA1004" s="2" t="s">
        <v>821</v>
      </c>
      <c r="AB1004" s="2" t="s">
        <v>46</v>
      </c>
      <c r="AC1004" s="2" t="s">
        <v>821</v>
      </c>
      <c r="AE1004" s="2" t="s">
        <v>48</v>
      </c>
      <c r="AF1004" s="2" t="s">
        <v>7864</v>
      </c>
      <c r="AG1004" s="2">
        <v>100</v>
      </c>
      <c r="AH1004" s="2">
        <v>67</v>
      </c>
      <c r="AJ1004" s="2" t="s">
        <v>9505</v>
      </c>
      <c r="AK1004" s="2"/>
      <c r="AL1004" s="2"/>
      <c r="AM1004" s="2" t="s">
        <v>52</v>
      </c>
    </row>
    <row r="1005" spans="1:39" x14ac:dyDescent="0.45">
      <c r="A1005" s="2" t="s">
        <v>9506</v>
      </c>
      <c r="B1005" s="2"/>
      <c r="C1005" s="2" t="s">
        <v>9506</v>
      </c>
      <c r="D1005" s="2" t="s">
        <v>9509</v>
      </c>
      <c r="E1005" s="25"/>
      <c r="F1005" s="21"/>
      <c r="G1005" s="42" t="s">
        <v>28000</v>
      </c>
      <c r="H1005" s="2" t="s">
        <v>7865</v>
      </c>
      <c r="I1005" s="2" t="s">
        <v>9512</v>
      </c>
      <c r="J1005" s="2" t="s">
        <v>9507</v>
      </c>
      <c r="K1005" s="2" t="s">
        <v>9508</v>
      </c>
      <c r="L1005" s="2" t="s">
        <v>9510</v>
      </c>
      <c r="M1005" s="2" t="s">
        <v>9510</v>
      </c>
      <c r="N1005" s="2" t="s">
        <v>72</v>
      </c>
      <c r="O1005" s="2" t="s">
        <v>73</v>
      </c>
      <c r="P1005" s="2" t="s">
        <v>7553</v>
      </c>
      <c r="Q1005" s="2" t="s">
        <v>9508</v>
      </c>
      <c r="R1005" s="2"/>
      <c r="S1005" s="2"/>
      <c r="T1005" s="2"/>
      <c r="U1005" s="2" t="s">
        <v>72</v>
      </c>
      <c r="V1005" s="2" t="s">
        <v>73</v>
      </c>
      <c r="W1005" s="2" t="s">
        <v>7553</v>
      </c>
      <c r="X1005" s="2" t="s">
        <v>9511</v>
      </c>
      <c r="Y1005" s="2" t="s">
        <v>44</v>
      </c>
      <c r="Z1005" s="2"/>
      <c r="AA1005" s="2" t="s">
        <v>821</v>
      </c>
      <c r="AB1005" s="2" t="s">
        <v>46</v>
      </c>
      <c r="AC1005" s="2" t="s">
        <v>821</v>
      </c>
      <c r="AE1005" s="2" t="s">
        <v>48</v>
      </c>
      <c r="AF1005" s="2" t="s">
        <v>7864</v>
      </c>
      <c r="AG1005" s="2">
        <v>100</v>
      </c>
      <c r="AH1005" s="2">
        <v>67</v>
      </c>
      <c r="AJ1005" s="2" t="s">
        <v>9513</v>
      </c>
      <c r="AK1005" s="2"/>
      <c r="AL1005" s="2"/>
      <c r="AM1005" s="2" t="s">
        <v>52</v>
      </c>
    </row>
    <row r="1006" spans="1:39" x14ac:dyDescent="0.45">
      <c r="A1006" s="2" t="s">
        <v>9514</v>
      </c>
      <c r="B1006" s="2"/>
      <c r="C1006" s="2" t="s">
        <v>9516</v>
      </c>
      <c r="D1006" s="2" t="s">
        <v>9518</v>
      </c>
      <c r="E1006" s="25"/>
      <c r="F1006" s="21"/>
      <c r="G1006" s="42" t="s">
        <v>28000</v>
      </c>
      <c r="H1006" s="2" t="s">
        <v>7865</v>
      </c>
      <c r="I1006" s="2" t="s">
        <v>9520</v>
      </c>
      <c r="J1006" s="2" t="s">
        <v>9515</v>
      </c>
      <c r="K1006" s="2" t="s">
        <v>9517</v>
      </c>
      <c r="L1006" s="2" t="s">
        <v>9519</v>
      </c>
      <c r="M1006" s="2"/>
      <c r="N1006" s="2" t="s">
        <v>72</v>
      </c>
      <c r="O1006" s="2" t="s">
        <v>73</v>
      </c>
      <c r="P1006" s="2" t="s">
        <v>140</v>
      </c>
      <c r="Q1006" s="2" t="s">
        <v>9517</v>
      </c>
      <c r="R1006" s="2"/>
      <c r="S1006" s="2"/>
      <c r="T1006" s="2"/>
      <c r="U1006" s="2" t="s">
        <v>72</v>
      </c>
      <c r="V1006" s="2" t="s">
        <v>73</v>
      </c>
      <c r="W1006" s="2" t="s">
        <v>140</v>
      </c>
      <c r="X1006" s="2" t="s">
        <v>3304</v>
      </c>
      <c r="Y1006" s="2" t="s">
        <v>44</v>
      </c>
      <c r="Z1006" s="2"/>
      <c r="AA1006" s="2" t="s">
        <v>821</v>
      </c>
      <c r="AB1006" s="2" t="s">
        <v>46</v>
      </c>
      <c r="AC1006" s="2" t="s">
        <v>821</v>
      </c>
      <c r="AE1006" s="2" t="s">
        <v>48</v>
      </c>
      <c r="AF1006" s="2" t="s">
        <v>7864</v>
      </c>
      <c r="AG1006" s="2">
        <v>100</v>
      </c>
      <c r="AH1006" s="2">
        <v>67</v>
      </c>
      <c r="AJ1006" s="2" t="s">
        <v>9521</v>
      </c>
      <c r="AK1006" s="2"/>
      <c r="AL1006" s="2"/>
      <c r="AM1006" s="2" t="s">
        <v>52</v>
      </c>
    </row>
    <row r="1007" spans="1:39" x14ac:dyDescent="0.45">
      <c r="A1007" s="2" t="s">
        <v>9522</v>
      </c>
      <c r="B1007" s="2"/>
      <c r="C1007" s="2" t="s">
        <v>9524</v>
      </c>
      <c r="D1007" s="2" t="s">
        <v>9526</v>
      </c>
      <c r="E1007" s="25"/>
      <c r="F1007" s="21"/>
      <c r="G1007" s="42" t="s">
        <v>28000</v>
      </c>
      <c r="H1007" s="2" t="s">
        <v>7865</v>
      </c>
      <c r="I1007" s="2" t="s">
        <v>9529</v>
      </c>
      <c r="J1007" s="2" t="s">
        <v>9523</v>
      </c>
      <c r="K1007" s="2" t="s">
        <v>9525</v>
      </c>
      <c r="L1007" s="2" t="s">
        <v>9527</v>
      </c>
      <c r="M1007" s="2" t="s">
        <v>9527</v>
      </c>
      <c r="N1007" s="2" t="s">
        <v>384</v>
      </c>
      <c r="O1007" s="2" t="s">
        <v>73</v>
      </c>
      <c r="P1007" s="2" t="s">
        <v>7107</v>
      </c>
      <c r="Q1007" s="2" t="s">
        <v>9525</v>
      </c>
      <c r="R1007" s="2"/>
      <c r="S1007" s="2"/>
      <c r="T1007" s="2"/>
      <c r="U1007" s="2" t="s">
        <v>384</v>
      </c>
      <c r="V1007" s="2" t="s">
        <v>73</v>
      </c>
      <c r="W1007" s="2" t="s">
        <v>7107</v>
      </c>
      <c r="X1007" s="2" t="s">
        <v>9528</v>
      </c>
      <c r="Y1007" s="2" t="s">
        <v>44</v>
      </c>
      <c r="Z1007" s="2"/>
      <c r="AA1007" s="2" t="s">
        <v>821</v>
      </c>
      <c r="AB1007" s="2" t="s">
        <v>46</v>
      </c>
      <c r="AC1007" s="2" t="s">
        <v>821</v>
      </c>
      <c r="AE1007" s="2" t="s">
        <v>48</v>
      </c>
      <c r="AF1007" s="2" t="s">
        <v>7864</v>
      </c>
      <c r="AG1007" s="2">
        <v>100</v>
      </c>
      <c r="AH1007" s="2">
        <v>67</v>
      </c>
      <c r="AJ1007" s="2" t="s">
        <v>9530</v>
      </c>
      <c r="AK1007" s="2"/>
      <c r="AL1007" s="2"/>
      <c r="AM1007" s="2" t="s">
        <v>52</v>
      </c>
    </row>
    <row r="1008" spans="1:39" x14ac:dyDescent="0.45">
      <c r="A1008" s="2" t="s">
        <v>6179</v>
      </c>
      <c r="B1008" s="2"/>
      <c r="C1008" s="2" t="s">
        <v>6179</v>
      </c>
      <c r="D1008" s="2" t="s">
        <v>9533</v>
      </c>
      <c r="E1008" s="25"/>
      <c r="F1008" s="21"/>
      <c r="G1008" s="42" t="s">
        <v>28000</v>
      </c>
      <c r="H1008" s="2" t="s">
        <v>7865</v>
      </c>
      <c r="I1008" s="2" t="s">
        <v>9536</v>
      </c>
      <c r="J1008" s="2" t="s">
        <v>9531</v>
      </c>
      <c r="K1008" s="2" t="s">
        <v>9532</v>
      </c>
      <c r="L1008" s="2" t="s">
        <v>9534</v>
      </c>
      <c r="M1008" s="2" t="s">
        <v>9534</v>
      </c>
      <c r="N1008" s="2" t="s">
        <v>72</v>
      </c>
      <c r="O1008" s="2" t="s">
        <v>73</v>
      </c>
      <c r="P1008" s="2" t="s">
        <v>2372</v>
      </c>
      <c r="Q1008" s="2"/>
      <c r="R1008" s="2"/>
      <c r="S1008" s="2"/>
      <c r="T1008" s="2"/>
      <c r="U1008" s="2"/>
      <c r="V1008" s="2"/>
      <c r="W1008" s="2"/>
      <c r="X1008" s="2" t="s">
        <v>9535</v>
      </c>
      <c r="Y1008" s="2" t="s">
        <v>44</v>
      </c>
      <c r="Z1008" s="2"/>
      <c r="AA1008" s="2" t="s">
        <v>821</v>
      </c>
      <c r="AB1008" s="2" t="s">
        <v>46</v>
      </c>
      <c r="AC1008" s="2" t="s">
        <v>821</v>
      </c>
      <c r="AE1008" s="2" t="s">
        <v>48</v>
      </c>
      <c r="AF1008" s="2" t="s">
        <v>7864</v>
      </c>
      <c r="AG1008" s="2">
        <v>100</v>
      </c>
      <c r="AH1008" s="2">
        <v>67</v>
      </c>
      <c r="AJ1008" s="2" t="s">
        <v>9537</v>
      </c>
      <c r="AK1008" s="2"/>
      <c r="AL1008" s="2"/>
      <c r="AM1008" s="2" t="s">
        <v>52</v>
      </c>
    </row>
    <row r="1009" spans="1:39" x14ac:dyDescent="0.45">
      <c r="A1009" s="2" t="s">
        <v>9538</v>
      </c>
      <c r="B1009" s="2"/>
      <c r="C1009" s="2" t="s">
        <v>9538</v>
      </c>
      <c r="D1009" s="2" t="s">
        <v>9541</v>
      </c>
      <c r="E1009" s="25"/>
      <c r="F1009" s="21"/>
      <c r="G1009" s="42" t="s">
        <v>28000</v>
      </c>
      <c r="H1009" s="2" t="s">
        <v>7865</v>
      </c>
      <c r="I1009" s="2" t="s">
        <v>9543</v>
      </c>
      <c r="J1009" s="2" t="s">
        <v>9539</v>
      </c>
      <c r="K1009" s="2" t="s">
        <v>9540</v>
      </c>
      <c r="L1009" s="2" t="s">
        <v>9542</v>
      </c>
      <c r="M1009" s="2" t="s">
        <v>9542</v>
      </c>
      <c r="N1009" s="2" t="s">
        <v>59</v>
      </c>
      <c r="O1009" s="2" t="s">
        <v>60</v>
      </c>
      <c r="P1009" s="2" t="s">
        <v>992</v>
      </c>
      <c r="Q1009" s="2" t="s">
        <v>9540</v>
      </c>
      <c r="R1009" s="2"/>
      <c r="S1009" s="2"/>
      <c r="T1009" s="2"/>
      <c r="U1009" s="2" t="s">
        <v>59</v>
      </c>
      <c r="V1009" s="2" t="s">
        <v>60</v>
      </c>
      <c r="W1009" s="2" t="s">
        <v>992</v>
      </c>
      <c r="X1009" s="2" t="s">
        <v>3467</v>
      </c>
      <c r="Y1009" s="2" t="s">
        <v>44</v>
      </c>
      <c r="Z1009" s="2"/>
      <c r="AA1009" s="2" t="s">
        <v>821</v>
      </c>
      <c r="AB1009" s="2" t="s">
        <v>199</v>
      </c>
      <c r="AC1009" s="2" t="s">
        <v>821</v>
      </c>
      <c r="AE1009" s="2" t="s">
        <v>48</v>
      </c>
      <c r="AF1009" s="2" t="s">
        <v>7864</v>
      </c>
      <c r="AG1009" s="2">
        <v>100</v>
      </c>
      <c r="AH1009" s="2">
        <v>67</v>
      </c>
      <c r="AJ1009" s="2" t="s">
        <v>9544</v>
      </c>
      <c r="AK1009" s="2"/>
      <c r="AL1009" s="2"/>
      <c r="AM1009" s="2" t="s">
        <v>52</v>
      </c>
    </row>
    <row r="1010" spans="1:39" x14ac:dyDescent="0.45">
      <c r="A1010" s="2" t="s">
        <v>9545</v>
      </c>
      <c r="B1010" s="2"/>
      <c r="C1010" s="2" t="s">
        <v>9547</v>
      </c>
      <c r="D1010" s="2" t="s">
        <v>9549</v>
      </c>
      <c r="E1010" s="25"/>
      <c r="F1010" s="21"/>
      <c r="G1010" s="42" t="s">
        <v>28000</v>
      </c>
      <c r="H1010" s="2" t="s">
        <v>7865</v>
      </c>
      <c r="I1010" s="2" t="s">
        <v>9552</v>
      </c>
      <c r="J1010" s="2" t="s">
        <v>9546</v>
      </c>
      <c r="K1010" s="2" t="s">
        <v>9548</v>
      </c>
      <c r="L1010" s="2" t="s">
        <v>9550</v>
      </c>
      <c r="M1010" s="2" t="s">
        <v>9550</v>
      </c>
      <c r="N1010" s="2" t="s">
        <v>39</v>
      </c>
      <c r="O1010" s="2" t="s">
        <v>40</v>
      </c>
      <c r="P1010" s="2" t="s">
        <v>2250</v>
      </c>
      <c r="Q1010" s="2"/>
      <c r="R1010" s="2"/>
      <c r="S1010" s="2"/>
      <c r="T1010" s="2"/>
      <c r="U1010" s="2"/>
      <c r="V1010" s="2"/>
      <c r="W1010" s="2"/>
      <c r="X1010" s="2" t="s">
        <v>9551</v>
      </c>
      <c r="Y1010" s="2" t="s">
        <v>44</v>
      </c>
      <c r="Z1010" s="2"/>
      <c r="AA1010" s="2" t="s">
        <v>821</v>
      </c>
      <c r="AB1010" s="2" t="s">
        <v>46</v>
      </c>
      <c r="AC1010" s="2" t="s">
        <v>821</v>
      </c>
      <c r="AE1010" s="2" t="s">
        <v>48</v>
      </c>
      <c r="AF1010" s="2" t="s">
        <v>7864</v>
      </c>
      <c r="AG1010" s="2">
        <v>100</v>
      </c>
      <c r="AH1010" s="2">
        <v>67</v>
      </c>
      <c r="AJ1010" s="2" t="s">
        <v>9553</v>
      </c>
      <c r="AK1010" s="2"/>
      <c r="AL1010" s="2"/>
      <c r="AM1010" s="2" t="s">
        <v>52</v>
      </c>
    </row>
    <row r="1011" spans="1:39" x14ac:dyDescent="0.45">
      <c r="A1011" s="2" t="s">
        <v>9554</v>
      </c>
      <c r="B1011" s="2"/>
      <c r="C1011" s="2" t="s">
        <v>9556</v>
      </c>
      <c r="D1011" s="2" t="s">
        <v>9558</v>
      </c>
      <c r="E1011" s="25"/>
      <c r="F1011" s="21"/>
      <c r="G1011" s="42" t="s">
        <v>28000</v>
      </c>
      <c r="H1011" s="2" t="s">
        <v>7865</v>
      </c>
      <c r="I1011" s="2" t="s">
        <v>9561</v>
      </c>
      <c r="J1011" s="2" t="s">
        <v>9555</v>
      </c>
      <c r="K1011" s="2" t="s">
        <v>9557</v>
      </c>
      <c r="L1011" s="2" t="s">
        <v>9559</v>
      </c>
      <c r="M1011" s="2" t="s">
        <v>9559</v>
      </c>
      <c r="N1011" s="2" t="s">
        <v>651</v>
      </c>
      <c r="O1011" s="2" t="s">
        <v>86</v>
      </c>
      <c r="P1011" s="2" t="s">
        <v>1507</v>
      </c>
      <c r="Q1011" s="2"/>
      <c r="R1011" s="2"/>
      <c r="S1011" s="2"/>
      <c r="T1011" s="2"/>
      <c r="U1011" s="2"/>
      <c r="V1011" s="2"/>
      <c r="W1011" s="2"/>
      <c r="X1011" s="2" t="s">
        <v>9560</v>
      </c>
      <c r="Y1011" s="2" t="s">
        <v>44</v>
      </c>
      <c r="Z1011" s="2"/>
      <c r="AA1011" s="2" t="s">
        <v>821</v>
      </c>
      <c r="AB1011" s="2" t="s">
        <v>46</v>
      </c>
      <c r="AC1011" s="2" t="s">
        <v>821</v>
      </c>
      <c r="AE1011" s="2" t="s">
        <v>48</v>
      </c>
      <c r="AF1011" s="2" t="s">
        <v>7864</v>
      </c>
      <c r="AG1011" s="2">
        <v>100</v>
      </c>
      <c r="AH1011" s="2">
        <v>67</v>
      </c>
      <c r="AJ1011" s="2" t="s">
        <v>9562</v>
      </c>
      <c r="AK1011" s="2"/>
      <c r="AL1011" s="2"/>
      <c r="AM1011" s="2" t="s">
        <v>52</v>
      </c>
    </row>
    <row r="1012" spans="1:39" x14ac:dyDescent="0.45">
      <c r="A1012" s="2" t="s">
        <v>9563</v>
      </c>
      <c r="B1012" s="2"/>
      <c r="C1012" s="2" t="s">
        <v>9565</v>
      </c>
      <c r="D1012" s="2" t="s">
        <v>9567</v>
      </c>
      <c r="E1012" s="25"/>
      <c r="F1012" s="21"/>
      <c r="G1012" s="42" t="s">
        <v>28000</v>
      </c>
      <c r="H1012" s="2" t="s">
        <v>7865</v>
      </c>
      <c r="I1012" s="2" t="s">
        <v>9570</v>
      </c>
      <c r="J1012" s="2" t="s">
        <v>9564</v>
      </c>
      <c r="K1012" s="2" t="s">
        <v>9566</v>
      </c>
      <c r="L1012" s="2"/>
      <c r="M1012" s="2"/>
      <c r="N1012" s="2" t="s">
        <v>9568</v>
      </c>
      <c r="O1012" s="2" t="s">
        <v>73</v>
      </c>
      <c r="P1012" s="2" t="s">
        <v>8190</v>
      </c>
      <c r="Q1012" s="2" t="s">
        <v>9566</v>
      </c>
      <c r="R1012" s="2"/>
      <c r="S1012" s="2"/>
      <c r="T1012" s="2"/>
      <c r="U1012" s="2" t="s">
        <v>9568</v>
      </c>
      <c r="V1012" s="2" t="s">
        <v>73</v>
      </c>
      <c r="W1012" s="2" t="s">
        <v>8190</v>
      </c>
      <c r="X1012" s="2" t="s">
        <v>9569</v>
      </c>
      <c r="Y1012" s="2" t="s">
        <v>44</v>
      </c>
      <c r="Z1012" s="2"/>
      <c r="AA1012" s="2" t="s">
        <v>3527</v>
      </c>
      <c r="AB1012" s="2" t="s">
        <v>46</v>
      </c>
      <c r="AC1012" s="2" t="s">
        <v>3527</v>
      </c>
      <c r="AE1012" s="2" t="s">
        <v>48</v>
      </c>
      <c r="AF1012" s="2" t="s">
        <v>49</v>
      </c>
      <c r="AG1012" s="2">
        <v>90</v>
      </c>
      <c r="AH1012" s="2">
        <v>65</v>
      </c>
      <c r="AJ1012" s="2" t="s">
        <v>9571</v>
      </c>
      <c r="AK1012" s="2"/>
      <c r="AL1012" s="2"/>
      <c r="AM1012" s="2" t="s">
        <v>52</v>
      </c>
    </row>
    <row r="1013" spans="1:39" x14ac:dyDescent="0.45">
      <c r="A1013" s="2" t="s">
        <v>9572</v>
      </c>
      <c r="B1013" s="2"/>
      <c r="C1013" s="2" t="s">
        <v>9574</v>
      </c>
      <c r="D1013" s="2" t="s">
        <v>9576</v>
      </c>
      <c r="E1013" s="25"/>
      <c r="F1013" s="21"/>
      <c r="G1013" s="42" t="s">
        <v>28000</v>
      </c>
      <c r="H1013" s="2" t="s">
        <v>7865</v>
      </c>
      <c r="I1013" s="2" t="s">
        <v>9581</v>
      </c>
      <c r="J1013" s="2" t="s">
        <v>9573</v>
      </c>
      <c r="K1013" s="2" t="s">
        <v>9575</v>
      </c>
      <c r="L1013" s="2"/>
      <c r="M1013" s="2"/>
      <c r="N1013" s="2" t="s">
        <v>9577</v>
      </c>
      <c r="O1013" s="2" t="s">
        <v>278</v>
      </c>
      <c r="P1013" s="2" t="s">
        <v>9578</v>
      </c>
      <c r="Q1013" s="2" t="s">
        <v>9579</v>
      </c>
      <c r="R1013" s="2"/>
      <c r="S1013" s="2"/>
      <c r="T1013" s="2"/>
      <c r="U1013" s="2" t="s">
        <v>9577</v>
      </c>
      <c r="V1013" s="2" t="s">
        <v>278</v>
      </c>
      <c r="W1013" s="2" t="s">
        <v>9578</v>
      </c>
      <c r="X1013" s="2" t="s">
        <v>9580</v>
      </c>
      <c r="Y1013" s="2" t="s">
        <v>44</v>
      </c>
      <c r="Z1013" s="2"/>
      <c r="AA1013" s="2" t="s">
        <v>3527</v>
      </c>
      <c r="AB1013" s="2" t="s">
        <v>46</v>
      </c>
      <c r="AC1013" s="2" t="s">
        <v>3527</v>
      </c>
      <c r="AE1013" s="2" t="s">
        <v>48</v>
      </c>
      <c r="AF1013" s="2" t="s">
        <v>49</v>
      </c>
      <c r="AG1013" s="2">
        <v>90</v>
      </c>
      <c r="AH1013" s="2">
        <v>65</v>
      </c>
      <c r="AJ1013" s="2" t="s">
        <v>9582</v>
      </c>
      <c r="AK1013" s="2"/>
      <c r="AL1013" s="2"/>
      <c r="AM1013" s="2" t="s">
        <v>52</v>
      </c>
    </row>
    <row r="1014" spans="1:39" x14ac:dyDescent="0.45">
      <c r="A1014" s="2" t="s">
        <v>9583</v>
      </c>
      <c r="B1014" s="2"/>
      <c r="C1014" s="2" t="s">
        <v>9585</v>
      </c>
      <c r="D1014" s="2" t="s">
        <v>9587</v>
      </c>
      <c r="E1014" s="25"/>
      <c r="F1014" s="21"/>
      <c r="G1014" s="42" t="s">
        <v>28000</v>
      </c>
      <c r="H1014" s="2" t="s">
        <v>7865</v>
      </c>
      <c r="I1014" s="2" t="s">
        <v>9591</v>
      </c>
      <c r="J1014" s="2" t="s">
        <v>9584</v>
      </c>
      <c r="K1014" s="2" t="s">
        <v>9586</v>
      </c>
      <c r="L1014" s="2"/>
      <c r="M1014" s="2"/>
      <c r="N1014" s="2" t="s">
        <v>1148</v>
      </c>
      <c r="O1014" s="2" t="s">
        <v>278</v>
      </c>
      <c r="P1014" s="2" t="s">
        <v>1149</v>
      </c>
      <c r="Q1014" s="2" t="s">
        <v>9588</v>
      </c>
      <c r="R1014" s="2"/>
      <c r="S1014" s="2"/>
      <c r="T1014" s="2"/>
      <c r="U1014" s="2" t="s">
        <v>9589</v>
      </c>
      <c r="V1014" s="2" t="s">
        <v>221</v>
      </c>
      <c r="W1014" s="2" t="s">
        <v>9590</v>
      </c>
      <c r="X1014" s="2" t="s">
        <v>6873</v>
      </c>
      <c r="Y1014" s="2" t="s">
        <v>44</v>
      </c>
      <c r="Z1014" s="2"/>
      <c r="AA1014" s="2" t="s">
        <v>3527</v>
      </c>
      <c r="AB1014" s="2" t="s">
        <v>46</v>
      </c>
      <c r="AC1014" s="2" t="s">
        <v>3527</v>
      </c>
      <c r="AE1014" s="2" t="s">
        <v>48</v>
      </c>
      <c r="AF1014" s="2" t="s">
        <v>49</v>
      </c>
      <c r="AG1014" s="2">
        <v>90</v>
      </c>
      <c r="AH1014" s="2">
        <v>65</v>
      </c>
      <c r="AJ1014" s="2" t="s">
        <v>9592</v>
      </c>
      <c r="AK1014" s="2"/>
      <c r="AL1014" s="2"/>
      <c r="AM1014" s="2" t="s">
        <v>52</v>
      </c>
    </row>
    <row r="1015" spans="1:39" x14ac:dyDescent="0.45">
      <c r="A1015" s="2" t="s">
        <v>9583</v>
      </c>
      <c r="B1015" s="2"/>
      <c r="C1015" s="2" t="s">
        <v>9585</v>
      </c>
      <c r="D1015" s="2" t="s">
        <v>9587</v>
      </c>
      <c r="E1015" s="25"/>
      <c r="F1015" s="21"/>
      <c r="G1015" s="42" t="s">
        <v>28000</v>
      </c>
      <c r="H1015" s="2" t="s">
        <v>7865</v>
      </c>
      <c r="I1015" s="2" t="s">
        <v>9591</v>
      </c>
      <c r="J1015" s="2" t="s">
        <v>9584</v>
      </c>
      <c r="K1015" s="2" t="s">
        <v>9586</v>
      </c>
      <c r="L1015" s="2"/>
      <c r="M1015" s="2"/>
      <c r="N1015" s="2" t="s">
        <v>1148</v>
      </c>
      <c r="O1015" s="2" t="s">
        <v>278</v>
      </c>
      <c r="P1015" s="2" t="s">
        <v>1149</v>
      </c>
      <c r="Q1015" s="2" t="s">
        <v>9588</v>
      </c>
      <c r="R1015" s="2"/>
      <c r="S1015" s="2"/>
      <c r="T1015" s="2"/>
      <c r="U1015" s="2" t="s">
        <v>9589</v>
      </c>
      <c r="V1015" s="2" t="s">
        <v>221</v>
      </c>
      <c r="W1015" s="2" t="s">
        <v>9590</v>
      </c>
      <c r="X1015" s="2" t="s">
        <v>6873</v>
      </c>
      <c r="Y1015" s="2" t="s">
        <v>44</v>
      </c>
      <c r="Z1015" s="2"/>
      <c r="AA1015" s="2" t="s">
        <v>3527</v>
      </c>
      <c r="AB1015" s="2" t="s">
        <v>46</v>
      </c>
      <c r="AC1015" s="2" t="s">
        <v>3527</v>
      </c>
      <c r="AE1015" s="2" t="s">
        <v>48</v>
      </c>
      <c r="AF1015" s="2" t="s">
        <v>49</v>
      </c>
      <c r="AG1015" s="2">
        <v>90</v>
      </c>
      <c r="AH1015" s="2">
        <v>65</v>
      </c>
      <c r="AJ1015" s="2" t="s">
        <v>9592</v>
      </c>
      <c r="AK1015" s="2"/>
      <c r="AL1015" s="2"/>
      <c r="AM1015" s="2" t="s">
        <v>52</v>
      </c>
    </row>
    <row r="1016" spans="1:39" x14ac:dyDescent="0.45">
      <c r="A1016" s="2" t="s">
        <v>9593</v>
      </c>
      <c r="B1016" s="2"/>
      <c r="C1016" s="2" t="s">
        <v>9595</v>
      </c>
      <c r="D1016" s="2" t="s">
        <v>9597</v>
      </c>
      <c r="E1016" s="25"/>
      <c r="F1016" s="21"/>
      <c r="G1016" s="42" t="s">
        <v>28000</v>
      </c>
      <c r="H1016" s="2" t="s">
        <v>7865</v>
      </c>
      <c r="I1016" s="2" t="s">
        <v>9600</v>
      </c>
      <c r="J1016" s="2" t="s">
        <v>9594</v>
      </c>
      <c r="K1016" s="2" t="s">
        <v>9596</v>
      </c>
      <c r="L1016" s="2"/>
      <c r="M1016" s="2"/>
      <c r="N1016" s="2" t="s">
        <v>1148</v>
      </c>
      <c r="O1016" s="2" t="s">
        <v>278</v>
      </c>
      <c r="P1016" s="2" t="s">
        <v>1149</v>
      </c>
      <c r="Q1016" s="2" t="s">
        <v>9598</v>
      </c>
      <c r="R1016" s="2"/>
      <c r="S1016" s="2"/>
      <c r="T1016" s="2"/>
      <c r="U1016" s="2" t="s">
        <v>6029</v>
      </c>
      <c r="V1016" s="2" t="s">
        <v>278</v>
      </c>
      <c r="W1016" s="2" t="s">
        <v>6030</v>
      </c>
      <c r="X1016" s="2" t="s">
        <v>9599</v>
      </c>
      <c r="Y1016" s="2" t="s">
        <v>44</v>
      </c>
      <c r="Z1016" s="2"/>
      <c r="AA1016" s="2" t="s">
        <v>3527</v>
      </c>
      <c r="AB1016" s="2" t="s">
        <v>46</v>
      </c>
      <c r="AC1016" s="2" t="s">
        <v>3527</v>
      </c>
      <c r="AE1016" s="2" t="s">
        <v>48</v>
      </c>
      <c r="AF1016" s="2" t="s">
        <v>49</v>
      </c>
      <c r="AG1016" s="2">
        <v>90</v>
      </c>
      <c r="AH1016" s="2">
        <v>65</v>
      </c>
      <c r="AJ1016" s="2" t="s">
        <v>9601</v>
      </c>
      <c r="AK1016" s="2"/>
      <c r="AL1016" s="2"/>
      <c r="AM1016" s="2" t="s">
        <v>52</v>
      </c>
    </row>
    <row r="1017" spans="1:39" x14ac:dyDescent="0.45">
      <c r="A1017" s="2" t="s">
        <v>9602</v>
      </c>
      <c r="B1017" s="2"/>
      <c r="C1017" s="2" t="s">
        <v>9604</v>
      </c>
      <c r="D1017" s="2" t="s">
        <v>9606</v>
      </c>
      <c r="E1017" s="25"/>
      <c r="F1017" s="21"/>
      <c r="G1017" s="42" t="s">
        <v>28000</v>
      </c>
      <c r="H1017" s="2" t="s">
        <v>7865</v>
      </c>
      <c r="I1017" s="2" t="s">
        <v>9609</v>
      </c>
      <c r="J1017" s="2" t="s">
        <v>9603</v>
      </c>
      <c r="K1017" s="2" t="s">
        <v>9605</v>
      </c>
      <c r="L1017" s="2"/>
      <c r="M1017" s="2"/>
      <c r="N1017" s="2" t="s">
        <v>5984</v>
      </c>
      <c r="O1017" s="2" t="s">
        <v>313</v>
      </c>
      <c r="P1017" s="2" t="s">
        <v>9607</v>
      </c>
      <c r="Q1017" s="2" t="s">
        <v>9608</v>
      </c>
      <c r="R1017" s="2"/>
      <c r="S1017" s="2"/>
      <c r="T1017" s="2"/>
      <c r="U1017" s="2" t="s">
        <v>5984</v>
      </c>
      <c r="V1017" s="2" t="s">
        <v>313</v>
      </c>
      <c r="W1017" s="2" t="s">
        <v>9607</v>
      </c>
      <c r="X1017" s="2" t="s">
        <v>6958</v>
      </c>
      <c r="Y1017" s="2" t="s">
        <v>44</v>
      </c>
      <c r="Z1017" s="2"/>
      <c r="AA1017" s="2" t="s">
        <v>3527</v>
      </c>
      <c r="AB1017" s="2" t="s">
        <v>46</v>
      </c>
      <c r="AC1017" s="2" t="s">
        <v>3527</v>
      </c>
      <c r="AE1017" s="2" t="s">
        <v>48</v>
      </c>
      <c r="AF1017" s="2" t="s">
        <v>49</v>
      </c>
      <c r="AG1017" s="2">
        <v>90</v>
      </c>
      <c r="AH1017" s="2">
        <v>65</v>
      </c>
      <c r="AJ1017" s="2" t="s">
        <v>9610</v>
      </c>
      <c r="AK1017" s="2"/>
      <c r="AL1017" s="2"/>
      <c r="AM1017" s="2" t="s">
        <v>52</v>
      </c>
    </row>
    <row r="1018" spans="1:39" x14ac:dyDescent="0.45">
      <c r="A1018" s="2" t="s">
        <v>9611</v>
      </c>
      <c r="B1018" s="2"/>
      <c r="C1018" s="2" t="s">
        <v>9613</v>
      </c>
      <c r="D1018" s="2" t="s">
        <v>9615</v>
      </c>
      <c r="E1018" s="25"/>
      <c r="F1018" s="21"/>
      <c r="G1018" s="42" t="s">
        <v>28000</v>
      </c>
      <c r="H1018" s="2" t="s">
        <v>7865</v>
      </c>
      <c r="I1018" s="2" t="s">
        <v>9619</v>
      </c>
      <c r="J1018" s="2" t="s">
        <v>9612</v>
      </c>
      <c r="K1018" s="2" t="s">
        <v>9614</v>
      </c>
      <c r="L1018" s="2"/>
      <c r="M1018" s="2"/>
      <c r="N1018" s="2" t="s">
        <v>8495</v>
      </c>
      <c r="O1018" s="2" t="s">
        <v>8496</v>
      </c>
      <c r="P1018" s="2" t="s">
        <v>9616</v>
      </c>
      <c r="Q1018" s="2" t="s">
        <v>9617</v>
      </c>
      <c r="R1018" s="2"/>
      <c r="S1018" s="2"/>
      <c r="T1018" s="2"/>
      <c r="U1018" s="2" t="s">
        <v>59</v>
      </c>
      <c r="V1018" s="2" t="s">
        <v>60</v>
      </c>
      <c r="W1018" s="2" t="s">
        <v>1589</v>
      </c>
      <c r="X1018" s="2" t="s">
        <v>9618</v>
      </c>
      <c r="Y1018" s="2" t="s">
        <v>44</v>
      </c>
      <c r="Z1018" s="2"/>
      <c r="AA1018" s="2" t="s">
        <v>3527</v>
      </c>
      <c r="AB1018" s="2" t="s">
        <v>46</v>
      </c>
      <c r="AC1018" s="2" t="s">
        <v>3527</v>
      </c>
      <c r="AE1018" s="2" t="s">
        <v>48</v>
      </c>
      <c r="AF1018" s="2" t="s">
        <v>49</v>
      </c>
      <c r="AG1018" s="2">
        <v>90</v>
      </c>
      <c r="AH1018" s="2">
        <v>65</v>
      </c>
      <c r="AJ1018" s="2" t="s">
        <v>9620</v>
      </c>
      <c r="AK1018" s="2"/>
      <c r="AL1018" s="2"/>
      <c r="AM1018" s="2" t="s">
        <v>52</v>
      </c>
    </row>
    <row r="1019" spans="1:39" x14ac:dyDescent="0.45">
      <c r="A1019" s="2" t="s">
        <v>9621</v>
      </c>
      <c r="B1019" s="2"/>
      <c r="C1019" s="2" t="s">
        <v>9623</v>
      </c>
      <c r="D1019" s="2" t="s">
        <v>9625</v>
      </c>
      <c r="E1019" s="25"/>
      <c r="F1019" s="21"/>
      <c r="G1019" s="42" t="s">
        <v>28000</v>
      </c>
      <c r="H1019" s="2" t="s">
        <v>7865</v>
      </c>
      <c r="I1019" s="2" t="s">
        <v>9631</v>
      </c>
      <c r="J1019" s="2" t="s">
        <v>9622</v>
      </c>
      <c r="K1019" s="2" t="s">
        <v>9624</v>
      </c>
      <c r="L1019" s="2"/>
      <c r="M1019" s="2"/>
      <c r="N1019" s="2" t="s">
        <v>9626</v>
      </c>
      <c r="O1019" s="2" t="s">
        <v>1209</v>
      </c>
      <c r="P1019" s="2" t="s">
        <v>9627</v>
      </c>
      <c r="Q1019" s="2" t="s">
        <v>9628</v>
      </c>
      <c r="R1019" s="2"/>
      <c r="S1019" s="2"/>
      <c r="T1019" s="2"/>
      <c r="U1019" s="2" t="s">
        <v>9629</v>
      </c>
      <c r="V1019" s="2" t="s">
        <v>1209</v>
      </c>
      <c r="W1019" s="2" t="s">
        <v>9630</v>
      </c>
      <c r="X1019" s="2" t="s">
        <v>7062</v>
      </c>
      <c r="Y1019" s="2" t="s">
        <v>44</v>
      </c>
      <c r="Z1019" s="2"/>
      <c r="AA1019" s="2" t="s">
        <v>3527</v>
      </c>
      <c r="AB1019" s="2" t="s">
        <v>46</v>
      </c>
      <c r="AC1019" s="2" t="s">
        <v>3527</v>
      </c>
      <c r="AE1019" s="2" t="s">
        <v>48</v>
      </c>
      <c r="AF1019" s="2" t="s">
        <v>49</v>
      </c>
      <c r="AG1019" s="2">
        <v>90</v>
      </c>
      <c r="AH1019" s="2">
        <v>65</v>
      </c>
      <c r="AJ1019" s="2" t="s">
        <v>9632</v>
      </c>
      <c r="AK1019" s="2"/>
      <c r="AL1019" s="2"/>
      <c r="AM1019" s="2" t="s">
        <v>52</v>
      </c>
    </row>
    <row r="1020" spans="1:39" x14ac:dyDescent="0.45">
      <c r="A1020" s="2" t="s">
        <v>9633</v>
      </c>
      <c r="B1020" s="2"/>
      <c r="C1020" s="2" t="s">
        <v>9635</v>
      </c>
      <c r="D1020" s="2" t="s">
        <v>9637</v>
      </c>
      <c r="E1020" s="25"/>
      <c r="F1020" s="21"/>
      <c r="G1020" s="42" t="s">
        <v>28000</v>
      </c>
      <c r="H1020" s="2" t="s">
        <v>7865</v>
      </c>
      <c r="I1020" s="2" t="s">
        <v>9640</v>
      </c>
      <c r="J1020" s="2" t="s">
        <v>9634</v>
      </c>
      <c r="K1020" s="2" t="s">
        <v>9636</v>
      </c>
      <c r="L1020" s="2"/>
      <c r="M1020" s="2"/>
      <c r="N1020" s="2" t="s">
        <v>1136</v>
      </c>
      <c r="O1020" s="2" t="s">
        <v>1137</v>
      </c>
      <c r="P1020" s="2" t="s">
        <v>8637</v>
      </c>
      <c r="Q1020" s="2" t="s">
        <v>9638</v>
      </c>
      <c r="R1020" s="2"/>
      <c r="S1020" s="2"/>
      <c r="T1020" s="2"/>
      <c r="U1020" s="2" t="s">
        <v>72</v>
      </c>
      <c r="V1020" s="2" t="s">
        <v>73</v>
      </c>
      <c r="W1020" s="2" t="s">
        <v>2372</v>
      </c>
      <c r="X1020" s="2" t="s">
        <v>9639</v>
      </c>
      <c r="Y1020" s="2" t="s">
        <v>44</v>
      </c>
      <c r="Z1020" s="2"/>
      <c r="AA1020" s="2" t="s">
        <v>3527</v>
      </c>
      <c r="AB1020" s="2" t="s">
        <v>46</v>
      </c>
      <c r="AC1020" s="2" t="s">
        <v>3527</v>
      </c>
      <c r="AE1020" s="2" t="s">
        <v>48</v>
      </c>
      <c r="AF1020" s="2" t="s">
        <v>49</v>
      </c>
      <c r="AG1020" s="2">
        <v>90</v>
      </c>
      <c r="AH1020" s="2">
        <v>65</v>
      </c>
      <c r="AJ1020" s="2" t="s">
        <v>9641</v>
      </c>
      <c r="AK1020" s="2"/>
      <c r="AL1020" s="2"/>
      <c r="AM1020" s="2" t="s">
        <v>52</v>
      </c>
    </row>
    <row r="1021" spans="1:39" x14ac:dyDescent="0.45">
      <c r="A1021" s="2" t="s">
        <v>9642</v>
      </c>
      <c r="B1021" s="2"/>
      <c r="C1021" s="2" t="s">
        <v>9644</v>
      </c>
      <c r="D1021" s="2" t="s">
        <v>9646</v>
      </c>
      <c r="E1021" s="25"/>
      <c r="F1021" s="21"/>
      <c r="G1021" s="42" t="s">
        <v>28000</v>
      </c>
      <c r="H1021" s="2" t="s">
        <v>7865</v>
      </c>
      <c r="I1021" s="2" t="s">
        <v>9650</v>
      </c>
      <c r="J1021" s="2" t="s">
        <v>9643</v>
      </c>
      <c r="K1021" s="2" t="s">
        <v>9645</v>
      </c>
      <c r="L1021" s="2"/>
      <c r="M1021" s="2"/>
      <c r="N1021" s="2" t="s">
        <v>9647</v>
      </c>
      <c r="O1021" s="2" t="s">
        <v>73</v>
      </c>
      <c r="P1021" s="2" t="s">
        <v>9648</v>
      </c>
      <c r="Q1021" s="2" t="s">
        <v>9645</v>
      </c>
      <c r="R1021" s="2"/>
      <c r="S1021" s="2"/>
      <c r="T1021" s="2"/>
      <c r="U1021" s="2" t="s">
        <v>9647</v>
      </c>
      <c r="V1021" s="2" t="s">
        <v>73</v>
      </c>
      <c r="W1021" s="2" t="s">
        <v>9648</v>
      </c>
      <c r="X1021" s="2" t="s">
        <v>9649</v>
      </c>
      <c r="Y1021" s="2" t="s">
        <v>44</v>
      </c>
      <c r="Z1021" s="2"/>
      <c r="AA1021" s="2" t="s">
        <v>3527</v>
      </c>
      <c r="AB1021" s="2" t="s">
        <v>46</v>
      </c>
      <c r="AC1021" s="2" t="s">
        <v>3527</v>
      </c>
      <c r="AE1021" s="2" t="s">
        <v>48</v>
      </c>
      <c r="AF1021" s="2" t="s">
        <v>49</v>
      </c>
      <c r="AG1021" s="2">
        <v>90</v>
      </c>
      <c r="AH1021" s="2">
        <v>65</v>
      </c>
      <c r="AJ1021" s="2" t="s">
        <v>9651</v>
      </c>
      <c r="AK1021" s="2"/>
      <c r="AL1021" s="2"/>
      <c r="AM1021" s="2" t="s">
        <v>52</v>
      </c>
    </row>
    <row r="1022" spans="1:39" x14ac:dyDescent="0.45">
      <c r="A1022" s="2" t="s">
        <v>9652</v>
      </c>
      <c r="B1022" s="2"/>
      <c r="C1022" s="7" t="s">
        <v>27983</v>
      </c>
      <c r="D1022" s="2" t="s">
        <v>9655</v>
      </c>
      <c r="E1022" s="25"/>
      <c r="F1022" s="21"/>
      <c r="G1022" s="42" t="s">
        <v>28000</v>
      </c>
      <c r="H1022" s="2" t="s">
        <v>7865</v>
      </c>
      <c r="I1022" s="2" t="s">
        <v>9657</v>
      </c>
      <c r="J1022" s="2" t="s">
        <v>9653</v>
      </c>
      <c r="K1022" s="2" t="s">
        <v>9654</v>
      </c>
      <c r="L1022" s="2"/>
      <c r="M1022" s="2"/>
      <c r="N1022" s="2" t="s">
        <v>312</v>
      </c>
      <c r="O1022" s="2" t="s">
        <v>313</v>
      </c>
      <c r="P1022" s="2" t="s">
        <v>7647</v>
      </c>
      <c r="Q1022" s="2" t="s">
        <v>9654</v>
      </c>
      <c r="R1022" s="2"/>
      <c r="S1022" s="2"/>
      <c r="T1022" s="2"/>
      <c r="U1022" s="2" t="s">
        <v>312</v>
      </c>
      <c r="V1022" s="2" t="s">
        <v>313</v>
      </c>
      <c r="W1022" s="2" t="s">
        <v>7647</v>
      </c>
      <c r="X1022" s="2" t="s">
        <v>9656</v>
      </c>
      <c r="Y1022" s="2" t="s">
        <v>44</v>
      </c>
      <c r="Z1022" s="2"/>
      <c r="AA1022" s="2" t="s">
        <v>3527</v>
      </c>
      <c r="AB1022" s="2" t="s">
        <v>46</v>
      </c>
      <c r="AC1022" s="2" t="s">
        <v>3527</v>
      </c>
      <c r="AE1022" s="2" t="s">
        <v>48</v>
      </c>
      <c r="AF1022" s="2" t="s">
        <v>49</v>
      </c>
      <c r="AG1022" s="2">
        <v>75</v>
      </c>
      <c r="AH1022" s="2">
        <v>65</v>
      </c>
      <c r="AJ1022" s="2" t="s">
        <v>9658</v>
      </c>
      <c r="AK1022" s="2"/>
      <c r="AL1022" s="2"/>
      <c r="AM1022" s="2" t="s">
        <v>52</v>
      </c>
    </row>
    <row r="1023" spans="1:39" x14ac:dyDescent="0.45">
      <c r="A1023" s="2" t="s">
        <v>1792</v>
      </c>
      <c r="B1023" s="2"/>
      <c r="C1023" s="7" t="s">
        <v>27984</v>
      </c>
      <c r="D1023" s="2" t="s">
        <v>9661</v>
      </c>
      <c r="E1023" s="25"/>
      <c r="F1023" s="21"/>
      <c r="G1023" s="42" t="s">
        <v>28000</v>
      </c>
      <c r="H1023" s="2" t="s">
        <v>7865</v>
      </c>
      <c r="I1023" s="2" t="s">
        <v>9664</v>
      </c>
      <c r="J1023" s="2" t="s">
        <v>9659</v>
      </c>
      <c r="K1023" s="2" t="s">
        <v>9660</v>
      </c>
      <c r="L1023" s="2"/>
      <c r="M1023" s="2"/>
      <c r="N1023" s="2" t="s">
        <v>174</v>
      </c>
      <c r="O1023" s="2" t="s">
        <v>175</v>
      </c>
      <c r="P1023" s="2" t="s">
        <v>1798</v>
      </c>
      <c r="Q1023" s="2" t="s">
        <v>9662</v>
      </c>
      <c r="R1023" s="2"/>
      <c r="S1023" s="2"/>
      <c r="T1023" s="2"/>
      <c r="U1023" s="2" t="s">
        <v>174</v>
      </c>
      <c r="V1023" s="2" t="s">
        <v>175</v>
      </c>
      <c r="W1023" s="2" t="s">
        <v>810</v>
      </c>
      <c r="X1023" s="2" t="s">
        <v>9663</v>
      </c>
      <c r="Y1023" s="2" t="s">
        <v>44</v>
      </c>
      <c r="Z1023" s="2"/>
      <c r="AA1023" s="2" t="s">
        <v>3527</v>
      </c>
      <c r="AB1023" s="2" t="s">
        <v>199</v>
      </c>
      <c r="AC1023" s="2" t="s">
        <v>3527</v>
      </c>
      <c r="AE1023" s="2" t="s">
        <v>48</v>
      </c>
      <c r="AF1023" s="2" t="s">
        <v>49</v>
      </c>
      <c r="AG1023" s="2">
        <v>75</v>
      </c>
      <c r="AH1023" s="2">
        <v>65</v>
      </c>
      <c r="AJ1023" s="2" t="s">
        <v>9665</v>
      </c>
      <c r="AK1023" s="2"/>
      <c r="AL1023" s="2"/>
      <c r="AM1023" s="2" t="s">
        <v>52</v>
      </c>
    </row>
    <row r="1024" spans="1:39" x14ac:dyDescent="0.45">
      <c r="A1024" s="2" t="s">
        <v>9666</v>
      </c>
      <c r="B1024" s="2"/>
      <c r="C1024" s="7" t="s">
        <v>27985</v>
      </c>
      <c r="D1024" s="2" t="s">
        <v>9669</v>
      </c>
      <c r="E1024" s="25"/>
      <c r="F1024" s="21"/>
      <c r="G1024" s="42" t="s">
        <v>28000</v>
      </c>
      <c r="H1024" s="2" t="s">
        <v>7865</v>
      </c>
      <c r="I1024" s="2" t="s">
        <v>9671</v>
      </c>
      <c r="J1024" s="2" t="s">
        <v>9667</v>
      </c>
      <c r="K1024" s="2" t="s">
        <v>9668</v>
      </c>
      <c r="L1024" s="2"/>
      <c r="M1024" s="2"/>
      <c r="N1024" s="2" t="s">
        <v>174</v>
      </c>
      <c r="O1024" s="2" t="s">
        <v>175</v>
      </c>
      <c r="P1024" s="2" t="s">
        <v>1316</v>
      </c>
      <c r="Q1024" s="2"/>
      <c r="R1024" s="2"/>
      <c r="S1024" s="2"/>
      <c r="T1024" s="2"/>
      <c r="U1024" s="2"/>
      <c r="V1024" s="2"/>
      <c r="W1024" s="2"/>
      <c r="X1024" s="2" t="s">
        <v>9670</v>
      </c>
      <c r="Y1024" s="2" t="s">
        <v>44</v>
      </c>
      <c r="Z1024" s="2"/>
      <c r="AA1024" s="2" t="s">
        <v>3527</v>
      </c>
      <c r="AB1024" s="2" t="s">
        <v>46</v>
      </c>
      <c r="AC1024" s="2" t="s">
        <v>3527</v>
      </c>
      <c r="AE1024" s="2" t="s">
        <v>48</v>
      </c>
      <c r="AF1024" s="2" t="s">
        <v>49</v>
      </c>
      <c r="AG1024" s="2">
        <v>75</v>
      </c>
      <c r="AH1024" s="2">
        <v>65</v>
      </c>
      <c r="AJ1024" s="2" t="s">
        <v>9672</v>
      </c>
      <c r="AK1024" s="2"/>
      <c r="AL1024" s="2"/>
      <c r="AM1024" s="2" t="s">
        <v>52</v>
      </c>
    </row>
    <row r="1025" spans="1:39" x14ac:dyDescent="0.45">
      <c r="A1025" s="2" t="s">
        <v>9673</v>
      </c>
      <c r="B1025" s="2"/>
      <c r="C1025" s="2" t="s">
        <v>9675</v>
      </c>
      <c r="D1025" s="2" t="s">
        <v>9677</v>
      </c>
      <c r="E1025" s="25"/>
      <c r="F1025" s="21"/>
      <c r="G1025" s="42" t="s">
        <v>28000</v>
      </c>
      <c r="H1025" s="2" t="s">
        <v>9685</v>
      </c>
      <c r="I1025" s="2" t="s">
        <v>9684</v>
      </c>
      <c r="J1025" s="2" t="s">
        <v>9674</v>
      </c>
      <c r="K1025" s="2" t="s">
        <v>9676</v>
      </c>
      <c r="L1025" s="2" t="s">
        <v>9678</v>
      </c>
      <c r="M1025" s="2" t="s">
        <v>9678</v>
      </c>
      <c r="N1025" s="2" t="s">
        <v>9679</v>
      </c>
      <c r="O1025" s="2" t="s">
        <v>9680</v>
      </c>
      <c r="P1025" s="2" t="s">
        <v>9681</v>
      </c>
      <c r="Q1025" s="2" t="s">
        <v>9682</v>
      </c>
      <c r="R1025" s="2"/>
      <c r="S1025" s="2"/>
      <c r="T1025" s="2"/>
      <c r="U1025" s="2" t="s">
        <v>9679</v>
      </c>
      <c r="V1025" s="2" t="s">
        <v>9680</v>
      </c>
      <c r="W1025" s="2" t="s">
        <v>9681</v>
      </c>
      <c r="X1025" s="2" t="s">
        <v>9683</v>
      </c>
      <c r="Y1025" s="2" t="s">
        <v>44</v>
      </c>
      <c r="Z1025" s="2"/>
      <c r="AA1025" s="2" t="s">
        <v>821</v>
      </c>
      <c r="AB1025" s="2" t="s">
        <v>46</v>
      </c>
      <c r="AC1025" s="2" t="s">
        <v>821</v>
      </c>
      <c r="AE1025" s="2" t="s">
        <v>48</v>
      </c>
      <c r="AF1025" s="2" t="s">
        <v>7864</v>
      </c>
      <c r="AG1025" s="2">
        <v>100</v>
      </c>
      <c r="AH1025" s="2">
        <v>62</v>
      </c>
      <c r="AJ1025" s="2" t="s">
        <v>9686</v>
      </c>
      <c r="AK1025" s="2"/>
      <c r="AL1025" s="2"/>
      <c r="AM1025" s="2" t="s">
        <v>9687</v>
      </c>
    </row>
    <row r="1026" spans="1:39" x14ac:dyDescent="0.45">
      <c r="A1026" s="2" t="s">
        <v>9688</v>
      </c>
      <c r="B1026" s="2"/>
      <c r="C1026" s="2" t="s">
        <v>9690</v>
      </c>
      <c r="D1026" s="2" t="s">
        <v>9692</v>
      </c>
      <c r="E1026" s="25"/>
      <c r="F1026" s="21"/>
      <c r="G1026" s="42" t="s">
        <v>28000</v>
      </c>
      <c r="H1026" s="2" t="s">
        <v>9685</v>
      </c>
      <c r="I1026" s="2" t="s">
        <v>9695</v>
      </c>
      <c r="J1026" s="2" t="s">
        <v>9689</v>
      </c>
      <c r="K1026" s="2" t="s">
        <v>9691</v>
      </c>
      <c r="L1026" s="2" t="s">
        <v>9693</v>
      </c>
      <c r="M1026" s="2"/>
      <c r="N1026" s="2" t="s">
        <v>8475</v>
      </c>
      <c r="O1026" s="2" t="s">
        <v>221</v>
      </c>
      <c r="P1026" s="2" t="s">
        <v>8476</v>
      </c>
      <c r="Q1026" s="2" t="s">
        <v>9691</v>
      </c>
      <c r="R1026" s="2"/>
      <c r="S1026" s="2"/>
      <c r="T1026" s="2"/>
      <c r="U1026" s="2" t="s">
        <v>8475</v>
      </c>
      <c r="V1026" s="2" t="s">
        <v>221</v>
      </c>
      <c r="W1026" s="2" t="s">
        <v>8476</v>
      </c>
      <c r="X1026" s="2" t="s">
        <v>9694</v>
      </c>
      <c r="Y1026" s="2" t="s">
        <v>44</v>
      </c>
      <c r="Z1026" s="2"/>
      <c r="AA1026" s="2" t="s">
        <v>821</v>
      </c>
      <c r="AB1026" s="2" t="s">
        <v>46</v>
      </c>
      <c r="AC1026" s="2" t="s">
        <v>821</v>
      </c>
      <c r="AE1026" s="2" t="s">
        <v>48</v>
      </c>
      <c r="AF1026" s="2" t="s">
        <v>7864</v>
      </c>
      <c r="AG1026" s="2">
        <v>100</v>
      </c>
      <c r="AH1026" s="2">
        <v>62</v>
      </c>
      <c r="AJ1026" s="2" t="s">
        <v>9696</v>
      </c>
      <c r="AK1026" s="2"/>
      <c r="AL1026" s="2"/>
      <c r="AM1026" s="2" t="s">
        <v>9687</v>
      </c>
    </row>
    <row r="1027" spans="1:39" x14ac:dyDescent="0.45">
      <c r="A1027" s="2" t="s">
        <v>9697</v>
      </c>
      <c r="B1027" s="2"/>
      <c r="C1027" s="2" t="s">
        <v>9699</v>
      </c>
      <c r="D1027" s="2" t="s">
        <v>9701</v>
      </c>
      <c r="E1027" s="25"/>
      <c r="F1027" s="21"/>
      <c r="G1027" s="42" t="s">
        <v>28000</v>
      </c>
      <c r="H1027" s="2" t="s">
        <v>9685</v>
      </c>
      <c r="I1027" s="2" t="s">
        <v>9705</v>
      </c>
      <c r="J1027" s="2" t="s">
        <v>9698</v>
      </c>
      <c r="K1027" s="2" t="s">
        <v>9700</v>
      </c>
      <c r="L1027" s="2" t="s">
        <v>9702</v>
      </c>
      <c r="M1027" s="2" t="s">
        <v>9702</v>
      </c>
      <c r="N1027" s="2" t="s">
        <v>6062</v>
      </c>
      <c r="O1027" s="2" t="s">
        <v>217</v>
      </c>
      <c r="P1027" s="2" t="s">
        <v>9703</v>
      </c>
      <c r="Q1027" s="2" t="s">
        <v>9700</v>
      </c>
      <c r="R1027" s="2"/>
      <c r="S1027" s="2"/>
      <c r="T1027" s="2"/>
      <c r="U1027" s="2" t="s">
        <v>6062</v>
      </c>
      <c r="V1027" s="2" t="s">
        <v>217</v>
      </c>
      <c r="W1027" s="2" t="s">
        <v>9703</v>
      </c>
      <c r="X1027" s="2" t="s">
        <v>9704</v>
      </c>
      <c r="Y1027" s="2" t="s">
        <v>44</v>
      </c>
      <c r="Z1027" s="2"/>
      <c r="AA1027" s="2" t="s">
        <v>821</v>
      </c>
      <c r="AB1027" s="2" t="s">
        <v>46</v>
      </c>
      <c r="AC1027" s="2" t="s">
        <v>821</v>
      </c>
      <c r="AE1027" s="2" t="s">
        <v>48</v>
      </c>
      <c r="AF1027" s="2" t="s">
        <v>7864</v>
      </c>
      <c r="AG1027" s="2">
        <v>100</v>
      </c>
      <c r="AH1027" s="2">
        <v>62</v>
      </c>
      <c r="AJ1027" s="2" t="s">
        <v>9706</v>
      </c>
      <c r="AK1027" s="2"/>
      <c r="AL1027" s="2"/>
      <c r="AM1027" s="2" t="s">
        <v>9687</v>
      </c>
    </row>
    <row r="1028" spans="1:39" x14ac:dyDescent="0.45">
      <c r="A1028" s="2" t="s">
        <v>9707</v>
      </c>
      <c r="B1028" s="2"/>
      <c r="C1028" s="2" t="s">
        <v>9707</v>
      </c>
      <c r="D1028" s="2" t="s">
        <v>9710</v>
      </c>
      <c r="E1028" s="25"/>
      <c r="F1028" s="21"/>
      <c r="G1028" s="42" t="s">
        <v>28000</v>
      </c>
      <c r="H1028" s="2" t="s">
        <v>9685</v>
      </c>
      <c r="I1028" s="2" t="s">
        <v>9717</v>
      </c>
      <c r="J1028" s="2" t="s">
        <v>9708</v>
      </c>
      <c r="K1028" s="2" t="s">
        <v>9709</v>
      </c>
      <c r="L1028" s="2" t="s">
        <v>9711</v>
      </c>
      <c r="M1028" s="2" t="s">
        <v>9711</v>
      </c>
      <c r="N1028" s="2" t="s">
        <v>9712</v>
      </c>
      <c r="O1028" s="2" t="s">
        <v>9712</v>
      </c>
      <c r="P1028" s="2" t="s">
        <v>9713</v>
      </c>
      <c r="Q1028" s="2" t="s">
        <v>9714</v>
      </c>
      <c r="R1028" s="2"/>
      <c r="S1028" s="2"/>
      <c r="T1028" s="2"/>
      <c r="U1028" s="2" t="s">
        <v>39</v>
      </c>
      <c r="V1028" s="2" t="s">
        <v>40</v>
      </c>
      <c r="W1028" s="2" t="s">
        <v>9715</v>
      </c>
      <c r="X1028" s="2" t="s">
        <v>9716</v>
      </c>
      <c r="Y1028" s="2" t="s">
        <v>44</v>
      </c>
      <c r="Z1028" s="2"/>
      <c r="AA1028" s="2" t="s">
        <v>821</v>
      </c>
      <c r="AB1028" s="2" t="s">
        <v>46</v>
      </c>
      <c r="AC1028" s="2" t="s">
        <v>821</v>
      </c>
      <c r="AE1028" s="2" t="s">
        <v>48</v>
      </c>
      <c r="AF1028" s="2" t="s">
        <v>7864</v>
      </c>
      <c r="AG1028" s="2">
        <v>100</v>
      </c>
      <c r="AH1028" s="2">
        <v>62</v>
      </c>
      <c r="AJ1028" s="2" t="s">
        <v>9718</v>
      </c>
      <c r="AK1028" s="2"/>
      <c r="AL1028" s="2"/>
      <c r="AM1028" s="2" t="s">
        <v>9687</v>
      </c>
    </row>
    <row r="1029" spans="1:39" x14ac:dyDescent="0.45">
      <c r="A1029" s="2" t="s">
        <v>9719</v>
      </c>
      <c r="B1029" s="2"/>
      <c r="C1029" s="2" t="s">
        <v>9721</v>
      </c>
      <c r="D1029" s="2" t="s">
        <v>9723</v>
      </c>
      <c r="E1029" s="25"/>
      <c r="F1029" s="21"/>
      <c r="G1029" s="42" t="s">
        <v>28000</v>
      </c>
      <c r="H1029" s="2" t="s">
        <v>9685</v>
      </c>
      <c r="I1029" s="2" t="s">
        <v>9727</v>
      </c>
      <c r="J1029" s="2" t="s">
        <v>9720</v>
      </c>
      <c r="K1029" s="2" t="s">
        <v>9722</v>
      </c>
      <c r="L1029" s="2" t="s">
        <v>9724</v>
      </c>
      <c r="M1029" s="2" t="s">
        <v>9724</v>
      </c>
      <c r="N1029" s="2" t="s">
        <v>1115</v>
      </c>
      <c r="O1029" s="2" t="s">
        <v>1112</v>
      </c>
      <c r="P1029" s="2" t="s">
        <v>2782</v>
      </c>
      <c r="Q1029" s="2" t="s">
        <v>9725</v>
      </c>
      <c r="R1029" s="2"/>
      <c r="S1029" s="2"/>
      <c r="T1029" s="2"/>
      <c r="U1029" s="2" t="s">
        <v>1115</v>
      </c>
      <c r="V1029" s="2" t="s">
        <v>1112</v>
      </c>
      <c r="W1029" s="2" t="s">
        <v>2782</v>
      </c>
      <c r="X1029" s="2" t="s">
        <v>9726</v>
      </c>
      <c r="Y1029" s="2" t="s">
        <v>44</v>
      </c>
      <c r="Z1029" s="2"/>
      <c r="AA1029" s="2" t="s">
        <v>821</v>
      </c>
      <c r="AB1029" s="2" t="s">
        <v>46</v>
      </c>
      <c r="AC1029" s="2" t="s">
        <v>821</v>
      </c>
      <c r="AE1029" s="2" t="s">
        <v>48</v>
      </c>
      <c r="AF1029" s="2" t="s">
        <v>7864</v>
      </c>
      <c r="AG1029" s="2">
        <v>100</v>
      </c>
      <c r="AH1029" s="2">
        <v>62</v>
      </c>
      <c r="AJ1029" s="2" t="s">
        <v>9728</v>
      </c>
      <c r="AK1029" s="2"/>
      <c r="AL1029" s="2"/>
      <c r="AM1029" s="2" t="s">
        <v>9687</v>
      </c>
    </row>
    <row r="1030" spans="1:39" x14ac:dyDescent="0.45">
      <c r="A1030" s="2" t="s">
        <v>9729</v>
      </c>
      <c r="B1030" s="2"/>
      <c r="C1030" s="2" t="s">
        <v>9729</v>
      </c>
      <c r="D1030" s="2" t="s">
        <v>9732</v>
      </c>
      <c r="E1030" s="25"/>
      <c r="F1030" s="21"/>
      <c r="G1030" s="42" t="s">
        <v>28000</v>
      </c>
      <c r="H1030" s="2" t="s">
        <v>9685</v>
      </c>
      <c r="I1030" s="2" t="s">
        <v>9736</v>
      </c>
      <c r="J1030" s="2" t="s">
        <v>9730</v>
      </c>
      <c r="K1030" s="2" t="s">
        <v>9731</v>
      </c>
      <c r="L1030" s="2" t="s">
        <v>9733</v>
      </c>
      <c r="M1030" s="2" t="s">
        <v>9733</v>
      </c>
      <c r="N1030" s="2" t="s">
        <v>1115</v>
      </c>
      <c r="O1030" s="2" t="s">
        <v>1112</v>
      </c>
      <c r="P1030" s="2" t="s">
        <v>5952</v>
      </c>
      <c r="Q1030" s="2" t="s">
        <v>9734</v>
      </c>
      <c r="R1030" s="2"/>
      <c r="S1030" s="2"/>
      <c r="T1030" s="2"/>
      <c r="U1030" s="2" t="s">
        <v>1115</v>
      </c>
      <c r="V1030" s="2" t="s">
        <v>1112</v>
      </c>
      <c r="W1030" s="2" t="s">
        <v>8609</v>
      </c>
      <c r="X1030" s="2" t="s">
        <v>9735</v>
      </c>
      <c r="Y1030" s="2" t="s">
        <v>44</v>
      </c>
      <c r="Z1030" s="2"/>
      <c r="AA1030" s="2" t="s">
        <v>821</v>
      </c>
      <c r="AB1030" s="2" t="s">
        <v>46</v>
      </c>
      <c r="AC1030" s="2" t="s">
        <v>821</v>
      </c>
      <c r="AE1030" s="2" t="s">
        <v>48</v>
      </c>
      <c r="AF1030" s="2" t="s">
        <v>7864</v>
      </c>
      <c r="AG1030" s="2">
        <v>100</v>
      </c>
      <c r="AH1030" s="2">
        <v>62</v>
      </c>
      <c r="AJ1030" s="2" t="s">
        <v>9737</v>
      </c>
      <c r="AK1030" s="2"/>
      <c r="AL1030" s="2"/>
      <c r="AM1030" s="2" t="s">
        <v>9687</v>
      </c>
    </row>
    <row r="1031" spans="1:39" x14ac:dyDescent="0.45">
      <c r="A1031" s="2" t="s">
        <v>9738</v>
      </c>
      <c r="B1031" s="2"/>
      <c r="C1031" s="2" t="s">
        <v>9738</v>
      </c>
      <c r="D1031" s="2" t="s">
        <v>9741</v>
      </c>
      <c r="E1031" s="25"/>
      <c r="F1031" s="21"/>
      <c r="G1031" s="42" t="s">
        <v>28000</v>
      </c>
      <c r="H1031" s="2" t="s">
        <v>9685</v>
      </c>
      <c r="I1031" s="2" t="s">
        <v>9745</v>
      </c>
      <c r="J1031" s="2" t="s">
        <v>9739</v>
      </c>
      <c r="K1031" s="2" t="s">
        <v>9740</v>
      </c>
      <c r="L1031" s="2" t="s">
        <v>9742</v>
      </c>
      <c r="M1031" s="2"/>
      <c r="N1031" s="2" t="s">
        <v>9743</v>
      </c>
      <c r="O1031" s="2" t="s">
        <v>1281</v>
      </c>
      <c r="P1031" s="2" t="s">
        <v>9744</v>
      </c>
      <c r="Q1031" s="2" t="s">
        <v>9740</v>
      </c>
      <c r="R1031" s="2"/>
      <c r="S1031" s="2"/>
      <c r="T1031" s="2"/>
      <c r="U1031" s="2" t="s">
        <v>9743</v>
      </c>
      <c r="V1031" s="2" t="s">
        <v>1281</v>
      </c>
      <c r="W1031" s="2" t="s">
        <v>9744</v>
      </c>
      <c r="X1031" s="2" t="s">
        <v>1621</v>
      </c>
      <c r="Y1031" s="2" t="s">
        <v>44</v>
      </c>
      <c r="Z1031" s="2"/>
      <c r="AA1031" s="2" t="s">
        <v>821</v>
      </c>
      <c r="AB1031" s="2" t="s">
        <v>46</v>
      </c>
      <c r="AC1031" s="2" t="s">
        <v>821</v>
      </c>
      <c r="AE1031" s="2" t="s">
        <v>48</v>
      </c>
      <c r="AF1031" s="2" t="s">
        <v>7864</v>
      </c>
      <c r="AG1031" s="2">
        <v>100</v>
      </c>
      <c r="AH1031" s="2">
        <v>62</v>
      </c>
      <c r="AJ1031" s="2" t="s">
        <v>9746</v>
      </c>
      <c r="AK1031" s="2"/>
      <c r="AL1031" s="2"/>
      <c r="AM1031" s="2" t="s">
        <v>9687</v>
      </c>
    </row>
    <row r="1032" spans="1:39" x14ac:dyDescent="0.45">
      <c r="A1032" s="2" t="s">
        <v>9747</v>
      </c>
      <c r="B1032" s="2"/>
      <c r="C1032" s="2" t="s">
        <v>9747</v>
      </c>
      <c r="D1032" s="2" t="s">
        <v>9750</v>
      </c>
      <c r="E1032" s="25"/>
      <c r="F1032" s="21"/>
      <c r="G1032" s="42" t="s">
        <v>28000</v>
      </c>
      <c r="H1032" s="2" t="s">
        <v>9685</v>
      </c>
      <c r="I1032" s="2" t="s">
        <v>9754</v>
      </c>
      <c r="J1032" s="2" t="s">
        <v>9748</v>
      </c>
      <c r="K1032" s="2" t="s">
        <v>9749</v>
      </c>
      <c r="L1032" s="2" t="s">
        <v>9751</v>
      </c>
      <c r="M1032" s="2"/>
      <c r="N1032" s="2" t="s">
        <v>1161</v>
      </c>
      <c r="O1032" s="2" t="s">
        <v>221</v>
      </c>
      <c r="P1032" s="2" t="s">
        <v>9752</v>
      </c>
      <c r="Q1032" s="2" t="s">
        <v>9749</v>
      </c>
      <c r="R1032" s="2"/>
      <c r="S1032" s="2"/>
      <c r="T1032" s="2"/>
      <c r="U1032" s="2" t="s">
        <v>1161</v>
      </c>
      <c r="V1032" s="2" t="s">
        <v>221</v>
      </c>
      <c r="W1032" s="2" t="s">
        <v>9752</v>
      </c>
      <c r="X1032" s="2" t="s">
        <v>9753</v>
      </c>
      <c r="Y1032" s="2" t="s">
        <v>44</v>
      </c>
      <c r="Z1032" s="2"/>
      <c r="AA1032" s="2" t="s">
        <v>821</v>
      </c>
      <c r="AB1032" s="2" t="s">
        <v>46</v>
      </c>
      <c r="AC1032" s="2" t="s">
        <v>821</v>
      </c>
      <c r="AE1032" s="2" t="s">
        <v>48</v>
      </c>
      <c r="AF1032" s="2" t="s">
        <v>7864</v>
      </c>
      <c r="AG1032" s="2">
        <v>100</v>
      </c>
      <c r="AH1032" s="2">
        <v>62</v>
      </c>
      <c r="AJ1032" s="2" t="s">
        <v>9755</v>
      </c>
      <c r="AK1032" s="2"/>
      <c r="AL1032" s="2"/>
      <c r="AM1032" s="2" t="s">
        <v>9687</v>
      </c>
    </row>
    <row r="1033" spans="1:39" x14ac:dyDescent="0.45">
      <c r="A1033" s="2" t="s">
        <v>9756</v>
      </c>
      <c r="B1033" s="2"/>
      <c r="C1033" s="2" t="s">
        <v>9758</v>
      </c>
      <c r="D1033" s="2" t="s">
        <v>9760</v>
      </c>
      <c r="E1033" s="25"/>
      <c r="F1033" s="21"/>
      <c r="G1033" s="42" t="s">
        <v>28000</v>
      </c>
      <c r="H1033" s="2" t="s">
        <v>9685</v>
      </c>
      <c r="I1033" s="2" t="s">
        <v>9764</v>
      </c>
      <c r="J1033" s="2" t="s">
        <v>9757</v>
      </c>
      <c r="K1033" s="2" t="s">
        <v>9759</v>
      </c>
      <c r="L1033" s="2" t="s">
        <v>9761</v>
      </c>
      <c r="M1033" s="2" t="s">
        <v>9761</v>
      </c>
      <c r="N1033" s="2" t="s">
        <v>5623</v>
      </c>
      <c r="O1033" s="2" t="s">
        <v>40</v>
      </c>
      <c r="P1033" s="2" t="s">
        <v>9762</v>
      </c>
      <c r="Q1033" s="2" t="s">
        <v>9759</v>
      </c>
      <c r="R1033" s="2"/>
      <c r="S1033" s="2"/>
      <c r="T1033" s="2"/>
      <c r="U1033" s="2" t="s">
        <v>5623</v>
      </c>
      <c r="V1033" s="2" t="s">
        <v>40</v>
      </c>
      <c r="W1033" s="2" t="s">
        <v>9762</v>
      </c>
      <c r="X1033" s="2" t="s">
        <v>9763</v>
      </c>
      <c r="Y1033" s="2" t="s">
        <v>44</v>
      </c>
      <c r="Z1033" s="2"/>
      <c r="AA1033" s="2" t="s">
        <v>821</v>
      </c>
      <c r="AB1033" s="2" t="s">
        <v>46</v>
      </c>
      <c r="AC1033" s="2" t="s">
        <v>821</v>
      </c>
      <c r="AE1033" s="2" t="s">
        <v>48</v>
      </c>
      <c r="AF1033" s="2" t="s">
        <v>7864</v>
      </c>
      <c r="AG1033" s="2">
        <v>100</v>
      </c>
      <c r="AH1033" s="2">
        <v>62</v>
      </c>
      <c r="AJ1033" s="2" t="s">
        <v>9765</v>
      </c>
      <c r="AK1033" s="2"/>
      <c r="AL1033" s="2"/>
      <c r="AM1033" s="2" t="s">
        <v>9687</v>
      </c>
    </row>
    <row r="1034" spans="1:39" x14ac:dyDescent="0.45">
      <c r="A1034" s="2" t="s">
        <v>9766</v>
      </c>
      <c r="B1034" s="2"/>
      <c r="C1034" s="2" t="s">
        <v>9766</v>
      </c>
      <c r="D1034" s="2" t="s">
        <v>9769</v>
      </c>
      <c r="E1034" s="25"/>
      <c r="F1034" s="21"/>
      <c r="G1034" s="42" t="s">
        <v>28000</v>
      </c>
      <c r="H1034" s="2" t="s">
        <v>9685</v>
      </c>
      <c r="I1034" s="2" t="s">
        <v>9774</v>
      </c>
      <c r="J1034" s="2" t="s">
        <v>9767</v>
      </c>
      <c r="K1034" s="2" t="s">
        <v>9768</v>
      </c>
      <c r="L1034" s="2" t="s">
        <v>9770</v>
      </c>
      <c r="M1034" s="2" t="s">
        <v>9770</v>
      </c>
      <c r="N1034" s="2" t="s">
        <v>8495</v>
      </c>
      <c r="O1034" s="2" t="s">
        <v>8496</v>
      </c>
      <c r="P1034" s="2" t="s">
        <v>9771</v>
      </c>
      <c r="Q1034" s="2" t="s">
        <v>9772</v>
      </c>
      <c r="R1034" s="2"/>
      <c r="S1034" s="2"/>
      <c r="T1034" s="2"/>
      <c r="U1034" s="2" t="s">
        <v>8495</v>
      </c>
      <c r="V1034" s="2" t="s">
        <v>8496</v>
      </c>
      <c r="W1034" s="2" t="s">
        <v>9771</v>
      </c>
      <c r="X1034" s="2" t="s">
        <v>9773</v>
      </c>
      <c r="Y1034" s="2" t="s">
        <v>44</v>
      </c>
      <c r="Z1034" s="2"/>
      <c r="AA1034" s="2" t="s">
        <v>821</v>
      </c>
      <c r="AB1034" s="2" t="s">
        <v>46</v>
      </c>
      <c r="AC1034" s="2" t="s">
        <v>821</v>
      </c>
      <c r="AE1034" s="2" t="s">
        <v>48</v>
      </c>
      <c r="AF1034" s="2" t="s">
        <v>7864</v>
      </c>
      <c r="AG1034" s="2">
        <v>100</v>
      </c>
      <c r="AH1034" s="2">
        <v>62</v>
      </c>
      <c r="AJ1034" s="2" t="s">
        <v>9775</v>
      </c>
      <c r="AK1034" s="2"/>
      <c r="AL1034" s="2"/>
      <c r="AM1034" s="2" t="s">
        <v>9687</v>
      </c>
    </row>
    <row r="1035" spans="1:39" x14ac:dyDescent="0.45">
      <c r="A1035" s="2" t="s">
        <v>9776</v>
      </c>
      <c r="B1035" s="2"/>
      <c r="C1035" s="2" t="s">
        <v>9778</v>
      </c>
      <c r="D1035" s="2" t="s">
        <v>9780</v>
      </c>
      <c r="E1035" s="25"/>
      <c r="F1035" s="21"/>
      <c r="G1035" s="42" t="s">
        <v>28000</v>
      </c>
      <c r="H1035" s="2" t="s">
        <v>9685</v>
      </c>
      <c r="I1035" s="2" t="s">
        <v>9784</v>
      </c>
      <c r="J1035" s="2" t="s">
        <v>9777</v>
      </c>
      <c r="K1035" s="2" t="s">
        <v>9779</v>
      </c>
      <c r="L1035" s="2" t="s">
        <v>9781</v>
      </c>
      <c r="M1035" s="2"/>
      <c r="N1035" s="2" t="s">
        <v>5984</v>
      </c>
      <c r="O1035" s="2" t="s">
        <v>313</v>
      </c>
      <c r="P1035" s="2" t="s">
        <v>9782</v>
      </c>
      <c r="Q1035" s="2" t="s">
        <v>9779</v>
      </c>
      <c r="R1035" s="2"/>
      <c r="S1035" s="2"/>
      <c r="T1035" s="2"/>
      <c r="U1035" s="2" t="s">
        <v>5984</v>
      </c>
      <c r="V1035" s="2" t="s">
        <v>313</v>
      </c>
      <c r="W1035" s="2" t="s">
        <v>9782</v>
      </c>
      <c r="X1035" s="2" t="s">
        <v>9783</v>
      </c>
      <c r="Y1035" s="2" t="s">
        <v>44</v>
      </c>
      <c r="Z1035" s="2"/>
      <c r="AA1035" s="2" t="s">
        <v>821</v>
      </c>
      <c r="AB1035" s="2" t="s">
        <v>46</v>
      </c>
      <c r="AC1035" s="2" t="s">
        <v>821</v>
      </c>
      <c r="AE1035" s="2" t="s">
        <v>48</v>
      </c>
      <c r="AF1035" s="2" t="s">
        <v>7864</v>
      </c>
      <c r="AG1035" s="2">
        <v>100</v>
      </c>
      <c r="AH1035" s="2">
        <v>62</v>
      </c>
      <c r="AJ1035" s="2" t="s">
        <v>9785</v>
      </c>
      <c r="AK1035" s="2"/>
      <c r="AL1035" s="2"/>
      <c r="AM1035" s="2" t="s">
        <v>9687</v>
      </c>
    </row>
    <row r="1036" spans="1:39" x14ac:dyDescent="0.45">
      <c r="A1036" s="2" t="s">
        <v>9786</v>
      </c>
      <c r="B1036" s="2"/>
      <c r="C1036" s="2" t="s">
        <v>9788</v>
      </c>
      <c r="D1036" s="2" t="s">
        <v>9790</v>
      </c>
      <c r="E1036" s="25"/>
      <c r="F1036" s="21"/>
      <c r="G1036" s="42" t="s">
        <v>28000</v>
      </c>
      <c r="H1036" s="2" t="s">
        <v>9685</v>
      </c>
      <c r="I1036" s="2" t="s">
        <v>9796</v>
      </c>
      <c r="J1036" s="2" t="s">
        <v>9787</v>
      </c>
      <c r="K1036" s="2" t="s">
        <v>9789</v>
      </c>
      <c r="L1036" s="2" t="s">
        <v>9791</v>
      </c>
      <c r="M1036" s="2"/>
      <c r="N1036" s="2" t="s">
        <v>9792</v>
      </c>
      <c r="O1036" s="2" t="s">
        <v>1137</v>
      </c>
      <c r="P1036" s="2" t="s">
        <v>9793</v>
      </c>
      <c r="Q1036" s="2" t="s">
        <v>9794</v>
      </c>
      <c r="R1036" s="2"/>
      <c r="S1036" s="2"/>
      <c r="T1036" s="2"/>
      <c r="U1036" s="2" t="s">
        <v>9792</v>
      </c>
      <c r="V1036" s="2" t="s">
        <v>1137</v>
      </c>
      <c r="W1036" s="2" t="s">
        <v>9793</v>
      </c>
      <c r="X1036" s="2" t="s">
        <v>9795</v>
      </c>
      <c r="Y1036" s="2" t="s">
        <v>44</v>
      </c>
      <c r="Z1036" s="2"/>
      <c r="AA1036" s="2" t="s">
        <v>821</v>
      </c>
      <c r="AB1036" s="2" t="s">
        <v>46</v>
      </c>
      <c r="AC1036" s="2" t="s">
        <v>821</v>
      </c>
      <c r="AE1036" s="2" t="s">
        <v>48</v>
      </c>
      <c r="AF1036" s="2" t="s">
        <v>7864</v>
      </c>
      <c r="AG1036" s="2">
        <v>100</v>
      </c>
      <c r="AH1036" s="2">
        <v>62</v>
      </c>
      <c r="AJ1036" s="2" t="s">
        <v>9797</v>
      </c>
      <c r="AK1036" s="2"/>
      <c r="AL1036" s="2"/>
      <c r="AM1036" s="2" t="s">
        <v>9687</v>
      </c>
    </row>
    <row r="1037" spans="1:39" x14ac:dyDescent="0.45">
      <c r="A1037" s="2" t="s">
        <v>9798</v>
      </c>
      <c r="B1037" s="2"/>
      <c r="C1037" s="2" t="s">
        <v>9800</v>
      </c>
      <c r="D1037" s="2" t="s">
        <v>9802</v>
      </c>
      <c r="E1037" s="25"/>
      <c r="F1037" s="21"/>
      <c r="G1037" s="42" t="s">
        <v>28000</v>
      </c>
      <c r="H1037" s="2" t="s">
        <v>9685</v>
      </c>
      <c r="I1037" s="2" t="s">
        <v>9805</v>
      </c>
      <c r="J1037" s="2" t="s">
        <v>9799</v>
      </c>
      <c r="K1037" s="2" t="s">
        <v>9801</v>
      </c>
      <c r="L1037" s="2" t="s">
        <v>9803</v>
      </c>
      <c r="M1037" s="2" t="s">
        <v>9803</v>
      </c>
      <c r="N1037" s="2" t="s">
        <v>5821</v>
      </c>
      <c r="O1037" s="2" t="s">
        <v>278</v>
      </c>
      <c r="P1037" s="2" t="s">
        <v>5822</v>
      </c>
      <c r="Q1037" s="2" t="s">
        <v>9801</v>
      </c>
      <c r="R1037" s="2"/>
      <c r="S1037" s="2"/>
      <c r="T1037" s="2"/>
      <c r="U1037" s="2" t="s">
        <v>5821</v>
      </c>
      <c r="V1037" s="2" t="s">
        <v>278</v>
      </c>
      <c r="W1037" s="2" t="s">
        <v>5822</v>
      </c>
      <c r="X1037" s="2" t="s">
        <v>9804</v>
      </c>
      <c r="Y1037" s="2" t="s">
        <v>44</v>
      </c>
      <c r="Z1037" s="2"/>
      <c r="AA1037" s="2" t="s">
        <v>821</v>
      </c>
      <c r="AB1037" s="2" t="s">
        <v>46</v>
      </c>
      <c r="AC1037" s="2" t="s">
        <v>821</v>
      </c>
      <c r="AE1037" s="2" t="s">
        <v>48</v>
      </c>
      <c r="AF1037" s="2" t="s">
        <v>7864</v>
      </c>
      <c r="AG1037" s="2">
        <v>100</v>
      </c>
      <c r="AH1037" s="2">
        <v>62</v>
      </c>
      <c r="AJ1037" s="2" t="s">
        <v>9806</v>
      </c>
      <c r="AK1037" s="2"/>
      <c r="AL1037" s="2"/>
      <c r="AM1037" s="2" t="s">
        <v>9687</v>
      </c>
    </row>
    <row r="1038" spans="1:39" x14ac:dyDescent="0.45">
      <c r="A1038" s="2" t="s">
        <v>9807</v>
      </c>
      <c r="B1038" s="2"/>
      <c r="C1038" s="2" t="s">
        <v>9809</v>
      </c>
      <c r="D1038" s="2" t="s">
        <v>9811</v>
      </c>
      <c r="E1038" s="25"/>
      <c r="F1038" s="21"/>
      <c r="G1038" s="42" t="s">
        <v>28000</v>
      </c>
      <c r="H1038" s="2" t="s">
        <v>9685</v>
      </c>
      <c r="I1038" s="2" t="s">
        <v>9813</v>
      </c>
      <c r="J1038" s="2" t="s">
        <v>9808</v>
      </c>
      <c r="K1038" s="2" t="s">
        <v>9810</v>
      </c>
      <c r="L1038" s="2" t="s">
        <v>9550</v>
      </c>
      <c r="M1038" s="2" t="s">
        <v>9550</v>
      </c>
      <c r="N1038" s="2" t="s">
        <v>6062</v>
      </c>
      <c r="O1038" s="2" t="s">
        <v>217</v>
      </c>
      <c r="P1038" s="2" t="s">
        <v>9703</v>
      </c>
      <c r="Q1038" s="2" t="s">
        <v>9812</v>
      </c>
      <c r="R1038" s="2"/>
      <c r="S1038" s="2"/>
      <c r="T1038" s="2"/>
      <c r="U1038" s="2" t="s">
        <v>6062</v>
      </c>
      <c r="V1038" s="2" t="s">
        <v>217</v>
      </c>
      <c r="W1038" s="2" t="s">
        <v>9703</v>
      </c>
      <c r="X1038" s="2" t="s">
        <v>5575</v>
      </c>
      <c r="Y1038" s="2" t="s">
        <v>44</v>
      </c>
      <c r="Z1038" s="2"/>
      <c r="AA1038" s="2" t="s">
        <v>821</v>
      </c>
      <c r="AB1038" s="2" t="s">
        <v>46</v>
      </c>
      <c r="AC1038" s="2" t="s">
        <v>821</v>
      </c>
      <c r="AE1038" s="2" t="s">
        <v>48</v>
      </c>
      <c r="AF1038" s="2" t="s">
        <v>7864</v>
      </c>
      <c r="AG1038" s="2">
        <v>100</v>
      </c>
      <c r="AH1038" s="2">
        <v>62</v>
      </c>
      <c r="AJ1038" s="2" t="s">
        <v>9814</v>
      </c>
      <c r="AK1038" s="2"/>
      <c r="AL1038" s="2"/>
      <c r="AM1038" s="2" t="s">
        <v>9687</v>
      </c>
    </row>
    <row r="1039" spans="1:39" x14ac:dyDescent="0.45">
      <c r="A1039" s="2" t="s">
        <v>9815</v>
      </c>
      <c r="B1039" s="2"/>
      <c r="C1039" s="2" t="s">
        <v>9815</v>
      </c>
      <c r="D1039" s="2" t="s">
        <v>9818</v>
      </c>
      <c r="E1039" s="25"/>
      <c r="F1039" s="21"/>
      <c r="G1039" s="42" t="s">
        <v>28000</v>
      </c>
      <c r="H1039" s="2" t="s">
        <v>9685</v>
      </c>
      <c r="I1039" s="2" t="s">
        <v>9821</v>
      </c>
      <c r="J1039" s="2" t="s">
        <v>9816</v>
      </c>
      <c r="K1039" s="2" t="s">
        <v>9817</v>
      </c>
      <c r="L1039" s="2" t="s">
        <v>9819</v>
      </c>
      <c r="M1039" s="2" t="s">
        <v>9819</v>
      </c>
      <c r="N1039" s="2" t="s">
        <v>6062</v>
      </c>
      <c r="O1039" s="2" t="s">
        <v>217</v>
      </c>
      <c r="P1039" s="2" t="s">
        <v>9820</v>
      </c>
      <c r="Q1039" s="2"/>
      <c r="R1039" s="2"/>
      <c r="S1039" s="2"/>
      <c r="T1039" s="2"/>
      <c r="U1039" s="2"/>
      <c r="V1039" s="2"/>
      <c r="W1039" s="2"/>
      <c r="X1039" s="2" t="s">
        <v>9535</v>
      </c>
      <c r="Y1039" s="2" t="s">
        <v>44</v>
      </c>
      <c r="Z1039" s="2"/>
      <c r="AA1039" s="2" t="s">
        <v>821</v>
      </c>
      <c r="AB1039" s="2" t="s">
        <v>46</v>
      </c>
      <c r="AC1039" s="2" t="s">
        <v>821</v>
      </c>
      <c r="AE1039" s="2" t="s">
        <v>48</v>
      </c>
      <c r="AF1039" s="2" t="s">
        <v>7864</v>
      </c>
      <c r="AG1039" s="2">
        <v>100</v>
      </c>
      <c r="AH1039" s="2">
        <v>62</v>
      </c>
      <c r="AJ1039" s="2" t="s">
        <v>9822</v>
      </c>
      <c r="AK1039" s="2"/>
      <c r="AL1039" s="2"/>
      <c r="AM1039" s="2" t="s">
        <v>9687</v>
      </c>
    </row>
    <row r="1040" spans="1:39" x14ac:dyDescent="0.45">
      <c r="A1040" s="2" t="s">
        <v>9823</v>
      </c>
      <c r="B1040" s="2"/>
      <c r="C1040" s="2" t="s">
        <v>9825</v>
      </c>
      <c r="D1040" s="2" t="s">
        <v>9827</v>
      </c>
      <c r="E1040" s="25"/>
      <c r="F1040" s="21"/>
      <c r="G1040" s="42" t="s">
        <v>28000</v>
      </c>
      <c r="H1040" s="2" t="s">
        <v>9685</v>
      </c>
      <c r="I1040" s="2" t="s">
        <v>9831</v>
      </c>
      <c r="J1040" s="2" t="s">
        <v>9824</v>
      </c>
      <c r="K1040" s="2" t="s">
        <v>9826</v>
      </c>
      <c r="L1040" s="2" t="s">
        <v>9828</v>
      </c>
      <c r="M1040" s="2" t="s">
        <v>9828</v>
      </c>
      <c r="N1040" s="2" t="s">
        <v>9829</v>
      </c>
      <c r="O1040" s="2" t="s">
        <v>278</v>
      </c>
      <c r="P1040" s="2" t="s">
        <v>9830</v>
      </c>
      <c r="Q1040" s="2"/>
      <c r="R1040" s="2"/>
      <c r="S1040" s="2"/>
      <c r="T1040" s="2"/>
      <c r="U1040" s="2"/>
      <c r="V1040" s="2"/>
      <c r="W1040" s="2"/>
      <c r="X1040" s="2" t="s">
        <v>9560</v>
      </c>
      <c r="Y1040" s="2" t="s">
        <v>44</v>
      </c>
      <c r="Z1040" s="2"/>
      <c r="AA1040" s="2" t="s">
        <v>821</v>
      </c>
      <c r="AB1040" s="2" t="s">
        <v>46</v>
      </c>
      <c r="AC1040" s="2" t="s">
        <v>821</v>
      </c>
      <c r="AE1040" s="2" t="s">
        <v>48</v>
      </c>
      <c r="AF1040" s="2" t="s">
        <v>7864</v>
      </c>
      <c r="AG1040" s="2">
        <v>100</v>
      </c>
      <c r="AH1040" s="2">
        <v>62</v>
      </c>
      <c r="AJ1040" s="2" t="s">
        <v>9832</v>
      </c>
      <c r="AK1040" s="2"/>
      <c r="AL1040" s="2"/>
      <c r="AM1040" s="2" t="s">
        <v>9687</v>
      </c>
    </row>
    <row r="1041" spans="1:39" x14ac:dyDescent="0.45">
      <c r="A1041" s="2" t="s">
        <v>9833</v>
      </c>
      <c r="B1041" s="2"/>
      <c r="C1041" s="7" t="s">
        <v>27986</v>
      </c>
      <c r="D1041" s="2" t="s">
        <v>9836</v>
      </c>
      <c r="E1041" s="25"/>
      <c r="F1041" s="21"/>
      <c r="G1041" s="42" t="s">
        <v>28000</v>
      </c>
      <c r="H1041" s="2" t="s">
        <v>9685</v>
      </c>
      <c r="I1041" s="2" t="s">
        <v>9842</v>
      </c>
      <c r="J1041" s="2" t="s">
        <v>9834</v>
      </c>
      <c r="K1041" s="2" t="s">
        <v>9835</v>
      </c>
      <c r="L1041" s="2" t="s">
        <v>9837</v>
      </c>
      <c r="M1041" s="2" t="s">
        <v>9837</v>
      </c>
      <c r="N1041" s="2" t="s">
        <v>9838</v>
      </c>
      <c r="O1041" s="2" t="s">
        <v>278</v>
      </c>
      <c r="P1041" s="2" t="s">
        <v>9839</v>
      </c>
      <c r="Q1041" s="2" t="s">
        <v>9840</v>
      </c>
      <c r="R1041" s="2"/>
      <c r="S1041" s="2"/>
      <c r="T1041" s="2"/>
      <c r="U1041" s="2" t="s">
        <v>9838</v>
      </c>
      <c r="V1041" s="2" t="s">
        <v>278</v>
      </c>
      <c r="W1041" s="2" t="s">
        <v>9839</v>
      </c>
      <c r="X1041" s="2" t="s">
        <v>9841</v>
      </c>
      <c r="Y1041" s="2" t="s">
        <v>44</v>
      </c>
      <c r="Z1041" s="2"/>
      <c r="AA1041" s="2" t="s">
        <v>821</v>
      </c>
      <c r="AB1041" s="2" t="s">
        <v>46</v>
      </c>
      <c r="AC1041" s="2" t="s">
        <v>821</v>
      </c>
      <c r="AE1041" s="2" t="s">
        <v>48</v>
      </c>
      <c r="AF1041" s="2" t="s">
        <v>7864</v>
      </c>
      <c r="AG1041" s="2">
        <v>85</v>
      </c>
      <c r="AH1041" s="2">
        <v>62</v>
      </c>
      <c r="AJ1041" s="2" t="s">
        <v>9843</v>
      </c>
      <c r="AK1041" s="2"/>
      <c r="AL1041" s="2"/>
      <c r="AM1041" s="2" t="s">
        <v>9687</v>
      </c>
    </row>
    <row r="1042" spans="1:39" x14ac:dyDescent="0.45">
      <c r="A1042" s="2" t="s">
        <v>9844</v>
      </c>
      <c r="B1042" s="2"/>
      <c r="C1042" s="7" t="s">
        <v>27981</v>
      </c>
      <c r="D1042" s="2" t="s">
        <v>9847</v>
      </c>
      <c r="E1042" s="25"/>
      <c r="F1042" s="21"/>
      <c r="G1042" s="42" t="s">
        <v>28000</v>
      </c>
      <c r="H1042" s="2" t="s">
        <v>9685</v>
      </c>
      <c r="I1042" s="2" t="s">
        <v>9850</v>
      </c>
      <c r="J1042" s="2" t="s">
        <v>9845</v>
      </c>
      <c r="K1042" s="2" t="s">
        <v>9846</v>
      </c>
      <c r="L1042" s="2" t="s">
        <v>9848</v>
      </c>
      <c r="M1042" s="2" t="s">
        <v>9848</v>
      </c>
      <c r="N1042" s="2" t="s">
        <v>85</v>
      </c>
      <c r="O1042" s="2"/>
      <c r="P1042" s="2" t="s">
        <v>873</v>
      </c>
      <c r="Q1042" s="2" t="s">
        <v>9846</v>
      </c>
      <c r="R1042" s="2"/>
      <c r="S1042" s="2"/>
      <c r="T1042" s="2"/>
      <c r="U1042" s="2" t="s">
        <v>85</v>
      </c>
      <c r="V1042" s="2"/>
      <c r="W1042" s="2" t="s">
        <v>873</v>
      </c>
      <c r="X1042" s="2" t="s">
        <v>9849</v>
      </c>
      <c r="Y1042" s="2" t="s">
        <v>44</v>
      </c>
      <c r="Z1042" s="2"/>
      <c r="AA1042" s="2" t="s">
        <v>821</v>
      </c>
      <c r="AB1042" s="2" t="s">
        <v>46</v>
      </c>
      <c r="AC1042" s="2" t="s">
        <v>821</v>
      </c>
      <c r="AE1042" s="2" t="s">
        <v>48</v>
      </c>
      <c r="AF1042" s="2" t="s">
        <v>7864</v>
      </c>
      <c r="AG1042" s="2">
        <v>70</v>
      </c>
      <c r="AH1042" s="2">
        <v>62</v>
      </c>
      <c r="AJ1042" s="2" t="s">
        <v>9851</v>
      </c>
      <c r="AK1042" s="2"/>
      <c r="AL1042" s="2"/>
      <c r="AM1042" s="2" t="s">
        <v>9687</v>
      </c>
    </row>
    <row r="1043" spans="1:39" x14ac:dyDescent="0.45">
      <c r="A1043" s="2" t="s">
        <v>9852</v>
      </c>
      <c r="B1043" s="2"/>
      <c r="C1043" s="2" t="s">
        <v>9852</v>
      </c>
      <c r="D1043" s="2" t="s">
        <v>9855</v>
      </c>
      <c r="E1043" s="25"/>
      <c r="F1043" s="21"/>
      <c r="G1043" s="42" t="s">
        <v>28000</v>
      </c>
      <c r="H1043" s="2" t="s">
        <v>9685</v>
      </c>
      <c r="I1043" s="2" t="s">
        <v>9859</v>
      </c>
      <c r="J1043" s="2" t="s">
        <v>9853</v>
      </c>
      <c r="K1043" s="2" t="s">
        <v>9854</v>
      </c>
      <c r="L1043" s="2" t="s">
        <v>9856</v>
      </c>
      <c r="M1043" s="2" t="s">
        <v>9856</v>
      </c>
      <c r="N1043" s="2" t="s">
        <v>72</v>
      </c>
      <c r="O1043" s="2" t="s">
        <v>73</v>
      </c>
      <c r="P1043" s="2" t="s">
        <v>9857</v>
      </c>
      <c r="Q1043" s="2" t="s">
        <v>9858</v>
      </c>
      <c r="R1043" s="2"/>
      <c r="S1043" s="2"/>
      <c r="T1043" s="2"/>
      <c r="U1043" s="2" t="s">
        <v>72</v>
      </c>
      <c r="V1043" s="2" t="s">
        <v>73</v>
      </c>
      <c r="W1043" s="2" t="s">
        <v>1568</v>
      </c>
      <c r="X1043" s="2" t="s">
        <v>1441</v>
      </c>
      <c r="Y1043" s="2" t="s">
        <v>44</v>
      </c>
      <c r="Z1043" s="2"/>
      <c r="AA1043" s="2" t="s">
        <v>3527</v>
      </c>
      <c r="AB1043" s="2" t="s">
        <v>46</v>
      </c>
      <c r="AC1043" s="2" t="s">
        <v>3527</v>
      </c>
      <c r="AE1043" s="2" t="s">
        <v>48</v>
      </c>
      <c r="AF1043" s="2" t="s">
        <v>7864</v>
      </c>
      <c r="AG1043" s="2">
        <v>100</v>
      </c>
      <c r="AH1043" s="2">
        <v>60</v>
      </c>
      <c r="AJ1043" s="2" t="s">
        <v>9860</v>
      </c>
      <c r="AK1043" s="2"/>
      <c r="AL1043" s="2"/>
      <c r="AM1043" s="2" t="s">
        <v>9687</v>
      </c>
    </row>
    <row r="1044" spans="1:39" x14ac:dyDescent="0.45">
      <c r="A1044" s="2" t="s">
        <v>9861</v>
      </c>
      <c r="B1044" s="2"/>
      <c r="C1044" s="2" t="s">
        <v>9863</v>
      </c>
      <c r="D1044" s="2" t="s">
        <v>9865</v>
      </c>
      <c r="E1044" s="25"/>
      <c r="F1044" s="21"/>
      <c r="G1044" s="42" t="s">
        <v>28000</v>
      </c>
      <c r="H1044" s="2" t="s">
        <v>9685</v>
      </c>
      <c r="I1044" s="2" t="s">
        <v>9868</v>
      </c>
      <c r="J1044" s="2" t="s">
        <v>9862</v>
      </c>
      <c r="K1044" s="2" t="s">
        <v>9864</v>
      </c>
      <c r="L1044" s="2" t="s">
        <v>9866</v>
      </c>
      <c r="M1044" s="2" t="s">
        <v>9866</v>
      </c>
      <c r="N1044" s="2" t="s">
        <v>290</v>
      </c>
      <c r="O1044" s="2" t="s">
        <v>278</v>
      </c>
      <c r="P1044" s="2" t="s">
        <v>9867</v>
      </c>
      <c r="Q1044" s="2" t="s">
        <v>9864</v>
      </c>
      <c r="R1044" s="2"/>
      <c r="S1044" s="2"/>
      <c r="T1044" s="2"/>
      <c r="U1044" s="2" t="s">
        <v>290</v>
      </c>
      <c r="V1044" s="2" t="s">
        <v>278</v>
      </c>
      <c r="W1044" s="2" t="s">
        <v>9867</v>
      </c>
      <c r="X1044" s="2" t="s">
        <v>6716</v>
      </c>
      <c r="Y1044" s="2" t="s">
        <v>44</v>
      </c>
      <c r="Z1044" s="2"/>
      <c r="AA1044" s="2" t="s">
        <v>3527</v>
      </c>
      <c r="AB1044" s="2" t="s">
        <v>46</v>
      </c>
      <c r="AC1044" s="2" t="s">
        <v>3527</v>
      </c>
      <c r="AE1044" s="2" t="s">
        <v>48</v>
      </c>
      <c r="AF1044" s="2" t="s">
        <v>7864</v>
      </c>
      <c r="AG1044" s="2">
        <v>100</v>
      </c>
      <c r="AH1044" s="2">
        <v>60</v>
      </c>
      <c r="AJ1044" s="2" t="s">
        <v>9869</v>
      </c>
      <c r="AK1044" s="2"/>
      <c r="AL1044" s="2"/>
      <c r="AM1044" s="2" t="s">
        <v>9687</v>
      </c>
    </row>
    <row r="1045" spans="1:39" x14ac:dyDescent="0.45">
      <c r="A1045" s="2" t="s">
        <v>9870</v>
      </c>
      <c r="B1045" s="2"/>
      <c r="C1045" s="2" t="s">
        <v>9872</v>
      </c>
      <c r="D1045" s="2" t="s">
        <v>9874</v>
      </c>
      <c r="E1045" s="25"/>
      <c r="F1045" s="21"/>
      <c r="G1045" s="42" t="s">
        <v>28000</v>
      </c>
      <c r="H1045" s="2" t="s">
        <v>9685</v>
      </c>
      <c r="I1045" s="2" t="s">
        <v>9876</v>
      </c>
      <c r="J1045" s="2" t="s">
        <v>9871</v>
      </c>
      <c r="K1045" s="2" t="s">
        <v>9873</v>
      </c>
      <c r="L1045" s="2" t="s">
        <v>9875</v>
      </c>
      <c r="M1045" s="2"/>
      <c r="N1045" s="2" t="s">
        <v>72</v>
      </c>
      <c r="O1045" s="2" t="s">
        <v>73</v>
      </c>
      <c r="P1045" s="2" t="s">
        <v>1808</v>
      </c>
      <c r="Q1045" s="2" t="s">
        <v>9873</v>
      </c>
      <c r="R1045" s="2"/>
      <c r="S1045" s="2"/>
      <c r="T1045" s="2"/>
      <c r="U1045" s="2" t="s">
        <v>72</v>
      </c>
      <c r="V1045" s="2" t="s">
        <v>73</v>
      </c>
      <c r="W1045" s="2" t="s">
        <v>1808</v>
      </c>
      <c r="X1045" s="2" t="s">
        <v>178</v>
      </c>
      <c r="Y1045" s="2" t="s">
        <v>44</v>
      </c>
      <c r="Z1045" s="2"/>
      <c r="AA1045" s="2" t="s">
        <v>3527</v>
      </c>
      <c r="AB1045" s="2" t="s">
        <v>46</v>
      </c>
      <c r="AC1045" s="2" t="s">
        <v>3527</v>
      </c>
      <c r="AE1045" s="2" t="s">
        <v>48</v>
      </c>
      <c r="AF1045" s="2" t="s">
        <v>7864</v>
      </c>
      <c r="AG1045" s="2">
        <v>100</v>
      </c>
      <c r="AH1045" s="2">
        <v>60</v>
      </c>
      <c r="AJ1045" s="2" t="s">
        <v>9877</v>
      </c>
      <c r="AK1045" s="2"/>
      <c r="AL1045" s="2"/>
      <c r="AM1045" s="2" t="s">
        <v>9687</v>
      </c>
    </row>
    <row r="1046" spans="1:39" x14ac:dyDescent="0.45">
      <c r="A1046" s="2" t="s">
        <v>9878</v>
      </c>
      <c r="B1046" s="2"/>
      <c r="C1046" s="2" t="s">
        <v>9880</v>
      </c>
      <c r="D1046" s="2" t="s">
        <v>9882</v>
      </c>
      <c r="E1046" s="25"/>
      <c r="F1046" s="21"/>
      <c r="G1046" s="42" t="s">
        <v>28000</v>
      </c>
      <c r="H1046" s="2" t="s">
        <v>9685</v>
      </c>
      <c r="I1046" s="2" t="s">
        <v>9884</v>
      </c>
      <c r="J1046" s="2" t="s">
        <v>9879</v>
      </c>
      <c r="K1046" s="2" t="s">
        <v>9881</v>
      </c>
      <c r="L1046" s="2" t="s">
        <v>9883</v>
      </c>
      <c r="M1046" s="2"/>
      <c r="N1046" s="2" t="s">
        <v>290</v>
      </c>
      <c r="O1046" s="2" t="s">
        <v>278</v>
      </c>
      <c r="P1046" s="2" t="s">
        <v>671</v>
      </c>
      <c r="Q1046" s="2" t="s">
        <v>9881</v>
      </c>
      <c r="R1046" s="2"/>
      <c r="S1046" s="2"/>
      <c r="T1046" s="2"/>
      <c r="U1046" s="2" t="s">
        <v>290</v>
      </c>
      <c r="V1046" s="2" t="s">
        <v>278</v>
      </c>
      <c r="W1046" s="2" t="s">
        <v>671</v>
      </c>
      <c r="X1046" s="2" t="s">
        <v>178</v>
      </c>
      <c r="Y1046" s="2" t="s">
        <v>44</v>
      </c>
      <c r="Z1046" s="2"/>
      <c r="AA1046" s="2" t="s">
        <v>3527</v>
      </c>
      <c r="AB1046" s="2" t="s">
        <v>46</v>
      </c>
      <c r="AC1046" s="2" t="s">
        <v>3527</v>
      </c>
      <c r="AE1046" s="2" t="s">
        <v>48</v>
      </c>
      <c r="AF1046" s="2" t="s">
        <v>7864</v>
      </c>
      <c r="AG1046" s="2">
        <v>100</v>
      </c>
      <c r="AH1046" s="2">
        <v>60</v>
      </c>
      <c r="AJ1046" s="2" t="s">
        <v>9885</v>
      </c>
      <c r="AK1046" s="2"/>
      <c r="AL1046" s="2"/>
      <c r="AM1046" s="2" t="s">
        <v>9687</v>
      </c>
    </row>
    <row r="1047" spans="1:39" x14ac:dyDescent="0.45">
      <c r="A1047" s="2" t="s">
        <v>9886</v>
      </c>
      <c r="B1047" s="2"/>
      <c r="C1047" s="2" t="s">
        <v>9888</v>
      </c>
      <c r="D1047" s="2" t="s">
        <v>9890</v>
      </c>
      <c r="E1047" s="25"/>
      <c r="F1047" s="21"/>
      <c r="G1047" s="42" t="s">
        <v>28000</v>
      </c>
      <c r="H1047" s="2" t="s">
        <v>9685</v>
      </c>
      <c r="I1047" s="2" t="s">
        <v>9894</v>
      </c>
      <c r="J1047" s="2" t="s">
        <v>9887</v>
      </c>
      <c r="K1047" s="2" t="s">
        <v>9889</v>
      </c>
      <c r="L1047" s="2" t="s">
        <v>9891</v>
      </c>
      <c r="M1047" s="2" t="s">
        <v>9891</v>
      </c>
      <c r="N1047" s="2" t="s">
        <v>39</v>
      </c>
      <c r="O1047" s="2" t="s">
        <v>40</v>
      </c>
      <c r="P1047" s="2" t="s">
        <v>9892</v>
      </c>
      <c r="Q1047" s="2" t="s">
        <v>9893</v>
      </c>
      <c r="R1047" s="2"/>
      <c r="S1047" s="2"/>
      <c r="T1047" s="2"/>
      <c r="U1047" s="2" t="s">
        <v>39</v>
      </c>
      <c r="V1047" s="2" t="s">
        <v>40</v>
      </c>
      <c r="W1047" s="2" t="s">
        <v>1238</v>
      </c>
      <c r="X1047" s="2" t="s">
        <v>6694</v>
      </c>
      <c r="Y1047" s="2" t="s">
        <v>44</v>
      </c>
      <c r="Z1047" s="2"/>
      <c r="AA1047" s="2" t="s">
        <v>3527</v>
      </c>
      <c r="AB1047" s="2" t="s">
        <v>46</v>
      </c>
      <c r="AC1047" s="2" t="s">
        <v>3527</v>
      </c>
      <c r="AE1047" s="2" t="s">
        <v>48</v>
      </c>
      <c r="AF1047" s="2" t="s">
        <v>7864</v>
      </c>
      <c r="AG1047" s="2">
        <v>100</v>
      </c>
      <c r="AH1047" s="2">
        <v>60</v>
      </c>
      <c r="AJ1047" s="2" t="s">
        <v>9895</v>
      </c>
      <c r="AK1047" s="2"/>
      <c r="AL1047" s="2"/>
      <c r="AM1047" s="2" t="s">
        <v>9687</v>
      </c>
    </row>
    <row r="1048" spans="1:39" x14ac:dyDescent="0.45">
      <c r="A1048" s="2" t="s">
        <v>9896</v>
      </c>
      <c r="B1048" s="2"/>
      <c r="C1048" s="2" t="s">
        <v>9898</v>
      </c>
      <c r="D1048" s="2" t="s">
        <v>9900</v>
      </c>
      <c r="E1048" s="25"/>
      <c r="F1048" s="21"/>
      <c r="G1048" s="42" t="s">
        <v>28000</v>
      </c>
      <c r="H1048" s="2" t="s">
        <v>9685</v>
      </c>
      <c r="I1048" s="2" t="s">
        <v>9904</v>
      </c>
      <c r="J1048" s="2" t="s">
        <v>9897</v>
      </c>
      <c r="K1048" s="2" t="s">
        <v>9899</v>
      </c>
      <c r="L1048" s="2" t="s">
        <v>9901</v>
      </c>
      <c r="M1048" s="2"/>
      <c r="N1048" s="2" t="s">
        <v>39</v>
      </c>
      <c r="O1048" s="2" t="s">
        <v>40</v>
      </c>
      <c r="P1048" s="2" t="s">
        <v>9902</v>
      </c>
      <c r="Q1048" s="2" t="s">
        <v>9903</v>
      </c>
      <c r="R1048" s="2"/>
      <c r="S1048" s="2"/>
      <c r="T1048" s="2"/>
      <c r="U1048" s="2" t="s">
        <v>39</v>
      </c>
      <c r="V1048" s="2" t="s">
        <v>40</v>
      </c>
      <c r="W1048" s="2" t="s">
        <v>9902</v>
      </c>
      <c r="X1048" s="2" t="s">
        <v>8610</v>
      </c>
      <c r="Y1048" s="2" t="s">
        <v>44</v>
      </c>
      <c r="Z1048" s="2"/>
      <c r="AA1048" s="2" t="s">
        <v>3527</v>
      </c>
      <c r="AB1048" s="2" t="s">
        <v>46</v>
      </c>
      <c r="AC1048" s="2" t="s">
        <v>3527</v>
      </c>
      <c r="AE1048" s="2" t="s">
        <v>48</v>
      </c>
      <c r="AF1048" s="2" t="s">
        <v>7864</v>
      </c>
      <c r="AG1048" s="2">
        <v>100</v>
      </c>
      <c r="AH1048" s="2">
        <v>60</v>
      </c>
      <c r="AJ1048" s="2" t="s">
        <v>9905</v>
      </c>
      <c r="AK1048" s="2"/>
      <c r="AL1048" s="2"/>
      <c r="AM1048" s="2" t="s">
        <v>9687</v>
      </c>
    </row>
    <row r="1049" spans="1:39" x14ac:dyDescent="0.45">
      <c r="A1049" s="2" t="s">
        <v>9906</v>
      </c>
      <c r="B1049" s="2"/>
      <c r="C1049" s="2" t="s">
        <v>9908</v>
      </c>
      <c r="D1049" s="2" t="s">
        <v>9910</v>
      </c>
      <c r="E1049" s="25"/>
      <c r="F1049" s="21"/>
      <c r="G1049" s="42" t="s">
        <v>28000</v>
      </c>
      <c r="H1049" s="2" t="s">
        <v>9685</v>
      </c>
      <c r="I1049" s="2" t="s">
        <v>9913</v>
      </c>
      <c r="J1049" s="2" t="s">
        <v>9907</v>
      </c>
      <c r="K1049" s="2" t="s">
        <v>9909</v>
      </c>
      <c r="L1049" s="2" t="s">
        <v>9911</v>
      </c>
      <c r="M1049" s="2"/>
      <c r="N1049" s="2" t="s">
        <v>72</v>
      </c>
      <c r="O1049" s="2" t="s">
        <v>73</v>
      </c>
      <c r="P1049" s="2" t="s">
        <v>2270</v>
      </c>
      <c r="Q1049" s="2" t="s">
        <v>9909</v>
      </c>
      <c r="R1049" s="2"/>
      <c r="S1049" s="2"/>
      <c r="T1049" s="2"/>
      <c r="U1049" s="2" t="s">
        <v>72</v>
      </c>
      <c r="V1049" s="2" t="s">
        <v>73</v>
      </c>
      <c r="W1049" s="2" t="s">
        <v>2270</v>
      </c>
      <c r="X1049" s="2" t="s">
        <v>9912</v>
      </c>
      <c r="Y1049" s="2" t="s">
        <v>44</v>
      </c>
      <c r="Z1049" s="2"/>
      <c r="AA1049" s="2" t="s">
        <v>3527</v>
      </c>
      <c r="AB1049" s="2" t="s">
        <v>46</v>
      </c>
      <c r="AC1049" s="2" t="s">
        <v>3527</v>
      </c>
      <c r="AE1049" s="2" t="s">
        <v>48</v>
      </c>
      <c r="AF1049" s="2" t="s">
        <v>7864</v>
      </c>
      <c r="AG1049" s="2">
        <v>100</v>
      </c>
      <c r="AH1049" s="2">
        <v>60</v>
      </c>
      <c r="AJ1049" s="2" t="s">
        <v>9914</v>
      </c>
      <c r="AK1049" s="2"/>
      <c r="AL1049" s="2"/>
      <c r="AM1049" s="2" t="s">
        <v>9687</v>
      </c>
    </row>
    <row r="1050" spans="1:39" x14ac:dyDescent="0.45">
      <c r="A1050" s="2" t="s">
        <v>9915</v>
      </c>
      <c r="B1050" s="2"/>
      <c r="C1050" s="2" t="s">
        <v>9915</v>
      </c>
      <c r="D1050" s="2" t="s">
        <v>9918</v>
      </c>
      <c r="E1050" s="25"/>
      <c r="F1050" s="21"/>
      <c r="G1050" s="42" t="s">
        <v>28000</v>
      </c>
      <c r="H1050" s="2" t="s">
        <v>9685</v>
      </c>
      <c r="I1050" s="2" t="s">
        <v>9921</v>
      </c>
      <c r="J1050" s="2" t="s">
        <v>9916</v>
      </c>
      <c r="K1050" s="2" t="s">
        <v>9917</v>
      </c>
      <c r="L1050" s="2" t="s">
        <v>9919</v>
      </c>
      <c r="M1050" s="2" t="s">
        <v>9919</v>
      </c>
      <c r="N1050" s="2" t="s">
        <v>39</v>
      </c>
      <c r="O1050" s="2" t="s">
        <v>40</v>
      </c>
      <c r="P1050" s="2" t="s">
        <v>8123</v>
      </c>
      <c r="Q1050" s="2" t="s">
        <v>9917</v>
      </c>
      <c r="R1050" s="2"/>
      <c r="S1050" s="2"/>
      <c r="T1050" s="2"/>
      <c r="U1050" s="2" t="s">
        <v>39</v>
      </c>
      <c r="V1050" s="2" t="s">
        <v>40</v>
      </c>
      <c r="W1050" s="2" t="s">
        <v>8123</v>
      </c>
      <c r="X1050" s="2" t="s">
        <v>9920</v>
      </c>
      <c r="Y1050" s="2" t="s">
        <v>44</v>
      </c>
      <c r="Z1050" s="2"/>
      <c r="AA1050" s="2" t="s">
        <v>3527</v>
      </c>
      <c r="AB1050" s="2" t="s">
        <v>46</v>
      </c>
      <c r="AC1050" s="2" t="s">
        <v>3527</v>
      </c>
      <c r="AE1050" s="2" t="s">
        <v>48</v>
      </c>
      <c r="AF1050" s="2" t="s">
        <v>7864</v>
      </c>
      <c r="AG1050" s="2">
        <v>100</v>
      </c>
      <c r="AH1050" s="2">
        <v>60</v>
      </c>
      <c r="AJ1050" s="2" t="s">
        <v>9922</v>
      </c>
      <c r="AK1050" s="2"/>
      <c r="AL1050" s="2"/>
      <c r="AM1050" s="2" t="s">
        <v>9687</v>
      </c>
    </row>
    <row r="1051" spans="1:39" x14ac:dyDescent="0.45">
      <c r="A1051" s="2" t="s">
        <v>9923</v>
      </c>
      <c r="B1051" s="2"/>
      <c r="C1051" s="2" t="s">
        <v>9925</v>
      </c>
      <c r="D1051" s="2" t="s">
        <v>9927</v>
      </c>
      <c r="E1051" s="25"/>
      <c r="F1051" s="21"/>
      <c r="G1051" s="42" t="s">
        <v>28000</v>
      </c>
      <c r="H1051" s="2" t="s">
        <v>9685</v>
      </c>
      <c r="I1051" s="2" t="s">
        <v>9931</v>
      </c>
      <c r="J1051" s="2" t="s">
        <v>9924</v>
      </c>
      <c r="K1051" s="2" t="s">
        <v>9926</v>
      </c>
      <c r="L1051" s="2" t="s">
        <v>9928</v>
      </c>
      <c r="M1051" s="2" t="s">
        <v>9928</v>
      </c>
      <c r="N1051" s="2" t="s">
        <v>536</v>
      </c>
      <c r="O1051" s="2" t="s">
        <v>537</v>
      </c>
      <c r="P1051" s="2" t="s">
        <v>9929</v>
      </c>
      <c r="Q1051" s="2" t="s">
        <v>9926</v>
      </c>
      <c r="R1051" s="2"/>
      <c r="S1051" s="2"/>
      <c r="T1051" s="2"/>
      <c r="U1051" s="2" t="s">
        <v>536</v>
      </c>
      <c r="V1051" s="2" t="s">
        <v>537</v>
      </c>
      <c r="W1051" s="2" t="s">
        <v>9929</v>
      </c>
      <c r="X1051" s="2" t="s">
        <v>9930</v>
      </c>
      <c r="Y1051" s="2" t="s">
        <v>44</v>
      </c>
      <c r="Z1051" s="2"/>
      <c r="AA1051" s="2" t="s">
        <v>3527</v>
      </c>
      <c r="AB1051" s="2" t="s">
        <v>46</v>
      </c>
      <c r="AC1051" s="2" t="s">
        <v>3527</v>
      </c>
      <c r="AE1051" s="2" t="s">
        <v>48</v>
      </c>
      <c r="AF1051" s="2" t="s">
        <v>7864</v>
      </c>
      <c r="AG1051" s="2">
        <v>100</v>
      </c>
      <c r="AH1051" s="2">
        <v>60</v>
      </c>
      <c r="AJ1051" s="2" t="s">
        <v>9932</v>
      </c>
      <c r="AK1051" s="2"/>
      <c r="AL1051" s="2"/>
      <c r="AM1051" s="2" t="s">
        <v>9687</v>
      </c>
    </row>
    <row r="1052" spans="1:39" x14ac:dyDescent="0.45">
      <c r="A1052" s="2" t="s">
        <v>9933</v>
      </c>
      <c r="B1052" s="2"/>
      <c r="C1052" s="2" t="s">
        <v>9935</v>
      </c>
      <c r="D1052" s="2" t="s">
        <v>9937</v>
      </c>
      <c r="E1052" s="25"/>
      <c r="F1052" s="21"/>
      <c r="G1052" s="42" t="s">
        <v>28000</v>
      </c>
      <c r="H1052" s="2" t="s">
        <v>9685</v>
      </c>
      <c r="I1052" s="2" t="s">
        <v>9940</v>
      </c>
      <c r="J1052" s="2" t="s">
        <v>9934</v>
      </c>
      <c r="K1052" s="2" t="s">
        <v>9936</v>
      </c>
      <c r="L1052" s="2" t="s">
        <v>9938</v>
      </c>
      <c r="M1052" s="2" t="s">
        <v>9938</v>
      </c>
      <c r="N1052" s="2" t="s">
        <v>324</v>
      </c>
      <c r="O1052" s="2" t="s">
        <v>73</v>
      </c>
      <c r="P1052" s="2" t="s">
        <v>9939</v>
      </c>
      <c r="Q1052" s="2" t="s">
        <v>9936</v>
      </c>
      <c r="R1052" s="2"/>
      <c r="S1052" s="2"/>
      <c r="T1052" s="2"/>
      <c r="U1052" s="2" t="s">
        <v>324</v>
      </c>
      <c r="V1052" s="2" t="s">
        <v>73</v>
      </c>
      <c r="W1052" s="2" t="s">
        <v>9939</v>
      </c>
      <c r="X1052" s="2" t="s">
        <v>924</v>
      </c>
      <c r="Y1052" s="2" t="s">
        <v>44</v>
      </c>
      <c r="Z1052" s="2"/>
      <c r="AA1052" s="2" t="s">
        <v>3527</v>
      </c>
      <c r="AB1052" s="2" t="s">
        <v>46</v>
      </c>
      <c r="AC1052" s="2" t="s">
        <v>3527</v>
      </c>
      <c r="AE1052" s="2" t="s">
        <v>48</v>
      </c>
      <c r="AF1052" s="2" t="s">
        <v>7864</v>
      </c>
      <c r="AG1052" s="2">
        <v>100</v>
      </c>
      <c r="AH1052" s="2">
        <v>60</v>
      </c>
      <c r="AJ1052" s="2" t="s">
        <v>9941</v>
      </c>
      <c r="AK1052" s="2"/>
      <c r="AL1052" s="2"/>
      <c r="AM1052" s="2" t="s">
        <v>9687</v>
      </c>
    </row>
    <row r="1053" spans="1:39" x14ac:dyDescent="0.45">
      <c r="A1053" s="2" t="s">
        <v>9942</v>
      </c>
      <c r="B1053" s="2"/>
      <c r="C1053" s="2" t="s">
        <v>9942</v>
      </c>
      <c r="D1053" s="2" t="s">
        <v>9945</v>
      </c>
      <c r="E1053" s="25"/>
      <c r="F1053" s="21"/>
      <c r="G1053" s="42" t="s">
        <v>28000</v>
      </c>
      <c r="H1053" s="2" t="s">
        <v>9685</v>
      </c>
      <c r="I1053" s="2" t="s">
        <v>9947</v>
      </c>
      <c r="J1053" s="2" t="s">
        <v>9943</v>
      </c>
      <c r="K1053" s="2" t="s">
        <v>9944</v>
      </c>
      <c r="L1053" s="2" t="s">
        <v>9946</v>
      </c>
      <c r="M1053" s="2"/>
      <c r="N1053" s="2" t="s">
        <v>72</v>
      </c>
      <c r="O1053" s="2" t="s">
        <v>73</v>
      </c>
      <c r="P1053" s="2" t="s">
        <v>1568</v>
      </c>
      <c r="Q1053" s="2" t="s">
        <v>9944</v>
      </c>
      <c r="R1053" s="2"/>
      <c r="S1053" s="2"/>
      <c r="T1053" s="2"/>
      <c r="U1053" s="2" t="s">
        <v>72</v>
      </c>
      <c r="V1053" s="2" t="s">
        <v>73</v>
      </c>
      <c r="W1053" s="2" t="s">
        <v>1568</v>
      </c>
      <c r="X1053" s="2" t="s">
        <v>924</v>
      </c>
      <c r="Y1053" s="2" t="s">
        <v>44</v>
      </c>
      <c r="Z1053" s="2"/>
      <c r="AA1053" s="2" t="s">
        <v>3527</v>
      </c>
      <c r="AB1053" s="2" t="s">
        <v>46</v>
      </c>
      <c r="AC1053" s="2" t="s">
        <v>3527</v>
      </c>
      <c r="AE1053" s="2" t="s">
        <v>48</v>
      </c>
      <c r="AF1053" s="2" t="s">
        <v>7864</v>
      </c>
      <c r="AG1053" s="2">
        <v>100</v>
      </c>
      <c r="AH1053" s="2">
        <v>60</v>
      </c>
      <c r="AJ1053" s="2" t="s">
        <v>9948</v>
      </c>
      <c r="AK1053" s="2"/>
      <c r="AL1053" s="2"/>
      <c r="AM1053" s="2" t="s">
        <v>9687</v>
      </c>
    </row>
    <row r="1054" spans="1:39" x14ac:dyDescent="0.45">
      <c r="A1054" s="2" t="s">
        <v>9949</v>
      </c>
      <c r="B1054" s="2"/>
      <c r="C1054" s="2" t="s">
        <v>9951</v>
      </c>
      <c r="D1054" s="2" t="s">
        <v>9953</v>
      </c>
      <c r="E1054" s="25"/>
      <c r="F1054" s="21"/>
      <c r="G1054" s="42" t="s">
        <v>28000</v>
      </c>
      <c r="H1054" s="2" t="s">
        <v>9685</v>
      </c>
      <c r="I1054" s="2" t="s">
        <v>9956</v>
      </c>
      <c r="J1054" s="2" t="s">
        <v>9950</v>
      </c>
      <c r="K1054" s="2" t="s">
        <v>9952</v>
      </c>
      <c r="L1054" s="2" t="s">
        <v>9954</v>
      </c>
      <c r="M1054" s="2" t="s">
        <v>9954</v>
      </c>
      <c r="N1054" s="2" t="s">
        <v>59</v>
      </c>
      <c r="O1054" s="2" t="s">
        <v>60</v>
      </c>
      <c r="P1054" s="2" t="s">
        <v>5251</v>
      </c>
      <c r="Q1054" s="2" t="s">
        <v>9952</v>
      </c>
      <c r="R1054" s="2"/>
      <c r="S1054" s="2"/>
      <c r="T1054" s="2"/>
      <c r="U1054" s="2" t="s">
        <v>59</v>
      </c>
      <c r="V1054" s="2" t="s">
        <v>60</v>
      </c>
      <c r="W1054" s="2" t="s">
        <v>5251</v>
      </c>
      <c r="X1054" s="2" t="s">
        <v>9955</v>
      </c>
      <c r="Y1054" s="2" t="s">
        <v>44</v>
      </c>
      <c r="Z1054" s="2"/>
      <c r="AA1054" s="2" t="s">
        <v>3527</v>
      </c>
      <c r="AB1054" s="2" t="s">
        <v>46</v>
      </c>
      <c r="AC1054" s="2" t="s">
        <v>3527</v>
      </c>
      <c r="AE1054" s="2" t="s">
        <v>48</v>
      </c>
      <c r="AF1054" s="2" t="s">
        <v>7864</v>
      </c>
      <c r="AG1054" s="2">
        <v>100</v>
      </c>
      <c r="AH1054" s="2">
        <v>60</v>
      </c>
      <c r="AJ1054" s="2" t="s">
        <v>9957</v>
      </c>
      <c r="AK1054" s="2"/>
      <c r="AL1054" s="2"/>
      <c r="AM1054" s="2" t="s">
        <v>9687</v>
      </c>
    </row>
    <row r="1055" spans="1:39" x14ac:dyDescent="0.45">
      <c r="A1055" s="2" t="s">
        <v>9958</v>
      </c>
      <c r="B1055" s="2"/>
      <c r="C1055" s="2" t="s">
        <v>9960</v>
      </c>
      <c r="D1055" s="2" t="s">
        <v>9962</v>
      </c>
      <c r="E1055" s="25"/>
      <c r="F1055" s="21"/>
      <c r="G1055" s="42" t="s">
        <v>28000</v>
      </c>
      <c r="H1055" s="2" t="s">
        <v>9685</v>
      </c>
      <c r="I1055" s="2" t="s">
        <v>9966</v>
      </c>
      <c r="J1055" s="2" t="s">
        <v>9959</v>
      </c>
      <c r="K1055" s="2" t="s">
        <v>9961</v>
      </c>
      <c r="L1055" s="2" t="s">
        <v>9963</v>
      </c>
      <c r="M1055" s="2"/>
      <c r="N1055" s="2" t="s">
        <v>312</v>
      </c>
      <c r="O1055" s="2" t="s">
        <v>313</v>
      </c>
      <c r="P1055" s="2" t="s">
        <v>314</v>
      </c>
      <c r="Q1055" s="2" t="s">
        <v>9964</v>
      </c>
      <c r="R1055" s="2"/>
      <c r="S1055" s="2"/>
      <c r="T1055" s="2"/>
      <c r="U1055" s="2" t="s">
        <v>312</v>
      </c>
      <c r="V1055" s="2" t="s">
        <v>313</v>
      </c>
      <c r="W1055" s="2" t="s">
        <v>7647</v>
      </c>
      <c r="X1055" s="2" t="s">
        <v>9965</v>
      </c>
      <c r="Y1055" s="2" t="s">
        <v>44</v>
      </c>
      <c r="Z1055" s="2"/>
      <c r="AA1055" s="2" t="s">
        <v>3527</v>
      </c>
      <c r="AB1055" s="2" t="s">
        <v>46</v>
      </c>
      <c r="AC1055" s="2" t="s">
        <v>3527</v>
      </c>
      <c r="AE1055" s="2" t="s">
        <v>48</v>
      </c>
      <c r="AF1055" s="2" t="s">
        <v>7864</v>
      </c>
      <c r="AG1055" s="2">
        <v>100</v>
      </c>
      <c r="AH1055" s="2">
        <v>60</v>
      </c>
      <c r="AJ1055" s="2" t="s">
        <v>9967</v>
      </c>
      <c r="AK1055" s="2"/>
      <c r="AL1055" s="2"/>
      <c r="AM1055" s="2" t="s">
        <v>9687</v>
      </c>
    </row>
    <row r="1056" spans="1:39" x14ac:dyDescent="0.45">
      <c r="A1056" s="2" t="s">
        <v>9968</v>
      </c>
      <c r="B1056" s="2"/>
      <c r="C1056" s="2" t="s">
        <v>9968</v>
      </c>
      <c r="D1056" s="2" t="s">
        <v>9971</v>
      </c>
      <c r="E1056" s="25"/>
      <c r="F1056" s="21"/>
      <c r="G1056" s="42" t="s">
        <v>28000</v>
      </c>
      <c r="H1056" s="2" t="s">
        <v>9685</v>
      </c>
      <c r="I1056" s="2" t="s">
        <v>9975</v>
      </c>
      <c r="J1056" s="2" t="s">
        <v>9969</v>
      </c>
      <c r="K1056" s="2" t="s">
        <v>9970</v>
      </c>
      <c r="L1056" s="2" t="s">
        <v>9972</v>
      </c>
      <c r="M1056" s="2"/>
      <c r="N1056" s="2" t="s">
        <v>72</v>
      </c>
      <c r="O1056" s="2" t="s">
        <v>73</v>
      </c>
      <c r="P1056" s="2" t="s">
        <v>9973</v>
      </c>
      <c r="Q1056" s="2" t="s">
        <v>9974</v>
      </c>
      <c r="R1056" s="2"/>
      <c r="S1056" s="2"/>
      <c r="T1056" s="2"/>
      <c r="U1056" s="2" t="s">
        <v>72</v>
      </c>
      <c r="V1056" s="2" t="s">
        <v>73</v>
      </c>
      <c r="W1056" s="2" t="s">
        <v>9973</v>
      </c>
      <c r="X1056" s="2" t="s">
        <v>2614</v>
      </c>
      <c r="Y1056" s="2" t="s">
        <v>44</v>
      </c>
      <c r="Z1056" s="2"/>
      <c r="AA1056" s="2" t="s">
        <v>3527</v>
      </c>
      <c r="AB1056" s="2" t="s">
        <v>46</v>
      </c>
      <c r="AC1056" s="2" t="s">
        <v>3527</v>
      </c>
      <c r="AE1056" s="2" t="s">
        <v>48</v>
      </c>
      <c r="AF1056" s="2" t="s">
        <v>7864</v>
      </c>
      <c r="AG1056" s="2">
        <v>100</v>
      </c>
      <c r="AH1056" s="2">
        <v>60</v>
      </c>
      <c r="AJ1056" s="2" t="s">
        <v>9976</v>
      </c>
      <c r="AK1056" s="2"/>
      <c r="AL1056" s="2"/>
      <c r="AM1056" s="2" t="s">
        <v>9687</v>
      </c>
    </row>
    <row r="1057" spans="1:39" x14ac:dyDescent="0.45">
      <c r="A1057" s="2" t="s">
        <v>9977</v>
      </c>
      <c r="B1057" s="2"/>
      <c r="C1057" s="2" t="s">
        <v>9979</v>
      </c>
      <c r="D1057" s="2" t="s">
        <v>9981</v>
      </c>
      <c r="E1057" s="25"/>
      <c r="F1057" s="21"/>
      <c r="G1057" s="42" t="s">
        <v>28000</v>
      </c>
      <c r="H1057" s="2" t="s">
        <v>9685</v>
      </c>
      <c r="I1057" s="2" t="s">
        <v>9984</v>
      </c>
      <c r="J1057" s="2" t="s">
        <v>9978</v>
      </c>
      <c r="K1057" s="2" t="s">
        <v>9980</v>
      </c>
      <c r="L1057" s="2" t="s">
        <v>9982</v>
      </c>
      <c r="M1057" s="2"/>
      <c r="N1057" s="2" t="s">
        <v>59</v>
      </c>
      <c r="O1057" s="2" t="s">
        <v>60</v>
      </c>
      <c r="P1057" s="2" t="s">
        <v>5002</v>
      </c>
      <c r="Q1057" s="2" t="s">
        <v>9980</v>
      </c>
      <c r="R1057" s="2"/>
      <c r="S1057" s="2"/>
      <c r="T1057" s="2"/>
      <c r="U1057" s="2" t="s">
        <v>59</v>
      </c>
      <c r="V1057" s="2" t="s">
        <v>60</v>
      </c>
      <c r="W1057" s="2" t="s">
        <v>5002</v>
      </c>
      <c r="X1057" s="2" t="s">
        <v>9983</v>
      </c>
      <c r="Y1057" s="2" t="s">
        <v>44</v>
      </c>
      <c r="Z1057" s="2"/>
      <c r="AA1057" s="2" t="s">
        <v>3527</v>
      </c>
      <c r="AB1057" s="2" t="s">
        <v>46</v>
      </c>
      <c r="AC1057" s="2" t="s">
        <v>3527</v>
      </c>
      <c r="AE1057" s="2" t="s">
        <v>48</v>
      </c>
      <c r="AF1057" s="2" t="s">
        <v>7864</v>
      </c>
      <c r="AG1057" s="2">
        <v>100</v>
      </c>
      <c r="AH1057" s="2">
        <v>60</v>
      </c>
      <c r="AJ1057" s="2" t="s">
        <v>9985</v>
      </c>
      <c r="AK1057" s="2"/>
      <c r="AL1057" s="2"/>
      <c r="AM1057" s="2" t="s">
        <v>9687</v>
      </c>
    </row>
    <row r="1058" spans="1:39" x14ac:dyDescent="0.45">
      <c r="A1058" s="2" t="s">
        <v>9986</v>
      </c>
      <c r="B1058" s="2"/>
      <c r="C1058" s="2" t="s">
        <v>9988</v>
      </c>
      <c r="D1058" s="2" t="s">
        <v>9990</v>
      </c>
      <c r="E1058" s="25"/>
      <c r="F1058" s="21"/>
      <c r="G1058" s="42" t="s">
        <v>28000</v>
      </c>
      <c r="H1058" s="2" t="s">
        <v>9685</v>
      </c>
      <c r="I1058" s="2" t="s">
        <v>9992</v>
      </c>
      <c r="J1058" s="2" t="s">
        <v>9987</v>
      </c>
      <c r="K1058" s="2" t="s">
        <v>9989</v>
      </c>
      <c r="L1058" s="2" t="s">
        <v>9991</v>
      </c>
      <c r="M1058" s="2"/>
      <c r="N1058" s="2" t="s">
        <v>277</v>
      </c>
      <c r="O1058" s="2" t="s">
        <v>278</v>
      </c>
      <c r="P1058" s="2" t="s">
        <v>279</v>
      </c>
      <c r="Q1058" s="2"/>
      <c r="R1058" s="2"/>
      <c r="S1058" s="2"/>
      <c r="T1058" s="2"/>
      <c r="U1058" s="2"/>
      <c r="V1058" s="2"/>
      <c r="W1058" s="2"/>
      <c r="X1058" s="2" t="s">
        <v>4984</v>
      </c>
      <c r="Y1058" s="2" t="s">
        <v>44</v>
      </c>
      <c r="Z1058" s="2"/>
      <c r="AA1058" s="2" t="s">
        <v>3527</v>
      </c>
      <c r="AB1058" s="2" t="s">
        <v>46</v>
      </c>
      <c r="AC1058" s="2" t="s">
        <v>3527</v>
      </c>
      <c r="AE1058" s="2" t="s">
        <v>48</v>
      </c>
      <c r="AF1058" s="2" t="s">
        <v>7864</v>
      </c>
      <c r="AG1058" s="2">
        <v>100</v>
      </c>
      <c r="AH1058" s="2">
        <v>60</v>
      </c>
      <c r="AJ1058" s="2" t="s">
        <v>9993</v>
      </c>
      <c r="AK1058" s="2"/>
      <c r="AL1058" s="2"/>
      <c r="AM1058" s="2" t="s">
        <v>9687</v>
      </c>
    </row>
    <row r="1059" spans="1:39" x14ac:dyDescent="0.45">
      <c r="A1059" s="2" t="s">
        <v>9994</v>
      </c>
      <c r="B1059" s="2"/>
      <c r="C1059" s="2" t="s">
        <v>9996</v>
      </c>
      <c r="D1059" s="2" t="s">
        <v>9998</v>
      </c>
      <c r="E1059" s="25"/>
      <c r="F1059" s="21"/>
      <c r="G1059" s="42" t="s">
        <v>28000</v>
      </c>
      <c r="H1059" s="2" t="s">
        <v>9685</v>
      </c>
      <c r="I1059" s="2" t="s">
        <v>10002</v>
      </c>
      <c r="J1059" s="2" t="s">
        <v>9995</v>
      </c>
      <c r="K1059" s="2" t="s">
        <v>9997</v>
      </c>
      <c r="L1059" s="2" t="s">
        <v>9999</v>
      </c>
      <c r="M1059" s="2"/>
      <c r="N1059" s="2" t="s">
        <v>39</v>
      </c>
      <c r="O1059" s="2" t="s">
        <v>40</v>
      </c>
      <c r="P1059" s="2" t="s">
        <v>10000</v>
      </c>
      <c r="Q1059" s="2" t="s">
        <v>10001</v>
      </c>
      <c r="R1059" s="2"/>
      <c r="S1059" s="2"/>
      <c r="T1059" s="2"/>
      <c r="U1059" s="2" t="s">
        <v>39</v>
      </c>
      <c r="V1059" s="2" t="s">
        <v>40</v>
      </c>
      <c r="W1059" s="2" t="s">
        <v>10000</v>
      </c>
      <c r="X1059" s="2" t="s">
        <v>7071</v>
      </c>
      <c r="Y1059" s="2" t="s">
        <v>44</v>
      </c>
      <c r="Z1059" s="2"/>
      <c r="AA1059" s="2" t="s">
        <v>3527</v>
      </c>
      <c r="AB1059" s="2" t="s">
        <v>46</v>
      </c>
      <c r="AC1059" s="2" t="s">
        <v>3527</v>
      </c>
      <c r="AE1059" s="2" t="s">
        <v>48</v>
      </c>
      <c r="AF1059" s="2" t="s">
        <v>7864</v>
      </c>
      <c r="AG1059" s="2">
        <v>100</v>
      </c>
      <c r="AH1059" s="2">
        <v>60</v>
      </c>
      <c r="AJ1059" s="2" t="s">
        <v>10003</v>
      </c>
      <c r="AK1059" s="2"/>
      <c r="AL1059" s="2"/>
      <c r="AM1059" s="2" t="s">
        <v>9687</v>
      </c>
    </row>
    <row r="1060" spans="1:39" x14ac:dyDescent="0.45">
      <c r="A1060" s="2" t="s">
        <v>10004</v>
      </c>
      <c r="B1060" s="2"/>
      <c r="C1060" s="2" t="s">
        <v>10006</v>
      </c>
      <c r="D1060" s="2" t="s">
        <v>10008</v>
      </c>
      <c r="E1060" s="25"/>
      <c r="F1060" s="21"/>
      <c r="G1060" s="42" t="s">
        <v>28000</v>
      </c>
      <c r="H1060" s="2" t="s">
        <v>9685</v>
      </c>
      <c r="I1060" s="2" t="s">
        <v>7731</v>
      </c>
      <c r="J1060" s="2" t="s">
        <v>10005</v>
      </c>
      <c r="K1060" s="2" t="s">
        <v>10007</v>
      </c>
      <c r="L1060" s="2" t="s">
        <v>10009</v>
      </c>
      <c r="M1060" s="2"/>
      <c r="N1060" s="2" t="s">
        <v>72</v>
      </c>
      <c r="O1060" s="2" t="s">
        <v>73</v>
      </c>
      <c r="P1060" s="2" t="s">
        <v>791</v>
      </c>
      <c r="Q1060" s="2" t="s">
        <v>10007</v>
      </c>
      <c r="R1060" s="2"/>
      <c r="S1060" s="2"/>
      <c r="T1060" s="2"/>
      <c r="U1060" s="2" t="s">
        <v>72</v>
      </c>
      <c r="V1060" s="2" t="s">
        <v>73</v>
      </c>
      <c r="W1060" s="2" t="s">
        <v>791</v>
      </c>
      <c r="X1060" s="2" t="s">
        <v>10010</v>
      </c>
      <c r="Y1060" s="2" t="s">
        <v>44</v>
      </c>
      <c r="Z1060" s="2"/>
      <c r="AA1060" s="2" t="s">
        <v>3527</v>
      </c>
      <c r="AB1060" s="2" t="s">
        <v>46</v>
      </c>
      <c r="AC1060" s="2" t="s">
        <v>3527</v>
      </c>
      <c r="AE1060" s="2" t="s">
        <v>48</v>
      </c>
      <c r="AF1060" s="2" t="s">
        <v>7864</v>
      </c>
      <c r="AG1060" s="2">
        <v>100</v>
      </c>
      <c r="AH1060" s="2">
        <v>60</v>
      </c>
      <c r="AJ1060" s="2" t="s">
        <v>7732</v>
      </c>
      <c r="AK1060" s="2"/>
      <c r="AL1060" s="2"/>
      <c r="AM1060" s="2" t="s">
        <v>9687</v>
      </c>
    </row>
    <row r="1061" spans="1:39" x14ac:dyDescent="0.45">
      <c r="A1061" s="2" t="s">
        <v>10011</v>
      </c>
      <c r="B1061" s="2"/>
      <c r="C1061" s="2" t="s">
        <v>10013</v>
      </c>
      <c r="D1061" s="2" t="s">
        <v>10015</v>
      </c>
      <c r="E1061" s="25"/>
      <c r="F1061" s="21"/>
      <c r="G1061" s="42" t="s">
        <v>28000</v>
      </c>
      <c r="H1061" s="2" t="s">
        <v>9685</v>
      </c>
      <c r="I1061" s="2" t="s">
        <v>10018</v>
      </c>
      <c r="J1061" s="2" t="s">
        <v>10012</v>
      </c>
      <c r="K1061" s="2" t="s">
        <v>10014</v>
      </c>
      <c r="L1061" s="2" t="s">
        <v>10016</v>
      </c>
      <c r="M1061" s="2"/>
      <c r="N1061" s="2" t="s">
        <v>312</v>
      </c>
      <c r="O1061" s="2" t="s">
        <v>313</v>
      </c>
      <c r="P1061" s="2" t="s">
        <v>7647</v>
      </c>
      <c r="Q1061" s="2" t="s">
        <v>10014</v>
      </c>
      <c r="R1061" s="2"/>
      <c r="S1061" s="2"/>
      <c r="T1061" s="2"/>
      <c r="U1061" s="2" t="s">
        <v>312</v>
      </c>
      <c r="V1061" s="2" t="s">
        <v>313</v>
      </c>
      <c r="W1061" s="2" t="s">
        <v>7647</v>
      </c>
      <c r="X1061" s="2" t="s">
        <v>10017</v>
      </c>
      <c r="Y1061" s="2" t="s">
        <v>44</v>
      </c>
      <c r="Z1061" s="2"/>
      <c r="AA1061" s="2" t="s">
        <v>3527</v>
      </c>
      <c r="AB1061" s="2" t="s">
        <v>46</v>
      </c>
      <c r="AC1061" s="2" t="s">
        <v>3527</v>
      </c>
      <c r="AE1061" s="2" t="s">
        <v>48</v>
      </c>
      <c r="AF1061" s="2" t="s">
        <v>7864</v>
      </c>
      <c r="AG1061" s="2">
        <v>100</v>
      </c>
      <c r="AH1061" s="2">
        <v>60</v>
      </c>
      <c r="AJ1061" s="2" t="s">
        <v>10019</v>
      </c>
      <c r="AK1061" s="2"/>
      <c r="AL1061" s="2"/>
      <c r="AM1061" s="2" t="s">
        <v>9687</v>
      </c>
    </row>
    <row r="1062" spans="1:39" x14ac:dyDescent="0.45">
      <c r="A1062" s="2" t="s">
        <v>10020</v>
      </c>
      <c r="B1062" s="2"/>
      <c r="C1062" s="2" t="s">
        <v>10020</v>
      </c>
      <c r="D1062" s="2" t="s">
        <v>10023</v>
      </c>
      <c r="E1062" s="25"/>
      <c r="F1062" s="21"/>
      <c r="G1062" s="42" t="s">
        <v>28000</v>
      </c>
      <c r="H1062" s="2" t="s">
        <v>9685</v>
      </c>
      <c r="I1062" s="2" t="s">
        <v>10025</v>
      </c>
      <c r="J1062" s="2" t="s">
        <v>10021</v>
      </c>
      <c r="K1062" s="2" t="s">
        <v>10022</v>
      </c>
      <c r="L1062" s="2" t="s">
        <v>10024</v>
      </c>
      <c r="M1062" s="2"/>
      <c r="N1062" s="2" t="s">
        <v>651</v>
      </c>
      <c r="O1062" s="2" t="s">
        <v>86</v>
      </c>
      <c r="P1062" s="2" t="s">
        <v>2353</v>
      </c>
      <c r="Q1062" s="2" t="s">
        <v>10022</v>
      </c>
      <c r="R1062" s="2"/>
      <c r="S1062" s="2"/>
      <c r="T1062" s="2"/>
      <c r="U1062" s="2" t="s">
        <v>651</v>
      </c>
      <c r="V1062" s="2" t="s">
        <v>86</v>
      </c>
      <c r="W1062" s="2" t="s">
        <v>2353</v>
      </c>
      <c r="X1062" s="2" t="s">
        <v>9053</v>
      </c>
      <c r="Y1062" s="2" t="s">
        <v>44</v>
      </c>
      <c r="Z1062" s="2"/>
      <c r="AA1062" s="2" t="s">
        <v>3527</v>
      </c>
      <c r="AB1062" s="2" t="s">
        <v>46</v>
      </c>
      <c r="AC1062" s="2" t="s">
        <v>3527</v>
      </c>
      <c r="AE1062" s="2" t="s">
        <v>48</v>
      </c>
      <c r="AF1062" s="2" t="s">
        <v>7864</v>
      </c>
      <c r="AG1062" s="2">
        <v>100</v>
      </c>
      <c r="AH1062" s="2">
        <v>60</v>
      </c>
      <c r="AJ1062" s="2" t="s">
        <v>10026</v>
      </c>
      <c r="AK1062" s="2"/>
      <c r="AL1062" s="2"/>
      <c r="AM1062" s="2" t="s">
        <v>9687</v>
      </c>
    </row>
    <row r="1063" spans="1:39" x14ac:dyDescent="0.45">
      <c r="A1063" s="2" t="s">
        <v>10027</v>
      </c>
      <c r="B1063" s="2"/>
      <c r="C1063" s="2" t="s">
        <v>10027</v>
      </c>
      <c r="D1063" s="2" t="s">
        <v>10030</v>
      </c>
      <c r="E1063" s="25"/>
      <c r="F1063" s="21"/>
      <c r="G1063" s="42" t="s">
        <v>28000</v>
      </c>
      <c r="H1063" s="2" t="s">
        <v>9685</v>
      </c>
      <c r="I1063" s="2" t="s">
        <v>10033</v>
      </c>
      <c r="J1063" s="2" t="s">
        <v>10028</v>
      </c>
      <c r="K1063" s="2" t="s">
        <v>10029</v>
      </c>
      <c r="L1063" s="2" t="s">
        <v>10031</v>
      </c>
      <c r="M1063" s="2"/>
      <c r="N1063" s="2" t="s">
        <v>424</v>
      </c>
      <c r="O1063" s="2" t="s">
        <v>217</v>
      </c>
      <c r="P1063" s="2" t="s">
        <v>218</v>
      </c>
      <c r="Q1063" s="2" t="s">
        <v>10029</v>
      </c>
      <c r="R1063" s="2"/>
      <c r="S1063" s="2"/>
      <c r="T1063" s="2"/>
      <c r="U1063" s="2" t="s">
        <v>424</v>
      </c>
      <c r="V1063" s="2" t="s">
        <v>217</v>
      </c>
      <c r="W1063" s="2" t="s">
        <v>218</v>
      </c>
      <c r="X1063" s="2" t="s">
        <v>10032</v>
      </c>
      <c r="Y1063" s="2" t="s">
        <v>44</v>
      </c>
      <c r="Z1063" s="2"/>
      <c r="AA1063" s="2" t="s">
        <v>3527</v>
      </c>
      <c r="AB1063" s="2" t="s">
        <v>46</v>
      </c>
      <c r="AC1063" s="2" t="s">
        <v>3527</v>
      </c>
      <c r="AE1063" s="2" t="s">
        <v>48</v>
      </c>
      <c r="AF1063" s="2" t="s">
        <v>7864</v>
      </c>
      <c r="AG1063" s="2">
        <v>100</v>
      </c>
      <c r="AH1063" s="2">
        <v>60</v>
      </c>
      <c r="AJ1063" s="2" t="s">
        <v>10034</v>
      </c>
      <c r="AK1063" s="2"/>
      <c r="AL1063" s="2"/>
      <c r="AM1063" s="2" t="s">
        <v>9687</v>
      </c>
    </row>
    <row r="1064" spans="1:39" x14ac:dyDescent="0.45">
      <c r="A1064" s="2" t="s">
        <v>10035</v>
      </c>
      <c r="B1064" s="2"/>
      <c r="C1064" s="2" t="s">
        <v>10037</v>
      </c>
      <c r="D1064" s="2" t="s">
        <v>10039</v>
      </c>
      <c r="E1064" s="25"/>
      <c r="F1064" s="21"/>
      <c r="G1064" s="42" t="s">
        <v>28000</v>
      </c>
      <c r="H1064" s="2" t="s">
        <v>9685</v>
      </c>
      <c r="I1064" s="2" t="s">
        <v>10042</v>
      </c>
      <c r="J1064" s="2" t="s">
        <v>10036</v>
      </c>
      <c r="K1064" s="2" t="s">
        <v>10038</v>
      </c>
      <c r="L1064" s="2" t="s">
        <v>10040</v>
      </c>
      <c r="M1064" s="2" t="s">
        <v>10040</v>
      </c>
      <c r="N1064" s="2" t="s">
        <v>72</v>
      </c>
      <c r="O1064" s="2" t="s">
        <v>73</v>
      </c>
      <c r="P1064" s="2" t="s">
        <v>484</v>
      </c>
      <c r="Q1064" s="2" t="s">
        <v>10038</v>
      </c>
      <c r="R1064" s="2"/>
      <c r="S1064" s="2"/>
      <c r="T1064" s="2"/>
      <c r="U1064" s="2" t="s">
        <v>72</v>
      </c>
      <c r="V1064" s="2" t="s">
        <v>73</v>
      </c>
      <c r="W1064" s="2" t="s">
        <v>484</v>
      </c>
      <c r="X1064" s="2" t="s">
        <v>10041</v>
      </c>
      <c r="Y1064" s="2" t="s">
        <v>44</v>
      </c>
      <c r="Z1064" s="2"/>
      <c r="AA1064" s="2" t="s">
        <v>3527</v>
      </c>
      <c r="AB1064" s="2" t="s">
        <v>46</v>
      </c>
      <c r="AC1064" s="2" t="s">
        <v>3527</v>
      </c>
      <c r="AE1064" s="2" t="s">
        <v>48</v>
      </c>
      <c r="AF1064" s="2" t="s">
        <v>7864</v>
      </c>
      <c r="AG1064" s="2">
        <v>100</v>
      </c>
      <c r="AH1064" s="2">
        <v>60</v>
      </c>
      <c r="AJ1064" s="2" t="s">
        <v>10043</v>
      </c>
      <c r="AK1064" s="2"/>
      <c r="AL1064" s="2"/>
      <c r="AM1064" s="2" t="s">
        <v>9687</v>
      </c>
    </row>
    <row r="1065" spans="1:39" x14ac:dyDescent="0.45">
      <c r="A1065" s="2" t="s">
        <v>10044</v>
      </c>
      <c r="B1065" s="2"/>
      <c r="C1065" s="2" t="s">
        <v>10046</v>
      </c>
      <c r="D1065" s="2" t="s">
        <v>10048</v>
      </c>
      <c r="E1065" s="25"/>
      <c r="F1065" s="21"/>
      <c r="G1065" s="42" t="s">
        <v>28000</v>
      </c>
      <c r="H1065" s="2" t="s">
        <v>9685</v>
      </c>
      <c r="I1065" s="2" t="s">
        <v>10052</v>
      </c>
      <c r="J1065" s="2" t="s">
        <v>10045</v>
      </c>
      <c r="K1065" s="2" t="s">
        <v>10047</v>
      </c>
      <c r="L1065" s="2" t="s">
        <v>10049</v>
      </c>
      <c r="M1065" s="2" t="s">
        <v>10049</v>
      </c>
      <c r="N1065" s="2" t="s">
        <v>384</v>
      </c>
      <c r="O1065" s="2" t="s">
        <v>73</v>
      </c>
      <c r="P1065" s="2" t="s">
        <v>10050</v>
      </c>
      <c r="Q1065" s="2" t="s">
        <v>10047</v>
      </c>
      <c r="R1065" s="2"/>
      <c r="S1065" s="2"/>
      <c r="T1065" s="2"/>
      <c r="U1065" s="2" t="s">
        <v>384</v>
      </c>
      <c r="V1065" s="2" t="s">
        <v>73</v>
      </c>
      <c r="W1065" s="2" t="s">
        <v>10050</v>
      </c>
      <c r="X1065" s="2" t="s">
        <v>10051</v>
      </c>
      <c r="Y1065" s="2" t="s">
        <v>44</v>
      </c>
      <c r="Z1065" s="2"/>
      <c r="AA1065" s="2" t="s">
        <v>3527</v>
      </c>
      <c r="AB1065" s="2" t="s">
        <v>46</v>
      </c>
      <c r="AC1065" s="2" t="s">
        <v>3527</v>
      </c>
      <c r="AE1065" s="2" t="s">
        <v>48</v>
      </c>
      <c r="AF1065" s="2" t="s">
        <v>7864</v>
      </c>
      <c r="AG1065" s="2">
        <v>100</v>
      </c>
      <c r="AH1065" s="2">
        <v>60</v>
      </c>
      <c r="AJ1065" s="2" t="s">
        <v>10053</v>
      </c>
      <c r="AK1065" s="2"/>
      <c r="AL1065" s="2"/>
      <c r="AM1065" s="2" t="s">
        <v>9687</v>
      </c>
    </row>
    <row r="1066" spans="1:39" x14ac:dyDescent="0.45">
      <c r="A1066" s="2" t="s">
        <v>10054</v>
      </c>
      <c r="B1066" s="2"/>
      <c r="C1066" s="2" t="s">
        <v>10054</v>
      </c>
      <c r="D1066" s="2" t="s">
        <v>10057</v>
      </c>
      <c r="E1066" s="25"/>
      <c r="F1066" s="21"/>
      <c r="G1066" s="42" t="s">
        <v>28000</v>
      </c>
      <c r="H1066" s="2" t="s">
        <v>9685</v>
      </c>
      <c r="I1066" s="2" t="s">
        <v>10059</v>
      </c>
      <c r="J1066" s="2" t="s">
        <v>10055</v>
      </c>
      <c r="K1066" s="2" t="s">
        <v>10056</v>
      </c>
      <c r="L1066" s="2" t="s">
        <v>10058</v>
      </c>
      <c r="M1066" s="2"/>
      <c r="N1066" s="2" t="s">
        <v>59</v>
      </c>
      <c r="O1066" s="2" t="s">
        <v>60</v>
      </c>
      <c r="P1066" s="2" t="s">
        <v>1102</v>
      </c>
      <c r="Q1066" s="2" t="s">
        <v>10056</v>
      </c>
      <c r="R1066" s="2"/>
      <c r="S1066" s="2"/>
      <c r="T1066" s="2"/>
      <c r="U1066" s="2" t="s">
        <v>59</v>
      </c>
      <c r="V1066" s="2" t="s">
        <v>60</v>
      </c>
      <c r="W1066" s="2" t="s">
        <v>1102</v>
      </c>
      <c r="X1066" s="2" t="s">
        <v>1260</v>
      </c>
      <c r="Y1066" s="2" t="s">
        <v>44</v>
      </c>
      <c r="Z1066" s="2"/>
      <c r="AA1066" s="2" t="s">
        <v>3527</v>
      </c>
      <c r="AB1066" s="2" t="s">
        <v>46</v>
      </c>
      <c r="AC1066" s="2" t="s">
        <v>3527</v>
      </c>
      <c r="AE1066" s="2" t="s">
        <v>48</v>
      </c>
      <c r="AF1066" s="2" t="s">
        <v>7864</v>
      </c>
      <c r="AG1066" s="2">
        <v>100</v>
      </c>
      <c r="AH1066" s="2">
        <v>60</v>
      </c>
      <c r="AJ1066" s="2" t="s">
        <v>10060</v>
      </c>
      <c r="AK1066" s="2"/>
      <c r="AL1066" s="2"/>
      <c r="AM1066" s="2" t="s">
        <v>9687</v>
      </c>
    </row>
    <row r="1067" spans="1:39" x14ac:dyDescent="0.45">
      <c r="A1067" s="2" t="s">
        <v>10061</v>
      </c>
      <c r="B1067" s="2"/>
      <c r="C1067" s="2" t="s">
        <v>10063</v>
      </c>
      <c r="D1067" s="2" t="s">
        <v>10065</v>
      </c>
      <c r="E1067" s="25"/>
      <c r="F1067" s="21"/>
      <c r="G1067" s="42" t="s">
        <v>28000</v>
      </c>
      <c r="H1067" s="2" t="s">
        <v>9685</v>
      </c>
      <c r="I1067" s="2" t="s">
        <v>10067</v>
      </c>
      <c r="J1067" s="2" t="s">
        <v>10062</v>
      </c>
      <c r="K1067" s="2" t="s">
        <v>10064</v>
      </c>
      <c r="L1067" s="2" t="s">
        <v>10066</v>
      </c>
      <c r="M1067" s="2" t="s">
        <v>10066</v>
      </c>
      <c r="N1067" s="2" t="s">
        <v>651</v>
      </c>
      <c r="O1067" s="2" t="s">
        <v>86</v>
      </c>
      <c r="P1067" s="2" t="s">
        <v>3073</v>
      </c>
      <c r="Q1067" s="2" t="s">
        <v>10064</v>
      </c>
      <c r="R1067" s="2"/>
      <c r="S1067" s="2"/>
      <c r="T1067" s="2"/>
      <c r="U1067" s="2" t="s">
        <v>651</v>
      </c>
      <c r="V1067" s="2" t="s">
        <v>86</v>
      </c>
      <c r="W1067" s="2" t="s">
        <v>3073</v>
      </c>
      <c r="X1067" s="2" t="s">
        <v>3226</v>
      </c>
      <c r="Y1067" s="2" t="s">
        <v>44</v>
      </c>
      <c r="Z1067" s="2"/>
      <c r="AA1067" s="2" t="s">
        <v>3527</v>
      </c>
      <c r="AB1067" s="2" t="s">
        <v>46</v>
      </c>
      <c r="AC1067" s="2" t="s">
        <v>3527</v>
      </c>
      <c r="AE1067" s="2" t="s">
        <v>48</v>
      </c>
      <c r="AF1067" s="2" t="s">
        <v>7864</v>
      </c>
      <c r="AG1067" s="2">
        <v>100</v>
      </c>
      <c r="AH1067" s="2">
        <v>60</v>
      </c>
      <c r="AJ1067" s="2" t="s">
        <v>10068</v>
      </c>
      <c r="AK1067" s="2"/>
      <c r="AL1067" s="2"/>
      <c r="AM1067" s="2" t="s">
        <v>9687</v>
      </c>
    </row>
    <row r="1068" spans="1:39" x14ac:dyDescent="0.45">
      <c r="A1068" s="2" t="s">
        <v>10069</v>
      </c>
      <c r="B1068" s="2"/>
      <c r="C1068" s="2" t="s">
        <v>10071</v>
      </c>
      <c r="D1068" s="2" t="s">
        <v>10073</v>
      </c>
      <c r="E1068" s="25"/>
      <c r="F1068" s="21"/>
      <c r="G1068" s="42" t="s">
        <v>28000</v>
      </c>
      <c r="H1068" s="2" t="s">
        <v>9685</v>
      </c>
      <c r="I1068" s="2" t="s">
        <v>10075</v>
      </c>
      <c r="J1068" s="2" t="s">
        <v>10070</v>
      </c>
      <c r="K1068" s="2" t="s">
        <v>10072</v>
      </c>
      <c r="L1068" s="2" t="s">
        <v>10074</v>
      </c>
      <c r="M1068" s="2" t="s">
        <v>10074</v>
      </c>
      <c r="N1068" s="2" t="s">
        <v>59</v>
      </c>
      <c r="O1068" s="2" t="s">
        <v>60</v>
      </c>
      <c r="P1068" s="2" t="s">
        <v>5251</v>
      </c>
      <c r="Q1068" s="2" t="s">
        <v>10072</v>
      </c>
      <c r="R1068" s="2"/>
      <c r="S1068" s="2"/>
      <c r="T1068" s="2"/>
      <c r="U1068" s="2" t="s">
        <v>59</v>
      </c>
      <c r="V1068" s="2" t="s">
        <v>60</v>
      </c>
      <c r="W1068" s="2" t="s">
        <v>5251</v>
      </c>
      <c r="X1068" s="2" t="s">
        <v>5286</v>
      </c>
      <c r="Y1068" s="2" t="s">
        <v>44</v>
      </c>
      <c r="Z1068" s="2"/>
      <c r="AA1068" s="2" t="s">
        <v>3527</v>
      </c>
      <c r="AB1068" s="2" t="s">
        <v>46</v>
      </c>
      <c r="AC1068" s="2" t="s">
        <v>3527</v>
      </c>
      <c r="AE1068" s="2" t="s">
        <v>48</v>
      </c>
      <c r="AF1068" s="2" t="s">
        <v>7864</v>
      </c>
      <c r="AG1068" s="2">
        <v>100</v>
      </c>
      <c r="AH1068" s="2">
        <v>60</v>
      </c>
      <c r="AJ1068" s="2" t="s">
        <v>10076</v>
      </c>
      <c r="AK1068" s="2"/>
      <c r="AL1068" s="2"/>
      <c r="AM1068" s="2" t="s">
        <v>9687</v>
      </c>
    </row>
    <row r="1069" spans="1:39" x14ac:dyDescent="0.45">
      <c r="A1069" s="2" t="s">
        <v>10077</v>
      </c>
      <c r="B1069" s="2"/>
      <c r="C1069" s="2" t="s">
        <v>10077</v>
      </c>
      <c r="D1069" s="2" t="s">
        <v>10080</v>
      </c>
      <c r="E1069" s="25"/>
      <c r="F1069" s="21"/>
      <c r="G1069" s="42" t="s">
        <v>28000</v>
      </c>
      <c r="H1069" s="2" t="s">
        <v>9685</v>
      </c>
      <c r="I1069" s="2" t="s">
        <v>10082</v>
      </c>
      <c r="J1069" s="2" t="s">
        <v>10078</v>
      </c>
      <c r="K1069" s="2" t="s">
        <v>10079</v>
      </c>
      <c r="L1069" s="2" t="s">
        <v>10081</v>
      </c>
      <c r="M1069" s="2"/>
      <c r="N1069" s="2" t="s">
        <v>85</v>
      </c>
      <c r="O1069" s="2" t="s">
        <v>86</v>
      </c>
      <c r="P1069" s="2" t="s">
        <v>4731</v>
      </c>
      <c r="Q1069" s="2" t="s">
        <v>10079</v>
      </c>
      <c r="R1069" s="2"/>
      <c r="S1069" s="2"/>
      <c r="T1069" s="2"/>
      <c r="U1069" s="2" t="s">
        <v>85</v>
      </c>
      <c r="V1069" s="2" t="s">
        <v>86</v>
      </c>
      <c r="W1069" s="2" t="s">
        <v>4731</v>
      </c>
      <c r="X1069" s="2" t="s">
        <v>5320</v>
      </c>
      <c r="Y1069" s="2" t="s">
        <v>44</v>
      </c>
      <c r="Z1069" s="2"/>
      <c r="AA1069" s="2" t="s">
        <v>3527</v>
      </c>
      <c r="AB1069" s="2" t="s">
        <v>46</v>
      </c>
      <c r="AC1069" s="2" t="s">
        <v>3527</v>
      </c>
      <c r="AE1069" s="2" t="s">
        <v>48</v>
      </c>
      <c r="AF1069" s="2" t="s">
        <v>7864</v>
      </c>
      <c r="AG1069" s="2">
        <v>100</v>
      </c>
      <c r="AH1069" s="2">
        <v>60</v>
      </c>
      <c r="AJ1069" s="2" t="s">
        <v>10083</v>
      </c>
      <c r="AK1069" s="2"/>
      <c r="AL1069" s="2"/>
      <c r="AM1069" s="2" t="s">
        <v>9687</v>
      </c>
    </row>
    <row r="1070" spans="1:39" x14ac:dyDescent="0.45">
      <c r="A1070" s="2" t="s">
        <v>10084</v>
      </c>
      <c r="B1070" s="2"/>
      <c r="C1070" s="2" t="s">
        <v>10086</v>
      </c>
      <c r="D1070" s="2" t="s">
        <v>10088</v>
      </c>
      <c r="E1070" s="25"/>
      <c r="F1070" s="21"/>
      <c r="G1070" s="42" t="s">
        <v>28000</v>
      </c>
      <c r="H1070" s="2" t="s">
        <v>9685</v>
      </c>
      <c r="I1070" s="2" t="s">
        <v>10092</v>
      </c>
      <c r="J1070" s="2" t="s">
        <v>10085</v>
      </c>
      <c r="K1070" s="2" t="s">
        <v>10087</v>
      </c>
      <c r="L1070" s="2" t="s">
        <v>10089</v>
      </c>
      <c r="M1070" s="2" t="s">
        <v>10089</v>
      </c>
      <c r="N1070" s="2" t="s">
        <v>1188</v>
      </c>
      <c r="O1070" s="2" t="s">
        <v>221</v>
      </c>
      <c r="P1070" s="2" t="s">
        <v>10090</v>
      </c>
      <c r="Q1070" s="2" t="s">
        <v>10087</v>
      </c>
      <c r="R1070" s="2"/>
      <c r="S1070" s="2"/>
      <c r="T1070" s="2"/>
      <c r="U1070" s="2" t="s">
        <v>1188</v>
      </c>
      <c r="V1070" s="2" t="s">
        <v>221</v>
      </c>
      <c r="W1070" s="2" t="s">
        <v>10090</v>
      </c>
      <c r="X1070" s="2" t="s">
        <v>10091</v>
      </c>
      <c r="Y1070" s="2" t="s">
        <v>44</v>
      </c>
      <c r="Z1070" s="2"/>
      <c r="AA1070" s="2" t="s">
        <v>3527</v>
      </c>
      <c r="AB1070" s="2" t="s">
        <v>46</v>
      </c>
      <c r="AC1070" s="2" t="s">
        <v>3527</v>
      </c>
      <c r="AE1070" s="2" t="s">
        <v>48</v>
      </c>
      <c r="AF1070" s="2" t="s">
        <v>7864</v>
      </c>
      <c r="AG1070" s="2">
        <v>100</v>
      </c>
      <c r="AH1070" s="2">
        <v>60</v>
      </c>
      <c r="AJ1070" s="2" t="s">
        <v>10093</v>
      </c>
      <c r="AK1070" s="2"/>
      <c r="AL1070" s="2"/>
      <c r="AM1070" s="2" t="s">
        <v>9687</v>
      </c>
    </row>
    <row r="1071" spans="1:39" x14ac:dyDescent="0.45">
      <c r="A1071" s="2" t="s">
        <v>10094</v>
      </c>
      <c r="B1071" s="2"/>
      <c r="C1071" s="2" t="s">
        <v>10096</v>
      </c>
      <c r="D1071" s="2" t="s">
        <v>10098</v>
      </c>
      <c r="E1071" s="25"/>
      <c r="F1071" s="21"/>
      <c r="G1071" s="42" t="s">
        <v>28000</v>
      </c>
      <c r="H1071" s="2" t="s">
        <v>9685</v>
      </c>
      <c r="I1071" s="2" t="s">
        <v>10101</v>
      </c>
      <c r="J1071" s="2" t="s">
        <v>10095</v>
      </c>
      <c r="K1071" s="2" t="s">
        <v>10097</v>
      </c>
      <c r="L1071" s="2" t="s">
        <v>10099</v>
      </c>
      <c r="M1071" s="2"/>
      <c r="N1071" s="2" t="s">
        <v>312</v>
      </c>
      <c r="O1071" s="2" t="s">
        <v>313</v>
      </c>
      <c r="P1071" s="2" t="s">
        <v>10100</v>
      </c>
      <c r="Q1071" s="2" t="s">
        <v>10097</v>
      </c>
      <c r="R1071" s="2"/>
      <c r="S1071" s="2"/>
      <c r="T1071" s="2"/>
      <c r="U1071" s="2" t="s">
        <v>312</v>
      </c>
      <c r="V1071" s="2" t="s">
        <v>313</v>
      </c>
      <c r="W1071" s="2" t="s">
        <v>10100</v>
      </c>
      <c r="X1071" s="2" t="s">
        <v>4659</v>
      </c>
      <c r="Y1071" s="2" t="s">
        <v>44</v>
      </c>
      <c r="Z1071" s="2"/>
      <c r="AA1071" s="2" t="s">
        <v>3527</v>
      </c>
      <c r="AB1071" s="2" t="s">
        <v>46</v>
      </c>
      <c r="AC1071" s="2" t="s">
        <v>3527</v>
      </c>
      <c r="AE1071" s="2" t="s">
        <v>48</v>
      </c>
      <c r="AF1071" s="2" t="s">
        <v>7864</v>
      </c>
      <c r="AG1071" s="2">
        <v>100</v>
      </c>
      <c r="AH1071" s="2">
        <v>60</v>
      </c>
      <c r="AJ1071" s="2" t="s">
        <v>10102</v>
      </c>
      <c r="AK1071" s="2"/>
      <c r="AL1071" s="2"/>
      <c r="AM1071" s="2" t="s">
        <v>9687</v>
      </c>
    </row>
    <row r="1072" spans="1:39" x14ac:dyDescent="0.45">
      <c r="A1072" s="2" t="s">
        <v>10103</v>
      </c>
      <c r="B1072" s="2"/>
      <c r="C1072" s="2" t="s">
        <v>10105</v>
      </c>
      <c r="D1072" s="2" t="s">
        <v>10107</v>
      </c>
      <c r="E1072" s="25"/>
      <c r="F1072" s="21"/>
      <c r="G1072" s="42" t="s">
        <v>28000</v>
      </c>
      <c r="H1072" s="2" t="s">
        <v>9685</v>
      </c>
      <c r="I1072" s="2" t="s">
        <v>10109</v>
      </c>
      <c r="J1072" s="2" t="s">
        <v>10104</v>
      </c>
      <c r="K1072" s="2" t="s">
        <v>10106</v>
      </c>
      <c r="L1072" s="2" t="s">
        <v>10108</v>
      </c>
      <c r="M1072" s="2"/>
      <c r="N1072" s="2" t="s">
        <v>59</v>
      </c>
      <c r="O1072" s="2" t="s">
        <v>60</v>
      </c>
      <c r="P1072" s="2" t="s">
        <v>5513</v>
      </c>
      <c r="Q1072" s="2" t="s">
        <v>10106</v>
      </c>
      <c r="R1072" s="2"/>
      <c r="S1072" s="2"/>
      <c r="T1072" s="2"/>
      <c r="U1072" s="2" t="s">
        <v>59</v>
      </c>
      <c r="V1072" s="2" t="s">
        <v>60</v>
      </c>
      <c r="W1072" s="2" t="s">
        <v>5513</v>
      </c>
      <c r="X1072" s="2" t="s">
        <v>4659</v>
      </c>
      <c r="Y1072" s="2" t="s">
        <v>44</v>
      </c>
      <c r="Z1072" s="2"/>
      <c r="AA1072" s="2" t="s">
        <v>3527</v>
      </c>
      <c r="AB1072" s="2" t="s">
        <v>46</v>
      </c>
      <c r="AC1072" s="2" t="s">
        <v>3527</v>
      </c>
      <c r="AE1072" s="2" t="s">
        <v>48</v>
      </c>
      <c r="AF1072" s="2" t="s">
        <v>7864</v>
      </c>
      <c r="AG1072" s="2">
        <v>100</v>
      </c>
      <c r="AH1072" s="2">
        <v>60</v>
      </c>
      <c r="AJ1072" s="2" t="s">
        <v>10110</v>
      </c>
      <c r="AK1072" s="2"/>
      <c r="AL1072" s="2"/>
      <c r="AM1072" s="2" t="s">
        <v>9687</v>
      </c>
    </row>
    <row r="1073" spans="1:39" x14ac:dyDescent="0.45">
      <c r="A1073" s="2" t="s">
        <v>10111</v>
      </c>
      <c r="B1073" s="2"/>
      <c r="C1073" s="2" t="s">
        <v>10113</v>
      </c>
      <c r="D1073" s="2" t="s">
        <v>10115</v>
      </c>
      <c r="E1073" s="25"/>
      <c r="F1073" s="21"/>
      <c r="G1073" s="42" t="s">
        <v>28000</v>
      </c>
      <c r="H1073" s="2" t="s">
        <v>9685</v>
      </c>
      <c r="I1073" s="2" t="s">
        <v>10118</v>
      </c>
      <c r="J1073" s="2" t="s">
        <v>10112</v>
      </c>
      <c r="K1073" s="2" t="s">
        <v>10114</v>
      </c>
      <c r="L1073" s="2" t="s">
        <v>10116</v>
      </c>
      <c r="M1073" s="2"/>
      <c r="N1073" s="2" t="s">
        <v>59</v>
      </c>
      <c r="O1073" s="2" t="s">
        <v>60</v>
      </c>
      <c r="P1073" s="2" t="s">
        <v>108</v>
      </c>
      <c r="Q1073" s="2"/>
      <c r="R1073" s="2"/>
      <c r="S1073" s="2"/>
      <c r="T1073" s="2"/>
      <c r="U1073" s="2"/>
      <c r="V1073" s="2"/>
      <c r="W1073" s="2"/>
      <c r="X1073" s="2" t="s">
        <v>10117</v>
      </c>
      <c r="Y1073" s="2" t="s">
        <v>44</v>
      </c>
      <c r="Z1073" s="2"/>
      <c r="AA1073" s="2" t="s">
        <v>3527</v>
      </c>
      <c r="AB1073" s="2" t="s">
        <v>46</v>
      </c>
      <c r="AC1073" s="2" t="s">
        <v>3527</v>
      </c>
      <c r="AE1073" s="2" t="s">
        <v>48</v>
      </c>
      <c r="AF1073" s="2" t="s">
        <v>7864</v>
      </c>
      <c r="AG1073" s="2">
        <v>100</v>
      </c>
      <c r="AH1073" s="2">
        <v>60</v>
      </c>
      <c r="AJ1073" s="2" t="s">
        <v>10119</v>
      </c>
      <c r="AK1073" s="2"/>
      <c r="AL1073" s="2"/>
      <c r="AM1073" s="2" t="s">
        <v>9687</v>
      </c>
    </row>
    <row r="1074" spans="1:39" x14ac:dyDescent="0.45">
      <c r="A1074" s="2" t="s">
        <v>10120</v>
      </c>
      <c r="B1074" s="2"/>
      <c r="C1074" s="2" t="s">
        <v>10122</v>
      </c>
      <c r="D1074" s="2" t="s">
        <v>10124</v>
      </c>
      <c r="E1074" s="25"/>
      <c r="F1074" s="21"/>
      <c r="G1074" s="42" t="s">
        <v>28000</v>
      </c>
      <c r="H1074" s="2" t="s">
        <v>9685</v>
      </c>
      <c r="I1074" s="2" t="s">
        <v>10127</v>
      </c>
      <c r="J1074" s="2" t="s">
        <v>10121</v>
      </c>
      <c r="K1074" s="2" t="s">
        <v>10123</v>
      </c>
      <c r="L1074" s="2" t="s">
        <v>10125</v>
      </c>
      <c r="M1074" s="2"/>
      <c r="N1074" s="2" t="s">
        <v>290</v>
      </c>
      <c r="O1074" s="2" t="s">
        <v>278</v>
      </c>
      <c r="P1074" s="2" t="s">
        <v>3634</v>
      </c>
      <c r="Q1074" s="2"/>
      <c r="R1074" s="2"/>
      <c r="S1074" s="2"/>
      <c r="T1074" s="2"/>
      <c r="U1074" s="2"/>
      <c r="V1074" s="2"/>
      <c r="W1074" s="2"/>
      <c r="X1074" s="2" t="s">
        <v>10126</v>
      </c>
      <c r="Y1074" s="2" t="s">
        <v>44</v>
      </c>
      <c r="Z1074" s="2"/>
      <c r="AA1074" s="2" t="s">
        <v>3527</v>
      </c>
      <c r="AB1074" s="2" t="s">
        <v>46</v>
      </c>
      <c r="AC1074" s="2" t="s">
        <v>3527</v>
      </c>
      <c r="AE1074" s="2" t="s">
        <v>48</v>
      </c>
      <c r="AF1074" s="2" t="s">
        <v>7864</v>
      </c>
      <c r="AG1074" s="2">
        <v>100</v>
      </c>
      <c r="AH1074" s="2">
        <v>60</v>
      </c>
      <c r="AJ1074" s="2" t="s">
        <v>10128</v>
      </c>
      <c r="AK1074" s="2"/>
      <c r="AL1074" s="2"/>
      <c r="AM1074" s="2" t="s">
        <v>9687</v>
      </c>
    </row>
    <row r="1075" spans="1:39" x14ac:dyDescent="0.45">
      <c r="A1075" s="2" t="s">
        <v>10129</v>
      </c>
      <c r="B1075" s="2"/>
      <c r="C1075" s="2" t="s">
        <v>10131</v>
      </c>
      <c r="D1075" s="2" t="s">
        <v>10133</v>
      </c>
      <c r="E1075" s="25"/>
      <c r="F1075" s="21"/>
      <c r="G1075" s="42" t="s">
        <v>28000</v>
      </c>
      <c r="H1075" s="2" t="s">
        <v>9685</v>
      </c>
      <c r="I1075" s="2" t="s">
        <v>10135</v>
      </c>
      <c r="J1075" s="2" t="s">
        <v>10130</v>
      </c>
      <c r="K1075" s="2" t="s">
        <v>10132</v>
      </c>
      <c r="L1075" s="2" t="s">
        <v>10134</v>
      </c>
      <c r="M1075" s="2"/>
      <c r="N1075" s="2" t="s">
        <v>312</v>
      </c>
      <c r="O1075" s="2" t="s">
        <v>313</v>
      </c>
      <c r="P1075" s="2" t="s">
        <v>7647</v>
      </c>
      <c r="Q1075" s="2"/>
      <c r="R1075" s="2"/>
      <c r="S1075" s="2"/>
      <c r="T1075" s="2"/>
      <c r="U1075" s="2"/>
      <c r="V1075" s="2"/>
      <c r="W1075" s="2"/>
      <c r="X1075" s="2" t="s">
        <v>5479</v>
      </c>
      <c r="Y1075" s="2" t="s">
        <v>44</v>
      </c>
      <c r="Z1075" s="2"/>
      <c r="AA1075" s="2" t="s">
        <v>3527</v>
      </c>
      <c r="AB1075" s="2" t="s">
        <v>46</v>
      </c>
      <c r="AC1075" s="2" t="s">
        <v>3527</v>
      </c>
      <c r="AE1075" s="2" t="s">
        <v>48</v>
      </c>
      <c r="AF1075" s="2" t="s">
        <v>7864</v>
      </c>
      <c r="AG1075" s="2">
        <v>100</v>
      </c>
      <c r="AH1075" s="2">
        <v>60</v>
      </c>
      <c r="AJ1075" s="2" t="s">
        <v>10136</v>
      </c>
      <c r="AK1075" s="2"/>
      <c r="AL1075" s="2"/>
      <c r="AM1075" s="2" t="s">
        <v>9687</v>
      </c>
    </row>
    <row r="1076" spans="1:39" x14ac:dyDescent="0.45">
      <c r="A1076" s="2" t="s">
        <v>10137</v>
      </c>
      <c r="B1076" s="2"/>
      <c r="C1076" s="2" t="s">
        <v>10139</v>
      </c>
      <c r="D1076" s="2" t="s">
        <v>10141</v>
      </c>
      <c r="E1076" s="25"/>
      <c r="F1076" s="21"/>
      <c r="G1076" s="42" t="s">
        <v>28000</v>
      </c>
      <c r="H1076" s="2" t="s">
        <v>9685</v>
      </c>
      <c r="I1076" s="2" t="s">
        <v>10145</v>
      </c>
      <c r="J1076" s="2" t="s">
        <v>10138</v>
      </c>
      <c r="K1076" s="2" t="s">
        <v>10140</v>
      </c>
      <c r="L1076" s="2" t="s">
        <v>10142</v>
      </c>
      <c r="M1076" s="2" t="s">
        <v>10142</v>
      </c>
      <c r="N1076" s="2" t="s">
        <v>290</v>
      </c>
      <c r="O1076" s="2" t="s">
        <v>278</v>
      </c>
      <c r="P1076" s="2" t="s">
        <v>10143</v>
      </c>
      <c r="Q1076" s="2" t="s">
        <v>10140</v>
      </c>
      <c r="R1076" s="2"/>
      <c r="S1076" s="2"/>
      <c r="T1076" s="2"/>
      <c r="U1076" s="2" t="s">
        <v>290</v>
      </c>
      <c r="V1076" s="2" t="s">
        <v>278</v>
      </c>
      <c r="W1076" s="2" t="s">
        <v>10143</v>
      </c>
      <c r="X1076" s="2" t="s">
        <v>10144</v>
      </c>
      <c r="Y1076" s="2" t="s">
        <v>44</v>
      </c>
      <c r="Z1076" s="2"/>
      <c r="AA1076" s="2" t="s">
        <v>3527</v>
      </c>
      <c r="AB1076" s="2" t="s">
        <v>46</v>
      </c>
      <c r="AC1076" s="2" t="s">
        <v>3527</v>
      </c>
      <c r="AE1076" s="2" t="s">
        <v>48</v>
      </c>
      <c r="AF1076" s="2" t="s">
        <v>7864</v>
      </c>
      <c r="AG1076" s="2">
        <v>100</v>
      </c>
      <c r="AH1076" s="2">
        <v>60</v>
      </c>
      <c r="AJ1076" s="2" t="s">
        <v>10146</v>
      </c>
      <c r="AK1076" s="2"/>
      <c r="AL1076" s="2"/>
      <c r="AM1076" s="2" t="s">
        <v>9687</v>
      </c>
    </row>
    <row r="1077" spans="1:39" x14ac:dyDescent="0.45">
      <c r="A1077" s="2" t="s">
        <v>10147</v>
      </c>
      <c r="B1077" s="2"/>
      <c r="C1077" s="2" t="s">
        <v>10147</v>
      </c>
      <c r="D1077" s="2" t="s">
        <v>10150</v>
      </c>
      <c r="E1077" s="25"/>
      <c r="F1077" s="21"/>
      <c r="G1077" s="42" t="s">
        <v>28000</v>
      </c>
      <c r="H1077" s="2" t="s">
        <v>9685</v>
      </c>
      <c r="I1077" s="2" t="s">
        <v>10152</v>
      </c>
      <c r="J1077" s="2" t="s">
        <v>10148</v>
      </c>
      <c r="K1077" s="2" t="s">
        <v>10149</v>
      </c>
      <c r="L1077" s="2" t="s">
        <v>10151</v>
      </c>
      <c r="M1077" s="2" t="s">
        <v>10151</v>
      </c>
      <c r="N1077" s="2" t="s">
        <v>216</v>
      </c>
      <c r="O1077" s="2" t="s">
        <v>217</v>
      </c>
      <c r="P1077" s="2" t="s">
        <v>218</v>
      </c>
      <c r="Q1077" s="2" t="s">
        <v>10149</v>
      </c>
      <c r="R1077" s="2"/>
      <c r="S1077" s="2"/>
      <c r="T1077" s="2"/>
      <c r="U1077" s="2" t="s">
        <v>216</v>
      </c>
      <c r="V1077" s="2" t="s">
        <v>217</v>
      </c>
      <c r="W1077" s="2" t="s">
        <v>218</v>
      </c>
      <c r="X1077" s="2" t="s">
        <v>8580</v>
      </c>
      <c r="Y1077" s="2" t="s">
        <v>44</v>
      </c>
      <c r="Z1077" s="2"/>
      <c r="AA1077" s="2" t="s">
        <v>3527</v>
      </c>
      <c r="AB1077" s="2" t="s">
        <v>46</v>
      </c>
      <c r="AC1077" s="2" t="s">
        <v>3527</v>
      </c>
      <c r="AE1077" s="2" t="s">
        <v>48</v>
      </c>
      <c r="AF1077" s="2" t="s">
        <v>7864</v>
      </c>
      <c r="AG1077" s="2">
        <v>100</v>
      </c>
      <c r="AH1077" s="2">
        <v>60</v>
      </c>
      <c r="AJ1077" s="2" t="s">
        <v>10153</v>
      </c>
      <c r="AK1077" s="2"/>
      <c r="AL1077" s="2"/>
      <c r="AM1077" s="2" t="s">
        <v>9687</v>
      </c>
    </row>
    <row r="1078" spans="1:39" x14ac:dyDescent="0.45">
      <c r="A1078" s="2" t="s">
        <v>10154</v>
      </c>
      <c r="B1078" s="2"/>
      <c r="C1078" s="2" t="s">
        <v>10156</v>
      </c>
      <c r="D1078" s="2" t="s">
        <v>10158</v>
      </c>
      <c r="E1078" s="25"/>
      <c r="F1078" s="21"/>
      <c r="G1078" s="42" t="s">
        <v>28000</v>
      </c>
      <c r="H1078" s="2" t="s">
        <v>9685</v>
      </c>
      <c r="I1078" s="2" t="s">
        <v>10160</v>
      </c>
      <c r="J1078" s="2" t="s">
        <v>10155</v>
      </c>
      <c r="K1078" s="2" t="s">
        <v>10157</v>
      </c>
      <c r="L1078" s="2" t="s">
        <v>3562</v>
      </c>
      <c r="M1078" s="2" t="s">
        <v>3562</v>
      </c>
      <c r="N1078" s="2" t="s">
        <v>384</v>
      </c>
      <c r="O1078" s="2" t="s">
        <v>73</v>
      </c>
      <c r="P1078" s="2" t="s">
        <v>10159</v>
      </c>
      <c r="Q1078" s="2" t="s">
        <v>10157</v>
      </c>
      <c r="R1078" s="2"/>
      <c r="S1078" s="2"/>
      <c r="T1078" s="2"/>
      <c r="U1078" s="2" t="s">
        <v>384</v>
      </c>
      <c r="V1078" s="2" t="s">
        <v>73</v>
      </c>
      <c r="W1078" s="2" t="s">
        <v>10159</v>
      </c>
      <c r="X1078" s="2" t="s">
        <v>7730</v>
      </c>
      <c r="Y1078" s="2" t="s">
        <v>44</v>
      </c>
      <c r="Z1078" s="2"/>
      <c r="AA1078" s="2" t="s">
        <v>3527</v>
      </c>
      <c r="AB1078" s="2" t="s">
        <v>46</v>
      </c>
      <c r="AC1078" s="2" t="s">
        <v>3527</v>
      </c>
      <c r="AE1078" s="2" t="s">
        <v>48</v>
      </c>
      <c r="AF1078" s="2" t="s">
        <v>7864</v>
      </c>
      <c r="AG1078" s="2">
        <v>100</v>
      </c>
      <c r="AH1078" s="2">
        <v>60</v>
      </c>
      <c r="AJ1078" s="2" t="s">
        <v>10161</v>
      </c>
      <c r="AK1078" s="2"/>
      <c r="AL1078" s="2"/>
      <c r="AM1078" s="2" t="s">
        <v>9687</v>
      </c>
    </row>
    <row r="1079" spans="1:39" x14ac:dyDescent="0.45">
      <c r="A1079" s="2" t="s">
        <v>10162</v>
      </c>
      <c r="B1079" s="2"/>
      <c r="C1079" s="2" t="s">
        <v>10164</v>
      </c>
      <c r="D1079" s="2" t="s">
        <v>10166</v>
      </c>
      <c r="E1079" s="25"/>
      <c r="F1079" s="21"/>
      <c r="G1079" s="42" t="s">
        <v>28000</v>
      </c>
      <c r="H1079" s="2" t="s">
        <v>9685</v>
      </c>
      <c r="I1079" s="2" t="s">
        <v>10168</v>
      </c>
      <c r="J1079" s="2" t="s">
        <v>10163</v>
      </c>
      <c r="K1079" s="2" t="s">
        <v>10165</v>
      </c>
      <c r="L1079" s="2" t="s">
        <v>10167</v>
      </c>
      <c r="M1079" s="2" t="s">
        <v>10167</v>
      </c>
      <c r="N1079" s="2" t="s">
        <v>85</v>
      </c>
      <c r="O1079" s="2" t="s">
        <v>86</v>
      </c>
      <c r="P1079" s="2" t="s">
        <v>9191</v>
      </c>
      <c r="Q1079" s="2" t="s">
        <v>10165</v>
      </c>
      <c r="R1079" s="2"/>
      <c r="S1079" s="2"/>
      <c r="T1079" s="2"/>
      <c r="U1079" s="2" t="s">
        <v>85</v>
      </c>
      <c r="V1079" s="2" t="s">
        <v>86</v>
      </c>
      <c r="W1079" s="2" t="s">
        <v>9191</v>
      </c>
      <c r="X1079" s="2" t="s">
        <v>3777</v>
      </c>
      <c r="Y1079" s="2" t="s">
        <v>44</v>
      </c>
      <c r="Z1079" s="2"/>
      <c r="AA1079" s="2" t="s">
        <v>3527</v>
      </c>
      <c r="AB1079" s="2" t="s">
        <v>46</v>
      </c>
      <c r="AC1079" s="2" t="s">
        <v>3527</v>
      </c>
      <c r="AE1079" s="2" t="s">
        <v>48</v>
      </c>
      <c r="AF1079" s="2" t="s">
        <v>7864</v>
      </c>
      <c r="AG1079" s="2">
        <v>100</v>
      </c>
      <c r="AH1079" s="2">
        <v>60</v>
      </c>
      <c r="AJ1079" s="2" t="s">
        <v>10169</v>
      </c>
      <c r="AK1079" s="2"/>
      <c r="AL1079" s="2"/>
      <c r="AM1079" s="2" t="s">
        <v>9687</v>
      </c>
    </row>
    <row r="1080" spans="1:39" x14ac:dyDescent="0.45">
      <c r="A1080" s="2" t="s">
        <v>10170</v>
      </c>
      <c r="B1080" s="2"/>
      <c r="C1080" s="2" t="s">
        <v>10172</v>
      </c>
      <c r="D1080" s="2" t="s">
        <v>10174</v>
      </c>
      <c r="E1080" s="25"/>
      <c r="F1080" s="21"/>
      <c r="G1080" s="42" t="s">
        <v>28000</v>
      </c>
      <c r="H1080" s="2" t="s">
        <v>9685</v>
      </c>
      <c r="I1080" s="2" t="s">
        <v>10175</v>
      </c>
      <c r="J1080" s="2" t="s">
        <v>10171</v>
      </c>
      <c r="K1080" s="2" t="s">
        <v>10173</v>
      </c>
      <c r="L1080" s="2" t="s">
        <v>3562</v>
      </c>
      <c r="M1080" s="2" t="s">
        <v>3562</v>
      </c>
      <c r="N1080" s="2" t="s">
        <v>85</v>
      </c>
      <c r="O1080" s="2" t="s">
        <v>86</v>
      </c>
      <c r="P1080" s="2" t="s">
        <v>1507</v>
      </c>
      <c r="Q1080" s="2" t="s">
        <v>10173</v>
      </c>
      <c r="R1080" s="2"/>
      <c r="S1080" s="2"/>
      <c r="T1080" s="2"/>
      <c r="U1080" s="2" t="s">
        <v>85</v>
      </c>
      <c r="V1080" s="2" t="s">
        <v>86</v>
      </c>
      <c r="W1080" s="2" t="s">
        <v>1507</v>
      </c>
      <c r="X1080" s="2" t="s">
        <v>3889</v>
      </c>
      <c r="Y1080" s="2" t="s">
        <v>44</v>
      </c>
      <c r="Z1080" s="2"/>
      <c r="AA1080" s="2" t="s">
        <v>3527</v>
      </c>
      <c r="AB1080" s="2" t="s">
        <v>46</v>
      </c>
      <c r="AC1080" s="2" t="s">
        <v>3527</v>
      </c>
      <c r="AE1080" s="2" t="s">
        <v>48</v>
      </c>
      <c r="AF1080" s="2" t="s">
        <v>7864</v>
      </c>
      <c r="AG1080" s="2">
        <v>100</v>
      </c>
      <c r="AH1080" s="2">
        <v>60</v>
      </c>
      <c r="AJ1080" s="2" t="s">
        <v>10176</v>
      </c>
      <c r="AK1080" s="2"/>
      <c r="AL1080" s="2"/>
      <c r="AM1080" s="2" t="s">
        <v>9687</v>
      </c>
    </row>
    <row r="1081" spans="1:39" x14ac:dyDescent="0.45">
      <c r="A1081" s="2" t="s">
        <v>10177</v>
      </c>
      <c r="B1081" s="2"/>
      <c r="C1081" s="2" t="s">
        <v>10177</v>
      </c>
      <c r="D1081" s="2" t="s">
        <v>10180</v>
      </c>
      <c r="E1081" s="25"/>
      <c r="F1081" s="21"/>
      <c r="G1081" s="42" t="s">
        <v>28000</v>
      </c>
      <c r="H1081" s="2" t="s">
        <v>9685</v>
      </c>
      <c r="I1081" s="2" t="s">
        <v>10183</v>
      </c>
      <c r="J1081" s="2" t="s">
        <v>10178</v>
      </c>
      <c r="K1081" s="2" t="s">
        <v>10179</v>
      </c>
      <c r="L1081" s="2" t="s">
        <v>10181</v>
      </c>
      <c r="M1081" s="2" t="s">
        <v>10181</v>
      </c>
      <c r="N1081" s="2" t="s">
        <v>59</v>
      </c>
      <c r="O1081" s="2" t="s">
        <v>60</v>
      </c>
      <c r="P1081" s="2" t="s">
        <v>4338</v>
      </c>
      <c r="Q1081" s="2" t="s">
        <v>10179</v>
      </c>
      <c r="R1081" s="2"/>
      <c r="S1081" s="2"/>
      <c r="T1081" s="2"/>
      <c r="U1081" s="2" t="s">
        <v>59</v>
      </c>
      <c r="V1081" s="2" t="s">
        <v>60</v>
      </c>
      <c r="W1081" s="2" t="s">
        <v>4338</v>
      </c>
      <c r="X1081" s="2" t="s">
        <v>10182</v>
      </c>
      <c r="Y1081" s="2" t="s">
        <v>44</v>
      </c>
      <c r="Z1081" s="2"/>
      <c r="AA1081" s="2" t="s">
        <v>3527</v>
      </c>
      <c r="AB1081" s="2" t="s">
        <v>46</v>
      </c>
      <c r="AC1081" s="2" t="s">
        <v>3527</v>
      </c>
      <c r="AE1081" s="2" t="s">
        <v>48</v>
      </c>
      <c r="AF1081" s="2" t="s">
        <v>7864</v>
      </c>
      <c r="AG1081" s="2">
        <v>100</v>
      </c>
      <c r="AH1081" s="2">
        <v>60</v>
      </c>
      <c r="AJ1081" s="2" t="s">
        <v>10184</v>
      </c>
      <c r="AK1081" s="2"/>
      <c r="AL1081" s="2"/>
      <c r="AM1081" s="2" t="s">
        <v>9687</v>
      </c>
    </row>
    <row r="1082" spans="1:39" x14ac:dyDescent="0.45">
      <c r="A1082" s="2" t="s">
        <v>10185</v>
      </c>
      <c r="B1082" s="2"/>
      <c r="C1082" s="2" t="s">
        <v>10187</v>
      </c>
      <c r="D1082" s="2" t="s">
        <v>10189</v>
      </c>
      <c r="E1082" s="25"/>
      <c r="F1082" s="21"/>
      <c r="G1082" s="42" t="s">
        <v>28000</v>
      </c>
      <c r="H1082" s="2" t="s">
        <v>9685</v>
      </c>
      <c r="I1082" s="2" t="s">
        <v>10191</v>
      </c>
      <c r="J1082" s="2" t="s">
        <v>10186</v>
      </c>
      <c r="K1082" s="2" t="s">
        <v>10188</v>
      </c>
      <c r="L1082" s="2" t="s">
        <v>3562</v>
      </c>
      <c r="M1082" s="2" t="s">
        <v>3562</v>
      </c>
      <c r="N1082" s="2" t="s">
        <v>312</v>
      </c>
      <c r="O1082" s="2" t="s">
        <v>313</v>
      </c>
      <c r="P1082" s="2" t="s">
        <v>7647</v>
      </c>
      <c r="Q1082" s="2"/>
      <c r="R1082" s="2"/>
      <c r="S1082" s="2"/>
      <c r="T1082" s="2"/>
      <c r="U1082" s="2"/>
      <c r="V1082" s="2"/>
      <c r="W1082" s="2"/>
      <c r="X1082" s="2" t="s">
        <v>10190</v>
      </c>
      <c r="Y1082" s="2" t="s">
        <v>44</v>
      </c>
      <c r="Z1082" s="2"/>
      <c r="AA1082" s="2" t="s">
        <v>3527</v>
      </c>
      <c r="AB1082" s="2" t="s">
        <v>46</v>
      </c>
      <c r="AC1082" s="2" t="s">
        <v>3527</v>
      </c>
      <c r="AE1082" s="2" t="s">
        <v>48</v>
      </c>
      <c r="AF1082" s="2" t="s">
        <v>7864</v>
      </c>
      <c r="AG1082" s="2">
        <v>100</v>
      </c>
      <c r="AH1082" s="2">
        <v>60</v>
      </c>
      <c r="AJ1082" s="2" t="s">
        <v>10192</v>
      </c>
      <c r="AK1082" s="2"/>
      <c r="AL1082" s="2"/>
      <c r="AM1082" s="2" t="s">
        <v>9687</v>
      </c>
    </row>
    <row r="1083" spans="1:39" x14ac:dyDescent="0.45">
      <c r="A1083" s="2" t="s">
        <v>10193</v>
      </c>
      <c r="B1083" s="2"/>
      <c r="C1083" s="2" t="s">
        <v>10195</v>
      </c>
      <c r="D1083" s="2" t="s">
        <v>10197</v>
      </c>
      <c r="E1083" s="25"/>
      <c r="F1083" s="21"/>
      <c r="G1083" s="42" t="s">
        <v>28000</v>
      </c>
      <c r="H1083" s="2" t="s">
        <v>9685</v>
      </c>
      <c r="I1083" s="2" t="s">
        <v>10199</v>
      </c>
      <c r="J1083" s="2" t="s">
        <v>10194</v>
      </c>
      <c r="K1083" s="2" t="s">
        <v>10196</v>
      </c>
      <c r="L1083" s="2" t="s">
        <v>10198</v>
      </c>
      <c r="M1083" s="2" t="s">
        <v>10198</v>
      </c>
      <c r="N1083" s="2" t="s">
        <v>85</v>
      </c>
      <c r="O1083" s="2" t="s">
        <v>86</v>
      </c>
      <c r="P1083" s="2" t="s">
        <v>9191</v>
      </c>
      <c r="Q1083" s="2"/>
      <c r="R1083" s="2"/>
      <c r="S1083" s="2"/>
      <c r="T1083" s="2"/>
      <c r="U1083" s="2"/>
      <c r="V1083" s="2"/>
      <c r="W1083" s="2"/>
      <c r="X1083" s="2" t="s">
        <v>1285</v>
      </c>
      <c r="Y1083" s="2" t="s">
        <v>44</v>
      </c>
      <c r="Z1083" s="2"/>
      <c r="AA1083" s="2" t="s">
        <v>3527</v>
      </c>
      <c r="AB1083" s="2" t="s">
        <v>46</v>
      </c>
      <c r="AC1083" s="2" t="s">
        <v>3527</v>
      </c>
      <c r="AE1083" s="2" t="s">
        <v>48</v>
      </c>
      <c r="AF1083" s="2" t="s">
        <v>7864</v>
      </c>
      <c r="AG1083" s="2">
        <v>100</v>
      </c>
      <c r="AH1083" s="2">
        <v>60</v>
      </c>
      <c r="AJ1083" s="2" t="s">
        <v>10200</v>
      </c>
      <c r="AK1083" s="2"/>
      <c r="AL1083" s="2"/>
      <c r="AM1083" s="2" t="s">
        <v>9687</v>
      </c>
    </row>
    <row r="1084" spans="1:39" x14ac:dyDescent="0.45">
      <c r="A1084" s="2" t="s">
        <v>10201</v>
      </c>
      <c r="B1084" s="2"/>
      <c r="C1084" s="2" t="s">
        <v>10203</v>
      </c>
      <c r="D1084" s="2" t="s">
        <v>10205</v>
      </c>
      <c r="E1084" s="25"/>
      <c r="F1084" s="21"/>
      <c r="G1084" s="42" t="s">
        <v>28000</v>
      </c>
      <c r="H1084" s="2" t="s">
        <v>9685</v>
      </c>
      <c r="I1084" s="2" t="s">
        <v>10208</v>
      </c>
      <c r="J1084" s="2" t="s">
        <v>10202</v>
      </c>
      <c r="K1084" s="2" t="s">
        <v>10204</v>
      </c>
      <c r="L1084" s="2" t="s">
        <v>10206</v>
      </c>
      <c r="M1084" s="2" t="s">
        <v>10206</v>
      </c>
      <c r="N1084" s="2" t="s">
        <v>312</v>
      </c>
      <c r="O1084" s="2" t="s">
        <v>313</v>
      </c>
      <c r="P1084" s="2" t="s">
        <v>10207</v>
      </c>
      <c r="Q1084" s="2" t="s">
        <v>10204</v>
      </c>
      <c r="R1084" s="2"/>
      <c r="S1084" s="2"/>
      <c r="T1084" s="2"/>
      <c r="U1084" s="2" t="s">
        <v>312</v>
      </c>
      <c r="V1084" s="2" t="s">
        <v>313</v>
      </c>
      <c r="W1084" s="2" t="s">
        <v>10207</v>
      </c>
      <c r="X1084" s="2" t="s">
        <v>1285</v>
      </c>
      <c r="Y1084" s="2" t="s">
        <v>44</v>
      </c>
      <c r="Z1084" s="2"/>
      <c r="AA1084" s="2" t="s">
        <v>3527</v>
      </c>
      <c r="AB1084" s="2" t="s">
        <v>46</v>
      </c>
      <c r="AC1084" s="2" t="s">
        <v>3527</v>
      </c>
      <c r="AE1084" s="2" t="s">
        <v>48</v>
      </c>
      <c r="AF1084" s="2" t="s">
        <v>7864</v>
      </c>
      <c r="AG1084" s="2">
        <v>100</v>
      </c>
      <c r="AH1084" s="2">
        <v>60</v>
      </c>
      <c r="AJ1084" s="2" t="s">
        <v>10209</v>
      </c>
      <c r="AK1084" s="2"/>
      <c r="AL1084" s="2"/>
      <c r="AM1084" s="2" t="s">
        <v>9687</v>
      </c>
    </row>
    <row r="1085" spans="1:39" x14ac:dyDescent="0.45">
      <c r="A1085" s="2" t="s">
        <v>10210</v>
      </c>
      <c r="B1085" s="2"/>
      <c r="C1085" s="2" t="s">
        <v>10212</v>
      </c>
      <c r="D1085" s="2" t="s">
        <v>10214</v>
      </c>
      <c r="E1085" s="25"/>
      <c r="F1085" s="21"/>
      <c r="G1085" s="42" t="s">
        <v>28000</v>
      </c>
      <c r="H1085" s="2" t="s">
        <v>9685</v>
      </c>
      <c r="I1085" s="2" t="s">
        <v>10216</v>
      </c>
      <c r="J1085" s="2" t="s">
        <v>10211</v>
      </c>
      <c r="K1085" s="2" t="s">
        <v>10213</v>
      </c>
      <c r="L1085" s="2" t="s">
        <v>10215</v>
      </c>
      <c r="M1085" s="2" t="s">
        <v>10215</v>
      </c>
      <c r="N1085" s="2" t="s">
        <v>324</v>
      </c>
      <c r="O1085" s="2" t="s">
        <v>73</v>
      </c>
      <c r="P1085" s="2" t="s">
        <v>3807</v>
      </c>
      <c r="Q1085" s="2" t="s">
        <v>10213</v>
      </c>
      <c r="R1085" s="2"/>
      <c r="S1085" s="2"/>
      <c r="T1085" s="2"/>
      <c r="U1085" s="2" t="s">
        <v>324</v>
      </c>
      <c r="V1085" s="2" t="s">
        <v>73</v>
      </c>
      <c r="W1085" s="2" t="s">
        <v>3807</v>
      </c>
      <c r="X1085" s="2" t="s">
        <v>5747</v>
      </c>
      <c r="Y1085" s="2" t="s">
        <v>44</v>
      </c>
      <c r="Z1085" s="2"/>
      <c r="AA1085" s="2" t="s">
        <v>3527</v>
      </c>
      <c r="AB1085" s="2" t="s">
        <v>46</v>
      </c>
      <c r="AC1085" s="2" t="s">
        <v>3527</v>
      </c>
      <c r="AE1085" s="2" t="s">
        <v>48</v>
      </c>
      <c r="AF1085" s="2" t="s">
        <v>7864</v>
      </c>
      <c r="AG1085" s="2">
        <v>100</v>
      </c>
      <c r="AH1085" s="2">
        <v>60</v>
      </c>
      <c r="AJ1085" s="2" t="s">
        <v>10217</v>
      </c>
      <c r="AK1085" s="2"/>
      <c r="AL1085" s="2"/>
      <c r="AM1085" s="2" t="s">
        <v>9687</v>
      </c>
    </row>
    <row r="1086" spans="1:39" x14ac:dyDescent="0.45">
      <c r="A1086" s="2" t="s">
        <v>10218</v>
      </c>
      <c r="B1086" s="2"/>
      <c r="C1086" s="2" t="s">
        <v>10220</v>
      </c>
      <c r="D1086" s="2" t="s">
        <v>10222</v>
      </c>
      <c r="E1086" s="25"/>
      <c r="F1086" s="21"/>
      <c r="G1086" s="42" t="s">
        <v>28000</v>
      </c>
      <c r="H1086" s="2" t="s">
        <v>9685</v>
      </c>
      <c r="I1086" s="2" t="s">
        <v>10225</v>
      </c>
      <c r="J1086" s="2" t="s">
        <v>10219</v>
      </c>
      <c r="K1086" s="2" t="s">
        <v>10221</v>
      </c>
      <c r="L1086" s="2" t="s">
        <v>10223</v>
      </c>
      <c r="M1086" s="2" t="s">
        <v>10223</v>
      </c>
      <c r="N1086" s="2" t="s">
        <v>384</v>
      </c>
      <c r="O1086" s="2" t="s">
        <v>73</v>
      </c>
      <c r="P1086" s="2" t="s">
        <v>5329</v>
      </c>
      <c r="Q1086" s="2"/>
      <c r="R1086" s="2"/>
      <c r="S1086" s="2"/>
      <c r="T1086" s="2"/>
      <c r="U1086" s="2"/>
      <c r="V1086" s="2"/>
      <c r="W1086" s="2"/>
      <c r="X1086" s="2" t="s">
        <v>10224</v>
      </c>
      <c r="Y1086" s="2" t="s">
        <v>44</v>
      </c>
      <c r="Z1086" s="2"/>
      <c r="AA1086" s="2" t="s">
        <v>3527</v>
      </c>
      <c r="AB1086" s="2" t="s">
        <v>46</v>
      </c>
      <c r="AC1086" s="2" t="s">
        <v>3527</v>
      </c>
      <c r="AE1086" s="2" t="s">
        <v>48</v>
      </c>
      <c r="AF1086" s="2" t="s">
        <v>7864</v>
      </c>
      <c r="AG1086" s="2">
        <v>100</v>
      </c>
      <c r="AH1086" s="2">
        <v>60</v>
      </c>
      <c r="AJ1086" s="2" t="s">
        <v>10226</v>
      </c>
      <c r="AK1086" s="2"/>
      <c r="AL1086" s="2"/>
      <c r="AM1086" s="2" t="s">
        <v>9687</v>
      </c>
    </row>
    <row r="1087" spans="1:39" x14ac:dyDescent="0.45">
      <c r="A1087" s="2" t="s">
        <v>10227</v>
      </c>
      <c r="B1087" s="2"/>
      <c r="C1087" s="7" t="s">
        <v>27982</v>
      </c>
      <c r="D1087" s="2" t="s">
        <v>10230</v>
      </c>
      <c r="E1087" s="25"/>
      <c r="F1087" s="21"/>
      <c r="G1087" s="42" t="s">
        <v>28000</v>
      </c>
      <c r="H1087" s="2" t="s">
        <v>9685</v>
      </c>
      <c r="I1087" s="2" t="s">
        <v>10234</v>
      </c>
      <c r="J1087" s="2" t="s">
        <v>10228</v>
      </c>
      <c r="K1087" s="2" t="s">
        <v>10229</v>
      </c>
      <c r="L1087" s="2" t="s">
        <v>10231</v>
      </c>
      <c r="M1087" s="2" t="s">
        <v>10231</v>
      </c>
      <c r="N1087" s="2" t="s">
        <v>72</v>
      </c>
      <c r="O1087" s="2" t="s">
        <v>73</v>
      </c>
      <c r="P1087" s="2" t="s">
        <v>474</v>
      </c>
      <c r="Q1087" s="2" t="s">
        <v>10232</v>
      </c>
      <c r="R1087" s="2"/>
      <c r="S1087" s="2"/>
      <c r="T1087" s="2"/>
      <c r="U1087" s="2" t="s">
        <v>72</v>
      </c>
      <c r="V1087" s="2" t="s">
        <v>73</v>
      </c>
      <c r="W1087" s="2" t="s">
        <v>474</v>
      </c>
      <c r="X1087" s="2" t="s">
        <v>10233</v>
      </c>
      <c r="Y1087" s="2" t="s">
        <v>44</v>
      </c>
      <c r="Z1087" s="2"/>
      <c r="AA1087" s="2" t="s">
        <v>3527</v>
      </c>
      <c r="AB1087" s="2" t="s">
        <v>46</v>
      </c>
      <c r="AC1087" s="2" t="s">
        <v>3527</v>
      </c>
      <c r="AE1087" s="2" t="s">
        <v>48</v>
      </c>
      <c r="AF1087" s="2" t="s">
        <v>7864</v>
      </c>
      <c r="AG1087" s="2">
        <v>85</v>
      </c>
      <c r="AH1087" s="2">
        <v>60</v>
      </c>
      <c r="AJ1087" s="2" t="s">
        <v>10235</v>
      </c>
      <c r="AK1087" s="2"/>
      <c r="AL1087" s="2"/>
      <c r="AM1087" s="2" t="s">
        <v>9687</v>
      </c>
    </row>
    <row r="1088" spans="1:39" x14ac:dyDescent="0.45">
      <c r="A1088" s="2" t="s">
        <v>10236</v>
      </c>
      <c r="B1088" s="2"/>
      <c r="C1088" s="7" t="s">
        <v>27987</v>
      </c>
      <c r="D1088" s="2" t="s">
        <v>10239</v>
      </c>
      <c r="E1088" s="25"/>
      <c r="F1088" s="21"/>
      <c r="G1088" s="42" t="s">
        <v>28000</v>
      </c>
      <c r="H1088" s="2" t="s">
        <v>9685</v>
      </c>
      <c r="I1088" s="2" t="s">
        <v>10244</v>
      </c>
      <c r="J1088" s="2" t="s">
        <v>10237</v>
      </c>
      <c r="K1088" s="2" t="s">
        <v>10238</v>
      </c>
      <c r="L1088" s="2" t="s">
        <v>10240</v>
      </c>
      <c r="M1088" s="2" t="s">
        <v>10240</v>
      </c>
      <c r="N1088" s="2" t="s">
        <v>59</v>
      </c>
      <c r="O1088" s="2" t="s">
        <v>60</v>
      </c>
      <c r="P1088" s="2" t="s">
        <v>10241</v>
      </c>
      <c r="Q1088" s="2" t="s">
        <v>10242</v>
      </c>
      <c r="R1088" s="2"/>
      <c r="S1088" s="2"/>
      <c r="T1088" s="2"/>
      <c r="U1088" s="2" t="s">
        <v>59</v>
      </c>
      <c r="V1088" s="2" t="s">
        <v>60</v>
      </c>
      <c r="W1088" s="2" t="s">
        <v>10241</v>
      </c>
      <c r="X1088" s="2" t="s">
        <v>10243</v>
      </c>
      <c r="Y1088" s="2" t="s">
        <v>44</v>
      </c>
      <c r="Z1088" s="2"/>
      <c r="AA1088" s="2" t="s">
        <v>3527</v>
      </c>
      <c r="AB1088" s="2" t="s">
        <v>46</v>
      </c>
      <c r="AC1088" s="2" t="s">
        <v>3527</v>
      </c>
      <c r="AE1088" s="2" t="s">
        <v>48</v>
      </c>
      <c r="AF1088" s="2" t="s">
        <v>7864</v>
      </c>
      <c r="AG1088" s="2">
        <v>85</v>
      </c>
      <c r="AH1088" s="2">
        <v>60</v>
      </c>
      <c r="AJ1088" s="2" t="s">
        <v>10245</v>
      </c>
      <c r="AK1088" s="2"/>
      <c r="AL1088" s="2"/>
      <c r="AM1088" s="2" t="s">
        <v>9687</v>
      </c>
    </row>
    <row r="1089" spans="1:39" x14ac:dyDescent="0.45">
      <c r="A1089" s="2" t="s">
        <v>10246</v>
      </c>
      <c r="B1089" s="2"/>
      <c r="C1089" s="7" t="s">
        <v>27988</v>
      </c>
      <c r="D1089" s="2" t="s">
        <v>10249</v>
      </c>
      <c r="E1089" s="25"/>
      <c r="F1089" s="21"/>
      <c r="G1089" s="42" t="s">
        <v>28000</v>
      </c>
      <c r="H1089" s="2" t="s">
        <v>9685</v>
      </c>
      <c r="I1089" s="2" t="s">
        <v>10251</v>
      </c>
      <c r="J1089" s="2" t="s">
        <v>10247</v>
      </c>
      <c r="K1089" s="2" t="s">
        <v>10248</v>
      </c>
      <c r="L1089" s="2"/>
      <c r="M1089" s="2"/>
      <c r="N1089" s="2" t="s">
        <v>220</v>
      </c>
      <c r="O1089" s="2" t="s">
        <v>221</v>
      </c>
      <c r="P1089" s="2" t="s">
        <v>10250</v>
      </c>
      <c r="Q1089" s="2"/>
      <c r="R1089" s="2"/>
      <c r="S1089" s="2"/>
      <c r="T1089" s="2"/>
      <c r="U1089" s="2"/>
      <c r="V1089" s="2"/>
      <c r="W1089" s="2"/>
      <c r="X1089" s="2" t="s">
        <v>8371</v>
      </c>
      <c r="Y1089" s="2" t="s">
        <v>44</v>
      </c>
      <c r="Z1089" s="2"/>
      <c r="AA1089" s="2" t="s">
        <v>3527</v>
      </c>
      <c r="AB1089" s="2" t="s">
        <v>46</v>
      </c>
      <c r="AC1089" s="2" t="s">
        <v>3527</v>
      </c>
      <c r="AE1089" s="2" t="s">
        <v>48</v>
      </c>
      <c r="AF1089" s="2" t="s">
        <v>49</v>
      </c>
      <c r="AG1089" s="2">
        <v>75</v>
      </c>
      <c r="AH1089" s="2">
        <v>60</v>
      </c>
      <c r="AJ1089" s="2" t="s">
        <v>10252</v>
      </c>
      <c r="AK1089" s="2"/>
      <c r="AL1089" s="2"/>
      <c r="AM1089" s="2" t="s">
        <v>9687</v>
      </c>
    </row>
    <row r="1090" spans="1:39" x14ac:dyDescent="0.45">
      <c r="A1090" s="2" t="s">
        <v>10253</v>
      </c>
      <c r="B1090" s="2"/>
      <c r="C1090" s="2" t="s">
        <v>10255</v>
      </c>
      <c r="D1090" s="2" t="s">
        <v>10257</v>
      </c>
      <c r="E1090" s="25"/>
      <c r="F1090" s="21"/>
      <c r="G1090" s="42" t="s">
        <v>28000</v>
      </c>
      <c r="H1090" s="2" t="s">
        <v>9685</v>
      </c>
      <c r="I1090" s="2" t="s">
        <v>10260</v>
      </c>
      <c r="J1090" s="2" t="s">
        <v>10254</v>
      </c>
      <c r="K1090" s="2" t="s">
        <v>10256</v>
      </c>
      <c r="L1090" s="2"/>
      <c r="M1090" s="2"/>
      <c r="N1090" s="2" t="s">
        <v>72</v>
      </c>
      <c r="O1090" s="2" t="s">
        <v>73</v>
      </c>
      <c r="P1090" s="2" t="s">
        <v>3419</v>
      </c>
      <c r="Q1090" s="2" t="s">
        <v>10258</v>
      </c>
      <c r="R1090" s="2"/>
      <c r="S1090" s="2"/>
      <c r="T1090" s="2"/>
      <c r="U1090" s="2" t="s">
        <v>72</v>
      </c>
      <c r="V1090" s="2" t="s">
        <v>73</v>
      </c>
      <c r="W1090" s="2" t="s">
        <v>3419</v>
      </c>
      <c r="X1090" s="2" t="s">
        <v>10259</v>
      </c>
      <c r="Y1090" s="2" t="s">
        <v>44</v>
      </c>
      <c r="Z1090" s="2"/>
      <c r="AA1090" s="2" t="s">
        <v>821</v>
      </c>
      <c r="AB1090" s="2" t="s">
        <v>46</v>
      </c>
      <c r="AC1090" s="2" t="s">
        <v>821</v>
      </c>
      <c r="AE1090" s="2" t="s">
        <v>48</v>
      </c>
      <c r="AF1090" s="2" t="s">
        <v>7864</v>
      </c>
      <c r="AG1090" s="2">
        <v>90</v>
      </c>
      <c r="AH1090" s="2">
        <v>57</v>
      </c>
      <c r="AJ1090" s="2" t="s">
        <v>10261</v>
      </c>
      <c r="AK1090" s="2"/>
      <c r="AL1090" s="2"/>
      <c r="AM1090" s="2" t="s">
        <v>9687</v>
      </c>
    </row>
    <row r="1091" spans="1:39" x14ac:dyDescent="0.45">
      <c r="A1091" s="2" t="s">
        <v>10262</v>
      </c>
      <c r="B1091" s="2"/>
      <c r="C1091" s="2" t="s">
        <v>10262</v>
      </c>
      <c r="D1091" s="2" t="s">
        <v>10265</v>
      </c>
      <c r="E1091" s="25"/>
      <c r="F1091" s="21"/>
      <c r="G1091" s="42" t="s">
        <v>28000</v>
      </c>
      <c r="H1091" s="2" t="s">
        <v>9685</v>
      </c>
      <c r="I1091" s="2" t="s">
        <v>10267</v>
      </c>
      <c r="J1091" s="2" t="s">
        <v>10263</v>
      </c>
      <c r="K1091" s="2" t="s">
        <v>10264</v>
      </c>
      <c r="L1091" s="2"/>
      <c r="M1091" s="2"/>
      <c r="N1091" s="2" t="s">
        <v>85</v>
      </c>
      <c r="O1091" s="2" t="s">
        <v>86</v>
      </c>
      <c r="P1091" s="2" t="s">
        <v>3073</v>
      </c>
      <c r="Q1091" s="2" t="s">
        <v>10264</v>
      </c>
      <c r="R1091" s="2"/>
      <c r="S1091" s="2"/>
      <c r="T1091" s="2"/>
      <c r="U1091" s="2" t="s">
        <v>85</v>
      </c>
      <c r="V1091" s="2" t="s">
        <v>86</v>
      </c>
      <c r="W1091" s="2" t="s">
        <v>3073</v>
      </c>
      <c r="X1091" s="2" t="s">
        <v>10266</v>
      </c>
      <c r="Y1091" s="2" t="s">
        <v>44</v>
      </c>
      <c r="Z1091" s="2"/>
      <c r="AA1091" s="2" t="s">
        <v>821</v>
      </c>
      <c r="AB1091" s="2" t="s">
        <v>46</v>
      </c>
      <c r="AC1091" s="2" t="s">
        <v>821</v>
      </c>
      <c r="AE1091" s="2" t="s">
        <v>48</v>
      </c>
      <c r="AF1091" s="2" t="s">
        <v>7864</v>
      </c>
      <c r="AG1091" s="2">
        <v>90</v>
      </c>
      <c r="AH1091" s="2">
        <v>57</v>
      </c>
      <c r="AJ1091" s="2" t="s">
        <v>10268</v>
      </c>
      <c r="AK1091" s="2"/>
      <c r="AL1091" s="2"/>
      <c r="AM1091" s="2" t="s">
        <v>9687</v>
      </c>
    </row>
    <row r="1092" spans="1:39" x14ac:dyDescent="0.45">
      <c r="A1092" s="2" t="s">
        <v>10269</v>
      </c>
      <c r="B1092" s="2"/>
      <c r="C1092" s="2" t="s">
        <v>10271</v>
      </c>
      <c r="D1092" s="2" t="s">
        <v>10273</v>
      </c>
      <c r="E1092" s="25"/>
      <c r="F1092" s="21"/>
      <c r="G1092" s="42" t="s">
        <v>28000</v>
      </c>
      <c r="H1092" s="2" t="s">
        <v>9685</v>
      </c>
      <c r="I1092" s="2" t="s">
        <v>10274</v>
      </c>
      <c r="J1092" s="2" t="s">
        <v>10270</v>
      </c>
      <c r="K1092" s="2" t="s">
        <v>10272</v>
      </c>
      <c r="L1092" s="2"/>
      <c r="M1092" s="2"/>
      <c r="N1092" s="2" t="s">
        <v>72</v>
      </c>
      <c r="O1092" s="2" t="s">
        <v>73</v>
      </c>
      <c r="P1092" s="2" t="s">
        <v>484</v>
      </c>
      <c r="Q1092" s="2" t="s">
        <v>10272</v>
      </c>
      <c r="R1092" s="2"/>
      <c r="S1092" s="2"/>
      <c r="T1092" s="2"/>
      <c r="U1092" s="2" t="s">
        <v>72</v>
      </c>
      <c r="V1092" s="2" t="s">
        <v>73</v>
      </c>
      <c r="W1092" s="2" t="s">
        <v>484</v>
      </c>
      <c r="X1092" s="2" t="s">
        <v>3537</v>
      </c>
      <c r="Y1092" s="2" t="s">
        <v>44</v>
      </c>
      <c r="Z1092" s="2"/>
      <c r="AA1092" s="2" t="s">
        <v>821</v>
      </c>
      <c r="AB1092" s="2" t="s">
        <v>46</v>
      </c>
      <c r="AC1092" s="2" t="s">
        <v>821</v>
      </c>
      <c r="AE1092" s="2" t="s">
        <v>48</v>
      </c>
      <c r="AF1092" s="2" t="s">
        <v>7864</v>
      </c>
      <c r="AG1092" s="2">
        <v>90</v>
      </c>
      <c r="AH1092" s="2">
        <v>57</v>
      </c>
      <c r="AJ1092" s="2" t="s">
        <v>10275</v>
      </c>
      <c r="AK1092" s="2"/>
      <c r="AL1092" s="2"/>
      <c r="AM1092" s="2" t="s">
        <v>9687</v>
      </c>
    </row>
    <row r="1093" spans="1:39" x14ac:dyDescent="0.45">
      <c r="A1093" s="2" t="s">
        <v>10276</v>
      </c>
      <c r="B1093" s="2"/>
      <c r="C1093" s="2" t="s">
        <v>10278</v>
      </c>
      <c r="D1093" s="2" t="s">
        <v>10280</v>
      </c>
      <c r="E1093" s="25"/>
      <c r="F1093" s="21"/>
      <c r="G1093" s="42" t="s">
        <v>28000</v>
      </c>
      <c r="H1093" s="2" t="s">
        <v>9685</v>
      </c>
      <c r="I1093" s="2" t="s">
        <v>10282</v>
      </c>
      <c r="J1093" s="2" t="s">
        <v>10277</v>
      </c>
      <c r="K1093" s="2" t="s">
        <v>10279</v>
      </c>
      <c r="L1093" s="2"/>
      <c r="M1093" s="2"/>
      <c r="N1093" s="2" t="s">
        <v>59</v>
      </c>
      <c r="O1093" s="2" t="s">
        <v>60</v>
      </c>
      <c r="P1093" s="2" t="s">
        <v>151</v>
      </c>
      <c r="Q1093" s="2" t="s">
        <v>10281</v>
      </c>
      <c r="R1093" s="2"/>
      <c r="S1093" s="2"/>
      <c r="T1093" s="2"/>
      <c r="U1093" s="2" t="s">
        <v>59</v>
      </c>
      <c r="V1093" s="2" t="s">
        <v>60</v>
      </c>
      <c r="W1093" s="2" t="s">
        <v>151</v>
      </c>
      <c r="X1093" s="2" t="s">
        <v>1908</v>
      </c>
      <c r="Y1093" s="2" t="s">
        <v>44</v>
      </c>
      <c r="Z1093" s="2"/>
      <c r="AA1093" s="2" t="s">
        <v>821</v>
      </c>
      <c r="AB1093" s="2" t="s">
        <v>46</v>
      </c>
      <c r="AC1093" s="2" t="s">
        <v>821</v>
      </c>
      <c r="AE1093" s="2" t="s">
        <v>48</v>
      </c>
      <c r="AF1093" s="2" t="s">
        <v>7864</v>
      </c>
      <c r="AG1093" s="2">
        <v>90</v>
      </c>
      <c r="AH1093" s="2">
        <v>57</v>
      </c>
      <c r="AJ1093" s="2" t="s">
        <v>10283</v>
      </c>
      <c r="AK1093" s="2"/>
      <c r="AL1093" s="2"/>
      <c r="AM1093" s="2" t="s">
        <v>9687</v>
      </c>
    </row>
    <row r="1094" spans="1:39" x14ac:dyDescent="0.45">
      <c r="A1094" s="2" t="s">
        <v>10284</v>
      </c>
      <c r="B1094" s="2"/>
      <c r="C1094" s="2" t="s">
        <v>10284</v>
      </c>
      <c r="D1094" s="2" t="s">
        <v>10287</v>
      </c>
      <c r="E1094" s="25"/>
      <c r="F1094" s="21"/>
      <c r="G1094" s="42" t="s">
        <v>28000</v>
      </c>
      <c r="H1094" s="2" t="s">
        <v>9685</v>
      </c>
      <c r="I1094" s="2" t="s">
        <v>10289</v>
      </c>
      <c r="J1094" s="2" t="s">
        <v>10285</v>
      </c>
      <c r="K1094" s="2" t="s">
        <v>10286</v>
      </c>
      <c r="L1094" s="2"/>
      <c r="M1094" s="2"/>
      <c r="N1094" s="2" t="s">
        <v>290</v>
      </c>
      <c r="O1094" s="2" t="s">
        <v>278</v>
      </c>
      <c r="P1094" s="2" t="s">
        <v>291</v>
      </c>
      <c r="Q1094" s="2" t="s">
        <v>10286</v>
      </c>
      <c r="R1094" s="2"/>
      <c r="S1094" s="2"/>
      <c r="T1094" s="2"/>
      <c r="U1094" s="2" t="s">
        <v>290</v>
      </c>
      <c r="V1094" s="2" t="s">
        <v>278</v>
      </c>
      <c r="W1094" s="2" t="s">
        <v>291</v>
      </c>
      <c r="X1094" s="2" t="s">
        <v>10288</v>
      </c>
      <c r="Y1094" s="2" t="s">
        <v>44</v>
      </c>
      <c r="Z1094" s="2"/>
      <c r="AA1094" s="2" t="s">
        <v>821</v>
      </c>
      <c r="AB1094" s="2" t="s">
        <v>46</v>
      </c>
      <c r="AC1094" s="2" t="s">
        <v>821</v>
      </c>
      <c r="AE1094" s="2" t="s">
        <v>48</v>
      </c>
      <c r="AF1094" s="2" t="s">
        <v>7864</v>
      </c>
      <c r="AG1094" s="2">
        <v>90</v>
      </c>
      <c r="AH1094" s="2">
        <v>57</v>
      </c>
      <c r="AJ1094" s="2" t="s">
        <v>10290</v>
      </c>
      <c r="AK1094" s="2"/>
      <c r="AL1094" s="2"/>
      <c r="AM1094" s="2" t="s">
        <v>9687</v>
      </c>
    </row>
    <row r="1095" spans="1:39" x14ac:dyDescent="0.45">
      <c r="A1095" s="2" t="s">
        <v>10291</v>
      </c>
      <c r="B1095" s="2"/>
      <c r="C1095" s="2" t="s">
        <v>10291</v>
      </c>
      <c r="D1095" s="2" t="s">
        <v>10294</v>
      </c>
      <c r="E1095" s="25"/>
      <c r="F1095" s="21"/>
      <c r="G1095" s="42" t="s">
        <v>28000</v>
      </c>
      <c r="H1095" s="2" t="s">
        <v>9685</v>
      </c>
      <c r="I1095" s="2" t="s">
        <v>10296</v>
      </c>
      <c r="J1095" s="2" t="s">
        <v>10292</v>
      </c>
      <c r="K1095" s="2" t="s">
        <v>10293</v>
      </c>
      <c r="L1095" s="2"/>
      <c r="M1095" s="2"/>
      <c r="N1095" s="2" t="s">
        <v>72</v>
      </c>
      <c r="O1095" s="2" t="s">
        <v>73</v>
      </c>
      <c r="P1095" s="2" t="s">
        <v>2270</v>
      </c>
      <c r="Q1095" s="2"/>
      <c r="R1095" s="2"/>
      <c r="S1095" s="2"/>
      <c r="T1095" s="2"/>
      <c r="U1095" s="2"/>
      <c r="V1095" s="2"/>
      <c r="W1095" s="2"/>
      <c r="X1095" s="2" t="s">
        <v>10295</v>
      </c>
      <c r="Y1095" s="2" t="s">
        <v>44</v>
      </c>
      <c r="Z1095" s="2"/>
      <c r="AA1095" s="2" t="s">
        <v>821</v>
      </c>
      <c r="AB1095" s="2" t="s">
        <v>46</v>
      </c>
      <c r="AC1095" s="2" t="s">
        <v>821</v>
      </c>
      <c r="AE1095" s="2" t="s">
        <v>48</v>
      </c>
      <c r="AF1095" s="2" t="s">
        <v>7864</v>
      </c>
      <c r="AG1095" s="2">
        <v>90</v>
      </c>
      <c r="AH1095" s="2">
        <v>57</v>
      </c>
      <c r="AJ1095" s="2" t="s">
        <v>10297</v>
      </c>
      <c r="AK1095" s="2"/>
      <c r="AL1095" s="2"/>
      <c r="AM1095" s="2" t="s">
        <v>9687</v>
      </c>
    </row>
    <row r="1096" spans="1:39" x14ac:dyDescent="0.45">
      <c r="A1096" s="2" t="s">
        <v>10298</v>
      </c>
      <c r="B1096" s="2"/>
      <c r="C1096" s="2" t="s">
        <v>10300</v>
      </c>
      <c r="D1096" s="2" t="s">
        <v>10302</v>
      </c>
      <c r="E1096" s="25"/>
      <c r="F1096" s="21"/>
      <c r="G1096" s="42" t="s">
        <v>28000</v>
      </c>
      <c r="H1096" s="2" t="s">
        <v>9685</v>
      </c>
      <c r="I1096" s="2" t="s">
        <v>10304</v>
      </c>
      <c r="J1096" s="2" t="s">
        <v>10299</v>
      </c>
      <c r="K1096" s="2" t="s">
        <v>10301</v>
      </c>
      <c r="L1096" s="2"/>
      <c r="M1096" s="2"/>
      <c r="N1096" s="2" t="s">
        <v>72</v>
      </c>
      <c r="O1096" s="2" t="s">
        <v>73</v>
      </c>
      <c r="P1096" s="2" t="s">
        <v>2982</v>
      </c>
      <c r="Q1096" s="2" t="s">
        <v>10301</v>
      </c>
      <c r="R1096" s="2"/>
      <c r="S1096" s="2"/>
      <c r="T1096" s="2"/>
      <c r="U1096" s="2" t="s">
        <v>72</v>
      </c>
      <c r="V1096" s="2" t="s">
        <v>73</v>
      </c>
      <c r="W1096" s="2" t="s">
        <v>2982</v>
      </c>
      <c r="X1096" s="2" t="s">
        <v>10303</v>
      </c>
      <c r="Y1096" s="2" t="s">
        <v>44</v>
      </c>
      <c r="Z1096" s="2"/>
      <c r="AA1096" s="2" t="s">
        <v>821</v>
      </c>
      <c r="AB1096" s="2" t="s">
        <v>46</v>
      </c>
      <c r="AC1096" s="2" t="s">
        <v>821</v>
      </c>
      <c r="AE1096" s="2" t="s">
        <v>48</v>
      </c>
      <c r="AF1096" s="2" t="s">
        <v>7864</v>
      </c>
      <c r="AG1096" s="2">
        <v>90</v>
      </c>
      <c r="AH1096" s="2">
        <v>57</v>
      </c>
      <c r="AJ1096" s="2" t="s">
        <v>10305</v>
      </c>
      <c r="AK1096" s="2"/>
      <c r="AL1096" s="2"/>
      <c r="AM1096" s="2" t="s">
        <v>9687</v>
      </c>
    </row>
    <row r="1097" spans="1:39" x14ac:dyDescent="0.45">
      <c r="A1097" s="2" t="s">
        <v>10306</v>
      </c>
      <c r="B1097" s="2"/>
      <c r="C1097" s="2" t="s">
        <v>10306</v>
      </c>
      <c r="D1097" s="2" t="s">
        <v>10309</v>
      </c>
      <c r="E1097" s="25"/>
      <c r="F1097" s="21"/>
      <c r="G1097" s="42" t="s">
        <v>28000</v>
      </c>
      <c r="H1097" s="2" t="s">
        <v>9685</v>
      </c>
      <c r="I1097" s="2" t="s">
        <v>10311</v>
      </c>
      <c r="J1097" s="2" t="s">
        <v>10307</v>
      </c>
      <c r="K1097" s="2" t="s">
        <v>10308</v>
      </c>
      <c r="L1097" s="2" t="s">
        <v>10310</v>
      </c>
      <c r="M1097" s="2" t="s">
        <v>10310</v>
      </c>
      <c r="N1097" s="2" t="s">
        <v>6029</v>
      </c>
      <c r="O1097" s="2" t="s">
        <v>278</v>
      </c>
      <c r="P1097" s="2" t="s">
        <v>6030</v>
      </c>
      <c r="Q1097" s="2" t="s">
        <v>10308</v>
      </c>
      <c r="R1097" s="2"/>
      <c r="S1097" s="2"/>
      <c r="T1097" s="2"/>
      <c r="U1097" s="2" t="s">
        <v>6029</v>
      </c>
      <c r="V1097" s="2" t="s">
        <v>278</v>
      </c>
      <c r="W1097" s="2" t="s">
        <v>6030</v>
      </c>
      <c r="X1097" s="2" t="s">
        <v>1441</v>
      </c>
      <c r="Y1097" s="2" t="s">
        <v>44</v>
      </c>
      <c r="Z1097" s="2"/>
      <c r="AA1097" s="2" t="s">
        <v>3527</v>
      </c>
      <c r="AB1097" s="2" t="s">
        <v>46</v>
      </c>
      <c r="AC1097" s="2" t="s">
        <v>3527</v>
      </c>
      <c r="AE1097" s="2" t="s">
        <v>48</v>
      </c>
      <c r="AF1097" s="2" t="s">
        <v>7864</v>
      </c>
      <c r="AG1097" s="2">
        <v>100</v>
      </c>
      <c r="AH1097" s="2">
        <v>55</v>
      </c>
      <c r="AJ1097" s="2" t="s">
        <v>10312</v>
      </c>
      <c r="AK1097" s="2"/>
      <c r="AL1097" s="2"/>
      <c r="AM1097" s="2" t="s">
        <v>9687</v>
      </c>
    </row>
    <row r="1098" spans="1:39" x14ac:dyDescent="0.45">
      <c r="A1098" s="2" t="s">
        <v>10313</v>
      </c>
      <c r="B1098" s="2"/>
      <c r="C1098" s="2" t="s">
        <v>10313</v>
      </c>
      <c r="D1098" s="2" t="s">
        <v>10316</v>
      </c>
      <c r="E1098" s="25"/>
      <c r="F1098" s="21"/>
      <c r="G1098" s="42" t="s">
        <v>28000</v>
      </c>
      <c r="H1098" s="2" t="s">
        <v>9685</v>
      </c>
      <c r="I1098" s="2" t="s">
        <v>10319</v>
      </c>
      <c r="J1098" s="2" t="s">
        <v>10314</v>
      </c>
      <c r="K1098" s="2" t="s">
        <v>10315</v>
      </c>
      <c r="L1098" s="2" t="s">
        <v>10317</v>
      </c>
      <c r="M1098" s="2" t="s">
        <v>10317</v>
      </c>
      <c r="N1098" s="2" t="s">
        <v>1161</v>
      </c>
      <c r="O1098" s="2" t="s">
        <v>221</v>
      </c>
      <c r="P1098" s="2" t="s">
        <v>9752</v>
      </c>
      <c r="Q1098" s="2" t="s">
        <v>10318</v>
      </c>
      <c r="R1098" s="2"/>
      <c r="S1098" s="2"/>
      <c r="T1098" s="2"/>
      <c r="U1098" s="2" t="s">
        <v>1161</v>
      </c>
      <c r="V1098" s="2" t="s">
        <v>221</v>
      </c>
      <c r="W1098" s="2" t="s">
        <v>9752</v>
      </c>
      <c r="X1098" s="2" t="s">
        <v>6530</v>
      </c>
      <c r="Y1098" s="2" t="s">
        <v>44</v>
      </c>
      <c r="Z1098" s="2"/>
      <c r="AA1098" s="2" t="s">
        <v>3527</v>
      </c>
      <c r="AB1098" s="2" t="s">
        <v>46</v>
      </c>
      <c r="AC1098" s="2" t="s">
        <v>3527</v>
      </c>
      <c r="AE1098" s="2" t="s">
        <v>48</v>
      </c>
      <c r="AF1098" s="2" t="s">
        <v>7864</v>
      </c>
      <c r="AG1098" s="2">
        <v>100</v>
      </c>
      <c r="AH1098" s="2">
        <v>55</v>
      </c>
      <c r="AJ1098" s="2" t="s">
        <v>10320</v>
      </c>
      <c r="AK1098" s="2"/>
      <c r="AL1098" s="2"/>
      <c r="AM1098" s="2" t="s">
        <v>9687</v>
      </c>
    </row>
    <row r="1099" spans="1:39" x14ac:dyDescent="0.45">
      <c r="A1099" s="2" t="s">
        <v>10321</v>
      </c>
      <c r="B1099" s="2"/>
      <c r="C1099" s="2" t="s">
        <v>10323</v>
      </c>
      <c r="D1099" s="2" t="s">
        <v>10325</v>
      </c>
      <c r="E1099" s="25"/>
      <c r="F1099" s="21"/>
      <c r="G1099" s="42" t="s">
        <v>28000</v>
      </c>
      <c r="H1099" s="2" t="s">
        <v>9685</v>
      </c>
      <c r="I1099" s="2" t="s">
        <v>10329</v>
      </c>
      <c r="J1099" s="2" t="s">
        <v>10322</v>
      </c>
      <c r="K1099" s="2" t="s">
        <v>10324</v>
      </c>
      <c r="L1099" s="2" t="s">
        <v>10326</v>
      </c>
      <c r="M1099" s="2"/>
      <c r="N1099" s="2" t="s">
        <v>8599</v>
      </c>
      <c r="O1099" s="2" t="s">
        <v>40</v>
      </c>
      <c r="P1099" s="2" t="s">
        <v>10327</v>
      </c>
      <c r="Q1099" s="2" t="s">
        <v>10324</v>
      </c>
      <c r="R1099" s="2"/>
      <c r="S1099" s="2"/>
      <c r="T1099" s="2"/>
      <c r="U1099" s="2" t="s">
        <v>8599</v>
      </c>
      <c r="V1099" s="2" t="s">
        <v>40</v>
      </c>
      <c r="W1099" s="2" t="s">
        <v>10327</v>
      </c>
      <c r="X1099" s="2" t="s">
        <v>10328</v>
      </c>
      <c r="Y1099" s="2" t="s">
        <v>44</v>
      </c>
      <c r="Z1099" s="2"/>
      <c r="AA1099" s="2" t="s">
        <v>3527</v>
      </c>
      <c r="AB1099" s="2" t="s">
        <v>46</v>
      </c>
      <c r="AC1099" s="2" t="s">
        <v>3527</v>
      </c>
      <c r="AE1099" s="2" t="s">
        <v>48</v>
      </c>
      <c r="AF1099" s="2" t="s">
        <v>7864</v>
      </c>
      <c r="AG1099" s="2">
        <v>100</v>
      </c>
      <c r="AH1099" s="2">
        <v>55</v>
      </c>
      <c r="AJ1099" s="2" t="s">
        <v>10330</v>
      </c>
      <c r="AK1099" s="2"/>
      <c r="AL1099" s="2"/>
      <c r="AM1099" s="2" t="s">
        <v>9687</v>
      </c>
    </row>
    <row r="1100" spans="1:39" x14ac:dyDescent="0.45">
      <c r="A1100" s="2" t="s">
        <v>10331</v>
      </c>
      <c r="B1100" s="2"/>
      <c r="C1100" s="2" t="s">
        <v>10333</v>
      </c>
      <c r="D1100" s="2" t="s">
        <v>10335</v>
      </c>
      <c r="E1100" s="25"/>
      <c r="F1100" s="21"/>
      <c r="G1100" s="42" t="s">
        <v>28000</v>
      </c>
      <c r="H1100" s="2" t="s">
        <v>9685</v>
      </c>
      <c r="I1100" s="2" t="s">
        <v>10340</v>
      </c>
      <c r="J1100" s="2" t="s">
        <v>10332</v>
      </c>
      <c r="K1100" s="2" t="s">
        <v>10334</v>
      </c>
      <c r="L1100" s="2" t="s">
        <v>10336</v>
      </c>
      <c r="M1100" s="2" t="s">
        <v>10336</v>
      </c>
      <c r="N1100" s="2" t="s">
        <v>220</v>
      </c>
      <c r="O1100" s="2" t="s">
        <v>221</v>
      </c>
      <c r="P1100" s="2" t="s">
        <v>10337</v>
      </c>
      <c r="Q1100" s="2" t="s">
        <v>10338</v>
      </c>
      <c r="R1100" s="2"/>
      <c r="S1100" s="2"/>
      <c r="T1100" s="2"/>
      <c r="U1100" s="2" t="s">
        <v>220</v>
      </c>
      <c r="V1100" s="2" t="s">
        <v>221</v>
      </c>
      <c r="W1100" s="2" t="s">
        <v>10337</v>
      </c>
      <c r="X1100" s="2" t="s">
        <v>10339</v>
      </c>
      <c r="Y1100" s="2" t="s">
        <v>44</v>
      </c>
      <c r="Z1100" s="2"/>
      <c r="AA1100" s="2" t="s">
        <v>3527</v>
      </c>
      <c r="AB1100" s="2" t="s">
        <v>46</v>
      </c>
      <c r="AC1100" s="2" t="s">
        <v>3527</v>
      </c>
      <c r="AE1100" s="2" t="s">
        <v>48</v>
      </c>
      <c r="AF1100" s="2" t="s">
        <v>7864</v>
      </c>
      <c r="AG1100" s="2">
        <v>100</v>
      </c>
      <c r="AH1100" s="2">
        <v>55</v>
      </c>
      <c r="AJ1100" s="2" t="s">
        <v>10341</v>
      </c>
      <c r="AK1100" s="2"/>
      <c r="AL1100" s="2"/>
      <c r="AM1100" s="2" t="s">
        <v>9687</v>
      </c>
    </row>
    <row r="1101" spans="1:39" x14ac:dyDescent="0.45">
      <c r="A1101" s="2" t="s">
        <v>10342</v>
      </c>
      <c r="B1101" s="2"/>
      <c r="C1101" s="2" t="s">
        <v>10344</v>
      </c>
      <c r="D1101" s="2" t="s">
        <v>10346</v>
      </c>
      <c r="E1101" s="25"/>
      <c r="F1101" s="21"/>
      <c r="G1101" s="42" t="s">
        <v>28000</v>
      </c>
      <c r="H1101" s="2" t="s">
        <v>9685</v>
      </c>
      <c r="I1101" s="2" t="s">
        <v>10351</v>
      </c>
      <c r="J1101" s="2" t="s">
        <v>10343</v>
      </c>
      <c r="K1101" s="2" t="s">
        <v>10345</v>
      </c>
      <c r="L1101" s="2" t="s">
        <v>10347</v>
      </c>
      <c r="M1101" s="2"/>
      <c r="N1101" s="2" t="s">
        <v>6062</v>
      </c>
      <c r="O1101" s="2" t="s">
        <v>217</v>
      </c>
      <c r="P1101" s="2" t="s">
        <v>6212</v>
      </c>
      <c r="Q1101" s="2" t="s">
        <v>10348</v>
      </c>
      <c r="R1101" s="2"/>
      <c r="S1101" s="2"/>
      <c r="T1101" s="2"/>
      <c r="U1101" s="2" t="s">
        <v>1188</v>
      </c>
      <c r="V1101" s="2" t="s">
        <v>221</v>
      </c>
      <c r="W1101" s="2" t="s">
        <v>10349</v>
      </c>
      <c r="X1101" s="2" t="s">
        <v>10350</v>
      </c>
      <c r="Y1101" s="2" t="s">
        <v>44</v>
      </c>
      <c r="Z1101" s="2"/>
      <c r="AA1101" s="2" t="s">
        <v>3527</v>
      </c>
      <c r="AB1101" s="2" t="s">
        <v>46</v>
      </c>
      <c r="AC1101" s="2" t="s">
        <v>3527</v>
      </c>
      <c r="AE1101" s="2" t="s">
        <v>48</v>
      </c>
      <c r="AF1101" s="2" t="s">
        <v>7864</v>
      </c>
      <c r="AG1101" s="2">
        <v>100</v>
      </c>
      <c r="AH1101" s="2">
        <v>55</v>
      </c>
      <c r="AJ1101" s="2" t="s">
        <v>10352</v>
      </c>
      <c r="AK1101" s="2"/>
      <c r="AL1101" s="2"/>
      <c r="AM1101" s="2" t="s">
        <v>9687</v>
      </c>
    </row>
    <row r="1102" spans="1:39" x14ac:dyDescent="0.45">
      <c r="A1102" s="2" t="s">
        <v>10353</v>
      </c>
      <c r="B1102" s="2"/>
      <c r="C1102" s="2" t="s">
        <v>10355</v>
      </c>
      <c r="D1102" s="2" t="s">
        <v>10357</v>
      </c>
      <c r="E1102" s="25"/>
      <c r="F1102" s="21"/>
      <c r="G1102" s="42" t="s">
        <v>28000</v>
      </c>
      <c r="H1102" s="2" t="s">
        <v>9685</v>
      </c>
      <c r="I1102" s="2" t="s">
        <v>10361</v>
      </c>
      <c r="J1102" s="2" t="s">
        <v>10354</v>
      </c>
      <c r="K1102" s="2" t="s">
        <v>10356</v>
      </c>
      <c r="L1102" s="2" t="s">
        <v>10358</v>
      </c>
      <c r="M1102" s="2" t="s">
        <v>10358</v>
      </c>
      <c r="N1102" s="2" t="s">
        <v>1175</v>
      </c>
      <c r="O1102" s="2" t="s">
        <v>1176</v>
      </c>
      <c r="P1102" s="2" t="s">
        <v>10359</v>
      </c>
      <c r="Q1102" s="2" t="s">
        <v>10356</v>
      </c>
      <c r="R1102" s="2"/>
      <c r="S1102" s="2"/>
      <c r="T1102" s="2"/>
      <c r="U1102" s="2" t="s">
        <v>1175</v>
      </c>
      <c r="V1102" s="2" t="s">
        <v>1176</v>
      </c>
      <c r="W1102" s="2" t="s">
        <v>10359</v>
      </c>
      <c r="X1102" s="2" t="s">
        <v>10360</v>
      </c>
      <c r="Y1102" s="2" t="s">
        <v>44</v>
      </c>
      <c r="Z1102" s="2"/>
      <c r="AA1102" s="2" t="s">
        <v>3527</v>
      </c>
      <c r="AB1102" s="2" t="s">
        <v>46</v>
      </c>
      <c r="AC1102" s="2" t="s">
        <v>3527</v>
      </c>
      <c r="AE1102" s="2" t="s">
        <v>48</v>
      </c>
      <c r="AF1102" s="2" t="s">
        <v>7864</v>
      </c>
      <c r="AG1102" s="2">
        <v>100</v>
      </c>
      <c r="AH1102" s="2">
        <v>55</v>
      </c>
      <c r="AJ1102" s="2" t="s">
        <v>10362</v>
      </c>
      <c r="AK1102" s="2"/>
      <c r="AL1102" s="2"/>
      <c r="AM1102" s="2" t="s">
        <v>9687</v>
      </c>
    </row>
    <row r="1103" spans="1:39" x14ac:dyDescent="0.45">
      <c r="A1103" s="2" t="s">
        <v>10363</v>
      </c>
      <c r="B1103" s="2"/>
      <c r="C1103" s="2" t="s">
        <v>10363</v>
      </c>
      <c r="D1103" s="2" t="s">
        <v>10366</v>
      </c>
      <c r="E1103" s="25"/>
      <c r="F1103" s="21"/>
      <c r="G1103" s="42" t="s">
        <v>28000</v>
      </c>
      <c r="H1103" s="2" t="s">
        <v>9685</v>
      </c>
      <c r="I1103" s="2" t="s">
        <v>10369</v>
      </c>
      <c r="J1103" s="2" t="s">
        <v>10364</v>
      </c>
      <c r="K1103" s="2" t="s">
        <v>10365</v>
      </c>
      <c r="L1103" s="2" t="s">
        <v>9751</v>
      </c>
      <c r="M1103" s="2"/>
      <c r="N1103" s="2" t="s">
        <v>1161</v>
      </c>
      <c r="O1103" s="2" t="s">
        <v>221</v>
      </c>
      <c r="P1103" s="2" t="s">
        <v>9752</v>
      </c>
      <c r="Q1103" s="2" t="s">
        <v>10367</v>
      </c>
      <c r="R1103" s="2"/>
      <c r="S1103" s="2"/>
      <c r="T1103" s="2"/>
      <c r="U1103" s="2" t="s">
        <v>5984</v>
      </c>
      <c r="V1103" s="2" t="s">
        <v>313</v>
      </c>
      <c r="W1103" s="2" t="s">
        <v>5985</v>
      </c>
      <c r="X1103" s="2" t="s">
        <v>10368</v>
      </c>
      <c r="Y1103" s="2" t="s">
        <v>44</v>
      </c>
      <c r="Z1103" s="2"/>
      <c r="AA1103" s="2" t="s">
        <v>3527</v>
      </c>
      <c r="AB1103" s="2" t="s">
        <v>46</v>
      </c>
      <c r="AC1103" s="2" t="s">
        <v>3527</v>
      </c>
      <c r="AE1103" s="2" t="s">
        <v>48</v>
      </c>
      <c r="AF1103" s="2" t="s">
        <v>7864</v>
      </c>
      <c r="AG1103" s="2">
        <v>100</v>
      </c>
      <c r="AH1103" s="2">
        <v>55</v>
      </c>
      <c r="AJ1103" s="2" t="s">
        <v>10370</v>
      </c>
      <c r="AK1103" s="2"/>
      <c r="AL1103" s="2"/>
      <c r="AM1103" s="2" t="s">
        <v>9687</v>
      </c>
    </row>
    <row r="1104" spans="1:39" x14ac:dyDescent="0.45">
      <c r="A1104" s="2" t="s">
        <v>10371</v>
      </c>
      <c r="B1104" s="2"/>
      <c r="C1104" s="2" t="s">
        <v>10371</v>
      </c>
      <c r="D1104" s="2" t="s">
        <v>10374</v>
      </c>
      <c r="E1104" s="25"/>
      <c r="F1104" s="21"/>
      <c r="G1104" s="42" t="s">
        <v>28000</v>
      </c>
      <c r="H1104" s="2" t="s">
        <v>9685</v>
      </c>
      <c r="I1104" s="2" t="s">
        <v>10379</v>
      </c>
      <c r="J1104" s="2" t="s">
        <v>10372</v>
      </c>
      <c r="K1104" s="2" t="s">
        <v>10373</v>
      </c>
      <c r="L1104" s="2" t="s">
        <v>10375</v>
      </c>
      <c r="M1104" s="2" t="s">
        <v>10375</v>
      </c>
      <c r="N1104" s="2" t="s">
        <v>10376</v>
      </c>
      <c r="O1104" s="2" t="s">
        <v>1137</v>
      </c>
      <c r="P1104" s="2" t="s">
        <v>10377</v>
      </c>
      <c r="Q1104" s="2" t="s">
        <v>10373</v>
      </c>
      <c r="R1104" s="2"/>
      <c r="S1104" s="2"/>
      <c r="T1104" s="2"/>
      <c r="U1104" s="2" t="s">
        <v>10376</v>
      </c>
      <c r="V1104" s="2" t="s">
        <v>1137</v>
      </c>
      <c r="W1104" s="2" t="s">
        <v>10377</v>
      </c>
      <c r="X1104" s="2" t="s">
        <v>10378</v>
      </c>
      <c r="Y1104" s="2" t="s">
        <v>44</v>
      </c>
      <c r="Z1104" s="2"/>
      <c r="AA1104" s="2" t="s">
        <v>3527</v>
      </c>
      <c r="AB1104" s="2" t="s">
        <v>46</v>
      </c>
      <c r="AC1104" s="2" t="s">
        <v>3527</v>
      </c>
      <c r="AE1104" s="2" t="s">
        <v>48</v>
      </c>
      <c r="AF1104" s="2" t="s">
        <v>7864</v>
      </c>
      <c r="AG1104" s="2">
        <v>100</v>
      </c>
      <c r="AH1104" s="2">
        <v>55</v>
      </c>
      <c r="AJ1104" s="2" t="s">
        <v>10380</v>
      </c>
      <c r="AK1104" s="2"/>
      <c r="AL1104" s="2"/>
      <c r="AM1104" s="2" t="s">
        <v>9687</v>
      </c>
    </row>
    <row r="1105" spans="1:39" x14ac:dyDescent="0.45">
      <c r="A1105" s="2" t="s">
        <v>10381</v>
      </c>
      <c r="B1105" s="2"/>
      <c r="C1105" s="2" t="s">
        <v>10381</v>
      </c>
      <c r="D1105" s="2" t="s">
        <v>10384</v>
      </c>
      <c r="E1105" s="25"/>
      <c r="F1105" s="21"/>
      <c r="G1105" s="42" t="s">
        <v>28000</v>
      </c>
      <c r="H1105" s="2" t="s">
        <v>9685</v>
      </c>
      <c r="I1105" s="2" t="s">
        <v>10389</v>
      </c>
      <c r="J1105" s="2" t="s">
        <v>10382</v>
      </c>
      <c r="K1105" s="2" t="s">
        <v>10383</v>
      </c>
      <c r="L1105" s="2" t="s">
        <v>10385</v>
      </c>
      <c r="M1105" s="2" t="s">
        <v>10385</v>
      </c>
      <c r="N1105" s="2" t="s">
        <v>10386</v>
      </c>
      <c r="O1105" s="2" t="s">
        <v>537</v>
      </c>
      <c r="P1105" s="2" t="s">
        <v>10387</v>
      </c>
      <c r="Q1105" s="2" t="s">
        <v>10383</v>
      </c>
      <c r="R1105" s="2"/>
      <c r="S1105" s="2"/>
      <c r="T1105" s="2"/>
      <c r="U1105" s="2" t="s">
        <v>10386</v>
      </c>
      <c r="V1105" s="2" t="s">
        <v>537</v>
      </c>
      <c r="W1105" s="2" t="s">
        <v>10387</v>
      </c>
      <c r="X1105" s="2" t="s">
        <v>10388</v>
      </c>
      <c r="Y1105" s="2" t="s">
        <v>44</v>
      </c>
      <c r="Z1105" s="2"/>
      <c r="AA1105" s="2" t="s">
        <v>3527</v>
      </c>
      <c r="AB1105" s="2" t="s">
        <v>46</v>
      </c>
      <c r="AC1105" s="2" t="s">
        <v>3527</v>
      </c>
      <c r="AE1105" s="2" t="s">
        <v>48</v>
      </c>
      <c r="AF1105" s="2" t="s">
        <v>7864</v>
      </c>
      <c r="AG1105" s="2">
        <v>100</v>
      </c>
      <c r="AH1105" s="2">
        <v>55</v>
      </c>
      <c r="AJ1105" s="2" t="s">
        <v>10390</v>
      </c>
      <c r="AK1105" s="2"/>
      <c r="AL1105" s="2"/>
      <c r="AM1105" s="2" t="s">
        <v>9687</v>
      </c>
    </row>
    <row r="1106" spans="1:39" x14ac:dyDescent="0.45">
      <c r="A1106" s="2" t="s">
        <v>10391</v>
      </c>
      <c r="B1106" s="2"/>
      <c r="C1106" s="2" t="s">
        <v>10393</v>
      </c>
      <c r="D1106" s="2" t="s">
        <v>10395</v>
      </c>
      <c r="E1106" s="25"/>
      <c r="F1106" s="21"/>
      <c r="G1106" s="42" t="s">
        <v>28000</v>
      </c>
      <c r="H1106" s="2" t="s">
        <v>9685</v>
      </c>
      <c r="I1106" s="2" t="s">
        <v>10399</v>
      </c>
      <c r="J1106" s="2" t="s">
        <v>10392</v>
      </c>
      <c r="K1106" s="2" t="s">
        <v>10394</v>
      </c>
      <c r="L1106" s="2" t="s">
        <v>10396</v>
      </c>
      <c r="M1106" s="2" t="s">
        <v>10396</v>
      </c>
      <c r="N1106" s="2" t="s">
        <v>10397</v>
      </c>
      <c r="O1106" s="2" t="s">
        <v>221</v>
      </c>
      <c r="P1106" s="2" t="s">
        <v>10398</v>
      </c>
      <c r="Q1106" s="2" t="s">
        <v>10394</v>
      </c>
      <c r="R1106" s="2"/>
      <c r="S1106" s="2"/>
      <c r="T1106" s="2"/>
      <c r="U1106" s="2" t="s">
        <v>10397</v>
      </c>
      <c r="V1106" s="2" t="s">
        <v>221</v>
      </c>
      <c r="W1106" s="2" t="s">
        <v>10398</v>
      </c>
      <c r="X1106" s="2" t="s">
        <v>10017</v>
      </c>
      <c r="Y1106" s="2" t="s">
        <v>44</v>
      </c>
      <c r="Z1106" s="2"/>
      <c r="AA1106" s="2" t="s">
        <v>3527</v>
      </c>
      <c r="AB1106" s="2" t="s">
        <v>46</v>
      </c>
      <c r="AC1106" s="2" t="s">
        <v>3527</v>
      </c>
      <c r="AE1106" s="2" t="s">
        <v>48</v>
      </c>
      <c r="AF1106" s="2" t="s">
        <v>7864</v>
      </c>
      <c r="AG1106" s="2">
        <v>100</v>
      </c>
      <c r="AH1106" s="2">
        <v>55</v>
      </c>
      <c r="AJ1106" s="2" t="s">
        <v>10400</v>
      </c>
      <c r="AK1106" s="2"/>
      <c r="AL1106" s="2"/>
      <c r="AM1106" s="2" t="s">
        <v>9687</v>
      </c>
    </row>
    <row r="1107" spans="1:39" x14ac:dyDescent="0.45">
      <c r="A1107" s="2" t="s">
        <v>10401</v>
      </c>
      <c r="B1107" s="2"/>
      <c r="C1107" s="2" t="s">
        <v>10401</v>
      </c>
      <c r="D1107" s="2" t="s">
        <v>10404</v>
      </c>
      <c r="E1107" s="25"/>
      <c r="F1107" s="21"/>
      <c r="G1107" s="42" t="s">
        <v>28000</v>
      </c>
      <c r="H1107" s="2" t="s">
        <v>9685</v>
      </c>
      <c r="I1107" s="2" t="s">
        <v>10409</v>
      </c>
      <c r="J1107" s="2" t="s">
        <v>10402</v>
      </c>
      <c r="K1107" s="2" t="s">
        <v>10403</v>
      </c>
      <c r="L1107" s="2" t="s">
        <v>10405</v>
      </c>
      <c r="M1107" s="2"/>
      <c r="N1107" s="2" t="s">
        <v>1248</v>
      </c>
      <c r="O1107" s="2" t="s">
        <v>1137</v>
      </c>
      <c r="P1107" s="2" t="s">
        <v>10406</v>
      </c>
      <c r="Q1107" s="2" t="s">
        <v>10407</v>
      </c>
      <c r="R1107" s="2"/>
      <c r="S1107" s="2"/>
      <c r="T1107" s="2"/>
      <c r="U1107" s="2" t="s">
        <v>1248</v>
      </c>
      <c r="V1107" s="2" t="s">
        <v>1137</v>
      </c>
      <c r="W1107" s="2" t="s">
        <v>10406</v>
      </c>
      <c r="X1107" s="2" t="s">
        <v>10408</v>
      </c>
      <c r="Y1107" s="2" t="s">
        <v>44</v>
      </c>
      <c r="Z1107" s="2"/>
      <c r="AA1107" s="2" t="s">
        <v>3527</v>
      </c>
      <c r="AB1107" s="2" t="s">
        <v>46</v>
      </c>
      <c r="AC1107" s="2" t="s">
        <v>3527</v>
      </c>
      <c r="AE1107" s="2" t="s">
        <v>48</v>
      </c>
      <c r="AF1107" s="2" t="s">
        <v>7864</v>
      </c>
      <c r="AG1107" s="2">
        <v>100</v>
      </c>
      <c r="AH1107" s="2">
        <v>55</v>
      </c>
      <c r="AJ1107" s="2" t="s">
        <v>10410</v>
      </c>
      <c r="AK1107" s="2"/>
      <c r="AL1107" s="2"/>
      <c r="AM1107" s="2" t="s">
        <v>9687</v>
      </c>
    </row>
    <row r="1108" spans="1:39" x14ac:dyDescent="0.45">
      <c r="A1108" s="2" t="s">
        <v>10411</v>
      </c>
      <c r="B1108" s="2"/>
      <c r="C1108" s="2" t="s">
        <v>10413</v>
      </c>
      <c r="D1108" s="2" t="s">
        <v>10415</v>
      </c>
      <c r="E1108" s="25"/>
      <c r="F1108" s="21"/>
      <c r="G1108" s="42" t="s">
        <v>28000</v>
      </c>
      <c r="H1108" s="2" t="s">
        <v>9685</v>
      </c>
      <c r="I1108" s="2" t="s">
        <v>10419</v>
      </c>
      <c r="J1108" s="2" t="s">
        <v>10412</v>
      </c>
      <c r="K1108" s="2" t="s">
        <v>10414</v>
      </c>
      <c r="L1108" s="2" t="s">
        <v>10416</v>
      </c>
      <c r="M1108" s="2"/>
      <c r="N1108" s="2" t="s">
        <v>8392</v>
      </c>
      <c r="O1108" s="2" t="s">
        <v>313</v>
      </c>
      <c r="P1108" s="2" t="s">
        <v>10417</v>
      </c>
      <c r="Q1108" s="2" t="s">
        <v>10418</v>
      </c>
      <c r="R1108" s="2"/>
      <c r="S1108" s="2"/>
      <c r="T1108" s="2"/>
      <c r="U1108" s="2" t="s">
        <v>312</v>
      </c>
      <c r="V1108" s="2" t="s">
        <v>313</v>
      </c>
      <c r="W1108" s="2" t="s">
        <v>7647</v>
      </c>
      <c r="X1108" s="2" t="s">
        <v>9099</v>
      </c>
      <c r="Y1108" s="2" t="s">
        <v>44</v>
      </c>
      <c r="Z1108" s="2"/>
      <c r="AA1108" s="2" t="s">
        <v>3527</v>
      </c>
      <c r="AB1108" s="2" t="s">
        <v>46</v>
      </c>
      <c r="AC1108" s="2" t="s">
        <v>3527</v>
      </c>
      <c r="AE1108" s="2" t="s">
        <v>48</v>
      </c>
      <c r="AF1108" s="2" t="s">
        <v>7864</v>
      </c>
      <c r="AG1108" s="2">
        <v>100</v>
      </c>
      <c r="AH1108" s="2">
        <v>55</v>
      </c>
      <c r="AJ1108" s="2" t="s">
        <v>10420</v>
      </c>
      <c r="AK1108" s="2"/>
      <c r="AL1108" s="2"/>
      <c r="AM1108" s="2" t="s">
        <v>9687</v>
      </c>
    </row>
    <row r="1109" spans="1:39" x14ac:dyDescent="0.45">
      <c r="A1109" s="2" t="s">
        <v>10421</v>
      </c>
      <c r="B1109" s="2"/>
      <c r="C1109" s="2" t="s">
        <v>10423</v>
      </c>
      <c r="D1109" s="2" t="s">
        <v>10425</v>
      </c>
      <c r="E1109" s="25"/>
      <c r="F1109" s="21"/>
      <c r="G1109" s="42" t="s">
        <v>28000</v>
      </c>
      <c r="H1109" s="2" t="s">
        <v>9685</v>
      </c>
      <c r="I1109" s="2" t="s">
        <v>10429</v>
      </c>
      <c r="J1109" s="2" t="s">
        <v>10422</v>
      </c>
      <c r="K1109" s="2" t="s">
        <v>10424</v>
      </c>
      <c r="L1109" s="2" t="s">
        <v>10426</v>
      </c>
      <c r="M1109" s="2" t="s">
        <v>10426</v>
      </c>
      <c r="N1109" s="2" t="s">
        <v>10376</v>
      </c>
      <c r="O1109" s="2" t="s">
        <v>1137</v>
      </c>
      <c r="P1109" s="2" t="s">
        <v>10427</v>
      </c>
      <c r="Q1109" s="2" t="s">
        <v>10424</v>
      </c>
      <c r="R1109" s="2"/>
      <c r="S1109" s="2"/>
      <c r="T1109" s="2"/>
      <c r="U1109" s="2" t="s">
        <v>10376</v>
      </c>
      <c r="V1109" s="2" t="s">
        <v>1137</v>
      </c>
      <c r="W1109" s="2" t="s">
        <v>10427</v>
      </c>
      <c r="X1109" s="2" t="s">
        <v>10428</v>
      </c>
      <c r="Y1109" s="2" t="s">
        <v>44</v>
      </c>
      <c r="Z1109" s="2"/>
      <c r="AA1109" s="2" t="s">
        <v>3527</v>
      </c>
      <c r="AB1109" s="2" t="s">
        <v>46</v>
      </c>
      <c r="AC1109" s="2" t="s">
        <v>3527</v>
      </c>
      <c r="AE1109" s="2" t="s">
        <v>48</v>
      </c>
      <c r="AF1109" s="2" t="s">
        <v>7864</v>
      </c>
      <c r="AG1109" s="2">
        <v>100</v>
      </c>
      <c r="AH1109" s="2">
        <v>55</v>
      </c>
      <c r="AJ1109" s="2" t="s">
        <v>10430</v>
      </c>
      <c r="AK1109" s="2"/>
      <c r="AL1109" s="2"/>
      <c r="AM1109" s="2" t="s">
        <v>9687</v>
      </c>
    </row>
    <row r="1110" spans="1:39" x14ac:dyDescent="0.45">
      <c r="A1110" s="2" t="s">
        <v>10431</v>
      </c>
      <c r="B1110" s="2"/>
      <c r="C1110" s="2" t="s">
        <v>10431</v>
      </c>
      <c r="D1110" s="2" t="s">
        <v>10434</v>
      </c>
      <c r="E1110" s="25"/>
      <c r="F1110" s="21"/>
      <c r="G1110" s="42" t="s">
        <v>28000</v>
      </c>
      <c r="H1110" s="2" t="s">
        <v>9685</v>
      </c>
      <c r="I1110" s="2" t="s">
        <v>10437</v>
      </c>
      <c r="J1110" s="2" t="s">
        <v>10432</v>
      </c>
      <c r="K1110" s="2" t="s">
        <v>10433</v>
      </c>
      <c r="L1110" s="2" t="s">
        <v>10435</v>
      </c>
      <c r="M1110" s="2" t="s">
        <v>10435</v>
      </c>
      <c r="N1110" s="2" t="s">
        <v>9626</v>
      </c>
      <c r="O1110" s="2" t="s">
        <v>1209</v>
      </c>
      <c r="P1110" s="2" t="s">
        <v>10436</v>
      </c>
      <c r="Q1110" s="2" t="s">
        <v>10433</v>
      </c>
      <c r="R1110" s="2"/>
      <c r="S1110" s="2"/>
      <c r="T1110" s="2"/>
      <c r="U1110" s="2" t="s">
        <v>9626</v>
      </c>
      <c r="V1110" s="2" t="s">
        <v>1209</v>
      </c>
      <c r="W1110" s="2" t="s">
        <v>10436</v>
      </c>
      <c r="X1110" s="2" t="s">
        <v>8478</v>
      </c>
      <c r="Y1110" s="2" t="s">
        <v>44</v>
      </c>
      <c r="Z1110" s="2"/>
      <c r="AA1110" s="2" t="s">
        <v>3527</v>
      </c>
      <c r="AB1110" s="2" t="s">
        <v>46</v>
      </c>
      <c r="AC1110" s="2" t="s">
        <v>3527</v>
      </c>
      <c r="AE1110" s="2" t="s">
        <v>48</v>
      </c>
      <c r="AF1110" s="2" t="s">
        <v>7864</v>
      </c>
      <c r="AG1110" s="2">
        <v>100</v>
      </c>
      <c r="AH1110" s="2">
        <v>55</v>
      </c>
      <c r="AJ1110" s="2" t="s">
        <v>10438</v>
      </c>
      <c r="AK1110" s="2"/>
      <c r="AL1110" s="2"/>
      <c r="AM1110" s="2" t="s">
        <v>9687</v>
      </c>
    </row>
    <row r="1111" spans="1:39" x14ac:dyDescent="0.45">
      <c r="A1111" s="2" t="s">
        <v>10439</v>
      </c>
      <c r="B1111" s="2"/>
      <c r="C1111" s="2" t="s">
        <v>10441</v>
      </c>
      <c r="D1111" s="2" t="s">
        <v>10443</v>
      </c>
      <c r="E1111" s="25"/>
      <c r="F1111" s="21"/>
      <c r="G1111" s="42" t="s">
        <v>28000</v>
      </c>
      <c r="H1111" s="2" t="s">
        <v>9685</v>
      </c>
      <c r="I1111" s="2" t="s">
        <v>10446</v>
      </c>
      <c r="J1111" s="2" t="s">
        <v>10440</v>
      </c>
      <c r="K1111" s="2" t="s">
        <v>10442</v>
      </c>
      <c r="L1111" s="2" t="s">
        <v>10444</v>
      </c>
      <c r="M1111" s="2" t="s">
        <v>10444</v>
      </c>
      <c r="N1111" s="2" t="s">
        <v>6029</v>
      </c>
      <c r="O1111" s="2" t="s">
        <v>278</v>
      </c>
      <c r="P1111" s="2" t="s">
        <v>6030</v>
      </c>
      <c r="Q1111" s="2" t="s">
        <v>10442</v>
      </c>
      <c r="R1111" s="2"/>
      <c r="S1111" s="2"/>
      <c r="T1111" s="2"/>
      <c r="U1111" s="2" t="s">
        <v>6029</v>
      </c>
      <c r="V1111" s="2" t="s">
        <v>278</v>
      </c>
      <c r="W1111" s="2" t="s">
        <v>6030</v>
      </c>
      <c r="X1111" s="2" t="s">
        <v>10445</v>
      </c>
      <c r="Y1111" s="2" t="s">
        <v>44</v>
      </c>
      <c r="Z1111" s="2"/>
      <c r="AA1111" s="2" t="s">
        <v>3527</v>
      </c>
      <c r="AB1111" s="2" t="s">
        <v>46</v>
      </c>
      <c r="AC1111" s="2" t="s">
        <v>3527</v>
      </c>
      <c r="AE1111" s="2" t="s">
        <v>48</v>
      </c>
      <c r="AF1111" s="2" t="s">
        <v>7864</v>
      </c>
      <c r="AG1111" s="2">
        <v>100</v>
      </c>
      <c r="AH1111" s="2">
        <v>55</v>
      </c>
      <c r="AJ1111" s="2" t="s">
        <v>10447</v>
      </c>
      <c r="AK1111" s="2"/>
      <c r="AL1111" s="2"/>
      <c r="AM1111" s="2" t="s">
        <v>9687</v>
      </c>
    </row>
    <row r="1112" spans="1:39" x14ac:dyDescent="0.45">
      <c r="A1112" s="2" t="s">
        <v>10448</v>
      </c>
      <c r="B1112" s="2"/>
      <c r="C1112" s="2" t="s">
        <v>10448</v>
      </c>
      <c r="D1112" s="2" t="s">
        <v>10451</v>
      </c>
      <c r="E1112" s="25"/>
      <c r="F1112" s="21"/>
      <c r="G1112" s="42" t="s">
        <v>28000</v>
      </c>
      <c r="H1112" s="2" t="s">
        <v>9685</v>
      </c>
      <c r="I1112" s="2" t="s">
        <v>10456</v>
      </c>
      <c r="J1112" s="2" t="s">
        <v>10449</v>
      </c>
      <c r="K1112" s="2" t="s">
        <v>10450</v>
      </c>
      <c r="L1112" s="2" t="s">
        <v>10452</v>
      </c>
      <c r="M1112" s="2" t="s">
        <v>10452</v>
      </c>
      <c r="N1112" s="2" t="s">
        <v>10453</v>
      </c>
      <c r="O1112" s="2" t="s">
        <v>313</v>
      </c>
      <c r="P1112" s="2" t="s">
        <v>10454</v>
      </c>
      <c r="Q1112" s="2" t="s">
        <v>10450</v>
      </c>
      <c r="R1112" s="2"/>
      <c r="S1112" s="2"/>
      <c r="T1112" s="2"/>
      <c r="U1112" s="2" t="s">
        <v>10453</v>
      </c>
      <c r="V1112" s="2" t="s">
        <v>313</v>
      </c>
      <c r="W1112" s="2" t="s">
        <v>10454</v>
      </c>
      <c r="X1112" s="2" t="s">
        <v>10455</v>
      </c>
      <c r="Y1112" s="2" t="s">
        <v>44</v>
      </c>
      <c r="Z1112" s="2"/>
      <c r="AA1112" s="2" t="s">
        <v>3527</v>
      </c>
      <c r="AB1112" s="2" t="s">
        <v>46</v>
      </c>
      <c r="AC1112" s="2" t="s">
        <v>3527</v>
      </c>
      <c r="AE1112" s="2" t="s">
        <v>48</v>
      </c>
      <c r="AF1112" s="2" t="s">
        <v>7864</v>
      </c>
      <c r="AG1112" s="2">
        <v>100</v>
      </c>
      <c r="AH1112" s="2">
        <v>55</v>
      </c>
      <c r="AJ1112" s="2" t="s">
        <v>10457</v>
      </c>
      <c r="AK1112" s="2"/>
      <c r="AL1112" s="2"/>
      <c r="AM1112" s="2" t="s">
        <v>9687</v>
      </c>
    </row>
    <row r="1113" spans="1:39" x14ac:dyDescent="0.45">
      <c r="A1113" s="2" t="s">
        <v>10458</v>
      </c>
      <c r="B1113" s="2"/>
      <c r="C1113" s="2" t="s">
        <v>10460</v>
      </c>
      <c r="D1113" s="2" t="s">
        <v>10462</v>
      </c>
      <c r="E1113" s="25"/>
      <c r="F1113" s="21"/>
      <c r="G1113" s="42" t="s">
        <v>28000</v>
      </c>
      <c r="H1113" s="2" t="s">
        <v>9685</v>
      </c>
      <c r="I1113" s="2" t="s">
        <v>10465</v>
      </c>
      <c r="J1113" s="2" t="s">
        <v>10459</v>
      </c>
      <c r="K1113" s="2" t="s">
        <v>10461</v>
      </c>
      <c r="L1113" s="2" t="s">
        <v>10463</v>
      </c>
      <c r="M1113" s="2"/>
      <c r="N1113" s="2" t="s">
        <v>8369</v>
      </c>
      <c r="O1113" s="2" t="s">
        <v>1112</v>
      </c>
      <c r="P1113" s="2" t="s">
        <v>10464</v>
      </c>
      <c r="Q1113" s="2" t="s">
        <v>10461</v>
      </c>
      <c r="R1113" s="2"/>
      <c r="S1113" s="2"/>
      <c r="T1113" s="2"/>
      <c r="U1113" s="2" t="s">
        <v>8369</v>
      </c>
      <c r="V1113" s="2" t="s">
        <v>1112</v>
      </c>
      <c r="W1113" s="2" t="s">
        <v>10464</v>
      </c>
      <c r="X1113" s="2" t="s">
        <v>3199</v>
      </c>
      <c r="Y1113" s="2" t="s">
        <v>44</v>
      </c>
      <c r="Z1113" s="2"/>
      <c r="AA1113" s="2" t="s">
        <v>3527</v>
      </c>
      <c r="AB1113" s="2" t="s">
        <v>46</v>
      </c>
      <c r="AC1113" s="2" t="s">
        <v>3527</v>
      </c>
      <c r="AE1113" s="2" t="s">
        <v>48</v>
      </c>
      <c r="AF1113" s="2" t="s">
        <v>7864</v>
      </c>
      <c r="AG1113" s="2">
        <v>100</v>
      </c>
      <c r="AH1113" s="2">
        <v>55</v>
      </c>
      <c r="AJ1113" s="2" t="s">
        <v>10466</v>
      </c>
      <c r="AK1113" s="2"/>
      <c r="AL1113" s="2"/>
      <c r="AM1113" s="2" t="s">
        <v>9687</v>
      </c>
    </row>
    <row r="1114" spans="1:39" x14ac:dyDescent="0.45">
      <c r="A1114" s="2" t="s">
        <v>10467</v>
      </c>
      <c r="B1114" s="2"/>
      <c r="C1114" s="2" t="s">
        <v>10469</v>
      </c>
      <c r="D1114" s="2" t="s">
        <v>10471</v>
      </c>
      <c r="E1114" s="25"/>
      <c r="F1114" s="21"/>
      <c r="G1114" s="42" t="s">
        <v>28000</v>
      </c>
      <c r="H1114" s="2" t="s">
        <v>9685</v>
      </c>
      <c r="I1114" s="2" t="s">
        <v>10475</v>
      </c>
      <c r="J1114" s="2" t="s">
        <v>10468</v>
      </c>
      <c r="K1114" s="2" t="s">
        <v>10470</v>
      </c>
      <c r="L1114" s="2" t="s">
        <v>10472</v>
      </c>
      <c r="M1114" s="2"/>
      <c r="N1114" s="2" t="s">
        <v>10473</v>
      </c>
      <c r="O1114" s="2" t="s">
        <v>313</v>
      </c>
      <c r="P1114" s="2" t="s">
        <v>10474</v>
      </c>
      <c r="Q1114" s="2" t="s">
        <v>10470</v>
      </c>
      <c r="R1114" s="2"/>
      <c r="S1114" s="2"/>
      <c r="T1114" s="2"/>
      <c r="U1114" s="2" t="s">
        <v>10473</v>
      </c>
      <c r="V1114" s="2" t="s">
        <v>313</v>
      </c>
      <c r="W1114" s="2" t="s">
        <v>10474</v>
      </c>
      <c r="X1114" s="2" t="s">
        <v>3226</v>
      </c>
      <c r="Y1114" s="2" t="s">
        <v>44</v>
      </c>
      <c r="Z1114" s="2"/>
      <c r="AA1114" s="2" t="s">
        <v>3527</v>
      </c>
      <c r="AB1114" s="2" t="s">
        <v>46</v>
      </c>
      <c r="AC1114" s="2" t="s">
        <v>3527</v>
      </c>
      <c r="AE1114" s="2" t="s">
        <v>48</v>
      </c>
      <c r="AF1114" s="2" t="s">
        <v>7864</v>
      </c>
      <c r="AG1114" s="2">
        <v>100</v>
      </c>
      <c r="AH1114" s="2">
        <v>55</v>
      </c>
      <c r="AJ1114" s="2" t="s">
        <v>10476</v>
      </c>
      <c r="AK1114" s="2"/>
      <c r="AL1114" s="2"/>
      <c r="AM1114" s="2" t="s">
        <v>9687</v>
      </c>
    </row>
    <row r="1115" spans="1:39" x14ac:dyDescent="0.45">
      <c r="A1115" s="2" t="s">
        <v>10477</v>
      </c>
      <c r="B1115" s="2"/>
      <c r="C1115" s="2" t="s">
        <v>10479</v>
      </c>
      <c r="D1115" s="2" t="s">
        <v>10481</v>
      </c>
      <c r="E1115" s="25"/>
      <c r="F1115" s="21"/>
      <c r="G1115" s="42" t="s">
        <v>28000</v>
      </c>
      <c r="H1115" s="2" t="s">
        <v>9685</v>
      </c>
      <c r="I1115" s="2" t="s">
        <v>10485</v>
      </c>
      <c r="J1115" s="2" t="s">
        <v>10478</v>
      </c>
      <c r="K1115" s="2" t="s">
        <v>10480</v>
      </c>
      <c r="L1115" s="2" t="s">
        <v>10482</v>
      </c>
      <c r="M1115" s="2" t="s">
        <v>10482</v>
      </c>
      <c r="N1115" s="2" t="s">
        <v>10483</v>
      </c>
      <c r="O1115" s="2" t="s">
        <v>537</v>
      </c>
      <c r="P1115" s="2" t="s">
        <v>10484</v>
      </c>
      <c r="Q1115" s="2" t="s">
        <v>10480</v>
      </c>
      <c r="R1115" s="2"/>
      <c r="S1115" s="2"/>
      <c r="T1115" s="2"/>
      <c r="U1115" s="2" t="s">
        <v>10483</v>
      </c>
      <c r="V1115" s="2" t="s">
        <v>537</v>
      </c>
      <c r="W1115" s="2" t="s">
        <v>10484</v>
      </c>
      <c r="X1115" s="2" t="s">
        <v>5261</v>
      </c>
      <c r="Y1115" s="2" t="s">
        <v>44</v>
      </c>
      <c r="Z1115" s="2"/>
      <c r="AA1115" s="2" t="s">
        <v>3527</v>
      </c>
      <c r="AB1115" s="2" t="s">
        <v>46</v>
      </c>
      <c r="AC1115" s="2" t="s">
        <v>3527</v>
      </c>
      <c r="AE1115" s="2" t="s">
        <v>48</v>
      </c>
      <c r="AF1115" s="2" t="s">
        <v>7864</v>
      </c>
      <c r="AG1115" s="2">
        <v>100</v>
      </c>
      <c r="AH1115" s="2">
        <v>55</v>
      </c>
      <c r="AJ1115" s="2" t="s">
        <v>10486</v>
      </c>
      <c r="AK1115" s="2"/>
      <c r="AL1115" s="2"/>
      <c r="AM1115" s="2" t="s">
        <v>9687</v>
      </c>
    </row>
    <row r="1116" spans="1:39" x14ac:dyDescent="0.45">
      <c r="A1116" s="2" t="s">
        <v>10487</v>
      </c>
      <c r="B1116" s="2"/>
      <c r="C1116" s="2" t="s">
        <v>10489</v>
      </c>
      <c r="D1116" s="2" t="s">
        <v>10491</v>
      </c>
      <c r="E1116" s="25"/>
      <c r="F1116" s="21"/>
      <c r="G1116" s="42" t="s">
        <v>28000</v>
      </c>
      <c r="H1116" s="2" t="s">
        <v>9685</v>
      </c>
      <c r="I1116" s="2" t="s">
        <v>10494</v>
      </c>
      <c r="J1116" s="2" t="s">
        <v>10488</v>
      </c>
      <c r="K1116" s="2" t="s">
        <v>10490</v>
      </c>
      <c r="L1116" s="2" t="s">
        <v>10492</v>
      </c>
      <c r="M1116" s="2"/>
      <c r="N1116" s="2" t="s">
        <v>9829</v>
      </c>
      <c r="O1116" s="2" t="s">
        <v>278</v>
      </c>
      <c r="P1116" s="2" t="s">
        <v>9830</v>
      </c>
      <c r="Q1116" s="2" t="s">
        <v>10490</v>
      </c>
      <c r="R1116" s="2"/>
      <c r="S1116" s="2"/>
      <c r="T1116" s="2"/>
      <c r="U1116" s="2" t="s">
        <v>9829</v>
      </c>
      <c r="V1116" s="2" t="s">
        <v>278</v>
      </c>
      <c r="W1116" s="2" t="s">
        <v>9830</v>
      </c>
      <c r="X1116" s="2" t="s">
        <v>10493</v>
      </c>
      <c r="Y1116" s="2" t="s">
        <v>44</v>
      </c>
      <c r="Z1116" s="2"/>
      <c r="AA1116" s="2" t="s">
        <v>3527</v>
      </c>
      <c r="AB1116" s="2" t="s">
        <v>46</v>
      </c>
      <c r="AC1116" s="2" t="s">
        <v>3527</v>
      </c>
      <c r="AE1116" s="2" t="s">
        <v>48</v>
      </c>
      <c r="AF1116" s="2" t="s">
        <v>7864</v>
      </c>
      <c r="AG1116" s="2">
        <v>100</v>
      </c>
      <c r="AH1116" s="2">
        <v>55</v>
      </c>
      <c r="AJ1116" s="2" t="s">
        <v>10495</v>
      </c>
      <c r="AK1116" s="2"/>
      <c r="AL1116" s="2"/>
      <c r="AM1116" s="2" t="s">
        <v>9687</v>
      </c>
    </row>
    <row r="1117" spans="1:39" x14ac:dyDescent="0.45">
      <c r="A1117" s="2" t="s">
        <v>10496</v>
      </c>
      <c r="B1117" s="2"/>
      <c r="C1117" s="2" t="s">
        <v>10498</v>
      </c>
      <c r="D1117" s="2" t="s">
        <v>10500</v>
      </c>
      <c r="E1117" s="25"/>
      <c r="F1117" s="21"/>
      <c r="G1117" s="42" t="s">
        <v>28000</v>
      </c>
      <c r="H1117" s="2" t="s">
        <v>9685</v>
      </c>
      <c r="I1117" s="2" t="s">
        <v>10505</v>
      </c>
      <c r="J1117" s="2" t="s">
        <v>10497</v>
      </c>
      <c r="K1117" s="2" t="s">
        <v>10499</v>
      </c>
      <c r="L1117" s="2" t="s">
        <v>10501</v>
      </c>
      <c r="M1117" s="2"/>
      <c r="N1117" s="2" t="s">
        <v>10502</v>
      </c>
      <c r="O1117" s="2" t="s">
        <v>1112</v>
      </c>
      <c r="P1117" s="2" t="s">
        <v>10503</v>
      </c>
      <c r="Q1117" s="2" t="s">
        <v>10504</v>
      </c>
      <c r="R1117" s="2"/>
      <c r="S1117" s="2"/>
      <c r="T1117" s="2"/>
      <c r="U1117" s="2" t="s">
        <v>10502</v>
      </c>
      <c r="V1117" s="2" t="s">
        <v>1112</v>
      </c>
      <c r="W1117" s="2" t="s">
        <v>10503</v>
      </c>
      <c r="X1117" s="2" t="s">
        <v>5374</v>
      </c>
      <c r="Y1117" s="2" t="s">
        <v>44</v>
      </c>
      <c r="Z1117" s="2"/>
      <c r="AA1117" s="2" t="s">
        <v>3527</v>
      </c>
      <c r="AB1117" s="2" t="s">
        <v>46</v>
      </c>
      <c r="AC1117" s="2" t="s">
        <v>3527</v>
      </c>
      <c r="AE1117" s="2" t="s">
        <v>48</v>
      </c>
      <c r="AF1117" s="2" t="s">
        <v>7864</v>
      </c>
      <c r="AG1117" s="2">
        <v>100</v>
      </c>
      <c r="AH1117" s="2">
        <v>55</v>
      </c>
      <c r="AJ1117" s="2" t="s">
        <v>10506</v>
      </c>
      <c r="AK1117" s="2"/>
      <c r="AL1117" s="2"/>
      <c r="AM1117" s="2" t="s">
        <v>9687</v>
      </c>
    </row>
    <row r="1118" spans="1:39" x14ac:dyDescent="0.45">
      <c r="A1118" s="2" t="s">
        <v>10507</v>
      </c>
      <c r="B1118" s="2"/>
      <c r="C1118" s="2" t="s">
        <v>10509</v>
      </c>
      <c r="D1118" s="2" t="s">
        <v>10511</v>
      </c>
      <c r="E1118" s="25"/>
      <c r="F1118" s="21"/>
      <c r="G1118" s="42" t="s">
        <v>28000</v>
      </c>
      <c r="H1118" s="2" t="s">
        <v>9685</v>
      </c>
      <c r="I1118" s="2" t="s">
        <v>10516</v>
      </c>
      <c r="J1118" s="2" t="s">
        <v>10508</v>
      </c>
      <c r="K1118" s="2" t="s">
        <v>10510</v>
      </c>
      <c r="L1118" s="2" t="s">
        <v>10512</v>
      </c>
      <c r="M1118" s="2" t="s">
        <v>10512</v>
      </c>
      <c r="N1118" s="2" t="s">
        <v>10513</v>
      </c>
      <c r="O1118" s="2" t="s">
        <v>313</v>
      </c>
      <c r="P1118" s="2" t="s">
        <v>10514</v>
      </c>
      <c r="Q1118" s="2"/>
      <c r="R1118" s="2"/>
      <c r="S1118" s="2"/>
      <c r="T1118" s="2"/>
      <c r="U1118" s="2"/>
      <c r="V1118" s="2"/>
      <c r="W1118" s="2"/>
      <c r="X1118" s="2" t="s">
        <v>10515</v>
      </c>
      <c r="Y1118" s="2" t="s">
        <v>44</v>
      </c>
      <c r="Z1118" s="2"/>
      <c r="AA1118" s="2" t="s">
        <v>3527</v>
      </c>
      <c r="AB1118" s="2" t="s">
        <v>46</v>
      </c>
      <c r="AC1118" s="2" t="s">
        <v>3527</v>
      </c>
      <c r="AE1118" s="2" t="s">
        <v>48</v>
      </c>
      <c r="AF1118" s="2" t="s">
        <v>7864</v>
      </c>
      <c r="AG1118" s="2">
        <v>100</v>
      </c>
      <c r="AH1118" s="2">
        <v>55</v>
      </c>
      <c r="AJ1118" s="2" t="s">
        <v>10517</v>
      </c>
      <c r="AK1118" s="2"/>
      <c r="AL1118" s="2"/>
      <c r="AM1118" s="2" t="s">
        <v>9687</v>
      </c>
    </row>
    <row r="1119" spans="1:39" x14ac:dyDescent="0.45">
      <c r="A1119" s="2" t="s">
        <v>10518</v>
      </c>
      <c r="B1119" s="2"/>
      <c r="C1119" s="2" t="s">
        <v>10520</v>
      </c>
      <c r="D1119" s="2" t="s">
        <v>10522</v>
      </c>
      <c r="E1119" s="25"/>
      <c r="F1119" s="21"/>
      <c r="G1119" s="42" t="s">
        <v>28000</v>
      </c>
      <c r="H1119" s="2" t="s">
        <v>9685</v>
      </c>
      <c r="I1119" s="2" t="s">
        <v>10526</v>
      </c>
      <c r="J1119" s="2" t="s">
        <v>10519</v>
      </c>
      <c r="K1119" s="2" t="s">
        <v>10521</v>
      </c>
      <c r="L1119" s="2" t="s">
        <v>10523</v>
      </c>
      <c r="M1119" s="2"/>
      <c r="N1119" s="2" t="s">
        <v>10524</v>
      </c>
      <c r="O1119" s="2" t="s">
        <v>175</v>
      </c>
      <c r="P1119" s="2" t="s">
        <v>10525</v>
      </c>
      <c r="Q1119" s="2"/>
      <c r="R1119" s="2"/>
      <c r="S1119" s="2"/>
      <c r="T1119" s="2"/>
      <c r="U1119" s="2"/>
      <c r="V1119" s="2"/>
      <c r="W1119" s="2"/>
      <c r="X1119" s="2" t="s">
        <v>5430</v>
      </c>
      <c r="Y1119" s="2" t="s">
        <v>44</v>
      </c>
      <c r="Z1119" s="2"/>
      <c r="AA1119" s="2" t="s">
        <v>3527</v>
      </c>
      <c r="AB1119" s="2" t="s">
        <v>46</v>
      </c>
      <c r="AC1119" s="2" t="s">
        <v>3527</v>
      </c>
      <c r="AE1119" s="2" t="s">
        <v>48</v>
      </c>
      <c r="AF1119" s="2" t="s">
        <v>7864</v>
      </c>
      <c r="AG1119" s="2">
        <v>100</v>
      </c>
      <c r="AH1119" s="2">
        <v>55</v>
      </c>
      <c r="AJ1119" s="2" t="s">
        <v>10527</v>
      </c>
      <c r="AK1119" s="2"/>
      <c r="AL1119" s="2"/>
      <c r="AM1119" s="2" t="s">
        <v>9687</v>
      </c>
    </row>
    <row r="1120" spans="1:39" x14ac:dyDescent="0.45">
      <c r="A1120" s="2" t="s">
        <v>10528</v>
      </c>
      <c r="B1120" s="2"/>
      <c r="C1120" s="2" t="s">
        <v>10530</v>
      </c>
      <c r="D1120" s="2" t="s">
        <v>10532</v>
      </c>
      <c r="E1120" s="25"/>
      <c r="F1120" s="21"/>
      <c r="G1120" s="42" t="s">
        <v>28000</v>
      </c>
      <c r="H1120" s="2" t="s">
        <v>9685</v>
      </c>
      <c r="I1120" s="2" t="s">
        <v>10535</v>
      </c>
      <c r="J1120" s="2" t="s">
        <v>10529</v>
      </c>
      <c r="K1120" s="2" t="s">
        <v>10531</v>
      </c>
      <c r="L1120" s="2" t="s">
        <v>3562</v>
      </c>
      <c r="M1120" s="2" t="s">
        <v>3562</v>
      </c>
      <c r="N1120" s="2" t="s">
        <v>10533</v>
      </c>
      <c r="O1120" s="2" t="s">
        <v>60</v>
      </c>
      <c r="P1120" s="2" t="s">
        <v>10534</v>
      </c>
      <c r="Q1120" s="2" t="s">
        <v>10531</v>
      </c>
      <c r="R1120" s="2"/>
      <c r="S1120" s="2"/>
      <c r="T1120" s="2"/>
      <c r="U1120" s="2" t="s">
        <v>10533</v>
      </c>
      <c r="V1120" s="2" t="s">
        <v>60</v>
      </c>
      <c r="W1120" s="2" t="s">
        <v>10534</v>
      </c>
      <c r="X1120" s="2" t="s">
        <v>5594</v>
      </c>
      <c r="Y1120" s="2" t="s">
        <v>44</v>
      </c>
      <c r="Z1120" s="2"/>
      <c r="AA1120" s="2" t="s">
        <v>3527</v>
      </c>
      <c r="AB1120" s="2" t="s">
        <v>46</v>
      </c>
      <c r="AC1120" s="2" t="s">
        <v>3527</v>
      </c>
      <c r="AE1120" s="2" t="s">
        <v>48</v>
      </c>
      <c r="AF1120" s="2" t="s">
        <v>7864</v>
      </c>
      <c r="AG1120" s="2">
        <v>100</v>
      </c>
      <c r="AH1120" s="2">
        <v>55</v>
      </c>
      <c r="AJ1120" s="2" t="s">
        <v>10536</v>
      </c>
      <c r="AK1120" s="2"/>
      <c r="AL1120" s="2"/>
      <c r="AM1120" s="2" t="s">
        <v>9687</v>
      </c>
    </row>
    <row r="1121" spans="1:39" x14ac:dyDescent="0.45">
      <c r="A1121" s="2" t="s">
        <v>10537</v>
      </c>
      <c r="B1121" s="2"/>
      <c r="C1121" s="2" t="s">
        <v>10539</v>
      </c>
      <c r="D1121" s="2" t="s">
        <v>10541</v>
      </c>
      <c r="E1121" s="25"/>
      <c r="F1121" s="21"/>
      <c r="G1121" s="42" t="s">
        <v>28000</v>
      </c>
      <c r="H1121" s="2" t="s">
        <v>9685</v>
      </c>
      <c r="I1121" s="2" t="s">
        <v>10543</v>
      </c>
      <c r="J1121" s="2" t="s">
        <v>10538</v>
      </c>
      <c r="K1121" s="2" t="s">
        <v>10540</v>
      </c>
      <c r="L1121" s="2" t="s">
        <v>10542</v>
      </c>
      <c r="M1121" s="2" t="s">
        <v>10542</v>
      </c>
      <c r="N1121" s="2" t="s">
        <v>5821</v>
      </c>
      <c r="O1121" s="2" t="s">
        <v>278</v>
      </c>
      <c r="P1121" s="2" t="s">
        <v>5822</v>
      </c>
      <c r="Q1121" s="2"/>
      <c r="R1121" s="2"/>
      <c r="S1121" s="2"/>
      <c r="T1121" s="2"/>
      <c r="U1121" s="2"/>
      <c r="V1121" s="2"/>
      <c r="W1121" s="2"/>
      <c r="X1121" s="2" t="s">
        <v>7730</v>
      </c>
      <c r="Y1121" s="2" t="s">
        <v>44</v>
      </c>
      <c r="Z1121" s="2"/>
      <c r="AA1121" s="2" t="s">
        <v>3527</v>
      </c>
      <c r="AB1121" s="2" t="s">
        <v>46</v>
      </c>
      <c r="AC1121" s="2" t="s">
        <v>3527</v>
      </c>
      <c r="AE1121" s="2" t="s">
        <v>48</v>
      </c>
      <c r="AF1121" s="2" t="s">
        <v>7864</v>
      </c>
      <c r="AG1121" s="2">
        <v>100</v>
      </c>
      <c r="AH1121" s="2">
        <v>55</v>
      </c>
      <c r="AJ1121" s="2" t="s">
        <v>10544</v>
      </c>
      <c r="AK1121" s="2"/>
      <c r="AL1121" s="2"/>
      <c r="AM1121" s="2" t="s">
        <v>9687</v>
      </c>
    </row>
    <row r="1122" spans="1:39" x14ac:dyDescent="0.45">
      <c r="A1122" s="2" t="s">
        <v>10545</v>
      </c>
      <c r="B1122" s="2"/>
      <c r="C1122" s="2" t="s">
        <v>10545</v>
      </c>
      <c r="D1122" s="2" t="s">
        <v>10548</v>
      </c>
      <c r="E1122" s="25"/>
      <c r="F1122" s="21"/>
      <c r="G1122" s="42" t="s">
        <v>28000</v>
      </c>
      <c r="H1122" s="2" t="s">
        <v>9685</v>
      </c>
      <c r="I1122" s="2" t="s">
        <v>10550</v>
      </c>
      <c r="J1122" s="2" t="s">
        <v>10546</v>
      </c>
      <c r="K1122" s="2" t="s">
        <v>10547</v>
      </c>
      <c r="L1122" s="2" t="s">
        <v>3562</v>
      </c>
      <c r="M1122" s="2" t="s">
        <v>3562</v>
      </c>
      <c r="N1122" s="2" t="s">
        <v>6156</v>
      </c>
      <c r="O1122" s="2" t="s">
        <v>217</v>
      </c>
      <c r="P1122" s="2" t="s">
        <v>10549</v>
      </c>
      <c r="Q1122" s="2"/>
      <c r="R1122" s="2"/>
      <c r="S1122" s="2"/>
      <c r="T1122" s="2"/>
      <c r="U1122" s="2"/>
      <c r="V1122" s="2"/>
      <c r="W1122" s="2"/>
      <c r="X1122" s="2" t="s">
        <v>5678</v>
      </c>
      <c r="Y1122" s="2" t="s">
        <v>44</v>
      </c>
      <c r="Z1122" s="2"/>
      <c r="AA1122" s="2" t="s">
        <v>3527</v>
      </c>
      <c r="AB1122" s="2" t="s">
        <v>46</v>
      </c>
      <c r="AC1122" s="2" t="s">
        <v>3527</v>
      </c>
      <c r="AE1122" s="2" t="s">
        <v>48</v>
      </c>
      <c r="AF1122" s="2" t="s">
        <v>7864</v>
      </c>
      <c r="AG1122" s="2">
        <v>100</v>
      </c>
      <c r="AH1122" s="2">
        <v>55</v>
      </c>
      <c r="AJ1122" s="2" t="s">
        <v>10551</v>
      </c>
      <c r="AK1122" s="2"/>
      <c r="AL1122" s="2"/>
      <c r="AM1122" s="2" t="s">
        <v>9687</v>
      </c>
    </row>
    <row r="1123" spans="1:39" x14ac:dyDescent="0.45">
      <c r="A1123" s="2" t="s">
        <v>10552</v>
      </c>
      <c r="B1123" s="2"/>
      <c r="C1123" s="2" t="s">
        <v>10554</v>
      </c>
      <c r="D1123" s="2" t="s">
        <v>10556</v>
      </c>
      <c r="E1123" s="25"/>
      <c r="F1123" s="21"/>
      <c r="G1123" s="42" t="s">
        <v>28000</v>
      </c>
      <c r="H1123" s="2" t="s">
        <v>9685</v>
      </c>
      <c r="I1123" s="2" t="s">
        <v>10560</v>
      </c>
      <c r="J1123" s="2" t="s">
        <v>10553</v>
      </c>
      <c r="K1123" s="2" t="s">
        <v>10555</v>
      </c>
      <c r="L1123" s="2" t="s">
        <v>10557</v>
      </c>
      <c r="M1123" s="2" t="s">
        <v>10557</v>
      </c>
      <c r="N1123" s="2" t="s">
        <v>9589</v>
      </c>
      <c r="O1123" s="2" t="s">
        <v>221</v>
      </c>
      <c r="P1123" s="2" t="s">
        <v>10558</v>
      </c>
      <c r="Q1123" s="2"/>
      <c r="R1123" s="2"/>
      <c r="S1123" s="2"/>
      <c r="T1123" s="2"/>
      <c r="U1123" s="2"/>
      <c r="V1123" s="2"/>
      <c r="W1123" s="2"/>
      <c r="X1123" s="2" t="s">
        <v>10559</v>
      </c>
      <c r="Y1123" s="2" t="s">
        <v>44</v>
      </c>
      <c r="Z1123" s="2"/>
      <c r="AA1123" s="2" t="s">
        <v>3527</v>
      </c>
      <c r="AB1123" s="2" t="s">
        <v>46</v>
      </c>
      <c r="AC1123" s="2" t="s">
        <v>3527</v>
      </c>
      <c r="AE1123" s="2" t="s">
        <v>48</v>
      </c>
      <c r="AF1123" s="2" t="s">
        <v>7864</v>
      </c>
      <c r="AG1123" s="2">
        <v>100</v>
      </c>
      <c r="AH1123" s="2">
        <v>55</v>
      </c>
      <c r="AJ1123" s="2" t="s">
        <v>10561</v>
      </c>
      <c r="AK1123" s="2"/>
      <c r="AL1123" s="2"/>
      <c r="AM1123" s="2" t="s">
        <v>9687</v>
      </c>
    </row>
    <row r="1124" spans="1:39" x14ac:dyDescent="0.45">
      <c r="A1124" s="2" t="s">
        <v>10562</v>
      </c>
      <c r="B1124" s="2"/>
      <c r="C1124" s="2" t="s">
        <v>10562</v>
      </c>
      <c r="D1124" s="2" t="s">
        <v>10565</v>
      </c>
      <c r="E1124" s="25"/>
      <c r="F1124" s="21"/>
      <c r="G1124" s="42" t="s">
        <v>28000</v>
      </c>
      <c r="H1124" s="2" t="s">
        <v>9685</v>
      </c>
      <c r="I1124" s="2" t="s">
        <v>10569</v>
      </c>
      <c r="J1124" s="2" t="s">
        <v>10563</v>
      </c>
      <c r="K1124" s="2" t="s">
        <v>10564</v>
      </c>
      <c r="L1124" s="2" t="s">
        <v>10566</v>
      </c>
      <c r="M1124" s="2" t="s">
        <v>10566</v>
      </c>
      <c r="N1124" s="2" t="s">
        <v>10567</v>
      </c>
      <c r="O1124" s="2" t="s">
        <v>1209</v>
      </c>
      <c r="P1124" s="2" t="s">
        <v>10568</v>
      </c>
      <c r="Q1124" s="2" t="s">
        <v>10564</v>
      </c>
      <c r="R1124" s="2"/>
      <c r="S1124" s="2"/>
      <c r="T1124" s="2"/>
      <c r="U1124" s="2" t="s">
        <v>10567</v>
      </c>
      <c r="V1124" s="2" t="s">
        <v>1209</v>
      </c>
      <c r="W1124" s="2" t="s">
        <v>10568</v>
      </c>
      <c r="X1124" s="2" t="s">
        <v>801</v>
      </c>
      <c r="Y1124" s="2" t="s">
        <v>44</v>
      </c>
      <c r="Z1124" s="2"/>
      <c r="AA1124" s="2" t="s">
        <v>3527</v>
      </c>
      <c r="AB1124" s="2" t="s">
        <v>46</v>
      </c>
      <c r="AC1124" s="2" t="s">
        <v>3527</v>
      </c>
      <c r="AE1124" s="2" t="s">
        <v>48</v>
      </c>
      <c r="AF1124" s="2" t="s">
        <v>7864</v>
      </c>
      <c r="AG1124" s="2">
        <v>100</v>
      </c>
      <c r="AH1124" s="2">
        <v>55</v>
      </c>
      <c r="AJ1124" s="2" t="s">
        <v>10570</v>
      </c>
      <c r="AK1124" s="2"/>
      <c r="AL1124" s="2"/>
      <c r="AM1124" s="2" t="s">
        <v>9687</v>
      </c>
    </row>
    <row r="1125" spans="1:39" x14ac:dyDescent="0.45">
      <c r="A1125" s="2" t="s">
        <v>10571</v>
      </c>
      <c r="B1125" s="2"/>
      <c r="C1125" s="7" t="s">
        <v>27989</v>
      </c>
      <c r="D1125" s="2" t="s">
        <v>10574</v>
      </c>
      <c r="E1125" s="25"/>
      <c r="F1125" s="21"/>
      <c r="G1125" s="42" t="s">
        <v>28000</v>
      </c>
      <c r="H1125" s="2" t="s">
        <v>9685</v>
      </c>
      <c r="I1125" s="2" t="s">
        <v>10580</v>
      </c>
      <c r="J1125" s="2" t="s">
        <v>10572</v>
      </c>
      <c r="K1125" s="2" t="s">
        <v>10573</v>
      </c>
      <c r="L1125" s="2" t="s">
        <v>10575</v>
      </c>
      <c r="M1125" s="2" t="s">
        <v>10575</v>
      </c>
      <c r="N1125" s="2" t="s">
        <v>1148</v>
      </c>
      <c r="O1125" s="2" t="s">
        <v>278</v>
      </c>
      <c r="P1125" s="2" t="s">
        <v>10576</v>
      </c>
      <c r="Q1125" s="2" t="s">
        <v>10577</v>
      </c>
      <c r="R1125" s="2"/>
      <c r="S1125" s="2"/>
      <c r="T1125" s="2"/>
      <c r="U1125" s="2" t="s">
        <v>290</v>
      </c>
      <c r="V1125" s="2" t="s">
        <v>278</v>
      </c>
      <c r="W1125" s="2" t="s">
        <v>10578</v>
      </c>
      <c r="X1125" s="2" t="s">
        <v>10579</v>
      </c>
      <c r="Y1125" s="2" t="s">
        <v>44</v>
      </c>
      <c r="Z1125" s="2"/>
      <c r="AA1125" s="2" t="s">
        <v>3527</v>
      </c>
      <c r="AB1125" s="2" t="s">
        <v>46</v>
      </c>
      <c r="AC1125" s="2" t="s">
        <v>3527</v>
      </c>
      <c r="AE1125" s="2" t="s">
        <v>48</v>
      </c>
      <c r="AF1125" s="2" t="s">
        <v>7864</v>
      </c>
      <c r="AG1125" s="2">
        <v>85</v>
      </c>
      <c r="AH1125" s="2">
        <v>55</v>
      </c>
      <c r="AJ1125" s="2" t="s">
        <v>10581</v>
      </c>
      <c r="AK1125" s="2"/>
      <c r="AL1125" s="2"/>
      <c r="AM1125" s="2" t="s">
        <v>9687</v>
      </c>
    </row>
    <row r="1126" spans="1:39" x14ac:dyDescent="0.45">
      <c r="A1126" s="2" t="s">
        <v>10582</v>
      </c>
      <c r="B1126" s="2"/>
      <c r="C1126" s="7" t="s">
        <v>27990</v>
      </c>
      <c r="D1126" s="8" t="s">
        <v>27991</v>
      </c>
      <c r="E1126" s="25"/>
      <c r="F1126" s="21"/>
      <c r="G1126" s="42" t="s">
        <v>28000</v>
      </c>
      <c r="H1126" s="2" t="s">
        <v>9685</v>
      </c>
      <c r="I1126" s="2" t="s">
        <v>10588</v>
      </c>
      <c r="J1126" s="2" t="s">
        <v>10583</v>
      </c>
      <c r="K1126" s="2" t="s">
        <v>10584</v>
      </c>
      <c r="L1126" s="2" t="s">
        <v>10585</v>
      </c>
      <c r="M1126" s="2" t="s">
        <v>10585</v>
      </c>
      <c r="N1126" s="2" t="s">
        <v>5821</v>
      </c>
      <c r="O1126" s="2" t="s">
        <v>278</v>
      </c>
      <c r="P1126" s="2" t="s">
        <v>5822</v>
      </c>
      <c r="Q1126" s="2" t="s">
        <v>10586</v>
      </c>
      <c r="R1126" s="2"/>
      <c r="S1126" s="2"/>
      <c r="T1126" s="2"/>
      <c r="U1126" s="2" t="s">
        <v>5821</v>
      </c>
      <c r="V1126" s="2" t="s">
        <v>278</v>
      </c>
      <c r="W1126" s="2" t="s">
        <v>5822</v>
      </c>
      <c r="X1126" s="2" t="s">
        <v>10587</v>
      </c>
      <c r="Y1126" s="2" t="s">
        <v>44</v>
      </c>
      <c r="Z1126" s="2"/>
      <c r="AA1126" s="2" t="s">
        <v>3527</v>
      </c>
      <c r="AB1126" s="2" t="s">
        <v>46</v>
      </c>
      <c r="AC1126" s="2" t="s">
        <v>3527</v>
      </c>
      <c r="AE1126" s="2" t="s">
        <v>48</v>
      </c>
      <c r="AF1126" s="2" t="s">
        <v>7864</v>
      </c>
      <c r="AG1126" s="2">
        <v>85</v>
      </c>
      <c r="AH1126" s="2">
        <v>55</v>
      </c>
      <c r="AJ1126" s="2" t="s">
        <v>10589</v>
      </c>
      <c r="AK1126" s="2"/>
      <c r="AL1126" s="2"/>
      <c r="AM1126" s="2" t="s">
        <v>9687</v>
      </c>
    </row>
    <row r="1127" spans="1:39" x14ac:dyDescent="0.45">
      <c r="A1127" s="2" t="s">
        <v>10590</v>
      </c>
      <c r="B1127" s="2"/>
      <c r="C1127" s="2" t="s">
        <v>10590</v>
      </c>
      <c r="D1127" s="2" t="s">
        <v>10593</v>
      </c>
      <c r="E1127" s="25"/>
      <c r="F1127" s="21"/>
      <c r="G1127" s="42" t="s">
        <v>28000</v>
      </c>
      <c r="H1127" s="2" t="s">
        <v>9685</v>
      </c>
      <c r="I1127" s="2" t="s">
        <v>10598</v>
      </c>
      <c r="J1127" s="2" t="s">
        <v>10591</v>
      </c>
      <c r="K1127" s="2" t="s">
        <v>10592</v>
      </c>
      <c r="L1127" s="2"/>
      <c r="M1127" s="2"/>
      <c r="N1127" s="2" t="s">
        <v>10594</v>
      </c>
      <c r="O1127" s="2" t="s">
        <v>10595</v>
      </c>
      <c r="P1127" s="2" t="s">
        <v>10596</v>
      </c>
      <c r="Q1127" s="2" t="s">
        <v>10592</v>
      </c>
      <c r="R1127" s="2"/>
      <c r="S1127" s="2"/>
      <c r="T1127" s="2"/>
      <c r="U1127" s="2" t="s">
        <v>10594</v>
      </c>
      <c r="V1127" s="2" t="s">
        <v>10595</v>
      </c>
      <c r="W1127" s="2" t="s">
        <v>10596</v>
      </c>
      <c r="X1127" s="2" t="s">
        <v>10597</v>
      </c>
      <c r="Y1127" s="2" t="s">
        <v>44</v>
      </c>
      <c r="Z1127" s="2"/>
      <c r="AA1127" s="2" t="s">
        <v>821</v>
      </c>
      <c r="AB1127" s="2" t="s">
        <v>46</v>
      </c>
      <c r="AC1127" s="2" t="s">
        <v>821</v>
      </c>
      <c r="AE1127" s="2" t="s">
        <v>48</v>
      </c>
      <c r="AF1127" s="2" t="s">
        <v>7864</v>
      </c>
      <c r="AG1127" s="2">
        <v>90</v>
      </c>
      <c r="AH1127" s="2">
        <v>52</v>
      </c>
      <c r="AJ1127" s="2" t="s">
        <v>10599</v>
      </c>
      <c r="AK1127" s="2"/>
      <c r="AL1127" s="2"/>
      <c r="AM1127" s="2" t="s">
        <v>9687</v>
      </c>
    </row>
    <row r="1128" spans="1:39" x14ac:dyDescent="0.45">
      <c r="A1128" s="2" t="s">
        <v>10600</v>
      </c>
      <c r="B1128" s="2"/>
      <c r="C1128" s="2" t="s">
        <v>10602</v>
      </c>
      <c r="D1128" s="2" t="s">
        <v>10604</v>
      </c>
      <c r="E1128" s="25"/>
      <c r="F1128" s="21"/>
      <c r="G1128" s="42" t="s">
        <v>28000</v>
      </c>
      <c r="H1128" s="2" t="s">
        <v>9685</v>
      </c>
      <c r="I1128" s="2" t="s">
        <v>10609</v>
      </c>
      <c r="J1128" s="2" t="s">
        <v>10601</v>
      </c>
      <c r="K1128" s="2" t="s">
        <v>10603</v>
      </c>
      <c r="L1128" s="2"/>
      <c r="M1128" s="2"/>
      <c r="N1128" s="2" t="s">
        <v>10605</v>
      </c>
      <c r="O1128" s="2" t="s">
        <v>1281</v>
      </c>
      <c r="P1128" s="2" t="s">
        <v>10606</v>
      </c>
      <c r="Q1128" s="2" t="s">
        <v>10607</v>
      </c>
      <c r="R1128" s="2"/>
      <c r="S1128" s="2"/>
      <c r="T1128" s="2"/>
      <c r="U1128" s="2" t="s">
        <v>59</v>
      </c>
      <c r="V1128" s="2" t="s">
        <v>60</v>
      </c>
      <c r="W1128" s="2" t="s">
        <v>5251</v>
      </c>
      <c r="X1128" s="2" t="s">
        <v>10608</v>
      </c>
      <c r="Y1128" s="2" t="s">
        <v>44</v>
      </c>
      <c r="Z1128" s="2"/>
      <c r="AA1128" s="2" t="s">
        <v>821</v>
      </c>
      <c r="AB1128" s="2" t="s">
        <v>46</v>
      </c>
      <c r="AC1128" s="2" t="s">
        <v>821</v>
      </c>
      <c r="AE1128" s="2" t="s">
        <v>48</v>
      </c>
      <c r="AF1128" s="2" t="s">
        <v>7864</v>
      </c>
      <c r="AG1128" s="2">
        <v>90</v>
      </c>
      <c r="AH1128" s="2">
        <v>52</v>
      </c>
      <c r="AJ1128" s="2" t="s">
        <v>10610</v>
      </c>
      <c r="AK1128" s="2"/>
      <c r="AL1128" s="2"/>
      <c r="AM1128" s="2" t="s">
        <v>9687</v>
      </c>
    </row>
    <row r="1129" spans="1:39" x14ac:dyDescent="0.45">
      <c r="A1129" s="2" t="s">
        <v>10611</v>
      </c>
      <c r="B1129" s="2"/>
      <c r="C1129" s="7" t="s">
        <v>27992</v>
      </c>
      <c r="D1129" s="2" t="s">
        <v>10614</v>
      </c>
      <c r="E1129" s="25"/>
      <c r="F1129" s="21"/>
      <c r="G1129" s="42" t="s">
        <v>28000</v>
      </c>
      <c r="H1129" s="2" t="s">
        <v>9685</v>
      </c>
      <c r="I1129" s="2" t="s">
        <v>10617</v>
      </c>
      <c r="J1129" s="2" t="s">
        <v>10612</v>
      </c>
      <c r="K1129" s="2" t="s">
        <v>10613</v>
      </c>
      <c r="L1129" s="2"/>
      <c r="M1129" s="2"/>
      <c r="N1129" s="2" t="s">
        <v>312</v>
      </c>
      <c r="O1129" s="2" t="s">
        <v>313</v>
      </c>
      <c r="P1129" s="2" t="s">
        <v>7647</v>
      </c>
      <c r="Q1129" s="2" t="s">
        <v>10615</v>
      </c>
      <c r="R1129" s="2"/>
      <c r="S1129" s="2"/>
      <c r="T1129" s="2"/>
      <c r="U1129" s="2" t="s">
        <v>312</v>
      </c>
      <c r="V1129" s="2" t="s">
        <v>313</v>
      </c>
      <c r="W1129" s="2" t="s">
        <v>314</v>
      </c>
      <c r="X1129" s="2" t="s">
        <v>10616</v>
      </c>
      <c r="Y1129" s="2" t="s">
        <v>44</v>
      </c>
      <c r="Z1129" s="2"/>
      <c r="AA1129" s="2" t="s">
        <v>821</v>
      </c>
      <c r="AB1129" s="2" t="s">
        <v>46</v>
      </c>
      <c r="AC1129" s="2" t="s">
        <v>821</v>
      </c>
      <c r="AE1129" s="2" t="s">
        <v>48</v>
      </c>
      <c r="AF1129" s="2" t="s">
        <v>7864</v>
      </c>
      <c r="AG1129" s="2">
        <v>75</v>
      </c>
      <c r="AH1129" s="2">
        <v>52</v>
      </c>
      <c r="AJ1129" s="2" t="s">
        <v>10618</v>
      </c>
      <c r="AK1129" s="2"/>
      <c r="AL1129" s="2"/>
      <c r="AM1129" s="2" t="s">
        <v>9687</v>
      </c>
    </row>
    <row r="1130" spans="1:39" x14ac:dyDescent="0.45">
      <c r="A1130" s="2" t="s">
        <v>10619</v>
      </c>
      <c r="B1130" s="2"/>
      <c r="C1130" s="7" t="s">
        <v>27997</v>
      </c>
      <c r="D1130" s="2" t="s">
        <v>10622</v>
      </c>
      <c r="E1130" s="25"/>
      <c r="F1130" s="21"/>
      <c r="G1130" s="42" t="s">
        <v>28000</v>
      </c>
      <c r="H1130" s="2" t="s">
        <v>9685</v>
      </c>
      <c r="I1130" s="2" t="s">
        <v>10625</v>
      </c>
      <c r="J1130" s="2" t="s">
        <v>10620</v>
      </c>
      <c r="K1130" s="2" t="s">
        <v>10621</v>
      </c>
      <c r="L1130" s="2"/>
      <c r="M1130" s="2"/>
      <c r="N1130" s="2" t="s">
        <v>312</v>
      </c>
      <c r="O1130" s="2" t="s">
        <v>313</v>
      </c>
      <c r="P1130" s="2" t="s">
        <v>314</v>
      </c>
      <c r="Q1130" s="2" t="s">
        <v>10623</v>
      </c>
      <c r="R1130" s="2"/>
      <c r="S1130" s="2"/>
      <c r="T1130" s="2"/>
      <c r="U1130" s="2" t="s">
        <v>312</v>
      </c>
      <c r="V1130" s="2" t="s">
        <v>313</v>
      </c>
      <c r="W1130" s="2" t="s">
        <v>314</v>
      </c>
      <c r="X1130" s="2" t="s">
        <v>10624</v>
      </c>
      <c r="Y1130" s="2" t="s">
        <v>44</v>
      </c>
      <c r="Z1130" s="2"/>
      <c r="AA1130" s="2" t="s">
        <v>821</v>
      </c>
      <c r="AB1130" s="2" t="s">
        <v>46</v>
      </c>
      <c r="AC1130" s="2" t="s">
        <v>821</v>
      </c>
      <c r="AE1130" s="2" t="s">
        <v>48</v>
      </c>
      <c r="AF1130" s="2" t="s">
        <v>7864</v>
      </c>
      <c r="AG1130" s="2">
        <v>75</v>
      </c>
      <c r="AH1130" s="2">
        <v>52</v>
      </c>
      <c r="AJ1130" s="2" t="s">
        <v>10626</v>
      </c>
      <c r="AK1130" s="2"/>
      <c r="AL1130" s="2"/>
      <c r="AM1130" s="2" t="s">
        <v>9687</v>
      </c>
    </row>
    <row r="1131" spans="1:39" x14ac:dyDescent="0.45">
      <c r="A1131" s="2" t="s">
        <v>10627</v>
      </c>
      <c r="B1131" s="2"/>
      <c r="C1131" s="2" t="s">
        <v>10627</v>
      </c>
      <c r="D1131" s="2" t="s">
        <v>10630</v>
      </c>
      <c r="E1131" s="25"/>
      <c r="F1131" s="21"/>
      <c r="G1131" s="42" t="s">
        <v>28000</v>
      </c>
      <c r="H1131" s="2" t="s">
        <v>9685</v>
      </c>
      <c r="I1131" s="2" t="s">
        <v>10633</v>
      </c>
      <c r="J1131" s="2" t="s">
        <v>10628</v>
      </c>
      <c r="K1131" s="2" t="s">
        <v>10629</v>
      </c>
      <c r="L1131" s="2"/>
      <c r="M1131" s="2"/>
      <c r="N1131" s="2" t="s">
        <v>85</v>
      </c>
      <c r="O1131" s="2" t="s">
        <v>86</v>
      </c>
      <c r="P1131" s="2" t="s">
        <v>9449</v>
      </c>
      <c r="Q1131" s="2" t="s">
        <v>10631</v>
      </c>
      <c r="R1131" s="2"/>
      <c r="S1131" s="2"/>
      <c r="T1131" s="2"/>
      <c r="U1131" s="2" t="s">
        <v>85</v>
      </c>
      <c r="V1131" s="2" t="s">
        <v>86</v>
      </c>
      <c r="W1131" s="2" t="s">
        <v>9449</v>
      </c>
      <c r="X1131" s="2" t="s">
        <v>10632</v>
      </c>
      <c r="Y1131" s="2" t="s">
        <v>44</v>
      </c>
      <c r="Z1131" s="2"/>
      <c r="AA1131" s="2" t="s">
        <v>3527</v>
      </c>
      <c r="AB1131" s="2" t="s">
        <v>46</v>
      </c>
      <c r="AC1131" s="2" t="s">
        <v>3527</v>
      </c>
      <c r="AE1131" s="2" t="s">
        <v>48</v>
      </c>
      <c r="AF1131" s="2" t="s">
        <v>7864</v>
      </c>
      <c r="AG1131" s="2">
        <v>90</v>
      </c>
      <c r="AH1131" s="2">
        <v>50</v>
      </c>
      <c r="AJ1131" s="2" t="s">
        <v>10634</v>
      </c>
      <c r="AK1131" s="2"/>
      <c r="AL1131" s="2"/>
      <c r="AM1131" s="2" t="s">
        <v>9687</v>
      </c>
    </row>
    <row r="1132" spans="1:39" x14ac:dyDescent="0.45">
      <c r="A1132" s="2" t="s">
        <v>10635</v>
      </c>
      <c r="B1132" s="2"/>
      <c r="C1132" s="2" t="s">
        <v>10637</v>
      </c>
      <c r="D1132" s="2" t="s">
        <v>10639</v>
      </c>
      <c r="E1132" s="25"/>
      <c r="F1132" s="21"/>
      <c r="G1132" s="42" t="s">
        <v>28000</v>
      </c>
      <c r="H1132" s="2" t="s">
        <v>9685</v>
      </c>
      <c r="I1132" s="2" t="s">
        <v>10643</v>
      </c>
      <c r="J1132" s="2" t="s">
        <v>10636</v>
      </c>
      <c r="K1132" s="2" t="s">
        <v>10638</v>
      </c>
      <c r="L1132" s="2"/>
      <c r="M1132" s="2"/>
      <c r="N1132" s="2" t="s">
        <v>85</v>
      </c>
      <c r="O1132" s="2" t="s">
        <v>86</v>
      </c>
      <c r="P1132" s="2" t="s">
        <v>10640</v>
      </c>
      <c r="Q1132" s="2" t="s">
        <v>10641</v>
      </c>
      <c r="R1132" s="2"/>
      <c r="S1132" s="2"/>
      <c r="T1132" s="2"/>
      <c r="U1132" s="2" t="s">
        <v>85</v>
      </c>
      <c r="V1132" s="2" t="s">
        <v>86</v>
      </c>
      <c r="W1132" s="2" t="s">
        <v>10640</v>
      </c>
      <c r="X1132" s="2" t="s">
        <v>10642</v>
      </c>
      <c r="Y1132" s="2" t="s">
        <v>44</v>
      </c>
      <c r="Z1132" s="2"/>
      <c r="AA1132" s="2" t="s">
        <v>3527</v>
      </c>
      <c r="AB1132" s="2" t="s">
        <v>46</v>
      </c>
      <c r="AC1132" s="2" t="s">
        <v>3527</v>
      </c>
      <c r="AE1132" s="2" t="s">
        <v>48</v>
      </c>
      <c r="AF1132" s="2" t="s">
        <v>7864</v>
      </c>
      <c r="AG1132" s="2">
        <v>90</v>
      </c>
      <c r="AH1132" s="2">
        <v>50</v>
      </c>
      <c r="AJ1132" s="2" t="s">
        <v>10644</v>
      </c>
      <c r="AK1132" s="2"/>
      <c r="AL1132" s="2"/>
      <c r="AM1132" s="2" t="s">
        <v>9687</v>
      </c>
    </row>
    <row r="1133" spans="1:39" x14ac:dyDescent="0.45">
      <c r="A1133" s="2" t="s">
        <v>10645</v>
      </c>
      <c r="B1133" s="2"/>
      <c r="C1133" s="2" t="s">
        <v>10645</v>
      </c>
      <c r="D1133" s="2" t="s">
        <v>10648</v>
      </c>
      <c r="E1133" s="25"/>
      <c r="F1133" s="21"/>
      <c r="G1133" s="42" t="s">
        <v>28000</v>
      </c>
      <c r="H1133" s="2" t="s">
        <v>9685</v>
      </c>
      <c r="I1133" s="2" t="s">
        <v>10650</v>
      </c>
      <c r="J1133" s="2" t="s">
        <v>10646</v>
      </c>
      <c r="K1133" s="2" t="s">
        <v>10647</v>
      </c>
      <c r="L1133" s="2"/>
      <c r="M1133" s="2"/>
      <c r="N1133" s="2" t="s">
        <v>85</v>
      </c>
      <c r="O1133" s="2" t="s">
        <v>86</v>
      </c>
      <c r="P1133" s="2" t="s">
        <v>2353</v>
      </c>
      <c r="Q1133" s="2" t="s">
        <v>10647</v>
      </c>
      <c r="R1133" s="2"/>
      <c r="S1133" s="2"/>
      <c r="T1133" s="2"/>
      <c r="U1133" s="2" t="s">
        <v>85</v>
      </c>
      <c r="V1133" s="2" t="s">
        <v>86</v>
      </c>
      <c r="W1133" s="2" t="s">
        <v>2353</v>
      </c>
      <c r="X1133" s="2" t="s">
        <v>10649</v>
      </c>
      <c r="Y1133" s="2" t="s">
        <v>44</v>
      </c>
      <c r="Z1133" s="2"/>
      <c r="AA1133" s="2" t="s">
        <v>3527</v>
      </c>
      <c r="AB1133" s="2" t="s">
        <v>46</v>
      </c>
      <c r="AC1133" s="2" t="s">
        <v>3527</v>
      </c>
      <c r="AE1133" s="2" t="s">
        <v>48</v>
      </c>
      <c r="AF1133" s="2" t="s">
        <v>7864</v>
      </c>
      <c r="AG1133" s="2">
        <v>90</v>
      </c>
      <c r="AH1133" s="2">
        <v>50</v>
      </c>
      <c r="AJ1133" s="2" t="s">
        <v>10651</v>
      </c>
      <c r="AK1133" s="2"/>
      <c r="AL1133" s="2"/>
      <c r="AM1133" s="2" t="s">
        <v>9687</v>
      </c>
    </row>
    <row r="1134" spans="1:39" x14ac:dyDescent="0.45">
      <c r="A1134" s="2" t="s">
        <v>10652</v>
      </c>
      <c r="B1134" s="2"/>
      <c r="C1134" s="2" t="s">
        <v>10652</v>
      </c>
      <c r="D1134" s="2" t="s">
        <v>10655</v>
      </c>
      <c r="E1134" s="25"/>
      <c r="F1134" s="21"/>
      <c r="G1134" s="42" t="s">
        <v>28000</v>
      </c>
      <c r="H1134" s="2" t="s">
        <v>9685</v>
      </c>
      <c r="I1134" s="2" t="s">
        <v>10657</v>
      </c>
      <c r="J1134" s="2" t="s">
        <v>10653</v>
      </c>
      <c r="K1134" s="2" t="s">
        <v>10654</v>
      </c>
      <c r="L1134" s="2"/>
      <c r="M1134" s="2"/>
      <c r="N1134" s="2" t="s">
        <v>72</v>
      </c>
      <c r="O1134" s="2" t="s">
        <v>73</v>
      </c>
      <c r="P1134" s="2" t="s">
        <v>98</v>
      </c>
      <c r="Q1134" s="2" t="s">
        <v>10654</v>
      </c>
      <c r="R1134" s="2"/>
      <c r="S1134" s="2"/>
      <c r="T1134" s="2"/>
      <c r="U1134" s="2" t="s">
        <v>72</v>
      </c>
      <c r="V1134" s="2" t="s">
        <v>73</v>
      </c>
      <c r="W1134" s="2" t="s">
        <v>98</v>
      </c>
      <c r="X1134" s="2" t="s">
        <v>10656</v>
      </c>
      <c r="Y1134" s="2" t="s">
        <v>44</v>
      </c>
      <c r="Z1134" s="2"/>
      <c r="AA1134" s="2" t="s">
        <v>3527</v>
      </c>
      <c r="AB1134" s="2" t="s">
        <v>46</v>
      </c>
      <c r="AC1134" s="2" t="s">
        <v>3527</v>
      </c>
      <c r="AE1134" s="2" t="s">
        <v>48</v>
      </c>
      <c r="AF1134" s="2" t="s">
        <v>7864</v>
      </c>
      <c r="AG1134" s="2">
        <v>90</v>
      </c>
      <c r="AH1134" s="2">
        <v>50</v>
      </c>
      <c r="AJ1134" s="2" t="s">
        <v>10658</v>
      </c>
      <c r="AK1134" s="2"/>
      <c r="AL1134" s="2"/>
      <c r="AM1134" s="2" t="s">
        <v>9687</v>
      </c>
    </row>
    <row r="1135" spans="1:39" x14ac:dyDescent="0.45">
      <c r="A1135" s="2" t="s">
        <v>10659</v>
      </c>
      <c r="B1135" s="2"/>
      <c r="C1135" s="2" t="s">
        <v>10661</v>
      </c>
      <c r="D1135" s="2" t="s">
        <v>10663</v>
      </c>
      <c r="E1135" s="25"/>
      <c r="F1135" s="21"/>
      <c r="G1135" s="42" t="s">
        <v>28000</v>
      </c>
      <c r="H1135" s="2" t="s">
        <v>9685</v>
      </c>
      <c r="I1135" s="2" t="s">
        <v>10664</v>
      </c>
      <c r="J1135" s="2" t="s">
        <v>10660</v>
      </c>
      <c r="K1135" s="2" t="s">
        <v>10662</v>
      </c>
      <c r="L1135" s="2"/>
      <c r="M1135" s="2"/>
      <c r="N1135" s="2" t="s">
        <v>72</v>
      </c>
      <c r="O1135" s="2" t="s">
        <v>73</v>
      </c>
      <c r="P1135" s="2" t="s">
        <v>373</v>
      </c>
      <c r="Q1135" s="2" t="s">
        <v>10662</v>
      </c>
      <c r="R1135" s="2"/>
      <c r="S1135" s="2"/>
      <c r="T1135" s="2"/>
      <c r="U1135" s="2" t="s">
        <v>72</v>
      </c>
      <c r="V1135" s="2" t="s">
        <v>73</v>
      </c>
      <c r="W1135" s="2" t="s">
        <v>373</v>
      </c>
      <c r="X1135" s="2" t="s">
        <v>8233</v>
      </c>
      <c r="Y1135" s="2" t="s">
        <v>44</v>
      </c>
      <c r="Z1135" s="2"/>
      <c r="AA1135" s="2" t="s">
        <v>3527</v>
      </c>
      <c r="AB1135" s="2" t="s">
        <v>46</v>
      </c>
      <c r="AC1135" s="2" t="s">
        <v>3527</v>
      </c>
      <c r="AE1135" s="2" t="s">
        <v>48</v>
      </c>
      <c r="AF1135" s="2" t="s">
        <v>7864</v>
      </c>
      <c r="AG1135" s="2">
        <v>90</v>
      </c>
      <c r="AH1135" s="2">
        <v>50</v>
      </c>
      <c r="AJ1135" s="2" t="s">
        <v>10665</v>
      </c>
      <c r="AK1135" s="2"/>
      <c r="AL1135" s="2"/>
      <c r="AM1135" s="2" t="s">
        <v>9687</v>
      </c>
    </row>
    <row r="1136" spans="1:39" x14ac:dyDescent="0.45">
      <c r="A1136" s="2" t="s">
        <v>10666</v>
      </c>
      <c r="B1136" s="2"/>
      <c r="C1136" s="2" t="s">
        <v>10668</v>
      </c>
      <c r="D1136" s="2" t="s">
        <v>10670</v>
      </c>
      <c r="E1136" s="25"/>
      <c r="F1136" s="21"/>
      <c r="G1136" s="42" t="s">
        <v>28000</v>
      </c>
      <c r="H1136" s="2" t="s">
        <v>9685</v>
      </c>
      <c r="I1136" s="2" t="s">
        <v>10671</v>
      </c>
      <c r="J1136" s="2" t="s">
        <v>10667</v>
      </c>
      <c r="K1136" s="2" t="s">
        <v>10669</v>
      </c>
      <c r="L1136" s="2"/>
      <c r="M1136" s="2"/>
      <c r="N1136" s="2" t="s">
        <v>72</v>
      </c>
      <c r="O1136" s="2" t="s">
        <v>73</v>
      </c>
      <c r="P1136" s="2" t="s">
        <v>791</v>
      </c>
      <c r="Q1136" s="2" t="s">
        <v>10669</v>
      </c>
      <c r="R1136" s="2"/>
      <c r="S1136" s="2"/>
      <c r="T1136" s="2"/>
      <c r="U1136" s="2" t="s">
        <v>72</v>
      </c>
      <c r="V1136" s="2" t="s">
        <v>73</v>
      </c>
      <c r="W1136" s="2" t="s">
        <v>791</v>
      </c>
      <c r="X1136" s="2" t="s">
        <v>6846</v>
      </c>
      <c r="Y1136" s="2" t="s">
        <v>44</v>
      </c>
      <c r="Z1136" s="2"/>
      <c r="AA1136" s="2" t="s">
        <v>3527</v>
      </c>
      <c r="AB1136" s="2" t="s">
        <v>46</v>
      </c>
      <c r="AC1136" s="2" t="s">
        <v>3527</v>
      </c>
      <c r="AE1136" s="2" t="s">
        <v>48</v>
      </c>
      <c r="AF1136" s="2" t="s">
        <v>7864</v>
      </c>
      <c r="AG1136" s="2">
        <v>90</v>
      </c>
      <c r="AH1136" s="2">
        <v>50</v>
      </c>
      <c r="AJ1136" s="2" t="s">
        <v>10672</v>
      </c>
      <c r="AK1136" s="2"/>
      <c r="AL1136" s="2"/>
      <c r="AM1136" s="2" t="s">
        <v>9687</v>
      </c>
    </row>
    <row r="1137" spans="1:39" x14ac:dyDescent="0.45">
      <c r="A1137" s="2" t="s">
        <v>10673</v>
      </c>
      <c r="B1137" s="2"/>
      <c r="C1137" s="2" t="s">
        <v>10675</v>
      </c>
      <c r="D1137" s="2" t="s">
        <v>10677</v>
      </c>
      <c r="E1137" s="25"/>
      <c r="F1137" s="21"/>
      <c r="G1137" s="42" t="s">
        <v>28000</v>
      </c>
      <c r="H1137" s="2" t="s">
        <v>9685</v>
      </c>
      <c r="I1137" s="2" t="s">
        <v>10680</v>
      </c>
      <c r="J1137" s="2" t="s">
        <v>10674</v>
      </c>
      <c r="K1137" s="2" t="s">
        <v>10676</v>
      </c>
      <c r="L1137" s="2"/>
      <c r="M1137" s="2"/>
      <c r="N1137" s="2" t="s">
        <v>174</v>
      </c>
      <c r="O1137" s="2" t="s">
        <v>175</v>
      </c>
      <c r="P1137" s="2" t="s">
        <v>10678</v>
      </c>
      <c r="Q1137" s="2" t="s">
        <v>10676</v>
      </c>
      <c r="R1137" s="2"/>
      <c r="S1137" s="2"/>
      <c r="T1137" s="2"/>
      <c r="U1137" s="2" t="s">
        <v>174</v>
      </c>
      <c r="V1137" s="2" t="s">
        <v>175</v>
      </c>
      <c r="W1137" s="2" t="s">
        <v>10678</v>
      </c>
      <c r="X1137" s="2" t="s">
        <v>10679</v>
      </c>
      <c r="Y1137" s="2" t="s">
        <v>44</v>
      </c>
      <c r="Z1137" s="2"/>
      <c r="AA1137" s="2" t="s">
        <v>3527</v>
      </c>
      <c r="AB1137" s="2" t="s">
        <v>46</v>
      </c>
      <c r="AC1137" s="2" t="s">
        <v>3527</v>
      </c>
      <c r="AE1137" s="2" t="s">
        <v>48</v>
      </c>
      <c r="AF1137" s="2" t="s">
        <v>7864</v>
      </c>
      <c r="AG1137" s="2">
        <v>90</v>
      </c>
      <c r="AH1137" s="2">
        <v>50</v>
      </c>
      <c r="AJ1137" s="2" t="s">
        <v>10681</v>
      </c>
      <c r="AK1137" s="2"/>
      <c r="AL1137" s="2"/>
      <c r="AM1137" s="2" t="s">
        <v>9687</v>
      </c>
    </row>
    <row r="1138" spans="1:39" x14ac:dyDescent="0.45">
      <c r="A1138" s="2" t="s">
        <v>10682</v>
      </c>
      <c r="B1138" s="2"/>
      <c r="C1138" s="2" t="s">
        <v>10682</v>
      </c>
      <c r="D1138" s="2" t="s">
        <v>10685</v>
      </c>
      <c r="E1138" s="25"/>
      <c r="F1138" s="21"/>
      <c r="G1138" s="42" t="s">
        <v>28000</v>
      </c>
      <c r="H1138" s="2" t="s">
        <v>9685</v>
      </c>
      <c r="I1138" s="2" t="s">
        <v>10687</v>
      </c>
      <c r="J1138" s="2" t="s">
        <v>10683</v>
      </c>
      <c r="K1138" s="2" t="s">
        <v>10684</v>
      </c>
      <c r="L1138" s="2"/>
      <c r="M1138" s="2"/>
      <c r="N1138" s="2" t="s">
        <v>384</v>
      </c>
      <c r="O1138" s="2" t="s">
        <v>73</v>
      </c>
      <c r="P1138" s="2" t="s">
        <v>1012</v>
      </c>
      <c r="Q1138" s="2" t="s">
        <v>10684</v>
      </c>
      <c r="R1138" s="2"/>
      <c r="S1138" s="2"/>
      <c r="T1138" s="2"/>
      <c r="U1138" s="2" t="s">
        <v>384</v>
      </c>
      <c r="V1138" s="2" t="s">
        <v>73</v>
      </c>
      <c r="W1138" s="2" t="s">
        <v>1012</v>
      </c>
      <c r="X1138" s="2" t="s">
        <v>10686</v>
      </c>
      <c r="Y1138" s="2" t="s">
        <v>44</v>
      </c>
      <c r="Z1138" s="2"/>
      <c r="AA1138" s="2" t="s">
        <v>3527</v>
      </c>
      <c r="AB1138" s="2" t="s">
        <v>46</v>
      </c>
      <c r="AC1138" s="2" t="s">
        <v>3527</v>
      </c>
      <c r="AE1138" s="2" t="s">
        <v>48</v>
      </c>
      <c r="AF1138" s="2" t="s">
        <v>7864</v>
      </c>
      <c r="AG1138" s="2">
        <v>90</v>
      </c>
      <c r="AH1138" s="2">
        <v>50</v>
      </c>
      <c r="AJ1138" s="2" t="s">
        <v>10688</v>
      </c>
      <c r="AK1138" s="2"/>
      <c r="AL1138" s="2"/>
      <c r="AM1138" s="2" t="s">
        <v>9687</v>
      </c>
    </row>
    <row r="1139" spans="1:39" x14ac:dyDescent="0.45">
      <c r="A1139" s="2" t="s">
        <v>10689</v>
      </c>
      <c r="B1139" s="2"/>
      <c r="C1139" s="2" t="s">
        <v>10691</v>
      </c>
      <c r="D1139" s="2" t="s">
        <v>10693</v>
      </c>
      <c r="E1139" s="25"/>
      <c r="F1139" s="21"/>
      <c r="G1139" s="42" t="s">
        <v>28000</v>
      </c>
      <c r="H1139" s="2" t="s">
        <v>9685</v>
      </c>
      <c r="I1139" s="2" t="s">
        <v>10696</v>
      </c>
      <c r="J1139" s="2" t="s">
        <v>10690</v>
      </c>
      <c r="K1139" s="2" t="s">
        <v>10692</v>
      </c>
      <c r="L1139" s="2"/>
      <c r="M1139" s="2"/>
      <c r="N1139" s="2" t="s">
        <v>72</v>
      </c>
      <c r="O1139" s="2" t="s">
        <v>73</v>
      </c>
      <c r="P1139" s="2" t="s">
        <v>2222</v>
      </c>
      <c r="Q1139" s="2" t="s">
        <v>10694</v>
      </c>
      <c r="R1139" s="2"/>
      <c r="S1139" s="2"/>
      <c r="T1139" s="2"/>
      <c r="U1139" s="2" t="s">
        <v>72</v>
      </c>
      <c r="V1139" s="2" t="s">
        <v>73</v>
      </c>
      <c r="W1139" s="2" t="s">
        <v>2222</v>
      </c>
      <c r="X1139" s="2" t="s">
        <v>2509</v>
      </c>
      <c r="Y1139" s="2" t="s">
        <v>10695</v>
      </c>
      <c r="Z1139" s="2"/>
      <c r="AA1139" s="2" t="s">
        <v>3527</v>
      </c>
      <c r="AB1139" s="2" t="s">
        <v>46</v>
      </c>
      <c r="AC1139" s="2" t="s">
        <v>3527</v>
      </c>
      <c r="AE1139" s="2" t="s">
        <v>48</v>
      </c>
      <c r="AF1139" s="2" t="s">
        <v>7864</v>
      </c>
      <c r="AG1139" s="2">
        <v>90</v>
      </c>
      <c r="AH1139" s="2">
        <v>50</v>
      </c>
      <c r="AJ1139" s="2" t="s">
        <v>10697</v>
      </c>
      <c r="AK1139" s="2"/>
      <c r="AL1139" s="2"/>
      <c r="AM1139" s="2" t="s">
        <v>9687</v>
      </c>
    </row>
    <row r="1140" spans="1:39" x14ac:dyDescent="0.45">
      <c r="A1140" s="2" t="s">
        <v>10698</v>
      </c>
      <c r="B1140" s="2"/>
      <c r="C1140" s="2" t="s">
        <v>10700</v>
      </c>
      <c r="D1140" s="2" t="s">
        <v>10702</v>
      </c>
      <c r="E1140" s="25"/>
      <c r="F1140" s="21"/>
      <c r="G1140" s="42" t="s">
        <v>28000</v>
      </c>
      <c r="H1140" s="2" t="s">
        <v>9685</v>
      </c>
      <c r="I1140" s="2" t="s">
        <v>10705</v>
      </c>
      <c r="J1140" s="2" t="s">
        <v>10699</v>
      </c>
      <c r="K1140" s="2" t="s">
        <v>10701</v>
      </c>
      <c r="L1140" s="2"/>
      <c r="M1140" s="2"/>
      <c r="N1140" s="2" t="s">
        <v>1023</v>
      </c>
      <c r="O1140" s="2" t="s">
        <v>73</v>
      </c>
      <c r="P1140" s="2" t="s">
        <v>3854</v>
      </c>
      <c r="Q1140" s="2" t="s">
        <v>10703</v>
      </c>
      <c r="R1140" s="2"/>
      <c r="S1140" s="2"/>
      <c r="T1140" s="2"/>
      <c r="U1140" s="2" t="s">
        <v>1023</v>
      </c>
      <c r="V1140" s="2" t="s">
        <v>73</v>
      </c>
      <c r="W1140" s="2" t="s">
        <v>5695</v>
      </c>
      <c r="X1140" s="2" t="s">
        <v>10704</v>
      </c>
      <c r="Y1140" s="2" t="s">
        <v>44</v>
      </c>
      <c r="Z1140" s="2"/>
      <c r="AA1140" s="2" t="s">
        <v>3527</v>
      </c>
      <c r="AB1140" s="2" t="s">
        <v>46</v>
      </c>
      <c r="AC1140" s="2" t="s">
        <v>3527</v>
      </c>
      <c r="AE1140" s="2" t="s">
        <v>48</v>
      </c>
      <c r="AF1140" s="2" t="s">
        <v>7864</v>
      </c>
      <c r="AG1140" s="2">
        <v>90</v>
      </c>
      <c r="AH1140" s="2">
        <v>50</v>
      </c>
      <c r="AJ1140" s="2" t="s">
        <v>10706</v>
      </c>
      <c r="AK1140" s="2"/>
      <c r="AL1140" s="2"/>
      <c r="AM1140" s="2" t="s">
        <v>9687</v>
      </c>
    </row>
    <row r="1141" spans="1:39" x14ac:dyDescent="0.45">
      <c r="A1141" s="2" t="s">
        <v>10707</v>
      </c>
      <c r="B1141" s="2"/>
      <c r="C1141" s="2" t="s">
        <v>10709</v>
      </c>
      <c r="D1141" s="2" t="s">
        <v>10711</v>
      </c>
      <c r="E1141" s="25"/>
      <c r="F1141" s="21"/>
      <c r="G1141" s="42" t="s">
        <v>28000</v>
      </c>
      <c r="H1141" s="2" t="s">
        <v>9685</v>
      </c>
      <c r="I1141" s="2" t="s">
        <v>10713</v>
      </c>
      <c r="J1141" s="2" t="s">
        <v>10708</v>
      </c>
      <c r="K1141" s="2" t="s">
        <v>10710</v>
      </c>
      <c r="L1141" s="2"/>
      <c r="M1141" s="2"/>
      <c r="N1141" s="2" t="s">
        <v>72</v>
      </c>
      <c r="O1141" s="2" t="s">
        <v>73</v>
      </c>
      <c r="P1141" s="2" t="s">
        <v>3524</v>
      </c>
      <c r="Q1141" s="2" t="s">
        <v>10710</v>
      </c>
      <c r="R1141" s="2"/>
      <c r="S1141" s="2"/>
      <c r="T1141" s="2"/>
      <c r="U1141" s="2" t="s">
        <v>72</v>
      </c>
      <c r="V1141" s="2" t="s">
        <v>73</v>
      </c>
      <c r="W1141" s="2" t="s">
        <v>3524</v>
      </c>
      <c r="X1141" s="2" t="s">
        <v>10712</v>
      </c>
      <c r="Y1141" s="2" t="s">
        <v>44</v>
      </c>
      <c r="Z1141" s="2"/>
      <c r="AA1141" s="2" t="s">
        <v>3527</v>
      </c>
      <c r="AB1141" s="2" t="s">
        <v>46</v>
      </c>
      <c r="AC1141" s="2" t="s">
        <v>3527</v>
      </c>
      <c r="AE1141" s="2" t="s">
        <v>48</v>
      </c>
      <c r="AF1141" s="2" t="s">
        <v>7864</v>
      </c>
      <c r="AG1141" s="2">
        <v>90</v>
      </c>
      <c r="AH1141" s="2">
        <v>50</v>
      </c>
      <c r="AJ1141" s="2" t="s">
        <v>10714</v>
      </c>
      <c r="AK1141" s="2"/>
      <c r="AL1141" s="2"/>
      <c r="AM1141" s="2" t="s">
        <v>9687</v>
      </c>
    </row>
    <row r="1142" spans="1:39" x14ac:dyDescent="0.45">
      <c r="A1142" s="2" t="s">
        <v>10715</v>
      </c>
      <c r="B1142" s="2"/>
      <c r="C1142" s="2" t="s">
        <v>10717</v>
      </c>
      <c r="D1142" s="2" t="s">
        <v>10719</v>
      </c>
      <c r="E1142" s="25"/>
      <c r="F1142" s="21"/>
      <c r="G1142" s="42" t="s">
        <v>28000</v>
      </c>
      <c r="H1142" s="2" t="s">
        <v>9685</v>
      </c>
      <c r="I1142" s="2" t="s">
        <v>10720</v>
      </c>
      <c r="J1142" s="2" t="s">
        <v>10716</v>
      </c>
      <c r="K1142" s="2" t="s">
        <v>10718</v>
      </c>
      <c r="L1142" s="2"/>
      <c r="M1142" s="2"/>
      <c r="N1142" s="2" t="s">
        <v>1023</v>
      </c>
      <c r="O1142" s="2" t="s">
        <v>73</v>
      </c>
      <c r="P1142" s="2" t="s">
        <v>2072</v>
      </c>
      <c r="Q1142" s="2" t="s">
        <v>10718</v>
      </c>
      <c r="R1142" s="2"/>
      <c r="S1142" s="2"/>
      <c r="T1142" s="2"/>
      <c r="U1142" s="2" t="s">
        <v>1023</v>
      </c>
      <c r="V1142" s="2" t="s">
        <v>73</v>
      </c>
      <c r="W1142" s="2" t="s">
        <v>2072</v>
      </c>
      <c r="X1142" s="2" t="s">
        <v>2614</v>
      </c>
      <c r="Y1142" s="2" t="s">
        <v>44</v>
      </c>
      <c r="Z1142" s="2"/>
      <c r="AA1142" s="2" t="s">
        <v>3527</v>
      </c>
      <c r="AB1142" s="2" t="s">
        <v>46</v>
      </c>
      <c r="AC1142" s="2" t="s">
        <v>3527</v>
      </c>
      <c r="AE1142" s="2" t="s">
        <v>48</v>
      </c>
      <c r="AF1142" s="2" t="s">
        <v>7864</v>
      </c>
      <c r="AG1142" s="2">
        <v>90</v>
      </c>
      <c r="AH1142" s="2">
        <v>50</v>
      </c>
      <c r="AJ1142" s="2" t="s">
        <v>10721</v>
      </c>
      <c r="AK1142" s="2"/>
      <c r="AL1142" s="2"/>
      <c r="AM1142" s="2" t="s">
        <v>9687</v>
      </c>
    </row>
    <row r="1143" spans="1:39" x14ac:dyDescent="0.45">
      <c r="A1143" s="2" t="s">
        <v>10722</v>
      </c>
      <c r="B1143" s="2"/>
      <c r="C1143" s="2" t="s">
        <v>10724</v>
      </c>
      <c r="D1143" s="2" t="s">
        <v>10726</v>
      </c>
      <c r="E1143" s="25"/>
      <c r="F1143" s="21"/>
      <c r="G1143" s="42" t="s">
        <v>28000</v>
      </c>
      <c r="H1143" s="2" t="s">
        <v>9685</v>
      </c>
      <c r="I1143" s="2" t="s">
        <v>7386</v>
      </c>
      <c r="J1143" s="2" t="s">
        <v>10723</v>
      </c>
      <c r="K1143" s="2" t="s">
        <v>10725</v>
      </c>
      <c r="L1143" s="2"/>
      <c r="M1143" s="2"/>
      <c r="N1143" s="2" t="s">
        <v>277</v>
      </c>
      <c r="O1143" s="2" t="s">
        <v>278</v>
      </c>
      <c r="P1143" s="2" t="s">
        <v>10727</v>
      </c>
      <c r="Q1143" s="2" t="s">
        <v>10725</v>
      </c>
      <c r="R1143" s="2"/>
      <c r="S1143" s="2"/>
      <c r="T1143" s="2"/>
      <c r="U1143" s="2" t="s">
        <v>277</v>
      </c>
      <c r="V1143" s="2" t="s">
        <v>278</v>
      </c>
      <c r="W1143" s="2" t="s">
        <v>10727</v>
      </c>
      <c r="X1143" s="2" t="s">
        <v>10728</v>
      </c>
      <c r="Y1143" s="2" t="s">
        <v>44</v>
      </c>
      <c r="Z1143" s="2"/>
      <c r="AA1143" s="2" t="s">
        <v>3527</v>
      </c>
      <c r="AB1143" s="2" t="s">
        <v>46</v>
      </c>
      <c r="AC1143" s="2" t="s">
        <v>3527</v>
      </c>
      <c r="AE1143" s="2" t="s">
        <v>48</v>
      </c>
      <c r="AF1143" s="2" t="s">
        <v>7864</v>
      </c>
      <c r="AG1143" s="2">
        <v>90</v>
      </c>
      <c r="AH1143" s="2">
        <v>50</v>
      </c>
      <c r="AJ1143" s="2" t="s">
        <v>7387</v>
      </c>
      <c r="AK1143" s="2"/>
      <c r="AL1143" s="2"/>
      <c r="AM1143" s="2" t="s">
        <v>9687</v>
      </c>
    </row>
    <row r="1144" spans="1:39" x14ac:dyDescent="0.45">
      <c r="A1144" s="2" t="s">
        <v>10729</v>
      </c>
      <c r="B1144" s="2"/>
      <c r="C1144" s="2" t="s">
        <v>10729</v>
      </c>
      <c r="D1144" s="2" t="s">
        <v>10732</v>
      </c>
      <c r="E1144" s="25"/>
      <c r="F1144" s="21"/>
      <c r="G1144" s="42" t="s">
        <v>28000</v>
      </c>
      <c r="H1144" s="2" t="s">
        <v>9685</v>
      </c>
      <c r="I1144" s="2" t="s">
        <v>10734</v>
      </c>
      <c r="J1144" s="2" t="s">
        <v>10730</v>
      </c>
      <c r="K1144" s="2" t="s">
        <v>10731</v>
      </c>
      <c r="L1144" s="2"/>
      <c r="M1144" s="2"/>
      <c r="N1144" s="2" t="s">
        <v>1188</v>
      </c>
      <c r="O1144" s="2" t="s">
        <v>221</v>
      </c>
      <c r="P1144" s="2" t="s">
        <v>10733</v>
      </c>
      <c r="Q1144" s="2" t="s">
        <v>10731</v>
      </c>
      <c r="R1144" s="2"/>
      <c r="S1144" s="2"/>
      <c r="T1144" s="2"/>
      <c r="U1144" s="2" t="s">
        <v>1188</v>
      </c>
      <c r="V1144" s="2" t="s">
        <v>221</v>
      </c>
      <c r="W1144" s="2" t="s">
        <v>10733</v>
      </c>
      <c r="X1144" s="2" t="s">
        <v>7098</v>
      </c>
      <c r="Y1144" s="2" t="s">
        <v>44</v>
      </c>
      <c r="Z1144" s="2"/>
      <c r="AA1144" s="2" t="s">
        <v>3527</v>
      </c>
      <c r="AB1144" s="2" t="s">
        <v>46</v>
      </c>
      <c r="AC1144" s="2" t="s">
        <v>3527</v>
      </c>
      <c r="AE1144" s="2" t="s">
        <v>48</v>
      </c>
      <c r="AF1144" s="2" t="s">
        <v>7864</v>
      </c>
      <c r="AG1144" s="2">
        <v>90</v>
      </c>
      <c r="AH1144" s="2">
        <v>50</v>
      </c>
      <c r="AJ1144" s="2" t="s">
        <v>10735</v>
      </c>
      <c r="AK1144" s="2"/>
      <c r="AL1144" s="2"/>
      <c r="AM1144" s="2" t="s">
        <v>9687</v>
      </c>
    </row>
    <row r="1145" spans="1:39" x14ac:dyDescent="0.45">
      <c r="A1145" s="2" t="s">
        <v>10736</v>
      </c>
      <c r="B1145" s="2"/>
      <c r="C1145" s="2" t="s">
        <v>10736</v>
      </c>
      <c r="D1145" s="2" t="s">
        <v>10739</v>
      </c>
      <c r="E1145" s="25"/>
      <c r="F1145" s="21"/>
      <c r="G1145" s="42" t="s">
        <v>28000</v>
      </c>
      <c r="H1145" s="2" t="s">
        <v>9685</v>
      </c>
      <c r="I1145" s="2" t="s">
        <v>10744</v>
      </c>
      <c r="J1145" s="2" t="s">
        <v>10737</v>
      </c>
      <c r="K1145" s="2" t="s">
        <v>10738</v>
      </c>
      <c r="L1145" s="2"/>
      <c r="M1145" s="2"/>
      <c r="N1145" s="2" t="s">
        <v>10740</v>
      </c>
      <c r="O1145" s="2" t="s">
        <v>221</v>
      </c>
      <c r="P1145" s="2" t="s">
        <v>10741</v>
      </c>
      <c r="Q1145" s="2" t="s">
        <v>10742</v>
      </c>
      <c r="R1145" s="2"/>
      <c r="S1145" s="2"/>
      <c r="T1145" s="2"/>
      <c r="U1145" s="2" t="s">
        <v>10740</v>
      </c>
      <c r="V1145" s="2" t="s">
        <v>221</v>
      </c>
      <c r="W1145" s="2" t="s">
        <v>10741</v>
      </c>
      <c r="X1145" s="2" t="s">
        <v>10743</v>
      </c>
      <c r="Y1145" s="2" t="s">
        <v>44</v>
      </c>
      <c r="Z1145" s="2"/>
      <c r="AA1145" s="2" t="s">
        <v>3527</v>
      </c>
      <c r="AB1145" s="2" t="s">
        <v>46</v>
      </c>
      <c r="AC1145" s="2" t="s">
        <v>3527</v>
      </c>
      <c r="AE1145" s="2" t="s">
        <v>48</v>
      </c>
      <c r="AF1145" s="2" t="s">
        <v>7864</v>
      </c>
      <c r="AG1145" s="2">
        <v>90</v>
      </c>
      <c r="AH1145" s="2">
        <v>45</v>
      </c>
      <c r="AJ1145" s="2" t="s">
        <v>10745</v>
      </c>
      <c r="AK1145" s="2"/>
      <c r="AL1145" s="2"/>
      <c r="AM1145" s="2" t="s">
        <v>9687</v>
      </c>
    </row>
    <row r="1146" spans="1:39" x14ac:dyDescent="0.45">
      <c r="A1146" s="2" t="s">
        <v>10746</v>
      </c>
      <c r="B1146" s="2"/>
      <c r="C1146" s="2" t="s">
        <v>10746</v>
      </c>
      <c r="D1146" s="2" t="s">
        <v>10749</v>
      </c>
      <c r="E1146" s="25"/>
      <c r="F1146" s="21"/>
      <c r="G1146" s="42" t="s">
        <v>28000</v>
      </c>
      <c r="H1146" s="2" t="s">
        <v>9685</v>
      </c>
      <c r="I1146" s="2" t="s">
        <v>10751</v>
      </c>
      <c r="J1146" s="2" t="s">
        <v>10747</v>
      </c>
      <c r="K1146" s="2" t="s">
        <v>10748</v>
      </c>
      <c r="L1146" s="2"/>
      <c r="M1146" s="2"/>
      <c r="N1146" s="2" t="s">
        <v>1115</v>
      </c>
      <c r="O1146" s="2" t="s">
        <v>1112</v>
      </c>
      <c r="P1146" s="2" t="s">
        <v>2782</v>
      </c>
      <c r="Q1146" s="2" t="s">
        <v>10748</v>
      </c>
      <c r="R1146" s="2"/>
      <c r="S1146" s="2"/>
      <c r="T1146" s="2"/>
      <c r="U1146" s="2" t="s">
        <v>1115</v>
      </c>
      <c r="V1146" s="2" t="s">
        <v>1112</v>
      </c>
      <c r="W1146" s="2" t="s">
        <v>2782</v>
      </c>
      <c r="X1146" s="2" t="s">
        <v>10750</v>
      </c>
      <c r="Y1146" s="2" t="s">
        <v>44</v>
      </c>
      <c r="Z1146" s="2"/>
      <c r="AA1146" s="2" t="s">
        <v>3527</v>
      </c>
      <c r="AB1146" s="2" t="s">
        <v>46</v>
      </c>
      <c r="AC1146" s="2" t="s">
        <v>3527</v>
      </c>
      <c r="AE1146" s="2" t="s">
        <v>48</v>
      </c>
      <c r="AF1146" s="2" t="s">
        <v>7864</v>
      </c>
      <c r="AG1146" s="2">
        <v>90</v>
      </c>
      <c r="AH1146" s="2">
        <v>45</v>
      </c>
      <c r="AJ1146" s="2" t="s">
        <v>10752</v>
      </c>
      <c r="AK1146" s="2"/>
      <c r="AL1146" s="2"/>
      <c r="AM1146" s="2" t="s">
        <v>9687</v>
      </c>
    </row>
    <row r="1147" spans="1:39" x14ac:dyDescent="0.45">
      <c r="A1147" s="2" t="s">
        <v>10753</v>
      </c>
      <c r="B1147" s="2"/>
      <c r="C1147" s="2" t="s">
        <v>10755</v>
      </c>
      <c r="D1147" s="2" t="s">
        <v>10757</v>
      </c>
      <c r="E1147" s="25"/>
      <c r="F1147" s="21"/>
      <c r="G1147" s="42" t="s">
        <v>28000</v>
      </c>
      <c r="H1147" s="2" t="s">
        <v>9685</v>
      </c>
      <c r="I1147" s="2" t="s">
        <v>10759</v>
      </c>
      <c r="J1147" s="2" t="s">
        <v>10754</v>
      </c>
      <c r="K1147" s="2" t="s">
        <v>10756</v>
      </c>
      <c r="L1147" s="2"/>
      <c r="M1147" s="2"/>
      <c r="N1147" s="2" t="s">
        <v>220</v>
      </c>
      <c r="O1147" s="2" t="s">
        <v>221</v>
      </c>
      <c r="P1147" s="2" t="s">
        <v>10758</v>
      </c>
      <c r="Q1147" s="2" t="s">
        <v>10756</v>
      </c>
      <c r="R1147" s="2"/>
      <c r="S1147" s="2"/>
      <c r="T1147" s="2"/>
      <c r="U1147" s="2" t="s">
        <v>220</v>
      </c>
      <c r="V1147" s="2" t="s">
        <v>221</v>
      </c>
      <c r="W1147" s="2" t="s">
        <v>10758</v>
      </c>
      <c r="X1147" s="2" t="s">
        <v>10368</v>
      </c>
      <c r="Y1147" s="2" t="s">
        <v>44</v>
      </c>
      <c r="Z1147" s="2"/>
      <c r="AA1147" s="2" t="s">
        <v>3527</v>
      </c>
      <c r="AB1147" s="2" t="s">
        <v>46</v>
      </c>
      <c r="AC1147" s="2" t="s">
        <v>3527</v>
      </c>
      <c r="AE1147" s="2" t="s">
        <v>48</v>
      </c>
      <c r="AF1147" s="2" t="s">
        <v>7864</v>
      </c>
      <c r="AG1147" s="2">
        <v>90</v>
      </c>
      <c r="AH1147" s="2">
        <v>45</v>
      </c>
      <c r="AJ1147" s="2" t="s">
        <v>10760</v>
      </c>
      <c r="AK1147" s="2"/>
      <c r="AL1147" s="2"/>
      <c r="AM1147" s="2" t="s">
        <v>9687</v>
      </c>
    </row>
    <row r="1148" spans="1:39" x14ac:dyDescent="0.45">
      <c r="A1148" s="2" t="s">
        <v>10761</v>
      </c>
      <c r="B1148" s="2"/>
      <c r="C1148" s="2" t="s">
        <v>10763</v>
      </c>
      <c r="D1148" s="2" t="s">
        <v>10765</v>
      </c>
      <c r="E1148" s="25"/>
      <c r="F1148" s="21"/>
      <c r="G1148" s="42" t="s">
        <v>28000</v>
      </c>
      <c r="H1148" s="2" t="s">
        <v>9685</v>
      </c>
      <c r="I1148" s="2" t="s">
        <v>10769</v>
      </c>
      <c r="J1148" s="2" t="s">
        <v>10762</v>
      </c>
      <c r="K1148" s="2" t="s">
        <v>10764</v>
      </c>
      <c r="L1148" s="2"/>
      <c r="M1148" s="2"/>
      <c r="N1148" s="2" t="s">
        <v>10766</v>
      </c>
      <c r="O1148" s="2" t="s">
        <v>1137</v>
      </c>
      <c r="P1148" s="2" t="s">
        <v>10767</v>
      </c>
      <c r="Q1148" s="2" t="s">
        <v>10764</v>
      </c>
      <c r="R1148" s="2"/>
      <c r="S1148" s="2"/>
      <c r="T1148" s="2"/>
      <c r="U1148" s="2" t="s">
        <v>10766</v>
      </c>
      <c r="V1148" s="2" t="s">
        <v>1137</v>
      </c>
      <c r="W1148" s="2" t="s">
        <v>10767</v>
      </c>
      <c r="X1148" s="2" t="s">
        <v>10768</v>
      </c>
      <c r="Y1148" s="2" t="s">
        <v>44</v>
      </c>
      <c r="Z1148" s="2"/>
      <c r="AA1148" s="2" t="s">
        <v>3527</v>
      </c>
      <c r="AB1148" s="2" t="s">
        <v>46</v>
      </c>
      <c r="AC1148" s="2" t="s">
        <v>3527</v>
      </c>
      <c r="AE1148" s="2" t="s">
        <v>48</v>
      </c>
      <c r="AF1148" s="2" t="s">
        <v>7864</v>
      </c>
      <c r="AG1148" s="2">
        <v>90</v>
      </c>
      <c r="AH1148" s="2">
        <v>45</v>
      </c>
      <c r="AJ1148" s="2" t="s">
        <v>10770</v>
      </c>
      <c r="AK1148" s="2"/>
      <c r="AL1148" s="2"/>
      <c r="AM1148" s="2" t="s">
        <v>9687</v>
      </c>
    </row>
    <row r="1149" spans="1:39" x14ac:dyDescent="0.45">
      <c r="A1149" s="2" t="s">
        <v>10771</v>
      </c>
      <c r="B1149" s="2"/>
      <c r="C1149" s="2" t="s">
        <v>10773</v>
      </c>
      <c r="D1149" s="2" t="s">
        <v>10775</v>
      </c>
      <c r="E1149" s="25"/>
      <c r="F1149" s="21"/>
      <c r="G1149" s="42" t="s">
        <v>28000</v>
      </c>
      <c r="H1149" s="2" t="s">
        <v>9685</v>
      </c>
      <c r="I1149" s="2" t="s">
        <v>10778</v>
      </c>
      <c r="J1149" s="2" t="s">
        <v>10772</v>
      </c>
      <c r="K1149" s="2" t="s">
        <v>10774</v>
      </c>
      <c r="L1149" s="2"/>
      <c r="M1149" s="2"/>
      <c r="N1149" s="2" t="s">
        <v>10776</v>
      </c>
      <c r="O1149" s="2" t="s">
        <v>313</v>
      </c>
      <c r="P1149" s="2" t="s">
        <v>10777</v>
      </c>
      <c r="Q1149" s="2" t="s">
        <v>10774</v>
      </c>
      <c r="R1149" s="2"/>
      <c r="S1149" s="2"/>
      <c r="T1149" s="2"/>
      <c r="U1149" s="2" t="s">
        <v>10776</v>
      </c>
      <c r="V1149" s="2" t="s">
        <v>313</v>
      </c>
      <c r="W1149" s="2" t="s">
        <v>10777</v>
      </c>
      <c r="X1149" s="2" t="s">
        <v>9022</v>
      </c>
      <c r="Y1149" s="2" t="s">
        <v>44</v>
      </c>
      <c r="Z1149" s="2"/>
      <c r="AA1149" s="2" t="s">
        <v>3527</v>
      </c>
      <c r="AB1149" s="2" t="s">
        <v>46</v>
      </c>
      <c r="AC1149" s="2" t="s">
        <v>3527</v>
      </c>
      <c r="AE1149" s="2" t="s">
        <v>48</v>
      </c>
      <c r="AF1149" s="2" t="s">
        <v>7864</v>
      </c>
      <c r="AG1149" s="2">
        <v>90</v>
      </c>
      <c r="AH1149" s="2">
        <v>45</v>
      </c>
      <c r="AJ1149" s="2" t="s">
        <v>10779</v>
      </c>
      <c r="AK1149" s="2"/>
      <c r="AL1149" s="2"/>
      <c r="AM1149" s="2" t="s">
        <v>9687</v>
      </c>
    </row>
    <row r="1150" spans="1:39" x14ac:dyDescent="0.45">
      <c r="A1150" s="2" t="s">
        <v>10780</v>
      </c>
      <c r="B1150" s="2"/>
      <c r="C1150" s="2" t="s">
        <v>10782</v>
      </c>
      <c r="D1150" s="2" t="s">
        <v>10784</v>
      </c>
      <c r="E1150" s="25"/>
      <c r="F1150" s="21"/>
      <c r="G1150" s="21"/>
      <c r="H1150" s="2" t="s">
        <v>10789</v>
      </c>
      <c r="I1150" s="2" t="s">
        <v>10787</v>
      </c>
      <c r="J1150" s="2" t="s">
        <v>10781</v>
      </c>
      <c r="K1150" s="2" t="s">
        <v>10783</v>
      </c>
      <c r="L1150" s="2" t="s">
        <v>10785</v>
      </c>
      <c r="M1150" s="2" t="s">
        <v>10785</v>
      </c>
      <c r="N1150" s="2" t="s">
        <v>85</v>
      </c>
      <c r="O1150" s="2" t="s">
        <v>86</v>
      </c>
      <c r="P1150" s="2" t="s">
        <v>9191</v>
      </c>
      <c r="Q1150" s="2" t="s">
        <v>10786</v>
      </c>
      <c r="R1150" s="2"/>
      <c r="S1150" s="2"/>
      <c r="T1150" s="2"/>
      <c r="U1150" s="2" t="s">
        <v>85</v>
      </c>
      <c r="V1150" s="2" t="s">
        <v>86</v>
      </c>
      <c r="W1150" s="2" t="s">
        <v>9191</v>
      </c>
      <c r="X1150" s="2" t="s">
        <v>6634</v>
      </c>
      <c r="Y1150" s="2" t="s">
        <v>44</v>
      </c>
      <c r="Z1150" s="2"/>
      <c r="AA1150" s="2" t="s">
        <v>3527</v>
      </c>
      <c r="AB1150" s="2" t="s">
        <v>46</v>
      </c>
      <c r="AC1150" s="2" t="s">
        <v>3527</v>
      </c>
      <c r="AE1150" s="2" t="s">
        <v>10788</v>
      </c>
      <c r="AF1150" s="2" t="s">
        <v>7864</v>
      </c>
      <c r="AG1150" s="2">
        <v>80</v>
      </c>
      <c r="AH1150" s="2">
        <v>30</v>
      </c>
      <c r="AJ1150" s="2" t="s">
        <v>10790</v>
      </c>
      <c r="AK1150" s="2"/>
      <c r="AL1150" s="2"/>
      <c r="AM1150" s="2" t="s">
        <v>10791</v>
      </c>
    </row>
    <row r="1151" spans="1:39" x14ac:dyDescent="0.45">
      <c r="A1151" s="2" t="s">
        <v>10792</v>
      </c>
      <c r="B1151" s="2"/>
      <c r="C1151" s="2" t="s">
        <v>10794</v>
      </c>
      <c r="D1151" s="2" t="s">
        <v>10796</v>
      </c>
      <c r="E1151" s="25"/>
      <c r="F1151" s="21"/>
      <c r="G1151" s="21"/>
      <c r="H1151" s="2" t="s">
        <v>10789</v>
      </c>
      <c r="I1151" s="2" t="s">
        <v>10787</v>
      </c>
      <c r="J1151" s="2" t="s">
        <v>10793</v>
      </c>
      <c r="K1151" s="2" t="s">
        <v>10795</v>
      </c>
      <c r="L1151" s="2" t="s">
        <v>10797</v>
      </c>
      <c r="M1151" s="2"/>
      <c r="N1151" s="2" t="s">
        <v>10798</v>
      </c>
      <c r="O1151" s="2" t="s">
        <v>1176</v>
      </c>
      <c r="P1151" s="2" t="s">
        <v>10799</v>
      </c>
      <c r="Q1151" s="2" t="s">
        <v>10795</v>
      </c>
      <c r="R1151" s="2"/>
      <c r="S1151" s="2"/>
      <c r="T1151" s="2"/>
      <c r="U1151" s="2" t="s">
        <v>10798</v>
      </c>
      <c r="V1151" s="2" t="s">
        <v>1176</v>
      </c>
      <c r="W1151" s="2" t="s">
        <v>10799</v>
      </c>
      <c r="X1151" s="2" t="s">
        <v>10800</v>
      </c>
      <c r="Y1151" s="2" t="s">
        <v>44</v>
      </c>
      <c r="Z1151" s="2"/>
      <c r="AA1151" s="2" t="s">
        <v>821</v>
      </c>
      <c r="AB1151" s="2" t="s">
        <v>46</v>
      </c>
      <c r="AC1151" s="2" t="s">
        <v>821</v>
      </c>
      <c r="AE1151" s="2" t="s">
        <v>10801</v>
      </c>
      <c r="AF1151" s="2" t="s">
        <v>7864</v>
      </c>
      <c r="AG1151" s="2">
        <v>100</v>
      </c>
      <c r="AH1151" s="2">
        <v>22</v>
      </c>
      <c r="AJ1151" s="2" t="s">
        <v>10802</v>
      </c>
      <c r="AK1151" s="2"/>
      <c r="AL1151" s="2"/>
      <c r="AM1151" s="2" t="s">
        <v>10791</v>
      </c>
    </row>
    <row r="1152" spans="1:39" x14ac:dyDescent="0.45">
      <c r="A1152" s="2" t="s">
        <v>10803</v>
      </c>
      <c r="B1152" s="2"/>
      <c r="C1152" s="2" t="s">
        <v>10805</v>
      </c>
      <c r="D1152" s="2" t="s">
        <v>10807</v>
      </c>
      <c r="E1152" s="25"/>
      <c r="F1152" s="21"/>
      <c r="G1152" s="21"/>
      <c r="H1152" s="2" t="s">
        <v>10789</v>
      </c>
      <c r="I1152" s="2" t="s">
        <v>10787</v>
      </c>
      <c r="J1152" s="2" t="s">
        <v>10804</v>
      </c>
      <c r="K1152" s="2" t="s">
        <v>10806</v>
      </c>
      <c r="L1152" s="2" t="s">
        <v>10808</v>
      </c>
      <c r="M1152" s="2" t="s">
        <v>10808</v>
      </c>
      <c r="N1152" s="2" t="s">
        <v>312</v>
      </c>
      <c r="O1152" s="2" t="s">
        <v>313</v>
      </c>
      <c r="P1152" s="2" t="s">
        <v>7647</v>
      </c>
      <c r="Q1152" s="2" t="s">
        <v>10809</v>
      </c>
      <c r="R1152" s="2"/>
      <c r="S1152" s="2"/>
      <c r="T1152" s="2"/>
      <c r="U1152" s="2" t="s">
        <v>312</v>
      </c>
      <c r="V1152" s="2" t="s">
        <v>313</v>
      </c>
      <c r="W1152" s="2" t="s">
        <v>7647</v>
      </c>
      <c r="X1152" s="2" t="s">
        <v>10810</v>
      </c>
      <c r="Y1152" s="2" t="s">
        <v>44</v>
      </c>
      <c r="Z1152" s="2"/>
      <c r="AA1152" s="2" t="s">
        <v>821</v>
      </c>
      <c r="AB1152" s="2" t="s">
        <v>46</v>
      </c>
      <c r="AC1152" s="2" t="s">
        <v>821</v>
      </c>
      <c r="AE1152" s="2" t="s">
        <v>10801</v>
      </c>
      <c r="AF1152" s="2" t="s">
        <v>7864</v>
      </c>
      <c r="AG1152" s="2">
        <v>100</v>
      </c>
      <c r="AH1152" s="2">
        <v>17</v>
      </c>
      <c r="AJ1152" s="2" t="s">
        <v>10811</v>
      </c>
      <c r="AK1152" s="2"/>
      <c r="AL1152" s="2"/>
      <c r="AM1152" s="2" t="s">
        <v>10791</v>
      </c>
    </row>
    <row r="1153" spans="1:39" x14ac:dyDescent="0.45">
      <c r="A1153" s="2" t="s">
        <v>10812</v>
      </c>
      <c r="B1153" s="2"/>
      <c r="C1153" s="2" t="s">
        <v>10814</v>
      </c>
      <c r="D1153" s="2" t="s">
        <v>10816</v>
      </c>
      <c r="E1153" s="25"/>
      <c r="F1153" s="21"/>
      <c r="G1153" s="21"/>
      <c r="H1153" s="2" t="s">
        <v>10789</v>
      </c>
      <c r="I1153" s="2" t="s">
        <v>10787</v>
      </c>
      <c r="J1153" s="2" t="s">
        <v>10813</v>
      </c>
      <c r="K1153" s="2" t="s">
        <v>10815</v>
      </c>
      <c r="L1153" s="2" t="s">
        <v>10817</v>
      </c>
      <c r="M1153" s="2" t="s">
        <v>10817</v>
      </c>
      <c r="N1153" s="2" t="s">
        <v>312</v>
      </c>
      <c r="O1153" s="2" t="s">
        <v>313</v>
      </c>
      <c r="P1153" s="2" t="s">
        <v>314</v>
      </c>
      <c r="Q1153" s="2" t="s">
        <v>10818</v>
      </c>
      <c r="R1153" s="2"/>
      <c r="S1153" s="2"/>
      <c r="T1153" s="2"/>
      <c r="U1153" s="2" t="s">
        <v>312</v>
      </c>
      <c r="V1153" s="2" t="s">
        <v>313</v>
      </c>
      <c r="W1153" s="2" t="s">
        <v>314</v>
      </c>
      <c r="X1153" s="2" t="s">
        <v>10819</v>
      </c>
      <c r="Y1153" s="2" t="s">
        <v>44</v>
      </c>
      <c r="Z1153" s="2"/>
      <c r="AA1153" s="2" t="s">
        <v>821</v>
      </c>
      <c r="AB1153" s="2" t="s">
        <v>46</v>
      </c>
      <c r="AC1153" s="2" t="s">
        <v>821</v>
      </c>
      <c r="AE1153" s="2" t="s">
        <v>10801</v>
      </c>
      <c r="AF1153" s="2" t="s">
        <v>7864</v>
      </c>
      <c r="AG1153" s="2">
        <v>100</v>
      </c>
      <c r="AH1153" s="2">
        <v>17</v>
      </c>
      <c r="AJ1153" s="2" t="s">
        <v>10820</v>
      </c>
      <c r="AK1153" s="2"/>
      <c r="AL1153" s="2"/>
      <c r="AM1153" s="2" t="s">
        <v>10791</v>
      </c>
    </row>
    <row r="1154" spans="1:39" x14ac:dyDescent="0.45">
      <c r="A1154" s="2" t="s">
        <v>10821</v>
      </c>
      <c r="B1154" s="2"/>
      <c r="C1154" s="2" t="s">
        <v>10823</v>
      </c>
      <c r="D1154" s="2" t="s">
        <v>10825</v>
      </c>
      <c r="E1154" s="25"/>
      <c r="F1154" s="21"/>
      <c r="G1154" s="21"/>
      <c r="H1154" s="2" t="s">
        <v>10789</v>
      </c>
      <c r="I1154" s="2" t="s">
        <v>10787</v>
      </c>
      <c r="J1154" s="2" t="s">
        <v>10822</v>
      </c>
      <c r="K1154" s="2" t="s">
        <v>10824</v>
      </c>
      <c r="L1154" s="2" t="s">
        <v>10826</v>
      </c>
      <c r="M1154" s="2" t="s">
        <v>10826</v>
      </c>
      <c r="N1154" s="2" t="s">
        <v>1023</v>
      </c>
      <c r="O1154" s="2" t="s">
        <v>73</v>
      </c>
      <c r="P1154" s="2" t="s">
        <v>1024</v>
      </c>
      <c r="Q1154" s="2" t="s">
        <v>10824</v>
      </c>
      <c r="R1154" s="2"/>
      <c r="S1154" s="2"/>
      <c r="T1154" s="2"/>
      <c r="U1154" s="2" t="s">
        <v>1023</v>
      </c>
      <c r="V1154" s="2" t="s">
        <v>73</v>
      </c>
      <c r="W1154" s="2" t="s">
        <v>1024</v>
      </c>
      <c r="X1154" s="2" t="s">
        <v>10827</v>
      </c>
      <c r="Y1154" s="2" t="s">
        <v>44</v>
      </c>
      <c r="Z1154" s="2"/>
      <c r="AA1154" s="2" t="s">
        <v>821</v>
      </c>
      <c r="AB1154" s="2" t="s">
        <v>46</v>
      </c>
      <c r="AC1154" s="2" t="s">
        <v>821</v>
      </c>
      <c r="AE1154" s="2" t="s">
        <v>10801</v>
      </c>
      <c r="AF1154" s="2" t="s">
        <v>7864</v>
      </c>
      <c r="AG1154" s="2">
        <v>100</v>
      </c>
      <c r="AH1154" s="2">
        <v>17</v>
      </c>
      <c r="AJ1154" s="2" t="s">
        <v>10828</v>
      </c>
      <c r="AK1154" s="2"/>
      <c r="AL1154" s="2"/>
      <c r="AM1154" s="2" t="s">
        <v>10791</v>
      </c>
    </row>
    <row r="1155" spans="1:39" x14ac:dyDescent="0.45">
      <c r="A1155" s="2" t="s">
        <v>10829</v>
      </c>
      <c r="B1155" s="2"/>
      <c r="C1155" s="2" t="s">
        <v>10831</v>
      </c>
      <c r="D1155" s="2" t="s">
        <v>10833</v>
      </c>
      <c r="E1155" s="25"/>
      <c r="F1155" s="21"/>
      <c r="G1155" s="21"/>
      <c r="H1155" s="2" t="s">
        <v>10789</v>
      </c>
      <c r="I1155" s="2" t="s">
        <v>10787</v>
      </c>
      <c r="J1155" s="2" t="s">
        <v>10830</v>
      </c>
      <c r="K1155" s="2" t="s">
        <v>10832</v>
      </c>
      <c r="L1155" s="2" t="s">
        <v>10834</v>
      </c>
      <c r="M1155" s="2" t="s">
        <v>10834</v>
      </c>
      <c r="N1155" s="2" t="s">
        <v>312</v>
      </c>
      <c r="O1155" s="2" t="s">
        <v>313</v>
      </c>
      <c r="P1155" s="2" t="s">
        <v>314</v>
      </c>
      <c r="Q1155" s="2" t="s">
        <v>10835</v>
      </c>
      <c r="R1155" s="2"/>
      <c r="S1155" s="2"/>
      <c r="T1155" s="2"/>
      <c r="U1155" s="2" t="s">
        <v>312</v>
      </c>
      <c r="V1155" s="2" t="s">
        <v>313</v>
      </c>
      <c r="W1155" s="2" t="s">
        <v>314</v>
      </c>
      <c r="X1155" s="2" t="s">
        <v>10836</v>
      </c>
      <c r="Y1155" s="2" t="s">
        <v>44</v>
      </c>
      <c r="Z1155" s="2"/>
      <c r="AA1155" s="2" t="s">
        <v>821</v>
      </c>
      <c r="AB1155" s="2" t="s">
        <v>46</v>
      </c>
      <c r="AC1155" s="2" t="s">
        <v>821</v>
      </c>
      <c r="AE1155" s="2" t="s">
        <v>10801</v>
      </c>
      <c r="AF1155" s="2" t="s">
        <v>7864</v>
      </c>
      <c r="AG1155" s="2">
        <v>100</v>
      </c>
      <c r="AH1155" s="2">
        <v>17</v>
      </c>
      <c r="AJ1155" s="2" t="s">
        <v>10837</v>
      </c>
      <c r="AK1155" s="2"/>
      <c r="AL1155" s="2"/>
      <c r="AM1155" s="2" t="s">
        <v>10791</v>
      </c>
    </row>
    <row r="1156" spans="1:39" x14ac:dyDescent="0.45">
      <c r="A1156" s="2" t="s">
        <v>10838</v>
      </c>
      <c r="B1156" s="2"/>
      <c r="C1156" s="2" t="s">
        <v>10840</v>
      </c>
      <c r="D1156" s="2" t="s">
        <v>10842</v>
      </c>
      <c r="E1156" s="25"/>
      <c r="F1156" s="21"/>
      <c r="G1156" s="21"/>
      <c r="H1156" s="2" t="s">
        <v>10789</v>
      </c>
      <c r="I1156" s="2" t="s">
        <v>10787</v>
      </c>
      <c r="J1156" s="2" t="s">
        <v>10839</v>
      </c>
      <c r="K1156" s="2" t="s">
        <v>10841</v>
      </c>
      <c r="L1156" s="2" t="s">
        <v>10843</v>
      </c>
      <c r="M1156" s="2" t="s">
        <v>10843</v>
      </c>
      <c r="N1156" s="2" t="s">
        <v>312</v>
      </c>
      <c r="O1156" s="2" t="s">
        <v>313</v>
      </c>
      <c r="P1156" s="2" t="s">
        <v>7647</v>
      </c>
      <c r="Q1156" s="2" t="s">
        <v>10844</v>
      </c>
      <c r="R1156" s="2"/>
      <c r="S1156" s="2"/>
      <c r="T1156" s="2"/>
      <c r="U1156" s="2" t="s">
        <v>312</v>
      </c>
      <c r="V1156" s="2" t="s">
        <v>313</v>
      </c>
      <c r="W1156" s="2" t="s">
        <v>314</v>
      </c>
      <c r="X1156" s="2" t="s">
        <v>3920</v>
      </c>
      <c r="Y1156" s="2" t="s">
        <v>44</v>
      </c>
      <c r="Z1156" s="2"/>
      <c r="AA1156" s="2" t="s">
        <v>821</v>
      </c>
      <c r="AB1156" s="2" t="s">
        <v>46</v>
      </c>
      <c r="AC1156" s="2" t="s">
        <v>821</v>
      </c>
      <c r="AE1156" s="2" t="s">
        <v>10801</v>
      </c>
      <c r="AF1156" s="2" t="s">
        <v>7864</v>
      </c>
      <c r="AG1156" s="2">
        <v>100</v>
      </c>
      <c r="AH1156" s="2">
        <v>17</v>
      </c>
      <c r="AJ1156" s="2" t="s">
        <v>10845</v>
      </c>
      <c r="AK1156" s="2"/>
      <c r="AL1156" s="2"/>
      <c r="AM1156" s="2" t="s">
        <v>10791</v>
      </c>
    </row>
    <row r="1157" spans="1:39" x14ac:dyDescent="0.45">
      <c r="A1157" s="2" t="s">
        <v>10846</v>
      </c>
      <c r="B1157" s="2"/>
      <c r="C1157" s="2" t="s">
        <v>10848</v>
      </c>
      <c r="D1157" s="2" t="s">
        <v>10850</v>
      </c>
      <c r="E1157" s="25"/>
      <c r="F1157" s="21"/>
      <c r="G1157" s="21"/>
      <c r="H1157" s="2" t="s">
        <v>10789</v>
      </c>
      <c r="I1157" s="2" t="s">
        <v>10787</v>
      </c>
      <c r="J1157" s="2" t="s">
        <v>10847</v>
      </c>
      <c r="K1157" s="2" t="s">
        <v>10849</v>
      </c>
      <c r="L1157" s="2" t="s">
        <v>10851</v>
      </c>
      <c r="M1157" s="2" t="s">
        <v>10851</v>
      </c>
      <c r="N1157" s="2" t="s">
        <v>312</v>
      </c>
      <c r="O1157" s="2" t="s">
        <v>313</v>
      </c>
      <c r="P1157" s="2" t="s">
        <v>314</v>
      </c>
      <c r="Q1157" s="2" t="s">
        <v>10852</v>
      </c>
      <c r="R1157" s="2"/>
      <c r="S1157" s="2"/>
      <c r="T1157" s="2"/>
      <c r="U1157" s="2" t="s">
        <v>312</v>
      </c>
      <c r="V1157" s="2" t="s">
        <v>313</v>
      </c>
      <c r="W1157" s="2" t="s">
        <v>314</v>
      </c>
      <c r="X1157" s="2" t="s">
        <v>6388</v>
      </c>
      <c r="Y1157" s="2" t="s">
        <v>44</v>
      </c>
      <c r="Z1157" s="2"/>
      <c r="AA1157" s="2" t="s">
        <v>821</v>
      </c>
      <c r="AB1157" s="2" t="s">
        <v>46</v>
      </c>
      <c r="AC1157" s="2" t="s">
        <v>821</v>
      </c>
      <c r="AE1157" s="2" t="s">
        <v>10801</v>
      </c>
      <c r="AF1157" s="2" t="s">
        <v>7864</v>
      </c>
      <c r="AG1157" s="2">
        <v>100</v>
      </c>
      <c r="AH1157" s="2">
        <v>17</v>
      </c>
      <c r="AJ1157" s="2" t="s">
        <v>10853</v>
      </c>
      <c r="AK1157" s="2"/>
      <c r="AL1157" s="2"/>
      <c r="AM1157" s="2" t="s">
        <v>10791</v>
      </c>
    </row>
    <row r="1158" spans="1:39" x14ac:dyDescent="0.45">
      <c r="A1158" s="2" t="s">
        <v>10854</v>
      </c>
      <c r="B1158" s="2"/>
      <c r="C1158" s="2" t="s">
        <v>10856</v>
      </c>
      <c r="D1158" s="2" t="s">
        <v>10858</v>
      </c>
      <c r="E1158" s="25"/>
      <c r="F1158" s="21"/>
      <c r="G1158" s="21"/>
      <c r="H1158" s="2" t="s">
        <v>10789</v>
      </c>
      <c r="I1158" s="2" t="s">
        <v>10787</v>
      </c>
      <c r="J1158" s="2" t="s">
        <v>10855</v>
      </c>
      <c r="K1158" s="2" t="s">
        <v>10857</v>
      </c>
      <c r="L1158" s="2" t="s">
        <v>10859</v>
      </c>
      <c r="M1158" s="2" t="s">
        <v>10859</v>
      </c>
      <c r="N1158" s="2" t="s">
        <v>312</v>
      </c>
      <c r="O1158" s="2" t="s">
        <v>313</v>
      </c>
      <c r="P1158" s="2" t="s">
        <v>314</v>
      </c>
      <c r="Q1158" s="2" t="s">
        <v>10860</v>
      </c>
      <c r="R1158" s="2"/>
      <c r="S1158" s="2"/>
      <c r="T1158" s="2"/>
      <c r="U1158" s="2" t="s">
        <v>312</v>
      </c>
      <c r="V1158" s="2" t="s">
        <v>313</v>
      </c>
      <c r="W1158" s="2" t="s">
        <v>314</v>
      </c>
      <c r="X1158" s="2" t="s">
        <v>4146</v>
      </c>
      <c r="Y1158" s="2" t="s">
        <v>44</v>
      </c>
      <c r="Z1158" s="2"/>
      <c r="AA1158" s="2" t="s">
        <v>821</v>
      </c>
      <c r="AB1158" s="2" t="s">
        <v>46</v>
      </c>
      <c r="AC1158" s="2" t="s">
        <v>821</v>
      </c>
      <c r="AE1158" s="2" t="s">
        <v>10801</v>
      </c>
      <c r="AF1158" s="2" t="s">
        <v>7864</v>
      </c>
      <c r="AG1158" s="2">
        <v>100</v>
      </c>
      <c r="AH1158" s="2">
        <v>17</v>
      </c>
      <c r="AJ1158" s="2" t="s">
        <v>10861</v>
      </c>
      <c r="AK1158" s="2"/>
      <c r="AL1158" s="2"/>
      <c r="AM1158" s="2" t="s">
        <v>10791</v>
      </c>
    </row>
    <row r="1159" spans="1:39" x14ac:dyDescent="0.45">
      <c r="A1159" s="2" t="s">
        <v>10862</v>
      </c>
      <c r="B1159" s="2"/>
      <c r="C1159" s="2" t="s">
        <v>10864</v>
      </c>
      <c r="D1159" s="2" t="s">
        <v>10866</v>
      </c>
      <c r="E1159" s="25"/>
      <c r="F1159" s="21"/>
      <c r="G1159" s="21"/>
      <c r="H1159" s="2" t="s">
        <v>10789</v>
      </c>
      <c r="I1159" s="2" t="s">
        <v>10787</v>
      </c>
      <c r="J1159" s="2" t="s">
        <v>10863</v>
      </c>
      <c r="K1159" s="2" t="s">
        <v>10865</v>
      </c>
      <c r="L1159" s="2" t="s">
        <v>10867</v>
      </c>
      <c r="M1159" s="2" t="s">
        <v>10867</v>
      </c>
      <c r="N1159" s="2" t="s">
        <v>312</v>
      </c>
      <c r="O1159" s="2" t="s">
        <v>313</v>
      </c>
      <c r="P1159" s="2" t="s">
        <v>314</v>
      </c>
      <c r="Q1159" s="2" t="s">
        <v>10868</v>
      </c>
      <c r="R1159" s="2"/>
      <c r="S1159" s="2"/>
      <c r="T1159" s="2"/>
      <c r="U1159" s="2" t="s">
        <v>312</v>
      </c>
      <c r="V1159" s="2" t="s">
        <v>313</v>
      </c>
      <c r="W1159" s="2" t="s">
        <v>314</v>
      </c>
      <c r="X1159" s="2" t="s">
        <v>4051</v>
      </c>
      <c r="Y1159" s="2" t="s">
        <v>44</v>
      </c>
      <c r="Z1159" s="2"/>
      <c r="AA1159" s="2" t="s">
        <v>821</v>
      </c>
      <c r="AB1159" s="2" t="s">
        <v>46</v>
      </c>
      <c r="AC1159" s="2" t="s">
        <v>821</v>
      </c>
      <c r="AE1159" s="2" t="s">
        <v>10801</v>
      </c>
      <c r="AF1159" s="2" t="s">
        <v>7864</v>
      </c>
      <c r="AG1159" s="2">
        <v>100</v>
      </c>
      <c r="AH1159" s="2">
        <v>17</v>
      </c>
      <c r="AJ1159" s="2" t="s">
        <v>10869</v>
      </c>
      <c r="AK1159" s="2"/>
      <c r="AL1159" s="2"/>
      <c r="AM1159" s="2" t="s">
        <v>10791</v>
      </c>
    </row>
    <row r="1160" spans="1:39" x14ac:dyDescent="0.45">
      <c r="A1160" s="2" t="s">
        <v>10870</v>
      </c>
      <c r="B1160" s="2"/>
      <c r="C1160" s="2" t="s">
        <v>10872</v>
      </c>
      <c r="D1160" s="2" t="s">
        <v>10874</v>
      </c>
      <c r="E1160" s="25"/>
      <c r="F1160" s="21"/>
      <c r="G1160" s="21"/>
      <c r="H1160" s="2" t="s">
        <v>10789</v>
      </c>
      <c r="I1160" s="2" t="s">
        <v>10787</v>
      </c>
      <c r="J1160" s="2" t="s">
        <v>10871</v>
      </c>
      <c r="K1160" s="2" t="s">
        <v>10873</v>
      </c>
      <c r="L1160" s="2" t="s">
        <v>10875</v>
      </c>
      <c r="M1160" s="2"/>
      <c r="N1160" s="2" t="s">
        <v>312</v>
      </c>
      <c r="O1160" s="2" t="s">
        <v>313</v>
      </c>
      <c r="P1160" s="2" t="s">
        <v>7647</v>
      </c>
      <c r="Q1160" s="2" t="s">
        <v>10876</v>
      </c>
      <c r="R1160" s="2"/>
      <c r="S1160" s="2"/>
      <c r="T1160" s="2"/>
      <c r="U1160" s="2" t="s">
        <v>312</v>
      </c>
      <c r="V1160" s="2" t="s">
        <v>313</v>
      </c>
      <c r="W1160" s="2" t="s">
        <v>7647</v>
      </c>
      <c r="X1160" s="2" t="s">
        <v>10877</v>
      </c>
      <c r="Y1160" s="2" t="s">
        <v>44</v>
      </c>
      <c r="Z1160" s="2"/>
      <c r="AA1160" s="2" t="s">
        <v>821</v>
      </c>
      <c r="AB1160" s="2" t="s">
        <v>46</v>
      </c>
      <c r="AC1160" s="2" t="s">
        <v>821</v>
      </c>
      <c r="AE1160" s="2" t="s">
        <v>10801</v>
      </c>
      <c r="AF1160" s="2" t="s">
        <v>7864</v>
      </c>
      <c r="AG1160" s="2">
        <v>100</v>
      </c>
      <c r="AH1160" s="2">
        <v>17</v>
      </c>
      <c r="AJ1160" s="2" t="s">
        <v>10878</v>
      </c>
      <c r="AK1160" s="2"/>
      <c r="AL1160" s="2"/>
      <c r="AM1160" s="2" t="s">
        <v>10791</v>
      </c>
    </row>
    <row r="1161" spans="1:39" x14ac:dyDescent="0.45">
      <c r="A1161" s="2" t="s">
        <v>10879</v>
      </c>
      <c r="B1161" s="2"/>
      <c r="C1161" s="2" t="s">
        <v>10881</v>
      </c>
      <c r="D1161" s="2" t="s">
        <v>10883</v>
      </c>
      <c r="E1161" s="25"/>
      <c r="F1161" s="21"/>
      <c r="G1161" s="21"/>
      <c r="H1161" s="2" t="s">
        <v>10789</v>
      </c>
      <c r="I1161" s="2" t="s">
        <v>10787</v>
      </c>
      <c r="J1161" s="2" t="s">
        <v>10880</v>
      </c>
      <c r="K1161" s="2" t="s">
        <v>10882</v>
      </c>
      <c r="L1161" s="2" t="s">
        <v>10884</v>
      </c>
      <c r="M1161" s="2" t="s">
        <v>10884</v>
      </c>
      <c r="N1161" s="2" t="s">
        <v>174</v>
      </c>
      <c r="O1161" s="2" t="s">
        <v>175</v>
      </c>
      <c r="P1161" s="2" t="s">
        <v>2931</v>
      </c>
      <c r="Q1161" s="2" t="s">
        <v>10885</v>
      </c>
      <c r="R1161" s="2"/>
      <c r="S1161" s="2"/>
      <c r="T1161" s="2"/>
      <c r="U1161" s="2" t="s">
        <v>174</v>
      </c>
      <c r="V1161" s="2" t="s">
        <v>175</v>
      </c>
      <c r="W1161" s="2" t="s">
        <v>2931</v>
      </c>
      <c r="X1161" s="2" t="s">
        <v>3635</v>
      </c>
      <c r="Y1161" s="2" t="s">
        <v>44</v>
      </c>
      <c r="Z1161" s="2"/>
      <c r="AA1161" s="2" t="s">
        <v>821</v>
      </c>
      <c r="AB1161" s="2" t="s">
        <v>46</v>
      </c>
      <c r="AC1161" s="2" t="s">
        <v>821</v>
      </c>
      <c r="AE1161" s="2" t="s">
        <v>10801</v>
      </c>
      <c r="AF1161" s="2" t="s">
        <v>7864</v>
      </c>
      <c r="AG1161" s="2">
        <v>100</v>
      </c>
      <c r="AH1161" s="2">
        <v>17</v>
      </c>
      <c r="AJ1161" s="2" t="s">
        <v>10886</v>
      </c>
      <c r="AK1161" s="2"/>
      <c r="AL1161" s="2"/>
      <c r="AM1161" s="2" t="s">
        <v>10791</v>
      </c>
    </row>
    <row r="1162" spans="1:39" x14ac:dyDescent="0.45">
      <c r="A1162" s="2" t="s">
        <v>10887</v>
      </c>
      <c r="B1162" s="2"/>
      <c r="C1162" s="2" t="s">
        <v>10889</v>
      </c>
      <c r="D1162" s="2" t="s">
        <v>10891</v>
      </c>
      <c r="E1162" s="25"/>
      <c r="F1162" s="21"/>
      <c r="G1162" s="21"/>
      <c r="H1162" s="2" t="s">
        <v>10789</v>
      </c>
      <c r="I1162" s="2" t="s">
        <v>10787</v>
      </c>
      <c r="J1162" s="2" t="s">
        <v>10888</v>
      </c>
      <c r="K1162" s="2" t="s">
        <v>10890</v>
      </c>
      <c r="L1162" s="2" t="s">
        <v>10892</v>
      </c>
      <c r="M1162" s="2"/>
      <c r="N1162" s="2" t="s">
        <v>85</v>
      </c>
      <c r="O1162" s="2" t="s">
        <v>86</v>
      </c>
      <c r="P1162" s="2" t="s">
        <v>7428</v>
      </c>
      <c r="Q1162" s="2" t="s">
        <v>10890</v>
      </c>
      <c r="R1162" s="2"/>
      <c r="S1162" s="2"/>
      <c r="T1162" s="2"/>
      <c r="U1162" s="2" t="s">
        <v>85</v>
      </c>
      <c r="V1162" s="2" t="s">
        <v>86</v>
      </c>
      <c r="W1162" s="2" t="s">
        <v>7428</v>
      </c>
      <c r="X1162" s="2" t="s">
        <v>2052</v>
      </c>
      <c r="Y1162" s="2" t="s">
        <v>44</v>
      </c>
      <c r="Z1162" s="2"/>
      <c r="AA1162" s="2" t="s">
        <v>821</v>
      </c>
      <c r="AB1162" s="2" t="s">
        <v>46</v>
      </c>
      <c r="AC1162" s="2" t="s">
        <v>821</v>
      </c>
      <c r="AE1162" s="2" t="s">
        <v>10801</v>
      </c>
      <c r="AF1162" s="2" t="s">
        <v>7864</v>
      </c>
      <c r="AG1162" s="2">
        <v>100</v>
      </c>
      <c r="AH1162" s="2">
        <v>17</v>
      </c>
      <c r="AJ1162" s="2" t="s">
        <v>10893</v>
      </c>
      <c r="AK1162" s="2"/>
      <c r="AL1162" s="2"/>
      <c r="AM1162" s="2" t="s">
        <v>10791</v>
      </c>
    </row>
    <row r="1163" spans="1:39" x14ac:dyDescent="0.45">
      <c r="A1163" s="2" t="s">
        <v>10894</v>
      </c>
      <c r="B1163" s="2"/>
      <c r="C1163" s="2" t="s">
        <v>10896</v>
      </c>
      <c r="D1163" s="2" t="s">
        <v>10898</v>
      </c>
      <c r="E1163" s="25"/>
      <c r="F1163" s="21"/>
      <c r="G1163" s="21"/>
      <c r="H1163" s="2" t="s">
        <v>10789</v>
      </c>
      <c r="I1163" s="2" t="s">
        <v>10787</v>
      </c>
      <c r="J1163" s="2" t="s">
        <v>10895</v>
      </c>
      <c r="K1163" s="2" t="s">
        <v>10897</v>
      </c>
      <c r="L1163" s="2" t="s">
        <v>10899</v>
      </c>
      <c r="M1163" s="2"/>
      <c r="N1163" s="2" t="s">
        <v>72</v>
      </c>
      <c r="O1163" s="2" t="s">
        <v>73</v>
      </c>
      <c r="P1163" s="2" t="s">
        <v>2665</v>
      </c>
      <c r="Q1163" s="2" t="s">
        <v>10897</v>
      </c>
      <c r="R1163" s="2"/>
      <c r="S1163" s="2"/>
      <c r="T1163" s="2"/>
      <c r="U1163" s="2" t="s">
        <v>72</v>
      </c>
      <c r="V1163" s="2" t="s">
        <v>73</v>
      </c>
      <c r="W1163" s="2" t="s">
        <v>2665</v>
      </c>
      <c r="X1163" s="2" t="s">
        <v>8831</v>
      </c>
      <c r="Y1163" s="2" t="s">
        <v>44</v>
      </c>
      <c r="Z1163" s="2"/>
      <c r="AA1163" s="2" t="s">
        <v>821</v>
      </c>
      <c r="AB1163" s="2" t="s">
        <v>46</v>
      </c>
      <c r="AC1163" s="2" t="s">
        <v>821</v>
      </c>
      <c r="AE1163" s="2" t="s">
        <v>10801</v>
      </c>
      <c r="AF1163" s="2" t="s">
        <v>7864</v>
      </c>
      <c r="AG1163" s="2">
        <v>100</v>
      </c>
      <c r="AH1163" s="2">
        <v>17</v>
      </c>
      <c r="AJ1163" s="2" t="s">
        <v>10900</v>
      </c>
      <c r="AK1163" s="2"/>
      <c r="AL1163" s="2"/>
      <c r="AM1163" s="2" t="s">
        <v>10791</v>
      </c>
    </row>
    <row r="1164" spans="1:39" x14ac:dyDescent="0.45">
      <c r="A1164" s="2" t="s">
        <v>10901</v>
      </c>
      <c r="B1164" s="2"/>
      <c r="C1164" s="2" t="s">
        <v>10903</v>
      </c>
      <c r="D1164" s="2" t="s">
        <v>10905</v>
      </c>
      <c r="E1164" s="25"/>
      <c r="F1164" s="21"/>
      <c r="G1164" s="21"/>
      <c r="H1164" s="2" t="s">
        <v>10789</v>
      </c>
      <c r="I1164" s="2" t="s">
        <v>10787</v>
      </c>
      <c r="J1164" s="2" t="s">
        <v>10902</v>
      </c>
      <c r="K1164" s="2" t="s">
        <v>10904</v>
      </c>
      <c r="L1164" s="2" t="s">
        <v>10906</v>
      </c>
      <c r="M1164" s="2"/>
      <c r="N1164" s="2" t="s">
        <v>72</v>
      </c>
      <c r="O1164" s="2" t="s">
        <v>73</v>
      </c>
      <c r="P1164" s="2" t="s">
        <v>1568</v>
      </c>
      <c r="Q1164" s="2" t="s">
        <v>10904</v>
      </c>
      <c r="R1164" s="2"/>
      <c r="S1164" s="2"/>
      <c r="T1164" s="2"/>
      <c r="U1164" s="2" t="s">
        <v>72</v>
      </c>
      <c r="V1164" s="2" t="s">
        <v>73</v>
      </c>
      <c r="W1164" s="2" t="s">
        <v>1568</v>
      </c>
      <c r="X1164" s="2" t="s">
        <v>942</v>
      </c>
      <c r="Y1164" s="2" t="s">
        <v>44</v>
      </c>
      <c r="Z1164" s="2"/>
      <c r="AA1164" s="2" t="s">
        <v>821</v>
      </c>
      <c r="AB1164" s="2" t="s">
        <v>46</v>
      </c>
      <c r="AC1164" s="2" t="s">
        <v>821</v>
      </c>
      <c r="AE1164" s="2" t="s">
        <v>10801</v>
      </c>
      <c r="AF1164" s="2" t="s">
        <v>7864</v>
      </c>
      <c r="AG1164" s="2">
        <v>100</v>
      </c>
      <c r="AH1164" s="2">
        <v>17</v>
      </c>
      <c r="AJ1164" s="2" t="s">
        <v>10907</v>
      </c>
      <c r="AK1164" s="2"/>
      <c r="AL1164" s="2"/>
      <c r="AM1164" s="2" t="s">
        <v>10791</v>
      </c>
    </row>
    <row r="1165" spans="1:39" x14ac:dyDescent="0.45">
      <c r="A1165" s="2" t="s">
        <v>10908</v>
      </c>
      <c r="B1165" s="2"/>
      <c r="C1165" s="2" t="s">
        <v>10910</v>
      </c>
      <c r="D1165" s="2" t="s">
        <v>10912</v>
      </c>
      <c r="E1165" s="25"/>
      <c r="F1165" s="21"/>
      <c r="G1165" s="21"/>
      <c r="H1165" s="2" t="s">
        <v>10789</v>
      </c>
      <c r="I1165" s="2" t="s">
        <v>10787</v>
      </c>
      <c r="J1165" s="2" t="s">
        <v>10909</v>
      </c>
      <c r="K1165" s="2" t="s">
        <v>10911</v>
      </c>
      <c r="L1165" s="2" t="s">
        <v>10913</v>
      </c>
      <c r="M1165" s="2"/>
      <c r="N1165" s="2" t="s">
        <v>384</v>
      </c>
      <c r="O1165" s="2" t="s">
        <v>73</v>
      </c>
      <c r="P1165" s="2" t="s">
        <v>1012</v>
      </c>
      <c r="Q1165" s="2" t="s">
        <v>10914</v>
      </c>
      <c r="R1165" s="2"/>
      <c r="S1165" s="2"/>
      <c r="T1165" s="2"/>
      <c r="U1165" s="2" t="s">
        <v>384</v>
      </c>
      <c r="V1165" s="2" t="s">
        <v>73</v>
      </c>
      <c r="W1165" s="2" t="s">
        <v>1012</v>
      </c>
      <c r="X1165" s="2" t="s">
        <v>4631</v>
      </c>
      <c r="Y1165" s="2" t="s">
        <v>44</v>
      </c>
      <c r="Z1165" s="2"/>
      <c r="AA1165" s="2" t="s">
        <v>821</v>
      </c>
      <c r="AB1165" s="2" t="s">
        <v>46</v>
      </c>
      <c r="AC1165" s="2" t="s">
        <v>821</v>
      </c>
      <c r="AE1165" s="2" t="s">
        <v>10801</v>
      </c>
      <c r="AF1165" s="2" t="s">
        <v>7864</v>
      </c>
      <c r="AG1165" s="2">
        <v>100</v>
      </c>
      <c r="AH1165" s="2">
        <v>17</v>
      </c>
      <c r="AJ1165" s="2" t="s">
        <v>10915</v>
      </c>
      <c r="AK1165" s="2"/>
      <c r="AL1165" s="2"/>
      <c r="AM1165" s="2" t="s">
        <v>10791</v>
      </c>
    </row>
    <row r="1166" spans="1:39" x14ac:dyDescent="0.45">
      <c r="A1166" s="2" t="s">
        <v>10916</v>
      </c>
      <c r="B1166" s="2"/>
      <c r="C1166" s="2" t="s">
        <v>10918</v>
      </c>
      <c r="D1166" s="2" t="s">
        <v>10920</v>
      </c>
      <c r="E1166" s="25"/>
      <c r="F1166" s="21"/>
      <c r="G1166" s="21"/>
      <c r="H1166" s="2" t="s">
        <v>10789</v>
      </c>
      <c r="I1166" s="2" t="s">
        <v>10787</v>
      </c>
      <c r="J1166" s="2" t="s">
        <v>10917</v>
      </c>
      <c r="K1166" s="2" t="s">
        <v>10919</v>
      </c>
      <c r="L1166" s="2" t="s">
        <v>10921</v>
      </c>
      <c r="M1166" s="2"/>
      <c r="N1166" s="2" t="s">
        <v>72</v>
      </c>
      <c r="O1166" s="2" t="s">
        <v>73</v>
      </c>
      <c r="P1166" s="2" t="s">
        <v>2270</v>
      </c>
      <c r="Q1166" s="2" t="s">
        <v>10922</v>
      </c>
      <c r="R1166" s="2"/>
      <c r="S1166" s="2"/>
      <c r="T1166" s="2"/>
      <c r="U1166" s="2" t="s">
        <v>72</v>
      </c>
      <c r="V1166" s="2" t="s">
        <v>73</v>
      </c>
      <c r="W1166" s="2" t="s">
        <v>2270</v>
      </c>
      <c r="X1166" s="2" t="s">
        <v>4302</v>
      </c>
      <c r="Y1166" s="2" t="s">
        <v>44</v>
      </c>
      <c r="Z1166" s="2"/>
      <c r="AA1166" s="2" t="s">
        <v>821</v>
      </c>
      <c r="AB1166" s="2" t="s">
        <v>46</v>
      </c>
      <c r="AC1166" s="2" t="s">
        <v>821</v>
      </c>
      <c r="AE1166" s="2" t="s">
        <v>10801</v>
      </c>
      <c r="AF1166" s="2" t="s">
        <v>7864</v>
      </c>
      <c r="AG1166" s="2">
        <v>100</v>
      </c>
      <c r="AH1166" s="2">
        <v>17</v>
      </c>
      <c r="AJ1166" s="2" t="s">
        <v>10923</v>
      </c>
      <c r="AK1166" s="2"/>
      <c r="AL1166" s="2"/>
      <c r="AM1166" s="2" t="s">
        <v>10791</v>
      </c>
    </row>
    <row r="1167" spans="1:39" x14ac:dyDescent="0.45">
      <c r="A1167" s="2" t="s">
        <v>10924</v>
      </c>
      <c r="B1167" s="2"/>
      <c r="C1167" s="2" t="s">
        <v>10926</v>
      </c>
      <c r="D1167" s="2" t="s">
        <v>10928</v>
      </c>
      <c r="E1167" s="25"/>
      <c r="F1167" s="21"/>
      <c r="G1167" s="21"/>
      <c r="H1167" s="2" t="s">
        <v>10789</v>
      </c>
      <c r="I1167" s="2" t="s">
        <v>10787</v>
      </c>
      <c r="J1167" s="2" t="s">
        <v>10925</v>
      </c>
      <c r="K1167" s="2" t="s">
        <v>10927</v>
      </c>
      <c r="L1167" s="2" t="s">
        <v>10929</v>
      </c>
      <c r="M1167" s="2" t="s">
        <v>10929</v>
      </c>
      <c r="N1167" s="2" t="s">
        <v>312</v>
      </c>
      <c r="O1167" s="2" t="s">
        <v>313</v>
      </c>
      <c r="P1167" s="2" t="s">
        <v>10930</v>
      </c>
      <c r="Q1167" s="2" t="s">
        <v>10927</v>
      </c>
      <c r="R1167" s="2"/>
      <c r="S1167" s="2"/>
      <c r="T1167" s="2"/>
      <c r="U1167" s="2" t="s">
        <v>312</v>
      </c>
      <c r="V1167" s="2" t="s">
        <v>313</v>
      </c>
      <c r="W1167" s="2" t="s">
        <v>10930</v>
      </c>
      <c r="X1167" s="2" t="s">
        <v>245</v>
      </c>
      <c r="Y1167" s="2" t="s">
        <v>44</v>
      </c>
      <c r="Z1167" s="2"/>
      <c r="AA1167" s="2" t="s">
        <v>821</v>
      </c>
      <c r="AB1167" s="2" t="s">
        <v>46</v>
      </c>
      <c r="AC1167" s="2" t="s">
        <v>821</v>
      </c>
      <c r="AE1167" s="2" t="s">
        <v>10801</v>
      </c>
      <c r="AF1167" s="2" t="s">
        <v>7864</v>
      </c>
      <c r="AG1167" s="2">
        <v>100</v>
      </c>
      <c r="AH1167" s="2">
        <v>17</v>
      </c>
      <c r="AJ1167" s="2" t="s">
        <v>10931</v>
      </c>
      <c r="AK1167" s="2"/>
      <c r="AL1167" s="2"/>
      <c r="AM1167" s="2" t="s">
        <v>10791</v>
      </c>
    </row>
    <row r="1168" spans="1:39" x14ac:dyDescent="0.45">
      <c r="A1168" s="2" t="s">
        <v>10932</v>
      </c>
      <c r="B1168" s="2"/>
      <c r="C1168" s="2" t="s">
        <v>10934</v>
      </c>
      <c r="D1168" s="2" t="s">
        <v>10936</v>
      </c>
      <c r="E1168" s="25"/>
      <c r="F1168" s="21"/>
      <c r="G1168" s="21"/>
      <c r="H1168" s="2" t="s">
        <v>10789</v>
      </c>
      <c r="I1168" s="2" t="s">
        <v>10787</v>
      </c>
      <c r="J1168" s="2" t="s">
        <v>10933</v>
      </c>
      <c r="K1168" s="2" t="s">
        <v>10935</v>
      </c>
      <c r="L1168" s="2" t="s">
        <v>10937</v>
      </c>
      <c r="M1168" s="2" t="s">
        <v>10937</v>
      </c>
      <c r="N1168" s="2" t="s">
        <v>59</v>
      </c>
      <c r="O1168" s="2" t="s">
        <v>60</v>
      </c>
      <c r="P1168" s="2" t="s">
        <v>8113</v>
      </c>
      <c r="Q1168" s="2" t="s">
        <v>10938</v>
      </c>
      <c r="R1168" s="2"/>
      <c r="S1168" s="2"/>
      <c r="T1168" s="2"/>
      <c r="U1168" s="2" t="s">
        <v>59</v>
      </c>
      <c r="V1168" s="2" t="s">
        <v>60</v>
      </c>
      <c r="W1168" s="2" t="s">
        <v>8113</v>
      </c>
      <c r="X1168" s="2" t="s">
        <v>10939</v>
      </c>
      <c r="Y1168" s="2" t="s">
        <v>44</v>
      </c>
      <c r="Z1168" s="2"/>
      <c r="AA1168" s="2" t="s">
        <v>821</v>
      </c>
      <c r="AB1168" s="2" t="s">
        <v>46</v>
      </c>
      <c r="AC1168" s="2" t="s">
        <v>821</v>
      </c>
      <c r="AE1168" s="2" t="s">
        <v>10801</v>
      </c>
      <c r="AF1168" s="2" t="s">
        <v>7864</v>
      </c>
      <c r="AG1168" s="2">
        <v>100</v>
      </c>
      <c r="AH1168" s="2">
        <v>17</v>
      </c>
      <c r="AJ1168" s="2" t="s">
        <v>10940</v>
      </c>
      <c r="AK1168" s="2"/>
      <c r="AL1168" s="2"/>
      <c r="AM1168" s="2" t="s">
        <v>10791</v>
      </c>
    </row>
    <row r="1169" spans="1:39" x14ac:dyDescent="0.45">
      <c r="A1169" s="2" t="s">
        <v>10941</v>
      </c>
      <c r="B1169" s="2"/>
      <c r="C1169" s="2" t="s">
        <v>10943</v>
      </c>
      <c r="D1169" s="2" t="s">
        <v>10945</v>
      </c>
      <c r="E1169" s="25"/>
      <c r="F1169" s="21"/>
      <c r="G1169" s="21"/>
      <c r="H1169" s="2" t="s">
        <v>10789</v>
      </c>
      <c r="I1169" s="2" t="s">
        <v>10787</v>
      </c>
      <c r="J1169" s="2" t="s">
        <v>10942</v>
      </c>
      <c r="K1169" s="2" t="s">
        <v>10944</v>
      </c>
      <c r="L1169" s="2" t="s">
        <v>10946</v>
      </c>
      <c r="M1169" s="2"/>
      <c r="N1169" s="2" t="s">
        <v>536</v>
      </c>
      <c r="O1169" s="2" t="s">
        <v>537</v>
      </c>
      <c r="P1169" s="2" t="s">
        <v>1091</v>
      </c>
      <c r="Q1169" s="2" t="s">
        <v>10944</v>
      </c>
      <c r="R1169" s="2"/>
      <c r="S1169" s="2"/>
      <c r="T1169" s="2"/>
      <c r="U1169" s="2" t="s">
        <v>536</v>
      </c>
      <c r="V1169" s="2" t="s">
        <v>537</v>
      </c>
      <c r="W1169" s="2" t="s">
        <v>1091</v>
      </c>
      <c r="X1169" s="2" t="s">
        <v>7034</v>
      </c>
      <c r="Y1169" s="2" t="s">
        <v>44</v>
      </c>
      <c r="Z1169" s="2"/>
      <c r="AA1169" s="2" t="s">
        <v>821</v>
      </c>
      <c r="AB1169" s="2" t="s">
        <v>46</v>
      </c>
      <c r="AC1169" s="2" t="s">
        <v>821</v>
      </c>
      <c r="AE1169" s="2" t="s">
        <v>10801</v>
      </c>
      <c r="AF1169" s="2" t="s">
        <v>7864</v>
      </c>
      <c r="AG1169" s="2">
        <v>100</v>
      </c>
      <c r="AH1169" s="2">
        <v>17</v>
      </c>
      <c r="AJ1169" s="2" t="s">
        <v>10947</v>
      </c>
      <c r="AK1169" s="2"/>
      <c r="AL1169" s="2"/>
      <c r="AM1169" s="2" t="s">
        <v>10791</v>
      </c>
    </row>
    <row r="1170" spans="1:39" x14ac:dyDescent="0.45">
      <c r="A1170" s="2" t="s">
        <v>10948</v>
      </c>
      <c r="B1170" s="2"/>
      <c r="C1170" s="2" t="s">
        <v>10950</v>
      </c>
      <c r="D1170" s="2" t="s">
        <v>10952</v>
      </c>
      <c r="E1170" s="25"/>
      <c r="F1170" s="21"/>
      <c r="G1170" s="21"/>
      <c r="H1170" s="2" t="s">
        <v>10789</v>
      </c>
      <c r="I1170" s="2" t="s">
        <v>10787</v>
      </c>
      <c r="J1170" s="2" t="s">
        <v>10949</v>
      </c>
      <c r="K1170" s="2" t="s">
        <v>10951</v>
      </c>
      <c r="L1170" s="2" t="s">
        <v>10953</v>
      </c>
      <c r="M1170" s="2" t="s">
        <v>10953</v>
      </c>
      <c r="N1170" s="2" t="s">
        <v>384</v>
      </c>
      <c r="O1170" s="2" t="s">
        <v>73</v>
      </c>
      <c r="P1170" s="2" t="s">
        <v>1837</v>
      </c>
      <c r="Q1170" s="2" t="s">
        <v>10954</v>
      </c>
      <c r="R1170" s="2"/>
      <c r="S1170" s="2"/>
      <c r="T1170" s="2"/>
      <c r="U1170" s="2" t="s">
        <v>384</v>
      </c>
      <c r="V1170" s="2" t="s">
        <v>73</v>
      </c>
      <c r="W1170" s="2" t="s">
        <v>1837</v>
      </c>
      <c r="X1170" s="2" t="s">
        <v>7034</v>
      </c>
      <c r="Y1170" s="2" t="s">
        <v>44</v>
      </c>
      <c r="Z1170" s="2"/>
      <c r="AA1170" s="2" t="s">
        <v>821</v>
      </c>
      <c r="AB1170" s="2" t="s">
        <v>46</v>
      </c>
      <c r="AC1170" s="2" t="s">
        <v>821</v>
      </c>
      <c r="AE1170" s="2" t="s">
        <v>10801</v>
      </c>
      <c r="AF1170" s="2" t="s">
        <v>7864</v>
      </c>
      <c r="AG1170" s="2">
        <v>100</v>
      </c>
      <c r="AH1170" s="2">
        <v>17</v>
      </c>
      <c r="AJ1170" s="2" t="s">
        <v>10955</v>
      </c>
      <c r="AK1170" s="2"/>
      <c r="AL1170" s="2"/>
      <c r="AM1170" s="2" t="s">
        <v>10791</v>
      </c>
    </row>
    <row r="1171" spans="1:39" x14ac:dyDescent="0.45">
      <c r="A1171" s="2" t="s">
        <v>10956</v>
      </c>
      <c r="B1171" s="2"/>
      <c r="C1171" s="2" t="s">
        <v>10958</v>
      </c>
      <c r="D1171" s="2" t="s">
        <v>10960</v>
      </c>
      <c r="E1171" s="25"/>
      <c r="F1171" s="21"/>
      <c r="G1171" s="21"/>
      <c r="H1171" s="2" t="s">
        <v>10789</v>
      </c>
      <c r="I1171" s="2" t="s">
        <v>10787</v>
      </c>
      <c r="J1171" s="2" t="s">
        <v>10957</v>
      </c>
      <c r="K1171" s="2" t="s">
        <v>10959</v>
      </c>
      <c r="L1171" s="2" t="s">
        <v>10961</v>
      </c>
      <c r="M1171" s="2"/>
      <c r="N1171" s="2" t="s">
        <v>39</v>
      </c>
      <c r="O1171" s="2" t="s">
        <v>40</v>
      </c>
      <c r="P1171" s="2" t="s">
        <v>10962</v>
      </c>
      <c r="Q1171" s="2" t="s">
        <v>10959</v>
      </c>
      <c r="R1171" s="2"/>
      <c r="S1171" s="2"/>
      <c r="T1171" s="2"/>
      <c r="U1171" s="2" t="s">
        <v>39</v>
      </c>
      <c r="V1171" s="2" t="s">
        <v>40</v>
      </c>
      <c r="W1171" s="2" t="s">
        <v>10962</v>
      </c>
      <c r="X1171" s="2" t="s">
        <v>4928</v>
      </c>
      <c r="Y1171" s="2" t="s">
        <v>44</v>
      </c>
      <c r="Z1171" s="2"/>
      <c r="AA1171" s="2" t="s">
        <v>821</v>
      </c>
      <c r="AB1171" s="2" t="s">
        <v>46</v>
      </c>
      <c r="AC1171" s="2" t="s">
        <v>821</v>
      </c>
      <c r="AE1171" s="2" t="s">
        <v>10801</v>
      </c>
      <c r="AF1171" s="2" t="s">
        <v>7864</v>
      </c>
      <c r="AG1171" s="2">
        <v>100</v>
      </c>
      <c r="AH1171" s="2">
        <v>17</v>
      </c>
      <c r="AJ1171" s="2" t="s">
        <v>10963</v>
      </c>
      <c r="AK1171" s="2"/>
      <c r="AL1171" s="2"/>
      <c r="AM1171" s="2" t="s">
        <v>10791</v>
      </c>
    </row>
    <row r="1172" spans="1:39" x14ac:dyDescent="0.45">
      <c r="A1172" s="2" t="s">
        <v>10964</v>
      </c>
      <c r="B1172" s="2"/>
      <c r="C1172" s="2" t="s">
        <v>10966</v>
      </c>
      <c r="D1172" s="2" t="s">
        <v>10968</v>
      </c>
      <c r="E1172" s="25"/>
      <c r="F1172" s="21"/>
      <c r="G1172" s="21"/>
      <c r="H1172" s="2" t="s">
        <v>10789</v>
      </c>
      <c r="I1172" s="2" t="s">
        <v>10787</v>
      </c>
      <c r="J1172" s="2" t="s">
        <v>10965</v>
      </c>
      <c r="K1172" s="2" t="s">
        <v>10967</v>
      </c>
      <c r="L1172" s="2" t="s">
        <v>10969</v>
      </c>
      <c r="M1172" s="2"/>
      <c r="N1172" s="2" t="s">
        <v>1023</v>
      </c>
      <c r="O1172" s="2" t="s">
        <v>73</v>
      </c>
      <c r="P1172" s="2" t="s">
        <v>4550</v>
      </c>
      <c r="Q1172" s="2" t="s">
        <v>10970</v>
      </c>
      <c r="R1172" s="2"/>
      <c r="S1172" s="2"/>
      <c r="T1172" s="2"/>
      <c r="U1172" s="2" t="s">
        <v>1023</v>
      </c>
      <c r="V1172" s="2" t="s">
        <v>73</v>
      </c>
      <c r="W1172" s="2" t="s">
        <v>10971</v>
      </c>
      <c r="X1172" s="2" t="s">
        <v>4974</v>
      </c>
      <c r="Y1172" s="2" t="s">
        <v>44</v>
      </c>
      <c r="Z1172" s="2"/>
      <c r="AA1172" s="2" t="s">
        <v>821</v>
      </c>
      <c r="AB1172" s="2" t="s">
        <v>46</v>
      </c>
      <c r="AC1172" s="2" t="s">
        <v>821</v>
      </c>
      <c r="AE1172" s="2" t="s">
        <v>10801</v>
      </c>
      <c r="AF1172" s="2" t="s">
        <v>7864</v>
      </c>
      <c r="AG1172" s="2">
        <v>100</v>
      </c>
      <c r="AH1172" s="2">
        <v>17</v>
      </c>
      <c r="AJ1172" s="2" t="s">
        <v>10972</v>
      </c>
      <c r="AK1172" s="2"/>
      <c r="AL1172" s="2"/>
      <c r="AM1172" s="2" t="s">
        <v>10791</v>
      </c>
    </row>
    <row r="1173" spans="1:39" x14ac:dyDescent="0.45">
      <c r="A1173" s="2" t="s">
        <v>10973</v>
      </c>
      <c r="B1173" s="2"/>
      <c r="C1173" s="2" t="s">
        <v>10975</v>
      </c>
      <c r="D1173" s="2" t="s">
        <v>10977</v>
      </c>
      <c r="E1173" s="25"/>
      <c r="F1173" s="21"/>
      <c r="G1173" s="21"/>
      <c r="H1173" s="2" t="s">
        <v>10789</v>
      </c>
      <c r="I1173" s="2" t="s">
        <v>10787</v>
      </c>
      <c r="J1173" s="2" t="s">
        <v>10974</v>
      </c>
      <c r="K1173" s="2" t="s">
        <v>10976</v>
      </c>
      <c r="L1173" s="2" t="s">
        <v>10978</v>
      </c>
      <c r="M1173" s="2"/>
      <c r="N1173" s="2" t="s">
        <v>59</v>
      </c>
      <c r="O1173" s="2" t="s">
        <v>60</v>
      </c>
      <c r="P1173" s="2" t="s">
        <v>5251</v>
      </c>
      <c r="Q1173" s="2" t="s">
        <v>10976</v>
      </c>
      <c r="R1173" s="2"/>
      <c r="S1173" s="2"/>
      <c r="T1173" s="2"/>
      <c r="U1173" s="2" t="s">
        <v>59</v>
      </c>
      <c r="V1173" s="2" t="s">
        <v>60</v>
      </c>
      <c r="W1173" s="2" t="s">
        <v>5251</v>
      </c>
      <c r="X1173" s="2" t="s">
        <v>4984</v>
      </c>
      <c r="Y1173" s="2" t="s">
        <v>44</v>
      </c>
      <c r="Z1173" s="2"/>
      <c r="AA1173" s="2" t="s">
        <v>821</v>
      </c>
      <c r="AB1173" s="2" t="s">
        <v>46</v>
      </c>
      <c r="AC1173" s="2" t="s">
        <v>821</v>
      </c>
      <c r="AE1173" s="2" t="s">
        <v>10801</v>
      </c>
      <c r="AF1173" s="2" t="s">
        <v>7864</v>
      </c>
      <c r="AG1173" s="2">
        <v>100</v>
      </c>
      <c r="AH1173" s="2">
        <v>17</v>
      </c>
      <c r="AJ1173" s="2" t="s">
        <v>10979</v>
      </c>
      <c r="AK1173" s="2"/>
      <c r="AL1173" s="2"/>
      <c r="AM1173" s="2" t="s">
        <v>10791</v>
      </c>
    </row>
    <row r="1174" spans="1:39" x14ac:dyDescent="0.45">
      <c r="A1174" s="2" t="s">
        <v>10980</v>
      </c>
      <c r="B1174" s="2"/>
      <c r="C1174" s="2" t="s">
        <v>10982</v>
      </c>
      <c r="D1174" s="2" t="s">
        <v>10984</v>
      </c>
      <c r="E1174" s="25"/>
      <c r="F1174" s="21"/>
      <c r="G1174" s="21"/>
      <c r="H1174" s="2" t="s">
        <v>10789</v>
      </c>
      <c r="I1174" s="2" t="s">
        <v>10787</v>
      </c>
      <c r="J1174" s="2" t="s">
        <v>10981</v>
      </c>
      <c r="K1174" s="2" t="s">
        <v>10983</v>
      </c>
      <c r="L1174" s="2" t="s">
        <v>10985</v>
      </c>
      <c r="M1174" s="2"/>
      <c r="N1174" s="2" t="s">
        <v>59</v>
      </c>
      <c r="O1174" s="2" t="s">
        <v>60</v>
      </c>
      <c r="P1174" s="2" t="s">
        <v>7339</v>
      </c>
      <c r="Q1174" s="2"/>
      <c r="R1174" s="2"/>
      <c r="S1174" s="2"/>
      <c r="T1174" s="2"/>
      <c r="U1174" s="2"/>
      <c r="V1174" s="2"/>
      <c r="W1174" s="2"/>
      <c r="X1174" s="2" t="s">
        <v>2811</v>
      </c>
      <c r="Y1174" s="2" t="s">
        <v>44</v>
      </c>
      <c r="Z1174" s="2"/>
      <c r="AA1174" s="2" t="s">
        <v>821</v>
      </c>
      <c r="AB1174" s="2" t="s">
        <v>46</v>
      </c>
      <c r="AC1174" s="2" t="s">
        <v>821</v>
      </c>
      <c r="AE1174" s="2" t="s">
        <v>10801</v>
      </c>
      <c r="AF1174" s="2" t="s">
        <v>7864</v>
      </c>
      <c r="AG1174" s="2">
        <v>100</v>
      </c>
      <c r="AH1174" s="2">
        <v>17</v>
      </c>
      <c r="AJ1174" s="2" t="s">
        <v>10986</v>
      </c>
      <c r="AK1174" s="2"/>
      <c r="AL1174" s="2"/>
      <c r="AM1174" s="2" t="s">
        <v>10791</v>
      </c>
    </row>
    <row r="1175" spans="1:39" x14ac:dyDescent="0.45">
      <c r="A1175" s="2" t="s">
        <v>10987</v>
      </c>
      <c r="B1175" s="2"/>
      <c r="C1175" s="2" t="s">
        <v>10989</v>
      </c>
      <c r="D1175" s="2" t="s">
        <v>10991</v>
      </c>
      <c r="E1175" s="25"/>
      <c r="F1175" s="21"/>
      <c r="G1175" s="21"/>
      <c r="H1175" s="2" t="s">
        <v>10789</v>
      </c>
      <c r="I1175" s="2" t="s">
        <v>10787</v>
      </c>
      <c r="J1175" s="2" t="s">
        <v>10988</v>
      </c>
      <c r="K1175" s="2" t="s">
        <v>10990</v>
      </c>
      <c r="L1175" s="2" t="s">
        <v>10992</v>
      </c>
      <c r="M1175" s="2"/>
      <c r="N1175" s="2" t="s">
        <v>59</v>
      </c>
      <c r="O1175" s="2" t="s">
        <v>60</v>
      </c>
      <c r="P1175" s="2" t="s">
        <v>5584</v>
      </c>
      <c r="Q1175" s="2" t="s">
        <v>10993</v>
      </c>
      <c r="R1175" s="2"/>
      <c r="S1175" s="2"/>
      <c r="T1175" s="2"/>
      <c r="U1175" s="2" t="s">
        <v>59</v>
      </c>
      <c r="V1175" s="2" t="s">
        <v>60</v>
      </c>
      <c r="W1175" s="2" t="s">
        <v>5584</v>
      </c>
      <c r="X1175" s="2" t="s">
        <v>10994</v>
      </c>
      <c r="Y1175" s="2" t="s">
        <v>44</v>
      </c>
      <c r="Z1175" s="2"/>
      <c r="AA1175" s="2" t="s">
        <v>821</v>
      </c>
      <c r="AB1175" s="2" t="s">
        <v>46</v>
      </c>
      <c r="AC1175" s="2" t="s">
        <v>821</v>
      </c>
      <c r="AE1175" s="2" t="s">
        <v>10801</v>
      </c>
      <c r="AF1175" s="2" t="s">
        <v>7864</v>
      </c>
      <c r="AG1175" s="2">
        <v>100</v>
      </c>
      <c r="AH1175" s="2">
        <v>17</v>
      </c>
      <c r="AJ1175" s="2" t="s">
        <v>10995</v>
      </c>
      <c r="AK1175" s="2"/>
      <c r="AL1175" s="2"/>
      <c r="AM1175" s="2" t="s">
        <v>10791</v>
      </c>
    </row>
    <row r="1176" spans="1:39" x14ac:dyDescent="0.45">
      <c r="A1176" s="2" t="s">
        <v>10996</v>
      </c>
      <c r="B1176" s="2"/>
      <c r="C1176" s="2" t="s">
        <v>10998</v>
      </c>
      <c r="D1176" s="2" t="s">
        <v>11000</v>
      </c>
      <c r="E1176" s="25"/>
      <c r="F1176" s="21"/>
      <c r="G1176" s="21"/>
      <c r="H1176" s="2" t="s">
        <v>10789</v>
      </c>
      <c r="I1176" s="2" t="s">
        <v>11005</v>
      </c>
      <c r="J1176" s="2" t="s">
        <v>10997</v>
      </c>
      <c r="K1176" s="2" t="s">
        <v>10999</v>
      </c>
      <c r="L1176" s="2" t="s">
        <v>11001</v>
      </c>
      <c r="M1176" s="2"/>
      <c r="N1176" s="2" t="s">
        <v>39</v>
      </c>
      <c r="O1176" s="2" t="s">
        <v>40</v>
      </c>
      <c r="P1176" s="2" t="s">
        <v>11002</v>
      </c>
      <c r="Q1176" s="2" t="s">
        <v>11003</v>
      </c>
      <c r="R1176" s="2"/>
      <c r="S1176" s="2"/>
      <c r="T1176" s="2"/>
      <c r="U1176" s="2" t="s">
        <v>39</v>
      </c>
      <c r="V1176" s="2" t="s">
        <v>40</v>
      </c>
      <c r="W1176" s="2" t="s">
        <v>11002</v>
      </c>
      <c r="X1176" s="2" t="s">
        <v>11004</v>
      </c>
      <c r="Y1176" s="2" t="s">
        <v>44</v>
      </c>
      <c r="Z1176" s="2"/>
      <c r="AA1176" s="2" t="s">
        <v>821</v>
      </c>
      <c r="AB1176" s="2" t="s">
        <v>46</v>
      </c>
      <c r="AC1176" s="2" t="s">
        <v>821</v>
      </c>
      <c r="AE1176" s="2" t="s">
        <v>10801</v>
      </c>
      <c r="AF1176" s="2" t="s">
        <v>7864</v>
      </c>
      <c r="AG1176" s="2">
        <v>100</v>
      </c>
      <c r="AH1176" s="2">
        <v>17</v>
      </c>
      <c r="AJ1176" s="2" t="s">
        <v>11006</v>
      </c>
      <c r="AK1176" s="2"/>
      <c r="AL1176" s="2"/>
      <c r="AM1176" s="2" t="s">
        <v>10791</v>
      </c>
    </row>
    <row r="1177" spans="1:39" x14ac:dyDescent="0.45">
      <c r="A1177" s="2" t="s">
        <v>11007</v>
      </c>
      <c r="B1177" s="2"/>
      <c r="C1177" s="2" t="s">
        <v>11009</v>
      </c>
      <c r="D1177" s="2" t="s">
        <v>11011</v>
      </c>
      <c r="E1177" s="25"/>
      <c r="F1177" s="21"/>
      <c r="G1177" s="21"/>
      <c r="H1177" s="2" t="s">
        <v>10789</v>
      </c>
      <c r="I1177" s="2" t="s">
        <v>10787</v>
      </c>
      <c r="J1177" s="2" t="s">
        <v>11008</v>
      </c>
      <c r="K1177" s="2" t="s">
        <v>11010</v>
      </c>
      <c r="L1177" s="2" t="s">
        <v>11012</v>
      </c>
      <c r="M1177" s="2"/>
      <c r="N1177" s="2" t="s">
        <v>1188</v>
      </c>
      <c r="O1177" s="2" t="s">
        <v>221</v>
      </c>
      <c r="P1177" s="2" t="s">
        <v>1189</v>
      </c>
      <c r="Q1177" s="2" t="s">
        <v>11010</v>
      </c>
      <c r="R1177" s="2"/>
      <c r="S1177" s="2"/>
      <c r="T1177" s="2"/>
      <c r="U1177" s="2" t="s">
        <v>1188</v>
      </c>
      <c r="V1177" s="2" t="s">
        <v>221</v>
      </c>
      <c r="W1177" s="2" t="s">
        <v>1189</v>
      </c>
      <c r="X1177" s="2" t="s">
        <v>11013</v>
      </c>
      <c r="Y1177" s="2" t="s">
        <v>44</v>
      </c>
      <c r="Z1177" s="2"/>
      <c r="AA1177" s="2" t="s">
        <v>821</v>
      </c>
      <c r="AB1177" s="2" t="s">
        <v>46</v>
      </c>
      <c r="AC1177" s="2" t="s">
        <v>821</v>
      </c>
      <c r="AE1177" s="2" t="s">
        <v>10801</v>
      </c>
      <c r="AF1177" s="2" t="s">
        <v>7864</v>
      </c>
      <c r="AG1177" s="2">
        <v>100</v>
      </c>
      <c r="AH1177" s="2">
        <v>17</v>
      </c>
      <c r="AJ1177" s="2" t="s">
        <v>11014</v>
      </c>
      <c r="AK1177" s="2"/>
      <c r="AL1177" s="2"/>
      <c r="AM1177" s="2" t="s">
        <v>10791</v>
      </c>
    </row>
    <row r="1178" spans="1:39" x14ac:dyDescent="0.45">
      <c r="A1178" s="2" t="s">
        <v>11015</v>
      </c>
      <c r="B1178" s="2"/>
      <c r="C1178" s="2" t="s">
        <v>11017</v>
      </c>
      <c r="D1178" s="2" t="s">
        <v>11019</v>
      </c>
      <c r="E1178" s="25"/>
      <c r="F1178" s="21"/>
      <c r="G1178" s="21"/>
      <c r="H1178" s="2" t="s">
        <v>10789</v>
      </c>
      <c r="I1178" s="2" t="s">
        <v>10787</v>
      </c>
      <c r="J1178" s="2" t="s">
        <v>11016</v>
      </c>
      <c r="K1178" s="2" t="s">
        <v>11018</v>
      </c>
      <c r="L1178" s="2" t="s">
        <v>11020</v>
      </c>
      <c r="M1178" s="2"/>
      <c r="N1178" s="2" t="s">
        <v>72</v>
      </c>
      <c r="O1178" s="2" t="s">
        <v>73</v>
      </c>
      <c r="P1178" s="2" t="s">
        <v>187</v>
      </c>
      <c r="Q1178" s="2" t="s">
        <v>11018</v>
      </c>
      <c r="R1178" s="2"/>
      <c r="S1178" s="2"/>
      <c r="T1178" s="2"/>
      <c r="U1178" s="2" t="s">
        <v>72</v>
      </c>
      <c r="V1178" s="2" t="s">
        <v>73</v>
      </c>
      <c r="W1178" s="2" t="s">
        <v>187</v>
      </c>
      <c r="X1178" s="2" t="s">
        <v>11021</v>
      </c>
      <c r="Y1178" s="2" t="s">
        <v>44</v>
      </c>
      <c r="Z1178" s="2"/>
      <c r="AA1178" s="2" t="s">
        <v>821</v>
      </c>
      <c r="AB1178" s="2" t="s">
        <v>46</v>
      </c>
      <c r="AC1178" s="2" t="s">
        <v>821</v>
      </c>
      <c r="AE1178" s="2" t="s">
        <v>10801</v>
      </c>
      <c r="AF1178" s="2" t="s">
        <v>7864</v>
      </c>
      <c r="AG1178" s="2">
        <v>100</v>
      </c>
      <c r="AH1178" s="2">
        <v>17</v>
      </c>
      <c r="AJ1178" s="2" t="s">
        <v>11022</v>
      </c>
      <c r="AK1178" s="2"/>
      <c r="AL1178" s="2"/>
      <c r="AM1178" s="2" t="s">
        <v>10791</v>
      </c>
    </row>
    <row r="1179" spans="1:39" x14ac:dyDescent="0.45">
      <c r="A1179" s="2" t="s">
        <v>11023</v>
      </c>
      <c r="B1179" s="2"/>
      <c r="C1179" s="2" t="s">
        <v>11025</v>
      </c>
      <c r="D1179" s="2" t="s">
        <v>11027</v>
      </c>
      <c r="E1179" s="25"/>
      <c r="F1179" s="21"/>
      <c r="G1179" s="21"/>
      <c r="H1179" s="2" t="s">
        <v>10789</v>
      </c>
      <c r="I1179" s="2" t="s">
        <v>10787</v>
      </c>
      <c r="J1179" s="2" t="s">
        <v>11024</v>
      </c>
      <c r="K1179" s="2" t="s">
        <v>11026</v>
      </c>
      <c r="L1179" s="2" t="s">
        <v>11028</v>
      </c>
      <c r="M1179" s="2"/>
      <c r="N1179" s="2" t="s">
        <v>651</v>
      </c>
      <c r="O1179" s="2" t="s">
        <v>86</v>
      </c>
      <c r="P1179" s="2" t="s">
        <v>2351</v>
      </c>
      <c r="Q1179" s="2" t="s">
        <v>11026</v>
      </c>
      <c r="R1179" s="2"/>
      <c r="S1179" s="2"/>
      <c r="T1179" s="2"/>
      <c r="U1179" s="2" t="s">
        <v>651</v>
      </c>
      <c r="V1179" s="2" t="s">
        <v>86</v>
      </c>
      <c r="W1179" s="2" t="s">
        <v>2351</v>
      </c>
      <c r="X1179" s="2" t="s">
        <v>3866</v>
      </c>
      <c r="Y1179" s="2" t="s">
        <v>44</v>
      </c>
      <c r="Z1179" s="2"/>
      <c r="AA1179" s="2" t="s">
        <v>821</v>
      </c>
      <c r="AB1179" s="2" t="s">
        <v>46</v>
      </c>
      <c r="AC1179" s="2" t="s">
        <v>821</v>
      </c>
      <c r="AE1179" s="2" t="s">
        <v>10801</v>
      </c>
      <c r="AF1179" s="2" t="s">
        <v>7864</v>
      </c>
      <c r="AG1179" s="2">
        <v>100</v>
      </c>
      <c r="AH1179" s="2">
        <v>17</v>
      </c>
      <c r="AJ1179" s="2" t="s">
        <v>11029</v>
      </c>
      <c r="AK1179" s="2"/>
      <c r="AL1179" s="2"/>
      <c r="AM1179" s="2" t="s">
        <v>10791</v>
      </c>
    </row>
    <row r="1180" spans="1:39" x14ac:dyDescent="0.45">
      <c r="A1180" s="2" t="s">
        <v>11030</v>
      </c>
      <c r="B1180" s="2"/>
      <c r="C1180" s="2" t="s">
        <v>11032</v>
      </c>
      <c r="D1180" s="2" t="s">
        <v>11034</v>
      </c>
      <c r="E1180" s="25"/>
      <c r="F1180" s="21"/>
      <c r="G1180" s="21"/>
      <c r="H1180" s="2" t="s">
        <v>10789</v>
      </c>
      <c r="I1180" s="2" t="s">
        <v>10787</v>
      </c>
      <c r="J1180" s="2" t="s">
        <v>11031</v>
      </c>
      <c r="K1180" s="2" t="s">
        <v>11033</v>
      </c>
      <c r="L1180" s="2" t="s">
        <v>11035</v>
      </c>
      <c r="M1180" s="2" t="s">
        <v>11035</v>
      </c>
      <c r="N1180" s="2" t="s">
        <v>59</v>
      </c>
      <c r="O1180" s="2" t="s">
        <v>60</v>
      </c>
      <c r="P1180" s="2" t="s">
        <v>4610</v>
      </c>
      <c r="Q1180" s="2" t="s">
        <v>11036</v>
      </c>
      <c r="R1180" s="2"/>
      <c r="S1180" s="2"/>
      <c r="T1180" s="2"/>
      <c r="U1180" s="2" t="s">
        <v>59</v>
      </c>
      <c r="V1180" s="2" t="s">
        <v>60</v>
      </c>
      <c r="W1180" s="2" t="s">
        <v>11037</v>
      </c>
      <c r="X1180" s="2" t="s">
        <v>5261</v>
      </c>
      <c r="Y1180" s="2" t="s">
        <v>44</v>
      </c>
      <c r="Z1180" s="2"/>
      <c r="AA1180" s="2" t="s">
        <v>821</v>
      </c>
      <c r="AB1180" s="2" t="s">
        <v>46</v>
      </c>
      <c r="AC1180" s="2" t="s">
        <v>821</v>
      </c>
      <c r="AE1180" s="2" t="s">
        <v>10801</v>
      </c>
      <c r="AF1180" s="2" t="s">
        <v>7864</v>
      </c>
      <c r="AG1180" s="2">
        <v>100</v>
      </c>
      <c r="AH1180" s="2">
        <v>17</v>
      </c>
      <c r="AJ1180" s="2" t="s">
        <v>11038</v>
      </c>
      <c r="AK1180" s="2"/>
      <c r="AL1180" s="2"/>
      <c r="AM1180" s="2" t="s">
        <v>10791</v>
      </c>
    </row>
    <row r="1181" spans="1:39" x14ac:dyDescent="0.45">
      <c r="A1181" s="2" t="s">
        <v>11039</v>
      </c>
      <c r="B1181" s="2"/>
      <c r="C1181" s="2" t="s">
        <v>11041</v>
      </c>
      <c r="D1181" s="2" t="s">
        <v>11043</v>
      </c>
      <c r="E1181" s="25"/>
      <c r="F1181" s="21"/>
      <c r="G1181" s="21"/>
      <c r="H1181" s="2" t="s">
        <v>10789</v>
      </c>
      <c r="I1181" s="2" t="s">
        <v>10787</v>
      </c>
      <c r="J1181" s="2" t="s">
        <v>11040</v>
      </c>
      <c r="K1181" s="2" t="s">
        <v>11042</v>
      </c>
      <c r="L1181" s="2" t="s">
        <v>11044</v>
      </c>
      <c r="M1181" s="2"/>
      <c r="N1181" s="2" t="s">
        <v>216</v>
      </c>
      <c r="O1181" s="2" t="s">
        <v>217</v>
      </c>
      <c r="P1181" s="2" t="s">
        <v>11045</v>
      </c>
      <c r="Q1181" s="2" t="s">
        <v>11046</v>
      </c>
      <c r="R1181" s="2"/>
      <c r="S1181" s="2"/>
      <c r="T1181" s="2"/>
      <c r="U1181" s="2" t="s">
        <v>216</v>
      </c>
      <c r="V1181" s="2" t="s">
        <v>217</v>
      </c>
      <c r="W1181" s="2" t="s">
        <v>11045</v>
      </c>
      <c r="X1181" s="2" t="s">
        <v>11047</v>
      </c>
      <c r="Y1181" s="2" t="s">
        <v>44</v>
      </c>
      <c r="Z1181" s="2"/>
      <c r="AA1181" s="2" t="s">
        <v>821</v>
      </c>
      <c r="AB1181" s="2" t="s">
        <v>46</v>
      </c>
      <c r="AC1181" s="2" t="s">
        <v>821</v>
      </c>
      <c r="AE1181" s="2" t="s">
        <v>10801</v>
      </c>
      <c r="AF1181" s="2" t="s">
        <v>7864</v>
      </c>
      <c r="AG1181" s="2">
        <v>100</v>
      </c>
      <c r="AH1181" s="2">
        <v>17</v>
      </c>
      <c r="AJ1181" s="2" t="s">
        <v>11048</v>
      </c>
      <c r="AK1181" s="2"/>
      <c r="AL1181" s="2"/>
      <c r="AM1181" s="2" t="s">
        <v>10791</v>
      </c>
    </row>
    <row r="1182" spans="1:39" x14ac:dyDescent="0.45">
      <c r="A1182" s="2" t="s">
        <v>11049</v>
      </c>
      <c r="B1182" s="2"/>
      <c r="C1182" s="2" t="s">
        <v>11051</v>
      </c>
      <c r="D1182" s="2" t="s">
        <v>11053</v>
      </c>
      <c r="E1182" s="25"/>
      <c r="F1182" s="21"/>
      <c r="G1182" s="21"/>
      <c r="H1182" s="2" t="s">
        <v>10789</v>
      </c>
      <c r="I1182" s="2" t="s">
        <v>10787</v>
      </c>
      <c r="J1182" s="2" t="s">
        <v>11050</v>
      </c>
      <c r="K1182" s="2" t="s">
        <v>11052</v>
      </c>
      <c r="L1182" s="2" t="s">
        <v>11054</v>
      </c>
      <c r="M1182" s="2" t="s">
        <v>11054</v>
      </c>
      <c r="N1182" s="2" t="s">
        <v>1188</v>
      </c>
      <c r="O1182" s="2" t="s">
        <v>221</v>
      </c>
      <c r="P1182" s="2" t="s">
        <v>1189</v>
      </c>
      <c r="Q1182" s="2" t="s">
        <v>11052</v>
      </c>
      <c r="R1182" s="2"/>
      <c r="S1182" s="2"/>
      <c r="T1182" s="2"/>
      <c r="U1182" s="2" t="s">
        <v>1188</v>
      </c>
      <c r="V1182" s="2" t="s">
        <v>221</v>
      </c>
      <c r="W1182" s="2" t="s">
        <v>1189</v>
      </c>
      <c r="X1182" s="2" t="s">
        <v>5374</v>
      </c>
      <c r="Y1182" s="2" t="s">
        <v>44</v>
      </c>
      <c r="Z1182" s="2"/>
      <c r="AA1182" s="2" t="s">
        <v>821</v>
      </c>
      <c r="AB1182" s="2" t="s">
        <v>46</v>
      </c>
      <c r="AC1182" s="2" t="s">
        <v>821</v>
      </c>
      <c r="AE1182" s="2" t="s">
        <v>10801</v>
      </c>
      <c r="AF1182" s="2" t="s">
        <v>7864</v>
      </c>
      <c r="AG1182" s="2">
        <v>100</v>
      </c>
      <c r="AH1182" s="2">
        <v>17</v>
      </c>
      <c r="AJ1182" s="2" t="s">
        <v>11055</v>
      </c>
      <c r="AK1182" s="2"/>
      <c r="AL1182" s="2"/>
      <c r="AM1182" s="2" t="s">
        <v>10791</v>
      </c>
    </row>
    <row r="1183" spans="1:39" x14ac:dyDescent="0.45">
      <c r="A1183" s="2" t="s">
        <v>11056</v>
      </c>
      <c r="B1183" s="2"/>
      <c r="C1183" s="2" t="s">
        <v>11058</v>
      </c>
      <c r="D1183" s="2" t="s">
        <v>11060</v>
      </c>
      <c r="E1183" s="25"/>
      <c r="F1183" s="21"/>
      <c r="G1183" s="21"/>
      <c r="H1183" s="2" t="s">
        <v>10789</v>
      </c>
      <c r="I1183" s="2" t="s">
        <v>10787</v>
      </c>
      <c r="J1183" s="2" t="s">
        <v>11057</v>
      </c>
      <c r="K1183" s="2" t="s">
        <v>11059</v>
      </c>
      <c r="L1183" s="2" t="s">
        <v>11061</v>
      </c>
      <c r="M1183" s="2"/>
      <c r="N1183" s="2" t="s">
        <v>1188</v>
      </c>
      <c r="O1183" s="2" t="s">
        <v>221</v>
      </c>
      <c r="P1183" s="2" t="s">
        <v>1189</v>
      </c>
      <c r="Q1183" s="2" t="s">
        <v>11059</v>
      </c>
      <c r="R1183" s="2"/>
      <c r="S1183" s="2"/>
      <c r="T1183" s="2"/>
      <c r="U1183" s="2" t="s">
        <v>1188</v>
      </c>
      <c r="V1183" s="2" t="s">
        <v>221</v>
      </c>
      <c r="W1183" s="2" t="s">
        <v>1189</v>
      </c>
      <c r="X1183" s="2" t="s">
        <v>723</v>
      </c>
      <c r="Y1183" s="2" t="s">
        <v>44</v>
      </c>
      <c r="Z1183" s="2"/>
      <c r="AA1183" s="2" t="s">
        <v>821</v>
      </c>
      <c r="AB1183" s="2" t="s">
        <v>46</v>
      </c>
      <c r="AC1183" s="2" t="s">
        <v>821</v>
      </c>
      <c r="AE1183" s="2" t="s">
        <v>10801</v>
      </c>
      <c r="AF1183" s="2" t="s">
        <v>7864</v>
      </c>
      <c r="AG1183" s="2">
        <v>100</v>
      </c>
      <c r="AH1183" s="2">
        <v>17</v>
      </c>
      <c r="AJ1183" s="2" t="s">
        <v>11062</v>
      </c>
      <c r="AK1183" s="2"/>
      <c r="AL1183" s="2"/>
      <c r="AM1183" s="2" t="s">
        <v>10791</v>
      </c>
    </row>
    <row r="1184" spans="1:39" x14ac:dyDescent="0.45">
      <c r="A1184" s="2" t="s">
        <v>11063</v>
      </c>
      <c r="B1184" s="2"/>
      <c r="C1184" s="2" t="s">
        <v>11065</v>
      </c>
      <c r="D1184" s="2" t="s">
        <v>11067</v>
      </c>
      <c r="E1184" s="25"/>
      <c r="F1184" s="21"/>
      <c r="G1184" s="21"/>
      <c r="H1184" s="2" t="s">
        <v>10789</v>
      </c>
      <c r="I1184" s="2" t="s">
        <v>10787</v>
      </c>
      <c r="J1184" s="2" t="s">
        <v>11064</v>
      </c>
      <c r="K1184" s="2" t="s">
        <v>11066</v>
      </c>
      <c r="L1184" s="2" t="s">
        <v>11068</v>
      </c>
      <c r="M1184" s="2" t="s">
        <v>11068</v>
      </c>
      <c r="N1184" s="2" t="s">
        <v>216</v>
      </c>
      <c r="O1184" s="2" t="s">
        <v>217</v>
      </c>
      <c r="P1184" s="2" t="s">
        <v>11069</v>
      </c>
      <c r="Q1184" s="2" t="s">
        <v>11070</v>
      </c>
      <c r="R1184" s="2"/>
      <c r="S1184" s="2"/>
      <c r="T1184" s="2"/>
      <c r="U1184" s="2" t="s">
        <v>216</v>
      </c>
      <c r="V1184" s="2" t="s">
        <v>217</v>
      </c>
      <c r="W1184" s="2" t="s">
        <v>11069</v>
      </c>
      <c r="X1184" s="2" t="s">
        <v>11071</v>
      </c>
      <c r="Y1184" s="2" t="s">
        <v>44</v>
      </c>
      <c r="Z1184" s="2"/>
      <c r="AA1184" s="2" t="s">
        <v>821</v>
      </c>
      <c r="AB1184" s="2" t="s">
        <v>46</v>
      </c>
      <c r="AC1184" s="2" t="s">
        <v>821</v>
      </c>
      <c r="AE1184" s="2" t="s">
        <v>10801</v>
      </c>
      <c r="AF1184" s="2" t="s">
        <v>7864</v>
      </c>
      <c r="AG1184" s="2">
        <v>100</v>
      </c>
      <c r="AH1184" s="2">
        <v>17</v>
      </c>
      <c r="AJ1184" s="2" t="s">
        <v>11072</v>
      </c>
      <c r="AK1184" s="2"/>
      <c r="AL1184" s="2"/>
      <c r="AM1184" s="2" t="s">
        <v>10791</v>
      </c>
    </row>
    <row r="1185" spans="1:39" x14ac:dyDescent="0.45">
      <c r="A1185" s="2" t="s">
        <v>11073</v>
      </c>
      <c r="B1185" s="2"/>
      <c r="C1185" s="2" t="s">
        <v>11075</v>
      </c>
      <c r="D1185" s="2" t="s">
        <v>11077</v>
      </c>
      <c r="E1185" s="25"/>
      <c r="F1185" s="21"/>
      <c r="G1185" s="21"/>
      <c r="H1185" s="2" t="s">
        <v>10789</v>
      </c>
      <c r="I1185" s="2" t="s">
        <v>10787</v>
      </c>
      <c r="J1185" s="2" t="s">
        <v>11074</v>
      </c>
      <c r="K1185" s="2" t="s">
        <v>11076</v>
      </c>
      <c r="L1185" s="2" t="s">
        <v>11078</v>
      </c>
      <c r="M1185" s="2"/>
      <c r="N1185" s="2" t="s">
        <v>59</v>
      </c>
      <c r="O1185" s="2" t="s">
        <v>60</v>
      </c>
      <c r="P1185" s="2" t="s">
        <v>11079</v>
      </c>
      <c r="Q1185" s="2" t="s">
        <v>11076</v>
      </c>
      <c r="R1185" s="2"/>
      <c r="S1185" s="2"/>
      <c r="T1185" s="2"/>
      <c r="U1185" s="2" t="s">
        <v>59</v>
      </c>
      <c r="V1185" s="2" t="s">
        <v>60</v>
      </c>
      <c r="W1185" s="2" t="s">
        <v>11079</v>
      </c>
      <c r="X1185" s="2" t="s">
        <v>11080</v>
      </c>
      <c r="Y1185" s="2" t="s">
        <v>44</v>
      </c>
      <c r="Z1185" s="2"/>
      <c r="AA1185" s="2" t="s">
        <v>821</v>
      </c>
      <c r="AB1185" s="2" t="s">
        <v>46</v>
      </c>
      <c r="AC1185" s="2" t="s">
        <v>821</v>
      </c>
      <c r="AE1185" s="2" t="s">
        <v>10801</v>
      </c>
      <c r="AF1185" s="2" t="s">
        <v>7864</v>
      </c>
      <c r="AG1185" s="2">
        <v>100</v>
      </c>
      <c r="AH1185" s="2">
        <v>17</v>
      </c>
      <c r="AJ1185" s="2" t="s">
        <v>11081</v>
      </c>
      <c r="AK1185" s="2"/>
      <c r="AL1185" s="2"/>
      <c r="AM1185" s="2" t="s">
        <v>10791</v>
      </c>
    </row>
    <row r="1186" spans="1:39" x14ac:dyDescent="0.45">
      <c r="A1186" s="2" t="s">
        <v>11082</v>
      </c>
      <c r="B1186" s="2"/>
      <c r="C1186" s="2" t="s">
        <v>11084</v>
      </c>
      <c r="D1186" s="2" t="s">
        <v>11086</v>
      </c>
      <c r="E1186" s="25"/>
      <c r="F1186" s="21"/>
      <c r="G1186" s="21"/>
      <c r="H1186" s="2" t="s">
        <v>10789</v>
      </c>
      <c r="I1186" s="2" t="s">
        <v>10787</v>
      </c>
      <c r="J1186" s="2" t="s">
        <v>11083</v>
      </c>
      <c r="K1186" s="2" t="s">
        <v>11085</v>
      </c>
      <c r="L1186" s="2" t="s">
        <v>11087</v>
      </c>
      <c r="M1186" s="2" t="s">
        <v>11087</v>
      </c>
      <c r="N1186" s="2" t="s">
        <v>1188</v>
      </c>
      <c r="O1186" s="2" t="s">
        <v>221</v>
      </c>
      <c r="P1186" s="2" t="s">
        <v>7349</v>
      </c>
      <c r="Q1186" s="2" t="s">
        <v>11085</v>
      </c>
      <c r="R1186" s="2"/>
      <c r="S1186" s="2"/>
      <c r="T1186" s="2"/>
      <c r="U1186" s="2" t="s">
        <v>1188</v>
      </c>
      <c r="V1186" s="2" t="s">
        <v>221</v>
      </c>
      <c r="W1186" s="2" t="s">
        <v>7349</v>
      </c>
      <c r="X1186" s="2" t="s">
        <v>11088</v>
      </c>
      <c r="Y1186" s="2" t="s">
        <v>44</v>
      </c>
      <c r="Z1186" s="2"/>
      <c r="AA1186" s="2" t="s">
        <v>821</v>
      </c>
      <c r="AB1186" s="2" t="s">
        <v>46</v>
      </c>
      <c r="AC1186" s="2" t="s">
        <v>821</v>
      </c>
      <c r="AE1186" s="2" t="s">
        <v>10801</v>
      </c>
      <c r="AF1186" s="2" t="s">
        <v>7864</v>
      </c>
      <c r="AG1186" s="2">
        <v>100</v>
      </c>
      <c r="AH1186" s="2">
        <v>17</v>
      </c>
      <c r="AJ1186" s="2" t="s">
        <v>11089</v>
      </c>
      <c r="AK1186" s="2"/>
      <c r="AL1186" s="2"/>
      <c r="AM1186" s="2" t="s">
        <v>10791</v>
      </c>
    </row>
    <row r="1187" spans="1:39" x14ac:dyDescent="0.45">
      <c r="A1187" s="2" t="s">
        <v>11090</v>
      </c>
      <c r="B1187" s="2"/>
      <c r="C1187" s="2" t="s">
        <v>11092</v>
      </c>
      <c r="D1187" s="2" t="s">
        <v>11094</v>
      </c>
      <c r="E1187" s="25"/>
      <c r="F1187" s="21"/>
      <c r="G1187" s="21"/>
      <c r="H1187" s="2" t="s">
        <v>10789</v>
      </c>
      <c r="I1187" s="2" t="s">
        <v>10787</v>
      </c>
      <c r="J1187" s="2" t="s">
        <v>11091</v>
      </c>
      <c r="K1187" s="2" t="s">
        <v>11093</v>
      </c>
      <c r="L1187" s="2" t="s">
        <v>11095</v>
      </c>
      <c r="M1187" s="2"/>
      <c r="N1187" s="2" t="s">
        <v>536</v>
      </c>
      <c r="O1187" s="2" t="s">
        <v>537</v>
      </c>
      <c r="P1187" s="2" t="s">
        <v>11096</v>
      </c>
      <c r="Q1187" s="2" t="s">
        <v>11097</v>
      </c>
      <c r="R1187" s="2"/>
      <c r="S1187" s="2"/>
      <c r="T1187" s="2"/>
      <c r="U1187" s="2" t="s">
        <v>536</v>
      </c>
      <c r="V1187" s="2" t="s">
        <v>537</v>
      </c>
      <c r="W1187" s="2" t="s">
        <v>11096</v>
      </c>
      <c r="X1187" s="2" t="s">
        <v>3293</v>
      </c>
      <c r="Y1187" s="2" t="s">
        <v>44</v>
      </c>
      <c r="Z1187" s="2"/>
      <c r="AA1187" s="2" t="s">
        <v>821</v>
      </c>
      <c r="AB1187" s="2" t="s">
        <v>46</v>
      </c>
      <c r="AC1187" s="2" t="s">
        <v>821</v>
      </c>
      <c r="AE1187" s="2" t="s">
        <v>10801</v>
      </c>
      <c r="AF1187" s="2" t="s">
        <v>7864</v>
      </c>
      <c r="AG1187" s="2">
        <v>100</v>
      </c>
      <c r="AH1187" s="2">
        <v>17</v>
      </c>
      <c r="AJ1187" s="2" t="s">
        <v>11098</v>
      </c>
      <c r="AK1187" s="2"/>
      <c r="AL1187" s="2"/>
      <c r="AM1187" s="2" t="s">
        <v>10791</v>
      </c>
    </row>
    <row r="1188" spans="1:39" x14ac:dyDescent="0.45">
      <c r="A1188" s="2" t="s">
        <v>11099</v>
      </c>
      <c r="B1188" s="2"/>
      <c r="C1188" s="2" t="s">
        <v>11101</v>
      </c>
      <c r="D1188" s="2" t="s">
        <v>11103</v>
      </c>
      <c r="E1188" s="25"/>
      <c r="F1188" s="21"/>
      <c r="G1188" s="21"/>
      <c r="H1188" s="2" t="s">
        <v>10789</v>
      </c>
      <c r="I1188" s="2" t="s">
        <v>10787</v>
      </c>
      <c r="J1188" s="2" t="s">
        <v>11100</v>
      </c>
      <c r="K1188" s="2" t="s">
        <v>11102</v>
      </c>
      <c r="L1188" s="2" t="s">
        <v>11104</v>
      </c>
      <c r="M1188" s="2" t="s">
        <v>11104</v>
      </c>
      <c r="N1188" s="2" t="s">
        <v>59</v>
      </c>
      <c r="O1188" s="2" t="s">
        <v>60</v>
      </c>
      <c r="P1188" s="2" t="s">
        <v>11105</v>
      </c>
      <c r="Q1188" s="2" t="s">
        <v>11102</v>
      </c>
      <c r="R1188" s="2"/>
      <c r="S1188" s="2"/>
      <c r="T1188" s="2"/>
      <c r="U1188" s="2" t="s">
        <v>59</v>
      </c>
      <c r="V1188" s="2" t="s">
        <v>60</v>
      </c>
      <c r="W1188" s="2" t="s">
        <v>11105</v>
      </c>
      <c r="X1188" s="2" t="s">
        <v>5440</v>
      </c>
      <c r="Y1188" s="2" t="s">
        <v>44</v>
      </c>
      <c r="Z1188" s="2"/>
      <c r="AA1188" s="2" t="s">
        <v>821</v>
      </c>
      <c r="AB1188" s="2" t="s">
        <v>46</v>
      </c>
      <c r="AC1188" s="2" t="s">
        <v>821</v>
      </c>
      <c r="AE1188" s="2" t="s">
        <v>10801</v>
      </c>
      <c r="AF1188" s="2" t="s">
        <v>7864</v>
      </c>
      <c r="AG1188" s="2">
        <v>100</v>
      </c>
      <c r="AH1188" s="2">
        <v>17</v>
      </c>
      <c r="AJ1188" s="2" t="s">
        <v>11106</v>
      </c>
      <c r="AK1188" s="2"/>
      <c r="AL1188" s="2"/>
      <c r="AM1188" s="2" t="s">
        <v>10791</v>
      </c>
    </row>
    <row r="1189" spans="1:39" x14ac:dyDescent="0.45">
      <c r="A1189" s="2" t="s">
        <v>11107</v>
      </c>
      <c r="B1189" s="2"/>
      <c r="C1189" s="2" t="s">
        <v>11109</v>
      </c>
      <c r="D1189" s="2" t="s">
        <v>11111</v>
      </c>
      <c r="E1189" s="25"/>
      <c r="F1189" s="21"/>
      <c r="G1189" s="21"/>
      <c r="H1189" s="2" t="s">
        <v>10789</v>
      </c>
      <c r="I1189" s="2" t="s">
        <v>10787</v>
      </c>
      <c r="J1189" s="2" t="s">
        <v>11108</v>
      </c>
      <c r="K1189" s="2" t="s">
        <v>11110</v>
      </c>
      <c r="L1189" s="2" t="s">
        <v>11112</v>
      </c>
      <c r="M1189" s="2" t="s">
        <v>11112</v>
      </c>
      <c r="N1189" s="2" t="s">
        <v>384</v>
      </c>
      <c r="O1189" s="2" t="s">
        <v>73</v>
      </c>
      <c r="P1189" s="2" t="s">
        <v>951</v>
      </c>
      <c r="Q1189" s="2" t="s">
        <v>11113</v>
      </c>
      <c r="R1189" s="2"/>
      <c r="S1189" s="2"/>
      <c r="T1189" s="2"/>
      <c r="U1189" s="2" t="s">
        <v>384</v>
      </c>
      <c r="V1189" s="2" t="s">
        <v>73</v>
      </c>
      <c r="W1189" s="2" t="s">
        <v>951</v>
      </c>
      <c r="X1189" s="2" t="s">
        <v>7581</v>
      </c>
      <c r="Y1189" s="2" t="s">
        <v>44</v>
      </c>
      <c r="Z1189" s="2"/>
      <c r="AA1189" s="2" t="s">
        <v>821</v>
      </c>
      <c r="AB1189" s="2" t="s">
        <v>46</v>
      </c>
      <c r="AC1189" s="2" t="s">
        <v>821</v>
      </c>
      <c r="AE1189" s="2" t="s">
        <v>10801</v>
      </c>
      <c r="AF1189" s="2" t="s">
        <v>7864</v>
      </c>
      <c r="AG1189" s="2">
        <v>100</v>
      </c>
      <c r="AH1189" s="2">
        <v>17</v>
      </c>
      <c r="AJ1189" s="2" t="s">
        <v>11114</v>
      </c>
      <c r="AK1189" s="2"/>
      <c r="AL1189" s="2"/>
      <c r="AM1189" s="2" t="s">
        <v>10791</v>
      </c>
    </row>
    <row r="1190" spans="1:39" x14ac:dyDescent="0.45">
      <c r="A1190" s="2" t="s">
        <v>11115</v>
      </c>
      <c r="B1190" s="2"/>
      <c r="C1190" s="2" t="s">
        <v>11117</v>
      </c>
      <c r="D1190" s="2" t="s">
        <v>11119</v>
      </c>
      <c r="E1190" s="25"/>
      <c r="F1190" s="21"/>
      <c r="G1190" s="21"/>
      <c r="H1190" s="2" t="s">
        <v>10789</v>
      </c>
      <c r="I1190" s="2" t="s">
        <v>10787</v>
      </c>
      <c r="J1190" s="2" t="s">
        <v>11116</v>
      </c>
      <c r="K1190" s="2" t="s">
        <v>11118</v>
      </c>
      <c r="L1190" s="2" t="s">
        <v>11120</v>
      </c>
      <c r="M1190" s="2" t="s">
        <v>11120</v>
      </c>
      <c r="N1190" s="2" t="s">
        <v>384</v>
      </c>
      <c r="O1190" s="2" t="s">
        <v>73</v>
      </c>
      <c r="P1190" s="2" t="s">
        <v>11121</v>
      </c>
      <c r="Q1190" s="2"/>
      <c r="R1190" s="2"/>
      <c r="S1190" s="2"/>
      <c r="T1190" s="2"/>
      <c r="U1190" s="2"/>
      <c r="V1190" s="2"/>
      <c r="W1190" s="2"/>
      <c r="X1190" s="2" t="s">
        <v>11122</v>
      </c>
      <c r="Y1190" s="2" t="s">
        <v>44</v>
      </c>
      <c r="Z1190" s="2"/>
      <c r="AA1190" s="2" t="s">
        <v>821</v>
      </c>
      <c r="AB1190" s="2" t="s">
        <v>46</v>
      </c>
      <c r="AC1190" s="2" t="s">
        <v>821</v>
      </c>
      <c r="AE1190" s="2" t="s">
        <v>10801</v>
      </c>
      <c r="AF1190" s="2" t="s">
        <v>7864</v>
      </c>
      <c r="AG1190" s="2">
        <v>100</v>
      </c>
      <c r="AH1190" s="2">
        <v>17</v>
      </c>
      <c r="AJ1190" s="2" t="s">
        <v>11123</v>
      </c>
      <c r="AK1190" s="2"/>
      <c r="AL1190" s="2"/>
      <c r="AM1190" s="2" t="s">
        <v>10791</v>
      </c>
    </row>
    <row r="1191" spans="1:39" x14ac:dyDescent="0.45">
      <c r="A1191" s="2" t="s">
        <v>11124</v>
      </c>
      <c r="B1191" s="2"/>
      <c r="C1191" s="2" t="s">
        <v>11126</v>
      </c>
      <c r="D1191" s="2" t="s">
        <v>11128</v>
      </c>
      <c r="E1191" s="25"/>
      <c r="F1191" s="21"/>
      <c r="G1191" s="21"/>
      <c r="H1191" s="2" t="s">
        <v>10789</v>
      </c>
      <c r="I1191" s="2" t="s">
        <v>10787</v>
      </c>
      <c r="J1191" s="2" t="s">
        <v>11125</v>
      </c>
      <c r="K1191" s="2" t="s">
        <v>11127</v>
      </c>
      <c r="L1191" s="2" t="s">
        <v>11129</v>
      </c>
      <c r="M1191" s="2" t="s">
        <v>11129</v>
      </c>
      <c r="N1191" s="2" t="s">
        <v>1188</v>
      </c>
      <c r="O1191" s="2" t="s">
        <v>221</v>
      </c>
      <c r="P1191" s="2" t="s">
        <v>11130</v>
      </c>
      <c r="Q1191" s="2"/>
      <c r="R1191" s="2"/>
      <c r="S1191" s="2"/>
      <c r="T1191" s="2"/>
      <c r="U1191" s="2"/>
      <c r="V1191" s="2"/>
      <c r="W1191" s="2"/>
      <c r="X1191" s="2" t="s">
        <v>11131</v>
      </c>
      <c r="Y1191" s="2" t="s">
        <v>44</v>
      </c>
      <c r="Z1191" s="2"/>
      <c r="AA1191" s="2" t="s">
        <v>821</v>
      </c>
      <c r="AB1191" s="2" t="s">
        <v>46</v>
      </c>
      <c r="AC1191" s="2" t="s">
        <v>821</v>
      </c>
      <c r="AE1191" s="2" t="s">
        <v>10801</v>
      </c>
      <c r="AF1191" s="2" t="s">
        <v>7864</v>
      </c>
      <c r="AG1191" s="2">
        <v>100</v>
      </c>
      <c r="AH1191" s="2">
        <v>17</v>
      </c>
      <c r="AJ1191" s="2" t="s">
        <v>11132</v>
      </c>
      <c r="AK1191" s="2"/>
      <c r="AL1191" s="2"/>
      <c r="AM1191" s="2" t="s">
        <v>10791</v>
      </c>
    </row>
    <row r="1192" spans="1:39" x14ac:dyDescent="0.45">
      <c r="A1192" s="2" t="s">
        <v>11133</v>
      </c>
      <c r="B1192" s="2"/>
      <c r="C1192" s="2" t="s">
        <v>11135</v>
      </c>
      <c r="D1192" s="2" t="s">
        <v>11137</v>
      </c>
      <c r="E1192" s="25"/>
      <c r="F1192" s="21"/>
      <c r="G1192" s="21"/>
      <c r="H1192" s="2" t="s">
        <v>10789</v>
      </c>
      <c r="I1192" s="2" t="s">
        <v>10787</v>
      </c>
      <c r="J1192" s="2" t="s">
        <v>11134</v>
      </c>
      <c r="K1192" s="2" t="s">
        <v>11136</v>
      </c>
      <c r="L1192" s="2" t="s">
        <v>9550</v>
      </c>
      <c r="M1192" s="2" t="s">
        <v>9550</v>
      </c>
      <c r="N1192" s="2" t="s">
        <v>59</v>
      </c>
      <c r="O1192" s="2" t="s">
        <v>60</v>
      </c>
      <c r="P1192" s="2" t="s">
        <v>2323</v>
      </c>
      <c r="Q1192" s="2"/>
      <c r="R1192" s="2"/>
      <c r="S1192" s="2"/>
      <c r="T1192" s="2"/>
      <c r="U1192" s="2"/>
      <c r="V1192" s="2"/>
      <c r="W1192" s="2"/>
      <c r="X1192" s="2" t="s">
        <v>11138</v>
      </c>
      <c r="Y1192" s="2" t="s">
        <v>44</v>
      </c>
      <c r="Z1192" s="2"/>
      <c r="AA1192" s="2" t="s">
        <v>821</v>
      </c>
      <c r="AB1192" s="2" t="s">
        <v>46</v>
      </c>
      <c r="AC1192" s="2" t="s">
        <v>821</v>
      </c>
      <c r="AE1192" s="2" t="s">
        <v>10801</v>
      </c>
      <c r="AF1192" s="2" t="s">
        <v>7864</v>
      </c>
      <c r="AG1192" s="2">
        <v>100</v>
      </c>
      <c r="AH1192" s="2">
        <v>17</v>
      </c>
      <c r="AJ1192" s="2" t="s">
        <v>11139</v>
      </c>
      <c r="AK1192" s="2"/>
      <c r="AL1192" s="2"/>
      <c r="AM1192" s="2" t="s">
        <v>10791</v>
      </c>
    </row>
    <row r="1193" spans="1:39" x14ac:dyDescent="0.45">
      <c r="A1193" s="2" t="s">
        <v>11140</v>
      </c>
      <c r="B1193" s="2"/>
      <c r="C1193" s="2" t="s">
        <v>11142</v>
      </c>
      <c r="D1193" s="2" t="s">
        <v>11144</v>
      </c>
      <c r="E1193" s="25"/>
      <c r="F1193" s="21"/>
      <c r="G1193" s="21"/>
      <c r="H1193" s="2" t="s">
        <v>10789</v>
      </c>
      <c r="I1193" s="2" t="s">
        <v>10787</v>
      </c>
      <c r="J1193" s="2" t="s">
        <v>11141</v>
      </c>
      <c r="K1193" s="2" t="s">
        <v>11143</v>
      </c>
      <c r="L1193" s="2" t="s">
        <v>11145</v>
      </c>
      <c r="M1193" s="2" t="s">
        <v>11145</v>
      </c>
      <c r="N1193" s="2" t="s">
        <v>1023</v>
      </c>
      <c r="O1193" s="2" t="s">
        <v>73</v>
      </c>
      <c r="P1193" s="2" t="s">
        <v>5695</v>
      </c>
      <c r="Q1193" s="2"/>
      <c r="R1193" s="2"/>
      <c r="S1193" s="2"/>
      <c r="T1193" s="2"/>
      <c r="U1193" s="2"/>
      <c r="V1193" s="2"/>
      <c r="W1193" s="2"/>
      <c r="X1193" s="2" t="s">
        <v>1285</v>
      </c>
      <c r="Y1193" s="2" t="s">
        <v>44</v>
      </c>
      <c r="Z1193" s="2"/>
      <c r="AA1193" s="2" t="s">
        <v>821</v>
      </c>
      <c r="AB1193" s="2" t="s">
        <v>46</v>
      </c>
      <c r="AC1193" s="2" t="s">
        <v>821</v>
      </c>
      <c r="AE1193" s="2" t="s">
        <v>10801</v>
      </c>
      <c r="AF1193" s="2" t="s">
        <v>7864</v>
      </c>
      <c r="AG1193" s="2">
        <v>100</v>
      </c>
      <c r="AH1193" s="2">
        <v>17</v>
      </c>
      <c r="AJ1193" s="2" t="s">
        <v>11146</v>
      </c>
      <c r="AK1193" s="2"/>
      <c r="AL1193" s="2"/>
      <c r="AM1193" s="2" t="s">
        <v>10791</v>
      </c>
    </row>
    <row r="1194" spans="1:39" x14ac:dyDescent="0.45">
      <c r="A1194" s="2" t="s">
        <v>11147</v>
      </c>
      <c r="B1194" s="2"/>
      <c r="C1194" s="2" t="s">
        <v>11149</v>
      </c>
      <c r="D1194" s="2" t="s">
        <v>11151</v>
      </c>
      <c r="E1194" s="25"/>
      <c r="F1194" s="21"/>
      <c r="G1194" s="21"/>
      <c r="H1194" s="2" t="s">
        <v>10789</v>
      </c>
      <c r="I1194" s="2" t="s">
        <v>10787</v>
      </c>
      <c r="J1194" s="2" t="s">
        <v>11148</v>
      </c>
      <c r="K1194" s="2" t="s">
        <v>11150</v>
      </c>
      <c r="L1194" s="2" t="s">
        <v>9550</v>
      </c>
      <c r="M1194" s="2" t="s">
        <v>9550</v>
      </c>
      <c r="N1194" s="2" t="s">
        <v>384</v>
      </c>
      <c r="O1194" s="2" t="s">
        <v>73</v>
      </c>
      <c r="P1194" s="2" t="s">
        <v>11152</v>
      </c>
      <c r="Q1194" s="2"/>
      <c r="R1194" s="2"/>
      <c r="S1194" s="2"/>
      <c r="T1194" s="2"/>
      <c r="U1194" s="2"/>
      <c r="V1194" s="2"/>
      <c r="W1194" s="2"/>
      <c r="X1194" s="2" t="s">
        <v>10224</v>
      </c>
      <c r="Y1194" s="2" t="s">
        <v>44</v>
      </c>
      <c r="Z1194" s="2"/>
      <c r="AA1194" s="2" t="s">
        <v>821</v>
      </c>
      <c r="AB1194" s="2" t="s">
        <v>46</v>
      </c>
      <c r="AC1194" s="2" t="s">
        <v>821</v>
      </c>
      <c r="AE1194" s="2" t="s">
        <v>10801</v>
      </c>
      <c r="AF1194" s="2" t="s">
        <v>7864</v>
      </c>
      <c r="AG1194" s="2">
        <v>100</v>
      </c>
      <c r="AH1194" s="2">
        <v>17</v>
      </c>
      <c r="AJ1194" s="2" t="s">
        <v>11153</v>
      </c>
      <c r="AK1194" s="2"/>
      <c r="AL1194" s="2"/>
      <c r="AM1194" s="2" t="s">
        <v>10791</v>
      </c>
    </row>
    <row r="1195" spans="1:39" x14ac:dyDescent="0.45">
      <c r="A1195" s="2" t="s">
        <v>11154</v>
      </c>
      <c r="B1195" s="2"/>
      <c r="C1195" s="2" t="s">
        <v>11156</v>
      </c>
      <c r="D1195" s="2" t="s">
        <v>11158</v>
      </c>
      <c r="E1195" s="25"/>
      <c r="F1195" s="21"/>
      <c r="G1195" s="21"/>
      <c r="H1195" s="2" t="s">
        <v>10789</v>
      </c>
      <c r="I1195" s="2" t="s">
        <v>10787</v>
      </c>
      <c r="J1195" s="2" t="s">
        <v>11155</v>
      </c>
      <c r="K1195" s="2" t="s">
        <v>11157</v>
      </c>
      <c r="L1195" s="2" t="s">
        <v>11159</v>
      </c>
      <c r="M1195" s="2" t="s">
        <v>11159</v>
      </c>
      <c r="N1195" s="2" t="s">
        <v>72</v>
      </c>
      <c r="O1195" s="2" t="s">
        <v>73</v>
      </c>
      <c r="P1195" s="2" t="s">
        <v>162</v>
      </c>
      <c r="Q1195" s="2"/>
      <c r="R1195" s="2"/>
      <c r="S1195" s="2"/>
      <c r="T1195" s="2"/>
      <c r="U1195" s="2"/>
      <c r="V1195" s="2"/>
      <c r="W1195" s="2"/>
      <c r="X1195" s="2" t="s">
        <v>9560</v>
      </c>
      <c r="Y1195" s="2" t="s">
        <v>44</v>
      </c>
      <c r="Z1195" s="2"/>
      <c r="AA1195" s="2" t="s">
        <v>821</v>
      </c>
      <c r="AB1195" s="2" t="s">
        <v>46</v>
      </c>
      <c r="AC1195" s="2" t="s">
        <v>821</v>
      </c>
      <c r="AE1195" s="2" t="s">
        <v>10801</v>
      </c>
      <c r="AF1195" s="2" t="s">
        <v>7864</v>
      </c>
      <c r="AG1195" s="2">
        <v>100</v>
      </c>
      <c r="AH1195" s="2">
        <v>17</v>
      </c>
      <c r="AJ1195" s="2" t="s">
        <v>11160</v>
      </c>
      <c r="AK1195" s="2"/>
      <c r="AL1195" s="2"/>
      <c r="AM1195" s="2" t="s">
        <v>10791</v>
      </c>
    </row>
    <row r="1196" spans="1:39" x14ac:dyDescent="0.45">
      <c r="A1196" s="2" t="s">
        <v>11161</v>
      </c>
      <c r="B1196" s="2"/>
      <c r="C1196" s="7" t="s">
        <v>27994</v>
      </c>
      <c r="D1196" s="2" t="s">
        <v>11164</v>
      </c>
      <c r="E1196" s="25"/>
      <c r="F1196" s="21"/>
      <c r="G1196" s="21"/>
      <c r="H1196" s="2" t="s">
        <v>10789</v>
      </c>
      <c r="I1196" s="2" t="s">
        <v>10787</v>
      </c>
      <c r="J1196" s="2" t="s">
        <v>11162</v>
      </c>
      <c r="K1196" s="2" t="s">
        <v>11163</v>
      </c>
      <c r="L1196" s="2" t="s">
        <v>11165</v>
      </c>
      <c r="M1196" s="2" t="s">
        <v>11165</v>
      </c>
      <c r="N1196" s="2" t="s">
        <v>290</v>
      </c>
      <c r="O1196" s="2" t="s">
        <v>278</v>
      </c>
      <c r="P1196" s="2" t="s">
        <v>291</v>
      </c>
      <c r="Q1196" s="2" t="s">
        <v>11166</v>
      </c>
      <c r="R1196" s="2"/>
      <c r="S1196" s="2"/>
      <c r="T1196" s="2"/>
      <c r="U1196" s="2" t="s">
        <v>72</v>
      </c>
      <c r="V1196" s="2" t="s">
        <v>73</v>
      </c>
      <c r="W1196" s="2" t="s">
        <v>1035</v>
      </c>
      <c r="X1196" s="2" t="s">
        <v>11167</v>
      </c>
      <c r="Y1196" s="2" t="s">
        <v>44</v>
      </c>
      <c r="Z1196" s="2"/>
      <c r="AA1196" s="2" t="s">
        <v>821</v>
      </c>
      <c r="AB1196" s="2" t="s">
        <v>46</v>
      </c>
      <c r="AC1196" s="2" t="s">
        <v>821</v>
      </c>
      <c r="AE1196" s="2" t="s">
        <v>10801</v>
      </c>
      <c r="AF1196" s="2" t="s">
        <v>7864</v>
      </c>
      <c r="AG1196" s="2">
        <v>85</v>
      </c>
      <c r="AH1196" s="2">
        <v>17</v>
      </c>
      <c r="AJ1196" s="2" t="s">
        <v>11168</v>
      </c>
      <c r="AK1196" s="2"/>
      <c r="AL1196" s="2"/>
      <c r="AM1196" s="2" t="s">
        <v>10791</v>
      </c>
    </row>
    <row r="1197" spans="1:39" x14ac:dyDescent="0.45">
      <c r="A1197" s="2" t="s">
        <v>11169</v>
      </c>
      <c r="B1197" s="2"/>
      <c r="C1197" s="7" t="s">
        <v>27993</v>
      </c>
      <c r="D1197" s="2" t="s">
        <v>11172</v>
      </c>
      <c r="E1197" s="25"/>
      <c r="F1197" s="21"/>
      <c r="G1197" s="21"/>
      <c r="H1197" s="2" t="s">
        <v>10789</v>
      </c>
      <c r="I1197" s="2" t="s">
        <v>10787</v>
      </c>
      <c r="J1197" s="2" t="s">
        <v>11170</v>
      </c>
      <c r="K1197" s="2" t="s">
        <v>11171</v>
      </c>
      <c r="L1197" s="2" t="s">
        <v>11173</v>
      </c>
      <c r="M1197" s="2" t="s">
        <v>11173</v>
      </c>
      <c r="N1197" s="2" t="s">
        <v>312</v>
      </c>
      <c r="O1197" s="2" t="s">
        <v>313</v>
      </c>
      <c r="P1197" s="2" t="s">
        <v>314</v>
      </c>
      <c r="Q1197" s="2" t="s">
        <v>11174</v>
      </c>
      <c r="R1197" s="2"/>
      <c r="S1197" s="2"/>
      <c r="T1197" s="2"/>
      <c r="U1197" s="2" t="s">
        <v>312</v>
      </c>
      <c r="V1197" s="2" t="s">
        <v>313</v>
      </c>
      <c r="W1197" s="2" t="s">
        <v>314</v>
      </c>
      <c r="X1197" s="2" t="s">
        <v>4079</v>
      </c>
      <c r="Y1197" s="2" t="s">
        <v>44</v>
      </c>
      <c r="Z1197" s="2"/>
      <c r="AA1197" s="2" t="s">
        <v>821</v>
      </c>
      <c r="AB1197" s="2" t="s">
        <v>46</v>
      </c>
      <c r="AC1197" s="2" t="s">
        <v>821</v>
      </c>
      <c r="AE1197" s="2" t="s">
        <v>10801</v>
      </c>
      <c r="AF1197" s="2" t="s">
        <v>7864</v>
      </c>
      <c r="AG1197" s="2">
        <v>85</v>
      </c>
      <c r="AH1197" s="2">
        <v>17</v>
      </c>
      <c r="AJ1197" s="2" t="s">
        <v>11175</v>
      </c>
      <c r="AK1197" s="2"/>
      <c r="AL1197" s="2"/>
      <c r="AM1197" s="2" t="s">
        <v>10791</v>
      </c>
    </row>
    <row r="1198" spans="1:39" x14ac:dyDescent="0.45">
      <c r="A1198" s="2" t="s">
        <v>11176</v>
      </c>
      <c r="B1198" s="2"/>
      <c r="C1198" s="7" t="s">
        <v>27997</v>
      </c>
      <c r="D1198" s="2" t="s">
        <v>11179</v>
      </c>
      <c r="E1198" s="25"/>
      <c r="F1198" s="21"/>
      <c r="G1198" s="21"/>
      <c r="H1198" s="2" t="s">
        <v>10789</v>
      </c>
      <c r="I1198" s="2" t="s">
        <v>10787</v>
      </c>
      <c r="J1198" s="2" t="s">
        <v>11177</v>
      </c>
      <c r="K1198" s="2" t="s">
        <v>11178</v>
      </c>
      <c r="L1198" s="2" t="s">
        <v>11180</v>
      </c>
      <c r="M1198" s="2" t="s">
        <v>11180</v>
      </c>
      <c r="N1198" s="2" t="s">
        <v>312</v>
      </c>
      <c r="O1198" s="2" t="s">
        <v>313</v>
      </c>
      <c r="P1198" s="2" t="s">
        <v>314</v>
      </c>
      <c r="Q1198" s="2"/>
      <c r="R1198" s="2"/>
      <c r="S1198" s="2"/>
      <c r="T1198" s="2"/>
      <c r="U1198" s="2"/>
      <c r="V1198" s="2"/>
      <c r="W1198" s="2"/>
      <c r="X1198" s="2" t="s">
        <v>11181</v>
      </c>
      <c r="Y1198" s="2" t="s">
        <v>44</v>
      </c>
      <c r="Z1198" s="2"/>
      <c r="AA1198" s="2" t="s">
        <v>821</v>
      </c>
      <c r="AB1198" s="2" t="s">
        <v>46</v>
      </c>
      <c r="AC1198" s="2" t="s">
        <v>821</v>
      </c>
      <c r="AE1198" s="2" t="s">
        <v>10801</v>
      </c>
      <c r="AF1198" s="2" t="s">
        <v>7864</v>
      </c>
      <c r="AG1198" s="2">
        <v>85</v>
      </c>
      <c r="AH1198" s="2">
        <v>17</v>
      </c>
      <c r="AJ1198" s="2" t="s">
        <v>11182</v>
      </c>
      <c r="AK1198" s="2"/>
      <c r="AL1198" s="2"/>
      <c r="AM1198" s="2" t="s">
        <v>10791</v>
      </c>
    </row>
    <row r="1199" spans="1:39" x14ac:dyDescent="0.45">
      <c r="A1199" s="2" t="s">
        <v>11183</v>
      </c>
      <c r="B1199" s="2"/>
      <c r="C1199" s="7" t="s">
        <v>27997</v>
      </c>
      <c r="D1199" s="2" t="s">
        <v>11186</v>
      </c>
      <c r="E1199" s="25"/>
      <c r="F1199" s="21"/>
      <c r="G1199" s="21"/>
      <c r="H1199" s="2" t="s">
        <v>10789</v>
      </c>
      <c r="I1199" s="2" t="s">
        <v>10787</v>
      </c>
      <c r="J1199" s="2" t="s">
        <v>11184</v>
      </c>
      <c r="K1199" s="2" t="s">
        <v>11185</v>
      </c>
      <c r="L1199" s="2" t="s">
        <v>11187</v>
      </c>
      <c r="M1199" s="2" t="s">
        <v>11187</v>
      </c>
      <c r="N1199" s="2" t="s">
        <v>312</v>
      </c>
      <c r="O1199" s="2" t="s">
        <v>313</v>
      </c>
      <c r="P1199" s="2" t="s">
        <v>7647</v>
      </c>
      <c r="Q1199" s="2"/>
      <c r="R1199" s="2"/>
      <c r="S1199" s="2"/>
      <c r="T1199" s="2"/>
      <c r="U1199" s="2"/>
      <c r="V1199" s="2"/>
      <c r="W1199" s="2"/>
      <c r="X1199" s="2" t="s">
        <v>11181</v>
      </c>
      <c r="Y1199" s="2" t="s">
        <v>44</v>
      </c>
      <c r="Z1199" s="2"/>
      <c r="AA1199" s="2" t="s">
        <v>821</v>
      </c>
      <c r="AB1199" s="2" t="s">
        <v>46</v>
      </c>
      <c r="AC1199" s="2" t="s">
        <v>821</v>
      </c>
      <c r="AE1199" s="2" t="s">
        <v>10801</v>
      </c>
      <c r="AF1199" s="2" t="s">
        <v>7864</v>
      </c>
      <c r="AG1199" s="2">
        <v>85</v>
      </c>
      <c r="AH1199" s="2">
        <v>17</v>
      </c>
      <c r="AJ1199" s="2" t="s">
        <v>11188</v>
      </c>
      <c r="AK1199" s="2"/>
      <c r="AL1199" s="2"/>
      <c r="AM1199" s="2" t="s">
        <v>10791</v>
      </c>
    </row>
    <row r="1200" spans="1:39" x14ac:dyDescent="0.45">
      <c r="A1200" s="2" t="s">
        <v>11189</v>
      </c>
      <c r="B1200" s="2"/>
      <c r="C1200" s="7" t="s">
        <v>27995</v>
      </c>
      <c r="D1200" s="2" t="s">
        <v>11192</v>
      </c>
      <c r="E1200" s="25"/>
      <c r="F1200" s="21"/>
      <c r="G1200" s="21"/>
      <c r="H1200" s="2" t="s">
        <v>10789</v>
      </c>
      <c r="I1200" s="2" t="s">
        <v>10787</v>
      </c>
      <c r="J1200" s="2" t="s">
        <v>11190</v>
      </c>
      <c r="K1200" s="2" t="s">
        <v>11191</v>
      </c>
      <c r="L1200" s="2" t="s">
        <v>11193</v>
      </c>
      <c r="M1200" s="2" t="s">
        <v>11193</v>
      </c>
      <c r="N1200" s="2" t="s">
        <v>312</v>
      </c>
      <c r="O1200" s="2" t="s">
        <v>313</v>
      </c>
      <c r="P1200" s="2" t="s">
        <v>314</v>
      </c>
      <c r="Q1200" s="2" t="s">
        <v>11194</v>
      </c>
      <c r="R1200" s="2"/>
      <c r="S1200" s="2"/>
      <c r="T1200" s="2"/>
      <c r="U1200" s="2" t="s">
        <v>312</v>
      </c>
      <c r="V1200" s="2" t="s">
        <v>313</v>
      </c>
      <c r="W1200" s="2" t="s">
        <v>314</v>
      </c>
      <c r="X1200" s="2" t="s">
        <v>11181</v>
      </c>
      <c r="Y1200" s="2" t="s">
        <v>44</v>
      </c>
      <c r="Z1200" s="2"/>
      <c r="AA1200" s="2" t="s">
        <v>821</v>
      </c>
      <c r="AB1200" s="2" t="s">
        <v>46</v>
      </c>
      <c r="AC1200" s="2" t="s">
        <v>821</v>
      </c>
      <c r="AE1200" s="2" t="s">
        <v>10801</v>
      </c>
      <c r="AF1200" s="2" t="s">
        <v>7864</v>
      </c>
      <c r="AG1200" s="2">
        <v>85</v>
      </c>
      <c r="AH1200" s="2">
        <v>17</v>
      </c>
      <c r="AJ1200" s="2" t="s">
        <v>11195</v>
      </c>
      <c r="AK1200" s="2"/>
      <c r="AL1200" s="2"/>
      <c r="AM1200" s="2" t="s">
        <v>10791</v>
      </c>
    </row>
    <row r="1201" spans="1:39" x14ac:dyDescent="0.45">
      <c r="A1201" s="2" t="s">
        <v>11196</v>
      </c>
      <c r="B1201" s="2"/>
      <c r="C1201" s="2" t="s">
        <v>11198</v>
      </c>
      <c r="D1201" s="2" t="s">
        <v>11200</v>
      </c>
      <c r="E1201" s="25"/>
      <c r="F1201" s="21"/>
      <c r="G1201" s="21"/>
      <c r="H1201" s="2" t="s">
        <v>10789</v>
      </c>
      <c r="I1201" s="2" t="s">
        <v>10787</v>
      </c>
      <c r="J1201" s="2" t="s">
        <v>11197</v>
      </c>
      <c r="K1201" s="2" t="s">
        <v>11199</v>
      </c>
      <c r="L1201" s="2" t="s">
        <v>11201</v>
      </c>
      <c r="M1201" s="2" t="s">
        <v>11201</v>
      </c>
      <c r="N1201" s="2" t="s">
        <v>8506</v>
      </c>
      <c r="O1201" s="2" t="s">
        <v>221</v>
      </c>
      <c r="P1201" s="2" t="s">
        <v>314</v>
      </c>
      <c r="Q1201" s="2" t="s">
        <v>11202</v>
      </c>
      <c r="R1201" s="2"/>
      <c r="S1201" s="2"/>
      <c r="T1201" s="2"/>
      <c r="U1201" s="2" t="s">
        <v>312</v>
      </c>
      <c r="V1201" s="2" t="s">
        <v>313</v>
      </c>
      <c r="W1201" s="2" t="s">
        <v>314</v>
      </c>
      <c r="X1201" s="2" t="s">
        <v>11203</v>
      </c>
      <c r="Y1201" s="2" t="s">
        <v>44</v>
      </c>
      <c r="Z1201" s="2"/>
      <c r="AA1201" s="2" t="s">
        <v>821</v>
      </c>
      <c r="AB1201" s="2" t="s">
        <v>46</v>
      </c>
      <c r="AC1201" s="2" t="s">
        <v>821</v>
      </c>
      <c r="AE1201" s="2" t="s">
        <v>10801</v>
      </c>
      <c r="AF1201" s="2" t="s">
        <v>7864</v>
      </c>
      <c r="AG1201" s="2">
        <v>100</v>
      </c>
      <c r="AH1201" s="2">
        <v>12</v>
      </c>
      <c r="AJ1201" s="2" t="s">
        <v>11204</v>
      </c>
      <c r="AK1201" s="2"/>
      <c r="AL1201" s="2"/>
      <c r="AM1201" s="2" t="s">
        <v>10791</v>
      </c>
    </row>
    <row r="1202" spans="1:39" x14ac:dyDescent="0.45">
      <c r="A1202" s="2" t="s">
        <v>11205</v>
      </c>
      <c r="B1202" s="2"/>
      <c r="C1202" s="2" t="s">
        <v>11207</v>
      </c>
      <c r="D1202" s="2" t="s">
        <v>11209</v>
      </c>
      <c r="E1202" s="25"/>
      <c r="F1202" s="21"/>
      <c r="G1202" s="21"/>
      <c r="H1202" s="2" t="s">
        <v>10789</v>
      </c>
      <c r="I1202" s="2" t="s">
        <v>11214</v>
      </c>
      <c r="J1202" s="2" t="s">
        <v>11206</v>
      </c>
      <c r="K1202" s="2" t="s">
        <v>11208</v>
      </c>
      <c r="L1202" s="2" t="s">
        <v>11210</v>
      </c>
      <c r="M1202" s="2" t="s">
        <v>11210</v>
      </c>
      <c r="N1202" s="2" t="s">
        <v>11211</v>
      </c>
      <c r="O1202" s="2" t="s">
        <v>313</v>
      </c>
      <c r="P1202" s="2" t="s">
        <v>11212</v>
      </c>
      <c r="Q1202" s="2" t="s">
        <v>11213</v>
      </c>
      <c r="R1202" s="2"/>
      <c r="S1202" s="2"/>
      <c r="T1202" s="2"/>
      <c r="U1202" s="2" t="s">
        <v>312</v>
      </c>
      <c r="V1202" s="2" t="s">
        <v>313</v>
      </c>
      <c r="W1202" s="2" t="s">
        <v>314</v>
      </c>
      <c r="X1202" s="2" t="s">
        <v>3809</v>
      </c>
      <c r="Y1202" s="2" t="s">
        <v>44</v>
      </c>
      <c r="Z1202" s="2"/>
      <c r="AA1202" s="2" t="s">
        <v>821</v>
      </c>
      <c r="AB1202" s="2" t="s">
        <v>46</v>
      </c>
      <c r="AC1202" s="2" t="s">
        <v>821</v>
      </c>
      <c r="AE1202" s="2" t="s">
        <v>10801</v>
      </c>
      <c r="AF1202" s="2" t="s">
        <v>7864</v>
      </c>
      <c r="AG1202" s="2">
        <v>100</v>
      </c>
      <c r="AH1202" s="2">
        <v>12</v>
      </c>
      <c r="AJ1202" s="2" t="s">
        <v>11215</v>
      </c>
      <c r="AK1202" s="2"/>
      <c r="AL1202" s="2"/>
      <c r="AM1202" s="2" t="s">
        <v>10791</v>
      </c>
    </row>
    <row r="1203" spans="1:39" x14ac:dyDescent="0.45">
      <c r="A1203" s="2" t="s">
        <v>11216</v>
      </c>
      <c r="B1203" s="2"/>
      <c r="C1203" s="2" t="s">
        <v>11218</v>
      </c>
      <c r="D1203" s="2" t="s">
        <v>11220</v>
      </c>
      <c r="E1203" s="25"/>
      <c r="F1203" s="21"/>
      <c r="G1203" s="21"/>
      <c r="H1203" s="2" t="s">
        <v>10789</v>
      </c>
      <c r="I1203" s="2" t="s">
        <v>11225</v>
      </c>
      <c r="J1203" s="2" t="s">
        <v>11217</v>
      </c>
      <c r="K1203" s="2" t="s">
        <v>11219</v>
      </c>
      <c r="L1203" s="2" t="s">
        <v>11221</v>
      </c>
      <c r="M1203" s="2" t="s">
        <v>11221</v>
      </c>
      <c r="N1203" s="2" t="s">
        <v>6029</v>
      </c>
      <c r="O1203" s="2" t="s">
        <v>278</v>
      </c>
      <c r="P1203" s="2" t="s">
        <v>11222</v>
      </c>
      <c r="Q1203" s="2" t="s">
        <v>11223</v>
      </c>
      <c r="R1203" s="2"/>
      <c r="S1203" s="2"/>
      <c r="T1203" s="2"/>
      <c r="U1203" s="2" t="s">
        <v>6029</v>
      </c>
      <c r="V1203" s="2" t="s">
        <v>278</v>
      </c>
      <c r="W1203" s="2" t="s">
        <v>11222</v>
      </c>
      <c r="X1203" s="2" t="s">
        <v>11224</v>
      </c>
      <c r="Y1203" s="2" t="s">
        <v>44</v>
      </c>
      <c r="Z1203" s="2"/>
      <c r="AA1203" s="2" t="s">
        <v>821</v>
      </c>
      <c r="AB1203" s="2" t="s">
        <v>46</v>
      </c>
      <c r="AC1203" s="2" t="s">
        <v>821</v>
      </c>
      <c r="AE1203" s="2" t="s">
        <v>10801</v>
      </c>
      <c r="AF1203" s="2" t="s">
        <v>7864</v>
      </c>
      <c r="AG1203" s="2">
        <v>100</v>
      </c>
      <c r="AH1203" s="2">
        <v>12</v>
      </c>
      <c r="AJ1203" s="2" t="s">
        <v>11226</v>
      </c>
      <c r="AK1203" s="2"/>
      <c r="AL1203" s="2"/>
      <c r="AM1203" s="2" t="s">
        <v>10791</v>
      </c>
    </row>
    <row r="1204" spans="1:39" x14ac:dyDescent="0.45">
      <c r="A1204" s="2" t="s">
        <v>11227</v>
      </c>
      <c r="B1204" s="2"/>
      <c r="C1204" s="2" t="s">
        <v>11229</v>
      </c>
      <c r="D1204" s="2" t="s">
        <v>11231</v>
      </c>
      <c r="E1204" s="25"/>
      <c r="F1204" s="21"/>
      <c r="G1204" s="21"/>
      <c r="H1204" s="2" t="s">
        <v>10789</v>
      </c>
      <c r="I1204" s="2" t="s">
        <v>11225</v>
      </c>
      <c r="J1204" s="2" t="s">
        <v>11228</v>
      </c>
      <c r="K1204" s="2" t="s">
        <v>11230</v>
      </c>
      <c r="L1204" s="2" t="s">
        <v>11232</v>
      </c>
      <c r="M1204" s="2"/>
      <c r="N1204" s="2" t="s">
        <v>6051</v>
      </c>
      <c r="O1204" s="2" t="s">
        <v>6051</v>
      </c>
      <c r="P1204" s="2" t="s">
        <v>1270</v>
      </c>
      <c r="Q1204" s="2" t="s">
        <v>11230</v>
      </c>
      <c r="R1204" s="2"/>
      <c r="S1204" s="2"/>
      <c r="T1204" s="2"/>
      <c r="U1204" s="2" t="s">
        <v>6051</v>
      </c>
      <c r="V1204" s="2" t="s">
        <v>6051</v>
      </c>
      <c r="W1204" s="2" t="s">
        <v>1270</v>
      </c>
      <c r="X1204" s="2" t="s">
        <v>954</v>
      </c>
      <c r="Y1204" s="2" t="s">
        <v>44</v>
      </c>
      <c r="Z1204" s="2"/>
      <c r="AA1204" s="2" t="s">
        <v>821</v>
      </c>
      <c r="AB1204" s="2" t="s">
        <v>46</v>
      </c>
      <c r="AC1204" s="2" t="s">
        <v>821</v>
      </c>
      <c r="AE1204" s="2" t="s">
        <v>10801</v>
      </c>
      <c r="AF1204" s="2" t="s">
        <v>7864</v>
      </c>
      <c r="AG1204" s="2">
        <v>100</v>
      </c>
      <c r="AH1204" s="2">
        <v>12</v>
      </c>
      <c r="AJ1204" s="2" t="s">
        <v>11233</v>
      </c>
      <c r="AK1204" s="2"/>
      <c r="AL1204" s="2"/>
      <c r="AM1204" s="2" t="s">
        <v>10791</v>
      </c>
    </row>
    <row r="1205" spans="1:39" x14ac:dyDescent="0.45">
      <c r="A1205" s="2" t="s">
        <v>11234</v>
      </c>
      <c r="B1205" s="2"/>
      <c r="C1205" s="2" t="s">
        <v>11236</v>
      </c>
      <c r="D1205" s="2" t="s">
        <v>11238</v>
      </c>
      <c r="E1205" s="25"/>
      <c r="F1205" s="21"/>
      <c r="G1205" s="21"/>
      <c r="H1205" s="2" t="s">
        <v>10789</v>
      </c>
      <c r="I1205" s="2" t="s">
        <v>10787</v>
      </c>
      <c r="J1205" s="2" t="s">
        <v>11235</v>
      </c>
      <c r="K1205" s="2" t="s">
        <v>11237</v>
      </c>
      <c r="L1205" s="2" t="s">
        <v>11239</v>
      </c>
      <c r="M1205" s="2"/>
      <c r="N1205" s="2" t="s">
        <v>10513</v>
      </c>
      <c r="O1205" s="2" t="s">
        <v>313</v>
      </c>
      <c r="P1205" s="2" t="s">
        <v>10514</v>
      </c>
      <c r="Q1205" s="2" t="s">
        <v>11237</v>
      </c>
      <c r="R1205" s="2"/>
      <c r="S1205" s="2"/>
      <c r="T1205" s="2"/>
      <c r="U1205" s="2" t="s">
        <v>10513</v>
      </c>
      <c r="V1205" s="2" t="s">
        <v>313</v>
      </c>
      <c r="W1205" s="2" t="s">
        <v>10514</v>
      </c>
      <c r="X1205" s="2" t="s">
        <v>954</v>
      </c>
      <c r="Y1205" s="2" t="s">
        <v>44</v>
      </c>
      <c r="Z1205" s="2"/>
      <c r="AA1205" s="2" t="s">
        <v>821</v>
      </c>
      <c r="AB1205" s="2" t="s">
        <v>46</v>
      </c>
      <c r="AC1205" s="2" t="s">
        <v>821</v>
      </c>
      <c r="AE1205" s="2" t="s">
        <v>10801</v>
      </c>
      <c r="AF1205" s="2" t="s">
        <v>7864</v>
      </c>
      <c r="AG1205" s="2">
        <v>100</v>
      </c>
      <c r="AH1205" s="2">
        <v>12</v>
      </c>
      <c r="AJ1205" s="2" t="s">
        <v>11240</v>
      </c>
      <c r="AK1205" s="2"/>
      <c r="AL1205" s="2"/>
      <c r="AM1205" s="2" t="s">
        <v>10791</v>
      </c>
    </row>
    <row r="1206" spans="1:39" x14ac:dyDescent="0.45">
      <c r="A1206" s="2" t="s">
        <v>11241</v>
      </c>
      <c r="B1206" s="2"/>
      <c r="C1206" s="2" t="s">
        <v>11243</v>
      </c>
      <c r="D1206" s="2" t="s">
        <v>11245</v>
      </c>
      <c r="E1206" s="25"/>
      <c r="F1206" s="21"/>
      <c r="G1206" s="21"/>
      <c r="H1206" s="2" t="s">
        <v>10789</v>
      </c>
      <c r="I1206" s="2" t="s">
        <v>10787</v>
      </c>
      <c r="J1206" s="2" t="s">
        <v>11242</v>
      </c>
      <c r="K1206" s="2" t="s">
        <v>11244</v>
      </c>
      <c r="L1206" s="2" t="s">
        <v>11246</v>
      </c>
      <c r="M1206" s="2" t="s">
        <v>11246</v>
      </c>
      <c r="N1206" s="2" t="s">
        <v>11247</v>
      </c>
      <c r="O1206" s="2" t="s">
        <v>1137</v>
      </c>
      <c r="P1206" s="2" t="s">
        <v>11248</v>
      </c>
      <c r="Q1206" s="2" t="s">
        <v>11244</v>
      </c>
      <c r="R1206" s="2"/>
      <c r="S1206" s="2"/>
      <c r="T1206" s="2"/>
      <c r="U1206" s="2" t="s">
        <v>11247</v>
      </c>
      <c r="V1206" s="2" t="s">
        <v>1137</v>
      </c>
      <c r="W1206" s="2" t="s">
        <v>11248</v>
      </c>
      <c r="X1206" s="2" t="s">
        <v>11249</v>
      </c>
      <c r="Y1206" s="2" t="s">
        <v>44</v>
      </c>
      <c r="Z1206" s="2"/>
      <c r="AA1206" s="2" t="s">
        <v>821</v>
      </c>
      <c r="AB1206" s="2" t="s">
        <v>46</v>
      </c>
      <c r="AC1206" s="2" t="s">
        <v>821</v>
      </c>
      <c r="AE1206" s="2" t="s">
        <v>10801</v>
      </c>
      <c r="AF1206" s="2" t="s">
        <v>7864</v>
      </c>
      <c r="AG1206" s="2">
        <v>100</v>
      </c>
      <c r="AH1206" s="2">
        <v>12</v>
      </c>
      <c r="AJ1206" s="2" t="s">
        <v>11250</v>
      </c>
      <c r="AK1206" s="2"/>
      <c r="AL1206" s="2"/>
      <c r="AM1206" s="2" t="s">
        <v>10791</v>
      </c>
    </row>
    <row r="1207" spans="1:39" x14ac:dyDescent="0.45">
      <c r="A1207" s="2" t="s">
        <v>11251</v>
      </c>
      <c r="B1207" s="2"/>
      <c r="C1207" s="2" t="s">
        <v>11253</v>
      </c>
      <c r="D1207" s="2" t="s">
        <v>11255</v>
      </c>
      <c r="E1207" s="25"/>
      <c r="F1207" s="21"/>
      <c r="G1207" s="21"/>
      <c r="H1207" s="2" t="s">
        <v>10789</v>
      </c>
      <c r="I1207" s="2" t="s">
        <v>10787</v>
      </c>
      <c r="J1207" s="2" t="s">
        <v>11252</v>
      </c>
      <c r="K1207" s="2" t="s">
        <v>11254</v>
      </c>
      <c r="L1207" s="2" t="s">
        <v>11256</v>
      </c>
      <c r="M1207" s="2"/>
      <c r="N1207" s="2" t="s">
        <v>5623</v>
      </c>
      <c r="O1207" s="2" t="s">
        <v>40</v>
      </c>
      <c r="P1207" s="2" t="s">
        <v>11257</v>
      </c>
      <c r="Q1207" s="2" t="s">
        <v>11254</v>
      </c>
      <c r="R1207" s="2"/>
      <c r="S1207" s="2"/>
      <c r="T1207" s="2"/>
      <c r="U1207" s="2" t="s">
        <v>5623</v>
      </c>
      <c r="V1207" s="2" t="s">
        <v>40</v>
      </c>
      <c r="W1207" s="2" t="s">
        <v>11257</v>
      </c>
      <c r="X1207" s="2" t="s">
        <v>11258</v>
      </c>
      <c r="Y1207" s="2" t="s">
        <v>44</v>
      </c>
      <c r="Z1207" s="2"/>
      <c r="AA1207" s="2" t="s">
        <v>821</v>
      </c>
      <c r="AB1207" s="2" t="s">
        <v>46</v>
      </c>
      <c r="AC1207" s="2" t="s">
        <v>821</v>
      </c>
      <c r="AE1207" s="2" t="s">
        <v>10801</v>
      </c>
      <c r="AF1207" s="2" t="s">
        <v>7864</v>
      </c>
      <c r="AG1207" s="2">
        <v>100</v>
      </c>
      <c r="AH1207" s="2">
        <v>12</v>
      </c>
      <c r="AJ1207" s="2" t="s">
        <v>11259</v>
      </c>
      <c r="AK1207" s="2"/>
      <c r="AL1207" s="2"/>
      <c r="AM1207" s="2" t="s">
        <v>10791</v>
      </c>
    </row>
    <row r="1208" spans="1:39" x14ac:dyDescent="0.45">
      <c r="A1208" s="2" t="s">
        <v>11260</v>
      </c>
      <c r="B1208" s="2"/>
      <c r="C1208" s="2" t="s">
        <v>11262</v>
      </c>
      <c r="D1208" s="2" t="s">
        <v>11264</v>
      </c>
      <c r="E1208" s="25"/>
      <c r="F1208" s="21"/>
      <c r="G1208" s="21"/>
      <c r="H1208" s="2" t="s">
        <v>10789</v>
      </c>
      <c r="I1208" s="2" t="s">
        <v>10787</v>
      </c>
      <c r="J1208" s="2" t="s">
        <v>11261</v>
      </c>
      <c r="K1208" s="2" t="s">
        <v>11263</v>
      </c>
      <c r="L1208" s="2" t="s">
        <v>11265</v>
      </c>
      <c r="M1208" s="2"/>
      <c r="N1208" s="2" t="s">
        <v>6029</v>
      </c>
      <c r="O1208" s="2" t="s">
        <v>278</v>
      </c>
      <c r="P1208" s="2" t="s">
        <v>11222</v>
      </c>
      <c r="Q1208" s="2" t="s">
        <v>11263</v>
      </c>
      <c r="R1208" s="2"/>
      <c r="S1208" s="2"/>
      <c r="T1208" s="2"/>
      <c r="U1208" s="2" t="s">
        <v>6029</v>
      </c>
      <c r="V1208" s="2" t="s">
        <v>278</v>
      </c>
      <c r="W1208" s="2" t="s">
        <v>11222</v>
      </c>
      <c r="X1208" s="2" t="s">
        <v>11258</v>
      </c>
      <c r="Y1208" s="2" t="s">
        <v>44</v>
      </c>
      <c r="Z1208" s="2"/>
      <c r="AA1208" s="2" t="s">
        <v>821</v>
      </c>
      <c r="AB1208" s="2" t="s">
        <v>46</v>
      </c>
      <c r="AC1208" s="2" t="s">
        <v>821</v>
      </c>
      <c r="AE1208" s="2" t="s">
        <v>10801</v>
      </c>
      <c r="AF1208" s="2" t="s">
        <v>7864</v>
      </c>
      <c r="AG1208" s="2">
        <v>100</v>
      </c>
      <c r="AH1208" s="2">
        <v>12</v>
      </c>
      <c r="AJ1208" s="2" t="s">
        <v>11266</v>
      </c>
      <c r="AK1208" s="2"/>
      <c r="AL1208" s="2"/>
      <c r="AM1208" s="2" t="s">
        <v>10791</v>
      </c>
    </row>
    <row r="1209" spans="1:39" x14ac:dyDescent="0.45">
      <c r="A1209" s="2" t="s">
        <v>11267</v>
      </c>
      <c r="B1209" s="2"/>
      <c r="C1209" s="2" t="s">
        <v>11269</v>
      </c>
      <c r="D1209" s="2" t="s">
        <v>11271</v>
      </c>
      <c r="E1209" s="25"/>
      <c r="F1209" s="21"/>
      <c r="G1209" s="21"/>
      <c r="H1209" s="2" t="s">
        <v>10789</v>
      </c>
      <c r="I1209" s="2" t="s">
        <v>10787</v>
      </c>
      <c r="J1209" s="2" t="s">
        <v>11268</v>
      </c>
      <c r="K1209" s="2" t="s">
        <v>11270</v>
      </c>
      <c r="L1209" s="2" t="s">
        <v>11272</v>
      </c>
      <c r="M1209" s="2"/>
      <c r="N1209" s="2" t="s">
        <v>6029</v>
      </c>
      <c r="O1209" s="2" t="s">
        <v>278</v>
      </c>
      <c r="P1209" s="2" t="s">
        <v>6030</v>
      </c>
      <c r="Q1209" s="2" t="s">
        <v>11270</v>
      </c>
      <c r="R1209" s="2"/>
      <c r="S1209" s="2"/>
      <c r="T1209" s="2"/>
      <c r="U1209" s="2" t="s">
        <v>6029</v>
      </c>
      <c r="V1209" s="2" t="s">
        <v>278</v>
      </c>
      <c r="W1209" s="2" t="s">
        <v>6030</v>
      </c>
      <c r="X1209" s="2" t="s">
        <v>3148</v>
      </c>
      <c r="Y1209" s="2" t="s">
        <v>44</v>
      </c>
      <c r="Z1209" s="2"/>
      <c r="AA1209" s="2" t="s">
        <v>821</v>
      </c>
      <c r="AB1209" s="2" t="s">
        <v>46</v>
      </c>
      <c r="AC1209" s="2" t="s">
        <v>821</v>
      </c>
      <c r="AE1209" s="2" t="s">
        <v>10801</v>
      </c>
      <c r="AF1209" s="2" t="s">
        <v>7864</v>
      </c>
      <c r="AG1209" s="2">
        <v>100</v>
      </c>
      <c r="AH1209" s="2">
        <v>12</v>
      </c>
      <c r="AJ1209" s="2" t="s">
        <v>11273</v>
      </c>
      <c r="AK1209" s="2"/>
      <c r="AL1209" s="2"/>
      <c r="AM1209" s="2" t="s">
        <v>10791</v>
      </c>
    </row>
    <row r="1210" spans="1:39" x14ac:dyDescent="0.45">
      <c r="A1210" s="2" t="s">
        <v>11274</v>
      </c>
      <c r="B1210" s="2"/>
      <c r="C1210" s="2" t="s">
        <v>11276</v>
      </c>
      <c r="D1210" s="2" t="s">
        <v>11278</v>
      </c>
      <c r="E1210" s="25"/>
      <c r="F1210" s="21"/>
      <c r="G1210" s="21"/>
      <c r="H1210" s="2" t="s">
        <v>10789</v>
      </c>
      <c r="I1210" s="2" t="s">
        <v>10787</v>
      </c>
      <c r="J1210" s="2" t="s">
        <v>11275</v>
      </c>
      <c r="K1210" s="2" t="s">
        <v>11277</v>
      </c>
      <c r="L1210" s="2" t="s">
        <v>11279</v>
      </c>
      <c r="M1210" s="2" t="s">
        <v>11279</v>
      </c>
      <c r="N1210" s="2" t="s">
        <v>11280</v>
      </c>
      <c r="O1210" s="2" t="s">
        <v>313</v>
      </c>
      <c r="P1210" s="2" t="s">
        <v>11281</v>
      </c>
      <c r="Q1210" s="2" t="s">
        <v>11282</v>
      </c>
      <c r="R1210" s="2"/>
      <c r="S1210" s="2"/>
      <c r="T1210" s="2"/>
      <c r="U1210" s="2" t="s">
        <v>11280</v>
      </c>
      <c r="V1210" s="2" t="s">
        <v>313</v>
      </c>
      <c r="W1210" s="2" t="s">
        <v>11281</v>
      </c>
      <c r="X1210" s="2" t="s">
        <v>11283</v>
      </c>
      <c r="Y1210" s="2" t="s">
        <v>44</v>
      </c>
      <c r="Z1210" s="2"/>
      <c r="AA1210" s="2" t="s">
        <v>821</v>
      </c>
      <c r="AB1210" s="2" t="s">
        <v>46</v>
      </c>
      <c r="AC1210" s="2" t="s">
        <v>821</v>
      </c>
      <c r="AE1210" s="2" t="s">
        <v>10801</v>
      </c>
      <c r="AF1210" s="2" t="s">
        <v>7864</v>
      </c>
      <c r="AG1210" s="2">
        <v>100</v>
      </c>
      <c r="AH1210" s="2">
        <v>12</v>
      </c>
      <c r="AJ1210" s="2" t="s">
        <v>11284</v>
      </c>
      <c r="AK1210" s="2"/>
      <c r="AL1210" s="2"/>
      <c r="AM1210" s="2" t="s">
        <v>10791</v>
      </c>
    </row>
    <row r="1211" spans="1:39" x14ac:dyDescent="0.45">
      <c r="A1211" s="2" t="s">
        <v>11285</v>
      </c>
      <c r="B1211" s="2"/>
      <c r="C1211" s="2" t="s">
        <v>11287</v>
      </c>
      <c r="D1211" s="2" t="s">
        <v>11289</v>
      </c>
      <c r="E1211" s="25"/>
      <c r="F1211" s="21"/>
      <c r="G1211" s="21"/>
      <c r="H1211" s="2" t="s">
        <v>10789</v>
      </c>
      <c r="I1211" s="2" t="s">
        <v>10787</v>
      </c>
      <c r="J1211" s="2" t="s">
        <v>11286</v>
      </c>
      <c r="K1211" s="2" t="s">
        <v>11288</v>
      </c>
      <c r="L1211" s="2" t="s">
        <v>11290</v>
      </c>
      <c r="M1211" s="2" t="s">
        <v>11290</v>
      </c>
      <c r="N1211" s="2" t="s">
        <v>11291</v>
      </c>
      <c r="O1211" s="2" t="s">
        <v>73</v>
      </c>
      <c r="P1211" s="2" t="s">
        <v>11292</v>
      </c>
      <c r="Q1211" s="2" t="s">
        <v>11288</v>
      </c>
      <c r="R1211" s="2"/>
      <c r="S1211" s="2"/>
      <c r="T1211" s="2"/>
      <c r="U1211" s="2" t="s">
        <v>11291</v>
      </c>
      <c r="V1211" s="2" t="s">
        <v>73</v>
      </c>
      <c r="W1211" s="2" t="s">
        <v>11292</v>
      </c>
      <c r="X1211" s="2" t="s">
        <v>8526</v>
      </c>
      <c r="Y1211" s="2" t="s">
        <v>44</v>
      </c>
      <c r="Z1211" s="2"/>
      <c r="AA1211" s="2" t="s">
        <v>821</v>
      </c>
      <c r="AB1211" s="2" t="s">
        <v>46</v>
      </c>
      <c r="AC1211" s="2" t="s">
        <v>821</v>
      </c>
      <c r="AE1211" s="2" t="s">
        <v>10801</v>
      </c>
      <c r="AF1211" s="2" t="s">
        <v>7864</v>
      </c>
      <c r="AG1211" s="2">
        <v>100</v>
      </c>
      <c r="AH1211" s="2">
        <v>12</v>
      </c>
      <c r="AJ1211" s="2" t="s">
        <v>11293</v>
      </c>
      <c r="AK1211" s="2"/>
      <c r="AL1211" s="2"/>
      <c r="AM1211" s="2" t="s">
        <v>10791</v>
      </c>
    </row>
    <row r="1212" spans="1:39" x14ac:dyDescent="0.45">
      <c r="A1212" s="2" t="s">
        <v>11294</v>
      </c>
      <c r="B1212" s="2"/>
      <c r="C1212" s="2" t="s">
        <v>11296</v>
      </c>
      <c r="D1212" s="2" t="s">
        <v>11298</v>
      </c>
      <c r="E1212" s="25"/>
      <c r="F1212" s="21"/>
      <c r="G1212" s="21"/>
      <c r="H1212" s="2" t="s">
        <v>10789</v>
      </c>
      <c r="I1212" s="2" t="s">
        <v>10787</v>
      </c>
      <c r="J1212" s="2" t="s">
        <v>11295</v>
      </c>
      <c r="K1212" s="2" t="s">
        <v>11297</v>
      </c>
      <c r="L1212" s="2" t="s">
        <v>11299</v>
      </c>
      <c r="M1212" s="2" t="s">
        <v>11299</v>
      </c>
      <c r="N1212" s="2" t="s">
        <v>9838</v>
      </c>
      <c r="O1212" s="2" t="s">
        <v>278</v>
      </c>
      <c r="P1212" s="2" t="s">
        <v>9839</v>
      </c>
      <c r="Q1212" s="2" t="s">
        <v>11297</v>
      </c>
      <c r="R1212" s="2"/>
      <c r="S1212" s="2"/>
      <c r="T1212" s="2"/>
      <c r="U1212" s="2" t="s">
        <v>9838</v>
      </c>
      <c r="V1212" s="2" t="s">
        <v>278</v>
      </c>
      <c r="W1212" s="2" t="s">
        <v>9839</v>
      </c>
      <c r="X1212" s="2" t="s">
        <v>9804</v>
      </c>
      <c r="Y1212" s="2" t="s">
        <v>44</v>
      </c>
      <c r="Z1212" s="2"/>
      <c r="AA1212" s="2" t="s">
        <v>821</v>
      </c>
      <c r="AB1212" s="2" t="s">
        <v>46</v>
      </c>
      <c r="AC1212" s="2" t="s">
        <v>821</v>
      </c>
      <c r="AE1212" s="2" t="s">
        <v>10801</v>
      </c>
      <c r="AF1212" s="2" t="s">
        <v>7864</v>
      </c>
      <c r="AG1212" s="2">
        <v>100</v>
      </c>
      <c r="AH1212" s="2">
        <v>12</v>
      </c>
      <c r="AJ1212" s="2" t="s">
        <v>11300</v>
      </c>
      <c r="AK1212" s="2"/>
      <c r="AL1212" s="2"/>
      <c r="AM1212" s="2" t="s">
        <v>10791</v>
      </c>
    </row>
    <row r="1213" spans="1:39" x14ac:dyDescent="0.45">
      <c r="A1213" s="2" t="s">
        <v>11301</v>
      </c>
      <c r="B1213" s="2"/>
      <c r="C1213" s="2" t="s">
        <v>11303</v>
      </c>
      <c r="D1213" s="2" t="s">
        <v>11305</v>
      </c>
      <c r="E1213" s="25"/>
      <c r="F1213" s="21"/>
      <c r="G1213" s="21"/>
      <c r="H1213" s="2" t="s">
        <v>10789</v>
      </c>
      <c r="I1213" s="2" t="s">
        <v>10787</v>
      </c>
      <c r="J1213" s="2" t="s">
        <v>11302</v>
      </c>
      <c r="K1213" s="2" t="s">
        <v>11304</v>
      </c>
      <c r="L1213" s="2" t="s">
        <v>11306</v>
      </c>
      <c r="M1213" s="2" t="s">
        <v>11306</v>
      </c>
      <c r="N1213" s="2" t="s">
        <v>1248</v>
      </c>
      <c r="O1213" s="2" t="s">
        <v>1137</v>
      </c>
      <c r="P1213" s="2" t="s">
        <v>11307</v>
      </c>
      <c r="Q1213" s="2" t="s">
        <v>11304</v>
      </c>
      <c r="R1213" s="2"/>
      <c r="S1213" s="2"/>
      <c r="T1213" s="2"/>
      <c r="U1213" s="2" t="s">
        <v>1248</v>
      </c>
      <c r="V1213" s="2" t="s">
        <v>1137</v>
      </c>
      <c r="W1213" s="2" t="s">
        <v>11307</v>
      </c>
      <c r="X1213" s="2" t="s">
        <v>8629</v>
      </c>
      <c r="Y1213" s="2" t="s">
        <v>44</v>
      </c>
      <c r="Z1213" s="2"/>
      <c r="AA1213" s="2" t="s">
        <v>821</v>
      </c>
      <c r="AB1213" s="2" t="s">
        <v>46</v>
      </c>
      <c r="AC1213" s="2" t="s">
        <v>821</v>
      </c>
      <c r="AE1213" s="2" t="s">
        <v>10801</v>
      </c>
      <c r="AF1213" s="2" t="s">
        <v>7864</v>
      </c>
      <c r="AG1213" s="2">
        <v>100</v>
      </c>
      <c r="AH1213" s="2">
        <v>12</v>
      </c>
      <c r="AJ1213" s="2" t="s">
        <v>11308</v>
      </c>
      <c r="AK1213" s="2"/>
      <c r="AL1213" s="2"/>
      <c r="AM1213" s="2" t="s">
        <v>10791</v>
      </c>
    </row>
    <row r="1214" spans="1:39" x14ac:dyDescent="0.45">
      <c r="A1214" s="2" t="s">
        <v>11309</v>
      </c>
      <c r="B1214" s="2"/>
      <c r="C1214" s="2" t="s">
        <v>11311</v>
      </c>
      <c r="D1214" s="2" t="s">
        <v>11313</v>
      </c>
      <c r="E1214" s="25"/>
      <c r="F1214" s="21"/>
      <c r="G1214" s="21"/>
      <c r="H1214" s="2" t="s">
        <v>10789</v>
      </c>
      <c r="I1214" s="2" t="s">
        <v>10787</v>
      </c>
      <c r="J1214" s="2" t="s">
        <v>11310</v>
      </c>
      <c r="K1214" s="2" t="s">
        <v>11312</v>
      </c>
      <c r="L1214" s="2" t="s">
        <v>11314</v>
      </c>
      <c r="M1214" s="2" t="s">
        <v>11314</v>
      </c>
      <c r="N1214" s="2" t="s">
        <v>5623</v>
      </c>
      <c r="O1214" s="2" t="s">
        <v>40</v>
      </c>
      <c r="P1214" s="2" t="s">
        <v>11257</v>
      </c>
      <c r="Q1214" s="2"/>
      <c r="R1214" s="2"/>
      <c r="S1214" s="2"/>
      <c r="T1214" s="2"/>
      <c r="U1214" s="2"/>
      <c r="V1214" s="2"/>
      <c r="W1214" s="2"/>
      <c r="X1214" s="2" t="s">
        <v>5557</v>
      </c>
      <c r="Y1214" s="2" t="s">
        <v>44</v>
      </c>
      <c r="Z1214" s="2"/>
      <c r="AA1214" s="2" t="s">
        <v>821</v>
      </c>
      <c r="AB1214" s="2" t="s">
        <v>46</v>
      </c>
      <c r="AC1214" s="2" t="s">
        <v>821</v>
      </c>
      <c r="AE1214" s="2" t="s">
        <v>10801</v>
      </c>
      <c r="AF1214" s="2" t="s">
        <v>7864</v>
      </c>
      <c r="AG1214" s="2">
        <v>100</v>
      </c>
      <c r="AH1214" s="2">
        <v>12</v>
      </c>
      <c r="AJ1214" s="2" t="s">
        <v>11315</v>
      </c>
      <c r="AK1214" s="2"/>
      <c r="AL1214" s="2"/>
      <c r="AM1214" s="2" t="s">
        <v>10791</v>
      </c>
    </row>
    <row r="1215" spans="1:39" x14ac:dyDescent="0.45">
      <c r="A1215" s="2" t="s">
        <v>11316</v>
      </c>
      <c r="B1215" s="2"/>
      <c r="C1215" s="2" t="s">
        <v>11318</v>
      </c>
      <c r="D1215" s="2" t="s">
        <v>11320</v>
      </c>
      <c r="E1215" s="25"/>
      <c r="F1215" s="21"/>
      <c r="G1215" s="21"/>
      <c r="H1215" s="2" t="s">
        <v>10789</v>
      </c>
      <c r="I1215" s="2" t="s">
        <v>10787</v>
      </c>
      <c r="J1215" s="2" t="s">
        <v>11317</v>
      </c>
      <c r="K1215" s="2" t="s">
        <v>11319</v>
      </c>
      <c r="L1215" s="2" t="s">
        <v>11321</v>
      </c>
      <c r="M1215" s="2" t="s">
        <v>11321</v>
      </c>
      <c r="N1215" s="2" t="s">
        <v>11322</v>
      </c>
      <c r="O1215" s="2" t="s">
        <v>73</v>
      </c>
      <c r="P1215" s="2" t="s">
        <v>11323</v>
      </c>
      <c r="Q1215" s="2"/>
      <c r="R1215" s="2"/>
      <c r="S1215" s="2"/>
      <c r="T1215" s="2"/>
      <c r="U1215" s="2"/>
      <c r="V1215" s="2"/>
      <c r="W1215" s="2"/>
      <c r="X1215" s="2" t="s">
        <v>5594</v>
      </c>
      <c r="Y1215" s="2" t="s">
        <v>44</v>
      </c>
      <c r="Z1215" s="2"/>
      <c r="AA1215" s="2" t="s">
        <v>821</v>
      </c>
      <c r="AB1215" s="2" t="s">
        <v>46</v>
      </c>
      <c r="AC1215" s="2" t="s">
        <v>821</v>
      </c>
      <c r="AE1215" s="2" t="s">
        <v>10801</v>
      </c>
      <c r="AF1215" s="2" t="s">
        <v>7864</v>
      </c>
      <c r="AG1215" s="2">
        <v>100</v>
      </c>
      <c r="AH1215" s="2">
        <v>12</v>
      </c>
      <c r="AJ1215" s="2" t="s">
        <v>11324</v>
      </c>
      <c r="AK1215" s="2"/>
      <c r="AL1215" s="2"/>
      <c r="AM1215" s="2" t="s">
        <v>10791</v>
      </c>
    </row>
    <row r="1216" spans="1:39" x14ac:dyDescent="0.45">
      <c r="A1216" s="2" t="s">
        <v>11325</v>
      </c>
      <c r="B1216" s="2"/>
      <c r="C1216" s="2" t="s">
        <v>11327</v>
      </c>
      <c r="D1216" s="2" t="s">
        <v>11329</v>
      </c>
      <c r="E1216" s="25"/>
      <c r="F1216" s="21"/>
      <c r="G1216" s="21"/>
      <c r="H1216" s="2" t="s">
        <v>10789</v>
      </c>
      <c r="I1216" s="2" t="s">
        <v>11214</v>
      </c>
      <c r="J1216" s="2" t="s">
        <v>11326</v>
      </c>
      <c r="K1216" s="2" t="s">
        <v>11328</v>
      </c>
      <c r="L1216" s="2" t="s">
        <v>9550</v>
      </c>
      <c r="M1216" s="2" t="s">
        <v>9550</v>
      </c>
      <c r="N1216" s="2" t="s">
        <v>11330</v>
      </c>
      <c r="O1216" s="2" t="s">
        <v>73</v>
      </c>
      <c r="P1216" s="2" t="s">
        <v>11331</v>
      </c>
      <c r="Q1216" s="2"/>
      <c r="R1216" s="2"/>
      <c r="S1216" s="2"/>
      <c r="T1216" s="2"/>
      <c r="U1216" s="2"/>
      <c r="V1216" s="2"/>
      <c r="W1216" s="2"/>
      <c r="X1216" s="2" t="s">
        <v>1285</v>
      </c>
      <c r="Y1216" s="2" t="s">
        <v>44</v>
      </c>
      <c r="Z1216" s="2"/>
      <c r="AA1216" s="2" t="s">
        <v>821</v>
      </c>
      <c r="AB1216" s="2" t="s">
        <v>46</v>
      </c>
      <c r="AC1216" s="2" t="s">
        <v>821</v>
      </c>
      <c r="AE1216" s="2" t="s">
        <v>10801</v>
      </c>
      <c r="AF1216" s="2" t="s">
        <v>7864</v>
      </c>
      <c r="AG1216" s="2">
        <v>100</v>
      </c>
      <c r="AH1216" s="2">
        <v>12</v>
      </c>
      <c r="AJ1216" s="2" t="s">
        <v>11332</v>
      </c>
      <c r="AK1216" s="2"/>
      <c r="AL1216" s="2"/>
      <c r="AM1216" s="2" t="s">
        <v>10791</v>
      </c>
    </row>
    <row r="1217" spans="1:39" x14ac:dyDescent="0.45">
      <c r="A1217" s="2" t="s">
        <v>11333</v>
      </c>
      <c r="B1217" s="2"/>
      <c r="C1217" s="2" t="s">
        <v>11335</v>
      </c>
      <c r="D1217" s="2" t="s">
        <v>11337</v>
      </c>
      <c r="E1217" s="25"/>
      <c r="F1217" s="21"/>
      <c r="G1217" s="21"/>
      <c r="H1217" s="2" t="s">
        <v>10789</v>
      </c>
      <c r="I1217" s="2" t="s">
        <v>10787</v>
      </c>
      <c r="J1217" s="2" t="s">
        <v>11334</v>
      </c>
      <c r="K1217" s="2" t="s">
        <v>11336</v>
      </c>
      <c r="L1217" s="2" t="s">
        <v>11338</v>
      </c>
      <c r="M1217" s="2" t="s">
        <v>11338</v>
      </c>
      <c r="N1217" s="2" t="s">
        <v>1136</v>
      </c>
      <c r="O1217" s="2" t="s">
        <v>1137</v>
      </c>
      <c r="P1217" s="2" t="s">
        <v>11339</v>
      </c>
      <c r="Q1217" s="2" t="s">
        <v>11336</v>
      </c>
      <c r="R1217" s="2"/>
      <c r="S1217" s="2"/>
      <c r="T1217" s="2"/>
      <c r="U1217" s="2" t="s">
        <v>1136</v>
      </c>
      <c r="V1217" s="2" t="s">
        <v>1137</v>
      </c>
      <c r="W1217" s="2" t="s">
        <v>11339</v>
      </c>
      <c r="X1217" s="2" t="s">
        <v>1285</v>
      </c>
      <c r="Y1217" s="2" t="s">
        <v>44</v>
      </c>
      <c r="Z1217" s="2"/>
      <c r="AA1217" s="2" t="s">
        <v>821</v>
      </c>
      <c r="AB1217" s="2" t="s">
        <v>46</v>
      </c>
      <c r="AC1217" s="2" t="s">
        <v>821</v>
      </c>
      <c r="AE1217" s="2" t="s">
        <v>10801</v>
      </c>
      <c r="AF1217" s="2" t="s">
        <v>7864</v>
      </c>
      <c r="AG1217" s="2">
        <v>100</v>
      </c>
      <c r="AH1217" s="2">
        <v>12</v>
      </c>
      <c r="AJ1217" s="2" t="s">
        <v>11340</v>
      </c>
      <c r="AK1217" s="2"/>
      <c r="AL1217" s="2"/>
      <c r="AM1217" s="2" t="s">
        <v>10791</v>
      </c>
    </row>
    <row r="1218" spans="1:39" x14ac:dyDescent="0.45">
      <c r="A1218" s="2" t="s">
        <v>11341</v>
      </c>
      <c r="B1218" s="2"/>
      <c r="C1218" s="2" t="s">
        <v>11343</v>
      </c>
      <c r="D1218" s="2" t="s">
        <v>11345</v>
      </c>
      <c r="E1218" s="25"/>
      <c r="F1218" s="21"/>
      <c r="G1218" s="21"/>
      <c r="H1218" s="2" t="s">
        <v>10789</v>
      </c>
      <c r="I1218" s="2" t="s">
        <v>10787</v>
      </c>
      <c r="J1218" s="2" t="s">
        <v>11342</v>
      </c>
      <c r="K1218" s="2" t="s">
        <v>11344</v>
      </c>
      <c r="L1218" s="2" t="s">
        <v>9550</v>
      </c>
      <c r="M1218" s="2" t="s">
        <v>9550</v>
      </c>
      <c r="N1218" s="2" t="s">
        <v>11346</v>
      </c>
      <c r="O1218" s="2" t="s">
        <v>11347</v>
      </c>
      <c r="P1218" s="2" t="s">
        <v>11348</v>
      </c>
      <c r="Q1218" s="2" t="s">
        <v>11344</v>
      </c>
      <c r="R1218" s="2"/>
      <c r="S1218" s="2"/>
      <c r="T1218" s="2"/>
      <c r="U1218" s="2" t="s">
        <v>11346</v>
      </c>
      <c r="V1218" s="2" t="s">
        <v>11347</v>
      </c>
      <c r="W1218" s="2" t="s">
        <v>11348</v>
      </c>
      <c r="X1218" s="2" t="s">
        <v>6214</v>
      </c>
      <c r="Y1218" s="2" t="s">
        <v>44</v>
      </c>
      <c r="Z1218" s="2"/>
      <c r="AA1218" s="2" t="s">
        <v>821</v>
      </c>
      <c r="AB1218" s="2" t="s">
        <v>46</v>
      </c>
      <c r="AC1218" s="2" t="s">
        <v>821</v>
      </c>
      <c r="AE1218" s="2" t="s">
        <v>10801</v>
      </c>
      <c r="AF1218" s="2" t="s">
        <v>7864</v>
      </c>
      <c r="AG1218" s="2">
        <v>100</v>
      </c>
      <c r="AH1218" s="2">
        <v>12</v>
      </c>
      <c r="AJ1218" s="2" t="s">
        <v>11349</v>
      </c>
      <c r="AK1218" s="2"/>
      <c r="AL1218" s="2"/>
      <c r="AM1218" s="2" t="s">
        <v>10791</v>
      </c>
    </row>
    <row r="1219" spans="1:39" x14ac:dyDescent="0.45">
      <c r="A1219" s="2" t="s">
        <v>11350</v>
      </c>
      <c r="B1219" s="2"/>
      <c r="C1219" s="2" t="s">
        <v>11352</v>
      </c>
      <c r="D1219" s="2" t="s">
        <v>11354</v>
      </c>
      <c r="E1219" s="25"/>
      <c r="F1219" s="21"/>
      <c r="G1219" s="21"/>
      <c r="H1219" s="2" t="s">
        <v>10789</v>
      </c>
      <c r="I1219" s="2" t="s">
        <v>10787</v>
      </c>
      <c r="J1219" s="2" t="s">
        <v>11351</v>
      </c>
      <c r="K1219" s="2" t="s">
        <v>11353</v>
      </c>
      <c r="L1219" s="2" t="s">
        <v>9550</v>
      </c>
      <c r="M1219" s="2" t="s">
        <v>9550</v>
      </c>
      <c r="N1219" s="2" t="s">
        <v>1208</v>
      </c>
      <c r="O1219" s="2" t="s">
        <v>1209</v>
      </c>
      <c r="P1219" s="2" t="s">
        <v>1210</v>
      </c>
      <c r="Q1219" s="2"/>
      <c r="R1219" s="2"/>
      <c r="S1219" s="2"/>
      <c r="T1219" s="2"/>
      <c r="U1219" s="2"/>
      <c r="V1219" s="2"/>
      <c r="W1219" s="2"/>
      <c r="X1219" s="2" t="s">
        <v>10224</v>
      </c>
      <c r="Y1219" s="2" t="s">
        <v>44</v>
      </c>
      <c r="Z1219" s="2"/>
      <c r="AA1219" s="2" t="s">
        <v>821</v>
      </c>
      <c r="AB1219" s="2" t="s">
        <v>46</v>
      </c>
      <c r="AC1219" s="2" t="s">
        <v>821</v>
      </c>
      <c r="AE1219" s="2" t="s">
        <v>10801</v>
      </c>
      <c r="AF1219" s="2" t="s">
        <v>7864</v>
      </c>
      <c r="AG1219" s="2">
        <v>100</v>
      </c>
      <c r="AH1219" s="2">
        <v>12</v>
      </c>
      <c r="AJ1219" s="2" t="s">
        <v>11355</v>
      </c>
      <c r="AK1219" s="2"/>
      <c r="AL1219" s="2"/>
      <c r="AM1219" s="2" t="s">
        <v>10791</v>
      </c>
    </row>
    <row r="1220" spans="1:39" x14ac:dyDescent="0.45">
      <c r="A1220" s="2" t="s">
        <v>11356</v>
      </c>
      <c r="B1220" s="2"/>
      <c r="C1220" s="2" t="s">
        <v>11358</v>
      </c>
      <c r="D1220" s="2" t="s">
        <v>11360</v>
      </c>
      <c r="E1220" s="25"/>
      <c r="F1220" s="21"/>
      <c r="G1220" s="21"/>
      <c r="H1220" s="2" t="s">
        <v>10789</v>
      </c>
      <c r="I1220" s="2" t="s">
        <v>10787</v>
      </c>
      <c r="J1220" s="2" t="s">
        <v>11357</v>
      </c>
      <c r="K1220" s="2" t="s">
        <v>11359</v>
      </c>
      <c r="L1220" s="2" t="s">
        <v>11361</v>
      </c>
      <c r="M1220" s="2" t="s">
        <v>11361</v>
      </c>
      <c r="N1220" s="2"/>
      <c r="O1220" s="2" t="s">
        <v>11362</v>
      </c>
      <c r="P1220" s="2" t="s">
        <v>11363</v>
      </c>
      <c r="Q1220" s="2" t="s">
        <v>11364</v>
      </c>
      <c r="R1220" s="2"/>
      <c r="S1220" s="2"/>
      <c r="T1220" s="2"/>
      <c r="U1220" s="2"/>
      <c r="V1220" s="2" t="s">
        <v>11362</v>
      </c>
      <c r="W1220" s="2" t="s">
        <v>11363</v>
      </c>
      <c r="X1220" s="2" t="s">
        <v>6502</v>
      </c>
      <c r="Y1220" s="2" t="s">
        <v>44</v>
      </c>
      <c r="Z1220" s="2"/>
      <c r="AA1220" s="2" t="s">
        <v>821</v>
      </c>
      <c r="AB1220" s="2" t="s">
        <v>46</v>
      </c>
      <c r="AC1220" s="2" t="s">
        <v>821</v>
      </c>
      <c r="AE1220" s="2" t="s">
        <v>10801</v>
      </c>
      <c r="AF1220" s="2" t="s">
        <v>7864</v>
      </c>
      <c r="AG1220" s="2">
        <v>85</v>
      </c>
      <c r="AH1220" s="2">
        <v>12</v>
      </c>
      <c r="AJ1220" s="2" t="s">
        <v>11365</v>
      </c>
      <c r="AK1220" s="2"/>
      <c r="AL1220" s="2"/>
      <c r="AM1220" s="2" t="s">
        <v>10791</v>
      </c>
    </row>
    <row r="1221" spans="1:39" x14ac:dyDescent="0.45">
      <c r="A1221" s="2" t="s">
        <v>11366</v>
      </c>
      <c r="B1221" s="2"/>
      <c r="C1221" s="2" t="s">
        <v>11368</v>
      </c>
      <c r="D1221" s="2" t="s">
        <v>11370</v>
      </c>
      <c r="E1221" s="25"/>
      <c r="F1221" s="21"/>
      <c r="G1221" s="21"/>
      <c r="H1221" s="2" t="s">
        <v>10789</v>
      </c>
      <c r="I1221" s="2" t="s">
        <v>10787</v>
      </c>
      <c r="J1221" s="2" t="s">
        <v>11367</v>
      </c>
      <c r="K1221" s="2" t="s">
        <v>11369</v>
      </c>
      <c r="L1221" s="2" t="s">
        <v>11371</v>
      </c>
      <c r="M1221" s="2" t="s">
        <v>11371</v>
      </c>
      <c r="N1221" s="2" t="s">
        <v>1023</v>
      </c>
      <c r="O1221" s="2" t="s">
        <v>73</v>
      </c>
      <c r="P1221" s="2" t="s">
        <v>1024</v>
      </c>
      <c r="Q1221" s="2" t="s">
        <v>11372</v>
      </c>
      <c r="R1221" s="2"/>
      <c r="S1221" s="2"/>
      <c r="T1221" s="2"/>
      <c r="U1221" s="2" t="s">
        <v>1023</v>
      </c>
      <c r="V1221" s="2" t="s">
        <v>73</v>
      </c>
      <c r="W1221" s="2" t="s">
        <v>1024</v>
      </c>
      <c r="X1221" s="2" t="s">
        <v>3728</v>
      </c>
      <c r="Y1221" s="2" t="s">
        <v>44</v>
      </c>
      <c r="Z1221" s="2"/>
      <c r="AA1221" s="2" t="s">
        <v>3527</v>
      </c>
      <c r="AB1221" s="2" t="s">
        <v>46</v>
      </c>
      <c r="AC1221" s="2" t="s">
        <v>3527</v>
      </c>
      <c r="AE1221" s="2" t="s">
        <v>10801</v>
      </c>
      <c r="AF1221" s="2" t="s">
        <v>7864</v>
      </c>
      <c r="AG1221" s="2">
        <v>100</v>
      </c>
      <c r="AH1221" s="2">
        <v>10</v>
      </c>
      <c r="AJ1221" s="2" t="s">
        <v>11373</v>
      </c>
      <c r="AK1221" s="2"/>
      <c r="AL1221" s="2"/>
      <c r="AM1221" s="2" t="s">
        <v>10791</v>
      </c>
    </row>
    <row r="1222" spans="1:39" x14ac:dyDescent="0.45">
      <c r="A1222" s="2" t="s">
        <v>11374</v>
      </c>
      <c r="B1222" s="2"/>
      <c r="C1222" s="2" t="s">
        <v>11376</v>
      </c>
      <c r="D1222" s="2" t="s">
        <v>11378</v>
      </c>
      <c r="E1222" s="25"/>
      <c r="F1222" s="21"/>
      <c r="G1222" s="21"/>
      <c r="H1222" s="2" t="s">
        <v>10789</v>
      </c>
      <c r="I1222" s="2" t="s">
        <v>10787</v>
      </c>
      <c r="J1222" s="2" t="s">
        <v>11375</v>
      </c>
      <c r="K1222" s="2" t="s">
        <v>11377</v>
      </c>
      <c r="L1222" s="2" t="s">
        <v>11379</v>
      </c>
      <c r="M1222" s="2" t="s">
        <v>11379</v>
      </c>
      <c r="N1222" s="2" t="s">
        <v>324</v>
      </c>
      <c r="O1222" s="2" t="s">
        <v>73</v>
      </c>
      <c r="P1222" s="2" t="s">
        <v>326</v>
      </c>
      <c r="Q1222" s="2" t="s">
        <v>11377</v>
      </c>
      <c r="R1222" s="2"/>
      <c r="S1222" s="2"/>
      <c r="T1222" s="2"/>
      <c r="U1222" s="2" t="s">
        <v>324</v>
      </c>
      <c r="V1222" s="2" t="s">
        <v>73</v>
      </c>
      <c r="W1222" s="2" t="s">
        <v>326</v>
      </c>
      <c r="X1222" s="2" t="s">
        <v>10743</v>
      </c>
      <c r="Y1222" s="2" t="s">
        <v>44</v>
      </c>
      <c r="Z1222" s="2"/>
      <c r="AA1222" s="2" t="s">
        <v>3527</v>
      </c>
      <c r="AB1222" s="2" t="s">
        <v>46</v>
      </c>
      <c r="AC1222" s="2" t="s">
        <v>3527</v>
      </c>
      <c r="AE1222" s="2" t="s">
        <v>10801</v>
      </c>
      <c r="AF1222" s="2" t="s">
        <v>7864</v>
      </c>
      <c r="AG1222" s="2">
        <v>100</v>
      </c>
      <c r="AH1222" s="2">
        <v>10</v>
      </c>
      <c r="AJ1222" s="2" t="s">
        <v>11380</v>
      </c>
      <c r="AK1222" s="2"/>
      <c r="AL1222" s="2"/>
      <c r="AM1222" s="2" t="s">
        <v>10791</v>
      </c>
    </row>
    <row r="1223" spans="1:39" x14ac:dyDescent="0.45">
      <c r="A1223" s="2" t="s">
        <v>11381</v>
      </c>
      <c r="B1223" s="2"/>
      <c r="C1223" s="2" t="s">
        <v>11383</v>
      </c>
      <c r="D1223" s="2" t="s">
        <v>11385</v>
      </c>
      <c r="E1223" s="25"/>
      <c r="F1223" s="21"/>
      <c r="G1223" s="21"/>
      <c r="H1223" s="2" t="s">
        <v>10789</v>
      </c>
      <c r="I1223" s="2" t="s">
        <v>10787</v>
      </c>
      <c r="J1223" s="2" t="s">
        <v>11382</v>
      </c>
      <c r="K1223" s="2" t="s">
        <v>11384</v>
      </c>
      <c r="L1223" s="2" t="s">
        <v>11386</v>
      </c>
      <c r="M1223" s="2" t="s">
        <v>11386</v>
      </c>
      <c r="N1223" s="2" t="s">
        <v>85</v>
      </c>
      <c r="O1223" s="2" t="s">
        <v>86</v>
      </c>
      <c r="P1223" s="2" t="s">
        <v>4895</v>
      </c>
      <c r="Q1223" s="2" t="s">
        <v>11387</v>
      </c>
      <c r="R1223" s="2"/>
      <c r="S1223" s="2"/>
      <c r="T1223" s="2"/>
      <c r="U1223" s="2" t="s">
        <v>85</v>
      </c>
      <c r="V1223" s="2" t="s">
        <v>86</v>
      </c>
      <c r="W1223" s="2" t="s">
        <v>4895</v>
      </c>
      <c r="X1223" s="2" t="s">
        <v>11388</v>
      </c>
      <c r="Y1223" s="2" t="s">
        <v>44</v>
      </c>
      <c r="Z1223" s="2"/>
      <c r="AA1223" s="2" t="s">
        <v>3527</v>
      </c>
      <c r="AB1223" s="2" t="s">
        <v>46</v>
      </c>
      <c r="AC1223" s="2" t="s">
        <v>3527</v>
      </c>
      <c r="AE1223" s="2" t="s">
        <v>10801</v>
      </c>
      <c r="AF1223" s="2" t="s">
        <v>7864</v>
      </c>
      <c r="AG1223" s="2">
        <v>100</v>
      </c>
      <c r="AH1223" s="2">
        <v>10</v>
      </c>
      <c r="AJ1223" s="2" t="s">
        <v>11389</v>
      </c>
      <c r="AK1223" s="2"/>
      <c r="AL1223" s="2"/>
      <c r="AM1223" s="2" t="s">
        <v>10791</v>
      </c>
    </row>
    <row r="1224" spans="1:39" x14ac:dyDescent="0.45">
      <c r="A1224" s="2" t="s">
        <v>11390</v>
      </c>
      <c r="B1224" s="2"/>
      <c r="C1224" s="2" t="s">
        <v>11392</v>
      </c>
      <c r="D1224" s="2" t="s">
        <v>11394</v>
      </c>
      <c r="E1224" s="25"/>
      <c r="F1224" s="21"/>
      <c r="G1224" s="21"/>
      <c r="H1224" s="2" t="s">
        <v>10789</v>
      </c>
      <c r="I1224" s="2" t="s">
        <v>10787</v>
      </c>
      <c r="J1224" s="2" t="s">
        <v>11391</v>
      </c>
      <c r="K1224" s="2" t="s">
        <v>11393</v>
      </c>
      <c r="L1224" s="2" t="s">
        <v>11395</v>
      </c>
      <c r="M1224" s="2"/>
      <c r="N1224" s="2" t="s">
        <v>174</v>
      </c>
      <c r="O1224" s="2" t="s">
        <v>175</v>
      </c>
      <c r="P1224" s="2" t="s">
        <v>11396</v>
      </c>
      <c r="Q1224" s="2" t="s">
        <v>11397</v>
      </c>
      <c r="R1224" s="2"/>
      <c r="S1224" s="2"/>
      <c r="T1224" s="2"/>
      <c r="U1224" s="2" t="s">
        <v>174</v>
      </c>
      <c r="V1224" s="2" t="s">
        <v>175</v>
      </c>
      <c r="W1224" s="2" t="s">
        <v>11396</v>
      </c>
      <c r="X1224" s="2" t="s">
        <v>11398</v>
      </c>
      <c r="Y1224" s="2" t="s">
        <v>44</v>
      </c>
      <c r="Z1224" s="2"/>
      <c r="AA1224" s="2" t="s">
        <v>3527</v>
      </c>
      <c r="AB1224" s="2" t="s">
        <v>46</v>
      </c>
      <c r="AC1224" s="2" t="s">
        <v>3527</v>
      </c>
      <c r="AE1224" s="2" t="s">
        <v>10801</v>
      </c>
      <c r="AF1224" s="2" t="s">
        <v>7864</v>
      </c>
      <c r="AG1224" s="2">
        <v>100</v>
      </c>
      <c r="AH1224" s="2">
        <v>10</v>
      </c>
      <c r="AJ1224" s="2" t="s">
        <v>11399</v>
      </c>
      <c r="AK1224" s="2"/>
      <c r="AL1224" s="2"/>
      <c r="AM1224" s="2" t="s">
        <v>10791</v>
      </c>
    </row>
    <row r="1225" spans="1:39" x14ac:dyDescent="0.45">
      <c r="A1225" s="2" t="s">
        <v>11400</v>
      </c>
      <c r="B1225" s="2"/>
      <c r="C1225" s="2" t="s">
        <v>11402</v>
      </c>
      <c r="D1225" s="2" t="s">
        <v>11404</v>
      </c>
      <c r="E1225" s="25"/>
      <c r="F1225" s="21"/>
      <c r="G1225" s="21"/>
      <c r="H1225" s="2" t="s">
        <v>10789</v>
      </c>
      <c r="I1225" s="2" t="s">
        <v>10787</v>
      </c>
      <c r="J1225" s="2" t="s">
        <v>11401</v>
      </c>
      <c r="K1225" s="2" t="s">
        <v>11403</v>
      </c>
      <c r="L1225" s="2" t="s">
        <v>11405</v>
      </c>
      <c r="M1225" s="2"/>
      <c r="N1225" s="2" t="s">
        <v>72</v>
      </c>
      <c r="O1225" s="2" t="s">
        <v>73</v>
      </c>
      <c r="P1225" s="2" t="s">
        <v>2270</v>
      </c>
      <c r="Q1225" s="2" t="s">
        <v>11403</v>
      </c>
      <c r="R1225" s="2"/>
      <c r="S1225" s="2"/>
      <c r="T1225" s="2"/>
      <c r="U1225" s="2" t="s">
        <v>72</v>
      </c>
      <c r="V1225" s="2" t="s">
        <v>73</v>
      </c>
      <c r="W1225" s="2" t="s">
        <v>2270</v>
      </c>
      <c r="X1225" s="2" t="s">
        <v>11406</v>
      </c>
      <c r="Y1225" s="2" t="s">
        <v>44</v>
      </c>
      <c r="Z1225" s="2"/>
      <c r="AA1225" s="2" t="s">
        <v>3527</v>
      </c>
      <c r="AB1225" s="2" t="s">
        <v>46</v>
      </c>
      <c r="AC1225" s="2" t="s">
        <v>3527</v>
      </c>
      <c r="AE1225" s="2" t="s">
        <v>10801</v>
      </c>
      <c r="AF1225" s="2" t="s">
        <v>7864</v>
      </c>
      <c r="AG1225" s="2">
        <v>100</v>
      </c>
      <c r="AH1225" s="2">
        <v>10</v>
      </c>
      <c r="AJ1225" s="2" t="s">
        <v>11407</v>
      </c>
      <c r="AK1225" s="2"/>
      <c r="AL1225" s="2"/>
      <c r="AM1225" s="2" t="s">
        <v>10791</v>
      </c>
    </row>
    <row r="1226" spans="1:39" x14ac:dyDescent="0.45">
      <c r="A1226" s="2" t="s">
        <v>11408</v>
      </c>
      <c r="B1226" s="2"/>
      <c r="C1226" s="2" t="s">
        <v>11410</v>
      </c>
      <c r="D1226" s="2" t="s">
        <v>11412</v>
      </c>
      <c r="E1226" s="25"/>
      <c r="F1226" s="21"/>
      <c r="G1226" s="21"/>
      <c r="H1226" s="2" t="s">
        <v>10789</v>
      </c>
      <c r="I1226" s="2" t="s">
        <v>10787</v>
      </c>
      <c r="J1226" s="2" t="s">
        <v>11409</v>
      </c>
      <c r="K1226" s="2" t="s">
        <v>11411</v>
      </c>
      <c r="L1226" s="2" t="s">
        <v>11413</v>
      </c>
      <c r="M1226" s="2" t="s">
        <v>11413</v>
      </c>
      <c r="N1226" s="2" t="s">
        <v>277</v>
      </c>
      <c r="O1226" s="2" t="s">
        <v>278</v>
      </c>
      <c r="P1226" s="2" t="s">
        <v>11414</v>
      </c>
      <c r="Q1226" s="2" t="s">
        <v>11411</v>
      </c>
      <c r="R1226" s="2"/>
      <c r="S1226" s="2"/>
      <c r="T1226" s="2"/>
      <c r="U1226" s="2" t="s">
        <v>277</v>
      </c>
      <c r="V1226" s="2" t="s">
        <v>278</v>
      </c>
      <c r="W1226" s="2" t="s">
        <v>11414</v>
      </c>
      <c r="X1226" s="2" t="s">
        <v>11415</v>
      </c>
      <c r="Y1226" s="2" t="s">
        <v>44</v>
      </c>
      <c r="Z1226" s="2"/>
      <c r="AA1226" s="2" t="s">
        <v>3527</v>
      </c>
      <c r="AB1226" s="2" t="s">
        <v>46</v>
      </c>
      <c r="AC1226" s="2" t="s">
        <v>3527</v>
      </c>
      <c r="AE1226" s="2" t="s">
        <v>10801</v>
      </c>
      <c r="AF1226" s="2" t="s">
        <v>7864</v>
      </c>
      <c r="AG1226" s="2">
        <v>100</v>
      </c>
      <c r="AH1226" s="2">
        <v>10</v>
      </c>
      <c r="AJ1226" s="2" t="s">
        <v>11416</v>
      </c>
      <c r="AK1226" s="2"/>
      <c r="AL1226" s="2"/>
      <c r="AM1226" s="2" t="s">
        <v>10791</v>
      </c>
    </row>
    <row r="1227" spans="1:39" x14ac:dyDescent="0.45">
      <c r="A1227" s="2" t="s">
        <v>11417</v>
      </c>
      <c r="B1227" s="2"/>
      <c r="C1227" s="2" t="s">
        <v>11419</v>
      </c>
      <c r="D1227" s="2" t="s">
        <v>11421</v>
      </c>
      <c r="E1227" s="25"/>
      <c r="F1227" s="21"/>
      <c r="G1227" s="21"/>
      <c r="H1227" s="2" t="s">
        <v>10789</v>
      </c>
      <c r="I1227" s="2" t="s">
        <v>10787</v>
      </c>
      <c r="J1227" s="2" t="s">
        <v>11418</v>
      </c>
      <c r="K1227" s="2" t="s">
        <v>11420</v>
      </c>
      <c r="L1227" s="2" t="s">
        <v>11422</v>
      </c>
      <c r="M1227" s="2"/>
      <c r="N1227" s="2" t="s">
        <v>651</v>
      </c>
      <c r="O1227" s="2" t="s">
        <v>86</v>
      </c>
      <c r="P1227" s="2" t="s">
        <v>2353</v>
      </c>
      <c r="Q1227" s="2" t="s">
        <v>11420</v>
      </c>
      <c r="R1227" s="2"/>
      <c r="S1227" s="2"/>
      <c r="T1227" s="2"/>
      <c r="U1227" s="2" t="s">
        <v>651</v>
      </c>
      <c r="V1227" s="2" t="s">
        <v>86</v>
      </c>
      <c r="W1227" s="2" t="s">
        <v>2353</v>
      </c>
      <c r="X1227" s="2" t="s">
        <v>2401</v>
      </c>
      <c r="Y1227" s="2" t="s">
        <v>44</v>
      </c>
      <c r="Z1227" s="2"/>
      <c r="AA1227" s="2" t="s">
        <v>3527</v>
      </c>
      <c r="AB1227" s="2" t="s">
        <v>46</v>
      </c>
      <c r="AC1227" s="2" t="s">
        <v>3527</v>
      </c>
      <c r="AE1227" s="2" t="s">
        <v>10801</v>
      </c>
      <c r="AF1227" s="2" t="s">
        <v>7864</v>
      </c>
      <c r="AG1227" s="2">
        <v>100</v>
      </c>
      <c r="AH1227" s="2">
        <v>10</v>
      </c>
      <c r="AJ1227" s="2" t="s">
        <v>11423</v>
      </c>
      <c r="AK1227" s="2"/>
      <c r="AL1227" s="2"/>
      <c r="AM1227" s="2" t="s">
        <v>10791</v>
      </c>
    </row>
    <row r="1228" spans="1:39" x14ac:dyDescent="0.45">
      <c r="A1228" s="2" t="s">
        <v>11424</v>
      </c>
      <c r="B1228" s="2"/>
      <c r="C1228" s="2" t="s">
        <v>11426</v>
      </c>
      <c r="D1228" s="2" t="s">
        <v>11428</v>
      </c>
      <c r="E1228" s="25"/>
      <c r="F1228" s="21"/>
      <c r="G1228" s="21"/>
      <c r="H1228" s="2" t="s">
        <v>10789</v>
      </c>
      <c r="I1228" s="2" t="s">
        <v>10787</v>
      </c>
      <c r="J1228" s="2" t="s">
        <v>11425</v>
      </c>
      <c r="K1228" s="2" t="s">
        <v>11427</v>
      </c>
      <c r="L1228" s="2" t="s">
        <v>11429</v>
      </c>
      <c r="M1228" s="2"/>
      <c r="N1228" s="2" t="s">
        <v>72</v>
      </c>
      <c r="O1228" s="2" t="s">
        <v>73</v>
      </c>
      <c r="P1228" s="2" t="s">
        <v>2072</v>
      </c>
      <c r="Q1228" s="2" t="s">
        <v>11427</v>
      </c>
      <c r="R1228" s="2"/>
      <c r="S1228" s="2"/>
      <c r="T1228" s="2"/>
      <c r="U1228" s="2" t="s">
        <v>72</v>
      </c>
      <c r="V1228" s="2" t="s">
        <v>73</v>
      </c>
      <c r="W1228" s="2" t="s">
        <v>2072</v>
      </c>
      <c r="X1228" s="2" t="s">
        <v>2605</v>
      </c>
      <c r="Y1228" s="2" t="s">
        <v>44</v>
      </c>
      <c r="Z1228" s="2"/>
      <c r="AA1228" s="2" t="s">
        <v>3527</v>
      </c>
      <c r="AB1228" s="2" t="s">
        <v>46</v>
      </c>
      <c r="AC1228" s="2" t="s">
        <v>3527</v>
      </c>
      <c r="AE1228" s="2" t="s">
        <v>10801</v>
      </c>
      <c r="AF1228" s="2" t="s">
        <v>7864</v>
      </c>
      <c r="AG1228" s="2">
        <v>100</v>
      </c>
      <c r="AH1228" s="2">
        <v>10</v>
      </c>
      <c r="AJ1228" s="2" t="s">
        <v>11430</v>
      </c>
      <c r="AK1228" s="2"/>
      <c r="AL1228" s="2"/>
      <c r="AM1228" s="2" t="s">
        <v>10791</v>
      </c>
    </row>
    <row r="1229" spans="1:39" x14ac:dyDescent="0.45">
      <c r="A1229" s="2" t="s">
        <v>11431</v>
      </c>
      <c r="B1229" s="2"/>
      <c r="C1229" s="2" t="s">
        <v>11433</v>
      </c>
      <c r="D1229" s="2" t="s">
        <v>11435</v>
      </c>
      <c r="E1229" s="25"/>
      <c r="F1229" s="21"/>
      <c r="G1229" s="21"/>
      <c r="H1229" s="2" t="s">
        <v>10789</v>
      </c>
      <c r="I1229" s="2" t="s">
        <v>10787</v>
      </c>
      <c r="J1229" s="2" t="s">
        <v>11432</v>
      </c>
      <c r="K1229" s="2" t="s">
        <v>11434</v>
      </c>
      <c r="L1229" s="2" t="s">
        <v>11436</v>
      </c>
      <c r="M1229" s="2"/>
      <c r="N1229" s="2" t="s">
        <v>85</v>
      </c>
      <c r="O1229" s="2" t="s">
        <v>86</v>
      </c>
      <c r="P1229" s="2" t="s">
        <v>11437</v>
      </c>
      <c r="Q1229" s="2" t="s">
        <v>11434</v>
      </c>
      <c r="R1229" s="2"/>
      <c r="S1229" s="2"/>
      <c r="T1229" s="2"/>
      <c r="U1229" s="2" t="s">
        <v>85</v>
      </c>
      <c r="V1229" s="2" t="s">
        <v>86</v>
      </c>
      <c r="W1229" s="2" t="s">
        <v>11437</v>
      </c>
      <c r="X1229" s="2" t="s">
        <v>6993</v>
      </c>
      <c r="Y1229" s="2" t="s">
        <v>44</v>
      </c>
      <c r="Z1229" s="2"/>
      <c r="AA1229" s="2" t="s">
        <v>3527</v>
      </c>
      <c r="AB1229" s="2" t="s">
        <v>46</v>
      </c>
      <c r="AC1229" s="2" t="s">
        <v>3527</v>
      </c>
      <c r="AE1229" s="2" t="s">
        <v>10801</v>
      </c>
      <c r="AF1229" s="2" t="s">
        <v>7864</v>
      </c>
      <c r="AG1229" s="2">
        <v>100</v>
      </c>
      <c r="AH1229" s="2">
        <v>10</v>
      </c>
      <c r="AJ1229" s="2" t="s">
        <v>11438</v>
      </c>
      <c r="AK1229" s="2"/>
      <c r="AL1229" s="2"/>
      <c r="AM1229" s="2" t="s">
        <v>10791</v>
      </c>
    </row>
    <row r="1230" spans="1:39" x14ac:dyDescent="0.45">
      <c r="A1230" s="2" t="s">
        <v>11439</v>
      </c>
      <c r="B1230" s="2"/>
      <c r="C1230" s="2" t="s">
        <v>11441</v>
      </c>
      <c r="D1230" s="2" t="s">
        <v>11443</v>
      </c>
      <c r="E1230" s="25"/>
      <c r="F1230" s="21"/>
      <c r="G1230" s="21"/>
      <c r="H1230" s="2" t="s">
        <v>10789</v>
      </c>
      <c r="I1230" s="2" t="s">
        <v>10787</v>
      </c>
      <c r="J1230" s="2" t="s">
        <v>11440</v>
      </c>
      <c r="K1230" s="2" t="s">
        <v>11442</v>
      </c>
      <c r="L1230" s="2" t="s">
        <v>11444</v>
      </c>
      <c r="M1230" s="2"/>
      <c r="N1230" s="2" t="s">
        <v>384</v>
      </c>
      <c r="O1230" s="2" t="s">
        <v>73</v>
      </c>
      <c r="P1230" s="2" t="s">
        <v>11445</v>
      </c>
      <c r="Q1230" s="2" t="s">
        <v>11442</v>
      </c>
      <c r="R1230" s="2"/>
      <c r="S1230" s="2"/>
      <c r="T1230" s="2"/>
      <c r="U1230" s="2" t="s">
        <v>384</v>
      </c>
      <c r="V1230" s="2" t="s">
        <v>73</v>
      </c>
      <c r="W1230" s="2" t="s">
        <v>11445</v>
      </c>
      <c r="X1230" s="2" t="s">
        <v>7034</v>
      </c>
      <c r="Y1230" s="2" t="s">
        <v>44</v>
      </c>
      <c r="Z1230" s="2"/>
      <c r="AA1230" s="2" t="s">
        <v>3527</v>
      </c>
      <c r="AB1230" s="2" t="s">
        <v>46</v>
      </c>
      <c r="AC1230" s="2" t="s">
        <v>3527</v>
      </c>
      <c r="AE1230" s="2" t="s">
        <v>10801</v>
      </c>
      <c r="AF1230" s="2" t="s">
        <v>7864</v>
      </c>
      <c r="AG1230" s="2">
        <v>100</v>
      </c>
      <c r="AH1230" s="2">
        <v>10</v>
      </c>
      <c r="AJ1230" s="2" t="s">
        <v>11446</v>
      </c>
      <c r="AK1230" s="2"/>
      <c r="AL1230" s="2"/>
      <c r="AM1230" s="2" t="s">
        <v>10791</v>
      </c>
    </row>
    <row r="1231" spans="1:39" x14ac:dyDescent="0.45">
      <c r="A1231" s="2" t="s">
        <v>11447</v>
      </c>
      <c r="B1231" s="2"/>
      <c r="C1231" s="2" t="s">
        <v>11449</v>
      </c>
      <c r="D1231" s="2" t="s">
        <v>11451</v>
      </c>
      <c r="E1231" s="25"/>
      <c r="F1231" s="21"/>
      <c r="G1231" s="21"/>
      <c r="H1231" s="2" t="s">
        <v>10789</v>
      </c>
      <c r="I1231" s="2" t="s">
        <v>10787</v>
      </c>
      <c r="J1231" s="2" t="s">
        <v>11448</v>
      </c>
      <c r="K1231" s="2" t="s">
        <v>11450</v>
      </c>
      <c r="L1231" s="2" t="s">
        <v>11452</v>
      </c>
      <c r="M1231" s="2"/>
      <c r="N1231" s="2" t="s">
        <v>312</v>
      </c>
      <c r="O1231" s="2" t="s">
        <v>313</v>
      </c>
      <c r="P1231" s="2" t="s">
        <v>314</v>
      </c>
      <c r="Q1231" s="2" t="s">
        <v>11453</v>
      </c>
      <c r="R1231" s="2"/>
      <c r="S1231" s="2"/>
      <c r="T1231" s="2"/>
      <c r="U1231" s="2" t="s">
        <v>312</v>
      </c>
      <c r="V1231" s="2" t="s">
        <v>313</v>
      </c>
      <c r="W1231" s="2" t="s">
        <v>314</v>
      </c>
      <c r="X1231" s="2" t="s">
        <v>7034</v>
      </c>
      <c r="Y1231" s="2" t="s">
        <v>44</v>
      </c>
      <c r="Z1231" s="2"/>
      <c r="AA1231" s="2" t="s">
        <v>3527</v>
      </c>
      <c r="AB1231" s="2" t="s">
        <v>46</v>
      </c>
      <c r="AC1231" s="2" t="s">
        <v>3527</v>
      </c>
      <c r="AE1231" s="2" t="s">
        <v>10801</v>
      </c>
      <c r="AF1231" s="2" t="s">
        <v>7864</v>
      </c>
      <c r="AG1231" s="2">
        <v>100</v>
      </c>
      <c r="AH1231" s="2">
        <v>10</v>
      </c>
      <c r="AJ1231" s="2" t="s">
        <v>11454</v>
      </c>
      <c r="AK1231" s="2"/>
      <c r="AL1231" s="2"/>
      <c r="AM1231" s="2" t="s">
        <v>10791</v>
      </c>
    </row>
    <row r="1232" spans="1:39" x14ac:dyDescent="0.45">
      <c r="A1232" s="2" t="s">
        <v>11455</v>
      </c>
      <c r="B1232" s="2"/>
      <c r="C1232" s="2" t="s">
        <v>11457</v>
      </c>
      <c r="D1232" s="2" t="s">
        <v>11459</v>
      </c>
      <c r="E1232" s="25"/>
      <c r="F1232" s="21"/>
      <c r="G1232" s="21"/>
      <c r="H1232" s="2" t="s">
        <v>10789</v>
      </c>
      <c r="I1232" s="2" t="s">
        <v>10787</v>
      </c>
      <c r="J1232" s="2" t="s">
        <v>11456</v>
      </c>
      <c r="K1232" s="2" t="s">
        <v>11458</v>
      </c>
      <c r="L1232" s="2" t="s">
        <v>11460</v>
      </c>
      <c r="M1232" s="2"/>
      <c r="N1232" s="2" t="s">
        <v>59</v>
      </c>
      <c r="O1232" s="2" t="s">
        <v>60</v>
      </c>
      <c r="P1232" s="2" t="s">
        <v>108</v>
      </c>
      <c r="Q1232" s="2" t="s">
        <v>11458</v>
      </c>
      <c r="R1232" s="2"/>
      <c r="S1232" s="2"/>
      <c r="T1232" s="2"/>
      <c r="U1232" s="2" t="s">
        <v>59</v>
      </c>
      <c r="V1232" s="2" t="s">
        <v>60</v>
      </c>
      <c r="W1232" s="2" t="s">
        <v>108</v>
      </c>
      <c r="X1232" s="2" t="s">
        <v>11461</v>
      </c>
      <c r="Y1232" s="2" t="s">
        <v>44</v>
      </c>
      <c r="Z1232" s="2"/>
      <c r="AA1232" s="2" t="s">
        <v>3527</v>
      </c>
      <c r="AB1232" s="2" t="s">
        <v>46</v>
      </c>
      <c r="AC1232" s="2" t="s">
        <v>3527</v>
      </c>
      <c r="AE1232" s="2" t="s">
        <v>10801</v>
      </c>
      <c r="AF1232" s="2" t="s">
        <v>7864</v>
      </c>
      <c r="AG1232" s="2">
        <v>100</v>
      </c>
      <c r="AH1232" s="2">
        <v>10</v>
      </c>
      <c r="AJ1232" s="2" t="s">
        <v>11462</v>
      </c>
      <c r="AK1232" s="2"/>
      <c r="AL1232" s="2"/>
      <c r="AM1232" s="2" t="s">
        <v>10791</v>
      </c>
    </row>
    <row r="1233" spans="1:39" x14ac:dyDescent="0.45">
      <c r="A1233" s="2" t="s">
        <v>11463</v>
      </c>
      <c r="B1233" s="2"/>
      <c r="C1233" s="2" t="s">
        <v>11465</v>
      </c>
      <c r="D1233" s="2" t="s">
        <v>11467</v>
      </c>
      <c r="E1233" s="25"/>
      <c r="F1233" s="21"/>
      <c r="G1233" s="21"/>
      <c r="H1233" s="2" t="s">
        <v>10789</v>
      </c>
      <c r="I1233" s="2" t="s">
        <v>10787</v>
      </c>
      <c r="J1233" s="2" t="s">
        <v>11464</v>
      </c>
      <c r="K1233" s="2" t="s">
        <v>11466</v>
      </c>
      <c r="L1233" s="2" t="s">
        <v>11468</v>
      </c>
      <c r="M1233" s="2"/>
      <c r="N1233" s="2" t="s">
        <v>312</v>
      </c>
      <c r="O1233" s="2" t="s">
        <v>313</v>
      </c>
      <c r="P1233" s="2" t="s">
        <v>7647</v>
      </c>
      <c r="Q1233" s="2" t="s">
        <v>11469</v>
      </c>
      <c r="R1233" s="2"/>
      <c r="S1233" s="2"/>
      <c r="T1233" s="2"/>
      <c r="U1233" s="2" t="s">
        <v>312</v>
      </c>
      <c r="V1233" s="2" t="s">
        <v>313</v>
      </c>
      <c r="W1233" s="2" t="s">
        <v>7647</v>
      </c>
      <c r="X1233" s="2" t="s">
        <v>9022</v>
      </c>
      <c r="Y1233" s="2" t="s">
        <v>44</v>
      </c>
      <c r="Z1233" s="2"/>
      <c r="AA1233" s="2" t="s">
        <v>3527</v>
      </c>
      <c r="AB1233" s="2" t="s">
        <v>46</v>
      </c>
      <c r="AC1233" s="2" t="s">
        <v>3527</v>
      </c>
      <c r="AE1233" s="2" t="s">
        <v>10801</v>
      </c>
      <c r="AF1233" s="2" t="s">
        <v>7864</v>
      </c>
      <c r="AG1233" s="2">
        <v>100</v>
      </c>
      <c r="AH1233" s="2">
        <v>10</v>
      </c>
      <c r="AJ1233" s="2" t="s">
        <v>11470</v>
      </c>
      <c r="AK1233" s="2"/>
      <c r="AL1233" s="2"/>
      <c r="AM1233" s="2" t="s">
        <v>10791</v>
      </c>
    </row>
    <row r="1234" spans="1:39" x14ac:dyDescent="0.45">
      <c r="A1234" s="2" t="s">
        <v>11471</v>
      </c>
      <c r="B1234" s="2"/>
      <c r="C1234" s="2" t="s">
        <v>11473</v>
      </c>
      <c r="D1234" s="2" t="s">
        <v>11475</v>
      </c>
      <c r="E1234" s="25"/>
      <c r="F1234" s="21"/>
      <c r="G1234" s="21"/>
      <c r="H1234" s="2" t="s">
        <v>10789</v>
      </c>
      <c r="I1234" s="2" t="s">
        <v>10787</v>
      </c>
      <c r="J1234" s="2" t="s">
        <v>11472</v>
      </c>
      <c r="K1234" s="2" t="s">
        <v>11474</v>
      </c>
      <c r="L1234" s="2" t="s">
        <v>11476</v>
      </c>
      <c r="M1234" s="2"/>
      <c r="N1234" s="2" t="s">
        <v>85</v>
      </c>
      <c r="O1234" s="2" t="s">
        <v>86</v>
      </c>
      <c r="P1234" s="2" t="s">
        <v>2353</v>
      </c>
      <c r="Q1234" s="2" t="s">
        <v>11474</v>
      </c>
      <c r="R1234" s="2"/>
      <c r="S1234" s="2"/>
      <c r="T1234" s="2"/>
      <c r="U1234" s="2" t="s">
        <v>85</v>
      </c>
      <c r="V1234" s="2" t="s">
        <v>86</v>
      </c>
      <c r="W1234" s="2" t="s">
        <v>2353</v>
      </c>
      <c r="X1234" s="2" t="s">
        <v>4984</v>
      </c>
      <c r="Y1234" s="2" t="s">
        <v>44</v>
      </c>
      <c r="Z1234" s="2"/>
      <c r="AA1234" s="2" t="s">
        <v>3527</v>
      </c>
      <c r="AB1234" s="2" t="s">
        <v>46</v>
      </c>
      <c r="AC1234" s="2" t="s">
        <v>3527</v>
      </c>
      <c r="AE1234" s="2" t="s">
        <v>10801</v>
      </c>
      <c r="AF1234" s="2" t="s">
        <v>7864</v>
      </c>
      <c r="AG1234" s="2">
        <v>100</v>
      </c>
      <c r="AH1234" s="2">
        <v>10</v>
      </c>
      <c r="AJ1234" s="2" t="s">
        <v>11477</v>
      </c>
      <c r="AK1234" s="2"/>
      <c r="AL1234" s="2"/>
      <c r="AM1234" s="2" t="s">
        <v>10791</v>
      </c>
    </row>
    <row r="1235" spans="1:39" x14ac:dyDescent="0.45">
      <c r="A1235" s="2" t="s">
        <v>11478</v>
      </c>
      <c r="B1235" s="2"/>
      <c r="C1235" s="2" t="s">
        <v>11480</v>
      </c>
      <c r="D1235" s="2" t="s">
        <v>11482</v>
      </c>
      <c r="E1235" s="25"/>
      <c r="F1235" s="21"/>
      <c r="G1235" s="21"/>
      <c r="H1235" s="2" t="s">
        <v>10789</v>
      </c>
      <c r="I1235" s="2" t="s">
        <v>10787</v>
      </c>
      <c r="J1235" s="2" t="s">
        <v>11479</v>
      </c>
      <c r="K1235" s="2" t="s">
        <v>11481</v>
      </c>
      <c r="L1235" s="2" t="s">
        <v>11483</v>
      </c>
      <c r="M1235" s="2"/>
      <c r="N1235" s="2" t="s">
        <v>312</v>
      </c>
      <c r="O1235" s="2" t="s">
        <v>313</v>
      </c>
      <c r="P1235" s="2" t="s">
        <v>11484</v>
      </c>
      <c r="Q1235" s="2" t="s">
        <v>11481</v>
      </c>
      <c r="R1235" s="2"/>
      <c r="S1235" s="2"/>
      <c r="T1235" s="2"/>
      <c r="U1235" s="2" t="s">
        <v>312</v>
      </c>
      <c r="V1235" s="2" t="s">
        <v>313</v>
      </c>
      <c r="W1235" s="2" t="s">
        <v>11484</v>
      </c>
      <c r="X1235" s="2" t="s">
        <v>7071</v>
      </c>
      <c r="Y1235" s="2" t="s">
        <v>44</v>
      </c>
      <c r="Z1235" s="2"/>
      <c r="AA1235" s="2" t="s">
        <v>3527</v>
      </c>
      <c r="AB1235" s="2" t="s">
        <v>46</v>
      </c>
      <c r="AC1235" s="2" t="s">
        <v>3527</v>
      </c>
      <c r="AE1235" s="2" t="s">
        <v>10801</v>
      </c>
      <c r="AF1235" s="2" t="s">
        <v>7864</v>
      </c>
      <c r="AG1235" s="2">
        <v>100</v>
      </c>
      <c r="AH1235" s="2">
        <v>10</v>
      </c>
      <c r="AJ1235" s="2" t="s">
        <v>11485</v>
      </c>
      <c r="AK1235" s="2"/>
      <c r="AL1235" s="2"/>
      <c r="AM1235" s="2" t="s">
        <v>10791</v>
      </c>
    </row>
    <row r="1236" spans="1:39" x14ac:dyDescent="0.45">
      <c r="A1236" s="2" t="s">
        <v>11486</v>
      </c>
      <c r="B1236" s="2"/>
      <c r="C1236" s="2" t="s">
        <v>11488</v>
      </c>
      <c r="D1236" s="2" t="s">
        <v>11490</v>
      </c>
      <c r="E1236" s="25"/>
      <c r="F1236" s="21"/>
      <c r="G1236" s="21"/>
      <c r="H1236" s="2" t="s">
        <v>10789</v>
      </c>
      <c r="I1236" s="2" t="s">
        <v>10787</v>
      </c>
      <c r="J1236" s="2" t="s">
        <v>11487</v>
      </c>
      <c r="K1236" s="2" t="s">
        <v>11489</v>
      </c>
      <c r="L1236" s="2" t="s">
        <v>11491</v>
      </c>
      <c r="M1236" s="2"/>
      <c r="N1236" s="2" t="s">
        <v>312</v>
      </c>
      <c r="O1236" s="2" t="s">
        <v>313</v>
      </c>
      <c r="P1236" s="2" t="s">
        <v>314</v>
      </c>
      <c r="Q1236" s="2" t="s">
        <v>11489</v>
      </c>
      <c r="R1236" s="2"/>
      <c r="S1236" s="2"/>
      <c r="T1236" s="2"/>
      <c r="U1236" s="2" t="s">
        <v>312</v>
      </c>
      <c r="V1236" s="2" t="s">
        <v>313</v>
      </c>
      <c r="W1236" s="2" t="s">
        <v>314</v>
      </c>
      <c r="X1236" s="2" t="s">
        <v>7071</v>
      </c>
      <c r="Y1236" s="2" t="s">
        <v>44</v>
      </c>
      <c r="Z1236" s="2"/>
      <c r="AA1236" s="2" t="s">
        <v>3527</v>
      </c>
      <c r="AB1236" s="2" t="s">
        <v>46</v>
      </c>
      <c r="AC1236" s="2" t="s">
        <v>3527</v>
      </c>
      <c r="AE1236" s="2" t="s">
        <v>10801</v>
      </c>
      <c r="AF1236" s="2" t="s">
        <v>7864</v>
      </c>
      <c r="AG1236" s="2">
        <v>100</v>
      </c>
      <c r="AH1236" s="2">
        <v>10</v>
      </c>
      <c r="AJ1236" s="2" t="s">
        <v>11492</v>
      </c>
      <c r="AK1236" s="2"/>
      <c r="AL1236" s="2"/>
      <c r="AM1236" s="2" t="s">
        <v>10791</v>
      </c>
    </row>
    <row r="1237" spans="1:39" x14ac:dyDescent="0.45">
      <c r="A1237" s="2" t="s">
        <v>11493</v>
      </c>
      <c r="B1237" s="2"/>
      <c r="C1237" s="2" t="s">
        <v>7869</v>
      </c>
      <c r="D1237" s="2" t="s">
        <v>11496</v>
      </c>
      <c r="E1237" s="25"/>
      <c r="F1237" s="21"/>
      <c r="G1237" s="21"/>
      <c r="H1237" s="2" t="s">
        <v>10789</v>
      </c>
      <c r="I1237" s="2" t="s">
        <v>10787</v>
      </c>
      <c r="J1237" s="2" t="s">
        <v>11494</v>
      </c>
      <c r="K1237" s="2" t="s">
        <v>11495</v>
      </c>
      <c r="L1237" s="2" t="s">
        <v>11497</v>
      </c>
      <c r="M1237" s="2" t="s">
        <v>11497</v>
      </c>
      <c r="N1237" s="2" t="s">
        <v>651</v>
      </c>
      <c r="O1237" s="2" t="s">
        <v>86</v>
      </c>
      <c r="P1237" s="2" t="s">
        <v>7873</v>
      </c>
      <c r="Q1237" s="2" t="s">
        <v>11495</v>
      </c>
      <c r="R1237" s="2"/>
      <c r="S1237" s="2"/>
      <c r="T1237" s="2"/>
      <c r="U1237" s="2" t="s">
        <v>651</v>
      </c>
      <c r="V1237" s="2" t="s">
        <v>86</v>
      </c>
      <c r="W1237" s="2" t="s">
        <v>7873</v>
      </c>
      <c r="X1237" s="2" t="s">
        <v>10010</v>
      </c>
      <c r="Y1237" s="2" t="s">
        <v>44</v>
      </c>
      <c r="Z1237" s="2"/>
      <c r="AA1237" s="2" t="s">
        <v>3527</v>
      </c>
      <c r="AB1237" s="2" t="s">
        <v>46</v>
      </c>
      <c r="AC1237" s="2" t="s">
        <v>3527</v>
      </c>
      <c r="AE1237" s="2" t="s">
        <v>10801</v>
      </c>
      <c r="AF1237" s="2" t="s">
        <v>7864</v>
      </c>
      <c r="AG1237" s="2">
        <v>100</v>
      </c>
      <c r="AH1237" s="2">
        <v>10</v>
      </c>
      <c r="AJ1237" s="2" t="s">
        <v>11498</v>
      </c>
      <c r="AK1237" s="2"/>
      <c r="AL1237" s="2"/>
      <c r="AM1237" s="2" t="s">
        <v>10791</v>
      </c>
    </row>
    <row r="1238" spans="1:39" x14ac:dyDescent="0.45">
      <c r="A1238" s="2" t="s">
        <v>11499</v>
      </c>
      <c r="B1238" s="2"/>
      <c r="C1238" s="2" t="s">
        <v>11501</v>
      </c>
      <c r="D1238" s="2" t="s">
        <v>11503</v>
      </c>
      <c r="E1238" s="25"/>
      <c r="F1238" s="21"/>
      <c r="G1238" s="21"/>
      <c r="H1238" s="2" t="s">
        <v>10789</v>
      </c>
      <c r="I1238" s="2" t="s">
        <v>10787</v>
      </c>
      <c r="J1238" s="2" t="s">
        <v>11500</v>
      </c>
      <c r="K1238" s="2" t="s">
        <v>11502</v>
      </c>
      <c r="L1238" s="2" t="s">
        <v>11504</v>
      </c>
      <c r="M1238" s="2"/>
      <c r="N1238" s="2" t="s">
        <v>312</v>
      </c>
      <c r="O1238" s="2" t="s">
        <v>313</v>
      </c>
      <c r="P1238" s="2" t="s">
        <v>7463</v>
      </c>
      <c r="Q1238" s="2" t="s">
        <v>11505</v>
      </c>
      <c r="R1238" s="2"/>
      <c r="S1238" s="2"/>
      <c r="T1238" s="2"/>
      <c r="U1238" s="2" t="s">
        <v>312</v>
      </c>
      <c r="V1238" s="2" t="s">
        <v>313</v>
      </c>
      <c r="W1238" s="2" t="s">
        <v>7647</v>
      </c>
      <c r="X1238" s="2" t="s">
        <v>10010</v>
      </c>
      <c r="Y1238" s="2" t="s">
        <v>44</v>
      </c>
      <c r="Z1238" s="2"/>
      <c r="AA1238" s="2" t="s">
        <v>3527</v>
      </c>
      <c r="AB1238" s="2" t="s">
        <v>46</v>
      </c>
      <c r="AC1238" s="2" t="s">
        <v>3527</v>
      </c>
      <c r="AE1238" s="2" t="s">
        <v>10801</v>
      </c>
      <c r="AF1238" s="2" t="s">
        <v>7864</v>
      </c>
      <c r="AG1238" s="2">
        <v>100</v>
      </c>
      <c r="AH1238" s="2">
        <v>10</v>
      </c>
      <c r="AJ1238" s="2" t="s">
        <v>11506</v>
      </c>
      <c r="AK1238" s="2"/>
      <c r="AL1238" s="2"/>
      <c r="AM1238" s="2" t="s">
        <v>10791</v>
      </c>
    </row>
    <row r="1239" spans="1:39" x14ac:dyDescent="0.45">
      <c r="A1239" s="2" t="s">
        <v>11507</v>
      </c>
      <c r="B1239" s="2"/>
      <c r="C1239" s="2" t="s">
        <v>11509</v>
      </c>
      <c r="D1239" s="2" t="s">
        <v>11511</v>
      </c>
      <c r="E1239" s="25"/>
      <c r="F1239" s="21"/>
      <c r="G1239" s="21"/>
      <c r="H1239" s="2" t="s">
        <v>10789</v>
      </c>
      <c r="I1239" s="2" t="s">
        <v>10787</v>
      </c>
      <c r="J1239" s="2" t="s">
        <v>11508</v>
      </c>
      <c r="K1239" s="2" t="s">
        <v>11510</v>
      </c>
      <c r="L1239" s="2" t="s">
        <v>11512</v>
      </c>
      <c r="M1239" s="2"/>
      <c r="N1239" s="2" t="s">
        <v>1023</v>
      </c>
      <c r="O1239" s="2" t="s">
        <v>73</v>
      </c>
      <c r="P1239" s="2" t="s">
        <v>11513</v>
      </c>
      <c r="Q1239" s="2" t="s">
        <v>11510</v>
      </c>
      <c r="R1239" s="2"/>
      <c r="S1239" s="2"/>
      <c r="T1239" s="2"/>
      <c r="U1239" s="2" t="s">
        <v>1023</v>
      </c>
      <c r="V1239" s="2" t="s">
        <v>73</v>
      </c>
      <c r="W1239" s="2" t="s">
        <v>11513</v>
      </c>
      <c r="X1239" s="2" t="s">
        <v>10010</v>
      </c>
      <c r="Y1239" s="2" t="s">
        <v>44</v>
      </c>
      <c r="Z1239" s="2"/>
      <c r="AA1239" s="2" t="s">
        <v>3527</v>
      </c>
      <c r="AB1239" s="2" t="s">
        <v>46</v>
      </c>
      <c r="AC1239" s="2" t="s">
        <v>3527</v>
      </c>
      <c r="AE1239" s="2" t="s">
        <v>10801</v>
      </c>
      <c r="AF1239" s="2" t="s">
        <v>7864</v>
      </c>
      <c r="AG1239" s="2">
        <v>100</v>
      </c>
      <c r="AH1239" s="2">
        <v>10</v>
      </c>
      <c r="AJ1239" s="2" t="s">
        <v>11514</v>
      </c>
      <c r="AK1239" s="2"/>
      <c r="AL1239" s="2"/>
      <c r="AM1239" s="2" t="s">
        <v>10791</v>
      </c>
    </row>
    <row r="1240" spans="1:39" x14ac:dyDescent="0.45">
      <c r="A1240" s="2" t="s">
        <v>11515</v>
      </c>
      <c r="B1240" s="2"/>
      <c r="C1240" s="2" t="s">
        <v>11517</v>
      </c>
      <c r="D1240" s="2" t="s">
        <v>11519</v>
      </c>
      <c r="E1240" s="25"/>
      <c r="F1240" s="21"/>
      <c r="G1240" s="21"/>
      <c r="H1240" s="2" t="s">
        <v>10789</v>
      </c>
      <c r="I1240" s="2" t="s">
        <v>10787</v>
      </c>
      <c r="J1240" s="2" t="s">
        <v>11516</v>
      </c>
      <c r="K1240" s="2" t="s">
        <v>11518</v>
      </c>
      <c r="L1240" s="2" t="s">
        <v>11520</v>
      </c>
      <c r="M1240" s="2"/>
      <c r="N1240" s="2" t="s">
        <v>174</v>
      </c>
      <c r="O1240" s="2" t="s">
        <v>175</v>
      </c>
      <c r="P1240" s="2" t="s">
        <v>1316</v>
      </c>
      <c r="Q1240" s="2" t="s">
        <v>11518</v>
      </c>
      <c r="R1240" s="2"/>
      <c r="S1240" s="2"/>
      <c r="T1240" s="2"/>
      <c r="U1240" s="2" t="s">
        <v>174</v>
      </c>
      <c r="V1240" s="2" t="s">
        <v>175</v>
      </c>
      <c r="W1240" s="2" t="s">
        <v>1316</v>
      </c>
      <c r="X1240" s="2" t="s">
        <v>9053</v>
      </c>
      <c r="Y1240" s="2" t="s">
        <v>44</v>
      </c>
      <c r="Z1240" s="2"/>
      <c r="AA1240" s="2" t="s">
        <v>3527</v>
      </c>
      <c r="AB1240" s="2" t="s">
        <v>46</v>
      </c>
      <c r="AC1240" s="2" t="s">
        <v>3527</v>
      </c>
      <c r="AE1240" s="2" t="s">
        <v>10801</v>
      </c>
      <c r="AF1240" s="2" t="s">
        <v>7864</v>
      </c>
      <c r="AG1240" s="2">
        <v>100</v>
      </c>
      <c r="AH1240" s="2">
        <v>10</v>
      </c>
      <c r="AJ1240" s="2" t="s">
        <v>11521</v>
      </c>
      <c r="AK1240" s="2"/>
      <c r="AL1240" s="2"/>
      <c r="AM1240" s="2" t="s">
        <v>10791</v>
      </c>
    </row>
    <row r="1241" spans="1:39" x14ac:dyDescent="0.45">
      <c r="A1241" s="2" t="s">
        <v>11522</v>
      </c>
      <c r="B1241" s="2"/>
      <c r="C1241" s="2" t="s">
        <v>11524</v>
      </c>
      <c r="D1241" s="2" t="s">
        <v>11526</v>
      </c>
      <c r="E1241" s="25"/>
      <c r="F1241" s="21"/>
      <c r="G1241" s="21"/>
      <c r="H1241" s="2" t="s">
        <v>10789</v>
      </c>
      <c r="I1241" s="2" t="s">
        <v>10787</v>
      </c>
      <c r="J1241" s="2" t="s">
        <v>11523</v>
      </c>
      <c r="K1241" s="2" t="s">
        <v>11525</v>
      </c>
      <c r="L1241" s="2" t="s">
        <v>11527</v>
      </c>
      <c r="M1241" s="2"/>
      <c r="N1241" s="2" t="s">
        <v>277</v>
      </c>
      <c r="O1241" s="2" t="s">
        <v>278</v>
      </c>
      <c r="P1241" s="2" t="s">
        <v>7002</v>
      </c>
      <c r="Q1241" s="2" t="s">
        <v>11525</v>
      </c>
      <c r="R1241" s="2"/>
      <c r="S1241" s="2"/>
      <c r="T1241" s="2"/>
      <c r="U1241" s="2" t="s">
        <v>277</v>
      </c>
      <c r="V1241" s="2" t="s">
        <v>278</v>
      </c>
      <c r="W1241" s="2" t="s">
        <v>7002</v>
      </c>
      <c r="X1241" s="2" t="s">
        <v>2820</v>
      </c>
      <c r="Y1241" s="2" t="s">
        <v>44</v>
      </c>
      <c r="Z1241" s="2"/>
      <c r="AA1241" s="2" t="s">
        <v>3527</v>
      </c>
      <c r="AB1241" s="2" t="s">
        <v>46</v>
      </c>
      <c r="AC1241" s="2" t="s">
        <v>3527</v>
      </c>
      <c r="AE1241" s="2" t="s">
        <v>10801</v>
      </c>
      <c r="AF1241" s="2" t="s">
        <v>7864</v>
      </c>
      <c r="AG1241" s="2">
        <v>100</v>
      </c>
      <c r="AH1241" s="2">
        <v>10</v>
      </c>
      <c r="AJ1241" s="2" t="s">
        <v>11528</v>
      </c>
      <c r="AK1241" s="2"/>
      <c r="AL1241" s="2"/>
      <c r="AM1241" s="2" t="s">
        <v>10791</v>
      </c>
    </row>
    <row r="1242" spans="1:39" x14ac:dyDescent="0.45">
      <c r="A1242" s="2" t="s">
        <v>11529</v>
      </c>
      <c r="B1242" s="2"/>
      <c r="C1242" s="2" t="s">
        <v>11531</v>
      </c>
      <c r="D1242" s="2" t="s">
        <v>11533</v>
      </c>
      <c r="E1242" s="25"/>
      <c r="F1242" s="21"/>
      <c r="G1242" s="21"/>
      <c r="H1242" s="2" t="s">
        <v>10789</v>
      </c>
      <c r="I1242" s="2" t="s">
        <v>11537</v>
      </c>
      <c r="J1242" s="2" t="s">
        <v>11530</v>
      </c>
      <c r="K1242" s="2" t="s">
        <v>11532</v>
      </c>
      <c r="L1242" s="2" t="s">
        <v>11534</v>
      </c>
      <c r="M1242" s="2" t="s">
        <v>11534</v>
      </c>
      <c r="N1242" s="2" t="s">
        <v>312</v>
      </c>
      <c r="O1242" s="2" t="s">
        <v>313</v>
      </c>
      <c r="P1242" s="2" t="s">
        <v>11535</v>
      </c>
      <c r="Q1242" s="2" t="s">
        <v>11536</v>
      </c>
      <c r="R1242" s="2"/>
      <c r="S1242" s="2"/>
      <c r="T1242" s="2"/>
      <c r="U1242" s="2" t="s">
        <v>312</v>
      </c>
      <c r="V1242" s="2" t="s">
        <v>313</v>
      </c>
      <c r="W1242" s="2" t="s">
        <v>11535</v>
      </c>
      <c r="X1242" s="2" t="s">
        <v>9649</v>
      </c>
      <c r="Y1242" s="2" t="s">
        <v>44</v>
      </c>
      <c r="Z1242" s="2"/>
      <c r="AA1242" s="2" t="s">
        <v>3527</v>
      </c>
      <c r="AB1242" s="2" t="s">
        <v>46</v>
      </c>
      <c r="AC1242" s="2" t="s">
        <v>3527</v>
      </c>
      <c r="AE1242" s="2" t="s">
        <v>10801</v>
      </c>
      <c r="AF1242" s="2" t="s">
        <v>7864</v>
      </c>
      <c r="AG1242" s="2">
        <v>100</v>
      </c>
      <c r="AH1242" s="2">
        <v>10</v>
      </c>
      <c r="AJ1242" s="2" t="s">
        <v>11538</v>
      </c>
      <c r="AK1242" s="2"/>
      <c r="AL1242" s="2"/>
      <c r="AM1242" s="2" t="s">
        <v>10791</v>
      </c>
    </row>
    <row r="1243" spans="1:39" x14ac:dyDescent="0.45">
      <c r="A1243" s="2" t="s">
        <v>11539</v>
      </c>
      <c r="B1243" s="2"/>
      <c r="C1243" s="2" t="s">
        <v>11541</v>
      </c>
      <c r="D1243" s="2" t="s">
        <v>11543</v>
      </c>
      <c r="E1243" s="25"/>
      <c r="F1243" s="21"/>
      <c r="G1243" s="21"/>
      <c r="H1243" s="2" t="s">
        <v>10789</v>
      </c>
      <c r="I1243" s="2" t="s">
        <v>10787</v>
      </c>
      <c r="J1243" s="2" t="s">
        <v>11540</v>
      </c>
      <c r="K1243" s="2" t="s">
        <v>11542</v>
      </c>
      <c r="L1243" s="2" t="s">
        <v>11544</v>
      </c>
      <c r="M1243" s="2"/>
      <c r="N1243" s="2" t="s">
        <v>312</v>
      </c>
      <c r="O1243" s="2" t="s">
        <v>313</v>
      </c>
      <c r="P1243" s="2" t="s">
        <v>7647</v>
      </c>
      <c r="Q1243" s="2" t="s">
        <v>11545</v>
      </c>
      <c r="R1243" s="2"/>
      <c r="S1243" s="2"/>
      <c r="T1243" s="2"/>
      <c r="U1243" s="2" t="s">
        <v>312</v>
      </c>
      <c r="V1243" s="2" t="s">
        <v>313</v>
      </c>
      <c r="W1243" s="2" t="s">
        <v>7647</v>
      </c>
      <c r="X1243" s="2" t="s">
        <v>153</v>
      </c>
      <c r="Y1243" s="2" t="s">
        <v>44</v>
      </c>
      <c r="Z1243" s="2"/>
      <c r="AA1243" s="2" t="s">
        <v>3527</v>
      </c>
      <c r="AB1243" s="2" t="s">
        <v>46</v>
      </c>
      <c r="AC1243" s="2" t="s">
        <v>3527</v>
      </c>
      <c r="AE1243" s="2" t="s">
        <v>10801</v>
      </c>
      <c r="AF1243" s="2" t="s">
        <v>7864</v>
      </c>
      <c r="AG1243" s="2">
        <v>100</v>
      </c>
      <c r="AH1243" s="2">
        <v>10</v>
      </c>
      <c r="AJ1243" s="2" t="s">
        <v>11546</v>
      </c>
      <c r="AK1243" s="2"/>
      <c r="AL1243" s="2"/>
      <c r="AM1243" s="2" t="s">
        <v>10791</v>
      </c>
    </row>
    <row r="1244" spans="1:39" x14ac:dyDescent="0.45">
      <c r="A1244" s="2" t="s">
        <v>11547</v>
      </c>
      <c r="B1244" s="2"/>
      <c r="C1244" s="2" t="s">
        <v>11549</v>
      </c>
      <c r="D1244" s="2" t="s">
        <v>11551</v>
      </c>
      <c r="E1244" s="25"/>
      <c r="F1244" s="21"/>
      <c r="G1244" s="21"/>
      <c r="H1244" s="2" t="s">
        <v>10789</v>
      </c>
      <c r="I1244" s="2" t="s">
        <v>10787</v>
      </c>
      <c r="J1244" s="2" t="s">
        <v>11548</v>
      </c>
      <c r="K1244" s="2" t="s">
        <v>11550</v>
      </c>
      <c r="L1244" s="2" t="s">
        <v>11552</v>
      </c>
      <c r="M1244" s="2"/>
      <c r="N1244" s="2" t="s">
        <v>312</v>
      </c>
      <c r="O1244" s="2" t="s">
        <v>313</v>
      </c>
      <c r="P1244" s="2" t="s">
        <v>314</v>
      </c>
      <c r="Q1244" s="2" t="s">
        <v>11550</v>
      </c>
      <c r="R1244" s="2"/>
      <c r="S1244" s="2"/>
      <c r="T1244" s="2"/>
      <c r="U1244" s="2" t="s">
        <v>312</v>
      </c>
      <c r="V1244" s="2" t="s">
        <v>313</v>
      </c>
      <c r="W1244" s="2" t="s">
        <v>314</v>
      </c>
      <c r="X1244" s="2" t="s">
        <v>11004</v>
      </c>
      <c r="Y1244" s="2" t="s">
        <v>44</v>
      </c>
      <c r="Z1244" s="2"/>
      <c r="AA1244" s="2" t="s">
        <v>3527</v>
      </c>
      <c r="AB1244" s="2" t="s">
        <v>46</v>
      </c>
      <c r="AC1244" s="2" t="s">
        <v>3527</v>
      </c>
      <c r="AE1244" s="2" t="s">
        <v>10801</v>
      </c>
      <c r="AF1244" s="2" t="s">
        <v>7864</v>
      </c>
      <c r="AG1244" s="2">
        <v>100</v>
      </c>
      <c r="AH1244" s="2">
        <v>10</v>
      </c>
      <c r="AJ1244" s="2" t="s">
        <v>11553</v>
      </c>
      <c r="AK1244" s="2"/>
      <c r="AL1244" s="2"/>
      <c r="AM1244" s="2" t="s">
        <v>10791</v>
      </c>
    </row>
    <row r="1245" spans="1:39" x14ac:dyDescent="0.45">
      <c r="A1245" s="2" t="s">
        <v>11554</v>
      </c>
      <c r="B1245" s="2"/>
      <c r="C1245" s="2" t="s">
        <v>11556</v>
      </c>
      <c r="D1245" s="2" t="s">
        <v>11558</v>
      </c>
      <c r="E1245" s="25"/>
      <c r="F1245" s="21"/>
      <c r="G1245" s="21"/>
      <c r="H1245" s="2" t="s">
        <v>10789</v>
      </c>
      <c r="I1245" s="2" t="s">
        <v>10787</v>
      </c>
      <c r="J1245" s="2" t="s">
        <v>11555</v>
      </c>
      <c r="K1245" s="2" t="s">
        <v>11557</v>
      </c>
      <c r="L1245" s="2" t="s">
        <v>11559</v>
      </c>
      <c r="M1245" s="2"/>
      <c r="N1245" s="2" t="s">
        <v>277</v>
      </c>
      <c r="O1245" s="2" t="s">
        <v>278</v>
      </c>
      <c r="P1245" s="2" t="s">
        <v>1060</v>
      </c>
      <c r="Q1245" s="2" t="s">
        <v>11557</v>
      </c>
      <c r="R1245" s="2"/>
      <c r="S1245" s="2"/>
      <c r="T1245" s="2"/>
      <c r="U1245" s="2" t="s">
        <v>277</v>
      </c>
      <c r="V1245" s="2" t="s">
        <v>278</v>
      </c>
      <c r="W1245" s="2" t="s">
        <v>1060</v>
      </c>
      <c r="X1245" s="2" t="s">
        <v>11004</v>
      </c>
      <c r="Y1245" s="2" t="s">
        <v>44</v>
      </c>
      <c r="Z1245" s="2"/>
      <c r="AA1245" s="2" t="s">
        <v>3527</v>
      </c>
      <c r="AB1245" s="2" t="s">
        <v>46</v>
      </c>
      <c r="AC1245" s="2" t="s">
        <v>3527</v>
      </c>
      <c r="AE1245" s="2" t="s">
        <v>10801</v>
      </c>
      <c r="AF1245" s="2" t="s">
        <v>7864</v>
      </c>
      <c r="AG1245" s="2">
        <v>100</v>
      </c>
      <c r="AH1245" s="2">
        <v>10</v>
      </c>
      <c r="AJ1245" s="2" t="s">
        <v>11560</v>
      </c>
      <c r="AK1245" s="2"/>
      <c r="AL1245" s="2"/>
      <c r="AM1245" s="2" t="s">
        <v>10791</v>
      </c>
    </row>
    <row r="1246" spans="1:39" x14ac:dyDescent="0.45">
      <c r="A1246" s="2" t="s">
        <v>11561</v>
      </c>
      <c r="B1246" s="2"/>
      <c r="C1246" s="2" t="s">
        <v>11563</v>
      </c>
      <c r="D1246" s="2" t="s">
        <v>11565</v>
      </c>
      <c r="E1246" s="25"/>
      <c r="F1246" s="21"/>
      <c r="G1246" s="21"/>
      <c r="H1246" s="2" t="s">
        <v>10789</v>
      </c>
      <c r="I1246" s="2" t="s">
        <v>10787</v>
      </c>
      <c r="J1246" s="2" t="s">
        <v>11562</v>
      </c>
      <c r="K1246" s="2" t="s">
        <v>11564</v>
      </c>
      <c r="L1246" s="2" t="s">
        <v>11566</v>
      </c>
      <c r="M1246" s="2"/>
      <c r="N1246" s="2" t="s">
        <v>59</v>
      </c>
      <c r="O1246" s="2" t="s">
        <v>60</v>
      </c>
      <c r="P1246" s="2" t="s">
        <v>11567</v>
      </c>
      <c r="Q1246" s="2" t="s">
        <v>11564</v>
      </c>
      <c r="R1246" s="2"/>
      <c r="S1246" s="2"/>
      <c r="T1246" s="2"/>
      <c r="U1246" s="2" t="s">
        <v>59</v>
      </c>
      <c r="V1246" s="2" t="s">
        <v>60</v>
      </c>
      <c r="W1246" s="2" t="s">
        <v>11567</v>
      </c>
      <c r="X1246" s="2" t="s">
        <v>2973</v>
      </c>
      <c r="Y1246" s="2" t="s">
        <v>44</v>
      </c>
      <c r="Z1246" s="2"/>
      <c r="AA1246" s="2" t="s">
        <v>3527</v>
      </c>
      <c r="AB1246" s="2" t="s">
        <v>46</v>
      </c>
      <c r="AC1246" s="2" t="s">
        <v>3527</v>
      </c>
      <c r="AE1246" s="2" t="s">
        <v>10801</v>
      </c>
      <c r="AF1246" s="2" t="s">
        <v>7864</v>
      </c>
      <c r="AG1246" s="2">
        <v>100</v>
      </c>
      <c r="AH1246" s="2">
        <v>10</v>
      </c>
      <c r="AJ1246" s="2" t="s">
        <v>11568</v>
      </c>
      <c r="AK1246" s="2"/>
      <c r="AL1246" s="2"/>
      <c r="AM1246" s="2" t="s">
        <v>10791</v>
      </c>
    </row>
    <row r="1247" spans="1:39" x14ac:dyDescent="0.45">
      <c r="A1247" s="2" t="s">
        <v>11569</v>
      </c>
      <c r="B1247" s="2"/>
      <c r="C1247" s="2" t="s">
        <v>11571</v>
      </c>
      <c r="D1247" s="2" t="s">
        <v>11573</v>
      </c>
      <c r="E1247" s="25"/>
      <c r="F1247" s="21"/>
      <c r="G1247" s="21"/>
      <c r="H1247" s="2" t="s">
        <v>10789</v>
      </c>
      <c r="I1247" s="2" t="s">
        <v>10787</v>
      </c>
      <c r="J1247" s="2" t="s">
        <v>11570</v>
      </c>
      <c r="K1247" s="2" t="s">
        <v>11572</v>
      </c>
      <c r="L1247" s="2" t="s">
        <v>11574</v>
      </c>
      <c r="M1247" s="2"/>
      <c r="N1247" s="2" t="s">
        <v>312</v>
      </c>
      <c r="O1247" s="2" t="s">
        <v>313</v>
      </c>
      <c r="P1247" s="2" t="s">
        <v>1048</v>
      </c>
      <c r="Q1247" s="2" t="s">
        <v>11572</v>
      </c>
      <c r="R1247" s="2"/>
      <c r="S1247" s="2"/>
      <c r="T1247" s="2"/>
      <c r="U1247" s="2" t="s">
        <v>312</v>
      </c>
      <c r="V1247" s="2" t="s">
        <v>313</v>
      </c>
      <c r="W1247" s="2" t="s">
        <v>1048</v>
      </c>
      <c r="X1247" s="2" t="s">
        <v>11575</v>
      </c>
      <c r="Y1247" s="2" t="s">
        <v>44</v>
      </c>
      <c r="Z1247" s="2"/>
      <c r="AA1247" s="2" t="s">
        <v>3527</v>
      </c>
      <c r="AB1247" s="2" t="s">
        <v>46</v>
      </c>
      <c r="AC1247" s="2" t="s">
        <v>3527</v>
      </c>
      <c r="AE1247" s="2" t="s">
        <v>10801</v>
      </c>
      <c r="AF1247" s="2" t="s">
        <v>7864</v>
      </c>
      <c r="AG1247" s="2">
        <v>100</v>
      </c>
      <c r="AH1247" s="2">
        <v>10</v>
      </c>
      <c r="AJ1247" s="2" t="s">
        <v>11576</v>
      </c>
      <c r="AK1247" s="2"/>
      <c r="AL1247" s="2"/>
      <c r="AM1247" s="2" t="s">
        <v>10791</v>
      </c>
    </row>
    <row r="1248" spans="1:39" x14ac:dyDescent="0.45">
      <c r="A1248" s="2" t="s">
        <v>11577</v>
      </c>
      <c r="B1248" s="2"/>
      <c r="C1248" s="2" t="s">
        <v>11579</v>
      </c>
      <c r="D1248" s="2" t="s">
        <v>11581</v>
      </c>
      <c r="E1248" s="25"/>
      <c r="F1248" s="21"/>
      <c r="G1248" s="21"/>
      <c r="H1248" s="2" t="s">
        <v>10789</v>
      </c>
      <c r="I1248" s="2" t="s">
        <v>10787</v>
      </c>
      <c r="J1248" s="2" t="s">
        <v>11578</v>
      </c>
      <c r="K1248" s="2" t="s">
        <v>11580</v>
      </c>
      <c r="L1248" s="2" t="s">
        <v>11582</v>
      </c>
      <c r="M1248" s="2"/>
      <c r="N1248" s="2" t="s">
        <v>72</v>
      </c>
      <c r="O1248" s="2" t="s">
        <v>73</v>
      </c>
      <c r="P1248" s="2" t="s">
        <v>2982</v>
      </c>
      <c r="Q1248" s="2" t="s">
        <v>11583</v>
      </c>
      <c r="R1248" s="2"/>
      <c r="S1248" s="2"/>
      <c r="T1248" s="2"/>
      <c r="U1248" s="2" t="s">
        <v>72</v>
      </c>
      <c r="V1248" s="2" t="s">
        <v>73</v>
      </c>
      <c r="W1248" s="2" t="s">
        <v>2982</v>
      </c>
      <c r="X1248" s="2" t="s">
        <v>10032</v>
      </c>
      <c r="Y1248" s="2" t="s">
        <v>44</v>
      </c>
      <c r="Z1248" s="2"/>
      <c r="AA1248" s="2" t="s">
        <v>3527</v>
      </c>
      <c r="AB1248" s="2" t="s">
        <v>46</v>
      </c>
      <c r="AC1248" s="2" t="s">
        <v>3527</v>
      </c>
      <c r="AE1248" s="2" t="s">
        <v>10801</v>
      </c>
      <c r="AF1248" s="2" t="s">
        <v>7864</v>
      </c>
      <c r="AG1248" s="2">
        <v>100</v>
      </c>
      <c r="AH1248" s="2">
        <v>10</v>
      </c>
      <c r="AJ1248" s="2" t="s">
        <v>11584</v>
      </c>
      <c r="AK1248" s="2"/>
      <c r="AL1248" s="2"/>
      <c r="AM1248" s="2" t="s">
        <v>10791</v>
      </c>
    </row>
    <row r="1249" spans="1:39" x14ac:dyDescent="0.45">
      <c r="A1249" s="2" t="s">
        <v>11585</v>
      </c>
      <c r="B1249" s="2"/>
      <c r="C1249" s="2" t="s">
        <v>11587</v>
      </c>
      <c r="D1249" s="2" t="s">
        <v>11589</v>
      </c>
      <c r="E1249" s="25"/>
      <c r="F1249" s="21"/>
      <c r="G1249" s="21"/>
      <c r="H1249" s="2" t="s">
        <v>10789</v>
      </c>
      <c r="I1249" s="2" t="s">
        <v>10787</v>
      </c>
      <c r="J1249" s="2" t="s">
        <v>11586</v>
      </c>
      <c r="K1249" s="2" t="s">
        <v>11588</v>
      </c>
      <c r="L1249" s="2" t="s">
        <v>11590</v>
      </c>
      <c r="M1249" s="2"/>
      <c r="N1249" s="2" t="s">
        <v>384</v>
      </c>
      <c r="O1249" s="2" t="s">
        <v>73</v>
      </c>
      <c r="P1249" s="2" t="s">
        <v>953</v>
      </c>
      <c r="Q1249" s="2"/>
      <c r="R1249" s="2"/>
      <c r="S1249" s="2"/>
      <c r="T1249" s="2"/>
      <c r="U1249" s="2"/>
      <c r="V1249" s="2"/>
      <c r="W1249" s="2"/>
      <c r="X1249" s="2" t="s">
        <v>11591</v>
      </c>
      <c r="Y1249" s="2" t="s">
        <v>44</v>
      </c>
      <c r="Z1249" s="2"/>
      <c r="AA1249" s="2" t="s">
        <v>3527</v>
      </c>
      <c r="AB1249" s="2" t="s">
        <v>46</v>
      </c>
      <c r="AC1249" s="2" t="s">
        <v>3527</v>
      </c>
      <c r="AE1249" s="2" t="s">
        <v>10801</v>
      </c>
      <c r="AF1249" s="2" t="s">
        <v>7864</v>
      </c>
      <c r="AG1249" s="2">
        <v>100</v>
      </c>
      <c r="AH1249" s="2">
        <v>10</v>
      </c>
      <c r="AJ1249" s="2" t="s">
        <v>11592</v>
      </c>
      <c r="AK1249" s="2"/>
      <c r="AL1249" s="2"/>
      <c r="AM1249" s="2" t="s">
        <v>10791</v>
      </c>
    </row>
    <row r="1250" spans="1:39" x14ac:dyDescent="0.45">
      <c r="A1250" s="2" t="s">
        <v>11593</v>
      </c>
      <c r="B1250" s="2"/>
      <c r="C1250" s="2" t="s">
        <v>11595</v>
      </c>
      <c r="D1250" s="2" t="s">
        <v>11597</v>
      </c>
      <c r="E1250" s="25"/>
      <c r="F1250" s="21"/>
      <c r="G1250" s="21"/>
      <c r="H1250" s="2" t="s">
        <v>10789</v>
      </c>
      <c r="I1250" s="2" t="s">
        <v>10787</v>
      </c>
      <c r="J1250" s="2" t="s">
        <v>11594</v>
      </c>
      <c r="K1250" s="2" t="s">
        <v>11596</v>
      </c>
      <c r="L1250" s="2" t="s">
        <v>11598</v>
      </c>
      <c r="M1250" s="2"/>
      <c r="N1250" s="2" t="s">
        <v>59</v>
      </c>
      <c r="O1250" s="2" t="s">
        <v>60</v>
      </c>
      <c r="P1250" s="2" t="s">
        <v>992</v>
      </c>
      <c r="Q1250" s="2" t="s">
        <v>11596</v>
      </c>
      <c r="R1250" s="2"/>
      <c r="S1250" s="2"/>
      <c r="T1250" s="2"/>
      <c r="U1250" s="2" t="s">
        <v>59</v>
      </c>
      <c r="V1250" s="2" t="s">
        <v>60</v>
      </c>
      <c r="W1250" s="2" t="s">
        <v>992</v>
      </c>
      <c r="X1250" s="2" t="s">
        <v>2993</v>
      </c>
      <c r="Y1250" s="2" t="s">
        <v>44</v>
      </c>
      <c r="Z1250" s="2"/>
      <c r="AA1250" s="2" t="s">
        <v>3527</v>
      </c>
      <c r="AB1250" s="2" t="s">
        <v>46</v>
      </c>
      <c r="AC1250" s="2" t="s">
        <v>3527</v>
      </c>
      <c r="AE1250" s="2" t="s">
        <v>10801</v>
      </c>
      <c r="AF1250" s="2" t="s">
        <v>7864</v>
      </c>
      <c r="AG1250" s="2">
        <v>100</v>
      </c>
      <c r="AH1250" s="2">
        <v>10</v>
      </c>
      <c r="AJ1250" s="2" t="s">
        <v>11599</v>
      </c>
      <c r="AK1250" s="2"/>
      <c r="AL1250" s="2"/>
      <c r="AM1250" s="2" t="s">
        <v>10791</v>
      </c>
    </row>
    <row r="1251" spans="1:39" x14ac:dyDescent="0.45">
      <c r="A1251" s="2" t="s">
        <v>11600</v>
      </c>
      <c r="B1251" s="2"/>
      <c r="C1251" s="2" t="s">
        <v>11602</v>
      </c>
      <c r="D1251" s="2" t="s">
        <v>11604</v>
      </c>
      <c r="E1251" s="25"/>
      <c r="F1251" s="21"/>
      <c r="G1251" s="21"/>
      <c r="H1251" s="2" t="s">
        <v>10789</v>
      </c>
      <c r="I1251" s="2" t="s">
        <v>10787</v>
      </c>
      <c r="J1251" s="2" t="s">
        <v>11601</v>
      </c>
      <c r="K1251" s="2" t="s">
        <v>11603</v>
      </c>
      <c r="L1251" s="2" t="s">
        <v>11605</v>
      </c>
      <c r="M1251" s="2"/>
      <c r="N1251" s="2" t="s">
        <v>1023</v>
      </c>
      <c r="O1251" s="2" t="s">
        <v>73</v>
      </c>
      <c r="P1251" s="2" t="s">
        <v>11606</v>
      </c>
      <c r="Q1251" s="2"/>
      <c r="R1251" s="2"/>
      <c r="S1251" s="2"/>
      <c r="T1251" s="2"/>
      <c r="U1251" s="2"/>
      <c r="V1251" s="2"/>
      <c r="W1251" s="2"/>
      <c r="X1251" s="2" t="s">
        <v>6090</v>
      </c>
      <c r="Y1251" s="2" t="s">
        <v>44</v>
      </c>
      <c r="Z1251" s="2"/>
      <c r="AA1251" s="2" t="s">
        <v>3527</v>
      </c>
      <c r="AB1251" s="2" t="s">
        <v>46</v>
      </c>
      <c r="AC1251" s="2" t="s">
        <v>3527</v>
      </c>
      <c r="AE1251" s="2" t="s">
        <v>10801</v>
      </c>
      <c r="AF1251" s="2" t="s">
        <v>7864</v>
      </c>
      <c r="AG1251" s="2">
        <v>100</v>
      </c>
      <c r="AH1251" s="2">
        <v>10</v>
      </c>
      <c r="AJ1251" s="2" t="s">
        <v>11607</v>
      </c>
      <c r="AK1251" s="2"/>
      <c r="AL1251" s="2"/>
      <c r="AM1251" s="2" t="s">
        <v>10791</v>
      </c>
    </row>
    <row r="1252" spans="1:39" x14ac:dyDescent="0.45">
      <c r="A1252" s="2" t="s">
        <v>11608</v>
      </c>
      <c r="B1252" s="2"/>
      <c r="C1252" s="2" t="s">
        <v>11610</v>
      </c>
      <c r="D1252" s="2" t="s">
        <v>11612</v>
      </c>
      <c r="E1252" s="25"/>
      <c r="F1252" s="21"/>
      <c r="G1252" s="21"/>
      <c r="H1252" s="2" t="s">
        <v>10789</v>
      </c>
      <c r="I1252" s="2" t="s">
        <v>10787</v>
      </c>
      <c r="J1252" s="2" t="s">
        <v>11609</v>
      </c>
      <c r="K1252" s="2" t="s">
        <v>11611</v>
      </c>
      <c r="L1252" s="2" t="s">
        <v>11613</v>
      </c>
      <c r="M1252" s="2"/>
      <c r="N1252" s="2" t="s">
        <v>312</v>
      </c>
      <c r="O1252" s="2" t="s">
        <v>313</v>
      </c>
      <c r="P1252" s="2" t="s">
        <v>7647</v>
      </c>
      <c r="Q1252" s="2" t="s">
        <v>11614</v>
      </c>
      <c r="R1252" s="2"/>
      <c r="S1252" s="2"/>
      <c r="T1252" s="2"/>
      <c r="U1252" s="2" t="s">
        <v>312</v>
      </c>
      <c r="V1252" s="2" t="s">
        <v>313</v>
      </c>
      <c r="W1252" s="2" t="s">
        <v>7647</v>
      </c>
      <c r="X1252" s="2" t="s">
        <v>6090</v>
      </c>
      <c r="Y1252" s="2" t="s">
        <v>44</v>
      </c>
      <c r="Z1252" s="2"/>
      <c r="AA1252" s="2" t="s">
        <v>3527</v>
      </c>
      <c r="AB1252" s="2" t="s">
        <v>46</v>
      </c>
      <c r="AC1252" s="2" t="s">
        <v>3527</v>
      </c>
      <c r="AE1252" s="2" t="s">
        <v>10801</v>
      </c>
      <c r="AF1252" s="2" t="s">
        <v>7864</v>
      </c>
      <c r="AG1252" s="2">
        <v>100</v>
      </c>
      <c r="AH1252" s="2">
        <v>10</v>
      </c>
      <c r="AJ1252" s="2" t="s">
        <v>11615</v>
      </c>
      <c r="AK1252" s="2"/>
      <c r="AL1252" s="2"/>
      <c r="AM1252" s="2" t="s">
        <v>10791</v>
      </c>
    </row>
    <row r="1253" spans="1:39" x14ac:dyDescent="0.45">
      <c r="A1253" s="2" t="s">
        <v>11616</v>
      </c>
      <c r="B1253" s="2"/>
      <c r="C1253" s="2" t="s">
        <v>11618</v>
      </c>
      <c r="D1253" s="2" t="s">
        <v>11620</v>
      </c>
      <c r="E1253" s="25"/>
      <c r="F1253" s="21"/>
      <c r="G1253" s="21"/>
      <c r="H1253" s="2" t="s">
        <v>10789</v>
      </c>
      <c r="I1253" s="2" t="s">
        <v>10787</v>
      </c>
      <c r="J1253" s="2" t="s">
        <v>11617</v>
      </c>
      <c r="K1253" s="2" t="s">
        <v>11619</v>
      </c>
      <c r="L1253" s="2" t="s">
        <v>11621</v>
      </c>
      <c r="M1253" s="2" t="s">
        <v>11621</v>
      </c>
      <c r="N1253" s="2" t="s">
        <v>85</v>
      </c>
      <c r="O1253" s="2" t="s">
        <v>86</v>
      </c>
      <c r="P1253" s="2" t="s">
        <v>3073</v>
      </c>
      <c r="Q1253" s="2" t="s">
        <v>11619</v>
      </c>
      <c r="R1253" s="2"/>
      <c r="S1253" s="2"/>
      <c r="T1253" s="2"/>
      <c r="U1253" s="2" t="s">
        <v>85</v>
      </c>
      <c r="V1253" s="2" t="s">
        <v>86</v>
      </c>
      <c r="W1253" s="2" t="s">
        <v>3073</v>
      </c>
      <c r="X1253" s="2" t="s">
        <v>11622</v>
      </c>
      <c r="Y1253" s="2" t="s">
        <v>44</v>
      </c>
      <c r="Z1253" s="2"/>
      <c r="AA1253" s="2" t="s">
        <v>3527</v>
      </c>
      <c r="AB1253" s="2" t="s">
        <v>46</v>
      </c>
      <c r="AC1253" s="2" t="s">
        <v>3527</v>
      </c>
      <c r="AE1253" s="2" t="s">
        <v>10801</v>
      </c>
      <c r="AF1253" s="2" t="s">
        <v>7864</v>
      </c>
      <c r="AG1253" s="2">
        <v>100</v>
      </c>
      <c r="AH1253" s="2">
        <v>10</v>
      </c>
      <c r="AJ1253" s="2" t="s">
        <v>11623</v>
      </c>
      <c r="AK1253" s="2"/>
      <c r="AL1253" s="2"/>
      <c r="AM1253" s="2" t="s">
        <v>10791</v>
      </c>
    </row>
    <row r="1254" spans="1:39" x14ac:dyDescent="0.45">
      <c r="A1254" s="2" t="s">
        <v>11624</v>
      </c>
      <c r="B1254" s="2"/>
      <c r="C1254" s="2" t="s">
        <v>11626</v>
      </c>
      <c r="D1254" s="2" t="s">
        <v>11628</v>
      </c>
      <c r="E1254" s="25"/>
      <c r="F1254" s="21"/>
      <c r="G1254" s="21"/>
      <c r="H1254" s="2" t="s">
        <v>10789</v>
      </c>
      <c r="I1254" s="2" t="s">
        <v>10787</v>
      </c>
      <c r="J1254" s="2" t="s">
        <v>11625</v>
      </c>
      <c r="K1254" s="2" t="s">
        <v>11627</v>
      </c>
      <c r="L1254" s="2" t="s">
        <v>11629</v>
      </c>
      <c r="M1254" s="2"/>
      <c r="N1254" s="2" t="s">
        <v>312</v>
      </c>
      <c r="O1254" s="2" t="s">
        <v>313</v>
      </c>
      <c r="P1254" s="2" t="s">
        <v>314</v>
      </c>
      <c r="Q1254" s="2" t="s">
        <v>11627</v>
      </c>
      <c r="R1254" s="2"/>
      <c r="S1254" s="2"/>
      <c r="T1254" s="2"/>
      <c r="U1254" s="2" t="s">
        <v>312</v>
      </c>
      <c r="V1254" s="2" t="s">
        <v>313</v>
      </c>
      <c r="W1254" s="2" t="s">
        <v>314</v>
      </c>
      <c r="X1254" s="2" t="s">
        <v>7199</v>
      </c>
      <c r="Y1254" s="2" t="s">
        <v>44</v>
      </c>
      <c r="Z1254" s="2"/>
      <c r="AA1254" s="2" t="s">
        <v>3527</v>
      </c>
      <c r="AB1254" s="2" t="s">
        <v>46</v>
      </c>
      <c r="AC1254" s="2" t="s">
        <v>3527</v>
      </c>
      <c r="AE1254" s="2" t="s">
        <v>10801</v>
      </c>
      <c r="AF1254" s="2" t="s">
        <v>7864</v>
      </c>
      <c r="AG1254" s="2">
        <v>100</v>
      </c>
      <c r="AH1254" s="2">
        <v>10</v>
      </c>
      <c r="AJ1254" s="2" t="s">
        <v>11630</v>
      </c>
      <c r="AK1254" s="2"/>
      <c r="AL1254" s="2"/>
      <c r="AM1254" s="2" t="s">
        <v>10791</v>
      </c>
    </row>
    <row r="1255" spans="1:39" x14ac:dyDescent="0.45">
      <c r="A1255" s="2" t="s">
        <v>11631</v>
      </c>
      <c r="B1255" s="2"/>
      <c r="C1255" s="2" t="s">
        <v>11633</v>
      </c>
      <c r="D1255" s="2" t="s">
        <v>11635</v>
      </c>
      <c r="E1255" s="25"/>
      <c r="F1255" s="21"/>
      <c r="G1255" s="21"/>
      <c r="H1255" s="2" t="s">
        <v>10789</v>
      </c>
      <c r="I1255" s="2" t="s">
        <v>10787</v>
      </c>
      <c r="J1255" s="2" t="s">
        <v>11632</v>
      </c>
      <c r="K1255" s="2" t="s">
        <v>11634</v>
      </c>
      <c r="L1255" s="2" t="s">
        <v>11636</v>
      </c>
      <c r="M1255" s="2"/>
      <c r="N1255" s="2" t="s">
        <v>312</v>
      </c>
      <c r="O1255" s="2" t="s">
        <v>313</v>
      </c>
      <c r="P1255" s="2" t="s">
        <v>7647</v>
      </c>
      <c r="Q1255" s="2" t="s">
        <v>11637</v>
      </c>
      <c r="R1255" s="2"/>
      <c r="S1255" s="2"/>
      <c r="T1255" s="2"/>
      <c r="U1255" s="2" t="s">
        <v>312</v>
      </c>
      <c r="V1255" s="2" t="s">
        <v>313</v>
      </c>
      <c r="W1255" s="2" t="s">
        <v>7647</v>
      </c>
      <c r="X1255" s="2" t="s">
        <v>7199</v>
      </c>
      <c r="Y1255" s="2" t="s">
        <v>44</v>
      </c>
      <c r="Z1255" s="2"/>
      <c r="AA1255" s="2" t="s">
        <v>3527</v>
      </c>
      <c r="AB1255" s="2" t="s">
        <v>46</v>
      </c>
      <c r="AC1255" s="2" t="s">
        <v>3527</v>
      </c>
      <c r="AE1255" s="2" t="s">
        <v>10801</v>
      </c>
      <c r="AF1255" s="2" t="s">
        <v>7864</v>
      </c>
      <c r="AG1255" s="2">
        <v>100</v>
      </c>
      <c r="AH1255" s="2">
        <v>10</v>
      </c>
      <c r="AJ1255" s="2" t="s">
        <v>11638</v>
      </c>
      <c r="AK1255" s="2"/>
      <c r="AL1255" s="2"/>
      <c r="AM1255" s="2" t="s">
        <v>10791</v>
      </c>
    </row>
    <row r="1256" spans="1:39" x14ac:dyDescent="0.45">
      <c r="A1256" s="2" t="s">
        <v>11639</v>
      </c>
      <c r="B1256" s="2"/>
      <c r="C1256" s="2" t="s">
        <v>11641</v>
      </c>
      <c r="D1256" s="2" t="s">
        <v>11643</v>
      </c>
      <c r="E1256" s="25"/>
      <c r="F1256" s="21"/>
      <c r="G1256" s="21"/>
      <c r="H1256" s="2" t="s">
        <v>10789</v>
      </c>
      <c r="I1256" s="2" t="s">
        <v>10787</v>
      </c>
      <c r="J1256" s="2" t="s">
        <v>11640</v>
      </c>
      <c r="K1256" s="2" t="s">
        <v>11642</v>
      </c>
      <c r="L1256" s="2" t="s">
        <v>11644</v>
      </c>
      <c r="M1256" s="2"/>
      <c r="N1256" s="2" t="s">
        <v>312</v>
      </c>
      <c r="O1256" s="2" t="s">
        <v>313</v>
      </c>
      <c r="P1256" s="2" t="s">
        <v>314</v>
      </c>
      <c r="Q1256" s="2" t="s">
        <v>11642</v>
      </c>
      <c r="R1256" s="2"/>
      <c r="S1256" s="2"/>
      <c r="T1256" s="2"/>
      <c r="U1256" s="2" t="s">
        <v>312</v>
      </c>
      <c r="V1256" s="2" t="s">
        <v>313</v>
      </c>
      <c r="W1256" s="2" t="s">
        <v>314</v>
      </c>
      <c r="X1256" s="2" t="s">
        <v>3019</v>
      </c>
      <c r="Y1256" s="2" t="s">
        <v>44</v>
      </c>
      <c r="Z1256" s="2"/>
      <c r="AA1256" s="2" t="s">
        <v>3527</v>
      </c>
      <c r="AB1256" s="2" t="s">
        <v>46</v>
      </c>
      <c r="AC1256" s="2" t="s">
        <v>3527</v>
      </c>
      <c r="AE1256" s="2" t="s">
        <v>10801</v>
      </c>
      <c r="AF1256" s="2" t="s">
        <v>7864</v>
      </c>
      <c r="AG1256" s="2">
        <v>100</v>
      </c>
      <c r="AH1256" s="2">
        <v>10</v>
      </c>
      <c r="AJ1256" s="2" t="s">
        <v>11645</v>
      </c>
      <c r="AK1256" s="2"/>
      <c r="AL1256" s="2"/>
      <c r="AM1256" s="2" t="s">
        <v>10791</v>
      </c>
    </row>
    <row r="1257" spans="1:39" x14ac:dyDescent="0.45">
      <c r="A1257" s="2" t="s">
        <v>11646</v>
      </c>
      <c r="B1257" s="2"/>
      <c r="C1257" s="2" t="s">
        <v>11648</v>
      </c>
      <c r="D1257" s="2" t="s">
        <v>11650</v>
      </c>
      <c r="E1257" s="25"/>
      <c r="F1257" s="21"/>
      <c r="G1257" s="21"/>
      <c r="H1257" s="2" t="s">
        <v>10789</v>
      </c>
      <c r="I1257" s="2" t="s">
        <v>10787</v>
      </c>
      <c r="J1257" s="2" t="s">
        <v>11647</v>
      </c>
      <c r="K1257" s="2" t="s">
        <v>11649</v>
      </c>
      <c r="L1257" s="2" t="s">
        <v>11651</v>
      </c>
      <c r="M1257" s="2"/>
      <c r="N1257" s="2" t="s">
        <v>312</v>
      </c>
      <c r="O1257" s="2" t="s">
        <v>313</v>
      </c>
      <c r="P1257" s="2" t="s">
        <v>11652</v>
      </c>
      <c r="Q1257" s="2" t="s">
        <v>11649</v>
      </c>
      <c r="R1257" s="2"/>
      <c r="S1257" s="2"/>
      <c r="T1257" s="2"/>
      <c r="U1257" s="2" t="s">
        <v>312</v>
      </c>
      <c r="V1257" s="2" t="s">
        <v>313</v>
      </c>
      <c r="W1257" s="2" t="s">
        <v>11652</v>
      </c>
      <c r="X1257" s="2" t="s">
        <v>11653</v>
      </c>
      <c r="Y1257" s="2" t="s">
        <v>44</v>
      </c>
      <c r="Z1257" s="2"/>
      <c r="AA1257" s="2" t="s">
        <v>3527</v>
      </c>
      <c r="AB1257" s="2" t="s">
        <v>46</v>
      </c>
      <c r="AC1257" s="2" t="s">
        <v>3527</v>
      </c>
      <c r="AE1257" s="2" t="s">
        <v>10801</v>
      </c>
      <c r="AF1257" s="2" t="s">
        <v>7864</v>
      </c>
      <c r="AG1257" s="2">
        <v>100</v>
      </c>
      <c r="AH1257" s="2">
        <v>10</v>
      </c>
      <c r="AJ1257" s="2" t="s">
        <v>11654</v>
      </c>
      <c r="AK1257" s="2"/>
      <c r="AL1257" s="2"/>
      <c r="AM1257" s="2" t="s">
        <v>10791</v>
      </c>
    </row>
    <row r="1258" spans="1:39" x14ac:dyDescent="0.45">
      <c r="A1258" s="2" t="s">
        <v>11655</v>
      </c>
      <c r="B1258" s="2"/>
      <c r="C1258" s="2" t="s">
        <v>11657</v>
      </c>
      <c r="D1258" s="2" t="s">
        <v>11659</v>
      </c>
      <c r="E1258" s="25"/>
      <c r="F1258" s="21"/>
      <c r="G1258" s="21"/>
      <c r="H1258" s="2" t="s">
        <v>10789</v>
      </c>
      <c r="I1258" s="2" t="s">
        <v>10787</v>
      </c>
      <c r="J1258" s="2" t="s">
        <v>11656</v>
      </c>
      <c r="K1258" s="2" t="s">
        <v>11658</v>
      </c>
      <c r="L1258" s="2" t="s">
        <v>11660</v>
      </c>
      <c r="M1258" s="2"/>
      <c r="N1258" s="2" t="s">
        <v>312</v>
      </c>
      <c r="O1258" s="2" t="s">
        <v>313</v>
      </c>
      <c r="P1258" s="2" t="s">
        <v>11661</v>
      </c>
      <c r="Q1258" s="2" t="s">
        <v>11658</v>
      </c>
      <c r="R1258" s="2"/>
      <c r="S1258" s="2"/>
      <c r="T1258" s="2"/>
      <c r="U1258" s="2" t="s">
        <v>312</v>
      </c>
      <c r="V1258" s="2" t="s">
        <v>313</v>
      </c>
      <c r="W1258" s="2" t="s">
        <v>11661</v>
      </c>
      <c r="X1258" s="2" t="s">
        <v>3037</v>
      </c>
      <c r="Y1258" s="2" t="s">
        <v>44</v>
      </c>
      <c r="Z1258" s="2"/>
      <c r="AA1258" s="2" t="s">
        <v>3527</v>
      </c>
      <c r="AB1258" s="2" t="s">
        <v>46</v>
      </c>
      <c r="AC1258" s="2" t="s">
        <v>3527</v>
      </c>
      <c r="AE1258" s="2" t="s">
        <v>10801</v>
      </c>
      <c r="AF1258" s="2" t="s">
        <v>7864</v>
      </c>
      <c r="AG1258" s="2">
        <v>100</v>
      </c>
      <c r="AH1258" s="2">
        <v>10</v>
      </c>
      <c r="AJ1258" s="2" t="s">
        <v>11662</v>
      </c>
      <c r="AK1258" s="2"/>
      <c r="AL1258" s="2"/>
      <c r="AM1258" s="2" t="s">
        <v>10791</v>
      </c>
    </row>
    <row r="1259" spans="1:39" x14ac:dyDescent="0.45">
      <c r="A1259" s="2" t="s">
        <v>11663</v>
      </c>
      <c r="B1259" s="2"/>
      <c r="C1259" s="2" t="s">
        <v>11665</v>
      </c>
      <c r="D1259" s="2" t="s">
        <v>11667</v>
      </c>
      <c r="E1259" s="25"/>
      <c r="F1259" s="21"/>
      <c r="G1259" s="21"/>
      <c r="H1259" s="2" t="s">
        <v>10789</v>
      </c>
      <c r="I1259" s="2" t="s">
        <v>10787</v>
      </c>
      <c r="J1259" s="2" t="s">
        <v>11664</v>
      </c>
      <c r="K1259" s="2" t="s">
        <v>11666</v>
      </c>
      <c r="L1259" s="2" t="s">
        <v>11668</v>
      </c>
      <c r="M1259" s="2"/>
      <c r="N1259" s="2" t="s">
        <v>312</v>
      </c>
      <c r="O1259" s="2" t="s">
        <v>313</v>
      </c>
      <c r="P1259" s="2" t="s">
        <v>7647</v>
      </c>
      <c r="Q1259" s="2" t="s">
        <v>11666</v>
      </c>
      <c r="R1259" s="2"/>
      <c r="S1259" s="2"/>
      <c r="T1259" s="2"/>
      <c r="U1259" s="2" t="s">
        <v>312</v>
      </c>
      <c r="V1259" s="2" t="s">
        <v>313</v>
      </c>
      <c r="W1259" s="2" t="s">
        <v>7647</v>
      </c>
      <c r="X1259" s="2" t="s">
        <v>11669</v>
      </c>
      <c r="Y1259" s="2" t="s">
        <v>44</v>
      </c>
      <c r="Z1259" s="2"/>
      <c r="AA1259" s="2" t="s">
        <v>3527</v>
      </c>
      <c r="AB1259" s="2" t="s">
        <v>46</v>
      </c>
      <c r="AC1259" s="2" t="s">
        <v>3527</v>
      </c>
      <c r="AE1259" s="2" t="s">
        <v>10801</v>
      </c>
      <c r="AF1259" s="2" t="s">
        <v>7864</v>
      </c>
      <c r="AG1259" s="2">
        <v>100</v>
      </c>
      <c r="AH1259" s="2">
        <v>10</v>
      </c>
      <c r="AJ1259" s="2" t="s">
        <v>11670</v>
      </c>
      <c r="AK1259" s="2"/>
      <c r="AL1259" s="2"/>
      <c r="AM1259" s="2" t="s">
        <v>10791</v>
      </c>
    </row>
    <row r="1260" spans="1:39" x14ac:dyDescent="0.45">
      <c r="A1260" s="2" t="s">
        <v>11671</v>
      </c>
      <c r="B1260" s="2"/>
      <c r="C1260" s="2" t="s">
        <v>11673</v>
      </c>
      <c r="D1260" s="2" t="s">
        <v>11675</v>
      </c>
      <c r="E1260" s="25"/>
      <c r="F1260" s="21"/>
      <c r="G1260" s="21"/>
      <c r="H1260" s="2" t="s">
        <v>10789</v>
      </c>
      <c r="I1260" s="2" t="s">
        <v>10787</v>
      </c>
      <c r="J1260" s="2" t="s">
        <v>11672</v>
      </c>
      <c r="K1260" s="2" t="s">
        <v>11674</v>
      </c>
      <c r="L1260" s="2" t="s">
        <v>11676</v>
      </c>
      <c r="M1260" s="2"/>
      <c r="N1260" s="2" t="s">
        <v>312</v>
      </c>
      <c r="O1260" s="2" t="s">
        <v>313</v>
      </c>
      <c r="P1260" s="2" t="s">
        <v>11535</v>
      </c>
      <c r="Q1260" s="2" t="s">
        <v>11674</v>
      </c>
      <c r="R1260" s="2"/>
      <c r="S1260" s="2"/>
      <c r="T1260" s="2"/>
      <c r="U1260" s="2" t="s">
        <v>312</v>
      </c>
      <c r="V1260" s="2" t="s">
        <v>313</v>
      </c>
      <c r="W1260" s="2" t="s">
        <v>11535</v>
      </c>
      <c r="X1260" s="2" t="s">
        <v>5115</v>
      </c>
      <c r="Y1260" s="2" t="s">
        <v>44</v>
      </c>
      <c r="Z1260" s="2"/>
      <c r="AA1260" s="2" t="s">
        <v>3527</v>
      </c>
      <c r="AB1260" s="2" t="s">
        <v>46</v>
      </c>
      <c r="AC1260" s="2" t="s">
        <v>3527</v>
      </c>
      <c r="AE1260" s="2" t="s">
        <v>10801</v>
      </c>
      <c r="AF1260" s="2" t="s">
        <v>7864</v>
      </c>
      <c r="AG1260" s="2">
        <v>100</v>
      </c>
      <c r="AH1260" s="2">
        <v>10</v>
      </c>
      <c r="AJ1260" s="2" t="s">
        <v>11677</v>
      </c>
      <c r="AK1260" s="2"/>
      <c r="AL1260" s="2"/>
      <c r="AM1260" s="2" t="s">
        <v>10791</v>
      </c>
    </row>
    <row r="1261" spans="1:39" x14ac:dyDescent="0.45">
      <c r="A1261" s="2" t="s">
        <v>11678</v>
      </c>
      <c r="B1261" s="2"/>
      <c r="C1261" s="2" t="s">
        <v>11680</v>
      </c>
      <c r="D1261" s="2" t="s">
        <v>11682</v>
      </c>
      <c r="E1261" s="25"/>
      <c r="F1261" s="21"/>
      <c r="G1261" s="21"/>
      <c r="H1261" s="2" t="s">
        <v>10789</v>
      </c>
      <c r="I1261" s="2" t="s">
        <v>10787</v>
      </c>
      <c r="J1261" s="2" t="s">
        <v>11679</v>
      </c>
      <c r="K1261" s="2" t="s">
        <v>11681</v>
      </c>
      <c r="L1261" s="2" t="s">
        <v>11683</v>
      </c>
      <c r="M1261" s="2"/>
      <c r="N1261" s="2" t="s">
        <v>312</v>
      </c>
      <c r="O1261" s="2" t="s">
        <v>313</v>
      </c>
      <c r="P1261" s="2" t="s">
        <v>7647</v>
      </c>
      <c r="Q1261" s="2" t="s">
        <v>11681</v>
      </c>
      <c r="R1261" s="2"/>
      <c r="S1261" s="2"/>
      <c r="T1261" s="2"/>
      <c r="U1261" s="2" t="s">
        <v>312</v>
      </c>
      <c r="V1261" s="2" t="s">
        <v>313</v>
      </c>
      <c r="W1261" s="2" t="s">
        <v>7647</v>
      </c>
      <c r="X1261" s="2" t="s">
        <v>3083</v>
      </c>
      <c r="Y1261" s="2" t="s">
        <v>44</v>
      </c>
      <c r="Z1261" s="2"/>
      <c r="AA1261" s="2" t="s">
        <v>3527</v>
      </c>
      <c r="AB1261" s="2" t="s">
        <v>46</v>
      </c>
      <c r="AC1261" s="2" t="s">
        <v>3527</v>
      </c>
      <c r="AE1261" s="2" t="s">
        <v>10801</v>
      </c>
      <c r="AF1261" s="2" t="s">
        <v>7864</v>
      </c>
      <c r="AG1261" s="2">
        <v>100</v>
      </c>
      <c r="AH1261" s="2">
        <v>10</v>
      </c>
      <c r="AJ1261" s="2" t="s">
        <v>11684</v>
      </c>
      <c r="AK1261" s="2"/>
      <c r="AL1261" s="2"/>
      <c r="AM1261" s="2" t="s">
        <v>10791</v>
      </c>
    </row>
    <row r="1262" spans="1:39" x14ac:dyDescent="0.45">
      <c r="A1262" s="2" t="s">
        <v>11685</v>
      </c>
      <c r="B1262" s="2"/>
      <c r="C1262" s="2" t="s">
        <v>11687</v>
      </c>
      <c r="D1262" s="2" t="s">
        <v>11689</v>
      </c>
      <c r="E1262" s="25"/>
      <c r="F1262" s="21"/>
      <c r="G1262" s="21"/>
      <c r="H1262" s="2" t="s">
        <v>10789</v>
      </c>
      <c r="I1262" s="2" t="s">
        <v>10787</v>
      </c>
      <c r="J1262" s="2" t="s">
        <v>11686</v>
      </c>
      <c r="K1262" s="2" t="s">
        <v>11688</v>
      </c>
      <c r="L1262" s="2" t="s">
        <v>11690</v>
      </c>
      <c r="M1262" s="2"/>
      <c r="N1262" s="2" t="s">
        <v>384</v>
      </c>
      <c r="O1262" s="2" t="s">
        <v>73</v>
      </c>
      <c r="P1262" s="2" t="s">
        <v>10050</v>
      </c>
      <c r="Q1262" s="2" t="s">
        <v>11688</v>
      </c>
      <c r="R1262" s="2"/>
      <c r="S1262" s="2"/>
      <c r="T1262" s="2"/>
      <c r="U1262" s="2" t="s">
        <v>384</v>
      </c>
      <c r="V1262" s="2" t="s">
        <v>73</v>
      </c>
      <c r="W1262" s="2" t="s">
        <v>10050</v>
      </c>
      <c r="X1262" s="2" t="s">
        <v>10445</v>
      </c>
      <c r="Y1262" s="2" t="s">
        <v>44</v>
      </c>
      <c r="Z1262" s="2"/>
      <c r="AA1262" s="2" t="s">
        <v>3527</v>
      </c>
      <c r="AB1262" s="2" t="s">
        <v>46</v>
      </c>
      <c r="AC1262" s="2" t="s">
        <v>3527</v>
      </c>
      <c r="AE1262" s="2" t="s">
        <v>10801</v>
      </c>
      <c r="AF1262" s="2" t="s">
        <v>7864</v>
      </c>
      <c r="AG1262" s="2">
        <v>100</v>
      </c>
      <c r="AH1262" s="2">
        <v>10</v>
      </c>
      <c r="AJ1262" s="2" t="s">
        <v>11691</v>
      </c>
      <c r="AK1262" s="2"/>
      <c r="AL1262" s="2"/>
      <c r="AM1262" s="2" t="s">
        <v>10791</v>
      </c>
    </row>
    <row r="1263" spans="1:39" x14ac:dyDescent="0.45">
      <c r="A1263" s="2" t="s">
        <v>11692</v>
      </c>
      <c r="B1263" s="2"/>
      <c r="C1263" s="2" t="s">
        <v>11694</v>
      </c>
      <c r="D1263" s="2" t="s">
        <v>11696</v>
      </c>
      <c r="E1263" s="25"/>
      <c r="F1263" s="21"/>
      <c r="G1263" s="21"/>
      <c r="H1263" s="2" t="s">
        <v>10789</v>
      </c>
      <c r="I1263" s="2" t="s">
        <v>10787</v>
      </c>
      <c r="J1263" s="2" t="s">
        <v>11693</v>
      </c>
      <c r="K1263" s="2" t="s">
        <v>11695</v>
      </c>
      <c r="L1263" s="2" t="s">
        <v>11697</v>
      </c>
      <c r="M1263" s="2"/>
      <c r="N1263" s="2" t="s">
        <v>312</v>
      </c>
      <c r="O1263" s="2" t="s">
        <v>313</v>
      </c>
      <c r="P1263" s="2" t="s">
        <v>10100</v>
      </c>
      <c r="Q1263" s="2" t="s">
        <v>11698</v>
      </c>
      <c r="R1263" s="2"/>
      <c r="S1263" s="2"/>
      <c r="T1263" s="2"/>
      <c r="U1263" s="2" t="s">
        <v>312</v>
      </c>
      <c r="V1263" s="2" t="s">
        <v>313</v>
      </c>
      <c r="W1263" s="2" t="s">
        <v>10207</v>
      </c>
      <c r="X1263" s="2" t="s">
        <v>7259</v>
      </c>
      <c r="Y1263" s="2" t="s">
        <v>44</v>
      </c>
      <c r="Z1263" s="2"/>
      <c r="AA1263" s="2" t="s">
        <v>3527</v>
      </c>
      <c r="AB1263" s="2" t="s">
        <v>46</v>
      </c>
      <c r="AC1263" s="2" t="s">
        <v>3527</v>
      </c>
      <c r="AE1263" s="2" t="s">
        <v>10801</v>
      </c>
      <c r="AF1263" s="2" t="s">
        <v>7864</v>
      </c>
      <c r="AG1263" s="2">
        <v>100</v>
      </c>
      <c r="AH1263" s="2">
        <v>10</v>
      </c>
      <c r="AJ1263" s="2" t="s">
        <v>11699</v>
      </c>
      <c r="AK1263" s="2"/>
      <c r="AL1263" s="2"/>
      <c r="AM1263" s="2" t="s">
        <v>10791</v>
      </c>
    </row>
    <row r="1264" spans="1:39" x14ac:dyDescent="0.45">
      <c r="A1264" s="2" t="s">
        <v>11700</v>
      </c>
      <c r="B1264" s="2"/>
      <c r="C1264" s="2" t="s">
        <v>11702</v>
      </c>
      <c r="D1264" s="2" t="s">
        <v>11704</v>
      </c>
      <c r="E1264" s="25"/>
      <c r="F1264" s="21"/>
      <c r="G1264" s="21"/>
      <c r="H1264" s="2" t="s">
        <v>10789</v>
      </c>
      <c r="I1264" s="2" t="s">
        <v>10787</v>
      </c>
      <c r="J1264" s="2" t="s">
        <v>11701</v>
      </c>
      <c r="K1264" s="2" t="s">
        <v>11703</v>
      </c>
      <c r="L1264" s="2" t="s">
        <v>11705</v>
      </c>
      <c r="M1264" s="2" t="s">
        <v>11705</v>
      </c>
      <c r="N1264" s="2" t="s">
        <v>312</v>
      </c>
      <c r="O1264" s="2" t="s">
        <v>313</v>
      </c>
      <c r="P1264" s="2" t="s">
        <v>11484</v>
      </c>
      <c r="Q1264" s="2" t="s">
        <v>11703</v>
      </c>
      <c r="R1264" s="2"/>
      <c r="S1264" s="2"/>
      <c r="T1264" s="2"/>
      <c r="U1264" s="2" t="s">
        <v>312</v>
      </c>
      <c r="V1264" s="2" t="s">
        <v>313</v>
      </c>
      <c r="W1264" s="2" t="s">
        <v>11484</v>
      </c>
      <c r="X1264" s="2" t="s">
        <v>11706</v>
      </c>
      <c r="Y1264" s="2" t="s">
        <v>44</v>
      </c>
      <c r="Z1264" s="2"/>
      <c r="AA1264" s="2" t="s">
        <v>3527</v>
      </c>
      <c r="AB1264" s="2" t="s">
        <v>46</v>
      </c>
      <c r="AC1264" s="2" t="s">
        <v>3527</v>
      </c>
      <c r="AE1264" s="2" t="s">
        <v>10801</v>
      </c>
      <c r="AF1264" s="2" t="s">
        <v>7864</v>
      </c>
      <c r="AG1264" s="2">
        <v>100</v>
      </c>
      <c r="AH1264" s="2">
        <v>10</v>
      </c>
      <c r="AJ1264" s="2" t="s">
        <v>11707</v>
      </c>
      <c r="AK1264" s="2"/>
      <c r="AL1264" s="2"/>
      <c r="AM1264" s="2" t="s">
        <v>10791</v>
      </c>
    </row>
    <row r="1265" spans="1:39" x14ac:dyDescent="0.45">
      <c r="A1265" s="2" t="s">
        <v>11708</v>
      </c>
      <c r="B1265" s="2"/>
      <c r="C1265" s="2" t="s">
        <v>11710</v>
      </c>
      <c r="D1265" s="2" t="s">
        <v>11712</v>
      </c>
      <c r="E1265" s="25"/>
      <c r="F1265" s="21"/>
      <c r="G1265" s="21"/>
      <c r="H1265" s="2" t="s">
        <v>10789</v>
      </c>
      <c r="I1265" s="2" t="s">
        <v>10787</v>
      </c>
      <c r="J1265" s="2" t="s">
        <v>11709</v>
      </c>
      <c r="K1265" s="2" t="s">
        <v>11711</v>
      </c>
      <c r="L1265" s="2" t="s">
        <v>11713</v>
      </c>
      <c r="M1265" s="2" t="s">
        <v>11713</v>
      </c>
      <c r="N1265" s="2" t="s">
        <v>312</v>
      </c>
      <c r="O1265" s="2" t="s">
        <v>313</v>
      </c>
      <c r="P1265" s="2" t="s">
        <v>11652</v>
      </c>
      <c r="Q1265" s="2"/>
      <c r="R1265" s="2"/>
      <c r="S1265" s="2"/>
      <c r="T1265" s="2"/>
      <c r="U1265" s="2"/>
      <c r="V1265" s="2"/>
      <c r="W1265" s="2"/>
      <c r="X1265" s="2" t="s">
        <v>11706</v>
      </c>
      <c r="Y1265" s="2" t="s">
        <v>44</v>
      </c>
      <c r="Z1265" s="2"/>
      <c r="AA1265" s="2" t="s">
        <v>3527</v>
      </c>
      <c r="AB1265" s="2" t="s">
        <v>46</v>
      </c>
      <c r="AC1265" s="2" t="s">
        <v>3527</v>
      </c>
      <c r="AE1265" s="2" t="s">
        <v>10801</v>
      </c>
      <c r="AF1265" s="2" t="s">
        <v>7864</v>
      </c>
      <c r="AG1265" s="2">
        <v>100</v>
      </c>
      <c r="AH1265" s="2">
        <v>10</v>
      </c>
      <c r="AJ1265" s="2" t="s">
        <v>11714</v>
      </c>
      <c r="AK1265" s="2"/>
      <c r="AL1265" s="2"/>
      <c r="AM1265" s="2" t="s">
        <v>10791</v>
      </c>
    </row>
    <row r="1266" spans="1:39" x14ac:dyDescent="0.45">
      <c r="A1266" s="2" t="s">
        <v>11715</v>
      </c>
      <c r="B1266" s="2"/>
      <c r="C1266" s="2" t="s">
        <v>11717</v>
      </c>
      <c r="D1266" s="2" t="s">
        <v>11719</v>
      </c>
      <c r="E1266" s="25"/>
      <c r="F1266" s="21"/>
      <c r="G1266" s="21"/>
      <c r="H1266" s="2" t="s">
        <v>10789</v>
      </c>
      <c r="I1266" s="2" t="s">
        <v>10787</v>
      </c>
      <c r="J1266" s="2" t="s">
        <v>11716</v>
      </c>
      <c r="K1266" s="2" t="s">
        <v>11718</v>
      </c>
      <c r="L1266" s="2" t="s">
        <v>11720</v>
      </c>
      <c r="M1266" s="2"/>
      <c r="N1266" s="2" t="s">
        <v>312</v>
      </c>
      <c r="O1266" s="2" t="s">
        <v>313</v>
      </c>
      <c r="P1266" s="2" t="s">
        <v>11721</v>
      </c>
      <c r="Q1266" s="2" t="s">
        <v>11718</v>
      </c>
      <c r="R1266" s="2"/>
      <c r="S1266" s="2"/>
      <c r="T1266" s="2"/>
      <c r="U1266" s="2" t="s">
        <v>312</v>
      </c>
      <c r="V1266" s="2" t="s">
        <v>313</v>
      </c>
      <c r="W1266" s="2" t="s">
        <v>11721</v>
      </c>
      <c r="X1266" s="2" t="s">
        <v>5142</v>
      </c>
      <c r="Y1266" s="2" t="s">
        <v>44</v>
      </c>
      <c r="Z1266" s="2"/>
      <c r="AA1266" s="2" t="s">
        <v>3527</v>
      </c>
      <c r="AB1266" s="2" t="s">
        <v>46</v>
      </c>
      <c r="AC1266" s="2" t="s">
        <v>3527</v>
      </c>
      <c r="AE1266" s="2" t="s">
        <v>10801</v>
      </c>
      <c r="AF1266" s="2" t="s">
        <v>7864</v>
      </c>
      <c r="AG1266" s="2">
        <v>100</v>
      </c>
      <c r="AH1266" s="2">
        <v>10</v>
      </c>
      <c r="AJ1266" s="2" t="s">
        <v>11722</v>
      </c>
      <c r="AK1266" s="2"/>
      <c r="AL1266" s="2"/>
      <c r="AM1266" s="2" t="s">
        <v>10791</v>
      </c>
    </row>
    <row r="1267" spans="1:39" x14ac:dyDescent="0.45">
      <c r="A1267" s="2" t="s">
        <v>11723</v>
      </c>
      <c r="B1267" s="2"/>
      <c r="C1267" s="2" t="s">
        <v>11725</v>
      </c>
      <c r="D1267" s="2" t="s">
        <v>11727</v>
      </c>
      <c r="E1267" s="25"/>
      <c r="F1267" s="21"/>
      <c r="G1267" s="21"/>
      <c r="H1267" s="2" t="s">
        <v>10789</v>
      </c>
      <c r="I1267" s="2" t="s">
        <v>10787</v>
      </c>
      <c r="J1267" s="2" t="s">
        <v>11724</v>
      </c>
      <c r="K1267" s="2" t="s">
        <v>11726</v>
      </c>
      <c r="L1267" s="2" t="s">
        <v>11728</v>
      </c>
      <c r="M1267" s="2"/>
      <c r="N1267" s="2" t="s">
        <v>384</v>
      </c>
      <c r="O1267" s="2" t="s">
        <v>73</v>
      </c>
      <c r="P1267" s="2" t="s">
        <v>10050</v>
      </c>
      <c r="Q1267" s="2" t="s">
        <v>11726</v>
      </c>
      <c r="R1267" s="2"/>
      <c r="S1267" s="2"/>
      <c r="T1267" s="2"/>
      <c r="U1267" s="2" t="s">
        <v>384</v>
      </c>
      <c r="V1267" s="2" t="s">
        <v>73</v>
      </c>
      <c r="W1267" s="2" t="s">
        <v>10050</v>
      </c>
      <c r="X1267" s="2" t="s">
        <v>11729</v>
      </c>
      <c r="Y1267" s="2" t="s">
        <v>44</v>
      </c>
      <c r="Z1267" s="2"/>
      <c r="AA1267" s="2" t="s">
        <v>3527</v>
      </c>
      <c r="AB1267" s="2" t="s">
        <v>46</v>
      </c>
      <c r="AC1267" s="2" t="s">
        <v>3527</v>
      </c>
      <c r="AE1267" s="2" t="s">
        <v>10801</v>
      </c>
      <c r="AF1267" s="2" t="s">
        <v>7864</v>
      </c>
      <c r="AG1267" s="2">
        <v>100</v>
      </c>
      <c r="AH1267" s="2">
        <v>10</v>
      </c>
      <c r="AJ1267" s="2" t="s">
        <v>11730</v>
      </c>
      <c r="AK1267" s="2"/>
      <c r="AL1267" s="2"/>
      <c r="AM1267" s="2" t="s">
        <v>10791</v>
      </c>
    </row>
    <row r="1268" spans="1:39" x14ac:dyDescent="0.45">
      <c r="A1268" s="2" t="s">
        <v>11731</v>
      </c>
      <c r="B1268" s="2"/>
      <c r="C1268" s="2" t="s">
        <v>11733</v>
      </c>
      <c r="D1268" s="2" t="s">
        <v>11735</v>
      </c>
      <c r="E1268" s="25"/>
      <c r="F1268" s="21"/>
      <c r="G1268" s="21"/>
      <c r="H1268" s="2" t="s">
        <v>10789</v>
      </c>
      <c r="I1268" s="2" t="s">
        <v>11737</v>
      </c>
      <c r="J1268" s="2" t="s">
        <v>11732</v>
      </c>
      <c r="K1268" s="2" t="s">
        <v>11734</v>
      </c>
      <c r="L1268" s="2" t="s">
        <v>11736</v>
      </c>
      <c r="M1268" s="2"/>
      <c r="N1268" s="2" t="s">
        <v>312</v>
      </c>
      <c r="O1268" s="2" t="s">
        <v>313</v>
      </c>
      <c r="P1268" s="2" t="s">
        <v>7647</v>
      </c>
      <c r="Q1268" s="2" t="s">
        <v>11734</v>
      </c>
      <c r="R1268" s="2"/>
      <c r="S1268" s="2"/>
      <c r="T1268" s="2"/>
      <c r="U1268" s="2" t="s">
        <v>312</v>
      </c>
      <c r="V1268" s="2" t="s">
        <v>313</v>
      </c>
      <c r="W1268" s="2" t="s">
        <v>7647</v>
      </c>
      <c r="X1268" s="2" t="s">
        <v>11729</v>
      </c>
      <c r="Y1268" s="2" t="s">
        <v>44</v>
      </c>
      <c r="Z1268" s="2"/>
      <c r="AA1268" s="2" t="s">
        <v>3527</v>
      </c>
      <c r="AB1268" s="2" t="s">
        <v>46</v>
      </c>
      <c r="AC1268" s="2" t="s">
        <v>3527</v>
      </c>
      <c r="AE1268" s="2" t="s">
        <v>10801</v>
      </c>
      <c r="AF1268" s="2" t="s">
        <v>7864</v>
      </c>
      <c r="AG1268" s="2">
        <v>100</v>
      </c>
      <c r="AH1268" s="2">
        <v>10</v>
      </c>
      <c r="AJ1268" s="2" t="s">
        <v>11738</v>
      </c>
      <c r="AK1268" s="2"/>
      <c r="AL1268" s="2"/>
      <c r="AM1268" s="2" t="s">
        <v>10791</v>
      </c>
    </row>
    <row r="1269" spans="1:39" x14ac:dyDescent="0.45">
      <c r="A1269" s="2" t="s">
        <v>11739</v>
      </c>
      <c r="B1269" s="2"/>
      <c r="C1269" s="2" t="s">
        <v>11741</v>
      </c>
      <c r="D1269" s="2" t="s">
        <v>11743</v>
      </c>
      <c r="E1269" s="25"/>
      <c r="F1269" s="21"/>
      <c r="G1269" s="21"/>
      <c r="H1269" s="2" t="s">
        <v>10789</v>
      </c>
      <c r="I1269" s="2" t="s">
        <v>10787</v>
      </c>
      <c r="J1269" s="2" t="s">
        <v>11740</v>
      </c>
      <c r="K1269" s="2" t="s">
        <v>11742</v>
      </c>
      <c r="L1269" s="2" t="s">
        <v>11744</v>
      </c>
      <c r="M1269" s="2"/>
      <c r="N1269" s="2" t="s">
        <v>312</v>
      </c>
      <c r="O1269" s="2" t="s">
        <v>313</v>
      </c>
      <c r="P1269" s="2" t="s">
        <v>11535</v>
      </c>
      <c r="Q1269" s="2" t="s">
        <v>11745</v>
      </c>
      <c r="R1269" s="2"/>
      <c r="S1269" s="2"/>
      <c r="T1269" s="2"/>
      <c r="U1269" s="2" t="s">
        <v>312</v>
      </c>
      <c r="V1269" s="2" t="s">
        <v>313</v>
      </c>
      <c r="W1269" s="2" t="s">
        <v>11535</v>
      </c>
      <c r="X1269" s="2" t="s">
        <v>11746</v>
      </c>
      <c r="Y1269" s="2" t="s">
        <v>44</v>
      </c>
      <c r="Z1269" s="2"/>
      <c r="AA1269" s="2" t="s">
        <v>3527</v>
      </c>
      <c r="AB1269" s="2" t="s">
        <v>46</v>
      </c>
      <c r="AC1269" s="2" t="s">
        <v>3527</v>
      </c>
      <c r="AE1269" s="2" t="s">
        <v>10801</v>
      </c>
      <c r="AF1269" s="2" t="s">
        <v>7864</v>
      </c>
      <c r="AG1269" s="2">
        <v>100</v>
      </c>
      <c r="AH1269" s="2">
        <v>10</v>
      </c>
      <c r="AJ1269" s="2" t="s">
        <v>11747</v>
      </c>
      <c r="AK1269" s="2"/>
      <c r="AL1269" s="2"/>
      <c r="AM1269" s="2" t="s">
        <v>10791</v>
      </c>
    </row>
    <row r="1270" spans="1:39" x14ac:dyDescent="0.45">
      <c r="A1270" s="2" t="s">
        <v>11748</v>
      </c>
      <c r="B1270" s="2"/>
      <c r="C1270" s="2" t="s">
        <v>11750</v>
      </c>
      <c r="D1270" s="2" t="s">
        <v>11752</v>
      </c>
      <c r="E1270" s="25"/>
      <c r="F1270" s="21"/>
      <c r="G1270" s="21"/>
      <c r="H1270" s="2" t="s">
        <v>10789</v>
      </c>
      <c r="I1270" s="2" t="s">
        <v>10787</v>
      </c>
      <c r="J1270" s="2" t="s">
        <v>11749</v>
      </c>
      <c r="K1270" s="2" t="s">
        <v>11751</v>
      </c>
      <c r="L1270" s="2" t="s">
        <v>11753</v>
      </c>
      <c r="M1270" s="2"/>
      <c r="N1270" s="2" t="s">
        <v>312</v>
      </c>
      <c r="O1270" s="2" t="s">
        <v>313</v>
      </c>
      <c r="P1270" s="2" t="s">
        <v>7647</v>
      </c>
      <c r="Q1270" s="2" t="s">
        <v>11751</v>
      </c>
      <c r="R1270" s="2"/>
      <c r="S1270" s="2"/>
      <c r="T1270" s="2"/>
      <c r="U1270" s="2" t="s">
        <v>312</v>
      </c>
      <c r="V1270" s="2" t="s">
        <v>313</v>
      </c>
      <c r="W1270" s="2" t="s">
        <v>7647</v>
      </c>
      <c r="X1270" s="2" t="s">
        <v>10455</v>
      </c>
      <c r="Y1270" s="2" t="s">
        <v>44</v>
      </c>
      <c r="Z1270" s="2"/>
      <c r="AA1270" s="2" t="s">
        <v>3527</v>
      </c>
      <c r="AB1270" s="2" t="s">
        <v>46</v>
      </c>
      <c r="AC1270" s="2" t="s">
        <v>3527</v>
      </c>
      <c r="AE1270" s="2" t="s">
        <v>10801</v>
      </c>
      <c r="AF1270" s="2" t="s">
        <v>7864</v>
      </c>
      <c r="AG1270" s="2">
        <v>100</v>
      </c>
      <c r="AH1270" s="2">
        <v>10</v>
      </c>
      <c r="AJ1270" s="2" t="s">
        <v>11754</v>
      </c>
      <c r="AK1270" s="2"/>
      <c r="AL1270" s="2"/>
      <c r="AM1270" s="2" t="s">
        <v>10791</v>
      </c>
    </row>
    <row r="1271" spans="1:39" x14ac:dyDescent="0.45">
      <c r="A1271" s="2" t="s">
        <v>11755</v>
      </c>
      <c r="B1271" s="2"/>
      <c r="C1271" s="2" t="s">
        <v>11757</v>
      </c>
      <c r="D1271" s="2" t="s">
        <v>11759</v>
      </c>
      <c r="E1271" s="25"/>
      <c r="F1271" s="21"/>
      <c r="G1271" s="21"/>
      <c r="H1271" s="2" t="s">
        <v>10789</v>
      </c>
      <c r="I1271" s="2" t="s">
        <v>10787</v>
      </c>
      <c r="J1271" s="2" t="s">
        <v>11756</v>
      </c>
      <c r="K1271" s="2" t="s">
        <v>11758</v>
      </c>
      <c r="L1271" s="2" t="s">
        <v>11760</v>
      </c>
      <c r="M1271" s="2"/>
      <c r="N1271" s="2" t="s">
        <v>312</v>
      </c>
      <c r="O1271" s="2" t="s">
        <v>313</v>
      </c>
      <c r="P1271" s="2" t="s">
        <v>7647</v>
      </c>
      <c r="Q1271" s="2" t="s">
        <v>11758</v>
      </c>
      <c r="R1271" s="2"/>
      <c r="S1271" s="2"/>
      <c r="T1271" s="2"/>
      <c r="U1271" s="2" t="s">
        <v>312</v>
      </c>
      <c r="V1271" s="2" t="s">
        <v>313</v>
      </c>
      <c r="W1271" s="2" t="s">
        <v>7647</v>
      </c>
      <c r="X1271" s="2" t="s">
        <v>5196</v>
      </c>
      <c r="Y1271" s="2" t="s">
        <v>44</v>
      </c>
      <c r="Z1271" s="2"/>
      <c r="AA1271" s="2" t="s">
        <v>3527</v>
      </c>
      <c r="AB1271" s="2" t="s">
        <v>46</v>
      </c>
      <c r="AC1271" s="2" t="s">
        <v>3527</v>
      </c>
      <c r="AE1271" s="2" t="s">
        <v>10801</v>
      </c>
      <c r="AF1271" s="2" t="s">
        <v>7864</v>
      </c>
      <c r="AG1271" s="2">
        <v>100</v>
      </c>
      <c r="AH1271" s="2">
        <v>10</v>
      </c>
      <c r="AJ1271" s="2" t="s">
        <v>11761</v>
      </c>
      <c r="AK1271" s="2"/>
      <c r="AL1271" s="2"/>
      <c r="AM1271" s="2" t="s">
        <v>10791</v>
      </c>
    </row>
    <row r="1272" spans="1:39" x14ac:dyDescent="0.45">
      <c r="A1272" s="2" t="s">
        <v>11762</v>
      </c>
      <c r="B1272" s="2"/>
      <c r="C1272" s="2" t="s">
        <v>11764</v>
      </c>
      <c r="D1272" s="2" t="s">
        <v>11766</v>
      </c>
      <c r="E1272" s="25"/>
      <c r="F1272" s="21"/>
      <c r="G1272" s="21"/>
      <c r="H1272" s="2" t="s">
        <v>10789</v>
      </c>
      <c r="I1272" s="2" t="s">
        <v>10787</v>
      </c>
      <c r="J1272" s="2" t="s">
        <v>11763</v>
      </c>
      <c r="K1272" s="2" t="s">
        <v>11765</v>
      </c>
      <c r="L1272" s="2" t="s">
        <v>11767</v>
      </c>
      <c r="M1272" s="2"/>
      <c r="N1272" s="2" t="s">
        <v>312</v>
      </c>
      <c r="O1272" s="2" t="s">
        <v>313</v>
      </c>
      <c r="P1272" s="2" t="s">
        <v>314</v>
      </c>
      <c r="Q1272" s="2" t="s">
        <v>11765</v>
      </c>
      <c r="R1272" s="2"/>
      <c r="S1272" s="2"/>
      <c r="T1272" s="2"/>
      <c r="U1272" s="2" t="s">
        <v>312</v>
      </c>
      <c r="V1272" s="2" t="s">
        <v>313</v>
      </c>
      <c r="W1272" s="2" t="s">
        <v>314</v>
      </c>
      <c r="X1272" s="2" t="s">
        <v>11768</v>
      </c>
      <c r="Y1272" s="2" t="s">
        <v>44</v>
      </c>
      <c r="Z1272" s="2"/>
      <c r="AA1272" s="2" t="s">
        <v>3527</v>
      </c>
      <c r="AB1272" s="2" t="s">
        <v>46</v>
      </c>
      <c r="AC1272" s="2" t="s">
        <v>3527</v>
      </c>
      <c r="AE1272" s="2" t="s">
        <v>10801</v>
      </c>
      <c r="AF1272" s="2" t="s">
        <v>7864</v>
      </c>
      <c r="AG1272" s="2">
        <v>100</v>
      </c>
      <c r="AH1272" s="2">
        <v>10</v>
      </c>
      <c r="AJ1272" s="2" t="s">
        <v>11769</v>
      </c>
      <c r="AK1272" s="2"/>
      <c r="AL1272" s="2"/>
      <c r="AM1272" s="2" t="s">
        <v>10791</v>
      </c>
    </row>
    <row r="1273" spans="1:39" x14ac:dyDescent="0.45">
      <c r="A1273" s="2" t="s">
        <v>11770</v>
      </c>
      <c r="B1273" s="2"/>
      <c r="C1273" s="2" t="s">
        <v>11772</v>
      </c>
      <c r="D1273" s="2" t="s">
        <v>11774</v>
      </c>
      <c r="E1273" s="25"/>
      <c r="F1273" s="21"/>
      <c r="G1273" s="21"/>
      <c r="H1273" s="2" t="s">
        <v>10789</v>
      </c>
      <c r="I1273" s="2" t="s">
        <v>10787</v>
      </c>
      <c r="J1273" s="2" t="s">
        <v>11771</v>
      </c>
      <c r="K1273" s="2" t="s">
        <v>11773</v>
      </c>
      <c r="L1273" s="2" t="s">
        <v>11775</v>
      </c>
      <c r="M1273" s="2"/>
      <c r="N1273" s="2" t="s">
        <v>312</v>
      </c>
      <c r="O1273" s="2" t="s">
        <v>313</v>
      </c>
      <c r="P1273" s="2" t="s">
        <v>7463</v>
      </c>
      <c r="Q1273" s="2" t="s">
        <v>11773</v>
      </c>
      <c r="R1273" s="2"/>
      <c r="S1273" s="2"/>
      <c r="T1273" s="2"/>
      <c r="U1273" s="2" t="s">
        <v>312</v>
      </c>
      <c r="V1273" s="2" t="s">
        <v>313</v>
      </c>
      <c r="W1273" s="2" t="s">
        <v>7463</v>
      </c>
      <c r="X1273" s="2" t="s">
        <v>11776</v>
      </c>
      <c r="Y1273" s="2" t="s">
        <v>44</v>
      </c>
      <c r="Z1273" s="2"/>
      <c r="AA1273" s="2" t="s">
        <v>3527</v>
      </c>
      <c r="AB1273" s="2" t="s">
        <v>46</v>
      </c>
      <c r="AC1273" s="2" t="s">
        <v>3527</v>
      </c>
      <c r="AE1273" s="2" t="s">
        <v>10801</v>
      </c>
      <c r="AF1273" s="2" t="s">
        <v>7864</v>
      </c>
      <c r="AG1273" s="2">
        <v>100</v>
      </c>
      <c r="AH1273" s="2">
        <v>10</v>
      </c>
      <c r="AJ1273" s="2" t="s">
        <v>11777</v>
      </c>
      <c r="AK1273" s="2"/>
      <c r="AL1273" s="2"/>
      <c r="AM1273" s="2" t="s">
        <v>10791</v>
      </c>
    </row>
    <row r="1274" spans="1:39" x14ac:dyDescent="0.45">
      <c r="A1274" s="2" t="s">
        <v>11778</v>
      </c>
      <c r="B1274" s="2"/>
      <c r="C1274" s="2" t="s">
        <v>11780</v>
      </c>
      <c r="D1274" s="2" t="s">
        <v>10874</v>
      </c>
      <c r="E1274" s="25"/>
      <c r="F1274" s="21"/>
      <c r="G1274" s="21"/>
      <c r="H1274" s="2" t="s">
        <v>10789</v>
      </c>
      <c r="I1274" s="2" t="s">
        <v>10787</v>
      </c>
      <c r="J1274" s="2" t="s">
        <v>11779</v>
      </c>
      <c r="K1274" s="2" t="s">
        <v>11781</v>
      </c>
      <c r="L1274" s="2" t="s">
        <v>10875</v>
      </c>
      <c r="M1274" s="2"/>
      <c r="N1274" s="2" t="s">
        <v>312</v>
      </c>
      <c r="O1274" s="2" t="s">
        <v>313</v>
      </c>
      <c r="P1274" s="2" t="s">
        <v>7647</v>
      </c>
      <c r="Q1274" s="2" t="s">
        <v>11781</v>
      </c>
      <c r="R1274" s="2"/>
      <c r="S1274" s="2"/>
      <c r="T1274" s="2"/>
      <c r="U1274" s="2" t="s">
        <v>312</v>
      </c>
      <c r="V1274" s="2" t="s">
        <v>313</v>
      </c>
      <c r="W1274" s="2" t="s">
        <v>7647</v>
      </c>
      <c r="X1274" s="2" t="s">
        <v>11776</v>
      </c>
      <c r="Y1274" s="2" t="s">
        <v>44</v>
      </c>
      <c r="Z1274" s="2"/>
      <c r="AA1274" s="2" t="s">
        <v>3527</v>
      </c>
      <c r="AB1274" s="2" t="s">
        <v>46</v>
      </c>
      <c r="AC1274" s="2" t="s">
        <v>3527</v>
      </c>
      <c r="AE1274" s="2" t="s">
        <v>10801</v>
      </c>
      <c r="AF1274" s="2" t="s">
        <v>7864</v>
      </c>
      <c r="AG1274" s="2">
        <v>100</v>
      </c>
      <c r="AH1274" s="2">
        <v>10</v>
      </c>
      <c r="AJ1274" s="2" t="s">
        <v>11782</v>
      </c>
      <c r="AK1274" s="2"/>
      <c r="AL1274" s="2"/>
      <c r="AM1274" s="2" t="s">
        <v>10791</v>
      </c>
    </row>
    <row r="1275" spans="1:39" x14ac:dyDescent="0.45">
      <c r="A1275" s="2" t="s">
        <v>11783</v>
      </c>
      <c r="B1275" s="2"/>
      <c r="C1275" s="2" t="s">
        <v>4700</v>
      </c>
      <c r="D1275" s="2" t="s">
        <v>11786</v>
      </c>
      <c r="E1275" s="25"/>
      <c r="F1275" s="21"/>
      <c r="G1275" s="21"/>
      <c r="H1275" s="2" t="s">
        <v>10789</v>
      </c>
      <c r="I1275" s="2" t="s">
        <v>10787</v>
      </c>
      <c r="J1275" s="2" t="s">
        <v>11784</v>
      </c>
      <c r="K1275" s="2" t="s">
        <v>11785</v>
      </c>
      <c r="L1275" s="2" t="s">
        <v>11787</v>
      </c>
      <c r="M1275" s="2"/>
      <c r="N1275" s="2" t="s">
        <v>312</v>
      </c>
      <c r="O1275" s="2" t="s">
        <v>313</v>
      </c>
      <c r="P1275" s="2" t="s">
        <v>7647</v>
      </c>
      <c r="Q1275" s="2" t="s">
        <v>11785</v>
      </c>
      <c r="R1275" s="2"/>
      <c r="S1275" s="2"/>
      <c r="T1275" s="2"/>
      <c r="U1275" s="2" t="s">
        <v>312</v>
      </c>
      <c r="V1275" s="2" t="s">
        <v>313</v>
      </c>
      <c r="W1275" s="2" t="s">
        <v>7647</v>
      </c>
      <c r="X1275" s="2" t="s">
        <v>3199</v>
      </c>
      <c r="Y1275" s="2" t="s">
        <v>44</v>
      </c>
      <c r="Z1275" s="2"/>
      <c r="AA1275" s="2" t="s">
        <v>3527</v>
      </c>
      <c r="AB1275" s="2" t="s">
        <v>46</v>
      </c>
      <c r="AC1275" s="2" t="s">
        <v>3527</v>
      </c>
      <c r="AE1275" s="2" t="s">
        <v>10801</v>
      </c>
      <c r="AF1275" s="2" t="s">
        <v>7864</v>
      </c>
      <c r="AG1275" s="2">
        <v>100</v>
      </c>
      <c r="AH1275" s="2">
        <v>10</v>
      </c>
      <c r="AJ1275" s="2" t="s">
        <v>11788</v>
      </c>
      <c r="AK1275" s="2"/>
      <c r="AL1275" s="2"/>
      <c r="AM1275" s="2" t="s">
        <v>10791</v>
      </c>
    </row>
    <row r="1276" spans="1:39" x14ac:dyDescent="0.45">
      <c r="A1276" s="2" t="s">
        <v>11789</v>
      </c>
      <c r="B1276" s="2"/>
      <c r="C1276" s="2" t="s">
        <v>11791</v>
      </c>
      <c r="D1276" s="2" t="s">
        <v>11793</v>
      </c>
      <c r="E1276" s="25"/>
      <c r="F1276" s="21"/>
      <c r="G1276" s="21"/>
      <c r="H1276" s="2" t="s">
        <v>10789</v>
      </c>
      <c r="I1276" s="2" t="s">
        <v>10787</v>
      </c>
      <c r="J1276" s="2" t="s">
        <v>11790</v>
      </c>
      <c r="K1276" s="2" t="s">
        <v>11792</v>
      </c>
      <c r="L1276" s="2" t="s">
        <v>11794</v>
      </c>
      <c r="M1276" s="2"/>
      <c r="N1276" s="2" t="s">
        <v>651</v>
      </c>
      <c r="O1276" s="2" t="s">
        <v>86</v>
      </c>
      <c r="P1276" s="2" t="s">
        <v>11795</v>
      </c>
      <c r="Q1276" s="2" t="s">
        <v>11792</v>
      </c>
      <c r="R1276" s="2"/>
      <c r="S1276" s="2"/>
      <c r="T1276" s="2"/>
      <c r="U1276" s="2" t="s">
        <v>651</v>
      </c>
      <c r="V1276" s="2" t="s">
        <v>86</v>
      </c>
      <c r="W1276" s="2" t="s">
        <v>11795</v>
      </c>
      <c r="X1276" s="2" t="s">
        <v>692</v>
      </c>
      <c r="Y1276" s="2" t="s">
        <v>44</v>
      </c>
      <c r="Z1276" s="2"/>
      <c r="AA1276" s="2" t="s">
        <v>3527</v>
      </c>
      <c r="AB1276" s="2" t="s">
        <v>46</v>
      </c>
      <c r="AC1276" s="2" t="s">
        <v>3527</v>
      </c>
      <c r="AE1276" s="2" t="s">
        <v>10801</v>
      </c>
      <c r="AF1276" s="2" t="s">
        <v>7864</v>
      </c>
      <c r="AG1276" s="2">
        <v>100</v>
      </c>
      <c r="AH1276" s="2">
        <v>10</v>
      </c>
      <c r="AJ1276" s="2" t="s">
        <v>11796</v>
      </c>
      <c r="AK1276" s="2"/>
      <c r="AL1276" s="2"/>
      <c r="AM1276" s="2" t="s">
        <v>10791</v>
      </c>
    </row>
    <row r="1277" spans="1:39" x14ac:dyDescent="0.45">
      <c r="A1277" s="2" t="s">
        <v>11797</v>
      </c>
      <c r="B1277" s="2"/>
      <c r="C1277" s="2" t="s">
        <v>11799</v>
      </c>
      <c r="D1277" s="2" t="s">
        <v>11801</v>
      </c>
      <c r="E1277" s="25"/>
      <c r="F1277" s="21"/>
      <c r="G1277" s="21"/>
      <c r="H1277" s="2" t="s">
        <v>10789</v>
      </c>
      <c r="I1277" s="2" t="s">
        <v>10787</v>
      </c>
      <c r="J1277" s="2" t="s">
        <v>11798</v>
      </c>
      <c r="K1277" s="2" t="s">
        <v>11800</v>
      </c>
      <c r="L1277" s="2" t="s">
        <v>11802</v>
      </c>
      <c r="M1277" s="2"/>
      <c r="N1277" s="2" t="s">
        <v>651</v>
      </c>
      <c r="O1277" s="2" t="s">
        <v>86</v>
      </c>
      <c r="P1277" s="2" t="s">
        <v>11437</v>
      </c>
      <c r="Q1277" s="2" t="s">
        <v>11800</v>
      </c>
      <c r="R1277" s="2"/>
      <c r="S1277" s="2"/>
      <c r="T1277" s="2"/>
      <c r="U1277" s="2" t="s">
        <v>651</v>
      </c>
      <c r="V1277" s="2" t="s">
        <v>86</v>
      </c>
      <c r="W1277" s="2" t="s">
        <v>11437</v>
      </c>
      <c r="X1277" s="2" t="s">
        <v>3216</v>
      </c>
      <c r="Y1277" s="2" t="s">
        <v>44</v>
      </c>
      <c r="Z1277" s="2"/>
      <c r="AA1277" s="2" t="s">
        <v>3527</v>
      </c>
      <c r="AB1277" s="2" t="s">
        <v>46</v>
      </c>
      <c r="AC1277" s="2" t="s">
        <v>3527</v>
      </c>
      <c r="AE1277" s="2" t="s">
        <v>10801</v>
      </c>
      <c r="AF1277" s="2" t="s">
        <v>7864</v>
      </c>
      <c r="AG1277" s="2">
        <v>100</v>
      </c>
      <c r="AH1277" s="2">
        <v>10</v>
      </c>
      <c r="AJ1277" s="2" t="s">
        <v>11803</v>
      </c>
      <c r="AK1277" s="2"/>
      <c r="AL1277" s="2"/>
      <c r="AM1277" s="2" t="s">
        <v>10791</v>
      </c>
    </row>
    <row r="1278" spans="1:39" x14ac:dyDescent="0.45">
      <c r="A1278" s="2" t="s">
        <v>11804</v>
      </c>
      <c r="B1278" s="2"/>
      <c r="C1278" s="2" t="s">
        <v>11806</v>
      </c>
      <c r="D1278" s="2" t="s">
        <v>11808</v>
      </c>
      <c r="E1278" s="25"/>
      <c r="F1278" s="21"/>
      <c r="G1278" s="21"/>
      <c r="H1278" s="2" t="s">
        <v>10789</v>
      </c>
      <c r="I1278" s="2" t="s">
        <v>10787</v>
      </c>
      <c r="J1278" s="2" t="s">
        <v>11805</v>
      </c>
      <c r="K1278" s="2" t="s">
        <v>11807</v>
      </c>
      <c r="L1278" s="2" t="s">
        <v>11809</v>
      </c>
      <c r="M1278" s="2"/>
      <c r="N1278" s="2" t="s">
        <v>312</v>
      </c>
      <c r="O1278" s="2" t="s">
        <v>313</v>
      </c>
      <c r="P1278" s="2" t="s">
        <v>7647</v>
      </c>
      <c r="Q1278" s="2" t="s">
        <v>11807</v>
      </c>
      <c r="R1278" s="2"/>
      <c r="S1278" s="2"/>
      <c r="T1278" s="2"/>
      <c r="U1278" s="2" t="s">
        <v>312</v>
      </c>
      <c r="V1278" s="2" t="s">
        <v>313</v>
      </c>
      <c r="W1278" s="2" t="s">
        <v>7647</v>
      </c>
      <c r="X1278" s="2" t="s">
        <v>3216</v>
      </c>
      <c r="Y1278" s="2" t="s">
        <v>44</v>
      </c>
      <c r="Z1278" s="2"/>
      <c r="AA1278" s="2" t="s">
        <v>3527</v>
      </c>
      <c r="AB1278" s="2" t="s">
        <v>46</v>
      </c>
      <c r="AC1278" s="2" t="s">
        <v>3527</v>
      </c>
      <c r="AE1278" s="2" t="s">
        <v>10801</v>
      </c>
      <c r="AF1278" s="2" t="s">
        <v>7864</v>
      </c>
      <c r="AG1278" s="2">
        <v>100</v>
      </c>
      <c r="AH1278" s="2">
        <v>10</v>
      </c>
      <c r="AJ1278" s="2" t="s">
        <v>11810</v>
      </c>
      <c r="AK1278" s="2"/>
      <c r="AL1278" s="2"/>
      <c r="AM1278" s="2" t="s">
        <v>10791</v>
      </c>
    </row>
    <row r="1279" spans="1:39" x14ac:dyDescent="0.45">
      <c r="A1279" s="2" t="s">
        <v>11811</v>
      </c>
      <c r="B1279" s="2"/>
      <c r="C1279" s="2" t="s">
        <v>11813</v>
      </c>
      <c r="D1279" s="2" t="s">
        <v>11815</v>
      </c>
      <c r="E1279" s="25"/>
      <c r="F1279" s="21"/>
      <c r="G1279" s="21"/>
      <c r="H1279" s="2" t="s">
        <v>10789</v>
      </c>
      <c r="I1279" s="2" t="s">
        <v>10787</v>
      </c>
      <c r="J1279" s="2" t="s">
        <v>11812</v>
      </c>
      <c r="K1279" s="2" t="s">
        <v>11814</v>
      </c>
      <c r="L1279" s="2" t="s">
        <v>11816</v>
      </c>
      <c r="M1279" s="2" t="s">
        <v>11816</v>
      </c>
      <c r="N1279" s="2" t="s">
        <v>312</v>
      </c>
      <c r="O1279" s="2" t="s">
        <v>313</v>
      </c>
      <c r="P1279" s="2" t="s">
        <v>314</v>
      </c>
      <c r="Q1279" s="2" t="s">
        <v>11814</v>
      </c>
      <c r="R1279" s="2"/>
      <c r="S1279" s="2"/>
      <c r="T1279" s="2"/>
      <c r="U1279" s="2" t="s">
        <v>312</v>
      </c>
      <c r="V1279" s="2" t="s">
        <v>313</v>
      </c>
      <c r="W1279" s="2" t="s">
        <v>314</v>
      </c>
      <c r="X1279" s="2" t="s">
        <v>11817</v>
      </c>
      <c r="Y1279" s="2" t="s">
        <v>44</v>
      </c>
      <c r="Z1279" s="2"/>
      <c r="AA1279" s="2" t="s">
        <v>3527</v>
      </c>
      <c r="AB1279" s="2" t="s">
        <v>46</v>
      </c>
      <c r="AC1279" s="2" t="s">
        <v>3527</v>
      </c>
      <c r="AE1279" s="2" t="s">
        <v>10801</v>
      </c>
      <c r="AF1279" s="2" t="s">
        <v>7864</v>
      </c>
      <c r="AG1279" s="2">
        <v>100</v>
      </c>
      <c r="AH1279" s="2">
        <v>10</v>
      </c>
      <c r="AJ1279" s="2" t="s">
        <v>11818</v>
      </c>
      <c r="AK1279" s="2"/>
      <c r="AL1279" s="2"/>
      <c r="AM1279" s="2" t="s">
        <v>10791</v>
      </c>
    </row>
    <row r="1280" spans="1:39" x14ac:dyDescent="0.45">
      <c r="A1280" s="2" t="s">
        <v>11819</v>
      </c>
      <c r="B1280" s="2"/>
      <c r="C1280" s="2" t="s">
        <v>11821</v>
      </c>
      <c r="D1280" s="2" t="s">
        <v>11823</v>
      </c>
      <c r="E1280" s="25"/>
      <c r="F1280" s="21"/>
      <c r="G1280" s="21"/>
      <c r="H1280" s="2" t="s">
        <v>10789</v>
      </c>
      <c r="I1280" s="2" t="s">
        <v>10787</v>
      </c>
      <c r="J1280" s="2" t="s">
        <v>11820</v>
      </c>
      <c r="K1280" s="2" t="s">
        <v>11822</v>
      </c>
      <c r="L1280" s="2" t="s">
        <v>11824</v>
      </c>
      <c r="M1280" s="2"/>
      <c r="N1280" s="2" t="s">
        <v>384</v>
      </c>
      <c r="O1280" s="2" t="s">
        <v>73</v>
      </c>
      <c r="P1280" s="2" t="s">
        <v>1012</v>
      </c>
      <c r="Q1280" s="2" t="s">
        <v>11822</v>
      </c>
      <c r="R1280" s="2"/>
      <c r="S1280" s="2"/>
      <c r="T1280" s="2"/>
      <c r="U1280" s="2" t="s">
        <v>384</v>
      </c>
      <c r="V1280" s="2" t="s">
        <v>73</v>
      </c>
      <c r="W1280" s="2" t="s">
        <v>1012</v>
      </c>
      <c r="X1280" s="2" t="s">
        <v>11817</v>
      </c>
      <c r="Y1280" s="2" t="s">
        <v>44</v>
      </c>
      <c r="Z1280" s="2"/>
      <c r="AA1280" s="2" t="s">
        <v>3527</v>
      </c>
      <c r="AB1280" s="2" t="s">
        <v>46</v>
      </c>
      <c r="AC1280" s="2" t="s">
        <v>3527</v>
      </c>
      <c r="AE1280" s="2" t="s">
        <v>10801</v>
      </c>
      <c r="AF1280" s="2" t="s">
        <v>7864</v>
      </c>
      <c r="AG1280" s="2">
        <v>100</v>
      </c>
      <c r="AH1280" s="2">
        <v>10</v>
      </c>
      <c r="AJ1280" s="2" t="s">
        <v>11825</v>
      </c>
      <c r="AK1280" s="2"/>
      <c r="AL1280" s="2"/>
      <c r="AM1280" s="2" t="s">
        <v>10791</v>
      </c>
    </row>
    <row r="1281" spans="1:39" x14ac:dyDescent="0.45">
      <c r="A1281" s="2" t="s">
        <v>11826</v>
      </c>
      <c r="B1281" s="2"/>
      <c r="C1281" s="2" t="s">
        <v>11828</v>
      </c>
      <c r="D1281" s="2" t="s">
        <v>11830</v>
      </c>
      <c r="E1281" s="25"/>
      <c r="F1281" s="21"/>
      <c r="G1281" s="21"/>
      <c r="H1281" s="2" t="s">
        <v>10789</v>
      </c>
      <c r="I1281" s="2" t="s">
        <v>10787</v>
      </c>
      <c r="J1281" s="2" t="s">
        <v>11827</v>
      </c>
      <c r="K1281" s="2" t="s">
        <v>11829</v>
      </c>
      <c r="L1281" s="2" t="s">
        <v>11831</v>
      </c>
      <c r="M1281" s="2" t="s">
        <v>11831</v>
      </c>
      <c r="N1281" s="2" t="s">
        <v>324</v>
      </c>
      <c r="O1281" s="2" t="s">
        <v>73</v>
      </c>
      <c r="P1281" s="2" t="s">
        <v>516</v>
      </c>
      <c r="Q1281" s="2" t="s">
        <v>11829</v>
      </c>
      <c r="R1281" s="2"/>
      <c r="S1281" s="2"/>
      <c r="T1281" s="2"/>
      <c r="U1281" s="2" t="s">
        <v>324</v>
      </c>
      <c r="V1281" s="2" t="s">
        <v>73</v>
      </c>
      <c r="W1281" s="2" t="s">
        <v>516</v>
      </c>
      <c r="X1281" s="2" t="s">
        <v>10041</v>
      </c>
      <c r="Y1281" s="2" t="s">
        <v>44</v>
      </c>
      <c r="Z1281" s="2"/>
      <c r="AA1281" s="2" t="s">
        <v>3527</v>
      </c>
      <c r="AB1281" s="2" t="s">
        <v>46</v>
      </c>
      <c r="AC1281" s="2" t="s">
        <v>3527</v>
      </c>
      <c r="AE1281" s="2" t="s">
        <v>10801</v>
      </c>
      <c r="AF1281" s="2" t="s">
        <v>7864</v>
      </c>
      <c r="AG1281" s="2">
        <v>100</v>
      </c>
      <c r="AH1281" s="2">
        <v>10</v>
      </c>
      <c r="AJ1281" s="2" t="s">
        <v>11832</v>
      </c>
      <c r="AK1281" s="2"/>
      <c r="AL1281" s="2"/>
      <c r="AM1281" s="2" t="s">
        <v>10791</v>
      </c>
    </row>
    <row r="1282" spans="1:39" x14ac:dyDescent="0.45">
      <c r="A1282" s="2" t="s">
        <v>11833</v>
      </c>
      <c r="B1282" s="2"/>
      <c r="C1282" s="2" t="s">
        <v>11835</v>
      </c>
      <c r="D1282" s="2" t="s">
        <v>11837</v>
      </c>
      <c r="E1282" s="25"/>
      <c r="F1282" s="21"/>
      <c r="G1282" s="21"/>
      <c r="H1282" s="2" t="s">
        <v>10789</v>
      </c>
      <c r="I1282" s="2" t="s">
        <v>10787</v>
      </c>
      <c r="J1282" s="2" t="s">
        <v>11834</v>
      </c>
      <c r="K1282" s="2" t="s">
        <v>11836</v>
      </c>
      <c r="L1282" s="2" t="s">
        <v>11838</v>
      </c>
      <c r="M1282" s="2"/>
      <c r="N1282" s="2" t="s">
        <v>312</v>
      </c>
      <c r="O1282" s="2" t="s">
        <v>313</v>
      </c>
      <c r="P1282" s="2" t="s">
        <v>314</v>
      </c>
      <c r="Q1282" s="2" t="s">
        <v>11836</v>
      </c>
      <c r="R1282" s="2"/>
      <c r="S1282" s="2"/>
      <c r="T1282" s="2"/>
      <c r="U1282" s="2" t="s">
        <v>312</v>
      </c>
      <c r="V1282" s="2" t="s">
        <v>313</v>
      </c>
      <c r="W1282" s="2" t="s">
        <v>314</v>
      </c>
      <c r="X1282" s="2" t="s">
        <v>10051</v>
      </c>
      <c r="Y1282" s="2" t="s">
        <v>44</v>
      </c>
      <c r="Z1282" s="2"/>
      <c r="AA1282" s="2" t="s">
        <v>3527</v>
      </c>
      <c r="AB1282" s="2" t="s">
        <v>46</v>
      </c>
      <c r="AC1282" s="2" t="s">
        <v>3527</v>
      </c>
      <c r="AE1282" s="2" t="s">
        <v>10801</v>
      </c>
      <c r="AF1282" s="2" t="s">
        <v>7864</v>
      </c>
      <c r="AG1282" s="2">
        <v>100</v>
      </c>
      <c r="AH1282" s="2">
        <v>10</v>
      </c>
      <c r="AJ1282" s="2" t="s">
        <v>11839</v>
      </c>
      <c r="AK1282" s="2"/>
      <c r="AL1282" s="2"/>
      <c r="AM1282" s="2" t="s">
        <v>10791</v>
      </c>
    </row>
    <row r="1283" spans="1:39" x14ac:dyDescent="0.45">
      <c r="A1283" s="2" t="s">
        <v>11840</v>
      </c>
      <c r="B1283" s="2"/>
      <c r="C1283" s="2" t="s">
        <v>11842</v>
      </c>
      <c r="D1283" s="2" t="s">
        <v>11844</v>
      </c>
      <c r="E1283" s="25"/>
      <c r="F1283" s="21"/>
      <c r="G1283" s="21"/>
      <c r="H1283" s="2" t="s">
        <v>10789</v>
      </c>
      <c r="I1283" s="2" t="s">
        <v>10787</v>
      </c>
      <c r="J1283" s="2" t="s">
        <v>11841</v>
      </c>
      <c r="K1283" s="2" t="s">
        <v>11843</v>
      </c>
      <c r="L1283" s="2" t="s">
        <v>11845</v>
      </c>
      <c r="M1283" s="2" t="s">
        <v>11845</v>
      </c>
      <c r="N1283" s="2" t="s">
        <v>384</v>
      </c>
      <c r="O1283" s="2" t="s">
        <v>73</v>
      </c>
      <c r="P1283" s="2" t="s">
        <v>832</v>
      </c>
      <c r="Q1283" s="2" t="s">
        <v>11846</v>
      </c>
      <c r="R1283" s="2"/>
      <c r="S1283" s="2"/>
      <c r="T1283" s="2"/>
      <c r="U1283" s="2" t="s">
        <v>384</v>
      </c>
      <c r="V1283" s="2" t="s">
        <v>73</v>
      </c>
      <c r="W1283" s="2" t="s">
        <v>832</v>
      </c>
      <c r="X1283" s="2" t="s">
        <v>5224</v>
      </c>
      <c r="Y1283" s="2" t="s">
        <v>44</v>
      </c>
      <c r="Z1283" s="2"/>
      <c r="AA1283" s="2" t="s">
        <v>3527</v>
      </c>
      <c r="AB1283" s="2" t="s">
        <v>46</v>
      </c>
      <c r="AC1283" s="2" t="s">
        <v>3527</v>
      </c>
      <c r="AE1283" s="2" t="s">
        <v>10801</v>
      </c>
      <c r="AF1283" s="2" t="s">
        <v>7864</v>
      </c>
      <c r="AG1283" s="2">
        <v>100</v>
      </c>
      <c r="AH1283" s="2">
        <v>10</v>
      </c>
      <c r="AJ1283" s="2" t="s">
        <v>11847</v>
      </c>
      <c r="AK1283" s="2"/>
      <c r="AL1283" s="2"/>
      <c r="AM1283" s="2" t="s">
        <v>10791</v>
      </c>
    </row>
    <row r="1284" spans="1:39" x14ac:dyDescent="0.45">
      <c r="A1284" s="2" t="s">
        <v>11848</v>
      </c>
      <c r="B1284" s="2"/>
      <c r="C1284" s="2" t="s">
        <v>11850</v>
      </c>
      <c r="D1284" s="2" t="s">
        <v>11852</v>
      </c>
      <c r="E1284" s="25"/>
      <c r="F1284" s="21"/>
      <c r="G1284" s="21"/>
      <c r="H1284" s="2" t="s">
        <v>10789</v>
      </c>
      <c r="I1284" s="2" t="s">
        <v>10787</v>
      </c>
      <c r="J1284" s="2" t="s">
        <v>11849</v>
      </c>
      <c r="K1284" s="2" t="s">
        <v>11851</v>
      </c>
      <c r="L1284" s="2" t="s">
        <v>11853</v>
      </c>
      <c r="M1284" s="2"/>
      <c r="N1284" s="2" t="s">
        <v>312</v>
      </c>
      <c r="O1284" s="2" t="s">
        <v>313</v>
      </c>
      <c r="P1284" s="2" t="s">
        <v>7647</v>
      </c>
      <c r="Q1284" s="2" t="s">
        <v>11851</v>
      </c>
      <c r="R1284" s="2"/>
      <c r="S1284" s="2"/>
      <c r="T1284" s="2"/>
      <c r="U1284" s="2" t="s">
        <v>312</v>
      </c>
      <c r="V1284" s="2" t="s">
        <v>313</v>
      </c>
      <c r="W1284" s="2" t="s">
        <v>7647</v>
      </c>
      <c r="X1284" s="2" t="s">
        <v>5224</v>
      </c>
      <c r="Y1284" s="2" t="s">
        <v>44</v>
      </c>
      <c r="Z1284" s="2"/>
      <c r="AA1284" s="2" t="s">
        <v>3527</v>
      </c>
      <c r="AB1284" s="2" t="s">
        <v>46</v>
      </c>
      <c r="AC1284" s="2" t="s">
        <v>3527</v>
      </c>
      <c r="AE1284" s="2" t="s">
        <v>10801</v>
      </c>
      <c r="AF1284" s="2" t="s">
        <v>7864</v>
      </c>
      <c r="AG1284" s="2">
        <v>100</v>
      </c>
      <c r="AH1284" s="2">
        <v>10</v>
      </c>
      <c r="AJ1284" s="2" t="s">
        <v>11854</v>
      </c>
      <c r="AK1284" s="2"/>
      <c r="AL1284" s="2"/>
      <c r="AM1284" s="2" t="s">
        <v>10791</v>
      </c>
    </row>
    <row r="1285" spans="1:39" x14ac:dyDescent="0.45">
      <c r="A1285" s="2" t="s">
        <v>11855</v>
      </c>
      <c r="B1285" s="2"/>
      <c r="C1285" s="2" t="s">
        <v>11857</v>
      </c>
      <c r="D1285" s="2" t="s">
        <v>11859</v>
      </c>
      <c r="E1285" s="25"/>
      <c r="F1285" s="21"/>
      <c r="G1285" s="21"/>
      <c r="H1285" s="2" t="s">
        <v>10789</v>
      </c>
      <c r="I1285" s="2" t="s">
        <v>10787</v>
      </c>
      <c r="J1285" s="2" t="s">
        <v>11856</v>
      </c>
      <c r="K1285" s="2" t="s">
        <v>11858</v>
      </c>
      <c r="L1285" s="2" t="s">
        <v>11860</v>
      </c>
      <c r="M1285" s="2"/>
      <c r="N1285" s="2" t="s">
        <v>312</v>
      </c>
      <c r="O1285" s="2" t="s">
        <v>313</v>
      </c>
      <c r="P1285" s="2" t="s">
        <v>314</v>
      </c>
      <c r="Q1285" s="2" t="s">
        <v>11858</v>
      </c>
      <c r="R1285" s="2"/>
      <c r="S1285" s="2"/>
      <c r="T1285" s="2"/>
      <c r="U1285" s="2" t="s">
        <v>312</v>
      </c>
      <c r="V1285" s="2" t="s">
        <v>313</v>
      </c>
      <c r="W1285" s="2" t="s">
        <v>314</v>
      </c>
      <c r="X1285" s="2" t="s">
        <v>701</v>
      </c>
      <c r="Y1285" s="2" t="s">
        <v>44</v>
      </c>
      <c r="Z1285" s="2"/>
      <c r="AA1285" s="2" t="s">
        <v>3527</v>
      </c>
      <c r="AB1285" s="2" t="s">
        <v>46</v>
      </c>
      <c r="AC1285" s="2" t="s">
        <v>3527</v>
      </c>
      <c r="AE1285" s="2" t="s">
        <v>10801</v>
      </c>
      <c r="AF1285" s="2" t="s">
        <v>7864</v>
      </c>
      <c r="AG1285" s="2">
        <v>100</v>
      </c>
      <c r="AH1285" s="2">
        <v>10</v>
      </c>
      <c r="AJ1285" s="2" t="s">
        <v>11861</v>
      </c>
      <c r="AK1285" s="2"/>
      <c r="AL1285" s="2"/>
      <c r="AM1285" s="2" t="s">
        <v>10791</v>
      </c>
    </row>
    <row r="1286" spans="1:39" x14ac:dyDescent="0.45">
      <c r="A1286" s="2" t="s">
        <v>11862</v>
      </c>
      <c r="B1286" s="2"/>
      <c r="C1286" s="2" t="s">
        <v>11864</v>
      </c>
      <c r="D1286" s="2" t="s">
        <v>11866</v>
      </c>
      <c r="E1286" s="25"/>
      <c r="F1286" s="21"/>
      <c r="G1286" s="21"/>
      <c r="H1286" s="2" t="s">
        <v>10789</v>
      </c>
      <c r="I1286" s="2" t="s">
        <v>10787</v>
      </c>
      <c r="J1286" s="2" t="s">
        <v>11863</v>
      </c>
      <c r="K1286" s="2" t="s">
        <v>11865</v>
      </c>
      <c r="L1286" s="2" t="s">
        <v>11867</v>
      </c>
      <c r="M1286" s="2" t="s">
        <v>11867</v>
      </c>
      <c r="N1286" s="2" t="s">
        <v>290</v>
      </c>
      <c r="O1286" s="2" t="s">
        <v>278</v>
      </c>
      <c r="P1286" s="2" t="s">
        <v>852</v>
      </c>
      <c r="Q1286" s="2" t="s">
        <v>11868</v>
      </c>
      <c r="R1286" s="2"/>
      <c r="S1286" s="2"/>
      <c r="T1286" s="2"/>
      <c r="U1286" s="2" t="s">
        <v>290</v>
      </c>
      <c r="V1286" s="2" t="s">
        <v>278</v>
      </c>
      <c r="W1286" s="2" t="s">
        <v>852</v>
      </c>
      <c r="X1286" s="2" t="s">
        <v>1260</v>
      </c>
      <c r="Y1286" s="2" t="s">
        <v>44</v>
      </c>
      <c r="Z1286" s="2"/>
      <c r="AA1286" s="2" t="s">
        <v>3527</v>
      </c>
      <c r="AB1286" s="2" t="s">
        <v>46</v>
      </c>
      <c r="AC1286" s="2" t="s">
        <v>3527</v>
      </c>
      <c r="AE1286" s="2" t="s">
        <v>10801</v>
      </c>
      <c r="AF1286" s="2" t="s">
        <v>7864</v>
      </c>
      <c r="AG1286" s="2">
        <v>100</v>
      </c>
      <c r="AH1286" s="2">
        <v>10</v>
      </c>
      <c r="AJ1286" s="2" t="s">
        <v>11869</v>
      </c>
      <c r="AK1286" s="2"/>
      <c r="AL1286" s="2"/>
      <c r="AM1286" s="2" t="s">
        <v>10791</v>
      </c>
    </row>
    <row r="1287" spans="1:39" x14ac:dyDescent="0.45">
      <c r="A1287" s="2" t="s">
        <v>11870</v>
      </c>
      <c r="B1287" s="2"/>
      <c r="C1287" s="2" t="s">
        <v>11872</v>
      </c>
      <c r="D1287" s="2" t="s">
        <v>11874</v>
      </c>
      <c r="E1287" s="25"/>
      <c r="F1287" s="21"/>
      <c r="G1287" s="21"/>
      <c r="H1287" s="2" t="s">
        <v>10789</v>
      </c>
      <c r="I1287" s="2" t="s">
        <v>10787</v>
      </c>
      <c r="J1287" s="2" t="s">
        <v>11871</v>
      </c>
      <c r="K1287" s="2" t="s">
        <v>11873</v>
      </c>
      <c r="L1287" s="2" t="s">
        <v>11875</v>
      </c>
      <c r="M1287" s="2"/>
      <c r="N1287" s="2" t="s">
        <v>312</v>
      </c>
      <c r="O1287" s="2" t="s">
        <v>313</v>
      </c>
      <c r="P1287" s="2" t="s">
        <v>11652</v>
      </c>
      <c r="Q1287" s="2"/>
      <c r="R1287" s="2"/>
      <c r="S1287" s="2"/>
      <c r="T1287" s="2"/>
      <c r="U1287" s="2"/>
      <c r="V1287" s="2"/>
      <c r="W1287" s="2"/>
      <c r="X1287" s="2" t="s">
        <v>3226</v>
      </c>
      <c r="Y1287" s="2" t="s">
        <v>44</v>
      </c>
      <c r="Z1287" s="2"/>
      <c r="AA1287" s="2" t="s">
        <v>3527</v>
      </c>
      <c r="AB1287" s="2" t="s">
        <v>46</v>
      </c>
      <c r="AC1287" s="2" t="s">
        <v>3527</v>
      </c>
      <c r="AE1287" s="2" t="s">
        <v>10801</v>
      </c>
      <c r="AF1287" s="2" t="s">
        <v>7864</v>
      </c>
      <c r="AG1287" s="2">
        <v>100</v>
      </c>
      <c r="AH1287" s="2">
        <v>10</v>
      </c>
      <c r="AJ1287" s="2" t="s">
        <v>11876</v>
      </c>
      <c r="AK1287" s="2"/>
      <c r="AL1287" s="2"/>
      <c r="AM1287" s="2" t="s">
        <v>10791</v>
      </c>
    </row>
    <row r="1288" spans="1:39" x14ac:dyDescent="0.45">
      <c r="A1288" s="2" t="s">
        <v>11877</v>
      </c>
      <c r="B1288" s="2"/>
      <c r="C1288" s="2" t="s">
        <v>11879</v>
      </c>
      <c r="D1288" s="2" t="s">
        <v>11881</v>
      </c>
      <c r="E1288" s="25"/>
      <c r="F1288" s="21"/>
      <c r="G1288" s="21"/>
      <c r="H1288" s="2" t="s">
        <v>10789</v>
      </c>
      <c r="I1288" s="2" t="s">
        <v>10787</v>
      </c>
      <c r="J1288" s="2" t="s">
        <v>11878</v>
      </c>
      <c r="K1288" s="2" t="s">
        <v>11880</v>
      </c>
      <c r="L1288" s="2" t="s">
        <v>11882</v>
      </c>
      <c r="M1288" s="2"/>
      <c r="N1288" s="2" t="s">
        <v>312</v>
      </c>
      <c r="O1288" s="2" t="s">
        <v>313</v>
      </c>
      <c r="P1288" s="2" t="s">
        <v>7647</v>
      </c>
      <c r="Q1288" s="2"/>
      <c r="R1288" s="2"/>
      <c r="S1288" s="2"/>
      <c r="T1288" s="2"/>
      <c r="U1288" s="2"/>
      <c r="V1288" s="2"/>
      <c r="W1288" s="2"/>
      <c r="X1288" s="2" t="s">
        <v>3226</v>
      </c>
      <c r="Y1288" s="2" t="s">
        <v>44</v>
      </c>
      <c r="Z1288" s="2"/>
      <c r="AA1288" s="2" t="s">
        <v>3527</v>
      </c>
      <c r="AB1288" s="2" t="s">
        <v>46</v>
      </c>
      <c r="AC1288" s="2" t="s">
        <v>3527</v>
      </c>
      <c r="AE1288" s="2" t="s">
        <v>10801</v>
      </c>
      <c r="AF1288" s="2" t="s">
        <v>7864</v>
      </c>
      <c r="AG1288" s="2">
        <v>100</v>
      </c>
      <c r="AH1288" s="2">
        <v>10</v>
      </c>
      <c r="AJ1288" s="2" t="s">
        <v>11883</v>
      </c>
      <c r="AK1288" s="2"/>
      <c r="AL1288" s="2"/>
      <c r="AM1288" s="2" t="s">
        <v>10791</v>
      </c>
    </row>
    <row r="1289" spans="1:39" x14ac:dyDescent="0.45">
      <c r="A1289" s="2" t="s">
        <v>11884</v>
      </c>
      <c r="B1289" s="2"/>
      <c r="C1289" s="2" t="s">
        <v>11886</v>
      </c>
      <c r="D1289" s="2" t="s">
        <v>11888</v>
      </c>
      <c r="E1289" s="25"/>
      <c r="F1289" s="21"/>
      <c r="G1289" s="21"/>
      <c r="H1289" s="2" t="s">
        <v>10789</v>
      </c>
      <c r="I1289" s="2" t="s">
        <v>10787</v>
      </c>
      <c r="J1289" s="2" t="s">
        <v>11885</v>
      </c>
      <c r="K1289" s="2" t="s">
        <v>11887</v>
      </c>
      <c r="L1289" s="2" t="s">
        <v>11889</v>
      </c>
      <c r="M1289" s="2"/>
      <c r="N1289" s="2" t="s">
        <v>72</v>
      </c>
      <c r="O1289" s="2" t="s">
        <v>73</v>
      </c>
      <c r="P1289" s="2" t="s">
        <v>1430</v>
      </c>
      <c r="Q1289" s="2" t="s">
        <v>11887</v>
      </c>
      <c r="R1289" s="2"/>
      <c r="S1289" s="2"/>
      <c r="T1289" s="2"/>
      <c r="U1289" s="2" t="s">
        <v>72</v>
      </c>
      <c r="V1289" s="2" t="s">
        <v>73</v>
      </c>
      <c r="W1289" s="2" t="s">
        <v>1430</v>
      </c>
      <c r="X1289" s="2" t="s">
        <v>11890</v>
      </c>
      <c r="Y1289" s="2" t="s">
        <v>44</v>
      </c>
      <c r="Z1289" s="2"/>
      <c r="AA1289" s="2" t="s">
        <v>3527</v>
      </c>
      <c r="AB1289" s="2" t="s">
        <v>46</v>
      </c>
      <c r="AC1289" s="2" t="s">
        <v>3527</v>
      </c>
      <c r="AE1289" s="2" t="s">
        <v>10801</v>
      </c>
      <c r="AF1289" s="2" t="s">
        <v>7864</v>
      </c>
      <c r="AG1289" s="2">
        <v>100</v>
      </c>
      <c r="AH1289" s="2">
        <v>10</v>
      </c>
      <c r="AJ1289" s="2" t="s">
        <v>11891</v>
      </c>
      <c r="AK1289" s="2"/>
      <c r="AL1289" s="2"/>
      <c r="AM1289" s="2" t="s">
        <v>10791</v>
      </c>
    </row>
    <row r="1290" spans="1:39" x14ac:dyDescent="0.45">
      <c r="A1290" s="2" t="s">
        <v>11892</v>
      </c>
      <c r="B1290" s="2"/>
      <c r="C1290" s="2" t="s">
        <v>11894</v>
      </c>
      <c r="D1290" s="2" t="s">
        <v>11896</v>
      </c>
      <c r="E1290" s="25"/>
      <c r="F1290" s="21"/>
      <c r="G1290" s="21"/>
      <c r="H1290" s="2" t="s">
        <v>10789</v>
      </c>
      <c r="I1290" s="2" t="s">
        <v>10787</v>
      </c>
      <c r="J1290" s="2" t="s">
        <v>11893</v>
      </c>
      <c r="K1290" s="2" t="s">
        <v>11895</v>
      </c>
      <c r="L1290" s="2" t="s">
        <v>11897</v>
      </c>
      <c r="M1290" s="2"/>
      <c r="N1290" s="2" t="s">
        <v>312</v>
      </c>
      <c r="O1290" s="2" t="s">
        <v>313</v>
      </c>
      <c r="P1290" s="2" t="s">
        <v>7463</v>
      </c>
      <c r="Q1290" s="2" t="s">
        <v>11895</v>
      </c>
      <c r="R1290" s="2"/>
      <c r="S1290" s="2"/>
      <c r="T1290" s="2"/>
      <c r="U1290" s="2" t="s">
        <v>312</v>
      </c>
      <c r="V1290" s="2" t="s">
        <v>313</v>
      </c>
      <c r="W1290" s="2" t="s">
        <v>7463</v>
      </c>
      <c r="X1290" s="2" t="s">
        <v>11283</v>
      </c>
      <c r="Y1290" s="2" t="s">
        <v>44</v>
      </c>
      <c r="Z1290" s="2"/>
      <c r="AA1290" s="2" t="s">
        <v>3527</v>
      </c>
      <c r="AB1290" s="2" t="s">
        <v>46</v>
      </c>
      <c r="AC1290" s="2" t="s">
        <v>3527</v>
      </c>
      <c r="AE1290" s="2" t="s">
        <v>10801</v>
      </c>
      <c r="AF1290" s="2" t="s">
        <v>7864</v>
      </c>
      <c r="AG1290" s="2">
        <v>100</v>
      </c>
      <c r="AH1290" s="2">
        <v>10</v>
      </c>
      <c r="AJ1290" s="2" t="s">
        <v>11898</v>
      </c>
      <c r="AK1290" s="2"/>
      <c r="AL1290" s="2"/>
      <c r="AM1290" s="2" t="s">
        <v>10791</v>
      </c>
    </row>
    <row r="1291" spans="1:39" x14ac:dyDescent="0.45">
      <c r="A1291" s="2" t="s">
        <v>11899</v>
      </c>
      <c r="B1291" s="2"/>
      <c r="C1291" s="2" t="s">
        <v>11901</v>
      </c>
      <c r="D1291" s="2" t="s">
        <v>11903</v>
      </c>
      <c r="E1291" s="25"/>
      <c r="F1291" s="21"/>
      <c r="G1291" s="21"/>
      <c r="H1291" s="2" t="s">
        <v>10789</v>
      </c>
      <c r="I1291" s="2" t="s">
        <v>10787</v>
      </c>
      <c r="J1291" s="2" t="s">
        <v>11900</v>
      </c>
      <c r="K1291" s="2" t="s">
        <v>11902</v>
      </c>
      <c r="L1291" s="2" t="s">
        <v>11904</v>
      </c>
      <c r="M1291" s="2"/>
      <c r="N1291" s="2" t="s">
        <v>312</v>
      </c>
      <c r="O1291" s="2" t="s">
        <v>313</v>
      </c>
      <c r="P1291" s="2" t="s">
        <v>314</v>
      </c>
      <c r="Q1291" s="2" t="s">
        <v>11902</v>
      </c>
      <c r="R1291" s="2"/>
      <c r="S1291" s="2"/>
      <c r="T1291" s="2"/>
      <c r="U1291" s="2" t="s">
        <v>312</v>
      </c>
      <c r="V1291" s="2" t="s">
        <v>313</v>
      </c>
      <c r="W1291" s="2" t="s">
        <v>314</v>
      </c>
      <c r="X1291" s="2" t="s">
        <v>11905</v>
      </c>
      <c r="Y1291" s="2" t="s">
        <v>44</v>
      </c>
      <c r="Z1291" s="2"/>
      <c r="AA1291" s="2" t="s">
        <v>3527</v>
      </c>
      <c r="AB1291" s="2" t="s">
        <v>46</v>
      </c>
      <c r="AC1291" s="2" t="s">
        <v>3527</v>
      </c>
      <c r="AE1291" s="2" t="s">
        <v>10801</v>
      </c>
      <c r="AF1291" s="2" t="s">
        <v>7864</v>
      </c>
      <c r="AG1291" s="2">
        <v>100</v>
      </c>
      <c r="AH1291" s="2">
        <v>10</v>
      </c>
      <c r="AJ1291" s="2" t="s">
        <v>11906</v>
      </c>
      <c r="AK1291" s="2"/>
      <c r="AL1291" s="2"/>
      <c r="AM1291" s="2" t="s">
        <v>10791</v>
      </c>
    </row>
    <row r="1292" spans="1:39" x14ac:dyDescent="0.45">
      <c r="A1292" s="2" t="s">
        <v>11907</v>
      </c>
      <c r="B1292" s="2"/>
      <c r="C1292" s="2" t="s">
        <v>11909</v>
      </c>
      <c r="D1292" s="2" t="s">
        <v>11911</v>
      </c>
      <c r="E1292" s="25"/>
      <c r="F1292" s="21"/>
      <c r="G1292" s="21"/>
      <c r="H1292" s="2" t="s">
        <v>10789</v>
      </c>
      <c r="I1292" s="2" t="s">
        <v>10787</v>
      </c>
      <c r="J1292" s="2" t="s">
        <v>11908</v>
      </c>
      <c r="K1292" s="2" t="s">
        <v>11910</v>
      </c>
      <c r="L1292" s="2" t="s">
        <v>11912</v>
      </c>
      <c r="M1292" s="2" t="s">
        <v>11912</v>
      </c>
      <c r="N1292" s="2" t="s">
        <v>312</v>
      </c>
      <c r="O1292" s="2" t="s">
        <v>313</v>
      </c>
      <c r="P1292" s="2" t="s">
        <v>314</v>
      </c>
      <c r="Q1292" s="2" t="s">
        <v>11910</v>
      </c>
      <c r="R1292" s="2"/>
      <c r="S1292" s="2"/>
      <c r="T1292" s="2"/>
      <c r="U1292" s="2" t="s">
        <v>312</v>
      </c>
      <c r="V1292" s="2" t="s">
        <v>313</v>
      </c>
      <c r="W1292" s="2" t="s">
        <v>314</v>
      </c>
      <c r="X1292" s="2" t="s">
        <v>11905</v>
      </c>
      <c r="Y1292" s="2" t="s">
        <v>44</v>
      </c>
      <c r="Z1292" s="2"/>
      <c r="AA1292" s="2" t="s">
        <v>3527</v>
      </c>
      <c r="AB1292" s="2" t="s">
        <v>46</v>
      </c>
      <c r="AC1292" s="2" t="s">
        <v>3527</v>
      </c>
      <c r="AE1292" s="2" t="s">
        <v>10801</v>
      </c>
      <c r="AF1292" s="2" t="s">
        <v>7864</v>
      </c>
      <c r="AG1292" s="2">
        <v>100</v>
      </c>
      <c r="AH1292" s="2">
        <v>10</v>
      </c>
      <c r="AJ1292" s="2" t="s">
        <v>11913</v>
      </c>
      <c r="AK1292" s="2"/>
      <c r="AL1292" s="2"/>
      <c r="AM1292" s="2" t="s">
        <v>10791</v>
      </c>
    </row>
    <row r="1293" spans="1:39" x14ac:dyDescent="0.45">
      <c r="A1293" s="2" t="s">
        <v>11914</v>
      </c>
      <c r="B1293" s="2"/>
      <c r="C1293" s="2" t="s">
        <v>11916</v>
      </c>
      <c r="D1293" s="2" t="s">
        <v>11918</v>
      </c>
      <c r="E1293" s="25"/>
      <c r="F1293" s="21"/>
      <c r="G1293" s="21"/>
      <c r="H1293" s="2" t="s">
        <v>10789</v>
      </c>
      <c r="I1293" s="2" t="s">
        <v>10787</v>
      </c>
      <c r="J1293" s="2" t="s">
        <v>11915</v>
      </c>
      <c r="K1293" s="2" t="s">
        <v>11917</v>
      </c>
      <c r="L1293" s="2" t="s">
        <v>11919</v>
      </c>
      <c r="M1293" s="2"/>
      <c r="N1293" s="2" t="s">
        <v>312</v>
      </c>
      <c r="O1293" s="2" t="s">
        <v>313</v>
      </c>
      <c r="P1293" s="2" t="s">
        <v>7647</v>
      </c>
      <c r="Q1293" s="2" t="s">
        <v>11917</v>
      </c>
      <c r="R1293" s="2"/>
      <c r="S1293" s="2"/>
      <c r="T1293" s="2"/>
      <c r="U1293" s="2" t="s">
        <v>312</v>
      </c>
      <c r="V1293" s="2" t="s">
        <v>313</v>
      </c>
      <c r="W1293" s="2" t="s">
        <v>7647</v>
      </c>
      <c r="X1293" s="2" t="s">
        <v>7404</v>
      </c>
      <c r="Y1293" s="2" t="s">
        <v>44</v>
      </c>
      <c r="Z1293" s="2"/>
      <c r="AA1293" s="2" t="s">
        <v>3527</v>
      </c>
      <c r="AB1293" s="2" t="s">
        <v>46</v>
      </c>
      <c r="AC1293" s="2" t="s">
        <v>3527</v>
      </c>
      <c r="AE1293" s="2" t="s">
        <v>10801</v>
      </c>
      <c r="AF1293" s="2" t="s">
        <v>7864</v>
      </c>
      <c r="AG1293" s="2">
        <v>100</v>
      </c>
      <c r="AH1293" s="2">
        <v>10</v>
      </c>
      <c r="AJ1293" s="2" t="s">
        <v>11920</v>
      </c>
      <c r="AK1293" s="2"/>
      <c r="AL1293" s="2"/>
      <c r="AM1293" s="2" t="s">
        <v>10791</v>
      </c>
    </row>
    <row r="1294" spans="1:39" x14ac:dyDescent="0.45">
      <c r="A1294" s="2" t="s">
        <v>11921</v>
      </c>
      <c r="B1294" s="2"/>
      <c r="C1294" s="2" t="s">
        <v>11923</v>
      </c>
      <c r="D1294" s="2" t="s">
        <v>11925</v>
      </c>
      <c r="E1294" s="25"/>
      <c r="F1294" s="21"/>
      <c r="G1294" s="21"/>
      <c r="H1294" s="2" t="s">
        <v>10789</v>
      </c>
      <c r="I1294" s="2" t="s">
        <v>10787</v>
      </c>
      <c r="J1294" s="2" t="s">
        <v>11922</v>
      </c>
      <c r="K1294" s="2" t="s">
        <v>11924</v>
      </c>
      <c r="L1294" s="2" t="s">
        <v>11926</v>
      </c>
      <c r="M1294" s="2" t="s">
        <v>11926</v>
      </c>
      <c r="N1294" s="2" t="s">
        <v>59</v>
      </c>
      <c r="O1294" s="2" t="s">
        <v>60</v>
      </c>
      <c r="P1294" s="2" t="s">
        <v>5251</v>
      </c>
      <c r="Q1294" s="2" t="s">
        <v>11924</v>
      </c>
      <c r="R1294" s="2"/>
      <c r="S1294" s="2"/>
      <c r="T1294" s="2"/>
      <c r="U1294" s="2" t="s">
        <v>59</v>
      </c>
      <c r="V1294" s="2" t="s">
        <v>60</v>
      </c>
      <c r="W1294" s="2" t="s">
        <v>5251</v>
      </c>
      <c r="X1294" s="2" t="s">
        <v>5913</v>
      </c>
      <c r="Y1294" s="2" t="s">
        <v>44</v>
      </c>
      <c r="Z1294" s="2"/>
      <c r="AA1294" s="2" t="s">
        <v>3527</v>
      </c>
      <c r="AB1294" s="2" t="s">
        <v>46</v>
      </c>
      <c r="AC1294" s="2" t="s">
        <v>3527</v>
      </c>
      <c r="AE1294" s="2" t="s">
        <v>10801</v>
      </c>
      <c r="AF1294" s="2" t="s">
        <v>7864</v>
      </c>
      <c r="AG1294" s="2">
        <v>100</v>
      </c>
      <c r="AH1294" s="2">
        <v>10</v>
      </c>
      <c r="AJ1294" s="2" t="s">
        <v>11927</v>
      </c>
      <c r="AK1294" s="2"/>
      <c r="AL1294" s="2"/>
      <c r="AM1294" s="2" t="s">
        <v>10791</v>
      </c>
    </row>
    <row r="1295" spans="1:39" x14ac:dyDescent="0.45">
      <c r="A1295" s="2" t="s">
        <v>11928</v>
      </c>
      <c r="B1295" s="2"/>
      <c r="C1295" s="2" t="s">
        <v>11930</v>
      </c>
      <c r="D1295" s="2" t="s">
        <v>11932</v>
      </c>
      <c r="E1295" s="25"/>
      <c r="F1295" s="21"/>
      <c r="G1295" s="21"/>
      <c r="H1295" s="2" t="s">
        <v>10789</v>
      </c>
      <c r="I1295" s="2" t="s">
        <v>10787</v>
      </c>
      <c r="J1295" s="2" t="s">
        <v>11929</v>
      </c>
      <c r="K1295" s="2" t="s">
        <v>11931</v>
      </c>
      <c r="L1295" s="2" t="s">
        <v>11933</v>
      </c>
      <c r="M1295" s="2"/>
      <c r="N1295" s="2" t="s">
        <v>59</v>
      </c>
      <c r="O1295" s="2" t="s">
        <v>60</v>
      </c>
      <c r="P1295" s="2" t="s">
        <v>8113</v>
      </c>
      <c r="Q1295" s="2" t="s">
        <v>11931</v>
      </c>
      <c r="R1295" s="2"/>
      <c r="S1295" s="2"/>
      <c r="T1295" s="2"/>
      <c r="U1295" s="2" t="s">
        <v>59</v>
      </c>
      <c r="V1295" s="2" t="s">
        <v>60</v>
      </c>
      <c r="W1295" s="2" t="s">
        <v>8113</v>
      </c>
      <c r="X1295" s="2" t="s">
        <v>4659</v>
      </c>
      <c r="Y1295" s="2" t="s">
        <v>44</v>
      </c>
      <c r="Z1295" s="2"/>
      <c r="AA1295" s="2" t="s">
        <v>3527</v>
      </c>
      <c r="AB1295" s="2" t="s">
        <v>46</v>
      </c>
      <c r="AC1295" s="2" t="s">
        <v>3527</v>
      </c>
      <c r="AE1295" s="2" t="s">
        <v>10801</v>
      </c>
      <c r="AF1295" s="2" t="s">
        <v>7864</v>
      </c>
      <c r="AG1295" s="2">
        <v>100</v>
      </c>
      <c r="AH1295" s="2">
        <v>10</v>
      </c>
      <c r="AJ1295" s="2" t="s">
        <v>11934</v>
      </c>
      <c r="AK1295" s="2"/>
      <c r="AL1295" s="2"/>
      <c r="AM1295" s="2" t="s">
        <v>10791</v>
      </c>
    </row>
    <row r="1296" spans="1:39" x14ac:dyDescent="0.45">
      <c r="A1296" s="2" t="s">
        <v>11935</v>
      </c>
      <c r="B1296" s="2"/>
      <c r="C1296" s="2" t="s">
        <v>11937</v>
      </c>
      <c r="D1296" s="2" t="s">
        <v>11939</v>
      </c>
      <c r="E1296" s="25"/>
      <c r="F1296" s="21"/>
      <c r="G1296" s="21"/>
      <c r="H1296" s="2" t="s">
        <v>10789</v>
      </c>
      <c r="I1296" s="2" t="s">
        <v>10787</v>
      </c>
      <c r="J1296" s="2" t="s">
        <v>11936</v>
      </c>
      <c r="K1296" s="2" t="s">
        <v>11938</v>
      </c>
      <c r="L1296" s="2" t="s">
        <v>11940</v>
      </c>
      <c r="M1296" s="2"/>
      <c r="N1296" s="2" t="s">
        <v>290</v>
      </c>
      <c r="O1296" s="2" t="s">
        <v>278</v>
      </c>
      <c r="P1296" s="2" t="s">
        <v>11941</v>
      </c>
      <c r="Q1296" s="2" t="s">
        <v>11938</v>
      </c>
      <c r="R1296" s="2"/>
      <c r="S1296" s="2"/>
      <c r="T1296" s="2"/>
      <c r="U1296" s="2" t="s">
        <v>290</v>
      </c>
      <c r="V1296" s="2" t="s">
        <v>278</v>
      </c>
      <c r="W1296" s="2" t="s">
        <v>11941</v>
      </c>
      <c r="X1296" s="2" t="s">
        <v>5356</v>
      </c>
      <c r="Y1296" s="2" t="s">
        <v>44</v>
      </c>
      <c r="Z1296" s="2"/>
      <c r="AA1296" s="2" t="s">
        <v>3527</v>
      </c>
      <c r="AB1296" s="2" t="s">
        <v>46</v>
      </c>
      <c r="AC1296" s="2" t="s">
        <v>3527</v>
      </c>
      <c r="AE1296" s="2" t="s">
        <v>10801</v>
      </c>
      <c r="AF1296" s="2" t="s">
        <v>7864</v>
      </c>
      <c r="AG1296" s="2">
        <v>100</v>
      </c>
      <c r="AH1296" s="2">
        <v>10</v>
      </c>
      <c r="AJ1296" s="2" t="s">
        <v>11942</v>
      </c>
      <c r="AK1296" s="2"/>
      <c r="AL1296" s="2"/>
      <c r="AM1296" s="2" t="s">
        <v>10791</v>
      </c>
    </row>
    <row r="1297" spans="1:39" x14ac:dyDescent="0.45">
      <c r="A1297" s="2" t="s">
        <v>11943</v>
      </c>
      <c r="B1297" s="2"/>
      <c r="C1297" s="2" t="s">
        <v>11945</v>
      </c>
      <c r="D1297" s="2" t="s">
        <v>11947</v>
      </c>
      <c r="E1297" s="25"/>
      <c r="F1297" s="21"/>
      <c r="G1297" s="21"/>
      <c r="H1297" s="2" t="s">
        <v>10789</v>
      </c>
      <c r="I1297" s="2" t="s">
        <v>10787</v>
      </c>
      <c r="J1297" s="2" t="s">
        <v>11944</v>
      </c>
      <c r="K1297" s="2" t="s">
        <v>11946</v>
      </c>
      <c r="L1297" s="2" t="s">
        <v>11948</v>
      </c>
      <c r="M1297" s="2"/>
      <c r="N1297" s="2" t="s">
        <v>312</v>
      </c>
      <c r="O1297" s="2" t="s">
        <v>313</v>
      </c>
      <c r="P1297" s="2" t="s">
        <v>11535</v>
      </c>
      <c r="Q1297" s="2" t="s">
        <v>11946</v>
      </c>
      <c r="R1297" s="2"/>
      <c r="S1297" s="2"/>
      <c r="T1297" s="2"/>
      <c r="U1297" s="2" t="s">
        <v>312</v>
      </c>
      <c r="V1297" s="2" t="s">
        <v>313</v>
      </c>
      <c r="W1297" s="2" t="s">
        <v>11535</v>
      </c>
      <c r="X1297" s="2" t="s">
        <v>11949</v>
      </c>
      <c r="Y1297" s="2" t="s">
        <v>44</v>
      </c>
      <c r="Z1297" s="2"/>
      <c r="AA1297" s="2" t="s">
        <v>3527</v>
      </c>
      <c r="AB1297" s="2" t="s">
        <v>46</v>
      </c>
      <c r="AC1297" s="2" t="s">
        <v>3527</v>
      </c>
      <c r="AE1297" s="2" t="s">
        <v>10801</v>
      </c>
      <c r="AF1297" s="2" t="s">
        <v>7864</v>
      </c>
      <c r="AG1297" s="2">
        <v>100</v>
      </c>
      <c r="AH1297" s="2">
        <v>10</v>
      </c>
      <c r="AJ1297" s="2" t="s">
        <v>11950</v>
      </c>
      <c r="AK1297" s="2"/>
      <c r="AL1297" s="2"/>
      <c r="AM1297" s="2" t="s">
        <v>10791</v>
      </c>
    </row>
    <row r="1298" spans="1:39" x14ac:dyDescent="0.45">
      <c r="A1298" s="2" t="s">
        <v>11951</v>
      </c>
      <c r="B1298" s="2"/>
      <c r="C1298" s="2" t="s">
        <v>11953</v>
      </c>
      <c r="D1298" s="2" t="s">
        <v>11955</v>
      </c>
      <c r="E1298" s="25"/>
      <c r="F1298" s="21"/>
      <c r="G1298" s="21"/>
      <c r="H1298" s="2" t="s">
        <v>10789</v>
      </c>
      <c r="I1298" s="2" t="s">
        <v>10787</v>
      </c>
      <c r="J1298" s="2" t="s">
        <v>11952</v>
      </c>
      <c r="K1298" s="2" t="s">
        <v>11954</v>
      </c>
      <c r="L1298" s="2" t="s">
        <v>11956</v>
      </c>
      <c r="M1298" s="2" t="s">
        <v>11956</v>
      </c>
      <c r="N1298" s="2" t="s">
        <v>72</v>
      </c>
      <c r="O1298" s="2" t="s">
        <v>73</v>
      </c>
      <c r="P1298" s="2" t="s">
        <v>232</v>
      </c>
      <c r="Q1298" s="2" t="s">
        <v>11954</v>
      </c>
      <c r="R1298" s="2"/>
      <c r="S1298" s="2"/>
      <c r="T1298" s="2"/>
      <c r="U1298" s="2" t="s">
        <v>72</v>
      </c>
      <c r="V1298" s="2" t="s">
        <v>73</v>
      </c>
      <c r="W1298" s="2" t="s">
        <v>232</v>
      </c>
      <c r="X1298" s="2" t="s">
        <v>7483</v>
      </c>
      <c r="Y1298" s="2" t="s">
        <v>44</v>
      </c>
      <c r="Z1298" s="2"/>
      <c r="AA1298" s="2" t="s">
        <v>3527</v>
      </c>
      <c r="AB1298" s="2" t="s">
        <v>46</v>
      </c>
      <c r="AC1298" s="2" t="s">
        <v>3527</v>
      </c>
      <c r="AE1298" s="2" t="s">
        <v>10801</v>
      </c>
      <c r="AF1298" s="2" t="s">
        <v>7864</v>
      </c>
      <c r="AG1298" s="2">
        <v>100</v>
      </c>
      <c r="AH1298" s="2">
        <v>10</v>
      </c>
      <c r="AJ1298" s="2" t="s">
        <v>11957</v>
      </c>
      <c r="AK1298" s="2"/>
      <c r="AL1298" s="2"/>
      <c r="AM1298" s="2" t="s">
        <v>10791</v>
      </c>
    </row>
    <row r="1299" spans="1:39" x14ac:dyDescent="0.45">
      <c r="A1299" s="2" t="s">
        <v>11958</v>
      </c>
      <c r="B1299" s="2"/>
      <c r="C1299" s="2" t="s">
        <v>11960</v>
      </c>
      <c r="D1299" s="2" t="s">
        <v>11962</v>
      </c>
      <c r="E1299" s="25"/>
      <c r="F1299" s="21"/>
      <c r="G1299" s="21"/>
      <c r="H1299" s="2" t="s">
        <v>10789</v>
      </c>
      <c r="I1299" s="2" t="s">
        <v>10787</v>
      </c>
      <c r="J1299" s="2" t="s">
        <v>11959</v>
      </c>
      <c r="K1299" s="2" t="s">
        <v>11961</v>
      </c>
      <c r="L1299" s="2" t="s">
        <v>11963</v>
      </c>
      <c r="M1299" s="2"/>
      <c r="N1299" s="2" t="s">
        <v>174</v>
      </c>
      <c r="O1299" s="2" t="s">
        <v>175</v>
      </c>
      <c r="P1299" s="2" t="s">
        <v>11964</v>
      </c>
      <c r="Q1299" s="2"/>
      <c r="R1299" s="2"/>
      <c r="S1299" s="2"/>
      <c r="T1299" s="2"/>
      <c r="U1299" s="2"/>
      <c r="V1299" s="2"/>
      <c r="W1299" s="2"/>
      <c r="X1299" s="2" t="s">
        <v>7538</v>
      </c>
      <c r="Y1299" s="2" t="s">
        <v>44</v>
      </c>
      <c r="Z1299" s="2"/>
      <c r="AA1299" s="2" t="s">
        <v>3527</v>
      </c>
      <c r="AB1299" s="2" t="s">
        <v>46</v>
      </c>
      <c r="AC1299" s="2" t="s">
        <v>3527</v>
      </c>
      <c r="AE1299" s="2" t="s">
        <v>10801</v>
      </c>
      <c r="AF1299" s="2" t="s">
        <v>7864</v>
      </c>
      <c r="AG1299" s="2">
        <v>100</v>
      </c>
      <c r="AH1299" s="2">
        <v>10</v>
      </c>
      <c r="AJ1299" s="2" t="s">
        <v>11965</v>
      </c>
      <c r="AK1299" s="2"/>
      <c r="AL1299" s="2"/>
      <c r="AM1299" s="2" t="s">
        <v>10791</v>
      </c>
    </row>
    <row r="1300" spans="1:39" x14ac:dyDescent="0.45">
      <c r="A1300" s="2" t="s">
        <v>11966</v>
      </c>
      <c r="B1300" s="2"/>
      <c r="C1300" s="2" t="s">
        <v>11968</v>
      </c>
      <c r="D1300" s="2" t="s">
        <v>11970</v>
      </c>
      <c r="E1300" s="25"/>
      <c r="F1300" s="21"/>
      <c r="G1300" s="21"/>
      <c r="H1300" s="2" t="s">
        <v>10789</v>
      </c>
      <c r="I1300" s="2" t="s">
        <v>10787</v>
      </c>
      <c r="J1300" s="2" t="s">
        <v>11967</v>
      </c>
      <c r="K1300" s="2" t="s">
        <v>11969</v>
      </c>
      <c r="L1300" s="2" t="s">
        <v>11971</v>
      </c>
      <c r="M1300" s="2"/>
      <c r="N1300" s="2" t="s">
        <v>312</v>
      </c>
      <c r="O1300" s="2" t="s">
        <v>313</v>
      </c>
      <c r="P1300" s="2" t="s">
        <v>11652</v>
      </c>
      <c r="Q1300" s="2" t="s">
        <v>11969</v>
      </c>
      <c r="R1300" s="2"/>
      <c r="S1300" s="2"/>
      <c r="T1300" s="2"/>
      <c r="U1300" s="2" t="s">
        <v>312</v>
      </c>
      <c r="V1300" s="2" t="s">
        <v>313</v>
      </c>
      <c r="W1300" s="2" t="s">
        <v>11652</v>
      </c>
      <c r="X1300" s="2" t="s">
        <v>11071</v>
      </c>
      <c r="Y1300" s="2" t="s">
        <v>44</v>
      </c>
      <c r="Z1300" s="2"/>
      <c r="AA1300" s="2" t="s">
        <v>3527</v>
      </c>
      <c r="AB1300" s="2" t="s">
        <v>46</v>
      </c>
      <c r="AC1300" s="2" t="s">
        <v>3527</v>
      </c>
      <c r="AE1300" s="2" t="s">
        <v>10801</v>
      </c>
      <c r="AF1300" s="2" t="s">
        <v>7864</v>
      </c>
      <c r="AG1300" s="2">
        <v>100</v>
      </c>
      <c r="AH1300" s="2">
        <v>10</v>
      </c>
      <c r="AJ1300" s="2" t="s">
        <v>11972</v>
      </c>
      <c r="AK1300" s="2"/>
      <c r="AL1300" s="2"/>
      <c r="AM1300" s="2" t="s">
        <v>10791</v>
      </c>
    </row>
    <row r="1301" spans="1:39" x14ac:dyDescent="0.45">
      <c r="A1301" s="2" t="s">
        <v>11973</v>
      </c>
      <c r="B1301" s="2"/>
      <c r="C1301" s="2" t="s">
        <v>11065</v>
      </c>
      <c r="D1301" s="2" t="s">
        <v>11067</v>
      </c>
      <c r="E1301" s="25"/>
      <c r="F1301" s="21"/>
      <c r="G1301" s="21"/>
      <c r="H1301" s="2" t="s">
        <v>10789</v>
      </c>
      <c r="I1301" s="2" t="s">
        <v>10787</v>
      </c>
      <c r="J1301" s="2" t="s">
        <v>11974</v>
      </c>
      <c r="K1301" s="2" t="s">
        <v>11975</v>
      </c>
      <c r="L1301" s="2" t="s">
        <v>3562</v>
      </c>
      <c r="M1301" s="2" t="s">
        <v>3562</v>
      </c>
      <c r="N1301" s="2" t="s">
        <v>216</v>
      </c>
      <c r="O1301" s="2" t="s">
        <v>217</v>
      </c>
      <c r="P1301" s="2" t="s">
        <v>11069</v>
      </c>
      <c r="Q1301" s="2" t="s">
        <v>11975</v>
      </c>
      <c r="R1301" s="2"/>
      <c r="S1301" s="2"/>
      <c r="T1301" s="2"/>
      <c r="U1301" s="2" t="s">
        <v>216</v>
      </c>
      <c r="V1301" s="2" t="s">
        <v>217</v>
      </c>
      <c r="W1301" s="2" t="s">
        <v>11069</v>
      </c>
      <c r="X1301" s="2" t="s">
        <v>11071</v>
      </c>
      <c r="Y1301" s="2" t="s">
        <v>44</v>
      </c>
      <c r="Z1301" s="2"/>
      <c r="AA1301" s="2" t="s">
        <v>3527</v>
      </c>
      <c r="AB1301" s="2" t="s">
        <v>46</v>
      </c>
      <c r="AC1301" s="2" t="s">
        <v>3527</v>
      </c>
      <c r="AE1301" s="2" t="s">
        <v>10801</v>
      </c>
      <c r="AF1301" s="2" t="s">
        <v>7864</v>
      </c>
      <c r="AG1301" s="2">
        <v>100</v>
      </c>
      <c r="AH1301" s="2">
        <v>10</v>
      </c>
      <c r="AJ1301" s="2" t="s">
        <v>11976</v>
      </c>
      <c r="AK1301" s="2"/>
      <c r="AL1301" s="2"/>
      <c r="AM1301" s="2" t="s">
        <v>10791</v>
      </c>
    </row>
    <row r="1302" spans="1:39" x14ac:dyDescent="0.45">
      <c r="A1302" s="2" t="s">
        <v>11977</v>
      </c>
      <c r="B1302" s="2"/>
      <c r="C1302" s="2" t="s">
        <v>11979</v>
      </c>
      <c r="D1302" s="2" t="s">
        <v>11981</v>
      </c>
      <c r="E1302" s="25"/>
      <c r="F1302" s="21"/>
      <c r="G1302" s="21"/>
      <c r="H1302" s="2" t="s">
        <v>10789</v>
      </c>
      <c r="I1302" s="2" t="s">
        <v>10787</v>
      </c>
      <c r="J1302" s="2" t="s">
        <v>11978</v>
      </c>
      <c r="K1302" s="2" t="s">
        <v>11980</v>
      </c>
      <c r="L1302" s="2" t="s">
        <v>11982</v>
      </c>
      <c r="M1302" s="2"/>
      <c r="N1302" s="2" t="s">
        <v>312</v>
      </c>
      <c r="O1302" s="2" t="s">
        <v>313</v>
      </c>
      <c r="P1302" s="2" t="s">
        <v>314</v>
      </c>
      <c r="Q1302" s="2" t="s">
        <v>11980</v>
      </c>
      <c r="R1302" s="2"/>
      <c r="S1302" s="2"/>
      <c r="T1302" s="2"/>
      <c r="U1302" s="2" t="s">
        <v>312</v>
      </c>
      <c r="V1302" s="2" t="s">
        <v>313</v>
      </c>
      <c r="W1302" s="2" t="s">
        <v>314</v>
      </c>
      <c r="X1302" s="2" t="s">
        <v>5411</v>
      </c>
      <c r="Y1302" s="2" t="s">
        <v>44</v>
      </c>
      <c r="Z1302" s="2"/>
      <c r="AA1302" s="2" t="s">
        <v>3527</v>
      </c>
      <c r="AB1302" s="2" t="s">
        <v>46</v>
      </c>
      <c r="AC1302" s="2" t="s">
        <v>3527</v>
      </c>
      <c r="AE1302" s="2" t="s">
        <v>10801</v>
      </c>
      <c r="AF1302" s="2" t="s">
        <v>7864</v>
      </c>
      <c r="AG1302" s="2">
        <v>100</v>
      </c>
      <c r="AH1302" s="2">
        <v>10</v>
      </c>
      <c r="AJ1302" s="2" t="s">
        <v>11983</v>
      </c>
      <c r="AK1302" s="2"/>
      <c r="AL1302" s="2"/>
      <c r="AM1302" s="2" t="s">
        <v>10791</v>
      </c>
    </row>
    <row r="1303" spans="1:39" x14ac:dyDescent="0.45">
      <c r="A1303" s="2" t="s">
        <v>11984</v>
      </c>
      <c r="B1303" s="2"/>
      <c r="C1303" s="2" t="s">
        <v>11986</v>
      </c>
      <c r="D1303" s="2" t="s">
        <v>11988</v>
      </c>
      <c r="E1303" s="25"/>
      <c r="F1303" s="21"/>
      <c r="G1303" s="21"/>
      <c r="H1303" s="2" t="s">
        <v>10789</v>
      </c>
      <c r="I1303" s="2" t="s">
        <v>10787</v>
      </c>
      <c r="J1303" s="2" t="s">
        <v>11985</v>
      </c>
      <c r="K1303" s="2" t="s">
        <v>11987</v>
      </c>
      <c r="L1303" s="2" t="s">
        <v>11989</v>
      </c>
      <c r="M1303" s="2"/>
      <c r="N1303" s="2" t="s">
        <v>312</v>
      </c>
      <c r="O1303" s="2" t="s">
        <v>313</v>
      </c>
      <c r="P1303" s="2" t="s">
        <v>314</v>
      </c>
      <c r="Q1303" s="2" t="s">
        <v>11987</v>
      </c>
      <c r="R1303" s="2"/>
      <c r="S1303" s="2"/>
      <c r="T1303" s="2"/>
      <c r="U1303" s="2" t="s">
        <v>312</v>
      </c>
      <c r="V1303" s="2" t="s">
        <v>313</v>
      </c>
      <c r="W1303" s="2" t="s">
        <v>314</v>
      </c>
      <c r="X1303" s="2" t="s">
        <v>11990</v>
      </c>
      <c r="Y1303" s="2" t="s">
        <v>44</v>
      </c>
      <c r="Z1303" s="2"/>
      <c r="AA1303" s="2" t="s">
        <v>3527</v>
      </c>
      <c r="AB1303" s="2" t="s">
        <v>46</v>
      </c>
      <c r="AC1303" s="2" t="s">
        <v>3527</v>
      </c>
      <c r="AE1303" s="2" t="s">
        <v>10801</v>
      </c>
      <c r="AF1303" s="2" t="s">
        <v>7864</v>
      </c>
      <c r="AG1303" s="2">
        <v>100</v>
      </c>
      <c r="AH1303" s="2">
        <v>10</v>
      </c>
      <c r="AJ1303" s="2" t="s">
        <v>11991</v>
      </c>
      <c r="AK1303" s="2"/>
      <c r="AL1303" s="2"/>
      <c r="AM1303" s="2" t="s">
        <v>10791</v>
      </c>
    </row>
    <row r="1304" spans="1:39" x14ac:dyDescent="0.45">
      <c r="A1304" s="2" t="s">
        <v>11992</v>
      </c>
      <c r="B1304" s="2"/>
      <c r="C1304" s="2" t="s">
        <v>11994</v>
      </c>
      <c r="D1304" s="2" t="s">
        <v>11996</v>
      </c>
      <c r="E1304" s="25"/>
      <c r="F1304" s="21"/>
      <c r="G1304" s="21"/>
      <c r="H1304" s="2" t="s">
        <v>10789</v>
      </c>
      <c r="I1304" s="2" t="s">
        <v>10787</v>
      </c>
      <c r="J1304" s="2" t="s">
        <v>11993</v>
      </c>
      <c r="K1304" s="2" t="s">
        <v>11995</v>
      </c>
      <c r="L1304" s="2" t="s">
        <v>11997</v>
      </c>
      <c r="M1304" s="2"/>
      <c r="N1304" s="2" t="s">
        <v>174</v>
      </c>
      <c r="O1304" s="2" t="s">
        <v>175</v>
      </c>
      <c r="P1304" s="2" t="s">
        <v>11998</v>
      </c>
      <c r="Q1304" s="2"/>
      <c r="R1304" s="2"/>
      <c r="S1304" s="2"/>
      <c r="T1304" s="2"/>
      <c r="U1304" s="2"/>
      <c r="V1304" s="2"/>
      <c r="W1304" s="2"/>
      <c r="X1304" s="2" t="s">
        <v>5430</v>
      </c>
      <c r="Y1304" s="2" t="s">
        <v>44</v>
      </c>
      <c r="Z1304" s="2"/>
      <c r="AA1304" s="2" t="s">
        <v>3527</v>
      </c>
      <c r="AB1304" s="2" t="s">
        <v>46</v>
      </c>
      <c r="AC1304" s="2" t="s">
        <v>3527</v>
      </c>
      <c r="AE1304" s="2" t="s">
        <v>10801</v>
      </c>
      <c r="AF1304" s="2" t="s">
        <v>7864</v>
      </c>
      <c r="AG1304" s="2">
        <v>100</v>
      </c>
      <c r="AH1304" s="2">
        <v>10</v>
      </c>
      <c r="AJ1304" s="2" t="s">
        <v>11999</v>
      </c>
      <c r="AK1304" s="2"/>
      <c r="AL1304" s="2"/>
      <c r="AM1304" s="2" t="s">
        <v>10791</v>
      </c>
    </row>
    <row r="1305" spans="1:39" x14ac:dyDescent="0.45">
      <c r="A1305" s="2" t="s">
        <v>12000</v>
      </c>
      <c r="B1305" s="2"/>
      <c r="C1305" s="2" t="s">
        <v>12002</v>
      </c>
      <c r="D1305" s="2" t="s">
        <v>12004</v>
      </c>
      <c r="E1305" s="25"/>
      <c r="F1305" s="21"/>
      <c r="G1305" s="21"/>
      <c r="H1305" s="2" t="s">
        <v>10789</v>
      </c>
      <c r="I1305" s="2" t="s">
        <v>10787</v>
      </c>
      <c r="J1305" s="2" t="s">
        <v>12001</v>
      </c>
      <c r="K1305" s="2" t="s">
        <v>12003</v>
      </c>
      <c r="L1305" s="2" t="s">
        <v>12005</v>
      </c>
      <c r="M1305" s="2"/>
      <c r="N1305" s="2" t="s">
        <v>312</v>
      </c>
      <c r="O1305" s="2" t="s">
        <v>313</v>
      </c>
      <c r="P1305" s="2" t="s">
        <v>314</v>
      </c>
      <c r="Q1305" s="2" t="s">
        <v>12003</v>
      </c>
      <c r="R1305" s="2"/>
      <c r="S1305" s="2"/>
      <c r="T1305" s="2"/>
      <c r="U1305" s="2" t="s">
        <v>312</v>
      </c>
      <c r="V1305" s="2" t="s">
        <v>313</v>
      </c>
      <c r="W1305" s="2" t="s">
        <v>314</v>
      </c>
      <c r="X1305" s="2" t="s">
        <v>1061</v>
      </c>
      <c r="Y1305" s="2" t="s">
        <v>44</v>
      </c>
      <c r="Z1305" s="2"/>
      <c r="AA1305" s="2" t="s">
        <v>3527</v>
      </c>
      <c r="AB1305" s="2" t="s">
        <v>46</v>
      </c>
      <c r="AC1305" s="2" t="s">
        <v>3527</v>
      </c>
      <c r="AE1305" s="2" t="s">
        <v>10801</v>
      </c>
      <c r="AF1305" s="2" t="s">
        <v>7864</v>
      </c>
      <c r="AG1305" s="2">
        <v>100</v>
      </c>
      <c r="AH1305" s="2">
        <v>10</v>
      </c>
      <c r="AJ1305" s="2" t="s">
        <v>12006</v>
      </c>
      <c r="AK1305" s="2"/>
      <c r="AL1305" s="2"/>
      <c r="AM1305" s="2" t="s">
        <v>10791</v>
      </c>
    </row>
    <row r="1306" spans="1:39" x14ac:dyDescent="0.45">
      <c r="A1306" s="2" t="s">
        <v>12007</v>
      </c>
      <c r="B1306" s="2"/>
      <c r="C1306" s="2" t="s">
        <v>12009</v>
      </c>
      <c r="D1306" s="2" t="s">
        <v>12011</v>
      </c>
      <c r="E1306" s="25"/>
      <c r="F1306" s="21"/>
      <c r="G1306" s="21"/>
      <c r="H1306" s="2" t="s">
        <v>10789</v>
      </c>
      <c r="I1306" s="2" t="s">
        <v>10787</v>
      </c>
      <c r="J1306" s="2" t="s">
        <v>12008</v>
      </c>
      <c r="K1306" s="2" t="s">
        <v>12010</v>
      </c>
      <c r="L1306" s="2" t="s">
        <v>12012</v>
      </c>
      <c r="M1306" s="2"/>
      <c r="N1306" s="2" t="s">
        <v>72</v>
      </c>
      <c r="O1306" s="2" t="s">
        <v>73</v>
      </c>
      <c r="P1306" s="2" t="s">
        <v>2222</v>
      </c>
      <c r="Q1306" s="2"/>
      <c r="R1306" s="2"/>
      <c r="S1306" s="2"/>
      <c r="T1306" s="2"/>
      <c r="U1306" s="2"/>
      <c r="V1306" s="2"/>
      <c r="W1306" s="2"/>
      <c r="X1306" s="2" t="s">
        <v>12013</v>
      </c>
      <c r="Y1306" s="2" t="s">
        <v>44</v>
      </c>
      <c r="Z1306" s="2"/>
      <c r="AA1306" s="2" t="s">
        <v>3527</v>
      </c>
      <c r="AB1306" s="2" t="s">
        <v>46</v>
      </c>
      <c r="AC1306" s="2" t="s">
        <v>3527</v>
      </c>
      <c r="AE1306" s="2" t="s">
        <v>10801</v>
      </c>
      <c r="AF1306" s="2" t="s">
        <v>7864</v>
      </c>
      <c r="AG1306" s="2">
        <v>100</v>
      </c>
      <c r="AH1306" s="2">
        <v>10</v>
      </c>
      <c r="AJ1306" s="2" t="s">
        <v>12014</v>
      </c>
      <c r="AK1306" s="2"/>
      <c r="AL1306" s="2"/>
      <c r="AM1306" s="2" t="s">
        <v>10791</v>
      </c>
    </row>
    <row r="1307" spans="1:39" x14ac:dyDescent="0.45">
      <c r="A1307" s="2" t="s">
        <v>12015</v>
      </c>
      <c r="B1307" s="2"/>
      <c r="C1307" s="2" t="s">
        <v>12017</v>
      </c>
      <c r="D1307" s="2" t="s">
        <v>12019</v>
      </c>
      <c r="E1307" s="25"/>
      <c r="F1307" s="21"/>
      <c r="G1307" s="21"/>
      <c r="H1307" s="2" t="s">
        <v>10789</v>
      </c>
      <c r="I1307" s="2" t="s">
        <v>10787</v>
      </c>
      <c r="J1307" s="2" t="s">
        <v>12016</v>
      </c>
      <c r="K1307" s="2" t="s">
        <v>12018</v>
      </c>
      <c r="L1307" s="2" t="s">
        <v>12020</v>
      </c>
      <c r="M1307" s="2"/>
      <c r="N1307" s="2" t="s">
        <v>312</v>
      </c>
      <c r="O1307" s="2" t="s">
        <v>313</v>
      </c>
      <c r="P1307" s="2" t="s">
        <v>11535</v>
      </c>
      <c r="Q1307" s="2"/>
      <c r="R1307" s="2"/>
      <c r="S1307" s="2"/>
      <c r="T1307" s="2"/>
      <c r="U1307" s="2"/>
      <c r="V1307" s="2"/>
      <c r="W1307" s="2"/>
      <c r="X1307" s="2" t="s">
        <v>7581</v>
      </c>
      <c r="Y1307" s="2" t="s">
        <v>44</v>
      </c>
      <c r="Z1307" s="2"/>
      <c r="AA1307" s="2" t="s">
        <v>3527</v>
      </c>
      <c r="AB1307" s="2" t="s">
        <v>46</v>
      </c>
      <c r="AC1307" s="2" t="s">
        <v>3527</v>
      </c>
      <c r="AE1307" s="2" t="s">
        <v>10801</v>
      </c>
      <c r="AF1307" s="2" t="s">
        <v>7864</v>
      </c>
      <c r="AG1307" s="2">
        <v>100</v>
      </c>
      <c r="AH1307" s="2">
        <v>10</v>
      </c>
      <c r="AJ1307" s="2" t="s">
        <v>12021</v>
      </c>
      <c r="AK1307" s="2"/>
      <c r="AL1307" s="2"/>
      <c r="AM1307" s="2" t="s">
        <v>10791</v>
      </c>
    </row>
    <row r="1308" spans="1:39" x14ac:dyDescent="0.45">
      <c r="A1308" s="2" t="s">
        <v>12022</v>
      </c>
      <c r="B1308" s="2"/>
      <c r="C1308" s="2" t="s">
        <v>12024</v>
      </c>
      <c r="D1308" s="2" t="s">
        <v>12026</v>
      </c>
      <c r="E1308" s="25"/>
      <c r="F1308" s="21"/>
      <c r="G1308" s="21"/>
      <c r="H1308" s="2" t="s">
        <v>10789</v>
      </c>
      <c r="I1308" s="2" t="s">
        <v>12028</v>
      </c>
      <c r="J1308" s="2" t="s">
        <v>12023</v>
      </c>
      <c r="K1308" s="2" t="s">
        <v>12025</v>
      </c>
      <c r="L1308" s="2" t="s">
        <v>3562</v>
      </c>
      <c r="M1308" s="2" t="s">
        <v>3562</v>
      </c>
      <c r="N1308" s="2" t="s">
        <v>85</v>
      </c>
      <c r="O1308" s="2" t="s">
        <v>86</v>
      </c>
      <c r="P1308" s="2" t="s">
        <v>12027</v>
      </c>
      <c r="Q1308" s="2"/>
      <c r="R1308" s="2"/>
      <c r="S1308" s="2"/>
      <c r="T1308" s="2"/>
      <c r="U1308" s="2"/>
      <c r="V1308" s="2"/>
      <c r="W1308" s="2"/>
      <c r="X1308" s="2" t="s">
        <v>7581</v>
      </c>
      <c r="Y1308" s="2" t="s">
        <v>44</v>
      </c>
      <c r="Z1308" s="2"/>
      <c r="AA1308" s="2" t="s">
        <v>3527</v>
      </c>
      <c r="AB1308" s="2" t="s">
        <v>46</v>
      </c>
      <c r="AC1308" s="2" t="s">
        <v>3527</v>
      </c>
      <c r="AE1308" s="2" t="s">
        <v>10801</v>
      </c>
      <c r="AF1308" s="2" t="s">
        <v>7864</v>
      </c>
      <c r="AG1308" s="2">
        <v>100</v>
      </c>
      <c r="AH1308" s="2">
        <v>10</v>
      </c>
      <c r="AJ1308" s="2" t="s">
        <v>12029</v>
      </c>
      <c r="AK1308" s="2"/>
      <c r="AL1308" s="2"/>
      <c r="AM1308" s="2" t="s">
        <v>10791</v>
      </c>
    </row>
    <row r="1309" spans="1:39" x14ac:dyDescent="0.45">
      <c r="A1309" s="2" t="s">
        <v>12030</v>
      </c>
      <c r="B1309" s="2"/>
      <c r="C1309" s="2" t="s">
        <v>12032</v>
      </c>
      <c r="D1309" s="2" t="s">
        <v>12034</v>
      </c>
      <c r="E1309" s="25"/>
      <c r="F1309" s="21"/>
      <c r="G1309" s="21"/>
      <c r="H1309" s="2" t="s">
        <v>10789</v>
      </c>
      <c r="I1309" s="2" t="s">
        <v>10787</v>
      </c>
      <c r="J1309" s="2" t="s">
        <v>12031</v>
      </c>
      <c r="K1309" s="2" t="s">
        <v>12033</v>
      </c>
      <c r="L1309" s="2" t="s">
        <v>12035</v>
      </c>
      <c r="M1309" s="2" t="s">
        <v>12035</v>
      </c>
      <c r="N1309" s="2" t="s">
        <v>290</v>
      </c>
      <c r="O1309" s="2" t="s">
        <v>278</v>
      </c>
      <c r="P1309" s="2" t="s">
        <v>12036</v>
      </c>
      <c r="Q1309" s="2"/>
      <c r="R1309" s="2"/>
      <c r="S1309" s="2"/>
      <c r="T1309" s="2"/>
      <c r="U1309" s="2"/>
      <c r="V1309" s="2"/>
      <c r="W1309" s="2"/>
      <c r="X1309" s="2" t="s">
        <v>5488</v>
      </c>
      <c r="Y1309" s="2" t="s">
        <v>44</v>
      </c>
      <c r="Z1309" s="2"/>
      <c r="AA1309" s="2" t="s">
        <v>3527</v>
      </c>
      <c r="AB1309" s="2" t="s">
        <v>46</v>
      </c>
      <c r="AC1309" s="2" t="s">
        <v>3527</v>
      </c>
      <c r="AE1309" s="2" t="s">
        <v>10801</v>
      </c>
      <c r="AF1309" s="2" t="s">
        <v>7864</v>
      </c>
      <c r="AG1309" s="2">
        <v>100</v>
      </c>
      <c r="AH1309" s="2">
        <v>10</v>
      </c>
      <c r="AJ1309" s="2" t="s">
        <v>12037</v>
      </c>
      <c r="AK1309" s="2"/>
      <c r="AL1309" s="2"/>
      <c r="AM1309" s="2" t="s">
        <v>10791</v>
      </c>
    </row>
    <row r="1310" spans="1:39" x14ac:dyDescent="0.45">
      <c r="A1310" s="2" t="s">
        <v>12038</v>
      </c>
      <c r="B1310" s="2"/>
      <c r="C1310" s="2" t="s">
        <v>12040</v>
      </c>
      <c r="D1310" s="2" t="s">
        <v>10850</v>
      </c>
      <c r="E1310" s="25"/>
      <c r="F1310" s="21"/>
      <c r="G1310" s="21"/>
      <c r="H1310" s="2" t="s">
        <v>10789</v>
      </c>
      <c r="I1310" s="2" t="s">
        <v>10787</v>
      </c>
      <c r="J1310" s="2" t="s">
        <v>12039</v>
      </c>
      <c r="K1310" s="2" t="s">
        <v>12041</v>
      </c>
      <c r="L1310" s="2" t="s">
        <v>12042</v>
      </c>
      <c r="M1310" s="2" t="s">
        <v>12042</v>
      </c>
      <c r="N1310" s="2" t="s">
        <v>312</v>
      </c>
      <c r="O1310" s="2" t="s">
        <v>313</v>
      </c>
      <c r="P1310" s="2" t="s">
        <v>7647</v>
      </c>
      <c r="Q1310" s="2" t="s">
        <v>12041</v>
      </c>
      <c r="R1310" s="2"/>
      <c r="S1310" s="2"/>
      <c r="T1310" s="2"/>
      <c r="U1310" s="2" t="s">
        <v>312</v>
      </c>
      <c r="V1310" s="2" t="s">
        <v>313</v>
      </c>
      <c r="W1310" s="2" t="s">
        <v>7647</v>
      </c>
      <c r="X1310" s="2" t="s">
        <v>7597</v>
      </c>
      <c r="Y1310" s="2" t="s">
        <v>44</v>
      </c>
      <c r="Z1310" s="2"/>
      <c r="AA1310" s="2" t="s">
        <v>3527</v>
      </c>
      <c r="AB1310" s="2" t="s">
        <v>46</v>
      </c>
      <c r="AC1310" s="2" t="s">
        <v>3527</v>
      </c>
      <c r="AE1310" s="2" t="s">
        <v>10801</v>
      </c>
      <c r="AF1310" s="2" t="s">
        <v>7864</v>
      </c>
      <c r="AG1310" s="2">
        <v>100</v>
      </c>
      <c r="AH1310" s="2">
        <v>10</v>
      </c>
      <c r="AJ1310" s="2" t="s">
        <v>12043</v>
      </c>
      <c r="AK1310" s="2"/>
      <c r="AL1310" s="2"/>
      <c r="AM1310" s="2" t="s">
        <v>10791</v>
      </c>
    </row>
    <row r="1311" spans="1:39" x14ac:dyDescent="0.45">
      <c r="A1311" s="2" t="s">
        <v>12044</v>
      </c>
      <c r="B1311" s="2"/>
      <c r="C1311" s="2" t="s">
        <v>12046</v>
      </c>
      <c r="D1311" s="2" t="s">
        <v>12048</v>
      </c>
      <c r="E1311" s="25"/>
      <c r="F1311" s="21"/>
      <c r="G1311" s="21"/>
      <c r="H1311" s="2" t="s">
        <v>10789</v>
      </c>
      <c r="I1311" s="2" t="s">
        <v>10787</v>
      </c>
      <c r="J1311" s="2" t="s">
        <v>12045</v>
      </c>
      <c r="K1311" s="2" t="s">
        <v>12047</v>
      </c>
      <c r="L1311" s="2" t="s">
        <v>12049</v>
      </c>
      <c r="M1311" s="2"/>
      <c r="N1311" s="2" t="s">
        <v>324</v>
      </c>
      <c r="O1311" s="2" t="s">
        <v>73</v>
      </c>
      <c r="P1311" s="2" t="s">
        <v>7664</v>
      </c>
      <c r="Q1311" s="2"/>
      <c r="R1311" s="2"/>
      <c r="S1311" s="2"/>
      <c r="T1311" s="2"/>
      <c r="U1311" s="2"/>
      <c r="V1311" s="2"/>
      <c r="W1311" s="2"/>
      <c r="X1311" s="2" t="s">
        <v>12050</v>
      </c>
      <c r="Y1311" s="2" t="s">
        <v>44</v>
      </c>
      <c r="Z1311" s="2"/>
      <c r="AA1311" s="2" t="s">
        <v>3527</v>
      </c>
      <c r="AB1311" s="2" t="s">
        <v>46</v>
      </c>
      <c r="AC1311" s="2" t="s">
        <v>3527</v>
      </c>
      <c r="AE1311" s="2" t="s">
        <v>10801</v>
      </c>
      <c r="AF1311" s="2" t="s">
        <v>7864</v>
      </c>
      <c r="AG1311" s="2">
        <v>100</v>
      </c>
      <c r="AH1311" s="2">
        <v>10</v>
      </c>
      <c r="AJ1311" s="2" t="s">
        <v>12051</v>
      </c>
      <c r="AK1311" s="2"/>
      <c r="AL1311" s="2"/>
      <c r="AM1311" s="2" t="s">
        <v>10791</v>
      </c>
    </row>
    <row r="1312" spans="1:39" x14ac:dyDescent="0.45">
      <c r="A1312" s="2" t="s">
        <v>12052</v>
      </c>
      <c r="B1312" s="2"/>
      <c r="C1312" s="2" t="s">
        <v>12054</v>
      </c>
      <c r="D1312" s="2" t="s">
        <v>12056</v>
      </c>
      <c r="E1312" s="25"/>
      <c r="F1312" s="21"/>
      <c r="G1312" s="21"/>
      <c r="H1312" s="2" t="s">
        <v>10789</v>
      </c>
      <c r="I1312" s="2" t="s">
        <v>10787</v>
      </c>
      <c r="J1312" s="2" t="s">
        <v>12053</v>
      </c>
      <c r="K1312" s="2" t="s">
        <v>12055</v>
      </c>
      <c r="L1312" s="2" t="s">
        <v>12057</v>
      </c>
      <c r="M1312" s="2"/>
      <c r="N1312" s="2" t="s">
        <v>312</v>
      </c>
      <c r="O1312" s="2" t="s">
        <v>313</v>
      </c>
      <c r="P1312" s="2" t="s">
        <v>11535</v>
      </c>
      <c r="Q1312" s="2"/>
      <c r="R1312" s="2"/>
      <c r="S1312" s="2"/>
      <c r="T1312" s="2"/>
      <c r="U1312" s="2"/>
      <c r="V1312" s="2"/>
      <c r="W1312" s="2"/>
      <c r="X1312" s="2" t="s">
        <v>3341</v>
      </c>
      <c r="Y1312" s="2" t="s">
        <v>44</v>
      </c>
      <c r="Z1312" s="2"/>
      <c r="AA1312" s="2" t="s">
        <v>3527</v>
      </c>
      <c r="AB1312" s="2" t="s">
        <v>46</v>
      </c>
      <c r="AC1312" s="2" t="s">
        <v>3527</v>
      </c>
      <c r="AE1312" s="2" t="s">
        <v>10801</v>
      </c>
      <c r="AF1312" s="2" t="s">
        <v>7864</v>
      </c>
      <c r="AG1312" s="2">
        <v>100</v>
      </c>
      <c r="AH1312" s="2">
        <v>10</v>
      </c>
      <c r="AJ1312" s="2" t="s">
        <v>12058</v>
      </c>
      <c r="AK1312" s="2"/>
      <c r="AL1312" s="2"/>
      <c r="AM1312" s="2" t="s">
        <v>10791</v>
      </c>
    </row>
    <row r="1313" spans="1:39" x14ac:dyDescent="0.45">
      <c r="A1313" s="2" t="s">
        <v>12059</v>
      </c>
      <c r="B1313" s="2"/>
      <c r="C1313" s="2" t="s">
        <v>12061</v>
      </c>
      <c r="D1313" s="2" t="s">
        <v>12063</v>
      </c>
      <c r="E1313" s="25"/>
      <c r="F1313" s="21"/>
      <c r="G1313" s="21"/>
      <c r="H1313" s="2" t="s">
        <v>10789</v>
      </c>
      <c r="I1313" s="2" t="s">
        <v>10787</v>
      </c>
      <c r="J1313" s="2" t="s">
        <v>12060</v>
      </c>
      <c r="K1313" s="2" t="s">
        <v>12062</v>
      </c>
      <c r="L1313" s="2" t="s">
        <v>3562</v>
      </c>
      <c r="M1313" s="2" t="s">
        <v>3562</v>
      </c>
      <c r="N1313" s="2" t="s">
        <v>312</v>
      </c>
      <c r="O1313" s="2" t="s">
        <v>313</v>
      </c>
      <c r="P1313" s="2" t="s">
        <v>7647</v>
      </c>
      <c r="Q1313" s="2"/>
      <c r="R1313" s="2"/>
      <c r="S1313" s="2"/>
      <c r="T1313" s="2"/>
      <c r="U1313" s="2"/>
      <c r="V1313" s="2"/>
      <c r="W1313" s="2"/>
      <c r="X1313" s="2" t="s">
        <v>963</v>
      </c>
      <c r="Y1313" s="2" t="s">
        <v>44</v>
      </c>
      <c r="Z1313" s="2"/>
      <c r="AA1313" s="2" t="s">
        <v>3527</v>
      </c>
      <c r="AB1313" s="2" t="s">
        <v>46</v>
      </c>
      <c r="AC1313" s="2" t="s">
        <v>3527</v>
      </c>
      <c r="AE1313" s="2" t="s">
        <v>10801</v>
      </c>
      <c r="AF1313" s="2" t="s">
        <v>7864</v>
      </c>
      <c r="AG1313" s="2">
        <v>100</v>
      </c>
      <c r="AH1313" s="2">
        <v>10</v>
      </c>
      <c r="AJ1313" s="2" t="s">
        <v>12064</v>
      </c>
      <c r="AK1313" s="2"/>
      <c r="AL1313" s="2"/>
      <c r="AM1313" s="2" t="s">
        <v>10791</v>
      </c>
    </row>
    <row r="1314" spans="1:39" x14ac:dyDescent="0.45">
      <c r="A1314" s="2" t="s">
        <v>12065</v>
      </c>
      <c r="B1314" s="2"/>
      <c r="C1314" s="2" t="s">
        <v>12067</v>
      </c>
      <c r="D1314" s="2" t="s">
        <v>12069</v>
      </c>
      <c r="E1314" s="25"/>
      <c r="F1314" s="21"/>
      <c r="G1314" s="21"/>
      <c r="H1314" s="2" t="s">
        <v>10789</v>
      </c>
      <c r="I1314" s="2" t="s">
        <v>10787</v>
      </c>
      <c r="J1314" s="2" t="s">
        <v>12066</v>
      </c>
      <c r="K1314" s="2" t="s">
        <v>12068</v>
      </c>
      <c r="L1314" s="2" t="s">
        <v>12070</v>
      </c>
      <c r="M1314" s="2"/>
      <c r="N1314" s="2" t="s">
        <v>312</v>
      </c>
      <c r="O1314" s="2" t="s">
        <v>313</v>
      </c>
      <c r="P1314" s="2" t="s">
        <v>11652</v>
      </c>
      <c r="Q1314" s="2"/>
      <c r="R1314" s="2"/>
      <c r="S1314" s="2"/>
      <c r="T1314" s="2"/>
      <c r="U1314" s="2"/>
      <c r="V1314" s="2"/>
      <c r="W1314" s="2"/>
      <c r="X1314" s="2" t="s">
        <v>752</v>
      </c>
      <c r="Y1314" s="2" t="s">
        <v>44</v>
      </c>
      <c r="Z1314" s="2"/>
      <c r="AA1314" s="2" t="s">
        <v>3527</v>
      </c>
      <c r="AB1314" s="2" t="s">
        <v>46</v>
      </c>
      <c r="AC1314" s="2" t="s">
        <v>3527</v>
      </c>
      <c r="AE1314" s="2" t="s">
        <v>10801</v>
      </c>
      <c r="AF1314" s="2" t="s">
        <v>7864</v>
      </c>
      <c r="AG1314" s="2">
        <v>100</v>
      </c>
      <c r="AH1314" s="2">
        <v>10</v>
      </c>
      <c r="AJ1314" s="2" t="s">
        <v>12071</v>
      </c>
      <c r="AK1314" s="2"/>
      <c r="AL1314" s="2"/>
      <c r="AM1314" s="2" t="s">
        <v>10791</v>
      </c>
    </row>
    <row r="1315" spans="1:39" x14ac:dyDescent="0.45">
      <c r="A1315" s="2" t="s">
        <v>12072</v>
      </c>
      <c r="B1315" s="2"/>
      <c r="C1315" s="2" t="s">
        <v>12074</v>
      </c>
      <c r="D1315" s="2" t="s">
        <v>12076</v>
      </c>
      <c r="E1315" s="25"/>
      <c r="F1315" s="21"/>
      <c r="G1315" s="21"/>
      <c r="H1315" s="2" t="s">
        <v>10789</v>
      </c>
      <c r="I1315" s="2" t="s">
        <v>10787</v>
      </c>
      <c r="J1315" s="2" t="s">
        <v>12073</v>
      </c>
      <c r="K1315" s="2" t="s">
        <v>12075</v>
      </c>
      <c r="L1315" s="2" t="s">
        <v>12077</v>
      </c>
      <c r="M1315" s="2" t="s">
        <v>12077</v>
      </c>
      <c r="N1315" s="2" t="s">
        <v>312</v>
      </c>
      <c r="O1315" s="2" t="s">
        <v>313</v>
      </c>
      <c r="P1315" s="2" t="s">
        <v>11652</v>
      </c>
      <c r="Q1315" s="2" t="s">
        <v>12075</v>
      </c>
      <c r="R1315" s="2"/>
      <c r="S1315" s="2"/>
      <c r="T1315" s="2"/>
      <c r="U1315" s="2" t="s">
        <v>312</v>
      </c>
      <c r="V1315" s="2" t="s">
        <v>313</v>
      </c>
      <c r="W1315" s="2" t="s">
        <v>11652</v>
      </c>
      <c r="X1315" s="2" t="s">
        <v>1419</v>
      </c>
      <c r="Y1315" s="2" t="s">
        <v>44</v>
      </c>
      <c r="Z1315" s="2"/>
      <c r="AA1315" s="2" t="s">
        <v>3527</v>
      </c>
      <c r="AB1315" s="2" t="s">
        <v>46</v>
      </c>
      <c r="AC1315" s="2" t="s">
        <v>3527</v>
      </c>
      <c r="AE1315" s="2" t="s">
        <v>10801</v>
      </c>
      <c r="AF1315" s="2" t="s">
        <v>7864</v>
      </c>
      <c r="AG1315" s="2">
        <v>100</v>
      </c>
      <c r="AH1315" s="2">
        <v>10</v>
      </c>
      <c r="AJ1315" s="2" t="s">
        <v>12078</v>
      </c>
      <c r="AK1315" s="2"/>
      <c r="AL1315" s="2"/>
      <c r="AM1315" s="2" t="s">
        <v>10791</v>
      </c>
    </row>
    <row r="1316" spans="1:39" x14ac:dyDescent="0.45">
      <c r="A1316" s="2" t="s">
        <v>12079</v>
      </c>
      <c r="B1316" s="2"/>
      <c r="C1316" s="2" t="s">
        <v>12081</v>
      </c>
      <c r="D1316" s="2" t="s">
        <v>12083</v>
      </c>
      <c r="E1316" s="25"/>
      <c r="F1316" s="21"/>
      <c r="G1316" s="21"/>
      <c r="H1316" s="2" t="s">
        <v>10789</v>
      </c>
      <c r="I1316" s="2" t="s">
        <v>10787</v>
      </c>
      <c r="J1316" s="2" t="s">
        <v>12080</v>
      </c>
      <c r="K1316" s="2" t="s">
        <v>12082</v>
      </c>
      <c r="L1316" s="2" t="s">
        <v>12084</v>
      </c>
      <c r="M1316" s="2"/>
      <c r="N1316" s="2" t="s">
        <v>324</v>
      </c>
      <c r="O1316" s="2" t="s">
        <v>73</v>
      </c>
      <c r="P1316" s="2" t="s">
        <v>9939</v>
      </c>
      <c r="Q1316" s="2"/>
      <c r="R1316" s="2"/>
      <c r="S1316" s="2"/>
      <c r="T1316" s="2"/>
      <c r="U1316" s="2"/>
      <c r="V1316" s="2"/>
      <c r="W1316" s="2"/>
      <c r="X1316" s="2" t="s">
        <v>1419</v>
      </c>
      <c r="Y1316" s="2" t="s">
        <v>44</v>
      </c>
      <c r="Z1316" s="2"/>
      <c r="AA1316" s="2" t="s">
        <v>3527</v>
      </c>
      <c r="AB1316" s="2" t="s">
        <v>46</v>
      </c>
      <c r="AC1316" s="2" t="s">
        <v>3527</v>
      </c>
      <c r="AE1316" s="2" t="s">
        <v>10801</v>
      </c>
      <c r="AF1316" s="2" t="s">
        <v>7864</v>
      </c>
      <c r="AG1316" s="2">
        <v>100</v>
      </c>
      <c r="AH1316" s="2">
        <v>10</v>
      </c>
      <c r="AJ1316" s="2" t="s">
        <v>12085</v>
      </c>
      <c r="AK1316" s="2"/>
      <c r="AL1316" s="2"/>
      <c r="AM1316" s="2" t="s">
        <v>10791</v>
      </c>
    </row>
    <row r="1317" spans="1:39" x14ac:dyDescent="0.45">
      <c r="A1317" s="2" t="s">
        <v>12086</v>
      </c>
      <c r="B1317" s="2"/>
      <c r="C1317" s="2" t="s">
        <v>12088</v>
      </c>
      <c r="D1317" s="2" t="s">
        <v>12090</v>
      </c>
      <c r="E1317" s="25"/>
      <c r="F1317" s="21"/>
      <c r="G1317" s="21"/>
      <c r="H1317" s="2" t="s">
        <v>10789</v>
      </c>
      <c r="I1317" s="2" t="s">
        <v>10787</v>
      </c>
      <c r="J1317" s="2" t="s">
        <v>12087</v>
      </c>
      <c r="K1317" s="2" t="s">
        <v>12089</v>
      </c>
      <c r="L1317" s="2" t="s">
        <v>12091</v>
      </c>
      <c r="M1317" s="2"/>
      <c r="N1317" s="2" t="s">
        <v>384</v>
      </c>
      <c r="O1317" s="2" t="s">
        <v>73</v>
      </c>
      <c r="P1317" s="2" t="s">
        <v>12092</v>
      </c>
      <c r="Q1317" s="2" t="s">
        <v>12089</v>
      </c>
      <c r="R1317" s="2"/>
      <c r="S1317" s="2"/>
      <c r="T1317" s="2"/>
      <c r="U1317" s="2" t="s">
        <v>384</v>
      </c>
      <c r="V1317" s="2" t="s">
        <v>73</v>
      </c>
      <c r="W1317" s="2" t="s">
        <v>12092</v>
      </c>
      <c r="X1317" s="2" t="s">
        <v>6193</v>
      </c>
      <c r="Y1317" s="2" t="s">
        <v>44</v>
      </c>
      <c r="Z1317" s="2"/>
      <c r="AA1317" s="2" t="s">
        <v>3527</v>
      </c>
      <c r="AB1317" s="2" t="s">
        <v>46</v>
      </c>
      <c r="AC1317" s="2" t="s">
        <v>3527</v>
      </c>
      <c r="AE1317" s="2" t="s">
        <v>10801</v>
      </c>
      <c r="AF1317" s="2" t="s">
        <v>7864</v>
      </c>
      <c r="AG1317" s="2">
        <v>100</v>
      </c>
      <c r="AH1317" s="2">
        <v>10</v>
      </c>
      <c r="AJ1317" s="2" t="s">
        <v>12093</v>
      </c>
      <c r="AK1317" s="2"/>
      <c r="AL1317" s="2"/>
      <c r="AM1317" s="2" t="s">
        <v>10791</v>
      </c>
    </row>
    <row r="1318" spans="1:39" x14ac:dyDescent="0.45">
      <c r="A1318" s="2" t="s">
        <v>12094</v>
      </c>
      <c r="B1318" s="2"/>
      <c r="C1318" s="2" t="s">
        <v>12096</v>
      </c>
      <c r="D1318" s="2" t="s">
        <v>12098</v>
      </c>
      <c r="E1318" s="25"/>
      <c r="F1318" s="21"/>
      <c r="G1318" s="21"/>
      <c r="H1318" s="2" t="s">
        <v>10789</v>
      </c>
      <c r="I1318" s="2" t="s">
        <v>10787</v>
      </c>
      <c r="J1318" s="2" t="s">
        <v>12095</v>
      </c>
      <c r="K1318" s="2" t="s">
        <v>12097</v>
      </c>
      <c r="L1318" s="2" t="s">
        <v>12099</v>
      </c>
      <c r="M1318" s="2" t="s">
        <v>12099</v>
      </c>
      <c r="N1318" s="2" t="s">
        <v>312</v>
      </c>
      <c r="O1318" s="2" t="s">
        <v>313</v>
      </c>
      <c r="P1318" s="2" t="s">
        <v>314</v>
      </c>
      <c r="Q1318" s="2"/>
      <c r="R1318" s="2"/>
      <c r="S1318" s="2"/>
      <c r="T1318" s="2"/>
      <c r="U1318" s="2"/>
      <c r="V1318" s="2"/>
      <c r="W1318" s="2"/>
      <c r="X1318" s="2" t="s">
        <v>1082</v>
      </c>
      <c r="Y1318" s="2" t="s">
        <v>44</v>
      </c>
      <c r="Z1318" s="2"/>
      <c r="AA1318" s="2" t="s">
        <v>3527</v>
      </c>
      <c r="AB1318" s="2" t="s">
        <v>46</v>
      </c>
      <c r="AC1318" s="2" t="s">
        <v>3527</v>
      </c>
      <c r="AE1318" s="2" t="s">
        <v>10801</v>
      </c>
      <c r="AF1318" s="2" t="s">
        <v>7864</v>
      </c>
      <c r="AG1318" s="2">
        <v>100</v>
      </c>
      <c r="AH1318" s="2">
        <v>10</v>
      </c>
      <c r="AJ1318" s="2" t="s">
        <v>12100</v>
      </c>
      <c r="AK1318" s="2"/>
      <c r="AL1318" s="2"/>
      <c r="AM1318" s="2" t="s">
        <v>10791</v>
      </c>
    </row>
    <row r="1319" spans="1:39" x14ac:dyDescent="0.45">
      <c r="A1319" s="2" t="s">
        <v>12101</v>
      </c>
      <c r="B1319" s="2"/>
      <c r="C1319" s="2" t="s">
        <v>12103</v>
      </c>
      <c r="D1319" s="2" t="s">
        <v>12105</v>
      </c>
      <c r="E1319" s="25"/>
      <c r="F1319" s="21"/>
      <c r="G1319" s="21"/>
      <c r="H1319" s="2" t="s">
        <v>10789</v>
      </c>
      <c r="I1319" s="2" t="s">
        <v>10787</v>
      </c>
      <c r="J1319" s="2" t="s">
        <v>12102</v>
      </c>
      <c r="K1319" s="2" t="s">
        <v>12104</v>
      </c>
      <c r="L1319" s="2" t="s">
        <v>12106</v>
      </c>
      <c r="M1319" s="2"/>
      <c r="N1319" s="2" t="s">
        <v>384</v>
      </c>
      <c r="O1319" s="2" t="s">
        <v>73</v>
      </c>
      <c r="P1319" s="2" t="s">
        <v>11152</v>
      </c>
      <c r="Q1319" s="2"/>
      <c r="R1319" s="2"/>
      <c r="S1319" s="2"/>
      <c r="T1319" s="2"/>
      <c r="U1319" s="2"/>
      <c r="V1319" s="2"/>
      <c r="W1319" s="2"/>
      <c r="X1319" s="2" t="s">
        <v>7696</v>
      </c>
      <c r="Y1319" s="2" t="s">
        <v>44</v>
      </c>
      <c r="Z1319" s="2"/>
      <c r="AA1319" s="2" t="s">
        <v>3527</v>
      </c>
      <c r="AB1319" s="2" t="s">
        <v>46</v>
      </c>
      <c r="AC1319" s="2" t="s">
        <v>3527</v>
      </c>
      <c r="AE1319" s="2" t="s">
        <v>10801</v>
      </c>
      <c r="AF1319" s="2" t="s">
        <v>7864</v>
      </c>
      <c r="AG1319" s="2">
        <v>100</v>
      </c>
      <c r="AH1319" s="2">
        <v>10</v>
      </c>
      <c r="AJ1319" s="2" t="s">
        <v>12107</v>
      </c>
      <c r="AK1319" s="2"/>
      <c r="AL1319" s="2"/>
      <c r="AM1319" s="2" t="s">
        <v>10791</v>
      </c>
    </row>
    <row r="1320" spans="1:39" x14ac:dyDescent="0.45">
      <c r="A1320" s="2" t="s">
        <v>12108</v>
      </c>
      <c r="B1320" s="2"/>
      <c r="C1320" s="2" t="s">
        <v>12110</v>
      </c>
      <c r="D1320" s="2" t="s">
        <v>12112</v>
      </c>
      <c r="E1320" s="25"/>
      <c r="F1320" s="21"/>
      <c r="G1320" s="21"/>
      <c r="H1320" s="2" t="s">
        <v>10789</v>
      </c>
      <c r="I1320" s="2" t="s">
        <v>10787</v>
      </c>
      <c r="J1320" s="2" t="s">
        <v>12109</v>
      </c>
      <c r="K1320" s="2" t="s">
        <v>12111</v>
      </c>
      <c r="L1320" s="2" t="s">
        <v>3562</v>
      </c>
      <c r="M1320" s="2" t="s">
        <v>3562</v>
      </c>
      <c r="N1320" s="2" t="s">
        <v>312</v>
      </c>
      <c r="O1320" s="2" t="s">
        <v>313</v>
      </c>
      <c r="P1320" s="2" t="s">
        <v>7647</v>
      </c>
      <c r="Q1320" s="2" t="s">
        <v>12111</v>
      </c>
      <c r="R1320" s="2"/>
      <c r="S1320" s="2"/>
      <c r="T1320" s="2"/>
      <c r="U1320" s="2" t="s">
        <v>312</v>
      </c>
      <c r="V1320" s="2" t="s">
        <v>313</v>
      </c>
      <c r="W1320" s="2" t="s">
        <v>7647</v>
      </c>
      <c r="X1320" s="2" t="s">
        <v>11131</v>
      </c>
      <c r="Y1320" s="2" t="s">
        <v>44</v>
      </c>
      <c r="Z1320" s="2"/>
      <c r="AA1320" s="2" t="s">
        <v>3527</v>
      </c>
      <c r="AB1320" s="2" t="s">
        <v>46</v>
      </c>
      <c r="AC1320" s="2" t="s">
        <v>3527</v>
      </c>
      <c r="AE1320" s="2" t="s">
        <v>10801</v>
      </c>
      <c r="AF1320" s="2" t="s">
        <v>7864</v>
      </c>
      <c r="AG1320" s="2">
        <v>100</v>
      </c>
      <c r="AH1320" s="2">
        <v>10</v>
      </c>
      <c r="AJ1320" s="2" t="s">
        <v>12113</v>
      </c>
      <c r="AK1320" s="2"/>
      <c r="AL1320" s="2"/>
      <c r="AM1320" s="2" t="s">
        <v>10791</v>
      </c>
    </row>
    <row r="1321" spans="1:39" x14ac:dyDescent="0.45">
      <c r="A1321" s="2" t="s">
        <v>12114</v>
      </c>
      <c r="B1321" s="2"/>
      <c r="C1321" s="2" t="s">
        <v>12116</v>
      </c>
      <c r="D1321" s="2" t="s">
        <v>12118</v>
      </c>
      <c r="E1321" s="25"/>
      <c r="F1321" s="21"/>
      <c r="G1321" s="21"/>
      <c r="H1321" s="2" t="s">
        <v>10789</v>
      </c>
      <c r="I1321" s="2" t="s">
        <v>10787</v>
      </c>
      <c r="J1321" s="2" t="s">
        <v>12115</v>
      </c>
      <c r="K1321" s="2" t="s">
        <v>12117</v>
      </c>
      <c r="L1321" s="2" t="s">
        <v>3562</v>
      </c>
      <c r="M1321" s="2" t="s">
        <v>3562</v>
      </c>
      <c r="N1321" s="2" t="s">
        <v>651</v>
      </c>
      <c r="O1321" s="2" t="s">
        <v>86</v>
      </c>
      <c r="P1321" s="2" t="s">
        <v>12119</v>
      </c>
      <c r="Q1321" s="2" t="s">
        <v>12117</v>
      </c>
      <c r="R1321" s="2"/>
      <c r="S1321" s="2"/>
      <c r="T1321" s="2"/>
      <c r="U1321" s="2" t="s">
        <v>651</v>
      </c>
      <c r="V1321" s="2" t="s">
        <v>86</v>
      </c>
      <c r="W1321" s="2" t="s">
        <v>12119</v>
      </c>
      <c r="X1321" s="2" t="s">
        <v>9535</v>
      </c>
      <c r="Y1321" s="2" t="s">
        <v>44</v>
      </c>
      <c r="Z1321" s="2"/>
      <c r="AA1321" s="2" t="s">
        <v>3527</v>
      </c>
      <c r="AB1321" s="2" t="s">
        <v>46</v>
      </c>
      <c r="AC1321" s="2" t="s">
        <v>3527</v>
      </c>
      <c r="AE1321" s="2" t="s">
        <v>10801</v>
      </c>
      <c r="AF1321" s="2" t="s">
        <v>7864</v>
      </c>
      <c r="AG1321" s="2">
        <v>100</v>
      </c>
      <c r="AH1321" s="2">
        <v>10</v>
      </c>
      <c r="AJ1321" s="2" t="s">
        <v>12120</v>
      </c>
      <c r="AK1321" s="2"/>
      <c r="AL1321" s="2"/>
      <c r="AM1321" s="2" t="s">
        <v>10791</v>
      </c>
    </row>
    <row r="1322" spans="1:39" x14ac:dyDescent="0.45">
      <c r="A1322" s="2" t="s">
        <v>12121</v>
      </c>
      <c r="B1322" s="2"/>
      <c r="C1322" s="2" t="s">
        <v>12123</v>
      </c>
      <c r="D1322" s="2" t="s">
        <v>12125</v>
      </c>
      <c r="E1322" s="25"/>
      <c r="F1322" s="21"/>
      <c r="G1322" s="21"/>
      <c r="H1322" s="2" t="s">
        <v>10789</v>
      </c>
      <c r="I1322" s="2" t="s">
        <v>10787</v>
      </c>
      <c r="J1322" s="2" t="s">
        <v>12122</v>
      </c>
      <c r="K1322" s="2" t="s">
        <v>12124</v>
      </c>
      <c r="L1322" s="2" t="s">
        <v>12126</v>
      </c>
      <c r="M1322" s="2" t="s">
        <v>12126</v>
      </c>
      <c r="N1322" s="2" t="s">
        <v>59</v>
      </c>
      <c r="O1322" s="2" t="s">
        <v>60</v>
      </c>
      <c r="P1322" s="2" t="s">
        <v>12127</v>
      </c>
      <c r="Q1322" s="2" t="s">
        <v>12124</v>
      </c>
      <c r="R1322" s="2"/>
      <c r="S1322" s="2"/>
      <c r="T1322" s="2"/>
      <c r="U1322" s="2" t="s">
        <v>59</v>
      </c>
      <c r="V1322" s="2" t="s">
        <v>60</v>
      </c>
      <c r="W1322" s="2" t="s">
        <v>12127</v>
      </c>
      <c r="X1322" s="2" t="s">
        <v>8580</v>
      </c>
      <c r="Y1322" s="2" t="s">
        <v>44</v>
      </c>
      <c r="Z1322" s="2"/>
      <c r="AA1322" s="2" t="s">
        <v>3527</v>
      </c>
      <c r="AB1322" s="2" t="s">
        <v>46</v>
      </c>
      <c r="AC1322" s="2" t="s">
        <v>3527</v>
      </c>
      <c r="AE1322" s="2" t="s">
        <v>10801</v>
      </c>
      <c r="AF1322" s="2" t="s">
        <v>7864</v>
      </c>
      <c r="AG1322" s="2">
        <v>100</v>
      </c>
      <c r="AH1322" s="2">
        <v>10</v>
      </c>
      <c r="AJ1322" s="2" t="s">
        <v>12128</v>
      </c>
      <c r="AK1322" s="2"/>
      <c r="AL1322" s="2"/>
      <c r="AM1322" s="2" t="s">
        <v>10791</v>
      </c>
    </row>
    <row r="1323" spans="1:39" x14ac:dyDescent="0.45">
      <c r="A1323" s="2" t="s">
        <v>12129</v>
      </c>
      <c r="B1323" s="2"/>
      <c r="C1323" s="2" t="s">
        <v>12131</v>
      </c>
      <c r="D1323" s="2" t="s">
        <v>12133</v>
      </c>
      <c r="E1323" s="25"/>
      <c r="F1323" s="21"/>
      <c r="G1323" s="21"/>
      <c r="H1323" s="2" t="s">
        <v>10789</v>
      </c>
      <c r="I1323" s="2" t="s">
        <v>10787</v>
      </c>
      <c r="J1323" s="2" t="s">
        <v>12130</v>
      </c>
      <c r="K1323" s="2" t="s">
        <v>12132</v>
      </c>
      <c r="L1323" s="2" t="s">
        <v>12134</v>
      </c>
      <c r="M1323" s="2" t="s">
        <v>12134</v>
      </c>
      <c r="N1323" s="2" t="s">
        <v>312</v>
      </c>
      <c r="O1323" s="2" t="s">
        <v>313</v>
      </c>
      <c r="P1323" s="2" t="s">
        <v>10100</v>
      </c>
      <c r="Q1323" s="2" t="s">
        <v>12132</v>
      </c>
      <c r="R1323" s="2"/>
      <c r="S1323" s="2"/>
      <c r="T1323" s="2"/>
      <c r="U1323" s="2" t="s">
        <v>312</v>
      </c>
      <c r="V1323" s="2" t="s">
        <v>313</v>
      </c>
      <c r="W1323" s="2" t="s">
        <v>10100</v>
      </c>
      <c r="X1323" s="2" t="s">
        <v>8580</v>
      </c>
      <c r="Y1323" s="2" t="s">
        <v>44</v>
      </c>
      <c r="Z1323" s="2"/>
      <c r="AA1323" s="2" t="s">
        <v>3527</v>
      </c>
      <c r="AB1323" s="2" t="s">
        <v>46</v>
      </c>
      <c r="AC1323" s="2" t="s">
        <v>3527</v>
      </c>
      <c r="AE1323" s="2" t="s">
        <v>10801</v>
      </c>
      <c r="AF1323" s="2" t="s">
        <v>7864</v>
      </c>
      <c r="AG1323" s="2">
        <v>100</v>
      </c>
      <c r="AH1323" s="2">
        <v>10</v>
      </c>
      <c r="AJ1323" s="2" t="s">
        <v>12135</v>
      </c>
      <c r="AK1323" s="2"/>
      <c r="AL1323" s="2"/>
      <c r="AM1323" s="2" t="s">
        <v>10791</v>
      </c>
    </row>
    <row r="1324" spans="1:39" x14ac:dyDescent="0.45">
      <c r="A1324" s="2" t="s">
        <v>12136</v>
      </c>
      <c r="B1324" s="2"/>
      <c r="C1324" s="2" t="s">
        <v>12138</v>
      </c>
      <c r="D1324" s="2" t="s">
        <v>12140</v>
      </c>
      <c r="E1324" s="25"/>
      <c r="F1324" s="21"/>
      <c r="G1324" s="21"/>
      <c r="H1324" s="2" t="s">
        <v>10789</v>
      </c>
      <c r="I1324" s="2" t="s">
        <v>10787</v>
      </c>
      <c r="J1324" s="2" t="s">
        <v>12137</v>
      </c>
      <c r="K1324" s="2" t="s">
        <v>12139</v>
      </c>
      <c r="L1324" s="2" t="s">
        <v>12141</v>
      </c>
      <c r="M1324" s="2" t="s">
        <v>12141</v>
      </c>
      <c r="N1324" s="2" t="s">
        <v>312</v>
      </c>
      <c r="O1324" s="2" t="s">
        <v>313</v>
      </c>
      <c r="P1324" s="2" t="s">
        <v>7647</v>
      </c>
      <c r="Q1324" s="2" t="s">
        <v>12139</v>
      </c>
      <c r="R1324" s="2"/>
      <c r="S1324" s="2"/>
      <c r="T1324" s="2"/>
      <c r="U1324" s="2" t="s">
        <v>312</v>
      </c>
      <c r="V1324" s="2" t="s">
        <v>313</v>
      </c>
      <c r="W1324" s="2" t="s">
        <v>7647</v>
      </c>
      <c r="X1324" s="2" t="s">
        <v>8580</v>
      </c>
      <c r="Y1324" s="2" t="s">
        <v>44</v>
      </c>
      <c r="Z1324" s="2"/>
      <c r="AA1324" s="2" t="s">
        <v>3527</v>
      </c>
      <c r="AB1324" s="2" t="s">
        <v>46</v>
      </c>
      <c r="AC1324" s="2" t="s">
        <v>3527</v>
      </c>
      <c r="AE1324" s="2" t="s">
        <v>10801</v>
      </c>
      <c r="AF1324" s="2" t="s">
        <v>7864</v>
      </c>
      <c r="AG1324" s="2">
        <v>100</v>
      </c>
      <c r="AH1324" s="2">
        <v>10</v>
      </c>
      <c r="AJ1324" s="2" t="s">
        <v>12142</v>
      </c>
      <c r="AK1324" s="2"/>
      <c r="AL1324" s="2"/>
      <c r="AM1324" s="2" t="s">
        <v>10791</v>
      </c>
    </row>
    <row r="1325" spans="1:39" x14ac:dyDescent="0.45">
      <c r="A1325" s="2" t="s">
        <v>12143</v>
      </c>
      <c r="B1325" s="2"/>
      <c r="C1325" s="2" t="s">
        <v>12145</v>
      </c>
      <c r="D1325" s="2" t="s">
        <v>12147</v>
      </c>
      <c r="E1325" s="25"/>
      <c r="F1325" s="21"/>
      <c r="G1325" s="21"/>
      <c r="H1325" s="2" t="s">
        <v>10789</v>
      </c>
      <c r="I1325" s="2" t="s">
        <v>10787</v>
      </c>
      <c r="J1325" s="2" t="s">
        <v>12144</v>
      </c>
      <c r="K1325" s="2" t="s">
        <v>12146</v>
      </c>
      <c r="L1325" s="2" t="s">
        <v>12148</v>
      </c>
      <c r="M1325" s="2" t="s">
        <v>12148</v>
      </c>
      <c r="N1325" s="2" t="s">
        <v>72</v>
      </c>
      <c r="O1325" s="2" t="s">
        <v>73</v>
      </c>
      <c r="P1325" s="2" t="s">
        <v>2982</v>
      </c>
      <c r="Q1325" s="2" t="s">
        <v>12146</v>
      </c>
      <c r="R1325" s="2"/>
      <c r="S1325" s="2"/>
      <c r="T1325" s="2"/>
      <c r="U1325" s="2" t="s">
        <v>72</v>
      </c>
      <c r="V1325" s="2" t="s">
        <v>73</v>
      </c>
      <c r="W1325" s="2" t="s">
        <v>2982</v>
      </c>
      <c r="X1325" s="2" t="s">
        <v>5594</v>
      </c>
      <c r="Y1325" s="2" t="s">
        <v>44</v>
      </c>
      <c r="Z1325" s="2"/>
      <c r="AA1325" s="2" t="s">
        <v>3527</v>
      </c>
      <c r="AB1325" s="2" t="s">
        <v>46</v>
      </c>
      <c r="AC1325" s="2" t="s">
        <v>3527</v>
      </c>
      <c r="AE1325" s="2" t="s">
        <v>10801</v>
      </c>
      <c r="AF1325" s="2" t="s">
        <v>7864</v>
      </c>
      <c r="AG1325" s="2">
        <v>100</v>
      </c>
      <c r="AH1325" s="2">
        <v>10</v>
      </c>
      <c r="AJ1325" s="2" t="s">
        <v>12149</v>
      </c>
      <c r="AK1325" s="2"/>
      <c r="AL1325" s="2"/>
      <c r="AM1325" s="2" t="s">
        <v>10791</v>
      </c>
    </row>
    <row r="1326" spans="1:39" x14ac:dyDescent="0.45">
      <c r="A1326" s="2" t="s">
        <v>12150</v>
      </c>
      <c r="B1326" s="2"/>
      <c r="C1326" s="2" t="s">
        <v>12152</v>
      </c>
      <c r="D1326" s="2" t="s">
        <v>12154</v>
      </c>
      <c r="E1326" s="25"/>
      <c r="F1326" s="21"/>
      <c r="G1326" s="21"/>
      <c r="H1326" s="2" t="s">
        <v>10789</v>
      </c>
      <c r="I1326" s="2" t="s">
        <v>10787</v>
      </c>
      <c r="J1326" s="2" t="s">
        <v>12151</v>
      </c>
      <c r="K1326" s="2" t="s">
        <v>12153</v>
      </c>
      <c r="L1326" s="2" t="s">
        <v>12155</v>
      </c>
      <c r="M1326" s="2" t="s">
        <v>12155</v>
      </c>
      <c r="N1326" s="2" t="s">
        <v>312</v>
      </c>
      <c r="O1326" s="2" t="s">
        <v>313</v>
      </c>
      <c r="P1326" s="2" t="s">
        <v>11535</v>
      </c>
      <c r="Q1326" s="2"/>
      <c r="R1326" s="2"/>
      <c r="S1326" s="2"/>
      <c r="T1326" s="2"/>
      <c r="U1326" s="2"/>
      <c r="V1326" s="2"/>
      <c r="W1326" s="2"/>
      <c r="X1326" s="2" t="s">
        <v>5594</v>
      </c>
      <c r="Y1326" s="2" t="s">
        <v>44</v>
      </c>
      <c r="Z1326" s="2"/>
      <c r="AA1326" s="2" t="s">
        <v>3527</v>
      </c>
      <c r="AB1326" s="2" t="s">
        <v>46</v>
      </c>
      <c r="AC1326" s="2" t="s">
        <v>3527</v>
      </c>
      <c r="AE1326" s="2" t="s">
        <v>10801</v>
      </c>
      <c r="AF1326" s="2" t="s">
        <v>7864</v>
      </c>
      <c r="AG1326" s="2">
        <v>100</v>
      </c>
      <c r="AH1326" s="2">
        <v>10</v>
      </c>
      <c r="AJ1326" s="2" t="s">
        <v>12156</v>
      </c>
      <c r="AK1326" s="2"/>
      <c r="AL1326" s="2"/>
      <c r="AM1326" s="2" t="s">
        <v>10791</v>
      </c>
    </row>
    <row r="1327" spans="1:39" x14ac:dyDescent="0.45">
      <c r="A1327" s="2" t="s">
        <v>12157</v>
      </c>
      <c r="B1327" s="2"/>
      <c r="C1327" s="2" t="s">
        <v>12159</v>
      </c>
      <c r="D1327" s="2" t="s">
        <v>12161</v>
      </c>
      <c r="E1327" s="25"/>
      <c r="F1327" s="21"/>
      <c r="G1327" s="21"/>
      <c r="H1327" s="2" t="s">
        <v>10789</v>
      </c>
      <c r="I1327" s="2" t="s">
        <v>10787</v>
      </c>
      <c r="J1327" s="2" t="s">
        <v>12158</v>
      </c>
      <c r="K1327" s="2" t="s">
        <v>12160</v>
      </c>
      <c r="L1327" s="2" t="s">
        <v>12162</v>
      </c>
      <c r="M1327" s="2" t="s">
        <v>12162</v>
      </c>
      <c r="N1327" s="2" t="s">
        <v>312</v>
      </c>
      <c r="O1327" s="2" t="s">
        <v>313</v>
      </c>
      <c r="P1327" s="2" t="s">
        <v>10100</v>
      </c>
      <c r="Q1327" s="2"/>
      <c r="R1327" s="2"/>
      <c r="S1327" s="2"/>
      <c r="T1327" s="2"/>
      <c r="U1327" s="2"/>
      <c r="V1327" s="2"/>
      <c r="W1327" s="2"/>
      <c r="X1327" s="2" t="s">
        <v>7730</v>
      </c>
      <c r="Y1327" s="2" t="s">
        <v>44</v>
      </c>
      <c r="Z1327" s="2"/>
      <c r="AA1327" s="2" t="s">
        <v>3527</v>
      </c>
      <c r="AB1327" s="2" t="s">
        <v>46</v>
      </c>
      <c r="AC1327" s="2" t="s">
        <v>3527</v>
      </c>
      <c r="AE1327" s="2" t="s">
        <v>10801</v>
      </c>
      <c r="AF1327" s="2" t="s">
        <v>7864</v>
      </c>
      <c r="AG1327" s="2">
        <v>100</v>
      </c>
      <c r="AH1327" s="2">
        <v>10</v>
      </c>
      <c r="AJ1327" s="2" t="s">
        <v>12163</v>
      </c>
      <c r="AK1327" s="2"/>
      <c r="AL1327" s="2"/>
      <c r="AM1327" s="2" t="s">
        <v>10791</v>
      </c>
    </row>
    <row r="1328" spans="1:39" x14ac:dyDescent="0.45">
      <c r="A1328" s="2" t="s">
        <v>12164</v>
      </c>
      <c r="B1328" s="2"/>
      <c r="C1328" s="2" t="s">
        <v>12166</v>
      </c>
      <c r="D1328" s="2" t="s">
        <v>12168</v>
      </c>
      <c r="E1328" s="25"/>
      <c r="F1328" s="21"/>
      <c r="G1328" s="21"/>
      <c r="H1328" s="2" t="s">
        <v>10789</v>
      </c>
      <c r="I1328" s="2" t="s">
        <v>10787</v>
      </c>
      <c r="J1328" s="2" t="s">
        <v>12165</v>
      </c>
      <c r="K1328" s="2" t="s">
        <v>12167</v>
      </c>
      <c r="L1328" s="2" t="s">
        <v>12169</v>
      </c>
      <c r="M1328" s="2" t="s">
        <v>12169</v>
      </c>
      <c r="N1328" s="2" t="s">
        <v>312</v>
      </c>
      <c r="O1328" s="2" t="s">
        <v>313</v>
      </c>
      <c r="P1328" s="2" t="s">
        <v>11535</v>
      </c>
      <c r="Q1328" s="2" t="s">
        <v>12167</v>
      </c>
      <c r="R1328" s="2"/>
      <c r="S1328" s="2"/>
      <c r="T1328" s="2"/>
      <c r="U1328" s="2" t="s">
        <v>312</v>
      </c>
      <c r="V1328" s="2" t="s">
        <v>313</v>
      </c>
      <c r="W1328" s="2" t="s">
        <v>11535</v>
      </c>
      <c r="X1328" s="2" t="s">
        <v>7730</v>
      </c>
      <c r="Y1328" s="2" t="s">
        <v>44</v>
      </c>
      <c r="Z1328" s="2"/>
      <c r="AA1328" s="2" t="s">
        <v>3527</v>
      </c>
      <c r="AB1328" s="2" t="s">
        <v>46</v>
      </c>
      <c r="AC1328" s="2" t="s">
        <v>3527</v>
      </c>
      <c r="AE1328" s="2" t="s">
        <v>10801</v>
      </c>
      <c r="AF1328" s="2" t="s">
        <v>7864</v>
      </c>
      <c r="AG1328" s="2">
        <v>100</v>
      </c>
      <c r="AH1328" s="2">
        <v>10</v>
      </c>
      <c r="AJ1328" s="2" t="s">
        <v>12170</v>
      </c>
      <c r="AK1328" s="2"/>
      <c r="AL1328" s="2"/>
      <c r="AM1328" s="2" t="s">
        <v>10791</v>
      </c>
    </row>
    <row r="1329" spans="1:39" x14ac:dyDescent="0.45">
      <c r="A1329" s="2" t="s">
        <v>12171</v>
      </c>
      <c r="B1329" s="2"/>
      <c r="C1329" s="2" t="s">
        <v>12173</v>
      </c>
      <c r="D1329" s="2" t="s">
        <v>12175</v>
      </c>
      <c r="E1329" s="25"/>
      <c r="F1329" s="21"/>
      <c r="G1329" s="21"/>
      <c r="H1329" s="2" t="s">
        <v>10789</v>
      </c>
      <c r="I1329" s="2" t="s">
        <v>10787</v>
      </c>
      <c r="J1329" s="2" t="s">
        <v>12172</v>
      </c>
      <c r="K1329" s="2" t="s">
        <v>12174</v>
      </c>
      <c r="L1329" s="2" t="s">
        <v>12176</v>
      </c>
      <c r="M1329" s="2"/>
      <c r="N1329" s="2" t="s">
        <v>59</v>
      </c>
      <c r="O1329" s="2" t="s">
        <v>60</v>
      </c>
      <c r="P1329" s="2" t="s">
        <v>10241</v>
      </c>
      <c r="Q1329" s="2" t="s">
        <v>12174</v>
      </c>
      <c r="R1329" s="2"/>
      <c r="S1329" s="2"/>
      <c r="T1329" s="2"/>
      <c r="U1329" s="2" t="s">
        <v>59</v>
      </c>
      <c r="V1329" s="2" t="s">
        <v>60</v>
      </c>
      <c r="W1329" s="2" t="s">
        <v>10241</v>
      </c>
      <c r="X1329" s="2" t="s">
        <v>7730</v>
      </c>
      <c r="Y1329" s="2" t="s">
        <v>44</v>
      </c>
      <c r="Z1329" s="2"/>
      <c r="AA1329" s="2" t="s">
        <v>3527</v>
      </c>
      <c r="AB1329" s="2" t="s">
        <v>46</v>
      </c>
      <c r="AC1329" s="2" t="s">
        <v>3527</v>
      </c>
      <c r="AE1329" s="2" t="s">
        <v>10801</v>
      </c>
      <c r="AF1329" s="2" t="s">
        <v>7864</v>
      </c>
      <c r="AG1329" s="2">
        <v>100</v>
      </c>
      <c r="AH1329" s="2">
        <v>10</v>
      </c>
      <c r="AJ1329" s="2" t="s">
        <v>12177</v>
      </c>
      <c r="AK1329" s="2"/>
      <c r="AL1329" s="2"/>
      <c r="AM1329" s="2" t="s">
        <v>10791</v>
      </c>
    </row>
    <row r="1330" spans="1:39" x14ac:dyDescent="0.45">
      <c r="A1330" s="2" t="s">
        <v>12178</v>
      </c>
      <c r="B1330" s="2"/>
      <c r="C1330" s="2" t="s">
        <v>12180</v>
      </c>
      <c r="D1330" s="2" t="s">
        <v>12182</v>
      </c>
      <c r="E1330" s="25"/>
      <c r="F1330" s="21"/>
      <c r="G1330" s="21"/>
      <c r="H1330" s="2" t="s">
        <v>10789</v>
      </c>
      <c r="I1330" s="2" t="s">
        <v>10787</v>
      </c>
      <c r="J1330" s="2" t="s">
        <v>12179</v>
      </c>
      <c r="K1330" s="2" t="s">
        <v>12181</v>
      </c>
      <c r="L1330" s="2" t="s">
        <v>12183</v>
      </c>
      <c r="M1330" s="2" t="s">
        <v>12183</v>
      </c>
      <c r="N1330" s="2" t="s">
        <v>324</v>
      </c>
      <c r="O1330" s="2" t="s">
        <v>73</v>
      </c>
      <c r="P1330" s="2" t="s">
        <v>4463</v>
      </c>
      <c r="Q1330" s="2" t="s">
        <v>12181</v>
      </c>
      <c r="R1330" s="2"/>
      <c r="S1330" s="2"/>
      <c r="T1330" s="2"/>
      <c r="U1330" s="2" t="s">
        <v>324</v>
      </c>
      <c r="V1330" s="2" t="s">
        <v>73</v>
      </c>
      <c r="W1330" s="2" t="s">
        <v>4463</v>
      </c>
      <c r="X1330" s="2" t="s">
        <v>7730</v>
      </c>
      <c r="Y1330" s="2" t="s">
        <v>44</v>
      </c>
      <c r="Z1330" s="2"/>
      <c r="AA1330" s="2" t="s">
        <v>3527</v>
      </c>
      <c r="AB1330" s="2" t="s">
        <v>46</v>
      </c>
      <c r="AC1330" s="2" t="s">
        <v>3527</v>
      </c>
      <c r="AE1330" s="2" t="s">
        <v>10801</v>
      </c>
      <c r="AF1330" s="2" t="s">
        <v>7864</v>
      </c>
      <c r="AG1330" s="2">
        <v>100</v>
      </c>
      <c r="AH1330" s="2">
        <v>10</v>
      </c>
      <c r="AJ1330" s="2" t="s">
        <v>12184</v>
      </c>
      <c r="AK1330" s="2"/>
      <c r="AL1330" s="2"/>
      <c r="AM1330" s="2" t="s">
        <v>10791</v>
      </c>
    </row>
    <row r="1331" spans="1:39" x14ac:dyDescent="0.45">
      <c r="A1331" s="2" t="s">
        <v>12185</v>
      </c>
      <c r="B1331" s="2"/>
      <c r="C1331" s="2" t="s">
        <v>12187</v>
      </c>
      <c r="D1331" s="2" t="s">
        <v>12189</v>
      </c>
      <c r="E1331" s="25"/>
      <c r="F1331" s="21"/>
      <c r="G1331" s="21"/>
      <c r="H1331" s="2" t="s">
        <v>10789</v>
      </c>
      <c r="I1331" s="2" t="s">
        <v>11537</v>
      </c>
      <c r="J1331" s="2" t="s">
        <v>12186</v>
      </c>
      <c r="K1331" s="2" t="s">
        <v>12188</v>
      </c>
      <c r="L1331" s="2" t="s">
        <v>3562</v>
      </c>
      <c r="M1331" s="2" t="s">
        <v>3562</v>
      </c>
      <c r="N1331" s="2" t="s">
        <v>72</v>
      </c>
      <c r="O1331" s="2" t="s">
        <v>73</v>
      </c>
      <c r="P1331" s="2" t="s">
        <v>720</v>
      </c>
      <c r="Q1331" s="2" t="s">
        <v>12188</v>
      </c>
      <c r="R1331" s="2"/>
      <c r="S1331" s="2"/>
      <c r="T1331" s="2"/>
      <c r="U1331" s="2" t="s">
        <v>72</v>
      </c>
      <c r="V1331" s="2" t="s">
        <v>73</v>
      </c>
      <c r="W1331" s="2" t="s">
        <v>720</v>
      </c>
      <c r="X1331" s="2" t="s">
        <v>6685</v>
      </c>
      <c r="Y1331" s="2" t="s">
        <v>44</v>
      </c>
      <c r="Z1331" s="2"/>
      <c r="AA1331" s="2" t="s">
        <v>3527</v>
      </c>
      <c r="AB1331" s="2" t="s">
        <v>46</v>
      </c>
      <c r="AC1331" s="2" t="s">
        <v>3527</v>
      </c>
      <c r="AE1331" s="2" t="s">
        <v>10801</v>
      </c>
      <c r="AF1331" s="2" t="s">
        <v>7864</v>
      </c>
      <c r="AG1331" s="2">
        <v>100</v>
      </c>
      <c r="AH1331" s="2">
        <v>10</v>
      </c>
      <c r="AJ1331" s="2" t="s">
        <v>12190</v>
      </c>
      <c r="AK1331" s="2"/>
      <c r="AL1331" s="2"/>
      <c r="AM1331" s="2" t="s">
        <v>10791</v>
      </c>
    </row>
    <row r="1332" spans="1:39" x14ac:dyDescent="0.45">
      <c r="A1332" s="2" t="s">
        <v>12191</v>
      </c>
      <c r="B1332" s="2"/>
      <c r="C1332" s="2" t="s">
        <v>12193</v>
      </c>
      <c r="D1332" s="2" t="s">
        <v>12195</v>
      </c>
      <c r="E1332" s="25"/>
      <c r="F1332" s="21"/>
      <c r="G1332" s="21"/>
      <c r="H1332" s="2" t="s">
        <v>10789</v>
      </c>
      <c r="I1332" s="2" t="s">
        <v>10787</v>
      </c>
      <c r="J1332" s="2" t="s">
        <v>12192</v>
      </c>
      <c r="K1332" s="2" t="s">
        <v>12194</v>
      </c>
      <c r="L1332" s="2" t="s">
        <v>12196</v>
      </c>
      <c r="M1332" s="2" t="s">
        <v>12196</v>
      </c>
      <c r="N1332" s="2" t="s">
        <v>312</v>
      </c>
      <c r="O1332" s="2" t="s">
        <v>313</v>
      </c>
      <c r="P1332" s="2" t="s">
        <v>11652</v>
      </c>
      <c r="Q1332" s="2" t="s">
        <v>12194</v>
      </c>
      <c r="R1332" s="2"/>
      <c r="S1332" s="2"/>
      <c r="T1332" s="2"/>
      <c r="U1332" s="2" t="s">
        <v>312</v>
      </c>
      <c r="V1332" s="2" t="s">
        <v>313</v>
      </c>
      <c r="W1332" s="2" t="s">
        <v>11652</v>
      </c>
      <c r="X1332" s="2" t="s">
        <v>6685</v>
      </c>
      <c r="Y1332" s="2" t="s">
        <v>44</v>
      </c>
      <c r="Z1332" s="2"/>
      <c r="AA1332" s="2" t="s">
        <v>3527</v>
      </c>
      <c r="AB1332" s="2" t="s">
        <v>46</v>
      </c>
      <c r="AC1332" s="2" t="s">
        <v>3527</v>
      </c>
      <c r="AE1332" s="2" t="s">
        <v>10801</v>
      </c>
      <c r="AF1332" s="2" t="s">
        <v>7864</v>
      </c>
      <c r="AG1332" s="2">
        <v>100</v>
      </c>
      <c r="AH1332" s="2">
        <v>10</v>
      </c>
      <c r="AJ1332" s="2" t="s">
        <v>12197</v>
      </c>
      <c r="AK1332" s="2"/>
      <c r="AL1332" s="2"/>
      <c r="AM1332" s="2" t="s">
        <v>10791</v>
      </c>
    </row>
    <row r="1333" spans="1:39" x14ac:dyDescent="0.45">
      <c r="A1333" s="2" t="s">
        <v>12198</v>
      </c>
      <c r="B1333" s="2"/>
      <c r="C1333" s="2" t="s">
        <v>12200</v>
      </c>
      <c r="D1333" s="2" t="s">
        <v>12202</v>
      </c>
      <c r="E1333" s="25"/>
      <c r="F1333" s="21"/>
      <c r="G1333" s="21"/>
      <c r="H1333" s="2" t="s">
        <v>10789</v>
      </c>
      <c r="I1333" s="2" t="s">
        <v>10787</v>
      </c>
      <c r="J1333" s="2" t="s">
        <v>12199</v>
      </c>
      <c r="K1333" s="2" t="s">
        <v>12201</v>
      </c>
      <c r="L1333" s="2" t="s">
        <v>12203</v>
      </c>
      <c r="M1333" s="2" t="s">
        <v>12203</v>
      </c>
      <c r="N1333" s="2" t="s">
        <v>1023</v>
      </c>
      <c r="O1333" s="2" t="s">
        <v>73</v>
      </c>
      <c r="P1333" s="2" t="s">
        <v>12204</v>
      </c>
      <c r="Q1333" s="2" t="s">
        <v>12201</v>
      </c>
      <c r="R1333" s="2"/>
      <c r="S1333" s="2"/>
      <c r="T1333" s="2"/>
      <c r="U1333" s="2" t="s">
        <v>1023</v>
      </c>
      <c r="V1333" s="2" t="s">
        <v>73</v>
      </c>
      <c r="W1333" s="2" t="s">
        <v>12204</v>
      </c>
      <c r="X1333" s="2" t="s">
        <v>6685</v>
      </c>
      <c r="Y1333" s="2" t="s">
        <v>44</v>
      </c>
      <c r="Z1333" s="2"/>
      <c r="AA1333" s="2" t="s">
        <v>3527</v>
      </c>
      <c r="AB1333" s="2" t="s">
        <v>46</v>
      </c>
      <c r="AC1333" s="2" t="s">
        <v>3527</v>
      </c>
      <c r="AE1333" s="2" t="s">
        <v>10801</v>
      </c>
      <c r="AF1333" s="2" t="s">
        <v>7864</v>
      </c>
      <c r="AG1333" s="2">
        <v>100</v>
      </c>
      <c r="AH1333" s="2">
        <v>10</v>
      </c>
      <c r="AJ1333" s="2" t="s">
        <v>12205</v>
      </c>
      <c r="AK1333" s="2"/>
      <c r="AL1333" s="2"/>
      <c r="AM1333" s="2" t="s">
        <v>10791</v>
      </c>
    </row>
    <row r="1334" spans="1:39" x14ac:dyDescent="0.45">
      <c r="A1334" s="2" t="s">
        <v>12206</v>
      </c>
      <c r="B1334" s="2"/>
      <c r="C1334" s="2" t="s">
        <v>12208</v>
      </c>
      <c r="D1334" s="2" t="s">
        <v>12210</v>
      </c>
      <c r="E1334" s="25"/>
      <c r="F1334" s="21"/>
      <c r="G1334" s="21"/>
      <c r="H1334" s="2" t="s">
        <v>10789</v>
      </c>
      <c r="I1334" s="2" t="s">
        <v>10787</v>
      </c>
      <c r="J1334" s="2" t="s">
        <v>12207</v>
      </c>
      <c r="K1334" s="2" t="s">
        <v>12209</v>
      </c>
      <c r="L1334" s="2" t="s">
        <v>12211</v>
      </c>
      <c r="M1334" s="2" t="s">
        <v>12211</v>
      </c>
      <c r="N1334" s="2" t="s">
        <v>59</v>
      </c>
      <c r="O1334" s="2" t="s">
        <v>60</v>
      </c>
      <c r="P1334" s="2" t="s">
        <v>992</v>
      </c>
      <c r="Q1334" s="2"/>
      <c r="R1334" s="2"/>
      <c r="S1334" s="2"/>
      <c r="T1334" s="2"/>
      <c r="U1334" s="2"/>
      <c r="V1334" s="2"/>
      <c r="W1334" s="2"/>
      <c r="X1334" s="2" t="s">
        <v>6685</v>
      </c>
      <c r="Y1334" s="2" t="s">
        <v>44</v>
      </c>
      <c r="Z1334" s="2"/>
      <c r="AA1334" s="2" t="s">
        <v>3527</v>
      </c>
      <c r="AB1334" s="2" t="s">
        <v>46</v>
      </c>
      <c r="AC1334" s="2" t="s">
        <v>3527</v>
      </c>
      <c r="AE1334" s="2" t="s">
        <v>10801</v>
      </c>
      <c r="AF1334" s="2" t="s">
        <v>7864</v>
      </c>
      <c r="AG1334" s="2">
        <v>100</v>
      </c>
      <c r="AH1334" s="2">
        <v>10</v>
      </c>
      <c r="AJ1334" s="2" t="s">
        <v>12212</v>
      </c>
      <c r="AK1334" s="2"/>
      <c r="AL1334" s="2"/>
      <c r="AM1334" s="2" t="s">
        <v>10791</v>
      </c>
    </row>
    <row r="1335" spans="1:39" x14ac:dyDescent="0.45">
      <c r="A1335" s="2" t="s">
        <v>12213</v>
      </c>
      <c r="B1335" s="2"/>
      <c r="C1335" s="2" t="s">
        <v>12215</v>
      </c>
      <c r="D1335" s="2" t="s">
        <v>12217</v>
      </c>
      <c r="E1335" s="25"/>
      <c r="F1335" s="21"/>
      <c r="G1335" s="21"/>
      <c r="H1335" s="2" t="s">
        <v>10789</v>
      </c>
      <c r="I1335" s="2" t="s">
        <v>10787</v>
      </c>
      <c r="J1335" s="2" t="s">
        <v>12214</v>
      </c>
      <c r="K1335" s="2" t="s">
        <v>12216</v>
      </c>
      <c r="L1335" s="2" t="s">
        <v>3562</v>
      </c>
      <c r="M1335" s="2" t="s">
        <v>3562</v>
      </c>
      <c r="N1335" s="2" t="s">
        <v>324</v>
      </c>
      <c r="O1335" s="2" t="s">
        <v>73</v>
      </c>
      <c r="P1335" s="2" t="s">
        <v>12218</v>
      </c>
      <c r="Q1335" s="2"/>
      <c r="R1335" s="2"/>
      <c r="S1335" s="2"/>
      <c r="T1335" s="2"/>
      <c r="U1335" s="2"/>
      <c r="V1335" s="2"/>
      <c r="W1335" s="2"/>
      <c r="X1335" s="2" t="s">
        <v>12219</v>
      </c>
      <c r="Y1335" s="2" t="s">
        <v>44</v>
      </c>
      <c r="Z1335" s="2"/>
      <c r="AA1335" s="2" t="s">
        <v>3527</v>
      </c>
      <c r="AB1335" s="2" t="s">
        <v>46</v>
      </c>
      <c r="AC1335" s="2" t="s">
        <v>3527</v>
      </c>
      <c r="AE1335" s="2" t="s">
        <v>10801</v>
      </c>
      <c r="AF1335" s="2" t="s">
        <v>7864</v>
      </c>
      <c r="AG1335" s="2">
        <v>100</v>
      </c>
      <c r="AH1335" s="2">
        <v>10</v>
      </c>
      <c r="AJ1335" s="2" t="s">
        <v>12220</v>
      </c>
      <c r="AK1335" s="2"/>
      <c r="AL1335" s="2"/>
      <c r="AM1335" s="2" t="s">
        <v>10791</v>
      </c>
    </row>
    <row r="1336" spans="1:39" x14ac:dyDescent="0.45">
      <c r="A1336" s="2" t="s">
        <v>12221</v>
      </c>
      <c r="B1336" s="2"/>
      <c r="C1336" s="2" t="s">
        <v>12223</v>
      </c>
      <c r="D1336" s="2" t="s">
        <v>12225</v>
      </c>
      <c r="E1336" s="25"/>
      <c r="F1336" s="21"/>
      <c r="G1336" s="21"/>
      <c r="H1336" s="2" t="s">
        <v>10789</v>
      </c>
      <c r="I1336" s="2" t="s">
        <v>10787</v>
      </c>
      <c r="J1336" s="2" t="s">
        <v>12222</v>
      </c>
      <c r="K1336" s="2" t="s">
        <v>12224</v>
      </c>
      <c r="L1336" s="2" t="s">
        <v>12226</v>
      </c>
      <c r="M1336" s="2" t="s">
        <v>12226</v>
      </c>
      <c r="N1336" s="2" t="s">
        <v>324</v>
      </c>
      <c r="O1336" s="2" t="s">
        <v>73</v>
      </c>
      <c r="P1336" s="2" t="s">
        <v>12227</v>
      </c>
      <c r="Q1336" s="2"/>
      <c r="R1336" s="2"/>
      <c r="S1336" s="2"/>
      <c r="T1336" s="2"/>
      <c r="U1336" s="2"/>
      <c r="V1336" s="2"/>
      <c r="W1336" s="2"/>
      <c r="X1336" s="2" t="s">
        <v>12219</v>
      </c>
      <c r="Y1336" s="2" t="s">
        <v>44</v>
      </c>
      <c r="Z1336" s="2"/>
      <c r="AA1336" s="2" t="s">
        <v>3527</v>
      </c>
      <c r="AB1336" s="2" t="s">
        <v>46</v>
      </c>
      <c r="AC1336" s="2" t="s">
        <v>3527</v>
      </c>
      <c r="AE1336" s="2" t="s">
        <v>10801</v>
      </c>
      <c r="AF1336" s="2" t="s">
        <v>7864</v>
      </c>
      <c r="AG1336" s="2">
        <v>100</v>
      </c>
      <c r="AH1336" s="2">
        <v>10</v>
      </c>
      <c r="AJ1336" s="2" t="s">
        <v>12228</v>
      </c>
      <c r="AK1336" s="2"/>
      <c r="AL1336" s="2"/>
      <c r="AM1336" s="2" t="s">
        <v>10791</v>
      </c>
    </row>
    <row r="1337" spans="1:39" x14ac:dyDescent="0.45">
      <c r="A1337" s="2" t="s">
        <v>12229</v>
      </c>
      <c r="B1337" s="2"/>
      <c r="C1337" s="2" t="s">
        <v>12231</v>
      </c>
      <c r="D1337" s="2" t="s">
        <v>12233</v>
      </c>
      <c r="E1337" s="25"/>
      <c r="F1337" s="21"/>
      <c r="G1337" s="21"/>
      <c r="H1337" s="2" t="s">
        <v>10789</v>
      </c>
      <c r="I1337" s="2" t="s">
        <v>10787</v>
      </c>
      <c r="J1337" s="2" t="s">
        <v>12230</v>
      </c>
      <c r="K1337" s="2" t="s">
        <v>12232</v>
      </c>
      <c r="L1337" s="2" t="s">
        <v>709</v>
      </c>
      <c r="M1337" s="2" t="s">
        <v>709</v>
      </c>
      <c r="N1337" s="2" t="s">
        <v>312</v>
      </c>
      <c r="O1337" s="2" t="s">
        <v>313</v>
      </c>
      <c r="P1337" s="2" t="s">
        <v>314</v>
      </c>
      <c r="Q1337" s="2"/>
      <c r="R1337" s="2"/>
      <c r="S1337" s="2"/>
      <c r="T1337" s="2"/>
      <c r="U1337" s="2"/>
      <c r="V1337" s="2"/>
      <c r="W1337" s="2"/>
      <c r="X1337" s="2" t="s">
        <v>5651</v>
      </c>
      <c r="Y1337" s="2" t="s">
        <v>44</v>
      </c>
      <c r="Z1337" s="2"/>
      <c r="AA1337" s="2" t="s">
        <v>3527</v>
      </c>
      <c r="AB1337" s="2" t="s">
        <v>46</v>
      </c>
      <c r="AC1337" s="2" t="s">
        <v>3527</v>
      </c>
      <c r="AE1337" s="2" t="s">
        <v>10801</v>
      </c>
      <c r="AF1337" s="2" t="s">
        <v>7864</v>
      </c>
      <c r="AG1337" s="2">
        <v>100</v>
      </c>
      <c r="AH1337" s="2">
        <v>10</v>
      </c>
      <c r="AJ1337" s="2" t="s">
        <v>12234</v>
      </c>
      <c r="AK1337" s="2"/>
      <c r="AL1337" s="2"/>
      <c r="AM1337" s="2" t="s">
        <v>10791</v>
      </c>
    </row>
    <row r="1338" spans="1:39" x14ac:dyDescent="0.45">
      <c r="A1338" s="2" t="s">
        <v>12235</v>
      </c>
      <c r="B1338" s="2"/>
      <c r="C1338" s="2" t="s">
        <v>12237</v>
      </c>
      <c r="D1338" s="2" t="s">
        <v>12239</v>
      </c>
      <c r="E1338" s="25"/>
      <c r="F1338" s="21"/>
      <c r="G1338" s="21"/>
      <c r="H1338" s="2" t="s">
        <v>10789</v>
      </c>
      <c r="I1338" s="2" t="s">
        <v>10787</v>
      </c>
      <c r="J1338" s="2" t="s">
        <v>12236</v>
      </c>
      <c r="K1338" s="2" t="s">
        <v>12238</v>
      </c>
      <c r="L1338" s="2" t="s">
        <v>3562</v>
      </c>
      <c r="M1338" s="2" t="s">
        <v>3562</v>
      </c>
      <c r="N1338" s="2" t="s">
        <v>85</v>
      </c>
      <c r="O1338" s="2" t="s">
        <v>86</v>
      </c>
      <c r="P1338" s="2" t="s">
        <v>10640</v>
      </c>
      <c r="Q1338" s="2"/>
      <c r="R1338" s="2"/>
      <c r="S1338" s="2"/>
      <c r="T1338" s="2"/>
      <c r="U1338" s="2"/>
      <c r="V1338" s="2"/>
      <c r="W1338" s="2"/>
      <c r="X1338" s="2" t="s">
        <v>5651</v>
      </c>
      <c r="Y1338" s="2" t="s">
        <v>44</v>
      </c>
      <c r="Z1338" s="2"/>
      <c r="AA1338" s="2" t="s">
        <v>3527</v>
      </c>
      <c r="AB1338" s="2" t="s">
        <v>46</v>
      </c>
      <c r="AC1338" s="2" t="s">
        <v>3527</v>
      </c>
      <c r="AE1338" s="2" t="s">
        <v>10801</v>
      </c>
      <c r="AF1338" s="2" t="s">
        <v>7864</v>
      </c>
      <c r="AG1338" s="2">
        <v>100</v>
      </c>
      <c r="AH1338" s="2">
        <v>10</v>
      </c>
      <c r="AJ1338" s="2" t="s">
        <v>12240</v>
      </c>
      <c r="AK1338" s="2"/>
      <c r="AL1338" s="2"/>
      <c r="AM1338" s="2" t="s">
        <v>10791</v>
      </c>
    </row>
    <row r="1339" spans="1:39" x14ac:dyDescent="0.45">
      <c r="A1339" s="2" t="s">
        <v>12241</v>
      </c>
      <c r="B1339" s="2"/>
      <c r="C1339" s="2" t="s">
        <v>12243</v>
      </c>
      <c r="D1339" s="2" t="s">
        <v>12245</v>
      </c>
      <c r="E1339" s="25"/>
      <c r="F1339" s="21"/>
      <c r="G1339" s="21"/>
      <c r="H1339" s="2" t="s">
        <v>10789</v>
      </c>
      <c r="I1339" s="2" t="s">
        <v>10787</v>
      </c>
      <c r="J1339" s="2" t="s">
        <v>12242</v>
      </c>
      <c r="K1339" s="2" t="s">
        <v>12244</v>
      </c>
      <c r="L1339" s="2" t="s">
        <v>12246</v>
      </c>
      <c r="M1339" s="2" t="s">
        <v>12246</v>
      </c>
      <c r="N1339" s="2" t="s">
        <v>290</v>
      </c>
      <c r="O1339" s="2" t="s">
        <v>278</v>
      </c>
      <c r="P1339" s="2" t="s">
        <v>10578</v>
      </c>
      <c r="Q1339" s="2" t="s">
        <v>12244</v>
      </c>
      <c r="R1339" s="2"/>
      <c r="S1339" s="2"/>
      <c r="T1339" s="2"/>
      <c r="U1339" s="2" t="s">
        <v>290</v>
      </c>
      <c r="V1339" s="2" t="s">
        <v>278</v>
      </c>
      <c r="W1339" s="2" t="s">
        <v>10578</v>
      </c>
      <c r="X1339" s="2" t="s">
        <v>5678</v>
      </c>
      <c r="Y1339" s="2" t="s">
        <v>44</v>
      </c>
      <c r="Z1339" s="2"/>
      <c r="AA1339" s="2" t="s">
        <v>3527</v>
      </c>
      <c r="AB1339" s="2" t="s">
        <v>46</v>
      </c>
      <c r="AC1339" s="2" t="s">
        <v>3527</v>
      </c>
      <c r="AE1339" s="2" t="s">
        <v>10801</v>
      </c>
      <c r="AF1339" s="2" t="s">
        <v>7864</v>
      </c>
      <c r="AG1339" s="2">
        <v>100</v>
      </c>
      <c r="AH1339" s="2">
        <v>10</v>
      </c>
      <c r="AJ1339" s="2" t="s">
        <v>12247</v>
      </c>
      <c r="AK1339" s="2"/>
      <c r="AL1339" s="2"/>
      <c r="AM1339" s="2" t="s">
        <v>10791</v>
      </c>
    </row>
    <row r="1340" spans="1:39" x14ac:dyDescent="0.45">
      <c r="A1340" s="2" t="s">
        <v>12248</v>
      </c>
      <c r="B1340" s="2"/>
      <c r="C1340" s="2" t="s">
        <v>12250</v>
      </c>
      <c r="D1340" s="2" t="s">
        <v>12252</v>
      </c>
      <c r="E1340" s="25"/>
      <c r="F1340" s="21"/>
      <c r="G1340" s="21"/>
      <c r="H1340" s="2" t="s">
        <v>10789</v>
      </c>
      <c r="I1340" s="2" t="s">
        <v>10787</v>
      </c>
      <c r="J1340" s="2" t="s">
        <v>12249</v>
      </c>
      <c r="K1340" s="2" t="s">
        <v>12251</v>
      </c>
      <c r="L1340" s="2" t="s">
        <v>12253</v>
      </c>
      <c r="M1340" s="2" t="s">
        <v>12253</v>
      </c>
      <c r="N1340" s="2" t="s">
        <v>384</v>
      </c>
      <c r="O1340" s="2" t="s">
        <v>73</v>
      </c>
      <c r="P1340" s="2" t="s">
        <v>12254</v>
      </c>
      <c r="Q1340" s="2"/>
      <c r="R1340" s="2"/>
      <c r="S1340" s="2"/>
      <c r="T1340" s="2"/>
      <c r="U1340" s="2"/>
      <c r="V1340" s="2"/>
      <c r="W1340" s="2"/>
      <c r="X1340" s="2" t="s">
        <v>773</v>
      </c>
      <c r="Y1340" s="2" t="s">
        <v>44</v>
      </c>
      <c r="Z1340" s="2"/>
      <c r="AA1340" s="2" t="s">
        <v>3527</v>
      </c>
      <c r="AB1340" s="2" t="s">
        <v>46</v>
      </c>
      <c r="AC1340" s="2" t="s">
        <v>3527</v>
      </c>
      <c r="AE1340" s="2" t="s">
        <v>10801</v>
      </c>
      <c r="AF1340" s="2" t="s">
        <v>7864</v>
      </c>
      <c r="AG1340" s="2">
        <v>100</v>
      </c>
      <c r="AH1340" s="2">
        <v>10</v>
      </c>
      <c r="AJ1340" s="2" t="s">
        <v>12255</v>
      </c>
      <c r="AK1340" s="2"/>
      <c r="AL1340" s="2"/>
      <c r="AM1340" s="2" t="s">
        <v>10791</v>
      </c>
    </row>
    <row r="1341" spans="1:39" x14ac:dyDescent="0.45">
      <c r="A1341" s="2" t="s">
        <v>12256</v>
      </c>
      <c r="B1341" s="2"/>
      <c r="C1341" s="2" t="s">
        <v>12258</v>
      </c>
      <c r="D1341" s="2" t="s">
        <v>12260</v>
      </c>
      <c r="E1341" s="25"/>
      <c r="F1341" s="21"/>
      <c r="G1341" s="21"/>
      <c r="H1341" s="2" t="s">
        <v>10789</v>
      </c>
      <c r="I1341" s="2" t="s">
        <v>10787</v>
      </c>
      <c r="J1341" s="2" t="s">
        <v>12257</v>
      </c>
      <c r="K1341" s="2" t="s">
        <v>12259</v>
      </c>
      <c r="L1341" s="2" t="s">
        <v>12261</v>
      </c>
      <c r="M1341" s="2" t="s">
        <v>12261</v>
      </c>
      <c r="N1341" s="2" t="s">
        <v>651</v>
      </c>
      <c r="O1341" s="2" t="s">
        <v>86</v>
      </c>
      <c r="P1341" s="2" t="s">
        <v>11437</v>
      </c>
      <c r="Q1341" s="2" t="s">
        <v>12259</v>
      </c>
      <c r="R1341" s="2"/>
      <c r="S1341" s="2"/>
      <c r="T1341" s="2"/>
      <c r="U1341" s="2" t="s">
        <v>651</v>
      </c>
      <c r="V1341" s="2" t="s">
        <v>86</v>
      </c>
      <c r="W1341" s="2" t="s">
        <v>11437</v>
      </c>
      <c r="X1341" s="2" t="s">
        <v>782</v>
      </c>
      <c r="Y1341" s="2" t="s">
        <v>44</v>
      </c>
      <c r="Z1341" s="2"/>
      <c r="AA1341" s="2" t="s">
        <v>3527</v>
      </c>
      <c r="AB1341" s="2" t="s">
        <v>46</v>
      </c>
      <c r="AC1341" s="2" t="s">
        <v>3527</v>
      </c>
      <c r="AE1341" s="2" t="s">
        <v>10801</v>
      </c>
      <c r="AF1341" s="2" t="s">
        <v>7864</v>
      </c>
      <c r="AG1341" s="2">
        <v>100</v>
      </c>
      <c r="AH1341" s="2">
        <v>10</v>
      </c>
      <c r="AJ1341" s="2" t="s">
        <v>12262</v>
      </c>
      <c r="AK1341" s="2"/>
      <c r="AL1341" s="2"/>
      <c r="AM1341" s="2" t="s">
        <v>10791</v>
      </c>
    </row>
    <row r="1342" spans="1:39" x14ac:dyDescent="0.45">
      <c r="A1342" s="2" t="s">
        <v>12263</v>
      </c>
      <c r="B1342" s="2"/>
      <c r="C1342" s="2" t="s">
        <v>12265</v>
      </c>
      <c r="D1342" s="2" t="s">
        <v>12267</v>
      </c>
      <c r="E1342" s="25"/>
      <c r="F1342" s="21"/>
      <c r="G1342" s="21"/>
      <c r="H1342" s="2" t="s">
        <v>10789</v>
      </c>
      <c r="I1342" s="2" t="s">
        <v>10787</v>
      </c>
      <c r="J1342" s="2" t="s">
        <v>12264</v>
      </c>
      <c r="K1342" s="2" t="s">
        <v>12266</v>
      </c>
      <c r="L1342" s="2" t="s">
        <v>12268</v>
      </c>
      <c r="M1342" s="2"/>
      <c r="N1342" s="2" t="s">
        <v>277</v>
      </c>
      <c r="O1342" s="2" t="s">
        <v>278</v>
      </c>
      <c r="P1342" s="2" t="s">
        <v>12269</v>
      </c>
      <c r="Q1342" s="2"/>
      <c r="R1342" s="2"/>
      <c r="S1342" s="2"/>
      <c r="T1342" s="2"/>
      <c r="U1342" s="2"/>
      <c r="V1342" s="2"/>
      <c r="W1342" s="2"/>
      <c r="X1342" s="2" t="s">
        <v>792</v>
      </c>
      <c r="Y1342" s="2" t="s">
        <v>44</v>
      </c>
      <c r="Z1342" s="2"/>
      <c r="AA1342" s="2" t="s">
        <v>3527</v>
      </c>
      <c r="AB1342" s="2" t="s">
        <v>46</v>
      </c>
      <c r="AC1342" s="2" t="s">
        <v>3527</v>
      </c>
      <c r="AE1342" s="2" t="s">
        <v>10801</v>
      </c>
      <c r="AF1342" s="2" t="s">
        <v>7864</v>
      </c>
      <c r="AG1342" s="2">
        <v>100</v>
      </c>
      <c r="AH1342" s="2">
        <v>10</v>
      </c>
      <c r="AJ1342" s="2" t="s">
        <v>12270</v>
      </c>
      <c r="AK1342" s="2"/>
      <c r="AL1342" s="2"/>
      <c r="AM1342" s="2" t="s">
        <v>10791</v>
      </c>
    </row>
    <row r="1343" spans="1:39" x14ac:dyDescent="0.45">
      <c r="A1343" s="2" t="s">
        <v>12271</v>
      </c>
      <c r="B1343" s="2"/>
      <c r="C1343" s="2" t="s">
        <v>12273</v>
      </c>
      <c r="D1343" s="2" t="s">
        <v>12275</v>
      </c>
      <c r="E1343" s="25"/>
      <c r="F1343" s="21"/>
      <c r="G1343" s="21"/>
      <c r="H1343" s="2" t="s">
        <v>10789</v>
      </c>
      <c r="I1343" s="2" t="s">
        <v>10787</v>
      </c>
      <c r="J1343" s="2" t="s">
        <v>12272</v>
      </c>
      <c r="K1343" s="2" t="s">
        <v>12274</v>
      </c>
      <c r="L1343" s="2" t="s">
        <v>12276</v>
      </c>
      <c r="M1343" s="2" t="s">
        <v>12276</v>
      </c>
      <c r="N1343" s="2" t="s">
        <v>312</v>
      </c>
      <c r="O1343" s="2" t="s">
        <v>313</v>
      </c>
      <c r="P1343" s="2" t="s">
        <v>314</v>
      </c>
      <c r="Q1343" s="2" t="s">
        <v>12274</v>
      </c>
      <c r="R1343" s="2"/>
      <c r="S1343" s="2"/>
      <c r="T1343" s="2"/>
      <c r="U1343" s="2" t="s">
        <v>312</v>
      </c>
      <c r="V1343" s="2" t="s">
        <v>313</v>
      </c>
      <c r="W1343" s="2" t="s">
        <v>314</v>
      </c>
      <c r="X1343" s="2" t="s">
        <v>12277</v>
      </c>
      <c r="Y1343" s="2" t="s">
        <v>44</v>
      </c>
      <c r="Z1343" s="2"/>
      <c r="AA1343" s="2" t="s">
        <v>3527</v>
      </c>
      <c r="AB1343" s="2" t="s">
        <v>46</v>
      </c>
      <c r="AC1343" s="2" t="s">
        <v>3527</v>
      </c>
      <c r="AE1343" s="2" t="s">
        <v>10801</v>
      </c>
      <c r="AF1343" s="2" t="s">
        <v>7864</v>
      </c>
      <c r="AG1343" s="2">
        <v>100</v>
      </c>
      <c r="AH1343" s="2">
        <v>10</v>
      </c>
      <c r="AJ1343" s="2" t="s">
        <v>12278</v>
      </c>
      <c r="AK1343" s="2"/>
      <c r="AL1343" s="2"/>
      <c r="AM1343" s="2" t="s">
        <v>10791</v>
      </c>
    </row>
    <row r="1344" spans="1:39" x14ac:dyDescent="0.45">
      <c r="A1344" s="2" t="s">
        <v>12279</v>
      </c>
      <c r="B1344" s="2"/>
      <c r="C1344" s="2" t="s">
        <v>12281</v>
      </c>
      <c r="D1344" s="2" t="s">
        <v>12283</v>
      </c>
      <c r="E1344" s="25"/>
      <c r="F1344" s="21"/>
      <c r="G1344" s="21"/>
      <c r="H1344" s="2" t="s">
        <v>10789</v>
      </c>
      <c r="I1344" s="2" t="s">
        <v>10787</v>
      </c>
      <c r="J1344" s="2" t="s">
        <v>12280</v>
      </c>
      <c r="K1344" s="2" t="s">
        <v>12282</v>
      </c>
      <c r="L1344" s="2" t="s">
        <v>12284</v>
      </c>
      <c r="M1344" s="2" t="s">
        <v>12284</v>
      </c>
      <c r="N1344" s="2" t="s">
        <v>39</v>
      </c>
      <c r="O1344" s="2" t="s">
        <v>40</v>
      </c>
      <c r="P1344" s="2" t="s">
        <v>6672</v>
      </c>
      <c r="Q1344" s="2"/>
      <c r="R1344" s="2"/>
      <c r="S1344" s="2"/>
      <c r="T1344" s="2"/>
      <c r="U1344" s="2"/>
      <c r="V1344" s="2"/>
      <c r="W1344" s="2"/>
      <c r="X1344" s="2" t="s">
        <v>3485</v>
      </c>
      <c r="Y1344" s="2" t="s">
        <v>44</v>
      </c>
      <c r="Z1344" s="2"/>
      <c r="AA1344" s="2" t="s">
        <v>3527</v>
      </c>
      <c r="AB1344" s="2" t="s">
        <v>46</v>
      </c>
      <c r="AC1344" s="2" t="s">
        <v>3527</v>
      </c>
      <c r="AE1344" s="2" t="s">
        <v>10801</v>
      </c>
      <c r="AF1344" s="2" t="s">
        <v>7864</v>
      </c>
      <c r="AG1344" s="2">
        <v>100</v>
      </c>
      <c r="AH1344" s="2">
        <v>10</v>
      </c>
      <c r="AJ1344" s="2" t="s">
        <v>12285</v>
      </c>
      <c r="AK1344" s="2"/>
      <c r="AL1344" s="2"/>
      <c r="AM1344" s="2" t="s">
        <v>10791</v>
      </c>
    </row>
    <row r="1345" spans="1:39" x14ac:dyDescent="0.45">
      <c r="A1345" s="2" t="s">
        <v>12286</v>
      </c>
      <c r="B1345" s="2"/>
      <c r="C1345" s="2" t="s">
        <v>12288</v>
      </c>
      <c r="D1345" s="2" t="s">
        <v>12290</v>
      </c>
      <c r="E1345" s="25"/>
      <c r="F1345" s="21"/>
      <c r="G1345" s="21"/>
      <c r="H1345" s="2" t="s">
        <v>10789</v>
      </c>
      <c r="I1345" s="2" t="s">
        <v>10787</v>
      </c>
      <c r="J1345" s="2" t="s">
        <v>12287</v>
      </c>
      <c r="K1345" s="2" t="s">
        <v>12289</v>
      </c>
      <c r="L1345" s="2" t="s">
        <v>3562</v>
      </c>
      <c r="M1345" s="2" t="s">
        <v>3562</v>
      </c>
      <c r="N1345" s="2" t="s">
        <v>72</v>
      </c>
      <c r="O1345" s="2" t="s">
        <v>73</v>
      </c>
      <c r="P1345" s="2" t="s">
        <v>197</v>
      </c>
      <c r="Q1345" s="2" t="s">
        <v>12289</v>
      </c>
      <c r="R1345" s="2"/>
      <c r="S1345" s="2"/>
      <c r="T1345" s="2"/>
      <c r="U1345" s="2" t="s">
        <v>72</v>
      </c>
      <c r="V1345" s="2" t="s">
        <v>73</v>
      </c>
      <c r="W1345" s="2" t="s">
        <v>197</v>
      </c>
      <c r="X1345" s="2" t="s">
        <v>3485</v>
      </c>
      <c r="Y1345" s="2" t="s">
        <v>44</v>
      </c>
      <c r="Z1345" s="2"/>
      <c r="AA1345" s="2" t="s">
        <v>3527</v>
      </c>
      <c r="AB1345" s="2" t="s">
        <v>46</v>
      </c>
      <c r="AC1345" s="2" t="s">
        <v>3527</v>
      </c>
      <c r="AE1345" s="2" t="s">
        <v>10801</v>
      </c>
      <c r="AF1345" s="2" t="s">
        <v>7864</v>
      </c>
      <c r="AG1345" s="2">
        <v>100</v>
      </c>
      <c r="AH1345" s="2">
        <v>10</v>
      </c>
      <c r="AJ1345" s="2" t="s">
        <v>12291</v>
      </c>
      <c r="AK1345" s="2"/>
      <c r="AL1345" s="2"/>
      <c r="AM1345" s="2" t="s">
        <v>10791</v>
      </c>
    </row>
    <row r="1346" spans="1:39" x14ac:dyDescent="0.45">
      <c r="A1346" s="2" t="s">
        <v>12292</v>
      </c>
      <c r="B1346" s="2"/>
      <c r="C1346" s="2" t="s">
        <v>12294</v>
      </c>
      <c r="D1346" s="2" t="s">
        <v>12296</v>
      </c>
      <c r="E1346" s="25"/>
      <c r="F1346" s="21"/>
      <c r="G1346" s="21"/>
      <c r="H1346" s="2" t="s">
        <v>10789</v>
      </c>
      <c r="I1346" s="2" t="s">
        <v>10787</v>
      </c>
      <c r="J1346" s="2" t="s">
        <v>12293</v>
      </c>
      <c r="K1346" s="2" t="s">
        <v>12295</v>
      </c>
      <c r="L1346" s="2" t="s">
        <v>12297</v>
      </c>
      <c r="M1346" s="2" t="s">
        <v>12297</v>
      </c>
      <c r="N1346" s="2" t="s">
        <v>39</v>
      </c>
      <c r="O1346" s="2" t="s">
        <v>40</v>
      </c>
      <c r="P1346" s="2" t="s">
        <v>12298</v>
      </c>
      <c r="Q1346" s="2" t="s">
        <v>12299</v>
      </c>
      <c r="R1346" s="2"/>
      <c r="S1346" s="2"/>
      <c r="T1346" s="2"/>
      <c r="U1346" s="2" t="s">
        <v>39</v>
      </c>
      <c r="V1346" s="2" t="s">
        <v>40</v>
      </c>
      <c r="W1346" s="2" t="s">
        <v>12298</v>
      </c>
      <c r="X1346" s="2" t="s">
        <v>10559</v>
      </c>
      <c r="Y1346" s="2" t="s">
        <v>44</v>
      </c>
      <c r="Z1346" s="2"/>
      <c r="AA1346" s="2" t="s">
        <v>3527</v>
      </c>
      <c r="AB1346" s="2" t="s">
        <v>46</v>
      </c>
      <c r="AC1346" s="2" t="s">
        <v>3527</v>
      </c>
      <c r="AE1346" s="2" t="s">
        <v>10801</v>
      </c>
      <c r="AF1346" s="2" t="s">
        <v>7864</v>
      </c>
      <c r="AG1346" s="2">
        <v>100</v>
      </c>
      <c r="AH1346" s="2">
        <v>10</v>
      </c>
      <c r="AJ1346" s="2" t="s">
        <v>12300</v>
      </c>
      <c r="AK1346" s="2"/>
      <c r="AL1346" s="2"/>
      <c r="AM1346" s="2" t="s">
        <v>10791</v>
      </c>
    </row>
    <row r="1347" spans="1:39" x14ac:dyDescent="0.45">
      <c r="A1347" s="2" t="s">
        <v>12301</v>
      </c>
      <c r="B1347" s="2"/>
      <c r="C1347" s="2" t="s">
        <v>12303</v>
      </c>
      <c r="D1347" s="2" t="s">
        <v>12305</v>
      </c>
      <c r="E1347" s="25"/>
      <c r="F1347" s="21"/>
      <c r="G1347" s="21"/>
      <c r="H1347" s="2" t="s">
        <v>10789</v>
      </c>
      <c r="I1347" s="2" t="s">
        <v>10787</v>
      </c>
      <c r="J1347" s="2" t="s">
        <v>12302</v>
      </c>
      <c r="K1347" s="2" t="s">
        <v>12304</v>
      </c>
      <c r="L1347" s="2" t="s">
        <v>3562</v>
      </c>
      <c r="M1347" s="2" t="s">
        <v>3562</v>
      </c>
      <c r="N1347" s="2" t="s">
        <v>312</v>
      </c>
      <c r="O1347" s="2" t="s">
        <v>313</v>
      </c>
      <c r="P1347" s="2" t="s">
        <v>10100</v>
      </c>
      <c r="Q1347" s="2"/>
      <c r="R1347" s="2"/>
      <c r="S1347" s="2"/>
      <c r="T1347" s="2"/>
      <c r="U1347" s="2"/>
      <c r="V1347" s="2"/>
      <c r="W1347" s="2"/>
      <c r="X1347" s="2" t="s">
        <v>11138</v>
      </c>
      <c r="Y1347" s="2" t="s">
        <v>44</v>
      </c>
      <c r="Z1347" s="2"/>
      <c r="AA1347" s="2" t="s">
        <v>3527</v>
      </c>
      <c r="AB1347" s="2" t="s">
        <v>46</v>
      </c>
      <c r="AC1347" s="2" t="s">
        <v>3527</v>
      </c>
      <c r="AE1347" s="2" t="s">
        <v>10801</v>
      </c>
      <c r="AF1347" s="2" t="s">
        <v>7864</v>
      </c>
      <c r="AG1347" s="2">
        <v>100</v>
      </c>
      <c r="AH1347" s="2">
        <v>10</v>
      </c>
      <c r="AJ1347" s="2" t="s">
        <v>12306</v>
      </c>
      <c r="AK1347" s="2"/>
      <c r="AL1347" s="2"/>
      <c r="AM1347" s="2" t="s">
        <v>10791</v>
      </c>
    </row>
    <row r="1348" spans="1:39" x14ac:dyDescent="0.45">
      <c r="A1348" s="2" t="s">
        <v>12307</v>
      </c>
      <c r="B1348" s="2"/>
      <c r="C1348" s="2" t="s">
        <v>12309</v>
      </c>
      <c r="D1348" s="2" t="s">
        <v>12311</v>
      </c>
      <c r="E1348" s="25"/>
      <c r="F1348" s="21"/>
      <c r="G1348" s="21"/>
      <c r="H1348" s="2" t="s">
        <v>10789</v>
      </c>
      <c r="I1348" s="2" t="s">
        <v>10787</v>
      </c>
      <c r="J1348" s="2" t="s">
        <v>12308</v>
      </c>
      <c r="K1348" s="2" t="s">
        <v>12310</v>
      </c>
      <c r="L1348" s="2" t="s">
        <v>12312</v>
      </c>
      <c r="M1348" s="2" t="s">
        <v>12312</v>
      </c>
      <c r="N1348" s="2" t="s">
        <v>384</v>
      </c>
      <c r="O1348" s="2" t="s">
        <v>73</v>
      </c>
      <c r="P1348" s="2" t="s">
        <v>12313</v>
      </c>
      <c r="Q1348" s="2"/>
      <c r="R1348" s="2"/>
      <c r="S1348" s="2"/>
      <c r="T1348" s="2"/>
      <c r="U1348" s="2"/>
      <c r="V1348" s="2"/>
      <c r="W1348" s="2"/>
      <c r="X1348" s="2" t="s">
        <v>1285</v>
      </c>
      <c r="Y1348" s="2" t="s">
        <v>44</v>
      </c>
      <c r="Z1348" s="2"/>
      <c r="AA1348" s="2" t="s">
        <v>3527</v>
      </c>
      <c r="AB1348" s="2" t="s">
        <v>46</v>
      </c>
      <c r="AC1348" s="2" t="s">
        <v>3527</v>
      </c>
      <c r="AE1348" s="2" t="s">
        <v>10801</v>
      </c>
      <c r="AF1348" s="2" t="s">
        <v>7864</v>
      </c>
      <c r="AG1348" s="2">
        <v>100</v>
      </c>
      <c r="AH1348" s="2">
        <v>10</v>
      </c>
      <c r="AJ1348" s="2" t="s">
        <v>12314</v>
      </c>
      <c r="AK1348" s="2"/>
      <c r="AL1348" s="2"/>
      <c r="AM1348" s="2" t="s">
        <v>10791</v>
      </c>
    </row>
    <row r="1349" spans="1:39" x14ac:dyDescent="0.45">
      <c r="A1349" s="2" t="s">
        <v>12315</v>
      </c>
      <c r="B1349" s="2"/>
      <c r="C1349" s="2" t="s">
        <v>12317</v>
      </c>
      <c r="D1349" s="2" t="s">
        <v>12319</v>
      </c>
      <c r="E1349" s="25"/>
      <c r="F1349" s="21"/>
      <c r="G1349" s="21"/>
      <c r="H1349" s="2" t="s">
        <v>10789</v>
      </c>
      <c r="I1349" s="2" t="s">
        <v>10787</v>
      </c>
      <c r="J1349" s="2" t="s">
        <v>12316</v>
      </c>
      <c r="K1349" s="2" t="s">
        <v>12318</v>
      </c>
      <c r="L1349" s="2" t="s">
        <v>12320</v>
      </c>
      <c r="M1349" s="2" t="s">
        <v>12320</v>
      </c>
      <c r="N1349" s="2" t="s">
        <v>312</v>
      </c>
      <c r="O1349" s="2" t="s">
        <v>313</v>
      </c>
      <c r="P1349" s="2" t="s">
        <v>12321</v>
      </c>
      <c r="Q1349" s="2" t="s">
        <v>12318</v>
      </c>
      <c r="R1349" s="2"/>
      <c r="S1349" s="2"/>
      <c r="T1349" s="2"/>
      <c r="U1349" s="2" t="s">
        <v>312</v>
      </c>
      <c r="V1349" s="2" t="s">
        <v>313</v>
      </c>
      <c r="W1349" s="2" t="s">
        <v>12321</v>
      </c>
      <c r="X1349" s="2" t="s">
        <v>6214</v>
      </c>
      <c r="Y1349" s="2" t="s">
        <v>44</v>
      </c>
      <c r="Z1349" s="2"/>
      <c r="AA1349" s="2" t="s">
        <v>3527</v>
      </c>
      <c r="AB1349" s="2" t="s">
        <v>46</v>
      </c>
      <c r="AC1349" s="2" t="s">
        <v>3527</v>
      </c>
      <c r="AE1349" s="2" t="s">
        <v>10801</v>
      </c>
      <c r="AF1349" s="2" t="s">
        <v>7864</v>
      </c>
      <c r="AG1349" s="2">
        <v>100</v>
      </c>
      <c r="AH1349" s="2">
        <v>10</v>
      </c>
      <c r="AJ1349" s="2" t="s">
        <v>12322</v>
      </c>
      <c r="AK1349" s="2"/>
      <c r="AL1349" s="2"/>
      <c r="AM1349" s="2" t="s">
        <v>10791</v>
      </c>
    </row>
    <row r="1350" spans="1:39" x14ac:dyDescent="0.45">
      <c r="A1350" s="2" t="s">
        <v>12323</v>
      </c>
      <c r="B1350" s="2"/>
      <c r="C1350" s="2" t="s">
        <v>12325</v>
      </c>
      <c r="D1350" s="2" t="s">
        <v>12327</v>
      </c>
      <c r="E1350" s="25"/>
      <c r="F1350" s="21"/>
      <c r="G1350" s="21"/>
      <c r="H1350" s="2" t="s">
        <v>10789</v>
      </c>
      <c r="I1350" s="2" t="s">
        <v>10787</v>
      </c>
      <c r="J1350" s="2" t="s">
        <v>12324</v>
      </c>
      <c r="K1350" s="2" t="s">
        <v>12326</v>
      </c>
      <c r="L1350" s="2" t="s">
        <v>12328</v>
      </c>
      <c r="M1350" s="2" t="s">
        <v>12328</v>
      </c>
      <c r="N1350" s="2" t="s">
        <v>59</v>
      </c>
      <c r="O1350" s="2" t="s">
        <v>60</v>
      </c>
      <c r="P1350" s="2" t="s">
        <v>2323</v>
      </c>
      <c r="Q1350" s="2" t="s">
        <v>12326</v>
      </c>
      <c r="R1350" s="2"/>
      <c r="S1350" s="2"/>
      <c r="T1350" s="2"/>
      <c r="U1350" s="2" t="s">
        <v>59</v>
      </c>
      <c r="V1350" s="2" t="s">
        <v>60</v>
      </c>
      <c r="W1350" s="2" t="s">
        <v>2323</v>
      </c>
      <c r="X1350" s="2" t="s">
        <v>5756</v>
      </c>
      <c r="Y1350" s="2" t="s">
        <v>44</v>
      </c>
      <c r="Z1350" s="2"/>
      <c r="AA1350" s="2" t="s">
        <v>3527</v>
      </c>
      <c r="AB1350" s="2" t="s">
        <v>46</v>
      </c>
      <c r="AC1350" s="2" t="s">
        <v>3527</v>
      </c>
      <c r="AE1350" s="2" t="s">
        <v>10801</v>
      </c>
      <c r="AF1350" s="2" t="s">
        <v>7864</v>
      </c>
      <c r="AG1350" s="2">
        <v>100</v>
      </c>
      <c r="AH1350" s="2">
        <v>10</v>
      </c>
      <c r="AJ1350" s="2" t="s">
        <v>12329</v>
      </c>
      <c r="AK1350" s="2"/>
      <c r="AL1350" s="2"/>
      <c r="AM1350" s="2" t="s">
        <v>10791</v>
      </c>
    </row>
    <row r="1351" spans="1:39" x14ac:dyDescent="0.45">
      <c r="A1351" s="2" t="s">
        <v>12330</v>
      </c>
      <c r="B1351" s="2"/>
      <c r="C1351" s="2" t="s">
        <v>12332</v>
      </c>
      <c r="D1351" s="2" t="s">
        <v>12334</v>
      </c>
      <c r="E1351" s="25"/>
      <c r="F1351" s="21"/>
      <c r="G1351" s="21"/>
      <c r="H1351" s="2" t="s">
        <v>10789</v>
      </c>
      <c r="I1351" s="2" t="s">
        <v>10787</v>
      </c>
      <c r="J1351" s="2" t="s">
        <v>12331</v>
      </c>
      <c r="K1351" s="2" t="s">
        <v>12333</v>
      </c>
      <c r="L1351" s="2" t="s">
        <v>12335</v>
      </c>
      <c r="M1351" s="2" t="s">
        <v>12335</v>
      </c>
      <c r="N1351" s="2" t="s">
        <v>312</v>
      </c>
      <c r="O1351" s="2" t="s">
        <v>313</v>
      </c>
      <c r="P1351" s="2" t="s">
        <v>7647</v>
      </c>
      <c r="Q1351" s="2" t="s">
        <v>12333</v>
      </c>
      <c r="R1351" s="2"/>
      <c r="S1351" s="2"/>
      <c r="T1351" s="2"/>
      <c r="U1351" s="2" t="s">
        <v>312</v>
      </c>
      <c r="V1351" s="2" t="s">
        <v>313</v>
      </c>
      <c r="W1351" s="2" t="s">
        <v>7647</v>
      </c>
      <c r="X1351" s="2" t="s">
        <v>885</v>
      </c>
      <c r="Y1351" s="2" t="s">
        <v>44</v>
      </c>
      <c r="Z1351" s="2"/>
      <c r="AA1351" s="2" t="s">
        <v>3527</v>
      </c>
      <c r="AB1351" s="2" t="s">
        <v>46</v>
      </c>
      <c r="AC1351" s="2" t="s">
        <v>3527</v>
      </c>
      <c r="AE1351" s="2" t="s">
        <v>10801</v>
      </c>
      <c r="AF1351" s="2" t="s">
        <v>7864</v>
      </c>
      <c r="AG1351" s="2">
        <v>100</v>
      </c>
      <c r="AH1351" s="2">
        <v>10</v>
      </c>
      <c r="AJ1351" s="2" t="s">
        <v>12336</v>
      </c>
      <c r="AK1351" s="2"/>
      <c r="AL1351" s="2"/>
      <c r="AM1351" s="2" t="s">
        <v>10791</v>
      </c>
    </row>
    <row r="1352" spans="1:39" x14ac:dyDescent="0.45">
      <c r="A1352" s="2" t="s">
        <v>12337</v>
      </c>
      <c r="B1352" s="2"/>
      <c r="C1352" s="2" t="s">
        <v>12339</v>
      </c>
      <c r="D1352" s="2" t="s">
        <v>12341</v>
      </c>
      <c r="E1352" s="25"/>
      <c r="F1352" s="21"/>
      <c r="G1352" s="21"/>
      <c r="H1352" s="2" t="s">
        <v>10789</v>
      </c>
      <c r="I1352" s="2" t="s">
        <v>10787</v>
      </c>
      <c r="J1352" s="2" t="s">
        <v>12338</v>
      </c>
      <c r="K1352" s="2" t="s">
        <v>12340</v>
      </c>
      <c r="L1352" s="2" t="s">
        <v>12342</v>
      </c>
      <c r="M1352" s="2" t="s">
        <v>12342</v>
      </c>
      <c r="N1352" s="2" t="s">
        <v>312</v>
      </c>
      <c r="O1352" s="2" t="s">
        <v>313</v>
      </c>
      <c r="P1352" s="2" t="s">
        <v>314</v>
      </c>
      <c r="Q1352" s="2"/>
      <c r="R1352" s="2"/>
      <c r="S1352" s="2"/>
      <c r="T1352" s="2"/>
      <c r="U1352" s="2"/>
      <c r="V1352" s="2"/>
      <c r="W1352" s="2"/>
      <c r="X1352" s="2" t="s">
        <v>5766</v>
      </c>
      <c r="Y1352" s="2" t="s">
        <v>44</v>
      </c>
      <c r="Z1352" s="2"/>
      <c r="AA1352" s="2" t="s">
        <v>3527</v>
      </c>
      <c r="AB1352" s="2" t="s">
        <v>46</v>
      </c>
      <c r="AC1352" s="2" t="s">
        <v>3527</v>
      </c>
      <c r="AE1352" s="2" t="s">
        <v>10801</v>
      </c>
      <c r="AF1352" s="2" t="s">
        <v>7864</v>
      </c>
      <c r="AG1352" s="2">
        <v>100</v>
      </c>
      <c r="AH1352" s="2">
        <v>10</v>
      </c>
      <c r="AJ1352" s="2" t="s">
        <v>12343</v>
      </c>
      <c r="AK1352" s="2"/>
      <c r="AL1352" s="2"/>
      <c r="AM1352" s="2" t="s">
        <v>10791</v>
      </c>
    </row>
    <row r="1353" spans="1:39" x14ac:dyDescent="0.45">
      <c r="A1353" s="2" t="s">
        <v>12344</v>
      </c>
      <c r="B1353" s="2"/>
      <c r="C1353" s="2" t="s">
        <v>12346</v>
      </c>
      <c r="D1353" s="2" t="s">
        <v>12348</v>
      </c>
      <c r="E1353" s="25"/>
      <c r="F1353" s="21"/>
      <c r="G1353" s="21"/>
      <c r="H1353" s="2" t="s">
        <v>10789</v>
      </c>
      <c r="I1353" s="2" t="s">
        <v>10787</v>
      </c>
      <c r="J1353" s="2" t="s">
        <v>12345</v>
      </c>
      <c r="K1353" s="2" t="s">
        <v>12347</v>
      </c>
      <c r="L1353" s="2" t="s">
        <v>12349</v>
      </c>
      <c r="M1353" s="2" t="s">
        <v>12349</v>
      </c>
      <c r="N1353" s="2" t="s">
        <v>59</v>
      </c>
      <c r="O1353" s="2" t="s">
        <v>60</v>
      </c>
      <c r="P1353" s="2" t="s">
        <v>12350</v>
      </c>
      <c r="Q1353" s="2" t="s">
        <v>12347</v>
      </c>
      <c r="R1353" s="2"/>
      <c r="S1353" s="2"/>
      <c r="T1353" s="2"/>
      <c r="U1353" s="2" t="s">
        <v>59</v>
      </c>
      <c r="V1353" s="2" t="s">
        <v>60</v>
      </c>
      <c r="W1353" s="2" t="s">
        <v>12350</v>
      </c>
      <c r="X1353" s="2" t="s">
        <v>12351</v>
      </c>
      <c r="Y1353" s="2" t="s">
        <v>44</v>
      </c>
      <c r="Z1353" s="2"/>
      <c r="AA1353" s="2" t="s">
        <v>3527</v>
      </c>
      <c r="AB1353" s="2" t="s">
        <v>46</v>
      </c>
      <c r="AC1353" s="2" t="s">
        <v>3527</v>
      </c>
      <c r="AE1353" s="2" t="s">
        <v>10801</v>
      </c>
      <c r="AF1353" s="2" t="s">
        <v>7864</v>
      </c>
      <c r="AG1353" s="2">
        <v>100</v>
      </c>
      <c r="AH1353" s="2">
        <v>10</v>
      </c>
      <c r="AJ1353" s="2" t="s">
        <v>12352</v>
      </c>
      <c r="AK1353" s="2"/>
      <c r="AL1353" s="2"/>
      <c r="AM1353" s="2" t="s">
        <v>10791</v>
      </c>
    </row>
    <row r="1354" spans="1:39" x14ac:dyDescent="0.45">
      <c r="A1354" s="2" t="s">
        <v>12353</v>
      </c>
      <c r="B1354" s="2"/>
      <c r="C1354" s="2" t="s">
        <v>12355</v>
      </c>
      <c r="D1354" s="2" t="s">
        <v>12357</v>
      </c>
      <c r="E1354" s="25"/>
      <c r="F1354" s="21"/>
      <c r="G1354" s="21"/>
      <c r="H1354" s="2" t="s">
        <v>10789</v>
      </c>
      <c r="I1354" s="2" t="s">
        <v>10787</v>
      </c>
      <c r="J1354" s="2" t="s">
        <v>12354</v>
      </c>
      <c r="K1354" s="2" t="s">
        <v>12356</v>
      </c>
      <c r="L1354" s="2" t="s">
        <v>3562</v>
      </c>
      <c r="M1354" s="2" t="s">
        <v>3562</v>
      </c>
      <c r="N1354" s="2" t="s">
        <v>59</v>
      </c>
      <c r="O1354" s="2" t="s">
        <v>60</v>
      </c>
      <c r="P1354" s="2" t="s">
        <v>12350</v>
      </c>
      <c r="Q1354" s="2"/>
      <c r="R1354" s="2"/>
      <c r="S1354" s="2"/>
      <c r="T1354" s="2"/>
      <c r="U1354" s="2"/>
      <c r="V1354" s="2"/>
      <c r="W1354" s="2"/>
      <c r="X1354" s="2" t="s">
        <v>12351</v>
      </c>
      <c r="Y1354" s="2" t="s">
        <v>44</v>
      </c>
      <c r="Z1354" s="2"/>
      <c r="AA1354" s="2" t="s">
        <v>3527</v>
      </c>
      <c r="AB1354" s="2" t="s">
        <v>46</v>
      </c>
      <c r="AC1354" s="2" t="s">
        <v>3527</v>
      </c>
      <c r="AE1354" s="2" t="s">
        <v>10801</v>
      </c>
      <c r="AF1354" s="2" t="s">
        <v>7864</v>
      </c>
      <c r="AG1354" s="2">
        <v>100</v>
      </c>
      <c r="AH1354" s="2">
        <v>10</v>
      </c>
      <c r="AJ1354" s="2" t="s">
        <v>12358</v>
      </c>
      <c r="AK1354" s="2"/>
      <c r="AL1354" s="2"/>
      <c r="AM1354" s="2" t="s">
        <v>10791</v>
      </c>
    </row>
    <row r="1355" spans="1:39" x14ac:dyDescent="0.45">
      <c r="A1355" s="2" t="s">
        <v>12359</v>
      </c>
      <c r="B1355" s="2"/>
      <c r="C1355" s="2" t="s">
        <v>12361</v>
      </c>
      <c r="D1355" s="2" t="s">
        <v>12363</v>
      </c>
      <c r="E1355" s="25"/>
      <c r="F1355" s="21"/>
      <c r="G1355" s="21"/>
      <c r="H1355" s="2" t="s">
        <v>10789</v>
      </c>
      <c r="I1355" s="2" t="s">
        <v>10787</v>
      </c>
      <c r="J1355" s="2" t="s">
        <v>12360</v>
      </c>
      <c r="K1355" s="2" t="s">
        <v>12362</v>
      </c>
      <c r="L1355" s="2" t="s">
        <v>12364</v>
      </c>
      <c r="M1355" s="2" t="s">
        <v>12364</v>
      </c>
      <c r="N1355" s="2" t="s">
        <v>59</v>
      </c>
      <c r="O1355" s="2" t="s">
        <v>60</v>
      </c>
      <c r="P1355" s="2" t="s">
        <v>5251</v>
      </c>
      <c r="Q1355" s="2" t="s">
        <v>12362</v>
      </c>
      <c r="R1355" s="2"/>
      <c r="S1355" s="2"/>
      <c r="T1355" s="2"/>
      <c r="U1355" s="2" t="s">
        <v>59</v>
      </c>
      <c r="V1355" s="2" t="s">
        <v>60</v>
      </c>
      <c r="W1355" s="2" t="s">
        <v>5251</v>
      </c>
      <c r="X1355" s="2" t="s">
        <v>5785</v>
      </c>
      <c r="Y1355" s="2" t="s">
        <v>44</v>
      </c>
      <c r="Z1355" s="2"/>
      <c r="AA1355" s="2" t="s">
        <v>3527</v>
      </c>
      <c r="AB1355" s="2" t="s">
        <v>46</v>
      </c>
      <c r="AC1355" s="2" t="s">
        <v>3527</v>
      </c>
      <c r="AE1355" s="2" t="s">
        <v>10801</v>
      </c>
      <c r="AF1355" s="2" t="s">
        <v>7864</v>
      </c>
      <c r="AG1355" s="2">
        <v>100</v>
      </c>
      <c r="AH1355" s="2">
        <v>10</v>
      </c>
      <c r="AJ1355" s="2" t="s">
        <v>12365</v>
      </c>
      <c r="AK1355" s="2"/>
      <c r="AL1355" s="2"/>
      <c r="AM1355" s="2" t="s">
        <v>10791</v>
      </c>
    </row>
    <row r="1356" spans="1:39" x14ac:dyDescent="0.45">
      <c r="A1356" s="2" t="s">
        <v>12366</v>
      </c>
      <c r="B1356" s="2"/>
      <c r="C1356" s="2" t="s">
        <v>12368</v>
      </c>
      <c r="D1356" s="2" t="s">
        <v>12370</v>
      </c>
      <c r="E1356" s="25"/>
      <c r="F1356" s="21"/>
      <c r="G1356" s="21"/>
      <c r="H1356" s="2" t="s">
        <v>10789</v>
      </c>
      <c r="I1356" s="2" t="s">
        <v>10787</v>
      </c>
      <c r="J1356" s="2" t="s">
        <v>12367</v>
      </c>
      <c r="K1356" s="2" t="s">
        <v>12369</v>
      </c>
      <c r="L1356" s="2" t="s">
        <v>12371</v>
      </c>
      <c r="M1356" s="2" t="s">
        <v>12371</v>
      </c>
      <c r="N1356" s="2" t="s">
        <v>384</v>
      </c>
      <c r="O1356" s="2" t="s">
        <v>73</v>
      </c>
      <c r="P1356" s="2" t="s">
        <v>832</v>
      </c>
      <c r="Q1356" s="2"/>
      <c r="R1356" s="2"/>
      <c r="S1356" s="2"/>
      <c r="T1356" s="2"/>
      <c r="U1356" s="2"/>
      <c r="V1356" s="2"/>
      <c r="W1356" s="2"/>
      <c r="X1356" s="2" t="s">
        <v>10224</v>
      </c>
      <c r="Y1356" s="2" t="s">
        <v>44</v>
      </c>
      <c r="Z1356" s="2"/>
      <c r="AA1356" s="2" t="s">
        <v>3527</v>
      </c>
      <c r="AB1356" s="2" t="s">
        <v>46</v>
      </c>
      <c r="AC1356" s="2" t="s">
        <v>3527</v>
      </c>
      <c r="AE1356" s="2" t="s">
        <v>10801</v>
      </c>
      <c r="AF1356" s="2" t="s">
        <v>7864</v>
      </c>
      <c r="AG1356" s="2">
        <v>100</v>
      </c>
      <c r="AH1356" s="2">
        <v>10</v>
      </c>
      <c r="AJ1356" s="2" t="s">
        <v>12372</v>
      </c>
      <c r="AK1356" s="2"/>
      <c r="AL1356" s="2"/>
      <c r="AM1356" s="2" t="s">
        <v>10791</v>
      </c>
    </row>
    <row r="1357" spans="1:39" x14ac:dyDescent="0.45">
      <c r="A1357" s="2" t="s">
        <v>12373</v>
      </c>
      <c r="B1357" s="2"/>
      <c r="C1357" s="2" t="s">
        <v>12375</v>
      </c>
      <c r="D1357" s="2" t="s">
        <v>12377</v>
      </c>
      <c r="E1357" s="25"/>
      <c r="F1357" s="21"/>
      <c r="G1357" s="21"/>
      <c r="H1357" s="2" t="s">
        <v>10789</v>
      </c>
      <c r="I1357" s="2" t="s">
        <v>10787</v>
      </c>
      <c r="J1357" s="2" t="s">
        <v>12374</v>
      </c>
      <c r="K1357" s="2" t="s">
        <v>12376</v>
      </c>
      <c r="L1357" s="2" t="s">
        <v>12378</v>
      </c>
      <c r="M1357" s="2" t="s">
        <v>12378</v>
      </c>
      <c r="N1357" s="2" t="s">
        <v>312</v>
      </c>
      <c r="O1357" s="2" t="s">
        <v>313</v>
      </c>
      <c r="P1357" s="2" t="s">
        <v>10100</v>
      </c>
      <c r="Q1357" s="2"/>
      <c r="R1357" s="2"/>
      <c r="S1357" s="2"/>
      <c r="T1357" s="2"/>
      <c r="U1357" s="2"/>
      <c r="V1357" s="2"/>
      <c r="W1357" s="2"/>
      <c r="X1357" s="2" t="s">
        <v>7816</v>
      </c>
      <c r="Y1357" s="2" t="s">
        <v>44</v>
      </c>
      <c r="Z1357" s="2"/>
      <c r="AA1357" s="2" t="s">
        <v>3527</v>
      </c>
      <c r="AB1357" s="2" t="s">
        <v>46</v>
      </c>
      <c r="AC1357" s="2" t="s">
        <v>3527</v>
      </c>
      <c r="AE1357" s="2" t="s">
        <v>10801</v>
      </c>
      <c r="AF1357" s="2" t="s">
        <v>7864</v>
      </c>
      <c r="AG1357" s="2">
        <v>100</v>
      </c>
      <c r="AH1357" s="2">
        <v>10</v>
      </c>
      <c r="AJ1357" s="2" t="s">
        <v>12379</v>
      </c>
      <c r="AK1357" s="2"/>
      <c r="AL1357" s="2"/>
      <c r="AM1357" s="2" t="s">
        <v>10791</v>
      </c>
    </row>
    <row r="1358" spans="1:39" x14ac:dyDescent="0.45">
      <c r="A1358" s="2" t="s">
        <v>12380</v>
      </c>
      <c r="B1358" s="2"/>
      <c r="C1358" s="2" t="s">
        <v>12382</v>
      </c>
      <c r="D1358" s="2" t="s">
        <v>12384</v>
      </c>
      <c r="E1358" s="25"/>
      <c r="F1358" s="21"/>
      <c r="G1358" s="21"/>
      <c r="H1358" s="2" t="s">
        <v>10789</v>
      </c>
      <c r="I1358" s="2" t="s">
        <v>10787</v>
      </c>
      <c r="J1358" s="2" t="s">
        <v>12381</v>
      </c>
      <c r="K1358" s="2" t="s">
        <v>12383</v>
      </c>
      <c r="L1358" s="2" t="s">
        <v>12385</v>
      </c>
      <c r="M1358" s="2" t="s">
        <v>12385</v>
      </c>
      <c r="N1358" s="2" t="s">
        <v>312</v>
      </c>
      <c r="O1358" s="2" t="s">
        <v>313</v>
      </c>
      <c r="P1358" s="2" t="s">
        <v>12386</v>
      </c>
      <c r="Q1358" s="2"/>
      <c r="R1358" s="2"/>
      <c r="S1358" s="2"/>
      <c r="T1358" s="2"/>
      <c r="U1358" s="2"/>
      <c r="V1358" s="2"/>
      <c r="W1358" s="2"/>
      <c r="X1358" s="2" t="s">
        <v>12387</v>
      </c>
      <c r="Y1358" s="2" t="s">
        <v>44</v>
      </c>
      <c r="Z1358" s="2"/>
      <c r="AA1358" s="2" t="s">
        <v>3527</v>
      </c>
      <c r="AB1358" s="2" t="s">
        <v>46</v>
      </c>
      <c r="AC1358" s="2" t="s">
        <v>3527</v>
      </c>
      <c r="AE1358" s="2" t="s">
        <v>10801</v>
      </c>
      <c r="AF1358" s="2" t="s">
        <v>7864</v>
      </c>
      <c r="AG1358" s="2">
        <v>100</v>
      </c>
      <c r="AH1358" s="2">
        <v>10</v>
      </c>
      <c r="AJ1358" s="2" t="s">
        <v>12388</v>
      </c>
      <c r="AK1358" s="2"/>
      <c r="AL1358" s="2"/>
      <c r="AM1358" s="2" t="s">
        <v>10791</v>
      </c>
    </row>
    <row r="1359" spans="1:39" x14ac:dyDescent="0.45">
      <c r="A1359" s="2" t="s">
        <v>12389</v>
      </c>
      <c r="B1359" s="2"/>
      <c r="C1359" s="2" t="s">
        <v>12391</v>
      </c>
      <c r="D1359" s="2" t="s">
        <v>12393</v>
      </c>
      <c r="E1359" s="25"/>
      <c r="F1359" s="21"/>
      <c r="G1359" s="21"/>
      <c r="H1359" s="2" t="s">
        <v>10789</v>
      </c>
      <c r="I1359" s="2" t="s">
        <v>10787</v>
      </c>
      <c r="J1359" s="2" t="s">
        <v>12390</v>
      </c>
      <c r="K1359" s="2" t="s">
        <v>12392</v>
      </c>
      <c r="L1359" s="2" t="s">
        <v>12394</v>
      </c>
      <c r="M1359" s="2" t="s">
        <v>12394</v>
      </c>
      <c r="N1359" s="2" t="s">
        <v>384</v>
      </c>
      <c r="O1359" s="2" t="s">
        <v>73</v>
      </c>
      <c r="P1359" s="2" t="s">
        <v>4885</v>
      </c>
      <c r="Q1359" s="2"/>
      <c r="R1359" s="2"/>
      <c r="S1359" s="2"/>
      <c r="T1359" s="2"/>
      <c r="U1359" s="2"/>
      <c r="V1359" s="2"/>
      <c r="W1359" s="2"/>
      <c r="X1359" s="2" t="s">
        <v>12387</v>
      </c>
      <c r="Y1359" s="2" t="s">
        <v>44</v>
      </c>
      <c r="Z1359" s="2"/>
      <c r="AA1359" s="2" t="s">
        <v>3527</v>
      </c>
      <c r="AB1359" s="2" t="s">
        <v>46</v>
      </c>
      <c r="AC1359" s="2" t="s">
        <v>3527</v>
      </c>
      <c r="AE1359" s="2" t="s">
        <v>10801</v>
      </c>
      <c r="AF1359" s="2" t="s">
        <v>7864</v>
      </c>
      <c r="AG1359" s="2">
        <v>100</v>
      </c>
      <c r="AH1359" s="2">
        <v>10</v>
      </c>
      <c r="AJ1359" s="2" t="s">
        <v>12395</v>
      </c>
      <c r="AK1359" s="2"/>
      <c r="AL1359" s="2"/>
      <c r="AM1359" s="2" t="s">
        <v>10791</v>
      </c>
    </row>
    <row r="1360" spans="1:39" x14ac:dyDescent="0.45">
      <c r="A1360" s="2" t="s">
        <v>12396</v>
      </c>
      <c r="B1360" s="2"/>
      <c r="C1360" s="2" t="s">
        <v>12398</v>
      </c>
      <c r="D1360" s="2" t="s">
        <v>12400</v>
      </c>
      <c r="E1360" s="25"/>
      <c r="F1360" s="21"/>
      <c r="G1360" s="21"/>
      <c r="H1360" s="2" t="s">
        <v>10789</v>
      </c>
      <c r="I1360" s="2" t="s">
        <v>10787</v>
      </c>
      <c r="J1360" s="2" t="s">
        <v>12397</v>
      </c>
      <c r="K1360" s="2" t="s">
        <v>12399</v>
      </c>
      <c r="L1360" s="2"/>
      <c r="M1360" s="2"/>
      <c r="N1360" s="2" t="s">
        <v>312</v>
      </c>
      <c r="O1360" s="2" t="s">
        <v>313</v>
      </c>
      <c r="P1360" s="2" t="s">
        <v>314</v>
      </c>
      <c r="Q1360" s="2" t="s">
        <v>12399</v>
      </c>
      <c r="R1360" s="2" t="s">
        <v>12400</v>
      </c>
      <c r="S1360" s="2"/>
      <c r="T1360" s="2"/>
      <c r="U1360" s="2" t="s">
        <v>312</v>
      </c>
      <c r="V1360" s="2" t="s">
        <v>313</v>
      </c>
      <c r="W1360" s="2" t="s">
        <v>314</v>
      </c>
      <c r="X1360" s="2" t="s">
        <v>12401</v>
      </c>
      <c r="Y1360" s="2" t="s">
        <v>44</v>
      </c>
      <c r="Z1360" s="2"/>
      <c r="AA1360" s="2" t="s">
        <v>821</v>
      </c>
      <c r="AB1360" s="2" t="s">
        <v>46</v>
      </c>
      <c r="AC1360" s="2" t="s">
        <v>821</v>
      </c>
      <c r="AE1360" s="2" t="s">
        <v>10801</v>
      </c>
      <c r="AF1360" s="2" t="s">
        <v>7864</v>
      </c>
      <c r="AG1360" s="2">
        <v>90</v>
      </c>
      <c r="AH1360" s="2">
        <v>7</v>
      </c>
      <c r="AJ1360" s="2" t="s">
        <v>12402</v>
      </c>
      <c r="AK1360" s="2"/>
      <c r="AL1360" s="2"/>
      <c r="AM1360" s="2" t="s">
        <v>10791</v>
      </c>
    </row>
    <row r="1361" spans="1:39" x14ac:dyDescent="0.45">
      <c r="A1361" s="2" t="s">
        <v>12403</v>
      </c>
      <c r="B1361" s="2"/>
      <c r="C1361" s="2" t="s">
        <v>12405</v>
      </c>
      <c r="D1361" s="2" t="s">
        <v>12407</v>
      </c>
      <c r="E1361" s="25"/>
      <c r="F1361" s="21"/>
      <c r="G1361" s="21"/>
      <c r="H1361" s="2" t="s">
        <v>10789</v>
      </c>
      <c r="I1361" s="2" t="s">
        <v>10787</v>
      </c>
      <c r="J1361" s="2" t="s">
        <v>12404</v>
      </c>
      <c r="K1361" s="2" t="s">
        <v>12406</v>
      </c>
      <c r="L1361" s="2"/>
      <c r="M1361" s="2"/>
      <c r="N1361" s="2" t="s">
        <v>72</v>
      </c>
      <c r="O1361" s="2" t="s">
        <v>73</v>
      </c>
      <c r="P1361" s="2" t="s">
        <v>2222</v>
      </c>
      <c r="Q1361" s="2" t="s">
        <v>12406</v>
      </c>
      <c r="R1361" s="2"/>
      <c r="S1361" s="2"/>
      <c r="T1361" s="2"/>
      <c r="U1361" s="2" t="s">
        <v>72</v>
      </c>
      <c r="V1361" s="2" t="s">
        <v>73</v>
      </c>
      <c r="W1361" s="2" t="s">
        <v>2222</v>
      </c>
      <c r="X1361" s="2" t="s">
        <v>12408</v>
      </c>
      <c r="Y1361" s="2" t="s">
        <v>44</v>
      </c>
      <c r="Z1361" s="2"/>
      <c r="AA1361" s="2" t="s">
        <v>821</v>
      </c>
      <c r="AB1361" s="2" t="s">
        <v>46</v>
      </c>
      <c r="AC1361" s="2" t="s">
        <v>821</v>
      </c>
      <c r="AE1361" s="2" t="s">
        <v>10801</v>
      </c>
      <c r="AF1361" s="2" t="s">
        <v>7864</v>
      </c>
      <c r="AG1361" s="2">
        <v>90</v>
      </c>
      <c r="AH1361" s="2">
        <v>7</v>
      </c>
      <c r="AJ1361" s="2" t="s">
        <v>12409</v>
      </c>
      <c r="AK1361" s="2"/>
      <c r="AL1361" s="2"/>
      <c r="AM1361" s="2" t="s">
        <v>10791</v>
      </c>
    </row>
    <row r="1362" spans="1:39" x14ac:dyDescent="0.45">
      <c r="A1362" s="2" t="s">
        <v>12410</v>
      </c>
      <c r="B1362" s="2"/>
      <c r="C1362" s="2" t="s">
        <v>12412</v>
      </c>
      <c r="D1362" s="2" t="s">
        <v>12414</v>
      </c>
      <c r="E1362" s="25"/>
      <c r="F1362" s="21"/>
      <c r="G1362" s="21"/>
      <c r="H1362" s="2" t="s">
        <v>10789</v>
      </c>
      <c r="I1362" s="2" t="s">
        <v>12417</v>
      </c>
      <c r="J1362" s="2" t="s">
        <v>12411</v>
      </c>
      <c r="K1362" s="2" t="s">
        <v>12413</v>
      </c>
      <c r="L1362" s="2"/>
      <c r="M1362" s="2"/>
      <c r="N1362" s="2" t="s">
        <v>72</v>
      </c>
      <c r="O1362" s="2" t="s">
        <v>73</v>
      </c>
      <c r="P1362" s="2" t="s">
        <v>12415</v>
      </c>
      <c r="Q1362" s="2" t="s">
        <v>12416</v>
      </c>
      <c r="R1362" s="2"/>
      <c r="S1362" s="2"/>
      <c r="T1362" s="2"/>
      <c r="U1362" s="2" t="s">
        <v>72</v>
      </c>
      <c r="V1362" s="2" t="s">
        <v>73</v>
      </c>
      <c r="W1362" s="2" t="s">
        <v>12415</v>
      </c>
      <c r="X1362" s="2" t="s">
        <v>10877</v>
      </c>
      <c r="Y1362" s="2" t="s">
        <v>44</v>
      </c>
      <c r="Z1362" s="2"/>
      <c r="AA1362" s="2" t="s">
        <v>821</v>
      </c>
      <c r="AB1362" s="2" t="s">
        <v>46</v>
      </c>
      <c r="AC1362" s="2" t="s">
        <v>821</v>
      </c>
      <c r="AE1362" s="2" t="s">
        <v>10801</v>
      </c>
      <c r="AF1362" s="2" t="s">
        <v>7864</v>
      </c>
      <c r="AG1362" s="2">
        <v>90</v>
      </c>
      <c r="AH1362" s="2">
        <v>7</v>
      </c>
      <c r="AJ1362" s="2" t="s">
        <v>12418</v>
      </c>
      <c r="AK1362" s="2"/>
      <c r="AL1362" s="2"/>
      <c r="AM1362" s="2" t="s">
        <v>10791</v>
      </c>
    </row>
    <row r="1363" spans="1:39" x14ac:dyDescent="0.45">
      <c r="A1363" s="2" t="s">
        <v>12419</v>
      </c>
      <c r="B1363" s="2"/>
      <c r="C1363" s="2" t="s">
        <v>12421</v>
      </c>
      <c r="D1363" s="2" t="s">
        <v>12423</v>
      </c>
      <c r="E1363" s="25"/>
      <c r="F1363" s="21"/>
      <c r="G1363" s="21"/>
      <c r="H1363" s="2" t="s">
        <v>10789</v>
      </c>
      <c r="I1363" s="2" t="s">
        <v>10787</v>
      </c>
      <c r="J1363" s="2" t="s">
        <v>12420</v>
      </c>
      <c r="K1363" s="2" t="s">
        <v>12422</v>
      </c>
      <c r="L1363" s="2"/>
      <c r="M1363" s="2"/>
      <c r="N1363" s="2" t="s">
        <v>312</v>
      </c>
      <c r="O1363" s="2" t="s">
        <v>313</v>
      </c>
      <c r="P1363" s="2" t="s">
        <v>7647</v>
      </c>
      <c r="Q1363" s="2" t="s">
        <v>12424</v>
      </c>
      <c r="R1363" s="2"/>
      <c r="S1363" s="2"/>
      <c r="T1363" s="2"/>
      <c r="U1363" s="2" t="s">
        <v>312</v>
      </c>
      <c r="V1363" s="2" t="s">
        <v>313</v>
      </c>
      <c r="W1363" s="2" t="s">
        <v>7647</v>
      </c>
      <c r="X1363" s="2" t="s">
        <v>12425</v>
      </c>
      <c r="Y1363" s="2" t="s">
        <v>44</v>
      </c>
      <c r="Z1363" s="2"/>
      <c r="AA1363" s="2" t="s">
        <v>821</v>
      </c>
      <c r="AB1363" s="2" t="s">
        <v>46</v>
      </c>
      <c r="AC1363" s="2" t="s">
        <v>821</v>
      </c>
      <c r="AE1363" s="2" t="s">
        <v>10801</v>
      </c>
      <c r="AF1363" s="2" t="s">
        <v>7864</v>
      </c>
      <c r="AG1363" s="2">
        <v>90</v>
      </c>
      <c r="AH1363" s="2">
        <v>7</v>
      </c>
      <c r="AJ1363" s="2" t="s">
        <v>12426</v>
      </c>
      <c r="AK1363" s="2"/>
      <c r="AL1363" s="2"/>
      <c r="AM1363" s="2" t="s">
        <v>10791</v>
      </c>
    </row>
    <row r="1364" spans="1:39" x14ac:dyDescent="0.45">
      <c r="A1364" s="2" t="s">
        <v>12427</v>
      </c>
      <c r="B1364" s="2"/>
      <c r="C1364" s="2" t="s">
        <v>12429</v>
      </c>
      <c r="D1364" s="2" t="s">
        <v>12431</v>
      </c>
      <c r="E1364" s="25"/>
      <c r="F1364" s="21"/>
      <c r="G1364" s="21"/>
      <c r="H1364" s="2" t="s">
        <v>10789</v>
      </c>
      <c r="I1364" s="2" t="s">
        <v>10787</v>
      </c>
      <c r="J1364" s="2" t="s">
        <v>12428</v>
      </c>
      <c r="K1364" s="2" t="s">
        <v>12430</v>
      </c>
      <c r="L1364" s="2"/>
      <c r="M1364" s="2"/>
      <c r="N1364" s="2" t="s">
        <v>312</v>
      </c>
      <c r="O1364" s="2" t="s">
        <v>313</v>
      </c>
      <c r="P1364" s="2" t="s">
        <v>314</v>
      </c>
      <c r="Q1364" s="2" t="s">
        <v>12432</v>
      </c>
      <c r="R1364" s="2"/>
      <c r="S1364" s="2"/>
      <c r="T1364" s="2"/>
      <c r="U1364" s="2" t="s">
        <v>312</v>
      </c>
      <c r="V1364" s="2" t="s">
        <v>313</v>
      </c>
      <c r="W1364" s="2" t="s">
        <v>314</v>
      </c>
      <c r="X1364" s="2" t="s">
        <v>12433</v>
      </c>
      <c r="Y1364" s="2" t="s">
        <v>44</v>
      </c>
      <c r="Z1364" s="2"/>
      <c r="AA1364" s="2" t="s">
        <v>821</v>
      </c>
      <c r="AB1364" s="2" t="s">
        <v>46</v>
      </c>
      <c r="AC1364" s="2" t="s">
        <v>821</v>
      </c>
      <c r="AE1364" s="2" t="s">
        <v>10801</v>
      </c>
      <c r="AF1364" s="2" t="s">
        <v>7864</v>
      </c>
      <c r="AG1364" s="2">
        <v>90</v>
      </c>
      <c r="AH1364" s="2">
        <v>7</v>
      </c>
      <c r="AJ1364" s="2" t="s">
        <v>12434</v>
      </c>
      <c r="AK1364" s="2"/>
      <c r="AL1364" s="2"/>
      <c r="AM1364" s="2" t="s">
        <v>10791</v>
      </c>
    </row>
    <row r="1365" spans="1:39" x14ac:dyDescent="0.45">
      <c r="A1365" s="2" t="s">
        <v>12435</v>
      </c>
      <c r="B1365" s="2"/>
      <c r="C1365" s="2" t="s">
        <v>12437</v>
      </c>
      <c r="D1365" s="2" t="s">
        <v>12439</v>
      </c>
      <c r="E1365" s="25"/>
      <c r="F1365" s="21"/>
      <c r="G1365" s="21"/>
      <c r="H1365" s="2" t="s">
        <v>10789</v>
      </c>
      <c r="I1365" s="2" t="s">
        <v>10787</v>
      </c>
      <c r="J1365" s="2" t="s">
        <v>12436</v>
      </c>
      <c r="K1365" s="2" t="s">
        <v>12438</v>
      </c>
      <c r="L1365" s="2"/>
      <c r="M1365" s="2"/>
      <c r="N1365" s="2" t="s">
        <v>312</v>
      </c>
      <c r="O1365" s="2" t="s">
        <v>313</v>
      </c>
      <c r="P1365" s="2" t="s">
        <v>12440</v>
      </c>
      <c r="Q1365" s="2" t="s">
        <v>12438</v>
      </c>
      <c r="R1365" s="2"/>
      <c r="S1365" s="2"/>
      <c r="T1365" s="2"/>
      <c r="U1365" s="2" t="s">
        <v>312</v>
      </c>
      <c r="V1365" s="2" t="s">
        <v>313</v>
      </c>
      <c r="W1365" s="2" t="s">
        <v>12440</v>
      </c>
      <c r="X1365" s="2" t="s">
        <v>12441</v>
      </c>
      <c r="Y1365" s="2" t="s">
        <v>44</v>
      </c>
      <c r="Z1365" s="2"/>
      <c r="AA1365" s="2" t="s">
        <v>821</v>
      </c>
      <c r="AB1365" s="2" t="s">
        <v>46</v>
      </c>
      <c r="AC1365" s="2" t="s">
        <v>821</v>
      </c>
      <c r="AE1365" s="2" t="s">
        <v>10801</v>
      </c>
      <c r="AF1365" s="2" t="s">
        <v>7864</v>
      </c>
      <c r="AG1365" s="2">
        <v>90</v>
      </c>
      <c r="AH1365" s="2">
        <v>7</v>
      </c>
      <c r="AJ1365" s="2" t="s">
        <v>12442</v>
      </c>
      <c r="AK1365" s="2"/>
      <c r="AL1365" s="2"/>
      <c r="AM1365" s="2" t="s">
        <v>10791</v>
      </c>
    </row>
    <row r="1366" spans="1:39" x14ac:dyDescent="0.45">
      <c r="A1366" s="2" t="s">
        <v>12443</v>
      </c>
      <c r="B1366" s="2"/>
      <c r="C1366" s="2" t="s">
        <v>12445</v>
      </c>
      <c r="D1366" s="2" t="s">
        <v>12069</v>
      </c>
      <c r="E1366" s="25"/>
      <c r="F1366" s="21"/>
      <c r="G1366" s="21"/>
      <c r="H1366" s="2" t="s">
        <v>10789</v>
      </c>
      <c r="I1366" s="2" t="s">
        <v>10787</v>
      </c>
      <c r="J1366" s="2" t="s">
        <v>12444</v>
      </c>
      <c r="K1366" s="2" t="s">
        <v>12446</v>
      </c>
      <c r="L1366" s="2"/>
      <c r="M1366" s="2"/>
      <c r="N1366" s="2" t="s">
        <v>312</v>
      </c>
      <c r="O1366" s="2" t="s">
        <v>313</v>
      </c>
      <c r="P1366" s="2" t="s">
        <v>11652</v>
      </c>
      <c r="Q1366" s="2" t="s">
        <v>12447</v>
      </c>
      <c r="R1366" s="2"/>
      <c r="S1366" s="2"/>
      <c r="T1366" s="2"/>
      <c r="U1366" s="2" t="s">
        <v>312</v>
      </c>
      <c r="V1366" s="2" t="s">
        <v>313</v>
      </c>
      <c r="W1366" s="2" t="s">
        <v>11652</v>
      </c>
      <c r="X1366" s="2" t="s">
        <v>12448</v>
      </c>
      <c r="Y1366" s="2" t="s">
        <v>44</v>
      </c>
      <c r="Z1366" s="2"/>
      <c r="AA1366" s="2" t="s">
        <v>821</v>
      </c>
      <c r="AB1366" s="2" t="s">
        <v>46</v>
      </c>
      <c r="AC1366" s="2" t="s">
        <v>821</v>
      </c>
      <c r="AE1366" s="2" t="s">
        <v>10801</v>
      </c>
      <c r="AF1366" s="2" t="s">
        <v>7864</v>
      </c>
      <c r="AG1366" s="2">
        <v>90</v>
      </c>
      <c r="AH1366" s="2">
        <v>7</v>
      </c>
      <c r="AJ1366" s="2" t="s">
        <v>12449</v>
      </c>
      <c r="AK1366" s="2"/>
      <c r="AL1366" s="2"/>
      <c r="AM1366" s="2" t="s">
        <v>10791</v>
      </c>
    </row>
    <row r="1367" spans="1:39" x14ac:dyDescent="0.45">
      <c r="A1367" s="2" t="s">
        <v>12450</v>
      </c>
      <c r="B1367" s="2"/>
      <c r="C1367" s="2" t="s">
        <v>12452</v>
      </c>
      <c r="D1367" s="2" t="s">
        <v>12454</v>
      </c>
      <c r="E1367" s="25"/>
      <c r="F1367" s="21"/>
      <c r="G1367" s="21"/>
      <c r="H1367" s="2" t="s">
        <v>10789</v>
      </c>
      <c r="I1367" s="2" t="s">
        <v>10787</v>
      </c>
      <c r="J1367" s="2" t="s">
        <v>12451</v>
      </c>
      <c r="K1367" s="2" t="s">
        <v>12453</v>
      </c>
      <c r="L1367" s="2"/>
      <c r="M1367" s="2"/>
      <c r="N1367" s="2" t="s">
        <v>312</v>
      </c>
      <c r="O1367" s="2" t="s">
        <v>313</v>
      </c>
      <c r="P1367" s="2" t="s">
        <v>314</v>
      </c>
      <c r="Q1367" s="2" t="s">
        <v>12453</v>
      </c>
      <c r="R1367" s="2"/>
      <c r="S1367" s="2"/>
      <c r="T1367" s="2"/>
      <c r="U1367" s="2" t="s">
        <v>312</v>
      </c>
      <c r="V1367" s="2" t="s">
        <v>313</v>
      </c>
      <c r="W1367" s="2" t="s">
        <v>314</v>
      </c>
      <c r="X1367" s="2" t="s">
        <v>12455</v>
      </c>
      <c r="Y1367" s="2" t="s">
        <v>44</v>
      </c>
      <c r="Z1367" s="2"/>
      <c r="AA1367" s="2" t="s">
        <v>821</v>
      </c>
      <c r="AB1367" s="2" t="s">
        <v>46</v>
      </c>
      <c r="AC1367" s="2" t="s">
        <v>821</v>
      </c>
      <c r="AE1367" s="2" t="s">
        <v>10801</v>
      </c>
      <c r="AF1367" s="2" t="s">
        <v>7864</v>
      </c>
      <c r="AG1367" s="2">
        <v>90</v>
      </c>
      <c r="AH1367" s="2">
        <v>7</v>
      </c>
      <c r="AJ1367" s="2" t="s">
        <v>12456</v>
      </c>
      <c r="AK1367" s="2"/>
      <c r="AL1367" s="2"/>
      <c r="AM1367" s="2" t="s">
        <v>10791</v>
      </c>
    </row>
    <row r="1368" spans="1:39" x14ac:dyDescent="0.45">
      <c r="A1368" s="2" t="s">
        <v>12457</v>
      </c>
      <c r="B1368" s="2"/>
      <c r="C1368" s="2" t="s">
        <v>12459</v>
      </c>
      <c r="D1368" s="2" t="s">
        <v>12461</v>
      </c>
      <c r="E1368" s="25"/>
      <c r="F1368" s="21"/>
      <c r="G1368" s="21"/>
      <c r="H1368" s="2" t="s">
        <v>10789</v>
      </c>
      <c r="I1368" s="2" t="s">
        <v>12462</v>
      </c>
      <c r="J1368" s="2" t="s">
        <v>12458</v>
      </c>
      <c r="K1368" s="2" t="s">
        <v>12460</v>
      </c>
      <c r="L1368" s="2"/>
      <c r="M1368" s="2"/>
      <c r="N1368" s="2" t="s">
        <v>312</v>
      </c>
      <c r="O1368" s="2" t="s">
        <v>313</v>
      </c>
      <c r="P1368" s="2" t="s">
        <v>7463</v>
      </c>
      <c r="Q1368" s="2" t="s">
        <v>12460</v>
      </c>
      <c r="R1368" s="2"/>
      <c r="S1368" s="2"/>
      <c r="T1368" s="2"/>
      <c r="U1368" s="2" t="s">
        <v>312</v>
      </c>
      <c r="V1368" s="2" t="s">
        <v>313</v>
      </c>
      <c r="W1368" s="2" t="s">
        <v>7463</v>
      </c>
      <c r="X1368" s="2" t="s">
        <v>12455</v>
      </c>
      <c r="Y1368" s="2" t="s">
        <v>44</v>
      </c>
      <c r="Z1368" s="2"/>
      <c r="AA1368" s="2" t="s">
        <v>821</v>
      </c>
      <c r="AB1368" s="2" t="s">
        <v>46</v>
      </c>
      <c r="AC1368" s="2" t="s">
        <v>821</v>
      </c>
      <c r="AE1368" s="2" t="s">
        <v>10801</v>
      </c>
      <c r="AF1368" s="2" t="s">
        <v>7864</v>
      </c>
      <c r="AG1368" s="2">
        <v>90</v>
      </c>
      <c r="AH1368" s="2">
        <v>7</v>
      </c>
      <c r="AJ1368" s="2" t="s">
        <v>12463</v>
      </c>
      <c r="AK1368" s="2"/>
      <c r="AL1368" s="2"/>
      <c r="AM1368" s="2" t="s">
        <v>10791</v>
      </c>
    </row>
    <row r="1369" spans="1:39" x14ac:dyDescent="0.45">
      <c r="A1369" s="2" t="s">
        <v>12464</v>
      </c>
      <c r="B1369" s="2"/>
      <c r="C1369" s="2" t="s">
        <v>12466</v>
      </c>
      <c r="D1369" s="2" t="s">
        <v>12468</v>
      </c>
      <c r="E1369" s="25"/>
      <c r="F1369" s="21"/>
      <c r="G1369" s="21"/>
      <c r="H1369" s="2" t="s">
        <v>10789</v>
      </c>
      <c r="I1369" s="2" t="s">
        <v>10787</v>
      </c>
      <c r="J1369" s="2" t="s">
        <v>12465</v>
      </c>
      <c r="K1369" s="2" t="s">
        <v>12467</v>
      </c>
      <c r="L1369" s="2"/>
      <c r="M1369" s="2"/>
      <c r="N1369" s="2" t="s">
        <v>85</v>
      </c>
      <c r="O1369" s="2" t="s">
        <v>86</v>
      </c>
      <c r="P1369" s="2" t="s">
        <v>7428</v>
      </c>
      <c r="Q1369" s="2" t="s">
        <v>12469</v>
      </c>
      <c r="R1369" s="2"/>
      <c r="S1369" s="2"/>
      <c r="T1369" s="2"/>
      <c r="U1369" s="2" t="s">
        <v>85</v>
      </c>
      <c r="V1369" s="2" t="s">
        <v>86</v>
      </c>
      <c r="W1369" s="2" t="s">
        <v>7428</v>
      </c>
      <c r="X1369" s="2" t="s">
        <v>12470</v>
      </c>
      <c r="Y1369" s="2" t="s">
        <v>44</v>
      </c>
      <c r="Z1369" s="2"/>
      <c r="AA1369" s="2" t="s">
        <v>821</v>
      </c>
      <c r="AB1369" s="2" t="s">
        <v>46</v>
      </c>
      <c r="AC1369" s="2" t="s">
        <v>821</v>
      </c>
      <c r="AE1369" s="2" t="s">
        <v>10801</v>
      </c>
      <c r="AF1369" s="2" t="s">
        <v>7864</v>
      </c>
      <c r="AG1369" s="2">
        <v>90</v>
      </c>
      <c r="AH1369" s="2">
        <v>7</v>
      </c>
      <c r="AJ1369" s="2" t="s">
        <v>12471</v>
      </c>
      <c r="AK1369" s="2"/>
      <c r="AL1369" s="2"/>
      <c r="AM1369" s="2" t="s">
        <v>10791</v>
      </c>
    </row>
    <row r="1370" spans="1:39" x14ac:dyDescent="0.45">
      <c r="A1370" s="2" t="s">
        <v>12472</v>
      </c>
      <c r="B1370" s="2"/>
      <c r="C1370" s="2" t="s">
        <v>12474</v>
      </c>
      <c r="D1370" s="2" t="s">
        <v>12476</v>
      </c>
      <c r="E1370" s="25"/>
      <c r="F1370" s="21"/>
      <c r="G1370" s="21"/>
      <c r="H1370" s="2" t="s">
        <v>10789</v>
      </c>
      <c r="I1370" s="2" t="s">
        <v>10787</v>
      </c>
      <c r="J1370" s="2" t="s">
        <v>12473</v>
      </c>
      <c r="K1370" s="2" t="s">
        <v>12475</v>
      </c>
      <c r="L1370" s="2"/>
      <c r="M1370" s="2"/>
      <c r="N1370" s="2" t="s">
        <v>312</v>
      </c>
      <c r="O1370" s="2" t="s">
        <v>313</v>
      </c>
      <c r="P1370" s="2" t="s">
        <v>314</v>
      </c>
      <c r="Q1370" s="2" t="s">
        <v>12477</v>
      </c>
      <c r="R1370" s="2"/>
      <c r="S1370" s="2"/>
      <c r="T1370" s="2"/>
      <c r="U1370" s="2" t="s">
        <v>312</v>
      </c>
      <c r="V1370" s="2" t="s">
        <v>313</v>
      </c>
      <c r="W1370" s="2" t="s">
        <v>314</v>
      </c>
      <c r="X1370" s="2" t="s">
        <v>12478</v>
      </c>
      <c r="Y1370" s="2" t="s">
        <v>44</v>
      </c>
      <c r="Z1370" s="2"/>
      <c r="AA1370" s="2" t="s">
        <v>821</v>
      </c>
      <c r="AB1370" s="2" t="s">
        <v>46</v>
      </c>
      <c r="AC1370" s="2" t="s">
        <v>821</v>
      </c>
      <c r="AE1370" s="2" t="s">
        <v>10801</v>
      </c>
      <c r="AF1370" s="2" t="s">
        <v>7864</v>
      </c>
      <c r="AG1370" s="2">
        <v>90</v>
      </c>
      <c r="AH1370" s="2">
        <v>7</v>
      </c>
      <c r="AJ1370" s="2" t="s">
        <v>12479</v>
      </c>
      <c r="AK1370" s="2"/>
      <c r="AL1370" s="2"/>
      <c r="AM1370" s="2" t="s">
        <v>10791</v>
      </c>
    </row>
    <row r="1371" spans="1:39" x14ac:dyDescent="0.45">
      <c r="A1371" s="2" t="s">
        <v>12480</v>
      </c>
      <c r="B1371" s="2"/>
      <c r="C1371" s="2" t="s">
        <v>12482</v>
      </c>
      <c r="D1371" s="2" t="s">
        <v>12484</v>
      </c>
      <c r="E1371" s="25"/>
      <c r="F1371" s="21"/>
      <c r="G1371" s="21"/>
      <c r="H1371" s="2" t="s">
        <v>10789</v>
      </c>
      <c r="I1371" s="2" t="s">
        <v>12462</v>
      </c>
      <c r="J1371" s="2" t="s">
        <v>12481</v>
      </c>
      <c r="K1371" s="2" t="s">
        <v>12483</v>
      </c>
      <c r="L1371" s="2"/>
      <c r="M1371" s="2"/>
      <c r="N1371" s="2" t="s">
        <v>72</v>
      </c>
      <c r="O1371" s="2" t="s">
        <v>73</v>
      </c>
      <c r="P1371" s="2" t="s">
        <v>1599</v>
      </c>
      <c r="Q1371" s="2" t="s">
        <v>12483</v>
      </c>
      <c r="R1371" s="2"/>
      <c r="S1371" s="2"/>
      <c r="T1371" s="2"/>
      <c r="U1371" s="2" t="s">
        <v>72</v>
      </c>
      <c r="V1371" s="2" t="s">
        <v>73</v>
      </c>
      <c r="W1371" s="2" t="s">
        <v>1599</v>
      </c>
      <c r="X1371" s="2" t="s">
        <v>12485</v>
      </c>
      <c r="Y1371" s="2" t="s">
        <v>44</v>
      </c>
      <c r="Z1371" s="2"/>
      <c r="AA1371" s="2" t="s">
        <v>821</v>
      </c>
      <c r="AB1371" s="2" t="s">
        <v>46</v>
      </c>
      <c r="AC1371" s="2" t="s">
        <v>821</v>
      </c>
      <c r="AE1371" s="2" t="s">
        <v>10801</v>
      </c>
      <c r="AF1371" s="2" t="s">
        <v>7864</v>
      </c>
      <c r="AG1371" s="2">
        <v>90</v>
      </c>
      <c r="AH1371" s="2">
        <v>7</v>
      </c>
      <c r="AJ1371" s="2" t="s">
        <v>12486</v>
      </c>
      <c r="AK1371" s="2"/>
      <c r="AL1371" s="2"/>
      <c r="AM1371" s="2" t="s">
        <v>10791</v>
      </c>
    </row>
    <row r="1372" spans="1:39" x14ac:dyDescent="0.45">
      <c r="A1372" s="2" t="s">
        <v>12487</v>
      </c>
      <c r="B1372" s="2"/>
      <c r="C1372" s="2" t="s">
        <v>12489</v>
      </c>
      <c r="D1372" s="2" t="s">
        <v>12491</v>
      </c>
      <c r="E1372" s="25"/>
      <c r="F1372" s="21"/>
      <c r="G1372" s="21"/>
      <c r="H1372" s="2" t="s">
        <v>10789</v>
      </c>
      <c r="I1372" s="2" t="s">
        <v>10787</v>
      </c>
      <c r="J1372" s="2" t="s">
        <v>12488</v>
      </c>
      <c r="K1372" s="2" t="s">
        <v>12490</v>
      </c>
      <c r="L1372" s="2"/>
      <c r="M1372" s="2"/>
      <c r="N1372" s="2" t="s">
        <v>72</v>
      </c>
      <c r="O1372" s="2" t="s">
        <v>73</v>
      </c>
      <c r="P1372" s="2" t="s">
        <v>6376</v>
      </c>
      <c r="Q1372" s="2" t="s">
        <v>12490</v>
      </c>
      <c r="R1372" s="2"/>
      <c r="S1372" s="2"/>
      <c r="T1372" s="2"/>
      <c r="U1372" s="2" t="s">
        <v>72</v>
      </c>
      <c r="V1372" s="2" t="s">
        <v>73</v>
      </c>
      <c r="W1372" s="2" t="s">
        <v>6376</v>
      </c>
      <c r="X1372" s="2" t="s">
        <v>8140</v>
      </c>
      <c r="Y1372" s="2" t="s">
        <v>44</v>
      </c>
      <c r="Z1372" s="2"/>
      <c r="AA1372" s="2" t="s">
        <v>821</v>
      </c>
      <c r="AB1372" s="2" t="s">
        <v>46</v>
      </c>
      <c r="AC1372" s="2" t="s">
        <v>821</v>
      </c>
      <c r="AE1372" s="2" t="s">
        <v>10801</v>
      </c>
      <c r="AF1372" s="2" t="s">
        <v>7864</v>
      </c>
      <c r="AG1372" s="2">
        <v>90</v>
      </c>
      <c r="AH1372" s="2">
        <v>7</v>
      </c>
      <c r="AJ1372" s="2" t="s">
        <v>12492</v>
      </c>
      <c r="AK1372" s="2"/>
      <c r="AL1372" s="2"/>
      <c r="AM1372" s="2" t="s">
        <v>10791</v>
      </c>
    </row>
    <row r="1373" spans="1:39" x14ac:dyDescent="0.45">
      <c r="A1373" s="2" t="s">
        <v>12493</v>
      </c>
      <c r="B1373" s="2"/>
      <c r="C1373" s="2" t="s">
        <v>12495</v>
      </c>
      <c r="D1373" s="2" t="s">
        <v>12497</v>
      </c>
      <c r="E1373" s="25"/>
      <c r="F1373" s="21"/>
      <c r="G1373" s="21"/>
      <c r="H1373" s="2" t="s">
        <v>10789</v>
      </c>
      <c r="I1373" s="2" t="s">
        <v>11225</v>
      </c>
      <c r="J1373" s="2" t="s">
        <v>12494</v>
      </c>
      <c r="K1373" s="2" t="s">
        <v>12496</v>
      </c>
      <c r="L1373" s="2"/>
      <c r="M1373" s="2"/>
      <c r="N1373" s="2" t="s">
        <v>72</v>
      </c>
      <c r="O1373" s="2" t="s">
        <v>73</v>
      </c>
      <c r="P1373" s="2" t="s">
        <v>607</v>
      </c>
      <c r="Q1373" s="2" t="s">
        <v>12496</v>
      </c>
      <c r="R1373" s="2"/>
      <c r="S1373" s="2"/>
      <c r="T1373" s="2"/>
      <c r="U1373" s="2" t="s">
        <v>72</v>
      </c>
      <c r="V1373" s="2" t="s">
        <v>73</v>
      </c>
      <c r="W1373" s="2" t="s">
        <v>607</v>
      </c>
      <c r="X1373" s="2" t="s">
        <v>12498</v>
      </c>
      <c r="Y1373" s="2" t="s">
        <v>44</v>
      </c>
      <c r="Z1373" s="2"/>
      <c r="AA1373" s="2" t="s">
        <v>821</v>
      </c>
      <c r="AB1373" s="2" t="s">
        <v>46</v>
      </c>
      <c r="AC1373" s="2" t="s">
        <v>821</v>
      </c>
      <c r="AE1373" s="2" t="s">
        <v>10801</v>
      </c>
      <c r="AF1373" s="2" t="s">
        <v>7864</v>
      </c>
      <c r="AG1373" s="2">
        <v>90</v>
      </c>
      <c r="AH1373" s="2">
        <v>7</v>
      </c>
      <c r="AJ1373" s="2" t="s">
        <v>12499</v>
      </c>
      <c r="AK1373" s="2"/>
      <c r="AL1373" s="2"/>
      <c r="AM1373" s="2" t="s">
        <v>10791</v>
      </c>
    </row>
    <row r="1374" spans="1:39" x14ac:dyDescent="0.45">
      <c r="A1374" s="2" t="s">
        <v>12500</v>
      </c>
      <c r="B1374" s="2"/>
      <c r="C1374" s="2" t="s">
        <v>12502</v>
      </c>
      <c r="D1374" s="2" t="s">
        <v>12504</v>
      </c>
      <c r="E1374" s="25"/>
      <c r="F1374" s="21"/>
      <c r="G1374" s="21"/>
      <c r="H1374" s="2" t="s">
        <v>10789</v>
      </c>
      <c r="I1374" s="2" t="s">
        <v>12462</v>
      </c>
      <c r="J1374" s="2" t="s">
        <v>12501</v>
      </c>
      <c r="K1374" s="2" t="s">
        <v>12503</v>
      </c>
      <c r="L1374" s="2"/>
      <c r="M1374" s="2"/>
      <c r="N1374" s="2" t="s">
        <v>72</v>
      </c>
      <c r="O1374" s="2" t="s">
        <v>73</v>
      </c>
      <c r="P1374" s="2" t="s">
        <v>1808</v>
      </c>
      <c r="Q1374" s="2" t="s">
        <v>12503</v>
      </c>
      <c r="R1374" s="2"/>
      <c r="S1374" s="2"/>
      <c r="T1374" s="2"/>
      <c r="U1374" s="2" t="s">
        <v>72</v>
      </c>
      <c r="V1374" s="2" t="s">
        <v>73</v>
      </c>
      <c r="W1374" s="2" t="s">
        <v>1808</v>
      </c>
      <c r="X1374" s="2" t="s">
        <v>12505</v>
      </c>
      <c r="Y1374" s="2" t="s">
        <v>44</v>
      </c>
      <c r="Z1374" s="2"/>
      <c r="AA1374" s="2" t="s">
        <v>821</v>
      </c>
      <c r="AB1374" s="2" t="s">
        <v>46</v>
      </c>
      <c r="AC1374" s="2" t="s">
        <v>821</v>
      </c>
      <c r="AE1374" s="2" t="s">
        <v>10801</v>
      </c>
      <c r="AF1374" s="2" t="s">
        <v>7864</v>
      </c>
      <c r="AG1374" s="2">
        <v>90</v>
      </c>
      <c r="AH1374" s="2">
        <v>7</v>
      </c>
      <c r="AJ1374" s="2" t="s">
        <v>12506</v>
      </c>
      <c r="AK1374" s="2"/>
      <c r="AL1374" s="2"/>
      <c r="AM1374" s="2" t="s">
        <v>10791</v>
      </c>
    </row>
    <row r="1375" spans="1:39" x14ac:dyDescent="0.45">
      <c r="A1375" s="2" t="s">
        <v>12507</v>
      </c>
      <c r="B1375" s="2"/>
      <c r="C1375" s="2" t="s">
        <v>12509</v>
      </c>
      <c r="D1375" s="2" t="s">
        <v>12511</v>
      </c>
      <c r="E1375" s="25"/>
      <c r="F1375" s="21"/>
      <c r="G1375" s="21"/>
      <c r="H1375" s="2" t="s">
        <v>10789</v>
      </c>
      <c r="I1375" s="2" t="s">
        <v>10787</v>
      </c>
      <c r="J1375" s="2" t="s">
        <v>12508</v>
      </c>
      <c r="K1375" s="2" t="s">
        <v>12510</v>
      </c>
      <c r="L1375" s="2"/>
      <c r="M1375" s="2"/>
      <c r="N1375" s="2" t="s">
        <v>72</v>
      </c>
      <c r="O1375" s="2" t="s">
        <v>73</v>
      </c>
      <c r="P1375" s="2" t="s">
        <v>1430</v>
      </c>
      <c r="Q1375" s="2" t="s">
        <v>12510</v>
      </c>
      <c r="R1375" s="2"/>
      <c r="S1375" s="2"/>
      <c r="T1375" s="2"/>
      <c r="U1375" s="2" t="s">
        <v>72</v>
      </c>
      <c r="V1375" s="2" t="s">
        <v>73</v>
      </c>
      <c r="W1375" s="2" t="s">
        <v>1430</v>
      </c>
      <c r="X1375" s="2" t="s">
        <v>12512</v>
      </c>
      <c r="Y1375" s="2" t="s">
        <v>44</v>
      </c>
      <c r="Z1375" s="2"/>
      <c r="AA1375" s="2" t="s">
        <v>821</v>
      </c>
      <c r="AB1375" s="2" t="s">
        <v>46</v>
      </c>
      <c r="AC1375" s="2" t="s">
        <v>821</v>
      </c>
      <c r="AE1375" s="2" t="s">
        <v>10801</v>
      </c>
      <c r="AF1375" s="2" t="s">
        <v>7864</v>
      </c>
      <c r="AG1375" s="2">
        <v>90</v>
      </c>
      <c r="AH1375" s="2">
        <v>7</v>
      </c>
      <c r="AJ1375" s="2" t="s">
        <v>12513</v>
      </c>
      <c r="AK1375" s="2"/>
      <c r="AL1375" s="2"/>
      <c r="AM1375" s="2" t="s">
        <v>10791</v>
      </c>
    </row>
    <row r="1376" spans="1:39" x14ac:dyDescent="0.45">
      <c r="A1376" s="2" t="s">
        <v>12514</v>
      </c>
      <c r="B1376" s="2"/>
      <c r="C1376" s="2" t="s">
        <v>12516</v>
      </c>
      <c r="D1376" s="2" t="s">
        <v>12518</v>
      </c>
      <c r="E1376" s="25"/>
      <c r="F1376" s="21"/>
      <c r="G1376" s="21"/>
      <c r="H1376" s="2" t="s">
        <v>10789</v>
      </c>
      <c r="I1376" s="2" t="s">
        <v>10787</v>
      </c>
      <c r="J1376" s="2" t="s">
        <v>12515</v>
      </c>
      <c r="K1376" s="2" t="s">
        <v>12517</v>
      </c>
      <c r="L1376" s="2"/>
      <c r="M1376" s="2"/>
      <c r="N1376" s="2" t="s">
        <v>1188</v>
      </c>
      <c r="O1376" s="2" t="s">
        <v>221</v>
      </c>
      <c r="P1376" s="2" t="s">
        <v>1189</v>
      </c>
      <c r="Q1376" s="2" t="s">
        <v>12517</v>
      </c>
      <c r="R1376" s="2"/>
      <c r="S1376" s="2"/>
      <c r="T1376" s="2"/>
      <c r="U1376" s="2" t="s">
        <v>1188</v>
      </c>
      <c r="V1376" s="2" t="s">
        <v>221</v>
      </c>
      <c r="W1376" s="2" t="s">
        <v>1189</v>
      </c>
      <c r="X1376" s="2" t="s">
        <v>2204</v>
      </c>
      <c r="Y1376" s="2" t="s">
        <v>44</v>
      </c>
      <c r="Z1376" s="2"/>
      <c r="AA1376" s="2" t="s">
        <v>821</v>
      </c>
      <c r="AB1376" s="2" t="s">
        <v>46</v>
      </c>
      <c r="AC1376" s="2" t="s">
        <v>821</v>
      </c>
      <c r="AE1376" s="2" t="s">
        <v>10801</v>
      </c>
      <c r="AF1376" s="2" t="s">
        <v>7864</v>
      </c>
      <c r="AG1376" s="2">
        <v>90</v>
      </c>
      <c r="AH1376" s="2">
        <v>7</v>
      </c>
      <c r="AJ1376" s="2" t="s">
        <v>12519</v>
      </c>
      <c r="AK1376" s="2"/>
      <c r="AL1376" s="2"/>
      <c r="AM1376" s="2" t="s">
        <v>10791</v>
      </c>
    </row>
    <row r="1377" spans="1:39" x14ac:dyDescent="0.45">
      <c r="A1377" s="2" t="s">
        <v>12520</v>
      </c>
      <c r="B1377" s="2"/>
      <c r="C1377" s="2" t="s">
        <v>12522</v>
      </c>
      <c r="D1377" s="2" t="s">
        <v>12524</v>
      </c>
      <c r="E1377" s="25"/>
      <c r="F1377" s="21"/>
      <c r="G1377" s="21"/>
      <c r="H1377" s="2" t="s">
        <v>10789</v>
      </c>
      <c r="I1377" s="2" t="s">
        <v>10787</v>
      </c>
      <c r="J1377" s="2" t="s">
        <v>12521</v>
      </c>
      <c r="K1377" s="2" t="s">
        <v>12523</v>
      </c>
      <c r="L1377" s="2" t="s">
        <v>12525</v>
      </c>
      <c r="M1377" s="2" t="s">
        <v>12525</v>
      </c>
      <c r="N1377" s="2" t="s">
        <v>5984</v>
      </c>
      <c r="O1377" s="2" t="s">
        <v>313</v>
      </c>
      <c r="P1377" s="2" t="s">
        <v>12526</v>
      </c>
      <c r="Q1377" s="2" t="s">
        <v>12527</v>
      </c>
      <c r="R1377" s="2"/>
      <c r="S1377" s="2"/>
      <c r="T1377" s="2"/>
      <c r="U1377" s="2" t="s">
        <v>5984</v>
      </c>
      <c r="V1377" s="2" t="s">
        <v>313</v>
      </c>
      <c r="W1377" s="2" t="s">
        <v>12526</v>
      </c>
      <c r="X1377" s="2" t="s">
        <v>12528</v>
      </c>
      <c r="Y1377" s="2" t="s">
        <v>44</v>
      </c>
      <c r="Z1377" s="2"/>
      <c r="AA1377" s="2" t="s">
        <v>3527</v>
      </c>
      <c r="AB1377" s="2" t="s">
        <v>46</v>
      </c>
      <c r="AC1377" s="2" t="s">
        <v>3527</v>
      </c>
      <c r="AE1377" s="2" t="s">
        <v>10801</v>
      </c>
      <c r="AF1377" s="2" t="s">
        <v>7864</v>
      </c>
      <c r="AG1377" s="2">
        <v>100</v>
      </c>
      <c r="AH1377" s="2">
        <v>5</v>
      </c>
      <c r="AJ1377" s="2" t="s">
        <v>12529</v>
      </c>
      <c r="AK1377" s="2"/>
      <c r="AL1377" s="2"/>
      <c r="AM1377" s="2" t="s">
        <v>10791</v>
      </c>
    </row>
    <row r="1378" spans="1:39" x14ac:dyDescent="0.45">
      <c r="A1378" s="2" t="s">
        <v>12530</v>
      </c>
      <c r="B1378" s="2"/>
      <c r="C1378" s="2" t="s">
        <v>12532</v>
      </c>
      <c r="D1378" s="2" t="s">
        <v>12534</v>
      </c>
      <c r="E1378" s="25"/>
      <c r="F1378" s="21"/>
      <c r="G1378" s="21"/>
      <c r="H1378" s="2" t="s">
        <v>10789</v>
      </c>
      <c r="I1378" s="2" t="s">
        <v>10787</v>
      </c>
      <c r="J1378" s="2" t="s">
        <v>12531</v>
      </c>
      <c r="K1378" s="2" t="s">
        <v>12533</v>
      </c>
      <c r="L1378" s="2" t="s">
        <v>12535</v>
      </c>
      <c r="M1378" s="2" t="s">
        <v>12535</v>
      </c>
      <c r="N1378" s="2" t="s">
        <v>12536</v>
      </c>
      <c r="O1378" s="2" t="s">
        <v>12537</v>
      </c>
      <c r="P1378" s="2" t="s">
        <v>10159</v>
      </c>
      <c r="Q1378" s="2" t="s">
        <v>12538</v>
      </c>
      <c r="R1378" s="2"/>
      <c r="S1378" s="2"/>
      <c r="T1378" s="2"/>
      <c r="U1378" s="2" t="s">
        <v>384</v>
      </c>
      <c r="V1378" s="2" t="s">
        <v>73</v>
      </c>
      <c r="W1378" s="2" t="s">
        <v>10159</v>
      </c>
      <c r="X1378" s="2" t="s">
        <v>12539</v>
      </c>
      <c r="Y1378" s="2" t="s">
        <v>44</v>
      </c>
      <c r="Z1378" s="2"/>
      <c r="AA1378" s="2" t="s">
        <v>3527</v>
      </c>
      <c r="AB1378" s="2" t="s">
        <v>46</v>
      </c>
      <c r="AC1378" s="2" t="s">
        <v>3527</v>
      </c>
      <c r="AE1378" s="2" t="s">
        <v>10801</v>
      </c>
      <c r="AF1378" s="2" t="s">
        <v>7864</v>
      </c>
      <c r="AG1378" s="2">
        <v>100</v>
      </c>
      <c r="AH1378" s="2">
        <v>5</v>
      </c>
      <c r="AJ1378" s="2" t="s">
        <v>12540</v>
      </c>
      <c r="AK1378" s="2"/>
      <c r="AL1378" s="2"/>
      <c r="AM1378" s="2" t="s">
        <v>10791</v>
      </c>
    </row>
    <row r="1379" spans="1:39" x14ac:dyDescent="0.45">
      <c r="A1379" s="2" t="s">
        <v>12541</v>
      </c>
      <c r="B1379" s="2"/>
      <c r="C1379" s="2" t="s">
        <v>12543</v>
      </c>
      <c r="D1379" s="2" t="s">
        <v>12545</v>
      </c>
      <c r="E1379" s="25"/>
      <c r="F1379" s="21"/>
      <c r="G1379" s="21"/>
      <c r="H1379" s="2" t="s">
        <v>10789</v>
      </c>
      <c r="I1379" s="2" t="s">
        <v>10787</v>
      </c>
      <c r="J1379" s="2" t="s">
        <v>12542</v>
      </c>
      <c r="K1379" s="2" t="s">
        <v>12544</v>
      </c>
      <c r="L1379" s="2" t="s">
        <v>12546</v>
      </c>
      <c r="M1379" s="2" t="s">
        <v>12546</v>
      </c>
      <c r="N1379" s="2" t="s">
        <v>5842</v>
      </c>
      <c r="O1379" s="2" t="s">
        <v>221</v>
      </c>
      <c r="P1379" s="2" t="s">
        <v>5843</v>
      </c>
      <c r="Q1379" s="2" t="s">
        <v>12547</v>
      </c>
      <c r="R1379" s="2"/>
      <c r="S1379" s="2"/>
      <c r="T1379" s="2"/>
      <c r="U1379" s="2" t="s">
        <v>5842</v>
      </c>
      <c r="V1379" s="2" t="s">
        <v>221</v>
      </c>
      <c r="W1379" s="2" t="s">
        <v>5843</v>
      </c>
      <c r="X1379" s="2" t="s">
        <v>12548</v>
      </c>
      <c r="Y1379" s="2" t="s">
        <v>44</v>
      </c>
      <c r="Z1379" s="2"/>
      <c r="AA1379" s="2" t="s">
        <v>3527</v>
      </c>
      <c r="AB1379" s="2" t="s">
        <v>46</v>
      </c>
      <c r="AC1379" s="2" t="s">
        <v>3527</v>
      </c>
      <c r="AE1379" s="2" t="s">
        <v>10801</v>
      </c>
      <c r="AF1379" s="2" t="s">
        <v>7864</v>
      </c>
      <c r="AG1379" s="2">
        <v>100</v>
      </c>
      <c r="AH1379" s="2">
        <v>5</v>
      </c>
      <c r="AJ1379" s="2" t="s">
        <v>12549</v>
      </c>
      <c r="AK1379" s="2"/>
      <c r="AL1379" s="2"/>
      <c r="AM1379" s="2" t="s">
        <v>10791</v>
      </c>
    </row>
    <row r="1380" spans="1:39" x14ac:dyDescent="0.45">
      <c r="A1380" s="2" t="s">
        <v>12550</v>
      </c>
      <c r="B1380" s="2"/>
      <c r="C1380" s="2" t="s">
        <v>12552</v>
      </c>
      <c r="D1380" s="2" t="s">
        <v>12554</v>
      </c>
      <c r="E1380" s="25"/>
      <c r="F1380" s="21"/>
      <c r="G1380" s="21"/>
      <c r="H1380" s="2" t="s">
        <v>10789</v>
      </c>
      <c r="I1380" s="2" t="s">
        <v>11537</v>
      </c>
      <c r="J1380" s="2" t="s">
        <v>12551</v>
      </c>
      <c r="K1380" s="2" t="s">
        <v>12553</v>
      </c>
      <c r="L1380" s="2" t="s">
        <v>12555</v>
      </c>
      <c r="M1380" s="2" t="s">
        <v>12555</v>
      </c>
      <c r="N1380" s="2" t="s">
        <v>12556</v>
      </c>
      <c r="O1380" s="2" t="s">
        <v>278</v>
      </c>
      <c r="P1380" s="2" t="s">
        <v>12557</v>
      </c>
      <c r="Q1380" s="2" t="s">
        <v>12553</v>
      </c>
      <c r="R1380" s="2"/>
      <c r="S1380" s="2"/>
      <c r="T1380" s="2"/>
      <c r="U1380" s="2" t="s">
        <v>12556</v>
      </c>
      <c r="V1380" s="2" t="s">
        <v>278</v>
      </c>
      <c r="W1380" s="2" t="s">
        <v>12557</v>
      </c>
      <c r="X1380" s="2" t="s">
        <v>8079</v>
      </c>
      <c r="Y1380" s="2" t="s">
        <v>44</v>
      </c>
      <c r="Z1380" s="2"/>
      <c r="AA1380" s="2" t="s">
        <v>3527</v>
      </c>
      <c r="AB1380" s="2" t="s">
        <v>46</v>
      </c>
      <c r="AC1380" s="2" t="s">
        <v>3527</v>
      </c>
      <c r="AE1380" s="2" t="s">
        <v>10801</v>
      </c>
      <c r="AF1380" s="2" t="s">
        <v>7864</v>
      </c>
      <c r="AG1380" s="2">
        <v>100</v>
      </c>
      <c r="AH1380" s="2">
        <v>5</v>
      </c>
      <c r="AJ1380" s="2" t="s">
        <v>12558</v>
      </c>
      <c r="AK1380" s="2"/>
      <c r="AL1380" s="2"/>
      <c r="AM1380" s="2" t="s">
        <v>10791</v>
      </c>
    </row>
    <row r="1381" spans="1:39" x14ac:dyDescent="0.45">
      <c r="A1381" s="2" t="s">
        <v>12559</v>
      </c>
      <c r="B1381" s="2"/>
      <c r="C1381" s="2" t="s">
        <v>12561</v>
      </c>
      <c r="D1381" s="2" t="s">
        <v>12563</v>
      </c>
      <c r="E1381" s="25"/>
      <c r="F1381" s="21"/>
      <c r="G1381" s="21"/>
      <c r="H1381" s="2" t="s">
        <v>10789</v>
      </c>
      <c r="I1381" s="2" t="s">
        <v>10787</v>
      </c>
      <c r="J1381" s="2" t="s">
        <v>12560</v>
      </c>
      <c r="K1381" s="2" t="s">
        <v>12562</v>
      </c>
      <c r="L1381" s="2" t="s">
        <v>12564</v>
      </c>
      <c r="M1381" s="2" t="s">
        <v>12564</v>
      </c>
      <c r="N1381" s="2" t="s">
        <v>8544</v>
      </c>
      <c r="O1381" s="2" t="s">
        <v>73</v>
      </c>
      <c r="P1381" s="2" t="s">
        <v>12565</v>
      </c>
      <c r="Q1381" s="2" t="s">
        <v>12566</v>
      </c>
      <c r="R1381" s="2"/>
      <c r="S1381" s="2"/>
      <c r="T1381" s="2"/>
      <c r="U1381" s="2" t="s">
        <v>8544</v>
      </c>
      <c r="V1381" s="2" t="s">
        <v>73</v>
      </c>
      <c r="W1381" s="2" t="s">
        <v>12565</v>
      </c>
      <c r="X1381" s="2" t="s">
        <v>3747</v>
      </c>
      <c r="Y1381" s="2" t="s">
        <v>44</v>
      </c>
      <c r="Z1381" s="2"/>
      <c r="AA1381" s="2" t="s">
        <v>3527</v>
      </c>
      <c r="AB1381" s="2" t="s">
        <v>46</v>
      </c>
      <c r="AC1381" s="2" t="s">
        <v>3527</v>
      </c>
      <c r="AE1381" s="2" t="s">
        <v>10801</v>
      </c>
      <c r="AF1381" s="2" t="s">
        <v>7864</v>
      </c>
      <c r="AG1381" s="2">
        <v>100</v>
      </c>
      <c r="AH1381" s="2">
        <v>5</v>
      </c>
      <c r="AJ1381" s="2" t="s">
        <v>12567</v>
      </c>
      <c r="AK1381" s="2"/>
      <c r="AL1381" s="2"/>
      <c r="AM1381" s="2" t="s">
        <v>10791</v>
      </c>
    </row>
    <row r="1382" spans="1:39" x14ac:dyDescent="0.45">
      <c r="A1382" s="2" t="s">
        <v>12568</v>
      </c>
      <c r="B1382" s="2"/>
      <c r="C1382" s="2" t="s">
        <v>12570</v>
      </c>
      <c r="D1382" s="2" t="s">
        <v>12572</v>
      </c>
      <c r="E1382" s="25"/>
      <c r="F1382" s="21"/>
      <c r="G1382" s="21"/>
      <c r="H1382" s="2" t="s">
        <v>10789</v>
      </c>
      <c r="I1382" s="2" t="s">
        <v>10787</v>
      </c>
      <c r="J1382" s="2" t="s">
        <v>12569</v>
      </c>
      <c r="K1382" s="2" t="s">
        <v>12571</v>
      </c>
      <c r="L1382" s="2" t="s">
        <v>12573</v>
      </c>
      <c r="M1382" s="2"/>
      <c r="N1382" s="2" t="s">
        <v>5984</v>
      </c>
      <c r="O1382" s="2" t="s">
        <v>313</v>
      </c>
      <c r="P1382" s="2" t="s">
        <v>12574</v>
      </c>
      <c r="Q1382" s="2" t="s">
        <v>12571</v>
      </c>
      <c r="R1382" s="2"/>
      <c r="S1382" s="2"/>
      <c r="T1382" s="2"/>
      <c r="U1382" s="2" t="s">
        <v>5984</v>
      </c>
      <c r="V1382" s="2" t="s">
        <v>313</v>
      </c>
      <c r="W1382" s="2" t="s">
        <v>12574</v>
      </c>
      <c r="X1382" s="2" t="s">
        <v>2401</v>
      </c>
      <c r="Y1382" s="2" t="s">
        <v>44</v>
      </c>
      <c r="Z1382" s="2"/>
      <c r="AA1382" s="2" t="s">
        <v>3527</v>
      </c>
      <c r="AB1382" s="2" t="s">
        <v>46</v>
      </c>
      <c r="AC1382" s="2" t="s">
        <v>3527</v>
      </c>
      <c r="AE1382" s="2" t="s">
        <v>10801</v>
      </c>
      <c r="AF1382" s="2" t="s">
        <v>7864</v>
      </c>
      <c r="AG1382" s="2">
        <v>100</v>
      </c>
      <c r="AH1382" s="2">
        <v>5</v>
      </c>
      <c r="AJ1382" s="2" t="s">
        <v>12575</v>
      </c>
      <c r="AK1382" s="2"/>
      <c r="AL1382" s="2"/>
      <c r="AM1382" s="2" t="s">
        <v>10791</v>
      </c>
    </row>
    <row r="1383" spans="1:39" x14ac:dyDescent="0.45">
      <c r="A1383" s="2" t="s">
        <v>12576</v>
      </c>
      <c r="B1383" s="2"/>
      <c r="C1383" s="2" t="s">
        <v>12578</v>
      </c>
      <c r="D1383" s="2" t="s">
        <v>12580</v>
      </c>
      <c r="E1383" s="25"/>
      <c r="F1383" s="21"/>
      <c r="G1383" s="21"/>
      <c r="H1383" s="2" t="s">
        <v>10789</v>
      </c>
      <c r="I1383" s="2" t="s">
        <v>12417</v>
      </c>
      <c r="J1383" s="2" t="s">
        <v>12577</v>
      </c>
      <c r="K1383" s="2" t="s">
        <v>12579</v>
      </c>
      <c r="L1383" s="2" t="s">
        <v>12581</v>
      </c>
      <c r="M1383" s="2"/>
      <c r="N1383" s="2" t="s">
        <v>12582</v>
      </c>
      <c r="O1383" s="2" t="s">
        <v>313</v>
      </c>
      <c r="P1383" s="2" t="s">
        <v>12583</v>
      </c>
      <c r="Q1383" s="2" t="s">
        <v>12579</v>
      </c>
      <c r="R1383" s="2"/>
      <c r="S1383" s="2"/>
      <c r="T1383" s="2"/>
      <c r="U1383" s="2" t="s">
        <v>12582</v>
      </c>
      <c r="V1383" s="2" t="s">
        <v>313</v>
      </c>
      <c r="W1383" s="2" t="s">
        <v>12583</v>
      </c>
      <c r="X1383" s="2" t="s">
        <v>6949</v>
      </c>
      <c r="Y1383" s="2" t="s">
        <v>44</v>
      </c>
      <c r="Z1383" s="2"/>
      <c r="AA1383" s="2" t="s">
        <v>3527</v>
      </c>
      <c r="AB1383" s="2" t="s">
        <v>46</v>
      </c>
      <c r="AC1383" s="2" t="s">
        <v>3527</v>
      </c>
      <c r="AE1383" s="2" t="s">
        <v>10801</v>
      </c>
      <c r="AF1383" s="2" t="s">
        <v>7864</v>
      </c>
      <c r="AG1383" s="2">
        <v>100</v>
      </c>
      <c r="AH1383" s="2">
        <v>5</v>
      </c>
      <c r="AJ1383" s="2" t="s">
        <v>12584</v>
      </c>
      <c r="AK1383" s="2"/>
      <c r="AL1383" s="2"/>
      <c r="AM1383" s="2" t="s">
        <v>10791</v>
      </c>
    </row>
    <row r="1384" spans="1:39" x14ac:dyDescent="0.45">
      <c r="A1384" s="2" t="s">
        <v>12585</v>
      </c>
      <c r="B1384" s="2"/>
      <c r="C1384" s="2" t="s">
        <v>8559</v>
      </c>
      <c r="D1384" s="2" t="s">
        <v>12588</v>
      </c>
      <c r="E1384" s="25"/>
      <c r="F1384" s="21"/>
      <c r="G1384" s="21"/>
      <c r="H1384" s="2" t="s">
        <v>10789</v>
      </c>
      <c r="I1384" s="2" t="s">
        <v>10787</v>
      </c>
      <c r="J1384" s="2" t="s">
        <v>12586</v>
      </c>
      <c r="K1384" s="2" t="s">
        <v>12587</v>
      </c>
      <c r="L1384" s="2" t="s">
        <v>8562</v>
      </c>
      <c r="M1384" s="2"/>
      <c r="N1384" s="2" t="s">
        <v>9626</v>
      </c>
      <c r="O1384" s="2" t="s">
        <v>1209</v>
      </c>
      <c r="P1384" s="2" t="s">
        <v>12589</v>
      </c>
      <c r="Q1384" s="2" t="s">
        <v>12587</v>
      </c>
      <c r="R1384" s="2"/>
      <c r="S1384" s="2"/>
      <c r="T1384" s="2"/>
      <c r="U1384" s="2" t="s">
        <v>9626</v>
      </c>
      <c r="V1384" s="2" t="s">
        <v>1209</v>
      </c>
      <c r="W1384" s="2" t="s">
        <v>12589</v>
      </c>
      <c r="X1384" s="2" t="s">
        <v>12590</v>
      </c>
      <c r="Y1384" s="2" t="s">
        <v>44</v>
      </c>
      <c r="Z1384" s="2"/>
      <c r="AA1384" s="2" t="s">
        <v>3527</v>
      </c>
      <c r="AB1384" s="2" t="s">
        <v>46</v>
      </c>
      <c r="AC1384" s="2" t="s">
        <v>3527</v>
      </c>
      <c r="AE1384" s="2" t="s">
        <v>10801</v>
      </c>
      <c r="AF1384" s="2" t="s">
        <v>7864</v>
      </c>
      <c r="AG1384" s="2">
        <v>100</v>
      </c>
      <c r="AH1384" s="2">
        <v>5</v>
      </c>
      <c r="AJ1384" s="2" t="s">
        <v>12591</v>
      </c>
      <c r="AK1384" s="2"/>
      <c r="AL1384" s="2"/>
      <c r="AM1384" s="2" t="s">
        <v>10791</v>
      </c>
    </row>
    <row r="1385" spans="1:39" x14ac:dyDescent="0.45">
      <c r="A1385" s="2" t="s">
        <v>12592</v>
      </c>
      <c r="B1385" s="2"/>
      <c r="C1385" s="2" t="s">
        <v>12594</v>
      </c>
      <c r="D1385" s="2" t="s">
        <v>12596</v>
      </c>
      <c r="E1385" s="25"/>
      <c r="F1385" s="21"/>
      <c r="G1385" s="21"/>
      <c r="H1385" s="2" t="s">
        <v>10789</v>
      </c>
      <c r="I1385" s="2" t="s">
        <v>10787</v>
      </c>
      <c r="J1385" s="2" t="s">
        <v>12593</v>
      </c>
      <c r="K1385" s="2" t="s">
        <v>12595</v>
      </c>
      <c r="L1385" s="2" t="s">
        <v>12597</v>
      </c>
      <c r="M1385" s="2"/>
      <c r="N1385" s="2" t="s">
        <v>5984</v>
      </c>
      <c r="O1385" s="2" t="s">
        <v>313</v>
      </c>
      <c r="P1385" s="2" t="s">
        <v>12598</v>
      </c>
      <c r="Q1385" s="2" t="s">
        <v>12599</v>
      </c>
      <c r="R1385" s="2"/>
      <c r="S1385" s="2"/>
      <c r="T1385" s="2"/>
      <c r="U1385" s="2" t="s">
        <v>5984</v>
      </c>
      <c r="V1385" s="2" t="s">
        <v>313</v>
      </c>
      <c r="W1385" s="2" t="s">
        <v>12598</v>
      </c>
      <c r="X1385" s="2" t="s">
        <v>993</v>
      </c>
      <c r="Y1385" s="2" t="s">
        <v>44</v>
      </c>
      <c r="Z1385" s="2"/>
      <c r="AA1385" s="2" t="s">
        <v>3527</v>
      </c>
      <c r="AB1385" s="2" t="s">
        <v>46</v>
      </c>
      <c r="AC1385" s="2" t="s">
        <v>3527</v>
      </c>
      <c r="AE1385" s="2" t="s">
        <v>10801</v>
      </c>
      <c r="AF1385" s="2" t="s">
        <v>7864</v>
      </c>
      <c r="AG1385" s="2">
        <v>100</v>
      </c>
      <c r="AH1385" s="2">
        <v>5</v>
      </c>
      <c r="AJ1385" s="2" t="s">
        <v>12600</v>
      </c>
      <c r="AK1385" s="2"/>
      <c r="AL1385" s="2"/>
      <c r="AM1385" s="2" t="s">
        <v>10791</v>
      </c>
    </row>
    <row r="1386" spans="1:39" x14ac:dyDescent="0.45">
      <c r="A1386" s="2" t="s">
        <v>12601</v>
      </c>
      <c r="B1386" s="2"/>
      <c r="C1386" s="2" t="s">
        <v>12603</v>
      </c>
      <c r="D1386" s="2" t="s">
        <v>12605</v>
      </c>
      <c r="E1386" s="25"/>
      <c r="F1386" s="21"/>
      <c r="G1386" s="21"/>
      <c r="H1386" s="2" t="s">
        <v>10789</v>
      </c>
      <c r="I1386" s="2" t="s">
        <v>10787</v>
      </c>
      <c r="J1386" s="2" t="s">
        <v>12602</v>
      </c>
      <c r="K1386" s="2" t="s">
        <v>12604</v>
      </c>
      <c r="L1386" s="2" t="s">
        <v>12606</v>
      </c>
      <c r="M1386" s="2" t="s">
        <v>12606</v>
      </c>
      <c r="N1386" s="2" t="s">
        <v>8392</v>
      </c>
      <c r="O1386" s="2" t="s">
        <v>313</v>
      </c>
      <c r="P1386" s="2" t="s">
        <v>12607</v>
      </c>
      <c r="Q1386" s="2" t="s">
        <v>12604</v>
      </c>
      <c r="R1386" s="2"/>
      <c r="S1386" s="2"/>
      <c r="T1386" s="2"/>
      <c r="U1386" s="2" t="s">
        <v>8392</v>
      </c>
      <c r="V1386" s="2" t="s">
        <v>313</v>
      </c>
      <c r="W1386" s="2" t="s">
        <v>12607</v>
      </c>
      <c r="X1386" s="2" t="s">
        <v>12608</v>
      </c>
      <c r="Y1386" s="2" t="s">
        <v>44</v>
      </c>
      <c r="Z1386" s="2"/>
      <c r="AA1386" s="2" t="s">
        <v>3527</v>
      </c>
      <c r="AB1386" s="2" t="s">
        <v>46</v>
      </c>
      <c r="AC1386" s="2" t="s">
        <v>3527</v>
      </c>
      <c r="AE1386" s="2" t="s">
        <v>10801</v>
      </c>
      <c r="AF1386" s="2" t="s">
        <v>7864</v>
      </c>
      <c r="AG1386" s="2">
        <v>100</v>
      </c>
      <c r="AH1386" s="2">
        <v>5</v>
      </c>
      <c r="AJ1386" s="2" t="s">
        <v>12609</v>
      </c>
      <c r="AK1386" s="2"/>
      <c r="AL1386" s="2"/>
      <c r="AM1386" s="2" t="s">
        <v>10791</v>
      </c>
    </row>
    <row r="1387" spans="1:39" x14ac:dyDescent="0.45">
      <c r="A1387" s="2" t="s">
        <v>12610</v>
      </c>
      <c r="B1387" s="2"/>
      <c r="C1387" s="2" t="s">
        <v>12612</v>
      </c>
      <c r="D1387" s="2" t="s">
        <v>12614</v>
      </c>
      <c r="E1387" s="25"/>
      <c r="F1387" s="21"/>
      <c r="G1387" s="21"/>
      <c r="H1387" s="2" t="s">
        <v>10789</v>
      </c>
      <c r="I1387" s="2" t="s">
        <v>10787</v>
      </c>
      <c r="J1387" s="2" t="s">
        <v>12611</v>
      </c>
      <c r="K1387" s="2" t="s">
        <v>12613</v>
      </c>
      <c r="L1387" s="2" t="s">
        <v>12615</v>
      </c>
      <c r="M1387" s="2"/>
      <c r="N1387" s="2" t="s">
        <v>8544</v>
      </c>
      <c r="O1387" s="2" t="s">
        <v>73</v>
      </c>
      <c r="P1387" s="2" t="s">
        <v>12616</v>
      </c>
      <c r="Q1387" s="2" t="s">
        <v>12617</v>
      </c>
      <c r="R1387" s="2"/>
      <c r="S1387" s="2"/>
      <c r="T1387" s="2"/>
      <c r="U1387" s="2" t="s">
        <v>8544</v>
      </c>
      <c r="V1387" s="2" t="s">
        <v>73</v>
      </c>
      <c r="W1387" s="2" t="s">
        <v>12616</v>
      </c>
      <c r="X1387" s="2" t="s">
        <v>4974</v>
      </c>
      <c r="Y1387" s="2" t="s">
        <v>44</v>
      </c>
      <c r="Z1387" s="2"/>
      <c r="AA1387" s="2" t="s">
        <v>3527</v>
      </c>
      <c r="AB1387" s="2" t="s">
        <v>46</v>
      </c>
      <c r="AC1387" s="2" t="s">
        <v>3527</v>
      </c>
      <c r="AE1387" s="2" t="s">
        <v>10801</v>
      </c>
      <c r="AF1387" s="2" t="s">
        <v>7864</v>
      </c>
      <c r="AG1387" s="2">
        <v>100</v>
      </c>
      <c r="AH1387" s="2">
        <v>5</v>
      </c>
      <c r="AJ1387" s="2" t="s">
        <v>12618</v>
      </c>
      <c r="AK1387" s="2"/>
      <c r="AL1387" s="2"/>
      <c r="AM1387" s="2" t="s">
        <v>10791</v>
      </c>
    </row>
    <row r="1388" spans="1:39" x14ac:dyDescent="0.45">
      <c r="A1388" s="2" t="s">
        <v>12619</v>
      </c>
      <c r="B1388" s="2"/>
      <c r="C1388" s="2" t="s">
        <v>12621</v>
      </c>
      <c r="D1388" s="2" t="s">
        <v>12623</v>
      </c>
      <c r="E1388" s="25"/>
      <c r="F1388" s="21"/>
      <c r="G1388" s="21"/>
      <c r="H1388" s="2" t="s">
        <v>10789</v>
      </c>
      <c r="I1388" s="2" t="s">
        <v>10787</v>
      </c>
      <c r="J1388" s="2" t="s">
        <v>12620</v>
      </c>
      <c r="K1388" s="2" t="s">
        <v>12622</v>
      </c>
      <c r="L1388" s="2" t="s">
        <v>12624</v>
      </c>
      <c r="M1388" s="2"/>
      <c r="N1388" s="2" t="s">
        <v>12625</v>
      </c>
      <c r="O1388" s="2" t="s">
        <v>313</v>
      </c>
      <c r="P1388" s="2" t="s">
        <v>12626</v>
      </c>
      <c r="Q1388" s="2" t="s">
        <v>12627</v>
      </c>
      <c r="R1388" s="2"/>
      <c r="S1388" s="2"/>
      <c r="T1388" s="2"/>
      <c r="U1388" s="2" t="s">
        <v>312</v>
      </c>
      <c r="V1388" s="2" t="s">
        <v>313</v>
      </c>
      <c r="W1388" s="2" t="s">
        <v>7647</v>
      </c>
      <c r="X1388" s="2" t="s">
        <v>10010</v>
      </c>
      <c r="Y1388" s="2" t="s">
        <v>44</v>
      </c>
      <c r="Z1388" s="2"/>
      <c r="AA1388" s="2" t="s">
        <v>3527</v>
      </c>
      <c r="AB1388" s="2" t="s">
        <v>46</v>
      </c>
      <c r="AC1388" s="2" t="s">
        <v>3527</v>
      </c>
      <c r="AE1388" s="2" t="s">
        <v>10801</v>
      </c>
      <c r="AF1388" s="2" t="s">
        <v>7864</v>
      </c>
      <c r="AG1388" s="2">
        <v>100</v>
      </c>
      <c r="AH1388" s="2">
        <v>5</v>
      </c>
      <c r="AJ1388" s="2" t="s">
        <v>12628</v>
      </c>
      <c r="AK1388" s="2"/>
      <c r="AL1388" s="2"/>
      <c r="AM1388" s="2" t="s">
        <v>10791</v>
      </c>
    </row>
    <row r="1389" spans="1:39" x14ac:dyDescent="0.45">
      <c r="A1389" s="2" t="s">
        <v>12629</v>
      </c>
      <c r="B1389" s="2"/>
      <c r="C1389" s="2" t="s">
        <v>12631</v>
      </c>
      <c r="D1389" s="2" t="s">
        <v>12633</v>
      </c>
      <c r="E1389" s="25"/>
      <c r="F1389" s="21"/>
      <c r="G1389" s="21"/>
      <c r="H1389" s="2" t="s">
        <v>10789</v>
      </c>
      <c r="I1389" s="2" t="s">
        <v>10787</v>
      </c>
      <c r="J1389" s="2" t="s">
        <v>12630</v>
      </c>
      <c r="K1389" s="2" t="s">
        <v>12632</v>
      </c>
      <c r="L1389" s="2" t="s">
        <v>12634</v>
      </c>
      <c r="M1389" s="2"/>
      <c r="N1389" s="2" t="s">
        <v>12635</v>
      </c>
      <c r="O1389" s="2" t="s">
        <v>73</v>
      </c>
      <c r="P1389" s="2" t="s">
        <v>12636</v>
      </c>
      <c r="Q1389" s="2" t="s">
        <v>12632</v>
      </c>
      <c r="R1389" s="2"/>
      <c r="S1389" s="2"/>
      <c r="T1389" s="2"/>
      <c r="U1389" s="2" t="s">
        <v>12635</v>
      </c>
      <c r="V1389" s="2" t="s">
        <v>73</v>
      </c>
      <c r="W1389" s="2" t="s">
        <v>12636</v>
      </c>
      <c r="X1389" s="2" t="s">
        <v>12637</v>
      </c>
      <c r="Y1389" s="2" t="s">
        <v>44</v>
      </c>
      <c r="Z1389" s="2"/>
      <c r="AA1389" s="2" t="s">
        <v>3527</v>
      </c>
      <c r="AB1389" s="2" t="s">
        <v>46</v>
      </c>
      <c r="AC1389" s="2" t="s">
        <v>3527</v>
      </c>
      <c r="AE1389" s="2" t="s">
        <v>10801</v>
      </c>
      <c r="AF1389" s="2" t="s">
        <v>7864</v>
      </c>
      <c r="AG1389" s="2">
        <v>100</v>
      </c>
      <c r="AH1389" s="2">
        <v>5</v>
      </c>
      <c r="AJ1389" s="2" t="s">
        <v>12638</v>
      </c>
      <c r="AK1389" s="2"/>
      <c r="AL1389" s="2"/>
      <c r="AM1389" s="2" t="s">
        <v>10791</v>
      </c>
    </row>
    <row r="1390" spans="1:39" x14ac:dyDescent="0.45">
      <c r="A1390" s="2" t="s">
        <v>12639</v>
      </c>
      <c r="B1390" s="2"/>
      <c r="C1390" s="2" t="s">
        <v>12641</v>
      </c>
      <c r="D1390" s="2" t="s">
        <v>12643</v>
      </c>
      <c r="E1390" s="25"/>
      <c r="F1390" s="21"/>
      <c r="G1390" s="21"/>
      <c r="H1390" s="2" t="s">
        <v>10789</v>
      </c>
      <c r="I1390" s="2" t="s">
        <v>10787</v>
      </c>
      <c r="J1390" s="2" t="s">
        <v>12640</v>
      </c>
      <c r="K1390" s="2" t="s">
        <v>12642</v>
      </c>
      <c r="L1390" s="2" t="s">
        <v>12644</v>
      </c>
      <c r="M1390" s="2" t="s">
        <v>12644</v>
      </c>
      <c r="N1390" s="2" t="s">
        <v>12645</v>
      </c>
      <c r="O1390" s="2" t="s">
        <v>1176</v>
      </c>
      <c r="P1390" s="2" t="s">
        <v>12646</v>
      </c>
      <c r="Q1390" s="2" t="s">
        <v>12642</v>
      </c>
      <c r="R1390" s="2"/>
      <c r="S1390" s="2"/>
      <c r="T1390" s="2"/>
      <c r="U1390" s="2" t="s">
        <v>12645</v>
      </c>
      <c r="V1390" s="2" t="s">
        <v>1176</v>
      </c>
      <c r="W1390" s="2" t="s">
        <v>12646</v>
      </c>
      <c r="X1390" s="2" t="s">
        <v>8445</v>
      </c>
      <c r="Y1390" s="2" t="s">
        <v>44</v>
      </c>
      <c r="Z1390" s="2"/>
      <c r="AA1390" s="2" t="s">
        <v>3527</v>
      </c>
      <c r="AB1390" s="2" t="s">
        <v>46</v>
      </c>
      <c r="AC1390" s="2" t="s">
        <v>3527</v>
      </c>
      <c r="AE1390" s="2" t="s">
        <v>10801</v>
      </c>
      <c r="AF1390" s="2" t="s">
        <v>7864</v>
      </c>
      <c r="AG1390" s="2">
        <v>100</v>
      </c>
      <c r="AH1390" s="2">
        <v>5</v>
      </c>
      <c r="AJ1390" s="2" t="s">
        <v>12647</v>
      </c>
      <c r="AK1390" s="2"/>
      <c r="AL1390" s="2"/>
      <c r="AM1390" s="2" t="s">
        <v>10791</v>
      </c>
    </row>
    <row r="1391" spans="1:39" x14ac:dyDescent="0.45">
      <c r="A1391" s="2" t="s">
        <v>12648</v>
      </c>
      <c r="B1391" s="2"/>
      <c r="C1391" s="2" t="s">
        <v>12650</v>
      </c>
      <c r="D1391" s="2" t="s">
        <v>12652</v>
      </c>
      <c r="E1391" s="25"/>
      <c r="F1391" s="21"/>
      <c r="G1391" s="21"/>
      <c r="H1391" s="2" t="s">
        <v>10789</v>
      </c>
      <c r="I1391" s="2" t="s">
        <v>10787</v>
      </c>
      <c r="J1391" s="2" t="s">
        <v>12649</v>
      </c>
      <c r="K1391" s="2" t="s">
        <v>12651</v>
      </c>
      <c r="L1391" s="2" t="s">
        <v>12653</v>
      </c>
      <c r="M1391" s="2"/>
      <c r="N1391" s="2" t="s">
        <v>1224</v>
      </c>
      <c r="O1391" s="2" t="s">
        <v>278</v>
      </c>
      <c r="P1391" s="2" t="s">
        <v>12654</v>
      </c>
      <c r="Q1391" s="2" t="s">
        <v>12651</v>
      </c>
      <c r="R1391" s="2"/>
      <c r="S1391" s="2"/>
      <c r="T1391" s="2"/>
      <c r="U1391" s="2" t="s">
        <v>1224</v>
      </c>
      <c r="V1391" s="2" t="s">
        <v>278</v>
      </c>
      <c r="W1391" s="2" t="s">
        <v>12654</v>
      </c>
      <c r="X1391" s="2" t="s">
        <v>2848</v>
      </c>
      <c r="Y1391" s="2" t="s">
        <v>44</v>
      </c>
      <c r="Z1391" s="2"/>
      <c r="AA1391" s="2" t="s">
        <v>3527</v>
      </c>
      <c r="AB1391" s="2" t="s">
        <v>46</v>
      </c>
      <c r="AC1391" s="2" t="s">
        <v>3527</v>
      </c>
      <c r="AE1391" s="2" t="s">
        <v>10801</v>
      </c>
      <c r="AF1391" s="2" t="s">
        <v>7864</v>
      </c>
      <c r="AG1391" s="2">
        <v>100</v>
      </c>
      <c r="AH1391" s="2">
        <v>5</v>
      </c>
      <c r="AJ1391" s="2" t="s">
        <v>12655</v>
      </c>
      <c r="AK1391" s="2"/>
      <c r="AL1391" s="2"/>
      <c r="AM1391" s="2" t="s">
        <v>10791</v>
      </c>
    </row>
    <row r="1392" spans="1:39" x14ac:dyDescent="0.45">
      <c r="A1392" s="2" t="s">
        <v>12656</v>
      </c>
      <c r="B1392" s="2"/>
      <c r="C1392" s="2" t="s">
        <v>12658</v>
      </c>
      <c r="D1392" s="2" t="s">
        <v>12660</v>
      </c>
      <c r="E1392" s="25"/>
      <c r="F1392" s="21"/>
      <c r="G1392" s="21"/>
      <c r="H1392" s="2" t="s">
        <v>10789</v>
      </c>
      <c r="I1392" s="2" t="s">
        <v>10787</v>
      </c>
      <c r="J1392" s="2" t="s">
        <v>12657</v>
      </c>
      <c r="K1392" s="2" t="s">
        <v>12659</v>
      </c>
      <c r="L1392" s="2" t="s">
        <v>12661</v>
      </c>
      <c r="M1392" s="2" t="s">
        <v>12661</v>
      </c>
      <c r="N1392" s="2" t="s">
        <v>9679</v>
      </c>
      <c r="O1392" s="2" t="s">
        <v>9680</v>
      </c>
      <c r="P1392" s="2" t="s">
        <v>12662</v>
      </c>
      <c r="Q1392" s="2" t="s">
        <v>12659</v>
      </c>
      <c r="R1392" s="2"/>
      <c r="S1392" s="2"/>
      <c r="T1392" s="2"/>
      <c r="U1392" s="2" t="s">
        <v>9679</v>
      </c>
      <c r="V1392" s="2" t="s">
        <v>9680</v>
      </c>
      <c r="W1392" s="2" t="s">
        <v>12662</v>
      </c>
      <c r="X1392" s="2" t="s">
        <v>7138</v>
      </c>
      <c r="Y1392" s="2" t="s">
        <v>44</v>
      </c>
      <c r="Z1392" s="2"/>
      <c r="AA1392" s="2" t="s">
        <v>3527</v>
      </c>
      <c r="AB1392" s="2" t="s">
        <v>46</v>
      </c>
      <c r="AC1392" s="2" t="s">
        <v>3527</v>
      </c>
      <c r="AE1392" s="2" t="s">
        <v>10801</v>
      </c>
      <c r="AF1392" s="2" t="s">
        <v>7864</v>
      </c>
      <c r="AG1392" s="2">
        <v>100</v>
      </c>
      <c r="AH1392" s="2">
        <v>5</v>
      </c>
      <c r="AJ1392" s="2" t="s">
        <v>12663</v>
      </c>
      <c r="AK1392" s="2"/>
      <c r="AL1392" s="2"/>
      <c r="AM1392" s="2" t="s">
        <v>10791</v>
      </c>
    </row>
    <row r="1393" spans="1:39" x14ac:dyDescent="0.45">
      <c r="A1393" s="2" t="s">
        <v>12664</v>
      </c>
      <c r="B1393" s="2"/>
      <c r="C1393" s="2" t="s">
        <v>12666</v>
      </c>
      <c r="D1393" s="2" t="s">
        <v>12668</v>
      </c>
      <c r="E1393" s="25"/>
      <c r="F1393" s="21"/>
      <c r="G1393" s="21"/>
      <c r="H1393" s="2" t="s">
        <v>10789</v>
      </c>
      <c r="I1393" s="2" t="s">
        <v>10787</v>
      </c>
      <c r="J1393" s="2" t="s">
        <v>12665</v>
      </c>
      <c r="K1393" s="2" t="s">
        <v>12667</v>
      </c>
      <c r="L1393" s="2" t="s">
        <v>12669</v>
      </c>
      <c r="M1393" s="2" t="s">
        <v>12669</v>
      </c>
      <c r="N1393" s="2" t="s">
        <v>1136</v>
      </c>
      <c r="O1393" s="2" t="s">
        <v>1137</v>
      </c>
      <c r="P1393" s="2" t="s">
        <v>12670</v>
      </c>
      <c r="Q1393" s="2" t="s">
        <v>12667</v>
      </c>
      <c r="R1393" s="2"/>
      <c r="S1393" s="2"/>
      <c r="T1393" s="2"/>
      <c r="U1393" s="2" t="s">
        <v>1136</v>
      </c>
      <c r="V1393" s="2" t="s">
        <v>1137</v>
      </c>
      <c r="W1393" s="2" t="s">
        <v>12670</v>
      </c>
      <c r="X1393" s="2" t="s">
        <v>5059</v>
      </c>
      <c r="Y1393" s="2" t="s">
        <v>44</v>
      </c>
      <c r="Z1393" s="2"/>
      <c r="AA1393" s="2" t="s">
        <v>3527</v>
      </c>
      <c r="AB1393" s="2" t="s">
        <v>46</v>
      </c>
      <c r="AC1393" s="2" t="s">
        <v>3527</v>
      </c>
      <c r="AE1393" s="2" t="s">
        <v>10801</v>
      </c>
      <c r="AF1393" s="2" t="s">
        <v>7864</v>
      </c>
      <c r="AG1393" s="2">
        <v>100</v>
      </c>
      <c r="AH1393" s="2">
        <v>5</v>
      </c>
      <c r="AJ1393" s="2" t="s">
        <v>12671</v>
      </c>
      <c r="AK1393" s="2"/>
      <c r="AL1393" s="2"/>
      <c r="AM1393" s="2" t="s">
        <v>10791</v>
      </c>
    </row>
    <row r="1394" spans="1:39" x14ac:dyDescent="0.45">
      <c r="A1394" s="2" t="s">
        <v>12672</v>
      </c>
      <c r="B1394" s="2"/>
      <c r="C1394" s="2" t="s">
        <v>12674</v>
      </c>
      <c r="D1394" s="2" t="s">
        <v>12676</v>
      </c>
      <c r="E1394" s="25"/>
      <c r="F1394" s="21"/>
      <c r="G1394" s="21"/>
      <c r="H1394" s="2" t="s">
        <v>10789</v>
      </c>
      <c r="I1394" s="2" t="s">
        <v>10787</v>
      </c>
      <c r="J1394" s="2" t="s">
        <v>12673</v>
      </c>
      <c r="K1394" s="2" t="s">
        <v>12675</v>
      </c>
      <c r="L1394" s="2" t="s">
        <v>12677</v>
      </c>
      <c r="M1394" s="2" t="s">
        <v>12677</v>
      </c>
      <c r="N1394" s="2" t="s">
        <v>12625</v>
      </c>
      <c r="O1394" s="2" t="s">
        <v>313</v>
      </c>
      <c r="P1394" s="2" t="s">
        <v>12678</v>
      </c>
      <c r="Q1394" s="2" t="s">
        <v>12679</v>
      </c>
      <c r="R1394" s="2"/>
      <c r="S1394" s="2"/>
      <c r="T1394" s="2"/>
      <c r="U1394" s="2" t="s">
        <v>12625</v>
      </c>
      <c r="V1394" s="2" t="s">
        <v>313</v>
      </c>
      <c r="W1394" s="2" t="s">
        <v>12678</v>
      </c>
      <c r="X1394" s="2" t="s">
        <v>2973</v>
      </c>
      <c r="Y1394" s="2" t="s">
        <v>44</v>
      </c>
      <c r="Z1394" s="2"/>
      <c r="AA1394" s="2" t="s">
        <v>3527</v>
      </c>
      <c r="AB1394" s="2" t="s">
        <v>46</v>
      </c>
      <c r="AC1394" s="2" t="s">
        <v>3527</v>
      </c>
      <c r="AE1394" s="2" t="s">
        <v>10801</v>
      </c>
      <c r="AF1394" s="2" t="s">
        <v>7864</v>
      </c>
      <c r="AG1394" s="2">
        <v>100</v>
      </c>
      <c r="AH1394" s="2">
        <v>5</v>
      </c>
      <c r="AJ1394" s="2" t="s">
        <v>12680</v>
      </c>
      <c r="AK1394" s="2"/>
      <c r="AL1394" s="2"/>
      <c r="AM1394" s="2" t="s">
        <v>10791</v>
      </c>
    </row>
    <row r="1395" spans="1:39" x14ac:dyDescent="0.45">
      <c r="A1395" s="2" t="s">
        <v>12681</v>
      </c>
      <c r="B1395" s="2"/>
      <c r="C1395" s="2" t="s">
        <v>12683</v>
      </c>
      <c r="D1395" s="2" t="s">
        <v>12685</v>
      </c>
      <c r="E1395" s="25"/>
      <c r="F1395" s="21"/>
      <c r="G1395" s="21"/>
      <c r="H1395" s="2" t="s">
        <v>10789</v>
      </c>
      <c r="I1395" s="2" t="s">
        <v>10787</v>
      </c>
      <c r="J1395" s="2" t="s">
        <v>12682</v>
      </c>
      <c r="K1395" s="2" t="s">
        <v>12684</v>
      </c>
      <c r="L1395" s="2" t="s">
        <v>12686</v>
      </c>
      <c r="M1395" s="2" t="s">
        <v>12686</v>
      </c>
      <c r="N1395" s="2" t="s">
        <v>6062</v>
      </c>
      <c r="O1395" s="2" t="s">
        <v>217</v>
      </c>
      <c r="P1395" s="2" t="s">
        <v>12687</v>
      </c>
      <c r="Q1395" s="2" t="s">
        <v>12684</v>
      </c>
      <c r="R1395" s="2"/>
      <c r="S1395" s="2"/>
      <c r="T1395" s="2"/>
      <c r="U1395" s="2" t="s">
        <v>6062</v>
      </c>
      <c r="V1395" s="2" t="s">
        <v>217</v>
      </c>
      <c r="W1395" s="2" t="s">
        <v>12687</v>
      </c>
      <c r="X1395" s="2" t="s">
        <v>12688</v>
      </c>
      <c r="Y1395" s="2" t="s">
        <v>44</v>
      </c>
      <c r="Z1395" s="2"/>
      <c r="AA1395" s="2" t="s">
        <v>3527</v>
      </c>
      <c r="AB1395" s="2" t="s">
        <v>46</v>
      </c>
      <c r="AC1395" s="2" t="s">
        <v>3527</v>
      </c>
      <c r="AE1395" s="2" t="s">
        <v>10801</v>
      </c>
      <c r="AF1395" s="2" t="s">
        <v>7864</v>
      </c>
      <c r="AG1395" s="2">
        <v>100</v>
      </c>
      <c r="AH1395" s="2">
        <v>5</v>
      </c>
      <c r="AJ1395" s="2" t="s">
        <v>12689</v>
      </c>
      <c r="AK1395" s="2"/>
      <c r="AL1395" s="2"/>
      <c r="AM1395" s="2" t="s">
        <v>10791</v>
      </c>
    </row>
    <row r="1396" spans="1:39" x14ac:dyDescent="0.45">
      <c r="A1396" s="2" t="s">
        <v>12690</v>
      </c>
      <c r="B1396" s="2"/>
      <c r="C1396" s="2" t="s">
        <v>12692</v>
      </c>
      <c r="D1396" s="2" t="s">
        <v>12694</v>
      </c>
      <c r="E1396" s="25"/>
      <c r="F1396" s="21"/>
      <c r="G1396" s="21"/>
      <c r="H1396" s="2" t="s">
        <v>10789</v>
      </c>
      <c r="I1396" s="2" t="s">
        <v>10787</v>
      </c>
      <c r="J1396" s="2" t="s">
        <v>12691</v>
      </c>
      <c r="K1396" s="2" t="s">
        <v>12693</v>
      </c>
      <c r="L1396" s="2" t="s">
        <v>12695</v>
      </c>
      <c r="M1396" s="2" t="s">
        <v>12695</v>
      </c>
      <c r="N1396" s="2" t="s">
        <v>1248</v>
      </c>
      <c r="O1396" s="2" t="s">
        <v>1137</v>
      </c>
      <c r="P1396" s="2" t="s">
        <v>8683</v>
      </c>
      <c r="Q1396" s="2" t="s">
        <v>12693</v>
      </c>
      <c r="R1396" s="2"/>
      <c r="S1396" s="2"/>
      <c r="T1396" s="2"/>
      <c r="U1396" s="2" t="s">
        <v>1248</v>
      </c>
      <c r="V1396" s="2" t="s">
        <v>1137</v>
      </c>
      <c r="W1396" s="2" t="s">
        <v>8683</v>
      </c>
      <c r="X1396" s="2" t="s">
        <v>12696</v>
      </c>
      <c r="Y1396" s="2" t="s">
        <v>44</v>
      </c>
      <c r="Z1396" s="2"/>
      <c r="AA1396" s="2" t="s">
        <v>3527</v>
      </c>
      <c r="AB1396" s="2" t="s">
        <v>46</v>
      </c>
      <c r="AC1396" s="2" t="s">
        <v>3527</v>
      </c>
      <c r="AE1396" s="2" t="s">
        <v>10801</v>
      </c>
      <c r="AF1396" s="2" t="s">
        <v>7864</v>
      </c>
      <c r="AG1396" s="2">
        <v>100</v>
      </c>
      <c r="AH1396" s="2">
        <v>5</v>
      </c>
      <c r="AJ1396" s="2" t="s">
        <v>12697</v>
      </c>
      <c r="AK1396" s="2"/>
      <c r="AL1396" s="2"/>
      <c r="AM1396" s="2" t="s">
        <v>10791</v>
      </c>
    </row>
    <row r="1397" spans="1:39" x14ac:dyDescent="0.45">
      <c r="A1397" s="2" t="s">
        <v>12698</v>
      </c>
      <c r="B1397" s="2"/>
      <c r="C1397" s="2" t="s">
        <v>12700</v>
      </c>
      <c r="D1397" s="2" t="s">
        <v>12702</v>
      </c>
      <c r="E1397" s="25"/>
      <c r="F1397" s="21"/>
      <c r="G1397" s="21"/>
      <c r="H1397" s="2" t="s">
        <v>10789</v>
      </c>
      <c r="I1397" s="2" t="s">
        <v>10787</v>
      </c>
      <c r="J1397" s="2" t="s">
        <v>12699</v>
      </c>
      <c r="K1397" s="2" t="s">
        <v>12701</v>
      </c>
      <c r="L1397" s="2" t="s">
        <v>12703</v>
      </c>
      <c r="M1397" s="2"/>
      <c r="N1397" s="2" t="s">
        <v>220</v>
      </c>
      <c r="O1397" s="2" t="s">
        <v>221</v>
      </c>
      <c r="P1397" s="2" t="s">
        <v>7349</v>
      </c>
      <c r="Q1397" s="2" t="s">
        <v>12701</v>
      </c>
      <c r="R1397" s="2"/>
      <c r="S1397" s="2"/>
      <c r="T1397" s="2"/>
      <c r="U1397" s="2" t="s">
        <v>220</v>
      </c>
      <c r="V1397" s="2" t="s">
        <v>221</v>
      </c>
      <c r="W1397" s="2" t="s">
        <v>7349</v>
      </c>
      <c r="X1397" s="2" t="s">
        <v>5943</v>
      </c>
      <c r="Y1397" s="2" t="s">
        <v>44</v>
      </c>
      <c r="Z1397" s="2"/>
      <c r="AA1397" s="2" t="s">
        <v>3527</v>
      </c>
      <c r="AB1397" s="2" t="s">
        <v>46</v>
      </c>
      <c r="AC1397" s="2" t="s">
        <v>3527</v>
      </c>
      <c r="AE1397" s="2" t="s">
        <v>10801</v>
      </c>
      <c r="AF1397" s="2" t="s">
        <v>7864</v>
      </c>
      <c r="AG1397" s="2">
        <v>100</v>
      </c>
      <c r="AH1397" s="2">
        <v>5</v>
      </c>
      <c r="AJ1397" s="2" t="s">
        <v>12704</v>
      </c>
      <c r="AK1397" s="2"/>
      <c r="AL1397" s="2"/>
      <c r="AM1397" s="2" t="s">
        <v>10791</v>
      </c>
    </row>
    <row r="1398" spans="1:39" x14ac:dyDescent="0.45">
      <c r="A1398" s="2" t="s">
        <v>12705</v>
      </c>
      <c r="B1398" s="2"/>
      <c r="C1398" s="2" t="s">
        <v>12707</v>
      </c>
      <c r="D1398" s="2" t="s">
        <v>12709</v>
      </c>
      <c r="E1398" s="25"/>
      <c r="F1398" s="21"/>
      <c r="G1398" s="21"/>
      <c r="H1398" s="2" t="s">
        <v>10789</v>
      </c>
      <c r="I1398" s="2" t="s">
        <v>10787</v>
      </c>
      <c r="J1398" s="2" t="s">
        <v>12706</v>
      </c>
      <c r="K1398" s="2" t="s">
        <v>12708</v>
      </c>
      <c r="L1398" s="2" t="s">
        <v>12710</v>
      </c>
      <c r="M1398" s="2"/>
      <c r="N1398" s="2" t="s">
        <v>10567</v>
      </c>
      <c r="O1398" s="2" t="s">
        <v>1209</v>
      </c>
      <c r="P1398" s="2" t="s">
        <v>12711</v>
      </c>
      <c r="Q1398" s="2" t="s">
        <v>12708</v>
      </c>
      <c r="R1398" s="2"/>
      <c r="S1398" s="2"/>
      <c r="T1398" s="2"/>
      <c r="U1398" s="2" t="s">
        <v>10567</v>
      </c>
      <c r="V1398" s="2" t="s">
        <v>1209</v>
      </c>
      <c r="W1398" s="2" t="s">
        <v>12711</v>
      </c>
      <c r="X1398" s="2" t="s">
        <v>653</v>
      </c>
      <c r="Y1398" s="2" t="s">
        <v>44</v>
      </c>
      <c r="Z1398" s="2"/>
      <c r="AA1398" s="2" t="s">
        <v>3527</v>
      </c>
      <c r="AB1398" s="2" t="s">
        <v>46</v>
      </c>
      <c r="AC1398" s="2" t="s">
        <v>3527</v>
      </c>
      <c r="AE1398" s="2" t="s">
        <v>10801</v>
      </c>
      <c r="AF1398" s="2" t="s">
        <v>7864</v>
      </c>
      <c r="AG1398" s="2">
        <v>100</v>
      </c>
      <c r="AH1398" s="2">
        <v>5</v>
      </c>
      <c r="AJ1398" s="2" t="s">
        <v>12712</v>
      </c>
      <c r="AK1398" s="2"/>
      <c r="AL1398" s="2"/>
      <c r="AM1398" s="2" t="s">
        <v>10791</v>
      </c>
    </row>
    <row r="1399" spans="1:39" x14ac:dyDescent="0.45">
      <c r="A1399" s="2" t="s">
        <v>12713</v>
      </c>
      <c r="B1399" s="2"/>
      <c r="C1399" s="2" t="s">
        <v>12715</v>
      </c>
      <c r="D1399" s="2" t="s">
        <v>12717</v>
      </c>
      <c r="E1399" s="25"/>
      <c r="F1399" s="21"/>
      <c r="G1399" s="21"/>
      <c r="H1399" s="2" t="s">
        <v>10789</v>
      </c>
      <c r="I1399" s="2" t="s">
        <v>10787</v>
      </c>
      <c r="J1399" s="2" t="s">
        <v>12714</v>
      </c>
      <c r="K1399" s="2" t="s">
        <v>12716</v>
      </c>
      <c r="L1399" s="2" t="s">
        <v>12718</v>
      </c>
      <c r="M1399" s="2" t="s">
        <v>12718</v>
      </c>
      <c r="N1399" s="2" t="s">
        <v>11211</v>
      </c>
      <c r="O1399" s="2" t="s">
        <v>313</v>
      </c>
      <c r="P1399" s="2" t="s">
        <v>12719</v>
      </c>
      <c r="Q1399" s="2" t="s">
        <v>12716</v>
      </c>
      <c r="R1399" s="2"/>
      <c r="S1399" s="2"/>
      <c r="T1399" s="2"/>
      <c r="U1399" s="2" t="s">
        <v>11211</v>
      </c>
      <c r="V1399" s="2" t="s">
        <v>313</v>
      </c>
      <c r="W1399" s="2" t="s">
        <v>12719</v>
      </c>
      <c r="X1399" s="2" t="s">
        <v>12720</v>
      </c>
      <c r="Y1399" s="2" t="s">
        <v>44</v>
      </c>
      <c r="Z1399" s="2"/>
      <c r="AA1399" s="2" t="s">
        <v>3527</v>
      </c>
      <c r="AB1399" s="2" t="s">
        <v>46</v>
      </c>
      <c r="AC1399" s="2" t="s">
        <v>3527</v>
      </c>
      <c r="AE1399" s="2" t="s">
        <v>10801</v>
      </c>
      <c r="AF1399" s="2" t="s">
        <v>7864</v>
      </c>
      <c r="AG1399" s="2">
        <v>100</v>
      </c>
      <c r="AH1399" s="2">
        <v>5</v>
      </c>
      <c r="AJ1399" s="2" t="s">
        <v>12721</v>
      </c>
      <c r="AK1399" s="2"/>
      <c r="AL1399" s="2"/>
      <c r="AM1399" s="2" t="s">
        <v>10791</v>
      </c>
    </row>
    <row r="1400" spans="1:39" x14ac:dyDescent="0.45">
      <c r="A1400" s="2" t="s">
        <v>12722</v>
      </c>
      <c r="B1400" s="2"/>
      <c r="C1400" s="2" t="s">
        <v>12724</v>
      </c>
      <c r="D1400" s="2" t="s">
        <v>12726</v>
      </c>
      <c r="E1400" s="25"/>
      <c r="F1400" s="21"/>
      <c r="G1400" s="21"/>
      <c r="H1400" s="2" t="s">
        <v>10789</v>
      </c>
      <c r="I1400" s="2" t="s">
        <v>10787</v>
      </c>
      <c r="J1400" s="2" t="s">
        <v>12723</v>
      </c>
      <c r="K1400" s="2" t="s">
        <v>12725</v>
      </c>
      <c r="L1400" s="2" t="s">
        <v>12727</v>
      </c>
      <c r="M1400" s="2" t="s">
        <v>12727</v>
      </c>
      <c r="N1400" s="2" t="s">
        <v>8392</v>
      </c>
      <c r="O1400" s="2" t="s">
        <v>313</v>
      </c>
      <c r="P1400" s="2" t="s">
        <v>8393</v>
      </c>
      <c r="Q1400" s="2" t="s">
        <v>12725</v>
      </c>
      <c r="R1400" s="2"/>
      <c r="S1400" s="2"/>
      <c r="T1400" s="2"/>
      <c r="U1400" s="2" t="s">
        <v>8392</v>
      </c>
      <c r="V1400" s="2" t="s">
        <v>313</v>
      </c>
      <c r="W1400" s="2" t="s">
        <v>8393</v>
      </c>
      <c r="X1400" s="2" t="s">
        <v>12720</v>
      </c>
      <c r="Y1400" s="2" t="s">
        <v>44</v>
      </c>
      <c r="Z1400" s="2"/>
      <c r="AA1400" s="2" t="s">
        <v>3527</v>
      </c>
      <c r="AB1400" s="2" t="s">
        <v>46</v>
      </c>
      <c r="AC1400" s="2" t="s">
        <v>3527</v>
      </c>
      <c r="AE1400" s="2" t="s">
        <v>10801</v>
      </c>
      <c r="AF1400" s="2" t="s">
        <v>7864</v>
      </c>
      <c r="AG1400" s="2">
        <v>100</v>
      </c>
      <c r="AH1400" s="2">
        <v>5</v>
      </c>
      <c r="AJ1400" s="2" t="s">
        <v>12728</v>
      </c>
      <c r="AK1400" s="2"/>
      <c r="AL1400" s="2"/>
      <c r="AM1400" s="2" t="s">
        <v>10791</v>
      </c>
    </row>
    <row r="1401" spans="1:39" x14ac:dyDescent="0.45">
      <c r="A1401" s="2" t="s">
        <v>12729</v>
      </c>
      <c r="B1401" s="2"/>
      <c r="C1401" s="2" t="s">
        <v>12731</v>
      </c>
      <c r="D1401" s="2" t="s">
        <v>12733</v>
      </c>
      <c r="E1401" s="25"/>
      <c r="F1401" s="21"/>
      <c r="G1401" s="21"/>
      <c r="H1401" s="2" t="s">
        <v>10789</v>
      </c>
      <c r="I1401" s="2" t="s">
        <v>10787</v>
      </c>
      <c r="J1401" s="2" t="s">
        <v>12730</v>
      </c>
      <c r="K1401" s="2" t="s">
        <v>12732</v>
      </c>
      <c r="L1401" s="2" t="s">
        <v>12734</v>
      </c>
      <c r="M1401" s="2"/>
      <c r="N1401" s="2" t="s">
        <v>8544</v>
      </c>
      <c r="O1401" s="2" t="s">
        <v>73</v>
      </c>
      <c r="P1401" s="2" t="s">
        <v>12735</v>
      </c>
      <c r="Q1401" s="2"/>
      <c r="R1401" s="2"/>
      <c r="S1401" s="2"/>
      <c r="T1401" s="2"/>
      <c r="U1401" s="2"/>
      <c r="V1401" s="2"/>
      <c r="W1401" s="2"/>
      <c r="X1401" s="2" t="s">
        <v>12736</v>
      </c>
      <c r="Y1401" s="2" t="s">
        <v>44</v>
      </c>
      <c r="Z1401" s="2"/>
      <c r="AA1401" s="2" t="s">
        <v>3527</v>
      </c>
      <c r="AB1401" s="2" t="s">
        <v>46</v>
      </c>
      <c r="AC1401" s="2" t="s">
        <v>3527</v>
      </c>
      <c r="AE1401" s="2" t="s">
        <v>10801</v>
      </c>
      <c r="AF1401" s="2" t="s">
        <v>7864</v>
      </c>
      <c r="AG1401" s="2">
        <v>100</v>
      </c>
      <c r="AH1401" s="2">
        <v>5</v>
      </c>
      <c r="AJ1401" s="2" t="s">
        <v>12737</v>
      </c>
      <c r="AK1401" s="2"/>
      <c r="AL1401" s="2"/>
      <c r="AM1401" s="2" t="s">
        <v>10791</v>
      </c>
    </row>
    <row r="1402" spans="1:39" x14ac:dyDescent="0.45">
      <c r="A1402" s="2" t="s">
        <v>12738</v>
      </c>
      <c r="B1402" s="2"/>
      <c r="C1402" s="2" t="s">
        <v>12740</v>
      </c>
      <c r="D1402" s="2" t="s">
        <v>12742</v>
      </c>
      <c r="E1402" s="25"/>
      <c r="F1402" s="21"/>
      <c r="G1402" s="21"/>
      <c r="H1402" s="2" t="s">
        <v>10789</v>
      </c>
      <c r="I1402" s="2" t="s">
        <v>10787</v>
      </c>
      <c r="J1402" s="2" t="s">
        <v>12739</v>
      </c>
      <c r="K1402" s="2" t="s">
        <v>12741</v>
      </c>
      <c r="L1402" s="2" t="s">
        <v>12743</v>
      </c>
      <c r="M1402" s="2"/>
      <c r="N1402" s="2" t="s">
        <v>8392</v>
      </c>
      <c r="O1402" s="2" t="s">
        <v>313</v>
      </c>
      <c r="P1402" s="2" t="s">
        <v>8393</v>
      </c>
      <c r="Q1402" s="2" t="s">
        <v>12741</v>
      </c>
      <c r="R1402" s="2"/>
      <c r="S1402" s="2"/>
      <c r="T1402" s="2"/>
      <c r="U1402" s="2" t="s">
        <v>8392</v>
      </c>
      <c r="V1402" s="2" t="s">
        <v>313</v>
      </c>
      <c r="W1402" s="2" t="s">
        <v>8393</v>
      </c>
      <c r="X1402" s="2" t="s">
        <v>5133</v>
      </c>
      <c r="Y1402" s="2" t="s">
        <v>44</v>
      </c>
      <c r="Z1402" s="2"/>
      <c r="AA1402" s="2" t="s">
        <v>3527</v>
      </c>
      <c r="AB1402" s="2" t="s">
        <v>46</v>
      </c>
      <c r="AC1402" s="2" t="s">
        <v>3527</v>
      </c>
      <c r="AE1402" s="2" t="s">
        <v>10801</v>
      </c>
      <c r="AF1402" s="2" t="s">
        <v>7864</v>
      </c>
      <c r="AG1402" s="2">
        <v>100</v>
      </c>
      <c r="AH1402" s="2">
        <v>5</v>
      </c>
      <c r="AJ1402" s="2" t="s">
        <v>12744</v>
      </c>
      <c r="AK1402" s="2"/>
      <c r="AL1402" s="2"/>
      <c r="AM1402" s="2" t="s">
        <v>10791</v>
      </c>
    </row>
    <row r="1403" spans="1:39" x14ac:dyDescent="0.45">
      <c r="A1403" s="2" t="s">
        <v>12745</v>
      </c>
      <c r="B1403" s="2"/>
      <c r="C1403" s="2" t="s">
        <v>12747</v>
      </c>
      <c r="D1403" s="2" t="s">
        <v>12749</v>
      </c>
      <c r="E1403" s="25"/>
      <c r="F1403" s="21"/>
      <c r="G1403" s="21"/>
      <c r="H1403" s="2" t="s">
        <v>10789</v>
      </c>
      <c r="I1403" s="2" t="s">
        <v>10787</v>
      </c>
      <c r="J1403" s="2" t="s">
        <v>12746</v>
      </c>
      <c r="K1403" s="2" t="s">
        <v>12748</v>
      </c>
      <c r="L1403" s="2" t="s">
        <v>12750</v>
      </c>
      <c r="M1403" s="2"/>
      <c r="N1403" s="2" t="s">
        <v>12751</v>
      </c>
      <c r="O1403" s="2" t="s">
        <v>73</v>
      </c>
      <c r="P1403" s="2" t="s">
        <v>12752</v>
      </c>
      <c r="Q1403" s="2" t="s">
        <v>12748</v>
      </c>
      <c r="R1403" s="2"/>
      <c r="S1403" s="2"/>
      <c r="T1403" s="2"/>
      <c r="U1403" s="2" t="s">
        <v>12751</v>
      </c>
      <c r="V1403" s="2" t="s">
        <v>73</v>
      </c>
      <c r="W1403" s="2" t="s">
        <v>12752</v>
      </c>
      <c r="X1403" s="2" t="s">
        <v>5133</v>
      </c>
      <c r="Y1403" s="2" t="s">
        <v>44</v>
      </c>
      <c r="Z1403" s="2"/>
      <c r="AA1403" s="2" t="s">
        <v>3527</v>
      </c>
      <c r="AB1403" s="2" t="s">
        <v>46</v>
      </c>
      <c r="AC1403" s="2" t="s">
        <v>3527</v>
      </c>
      <c r="AE1403" s="2" t="s">
        <v>10801</v>
      </c>
      <c r="AF1403" s="2" t="s">
        <v>7864</v>
      </c>
      <c r="AG1403" s="2">
        <v>100</v>
      </c>
      <c r="AH1403" s="2">
        <v>5</v>
      </c>
      <c r="AJ1403" s="2" t="s">
        <v>12753</v>
      </c>
      <c r="AK1403" s="2"/>
      <c r="AL1403" s="2"/>
      <c r="AM1403" s="2" t="s">
        <v>10791</v>
      </c>
    </row>
    <row r="1404" spans="1:39" x14ac:dyDescent="0.45">
      <c r="A1404" s="2" t="s">
        <v>12754</v>
      </c>
      <c r="B1404" s="2"/>
      <c r="C1404" s="2" t="s">
        <v>12756</v>
      </c>
      <c r="D1404" s="2" t="s">
        <v>12758</v>
      </c>
      <c r="E1404" s="25"/>
      <c r="F1404" s="21"/>
      <c r="G1404" s="21"/>
      <c r="H1404" s="2" t="s">
        <v>10789</v>
      </c>
      <c r="I1404" s="2" t="s">
        <v>10787</v>
      </c>
      <c r="J1404" s="2" t="s">
        <v>12755</v>
      </c>
      <c r="K1404" s="2" t="s">
        <v>12757</v>
      </c>
      <c r="L1404" s="2" t="s">
        <v>12759</v>
      </c>
      <c r="M1404" s="2"/>
      <c r="N1404" s="2" t="s">
        <v>12760</v>
      </c>
      <c r="O1404" s="2" t="s">
        <v>11347</v>
      </c>
      <c r="P1404" s="2" t="s">
        <v>12761</v>
      </c>
      <c r="Q1404" s="2" t="s">
        <v>12757</v>
      </c>
      <c r="R1404" s="2"/>
      <c r="S1404" s="2"/>
      <c r="T1404" s="2"/>
      <c r="U1404" s="2" t="s">
        <v>12760</v>
      </c>
      <c r="V1404" s="2" t="s">
        <v>11347</v>
      </c>
      <c r="W1404" s="2" t="s">
        <v>12761</v>
      </c>
      <c r="X1404" s="2" t="s">
        <v>5142</v>
      </c>
      <c r="Y1404" s="2" t="s">
        <v>44</v>
      </c>
      <c r="Z1404" s="2"/>
      <c r="AA1404" s="2" t="s">
        <v>3527</v>
      </c>
      <c r="AB1404" s="2" t="s">
        <v>46</v>
      </c>
      <c r="AC1404" s="2" t="s">
        <v>3527</v>
      </c>
      <c r="AE1404" s="2" t="s">
        <v>10801</v>
      </c>
      <c r="AF1404" s="2" t="s">
        <v>7864</v>
      </c>
      <c r="AG1404" s="2">
        <v>100</v>
      </c>
      <c r="AH1404" s="2">
        <v>5</v>
      </c>
      <c r="AJ1404" s="2" t="s">
        <v>12762</v>
      </c>
      <c r="AK1404" s="2"/>
      <c r="AL1404" s="2"/>
      <c r="AM1404" s="2" t="s">
        <v>10791</v>
      </c>
    </row>
    <row r="1405" spans="1:39" x14ac:dyDescent="0.45">
      <c r="A1405" s="2" t="s">
        <v>12763</v>
      </c>
      <c r="B1405" s="2"/>
      <c r="C1405" s="2" t="s">
        <v>12765</v>
      </c>
      <c r="D1405" s="2" t="s">
        <v>12767</v>
      </c>
      <c r="E1405" s="25"/>
      <c r="F1405" s="21"/>
      <c r="G1405" s="21"/>
      <c r="H1405" s="2" t="s">
        <v>10789</v>
      </c>
      <c r="I1405" s="2" t="s">
        <v>10787</v>
      </c>
      <c r="J1405" s="2" t="s">
        <v>12764</v>
      </c>
      <c r="K1405" s="2" t="s">
        <v>12766</v>
      </c>
      <c r="L1405" s="2" t="s">
        <v>12768</v>
      </c>
      <c r="M1405" s="2"/>
      <c r="N1405" s="2" t="s">
        <v>12769</v>
      </c>
      <c r="O1405" s="2" t="s">
        <v>73</v>
      </c>
      <c r="P1405" s="2" t="s">
        <v>12770</v>
      </c>
      <c r="Q1405" s="2" t="s">
        <v>12766</v>
      </c>
      <c r="R1405" s="2"/>
      <c r="S1405" s="2"/>
      <c r="T1405" s="2"/>
      <c r="U1405" s="2" t="s">
        <v>12769</v>
      </c>
      <c r="V1405" s="2" t="s">
        <v>73</v>
      </c>
      <c r="W1405" s="2" t="s">
        <v>12770</v>
      </c>
      <c r="X1405" s="2" t="s">
        <v>11746</v>
      </c>
      <c r="Y1405" s="2" t="s">
        <v>44</v>
      </c>
      <c r="Z1405" s="2"/>
      <c r="AA1405" s="2" t="s">
        <v>3527</v>
      </c>
      <c r="AB1405" s="2" t="s">
        <v>46</v>
      </c>
      <c r="AC1405" s="2" t="s">
        <v>3527</v>
      </c>
      <c r="AE1405" s="2" t="s">
        <v>10801</v>
      </c>
      <c r="AF1405" s="2" t="s">
        <v>7864</v>
      </c>
      <c r="AG1405" s="2">
        <v>100</v>
      </c>
      <c r="AH1405" s="2">
        <v>5</v>
      </c>
      <c r="AJ1405" s="2" t="s">
        <v>12771</v>
      </c>
      <c r="AK1405" s="2"/>
      <c r="AL1405" s="2"/>
      <c r="AM1405" s="2" t="s">
        <v>10791</v>
      </c>
    </row>
    <row r="1406" spans="1:39" x14ac:dyDescent="0.45">
      <c r="A1406" s="2" t="s">
        <v>12772</v>
      </c>
      <c r="B1406" s="2"/>
      <c r="C1406" s="2" t="s">
        <v>12774</v>
      </c>
      <c r="D1406" s="2" t="s">
        <v>12776</v>
      </c>
      <c r="E1406" s="25"/>
      <c r="F1406" s="21"/>
      <c r="G1406" s="21"/>
      <c r="H1406" s="2" t="s">
        <v>10789</v>
      </c>
      <c r="I1406" s="2" t="s">
        <v>10787</v>
      </c>
      <c r="J1406" s="2" t="s">
        <v>12773</v>
      </c>
      <c r="K1406" s="2" t="s">
        <v>12775</v>
      </c>
      <c r="L1406" s="2" t="s">
        <v>12777</v>
      </c>
      <c r="M1406" s="2"/>
      <c r="N1406" s="2" t="s">
        <v>8392</v>
      </c>
      <c r="O1406" s="2" t="s">
        <v>313</v>
      </c>
      <c r="P1406" s="2" t="s">
        <v>12607</v>
      </c>
      <c r="Q1406" s="2" t="s">
        <v>12775</v>
      </c>
      <c r="R1406" s="2"/>
      <c r="S1406" s="2"/>
      <c r="T1406" s="2"/>
      <c r="U1406" s="2" t="s">
        <v>8392</v>
      </c>
      <c r="V1406" s="2" t="s">
        <v>313</v>
      </c>
      <c r="W1406" s="2" t="s">
        <v>12607</v>
      </c>
      <c r="X1406" s="2" t="s">
        <v>3866</v>
      </c>
      <c r="Y1406" s="2" t="s">
        <v>44</v>
      </c>
      <c r="Z1406" s="2"/>
      <c r="AA1406" s="2" t="s">
        <v>3527</v>
      </c>
      <c r="AB1406" s="2" t="s">
        <v>46</v>
      </c>
      <c r="AC1406" s="2" t="s">
        <v>3527</v>
      </c>
      <c r="AE1406" s="2" t="s">
        <v>10801</v>
      </c>
      <c r="AF1406" s="2" t="s">
        <v>7864</v>
      </c>
      <c r="AG1406" s="2">
        <v>100</v>
      </c>
      <c r="AH1406" s="2">
        <v>5</v>
      </c>
      <c r="AJ1406" s="2" t="s">
        <v>12778</v>
      </c>
      <c r="AK1406" s="2"/>
      <c r="AL1406" s="2"/>
      <c r="AM1406" s="2" t="s">
        <v>10791</v>
      </c>
    </row>
    <row r="1407" spans="1:39" x14ac:dyDescent="0.45">
      <c r="A1407" s="2" t="s">
        <v>12779</v>
      </c>
      <c r="B1407" s="2"/>
      <c r="C1407" s="2" t="s">
        <v>12781</v>
      </c>
      <c r="D1407" s="2" t="s">
        <v>12783</v>
      </c>
      <c r="E1407" s="25"/>
      <c r="F1407" s="21"/>
      <c r="G1407" s="21"/>
      <c r="H1407" s="2" t="s">
        <v>10789</v>
      </c>
      <c r="I1407" s="2" t="s">
        <v>10787</v>
      </c>
      <c r="J1407" s="2" t="s">
        <v>12780</v>
      </c>
      <c r="K1407" s="2" t="s">
        <v>12782</v>
      </c>
      <c r="L1407" s="2" t="s">
        <v>12784</v>
      </c>
      <c r="M1407" s="2"/>
      <c r="N1407" s="2" t="s">
        <v>1208</v>
      </c>
      <c r="O1407" s="2" t="s">
        <v>1209</v>
      </c>
      <c r="P1407" s="2" t="s">
        <v>12785</v>
      </c>
      <c r="Q1407" s="2" t="s">
        <v>12782</v>
      </c>
      <c r="R1407" s="2"/>
      <c r="S1407" s="2"/>
      <c r="T1407" s="2"/>
      <c r="U1407" s="2" t="s">
        <v>1208</v>
      </c>
      <c r="V1407" s="2" t="s">
        <v>1209</v>
      </c>
      <c r="W1407" s="2" t="s">
        <v>12785</v>
      </c>
      <c r="X1407" s="2" t="s">
        <v>12786</v>
      </c>
      <c r="Y1407" s="2" t="s">
        <v>44</v>
      </c>
      <c r="Z1407" s="2"/>
      <c r="AA1407" s="2" t="s">
        <v>3527</v>
      </c>
      <c r="AB1407" s="2" t="s">
        <v>46</v>
      </c>
      <c r="AC1407" s="2" t="s">
        <v>3527</v>
      </c>
      <c r="AE1407" s="2" t="s">
        <v>10801</v>
      </c>
      <c r="AF1407" s="2" t="s">
        <v>7864</v>
      </c>
      <c r="AG1407" s="2">
        <v>100</v>
      </c>
      <c r="AH1407" s="2">
        <v>5</v>
      </c>
      <c r="AJ1407" s="2" t="s">
        <v>12787</v>
      </c>
      <c r="AK1407" s="2"/>
      <c r="AL1407" s="2"/>
      <c r="AM1407" s="2" t="s">
        <v>10791</v>
      </c>
    </row>
    <row r="1408" spans="1:39" x14ac:dyDescent="0.45">
      <c r="A1408" s="2" t="s">
        <v>12788</v>
      </c>
      <c r="B1408" s="2"/>
      <c r="C1408" s="2" t="s">
        <v>12790</v>
      </c>
      <c r="D1408" s="2" t="s">
        <v>12792</v>
      </c>
      <c r="E1408" s="25"/>
      <c r="F1408" s="21"/>
      <c r="G1408" s="21"/>
      <c r="H1408" s="2" t="s">
        <v>10789</v>
      </c>
      <c r="I1408" s="2" t="s">
        <v>10787</v>
      </c>
      <c r="J1408" s="2" t="s">
        <v>12789</v>
      </c>
      <c r="K1408" s="2" t="s">
        <v>12791</v>
      </c>
      <c r="L1408" s="2" t="s">
        <v>12793</v>
      </c>
      <c r="M1408" s="2"/>
      <c r="N1408" s="2" t="s">
        <v>12794</v>
      </c>
      <c r="O1408" s="2" t="s">
        <v>1137</v>
      </c>
      <c r="P1408" s="2" t="s">
        <v>12795</v>
      </c>
      <c r="Q1408" s="2" t="s">
        <v>12796</v>
      </c>
      <c r="R1408" s="2"/>
      <c r="S1408" s="2"/>
      <c r="T1408" s="2"/>
      <c r="U1408" s="2" t="s">
        <v>12794</v>
      </c>
      <c r="V1408" s="2" t="s">
        <v>1137</v>
      </c>
      <c r="W1408" s="2" t="s">
        <v>12795</v>
      </c>
      <c r="X1408" s="2" t="s">
        <v>12786</v>
      </c>
      <c r="Y1408" s="2" t="s">
        <v>44</v>
      </c>
      <c r="Z1408" s="2"/>
      <c r="AA1408" s="2" t="s">
        <v>3527</v>
      </c>
      <c r="AB1408" s="2" t="s">
        <v>46</v>
      </c>
      <c r="AC1408" s="2" t="s">
        <v>3527</v>
      </c>
      <c r="AE1408" s="2" t="s">
        <v>10801</v>
      </c>
      <c r="AF1408" s="2" t="s">
        <v>7864</v>
      </c>
      <c r="AG1408" s="2">
        <v>100</v>
      </c>
      <c r="AH1408" s="2">
        <v>5</v>
      </c>
      <c r="AJ1408" s="2" t="s">
        <v>12797</v>
      </c>
      <c r="AK1408" s="2"/>
      <c r="AL1408" s="2"/>
      <c r="AM1408" s="2" t="s">
        <v>10791</v>
      </c>
    </row>
    <row r="1409" spans="1:39" x14ac:dyDescent="0.45">
      <c r="A1409" s="2" t="s">
        <v>12798</v>
      </c>
      <c r="B1409" s="2"/>
      <c r="C1409" s="2" t="s">
        <v>12800</v>
      </c>
      <c r="D1409" s="2" t="s">
        <v>12802</v>
      </c>
      <c r="E1409" s="25"/>
      <c r="F1409" s="21"/>
      <c r="G1409" s="21"/>
      <c r="H1409" s="2" t="s">
        <v>10789</v>
      </c>
      <c r="I1409" s="2" t="s">
        <v>10787</v>
      </c>
      <c r="J1409" s="2" t="s">
        <v>12799</v>
      </c>
      <c r="K1409" s="2" t="s">
        <v>12801</v>
      </c>
      <c r="L1409" s="2" t="s">
        <v>12803</v>
      </c>
      <c r="M1409" s="2"/>
      <c r="N1409" s="2" t="s">
        <v>12804</v>
      </c>
      <c r="O1409" s="2" t="s">
        <v>221</v>
      </c>
      <c r="P1409" s="2" t="s">
        <v>12805</v>
      </c>
      <c r="Q1409" s="2" t="s">
        <v>12801</v>
      </c>
      <c r="R1409" s="2"/>
      <c r="S1409" s="2"/>
      <c r="T1409" s="2"/>
      <c r="U1409" s="2" t="s">
        <v>12804</v>
      </c>
      <c r="V1409" s="2" t="s">
        <v>221</v>
      </c>
      <c r="W1409" s="2" t="s">
        <v>12805</v>
      </c>
      <c r="X1409" s="2" t="s">
        <v>5196</v>
      </c>
      <c r="Y1409" s="2" t="s">
        <v>44</v>
      </c>
      <c r="Z1409" s="2"/>
      <c r="AA1409" s="2" t="s">
        <v>3527</v>
      </c>
      <c r="AB1409" s="2" t="s">
        <v>46</v>
      </c>
      <c r="AC1409" s="2" t="s">
        <v>3527</v>
      </c>
      <c r="AE1409" s="2" t="s">
        <v>10801</v>
      </c>
      <c r="AF1409" s="2" t="s">
        <v>7864</v>
      </c>
      <c r="AG1409" s="2">
        <v>100</v>
      </c>
      <c r="AH1409" s="2">
        <v>5</v>
      </c>
      <c r="AJ1409" s="2" t="s">
        <v>12806</v>
      </c>
      <c r="AK1409" s="2"/>
      <c r="AL1409" s="2"/>
      <c r="AM1409" s="2" t="s">
        <v>10791</v>
      </c>
    </row>
    <row r="1410" spans="1:39" x14ac:dyDescent="0.45">
      <c r="A1410" s="2" t="s">
        <v>12807</v>
      </c>
      <c r="B1410" s="2"/>
      <c r="C1410" s="2" t="s">
        <v>12809</v>
      </c>
      <c r="D1410" s="2" t="s">
        <v>12811</v>
      </c>
      <c r="E1410" s="25"/>
      <c r="F1410" s="21"/>
      <c r="G1410" s="21"/>
      <c r="H1410" s="2" t="s">
        <v>10789</v>
      </c>
      <c r="I1410" s="2" t="s">
        <v>10787</v>
      </c>
      <c r="J1410" s="2" t="s">
        <v>12808</v>
      </c>
      <c r="K1410" s="2" t="s">
        <v>12810</v>
      </c>
      <c r="L1410" s="2" t="s">
        <v>12812</v>
      </c>
      <c r="M1410" s="2"/>
      <c r="N1410" s="2" t="s">
        <v>12813</v>
      </c>
      <c r="O1410" s="2" t="s">
        <v>60</v>
      </c>
      <c r="P1410" s="2" t="s">
        <v>12814</v>
      </c>
      <c r="Q1410" s="2" t="s">
        <v>12810</v>
      </c>
      <c r="R1410" s="2"/>
      <c r="S1410" s="2"/>
      <c r="T1410" s="2"/>
      <c r="U1410" s="2" t="s">
        <v>12813</v>
      </c>
      <c r="V1410" s="2" t="s">
        <v>60</v>
      </c>
      <c r="W1410" s="2" t="s">
        <v>12814</v>
      </c>
      <c r="X1410" s="2" t="s">
        <v>10800</v>
      </c>
      <c r="Y1410" s="2" t="s">
        <v>44</v>
      </c>
      <c r="Z1410" s="2"/>
      <c r="AA1410" s="2" t="s">
        <v>3527</v>
      </c>
      <c r="AB1410" s="2" t="s">
        <v>46</v>
      </c>
      <c r="AC1410" s="2" t="s">
        <v>3527</v>
      </c>
      <c r="AE1410" s="2" t="s">
        <v>10801</v>
      </c>
      <c r="AF1410" s="2" t="s">
        <v>7864</v>
      </c>
      <c r="AG1410" s="2">
        <v>100</v>
      </c>
      <c r="AH1410" s="2">
        <v>5</v>
      </c>
      <c r="AJ1410" s="2" t="s">
        <v>12815</v>
      </c>
      <c r="AK1410" s="2"/>
      <c r="AL1410" s="2"/>
      <c r="AM1410" s="2" t="s">
        <v>10791</v>
      </c>
    </row>
    <row r="1411" spans="1:39" x14ac:dyDescent="0.45">
      <c r="A1411" s="2" t="s">
        <v>12816</v>
      </c>
      <c r="B1411" s="2"/>
      <c r="C1411" s="2" t="s">
        <v>12818</v>
      </c>
      <c r="D1411" s="2" t="s">
        <v>12820</v>
      </c>
      <c r="E1411" s="25"/>
      <c r="F1411" s="21"/>
      <c r="G1411" s="21"/>
      <c r="H1411" s="2" t="s">
        <v>10789</v>
      </c>
      <c r="I1411" s="2" t="s">
        <v>10787</v>
      </c>
      <c r="J1411" s="2" t="s">
        <v>12817</v>
      </c>
      <c r="K1411" s="2" t="s">
        <v>12819</v>
      </c>
      <c r="L1411" s="2" t="s">
        <v>12821</v>
      </c>
      <c r="M1411" s="2"/>
      <c r="N1411" s="2" t="s">
        <v>11330</v>
      </c>
      <c r="O1411" s="2" t="s">
        <v>73</v>
      </c>
      <c r="P1411" s="2" t="s">
        <v>12822</v>
      </c>
      <c r="Q1411" s="2" t="s">
        <v>12819</v>
      </c>
      <c r="R1411" s="2"/>
      <c r="S1411" s="2"/>
      <c r="T1411" s="2"/>
      <c r="U1411" s="2" t="s">
        <v>11330</v>
      </c>
      <c r="V1411" s="2" t="s">
        <v>73</v>
      </c>
      <c r="W1411" s="2" t="s">
        <v>12822</v>
      </c>
      <c r="X1411" s="2" t="s">
        <v>10051</v>
      </c>
      <c r="Y1411" s="2" t="s">
        <v>44</v>
      </c>
      <c r="Z1411" s="2"/>
      <c r="AA1411" s="2" t="s">
        <v>3527</v>
      </c>
      <c r="AB1411" s="2" t="s">
        <v>46</v>
      </c>
      <c r="AC1411" s="2" t="s">
        <v>3527</v>
      </c>
      <c r="AE1411" s="2" t="s">
        <v>10801</v>
      </c>
      <c r="AF1411" s="2" t="s">
        <v>7864</v>
      </c>
      <c r="AG1411" s="2">
        <v>100</v>
      </c>
      <c r="AH1411" s="2">
        <v>5</v>
      </c>
      <c r="AJ1411" s="2" t="s">
        <v>12823</v>
      </c>
      <c r="AK1411" s="2"/>
      <c r="AL1411" s="2"/>
      <c r="AM1411" s="2" t="s">
        <v>10791</v>
      </c>
    </row>
    <row r="1412" spans="1:39" x14ac:dyDescent="0.45">
      <c r="A1412" s="2" t="s">
        <v>12824</v>
      </c>
      <c r="B1412" s="2"/>
      <c r="C1412" s="2" t="s">
        <v>12826</v>
      </c>
      <c r="D1412" s="2" t="s">
        <v>12828</v>
      </c>
      <c r="E1412" s="25"/>
      <c r="F1412" s="21"/>
      <c r="G1412" s="21"/>
      <c r="H1412" s="2" t="s">
        <v>10789</v>
      </c>
      <c r="I1412" s="2" t="s">
        <v>10787</v>
      </c>
      <c r="J1412" s="2" t="s">
        <v>12825</v>
      </c>
      <c r="K1412" s="2" t="s">
        <v>12827</v>
      </c>
      <c r="L1412" s="2" t="s">
        <v>12829</v>
      </c>
      <c r="M1412" s="2" t="s">
        <v>12829</v>
      </c>
      <c r="N1412" s="2" t="s">
        <v>12830</v>
      </c>
      <c r="O1412" s="2" t="s">
        <v>217</v>
      </c>
      <c r="P1412" s="2" t="s">
        <v>12831</v>
      </c>
      <c r="Q1412" s="2" t="s">
        <v>12827</v>
      </c>
      <c r="R1412" s="2"/>
      <c r="S1412" s="2"/>
      <c r="T1412" s="2"/>
      <c r="U1412" s="2" t="s">
        <v>12830</v>
      </c>
      <c r="V1412" s="2" t="s">
        <v>217</v>
      </c>
      <c r="W1412" s="2" t="s">
        <v>12831</v>
      </c>
      <c r="X1412" s="2" t="s">
        <v>5224</v>
      </c>
      <c r="Y1412" s="2" t="s">
        <v>44</v>
      </c>
      <c r="Z1412" s="2"/>
      <c r="AA1412" s="2" t="s">
        <v>3527</v>
      </c>
      <c r="AB1412" s="2" t="s">
        <v>46</v>
      </c>
      <c r="AC1412" s="2" t="s">
        <v>3527</v>
      </c>
      <c r="AE1412" s="2" t="s">
        <v>10801</v>
      </c>
      <c r="AF1412" s="2" t="s">
        <v>7864</v>
      </c>
      <c r="AG1412" s="2">
        <v>100</v>
      </c>
      <c r="AH1412" s="2">
        <v>5</v>
      </c>
      <c r="AJ1412" s="2" t="s">
        <v>12832</v>
      </c>
      <c r="AK1412" s="2"/>
      <c r="AL1412" s="2"/>
      <c r="AM1412" s="2" t="s">
        <v>10791</v>
      </c>
    </row>
    <row r="1413" spans="1:39" x14ac:dyDescent="0.45">
      <c r="A1413" s="2" t="s">
        <v>12833</v>
      </c>
      <c r="B1413" s="2"/>
      <c r="C1413" s="2" t="s">
        <v>12835</v>
      </c>
      <c r="D1413" s="2" t="s">
        <v>12837</v>
      </c>
      <c r="E1413" s="25"/>
      <c r="F1413" s="21"/>
      <c r="G1413" s="21"/>
      <c r="H1413" s="2" t="s">
        <v>10789</v>
      </c>
      <c r="I1413" s="2" t="s">
        <v>10787</v>
      </c>
      <c r="J1413" s="2" t="s">
        <v>12834</v>
      </c>
      <c r="K1413" s="2" t="s">
        <v>12836</v>
      </c>
      <c r="L1413" s="2" t="s">
        <v>12838</v>
      </c>
      <c r="M1413" s="2"/>
      <c r="N1413" s="2" t="s">
        <v>11330</v>
      </c>
      <c r="O1413" s="2" t="s">
        <v>73</v>
      </c>
      <c r="P1413" s="2" t="s">
        <v>12839</v>
      </c>
      <c r="Q1413" s="2" t="s">
        <v>12840</v>
      </c>
      <c r="R1413" s="2"/>
      <c r="S1413" s="2"/>
      <c r="T1413" s="2"/>
      <c r="U1413" s="2" t="s">
        <v>11330</v>
      </c>
      <c r="V1413" s="2" t="s">
        <v>73</v>
      </c>
      <c r="W1413" s="2" t="s">
        <v>12839</v>
      </c>
      <c r="X1413" s="2" t="s">
        <v>5224</v>
      </c>
      <c r="Y1413" s="2" t="s">
        <v>44</v>
      </c>
      <c r="Z1413" s="2"/>
      <c r="AA1413" s="2" t="s">
        <v>3527</v>
      </c>
      <c r="AB1413" s="2" t="s">
        <v>46</v>
      </c>
      <c r="AC1413" s="2" t="s">
        <v>3527</v>
      </c>
      <c r="AE1413" s="2" t="s">
        <v>10801</v>
      </c>
      <c r="AF1413" s="2" t="s">
        <v>7864</v>
      </c>
      <c r="AG1413" s="2">
        <v>100</v>
      </c>
      <c r="AH1413" s="2">
        <v>5</v>
      </c>
      <c r="AJ1413" s="2" t="s">
        <v>12841</v>
      </c>
      <c r="AK1413" s="2"/>
      <c r="AL1413" s="2"/>
      <c r="AM1413" s="2" t="s">
        <v>10791</v>
      </c>
    </row>
    <row r="1414" spans="1:39" x14ac:dyDescent="0.45">
      <c r="A1414" s="2" t="s">
        <v>12842</v>
      </c>
      <c r="B1414" s="2"/>
      <c r="C1414" s="2" t="s">
        <v>12844</v>
      </c>
      <c r="D1414" s="2" t="s">
        <v>12846</v>
      </c>
      <c r="E1414" s="25"/>
      <c r="F1414" s="21"/>
      <c r="G1414" s="21"/>
      <c r="H1414" s="2" t="s">
        <v>10789</v>
      </c>
      <c r="I1414" s="2" t="s">
        <v>10787</v>
      </c>
      <c r="J1414" s="2" t="s">
        <v>12843</v>
      </c>
      <c r="K1414" s="2" t="s">
        <v>12845</v>
      </c>
      <c r="L1414" s="2" t="s">
        <v>12847</v>
      </c>
      <c r="M1414" s="2"/>
      <c r="N1414" s="2" t="s">
        <v>5984</v>
      </c>
      <c r="O1414" s="2" t="s">
        <v>313</v>
      </c>
      <c r="P1414" s="2" t="s">
        <v>12848</v>
      </c>
      <c r="Q1414" s="2" t="s">
        <v>12845</v>
      </c>
      <c r="R1414" s="2"/>
      <c r="S1414" s="2"/>
      <c r="T1414" s="2"/>
      <c r="U1414" s="2" t="s">
        <v>5984</v>
      </c>
      <c r="V1414" s="2" t="s">
        <v>313</v>
      </c>
      <c r="W1414" s="2" t="s">
        <v>12848</v>
      </c>
      <c r="X1414" s="2" t="s">
        <v>3226</v>
      </c>
      <c r="Y1414" s="2" t="s">
        <v>44</v>
      </c>
      <c r="Z1414" s="2"/>
      <c r="AA1414" s="2" t="s">
        <v>3527</v>
      </c>
      <c r="AB1414" s="2" t="s">
        <v>46</v>
      </c>
      <c r="AC1414" s="2" t="s">
        <v>3527</v>
      </c>
      <c r="AE1414" s="2" t="s">
        <v>10801</v>
      </c>
      <c r="AF1414" s="2" t="s">
        <v>7864</v>
      </c>
      <c r="AG1414" s="2">
        <v>100</v>
      </c>
      <c r="AH1414" s="2">
        <v>5</v>
      </c>
      <c r="AJ1414" s="2" t="s">
        <v>12849</v>
      </c>
      <c r="AK1414" s="2"/>
      <c r="AL1414" s="2"/>
      <c r="AM1414" s="2" t="s">
        <v>10791</v>
      </c>
    </row>
    <row r="1415" spans="1:39" x14ac:dyDescent="0.45">
      <c r="A1415" s="2" t="s">
        <v>12850</v>
      </c>
      <c r="B1415" s="2"/>
      <c r="C1415" s="2" t="s">
        <v>12852</v>
      </c>
      <c r="D1415" s="2" t="s">
        <v>12854</v>
      </c>
      <c r="E1415" s="25"/>
      <c r="F1415" s="21"/>
      <c r="G1415" s="21"/>
      <c r="H1415" s="2" t="s">
        <v>10789</v>
      </c>
      <c r="I1415" s="2" t="s">
        <v>10787</v>
      </c>
      <c r="J1415" s="2" t="s">
        <v>12851</v>
      </c>
      <c r="K1415" s="2" t="s">
        <v>12853</v>
      </c>
      <c r="L1415" s="2" t="s">
        <v>12855</v>
      </c>
      <c r="M1415" s="2" t="s">
        <v>12855</v>
      </c>
      <c r="N1415" s="2" t="s">
        <v>11247</v>
      </c>
      <c r="O1415" s="2" t="s">
        <v>1137</v>
      </c>
      <c r="P1415" s="2" t="s">
        <v>11248</v>
      </c>
      <c r="Q1415" s="2" t="s">
        <v>12853</v>
      </c>
      <c r="R1415" s="2"/>
      <c r="S1415" s="2"/>
      <c r="T1415" s="2"/>
      <c r="U1415" s="2" t="s">
        <v>11247</v>
      </c>
      <c r="V1415" s="2" t="s">
        <v>1137</v>
      </c>
      <c r="W1415" s="2" t="s">
        <v>11248</v>
      </c>
      <c r="X1415" s="2" t="s">
        <v>11047</v>
      </c>
      <c r="Y1415" s="2" t="s">
        <v>44</v>
      </c>
      <c r="Z1415" s="2"/>
      <c r="AA1415" s="2" t="s">
        <v>3527</v>
      </c>
      <c r="AB1415" s="2" t="s">
        <v>46</v>
      </c>
      <c r="AC1415" s="2" t="s">
        <v>3527</v>
      </c>
      <c r="AE1415" s="2" t="s">
        <v>10801</v>
      </c>
      <c r="AF1415" s="2" t="s">
        <v>7864</v>
      </c>
      <c r="AG1415" s="2">
        <v>100</v>
      </c>
      <c r="AH1415" s="2">
        <v>5</v>
      </c>
      <c r="AJ1415" s="2" t="s">
        <v>12856</v>
      </c>
      <c r="AK1415" s="2"/>
      <c r="AL1415" s="2"/>
      <c r="AM1415" s="2" t="s">
        <v>10791</v>
      </c>
    </row>
    <row r="1416" spans="1:39" x14ac:dyDescent="0.45">
      <c r="A1416" s="2" t="s">
        <v>12857</v>
      </c>
      <c r="B1416" s="2"/>
      <c r="C1416" s="2" t="s">
        <v>12859</v>
      </c>
      <c r="D1416" s="2" t="s">
        <v>12861</v>
      </c>
      <c r="E1416" s="25"/>
      <c r="F1416" s="21"/>
      <c r="G1416" s="21"/>
      <c r="H1416" s="2" t="s">
        <v>10789</v>
      </c>
      <c r="I1416" s="2" t="s">
        <v>10787</v>
      </c>
      <c r="J1416" s="2" t="s">
        <v>12858</v>
      </c>
      <c r="K1416" s="2" t="s">
        <v>12860</v>
      </c>
      <c r="L1416" s="2" t="s">
        <v>12862</v>
      </c>
      <c r="M1416" s="2"/>
      <c r="N1416" s="2" t="s">
        <v>9743</v>
      </c>
      <c r="O1416" s="2" t="s">
        <v>1281</v>
      </c>
      <c r="P1416" s="2" t="s">
        <v>9744</v>
      </c>
      <c r="Q1416" s="2" t="s">
        <v>12860</v>
      </c>
      <c r="R1416" s="2"/>
      <c r="S1416" s="2"/>
      <c r="T1416" s="2"/>
      <c r="U1416" s="2" t="s">
        <v>9743</v>
      </c>
      <c r="V1416" s="2" t="s">
        <v>1281</v>
      </c>
      <c r="W1416" s="2" t="s">
        <v>9744</v>
      </c>
      <c r="X1416" s="2" t="s">
        <v>5286</v>
      </c>
      <c r="Y1416" s="2" t="s">
        <v>44</v>
      </c>
      <c r="Z1416" s="2"/>
      <c r="AA1416" s="2" t="s">
        <v>3527</v>
      </c>
      <c r="AB1416" s="2" t="s">
        <v>46</v>
      </c>
      <c r="AC1416" s="2" t="s">
        <v>3527</v>
      </c>
      <c r="AE1416" s="2" t="s">
        <v>10801</v>
      </c>
      <c r="AF1416" s="2" t="s">
        <v>7864</v>
      </c>
      <c r="AG1416" s="2">
        <v>100</v>
      </c>
      <c r="AH1416" s="2">
        <v>5</v>
      </c>
      <c r="AJ1416" s="2" t="s">
        <v>12863</v>
      </c>
      <c r="AK1416" s="2"/>
      <c r="AL1416" s="2"/>
      <c r="AM1416" s="2" t="s">
        <v>10791</v>
      </c>
    </row>
    <row r="1417" spans="1:39" x14ac:dyDescent="0.45">
      <c r="A1417" s="2" t="s">
        <v>12864</v>
      </c>
      <c r="B1417" s="2"/>
      <c r="C1417" s="2" t="s">
        <v>12866</v>
      </c>
      <c r="D1417" s="2" t="s">
        <v>12868</v>
      </c>
      <c r="E1417" s="25"/>
      <c r="F1417" s="21"/>
      <c r="G1417" s="21"/>
      <c r="H1417" s="2" t="s">
        <v>10789</v>
      </c>
      <c r="I1417" s="2" t="s">
        <v>10787</v>
      </c>
      <c r="J1417" s="2" t="s">
        <v>12865</v>
      </c>
      <c r="K1417" s="2" t="s">
        <v>12867</v>
      </c>
      <c r="L1417" s="2" t="s">
        <v>12869</v>
      </c>
      <c r="M1417" s="2" t="s">
        <v>12869</v>
      </c>
      <c r="N1417" s="2" t="s">
        <v>12870</v>
      </c>
      <c r="O1417" s="2" t="s">
        <v>278</v>
      </c>
      <c r="P1417" s="2" t="s">
        <v>12871</v>
      </c>
      <c r="Q1417" s="2" t="s">
        <v>12872</v>
      </c>
      <c r="R1417" s="2"/>
      <c r="S1417" s="2"/>
      <c r="T1417" s="2"/>
      <c r="U1417" s="2" t="s">
        <v>1023</v>
      </c>
      <c r="V1417" s="2" t="s">
        <v>73</v>
      </c>
      <c r="W1417" s="2" t="s">
        <v>12873</v>
      </c>
      <c r="X1417" s="2" t="s">
        <v>12874</v>
      </c>
      <c r="Y1417" s="2" t="s">
        <v>44</v>
      </c>
      <c r="Z1417" s="2"/>
      <c r="AA1417" s="2" t="s">
        <v>3527</v>
      </c>
      <c r="AB1417" s="2" t="s">
        <v>46</v>
      </c>
      <c r="AC1417" s="2" t="s">
        <v>3527</v>
      </c>
      <c r="AE1417" s="2" t="s">
        <v>10801</v>
      </c>
      <c r="AF1417" s="2" t="s">
        <v>7864</v>
      </c>
      <c r="AG1417" s="2">
        <v>100</v>
      </c>
      <c r="AH1417" s="2">
        <v>5</v>
      </c>
      <c r="AJ1417" s="2" t="s">
        <v>12875</v>
      </c>
      <c r="AK1417" s="2"/>
      <c r="AL1417" s="2"/>
      <c r="AM1417" s="2" t="s">
        <v>10791</v>
      </c>
    </row>
    <row r="1418" spans="1:39" x14ac:dyDescent="0.45">
      <c r="A1418" s="2" t="s">
        <v>12876</v>
      </c>
      <c r="B1418" s="2"/>
      <c r="C1418" s="2" t="s">
        <v>12878</v>
      </c>
      <c r="D1418" s="2" t="s">
        <v>12880</v>
      </c>
      <c r="E1418" s="25"/>
      <c r="F1418" s="21"/>
      <c r="G1418" s="21"/>
      <c r="H1418" s="2" t="s">
        <v>10789</v>
      </c>
      <c r="I1418" s="2" t="s">
        <v>10787</v>
      </c>
      <c r="J1418" s="2" t="s">
        <v>12877</v>
      </c>
      <c r="K1418" s="2" t="s">
        <v>12879</v>
      </c>
      <c r="L1418" s="2" t="s">
        <v>12881</v>
      </c>
      <c r="M1418" s="2" t="s">
        <v>12881</v>
      </c>
      <c r="N1418" s="2" t="s">
        <v>8392</v>
      </c>
      <c r="O1418" s="2" t="s">
        <v>313</v>
      </c>
      <c r="P1418" s="2" t="s">
        <v>10417</v>
      </c>
      <c r="Q1418" s="2" t="s">
        <v>12879</v>
      </c>
      <c r="R1418" s="2"/>
      <c r="S1418" s="2"/>
      <c r="T1418" s="2"/>
      <c r="U1418" s="2" t="s">
        <v>8392</v>
      </c>
      <c r="V1418" s="2" t="s">
        <v>313</v>
      </c>
      <c r="W1418" s="2" t="s">
        <v>10417</v>
      </c>
      <c r="X1418" s="2" t="s">
        <v>7404</v>
      </c>
      <c r="Y1418" s="2" t="s">
        <v>44</v>
      </c>
      <c r="Z1418" s="2"/>
      <c r="AA1418" s="2" t="s">
        <v>3527</v>
      </c>
      <c r="AB1418" s="2" t="s">
        <v>46</v>
      </c>
      <c r="AC1418" s="2" t="s">
        <v>3527</v>
      </c>
      <c r="AE1418" s="2" t="s">
        <v>10801</v>
      </c>
      <c r="AF1418" s="2" t="s">
        <v>7864</v>
      </c>
      <c r="AG1418" s="2">
        <v>100</v>
      </c>
      <c r="AH1418" s="2">
        <v>5</v>
      </c>
      <c r="AJ1418" s="2" t="s">
        <v>12882</v>
      </c>
      <c r="AK1418" s="2"/>
      <c r="AL1418" s="2"/>
      <c r="AM1418" s="2" t="s">
        <v>10791</v>
      </c>
    </row>
    <row r="1419" spans="1:39" x14ac:dyDescent="0.45">
      <c r="A1419" s="2" t="s">
        <v>12883</v>
      </c>
      <c r="B1419" s="2"/>
      <c r="C1419" s="2" t="s">
        <v>12885</v>
      </c>
      <c r="D1419" s="2" t="s">
        <v>12887</v>
      </c>
      <c r="E1419" s="25"/>
      <c r="F1419" s="21"/>
      <c r="G1419" s="21"/>
      <c r="H1419" s="2" t="s">
        <v>10789</v>
      </c>
      <c r="I1419" s="2" t="s">
        <v>10787</v>
      </c>
      <c r="J1419" s="2" t="s">
        <v>12884</v>
      </c>
      <c r="K1419" s="2" t="s">
        <v>12886</v>
      </c>
      <c r="L1419" s="2" t="s">
        <v>12888</v>
      </c>
      <c r="M1419" s="2"/>
      <c r="N1419" s="2" t="s">
        <v>5984</v>
      </c>
      <c r="O1419" s="2" t="s">
        <v>313</v>
      </c>
      <c r="P1419" s="2" t="s">
        <v>12889</v>
      </c>
      <c r="Q1419" s="2" t="s">
        <v>12890</v>
      </c>
      <c r="R1419" s="2"/>
      <c r="S1419" s="2"/>
      <c r="T1419" s="2"/>
      <c r="U1419" s="2" t="s">
        <v>5984</v>
      </c>
      <c r="V1419" s="2" t="s">
        <v>313</v>
      </c>
      <c r="W1419" s="2" t="s">
        <v>12889</v>
      </c>
      <c r="X1419" s="2" t="s">
        <v>5913</v>
      </c>
      <c r="Y1419" s="2" t="s">
        <v>44</v>
      </c>
      <c r="Z1419" s="2"/>
      <c r="AA1419" s="2" t="s">
        <v>3527</v>
      </c>
      <c r="AB1419" s="2" t="s">
        <v>46</v>
      </c>
      <c r="AC1419" s="2" t="s">
        <v>3527</v>
      </c>
      <c r="AE1419" s="2" t="s">
        <v>10801</v>
      </c>
      <c r="AF1419" s="2" t="s">
        <v>7864</v>
      </c>
      <c r="AG1419" s="2">
        <v>100</v>
      </c>
      <c r="AH1419" s="2">
        <v>5</v>
      </c>
      <c r="AJ1419" s="2" t="s">
        <v>12891</v>
      </c>
      <c r="AK1419" s="2"/>
      <c r="AL1419" s="2"/>
      <c r="AM1419" s="2" t="s">
        <v>10791</v>
      </c>
    </row>
    <row r="1420" spans="1:39" x14ac:dyDescent="0.45">
      <c r="A1420" s="2" t="s">
        <v>12892</v>
      </c>
      <c r="B1420" s="2"/>
      <c r="C1420" s="2" t="s">
        <v>12894</v>
      </c>
      <c r="D1420" s="2" t="s">
        <v>12896</v>
      </c>
      <c r="E1420" s="25"/>
      <c r="F1420" s="21"/>
      <c r="G1420" s="21"/>
      <c r="H1420" s="2" t="s">
        <v>10789</v>
      </c>
      <c r="I1420" s="2" t="s">
        <v>10787</v>
      </c>
      <c r="J1420" s="2" t="s">
        <v>12893</v>
      </c>
      <c r="K1420" s="2" t="s">
        <v>12895</v>
      </c>
      <c r="L1420" s="2" t="s">
        <v>12897</v>
      </c>
      <c r="M1420" s="2"/>
      <c r="N1420" s="2" t="s">
        <v>12898</v>
      </c>
      <c r="O1420" s="2" t="s">
        <v>73</v>
      </c>
      <c r="P1420" s="2" t="s">
        <v>12899</v>
      </c>
      <c r="Q1420" s="2" t="s">
        <v>12895</v>
      </c>
      <c r="R1420" s="2"/>
      <c r="S1420" s="2"/>
      <c r="T1420" s="2"/>
      <c r="U1420" s="2" t="s">
        <v>12898</v>
      </c>
      <c r="V1420" s="2" t="s">
        <v>73</v>
      </c>
      <c r="W1420" s="2" t="s">
        <v>12899</v>
      </c>
      <c r="X1420" s="2" t="s">
        <v>4659</v>
      </c>
      <c r="Y1420" s="2" t="s">
        <v>44</v>
      </c>
      <c r="Z1420" s="2"/>
      <c r="AA1420" s="2" t="s">
        <v>3527</v>
      </c>
      <c r="AB1420" s="2" t="s">
        <v>46</v>
      </c>
      <c r="AC1420" s="2" t="s">
        <v>3527</v>
      </c>
      <c r="AE1420" s="2" t="s">
        <v>10801</v>
      </c>
      <c r="AF1420" s="2" t="s">
        <v>7864</v>
      </c>
      <c r="AG1420" s="2">
        <v>100</v>
      </c>
      <c r="AH1420" s="2">
        <v>5</v>
      </c>
      <c r="AJ1420" s="2" t="s">
        <v>12900</v>
      </c>
      <c r="AK1420" s="2"/>
      <c r="AL1420" s="2"/>
      <c r="AM1420" s="2" t="s">
        <v>10791</v>
      </c>
    </row>
    <row r="1421" spans="1:39" x14ac:dyDescent="0.45">
      <c r="A1421" s="2" t="s">
        <v>12901</v>
      </c>
      <c r="B1421" s="2"/>
      <c r="C1421" s="2" t="s">
        <v>12903</v>
      </c>
      <c r="D1421" s="2" t="s">
        <v>12905</v>
      </c>
      <c r="E1421" s="25"/>
      <c r="F1421" s="21"/>
      <c r="G1421" s="21"/>
      <c r="H1421" s="2" t="s">
        <v>10789</v>
      </c>
      <c r="I1421" s="2" t="s">
        <v>10787</v>
      </c>
      <c r="J1421" s="2" t="s">
        <v>12902</v>
      </c>
      <c r="K1421" s="2" t="s">
        <v>12904</v>
      </c>
      <c r="L1421" s="2" t="s">
        <v>12906</v>
      </c>
      <c r="M1421" s="2" t="s">
        <v>12906</v>
      </c>
      <c r="N1421" s="2" t="s">
        <v>6029</v>
      </c>
      <c r="O1421" s="2" t="s">
        <v>278</v>
      </c>
      <c r="P1421" s="2" t="s">
        <v>6030</v>
      </c>
      <c r="Q1421" s="2" t="s">
        <v>12904</v>
      </c>
      <c r="R1421" s="2"/>
      <c r="S1421" s="2"/>
      <c r="T1421" s="2"/>
      <c r="U1421" s="2" t="s">
        <v>6029</v>
      </c>
      <c r="V1421" s="2" t="s">
        <v>278</v>
      </c>
      <c r="W1421" s="2" t="s">
        <v>6030</v>
      </c>
      <c r="X1421" s="2" t="s">
        <v>7438</v>
      </c>
      <c r="Y1421" s="2" t="s">
        <v>44</v>
      </c>
      <c r="Z1421" s="2"/>
      <c r="AA1421" s="2" t="s">
        <v>3527</v>
      </c>
      <c r="AB1421" s="2" t="s">
        <v>46</v>
      </c>
      <c r="AC1421" s="2" t="s">
        <v>3527</v>
      </c>
      <c r="AE1421" s="2" t="s">
        <v>10801</v>
      </c>
      <c r="AF1421" s="2" t="s">
        <v>7864</v>
      </c>
      <c r="AG1421" s="2">
        <v>100</v>
      </c>
      <c r="AH1421" s="2">
        <v>5</v>
      </c>
      <c r="AJ1421" s="2" t="s">
        <v>12907</v>
      </c>
      <c r="AK1421" s="2"/>
      <c r="AL1421" s="2"/>
      <c r="AM1421" s="2" t="s">
        <v>10791</v>
      </c>
    </row>
    <row r="1422" spans="1:39" x14ac:dyDescent="0.45">
      <c r="A1422" s="2" t="s">
        <v>12908</v>
      </c>
      <c r="B1422" s="2"/>
      <c r="C1422" s="2" t="s">
        <v>12910</v>
      </c>
      <c r="D1422" s="2" t="s">
        <v>12912</v>
      </c>
      <c r="E1422" s="25"/>
      <c r="F1422" s="21"/>
      <c r="G1422" s="21"/>
      <c r="H1422" s="2" t="s">
        <v>10789</v>
      </c>
      <c r="I1422" s="2" t="s">
        <v>10787</v>
      </c>
      <c r="J1422" s="2" t="s">
        <v>12909</v>
      </c>
      <c r="K1422" s="2" t="s">
        <v>12911</v>
      </c>
      <c r="L1422" s="2" t="s">
        <v>3562</v>
      </c>
      <c r="M1422" s="2" t="s">
        <v>3562</v>
      </c>
      <c r="N1422" s="2" t="s">
        <v>12913</v>
      </c>
      <c r="O1422" s="2" t="s">
        <v>60</v>
      </c>
      <c r="P1422" s="2" t="s">
        <v>12914</v>
      </c>
      <c r="Q1422" s="2" t="s">
        <v>12911</v>
      </c>
      <c r="R1422" s="2"/>
      <c r="S1422" s="2"/>
      <c r="T1422" s="2"/>
      <c r="U1422" s="2" t="s">
        <v>12913</v>
      </c>
      <c r="V1422" s="2" t="s">
        <v>60</v>
      </c>
      <c r="W1422" s="2" t="s">
        <v>12914</v>
      </c>
      <c r="X1422" s="2" t="s">
        <v>11949</v>
      </c>
      <c r="Y1422" s="2" t="s">
        <v>44</v>
      </c>
      <c r="Z1422" s="2"/>
      <c r="AA1422" s="2" t="s">
        <v>3527</v>
      </c>
      <c r="AB1422" s="2" t="s">
        <v>46</v>
      </c>
      <c r="AC1422" s="2" t="s">
        <v>3527</v>
      </c>
      <c r="AE1422" s="2" t="s">
        <v>10801</v>
      </c>
      <c r="AF1422" s="2" t="s">
        <v>7864</v>
      </c>
      <c r="AG1422" s="2">
        <v>100</v>
      </c>
      <c r="AH1422" s="2">
        <v>5</v>
      </c>
      <c r="AJ1422" s="2" t="s">
        <v>12915</v>
      </c>
      <c r="AK1422" s="2"/>
      <c r="AL1422" s="2"/>
      <c r="AM1422" s="2" t="s">
        <v>10791</v>
      </c>
    </row>
    <row r="1423" spans="1:39" x14ac:dyDescent="0.45">
      <c r="A1423" s="2" t="s">
        <v>12916</v>
      </c>
      <c r="B1423" s="2"/>
      <c r="C1423" s="2" t="s">
        <v>12918</v>
      </c>
      <c r="D1423" s="2" t="s">
        <v>12920</v>
      </c>
      <c r="E1423" s="25"/>
      <c r="F1423" s="21"/>
      <c r="G1423" s="21"/>
      <c r="H1423" s="2" t="s">
        <v>10789</v>
      </c>
      <c r="I1423" s="2" t="s">
        <v>10787</v>
      </c>
      <c r="J1423" s="2" t="s">
        <v>12917</v>
      </c>
      <c r="K1423" s="2" t="s">
        <v>12919</v>
      </c>
      <c r="L1423" s="2" t="s">
        <v>12921</v>
      </c>
      <c r="M1423" s="2"/>
      <c r="N1423" s="2" t="s">
        <v>10502</v>
      </c>
      <c r="O1423" s="2" t="s">
        <v>1112</v>
      </c>
      <c r="P1423" s="2" t="s">
        <v>12922</v>
      </c>
      <c r="Q1423" s="2" t="s">
        <v>12919</v>
      </c>
      <c r="R1423" s="2"/>
      <c r="S1423" s="2"/>
      <c r="T1423" s="2"/>
      <c r="U1423" s="2" t="s">
        <v>10502</v>
      </c>
      <c r="V1423" s="2" t="s">
        <v>1112</v>
      </c>
      <c r="W1423" s="2" t="s">
        <v>12922</v>
      </c>
      <c r="X1423" s="2" t="s">
        <v>7483</v>
      </c>
      <c r="Y1423" s="2" t="s">
        <v>44</v>
      </c>
      <c r="Z1423" s="2"/>
      <c r="AA1423" s="2" t="s">
        <v>3527</v>
      </c>
      <c r="AB1423" s="2" t="s">
        <v>46</v>
      </c>
      <c r="AC1423" s="2" t="s">
        <v>3527</v>
      </c>
      <c r="AE1423" s="2" t="s">
        <v>10801</v>
      </c>
      <c r="AF1423" s="2" t="s">
        <v>7864</v>
      </c>
      <c r="AG1423" s="2">
        <v>100</v>
      </c>
      <c r="AH1423" s="2">
        <v>5</v>
      </c>
      <c r="AJ1423" s="2" t="s">
        <v>12923</v>
      </c>
      <c r="AK1423" s="2"/>
      <c r="AL1423" s="2"/>
      <c r="AM1423" s="2" t="s">
        <v>10791</v>
      </c>
    </row>
    <row r="1424" spans="1:39" x14ac:dyDescent="0.45">
      <c r="A1424" s="2" t="s">
        <v>12924</v>
      </c>
      <c r="B1424" s="2"/>
      <c r="C1424" s="2" t="s">
        <v>12926</v>
      </c>
      <c r="D1424" s="2" t="s">
        <v>12928</v>
      </c>
      <c r="E1424" s="25"/>
      <c r="F1424" s="21"/>
      <c r="G1424" s="21"/>
      <c r="H1424" s="2" t="s">
        <v>10789</v>
      </c>
      <c r="I1424" s="2" t="s">
        <v>10787</v>
      </c>
      <c r="J1424" s="2" t="s">
        <v>12925</v>
      </c>
      <c r="K1424" s="2" t="s">
        <v>12927</v>
      </c>
      <c r="L1424" s="2" t="s">
        <v>12929</v>
      </c>
      <c r="M1424" s="2" t="s">
        <v>12929</v>
      </c>
      <c r="N1424" s="2" t="s">
        <v>12930</v>
      </c>
      <c r="O1424" s="2" t="s">
        <v>73</v>
      </c>
      <c r="P1424" s="2" t="s">
        <v>12931</v>
      </c>
      <c r="Q1424" s="2" t="s">
        <v>12927</v>
      </c>
      <c r="R1424" s="2"/>
      <c r="S1424" s="2"/>
      <c r="T1424" s="2"/>
      <c r="U1424" s="2" t="s">
        <v>12930</v>
      </c>
      <c r="V1424" s="2" t="s">
        <v>73</v>
      </c>
      <c r="W1424" s="2" t="s">
        <v>12931</v>
      </c>
      <c r="X1424" s="2" t="s">
        <v>8526</v>
      </c>
      <c r="Y1424" s="2" t="s">
        <v>44</v>
      </c>
      <c r="Z1424" s="2"/>
      <c r="AA1424" s="2" t="s">
        <v>3527</v>
      </c>
      <c r="AB1424" s="2" t="s">
        <v>46</v>
      </c>
      <c r="AC1424" s="2" t="s">
        <v>3527</v>
      </c>
      <c r="AE1424" s="2" t="s">
        <v>10801</v>
      </c>
      <c r="AF1424" s="2" t="s">
        <v>7864</v>
      </c>
      <c r="AG1424" s="2">
        <v>100</v>
      </c>
      <c r="AH1424" s="2">
        <v>5</v>
      </c>
      <c r="AJ1424" s="2" t="s">
        <v>12932</v>
      </c>
      <c r="AK1424" s="2"/>
      <c r="AL1424" s="2"/>
      <c r="AM1424" s="2" t="s">
        <v>10791</v>
      </c>
    </row>
    <row r="1425" spans="1:39" x14ac:dyDescent="0.45">
      <c r="A1425" s="2" t="s">
        <v>12933</v>
      </c>
      <c r="B1425" s="2"/>
      <c r="C1425" s="2" t="s">
        <v>12935</v>
      </c>
      <c r="D1425" s="2" t="s">
        <v>12937</v>
      </c>
      <c r="E1425" s="25"/>
      <c r="F1425" s="21"/>
      <c r="G1425" s="21"/>
      <c r="H1425" s="2" t="s">
        <v>10789</v>
      </c>
      <c r="I1425" s="2" t="s">
        <v>10787</v>
      </c>
      <c r="J1425" s="2" t="s">
        <v>12934</v>
      </c>
      <c r="K1425" s="2" t="s">
        <v>12936</v>
      </c>
      <c r="L1425" s="2" t="s">
        <v>12938</v>
      </c>
      <c r="M1425" s="2"/>
      <c r="N1425" s="2" t="s">
        <v>6062</v>
      </c>
      <c r="O1425" s="2" t="s">
        <v>217</v>
      </c>
      <c r="P1425" s="2" t="s">
        <v>6212</v>
      </c>
      <c r="Q1425" s="2" t="s">
        <v>12936</v>
      </c>
      <c r="R1425" s="2"/>
      <c r="S1425" s="2"/>
      <c r="T1425" s="2"/>
      <c r="U1425" s="2" t="s">
        <v>6062</v>
      </c>
      <c r="V1425" s="2" t="s">
        <v>217</v>
      </c>
      <c r="W1425" s="2" t="s">
        <v>6212</v>
      </c>
      <c r="X1425" s="2" t="s">
        <v>8526</v>
      </c>
      <c r="Y1425" s="2" t="s">
        <v>44</v>
      </c>
      <c r="Z1425" s="2"/>
      <c r="AA1425" s="2" t="s">
        <v>3527</v>
      </c>
      <c r="AB1425" s="2" t="s">
        <v>46</v>
      </c>
      <c r="AC1425" s="2" t="s">
        <v>3527</v>
      </c>
      <c r="AE1425" s="2" t="s">
        <v>10801</v>
      </c>
      <c r="AF1425" s="2" t="s">
        <v>7864</v>
      </c>
      <c r="AG1425" s="2">
        <v>100</v>
      </c>
      <c r="AH1425" s="2">
        <v>5</v>
      </c>
      <c r="AJ1425" s="2" t="s">
        <v>12939</v>
      </c>
      <c r="AK1425" s="2"/>
      <c r="AL1425" s="2"/>
      <c r="AM1425" s="2" t="s">
        <v>10791</v>
      </c>
    </row>
    <row r="1426" spans="1:39" x14ac:dyDescent="0.45">
      <c r="A1426" s="2" t="s">
        <v>12940</v>
      </c>
      <c r="B1426" s="2"/>
      <c r="C1426" s="2" t="s">
        <v>12942</v>
      </c>
      <c r="D1426" s="2" t="s">
        <v>12944</v>
      </c>
      <c r="E1426" s="25"/>
      <c r="F1426" s="21"/>
      <c r="G1426" s="21"/>
      <c r="H1426" s="2" t="s">
        <v>10789</v>
      </c>
      <c r="I1426" s="2" t="s">
        <v>10787</v>
      </c>
      <c r="J1426" s="2" t="s">
        <v>12941</v>
      </c>
      <c r="K1426" s="2" t="s">
        <v>12943</v>
      </c>
      <c r="L1426" s="2" t="s">
        <v>12945</v>
      </c>
      <c r="M1426" s="2"/>
      <c r="N1426" s="2" t="s">
        <v>1136</v>
      </c>
      <c r="O1426" s="2" t="s">
        <v>1137</v>
      </c>
      <c r="P1426" s="2" t="s">
        <v>5996</v>
      </c>
      <c r="Q1426" s="2" t="s">
        <v>12946</v>
      </c>
      <c r="R1426" s="2"/>
      <c r="S1426" s="2"/>
      <c r="T1426" s="2"/>
      <c r="U1426" s="2" t="s">
        <v>1136</v>
      </c>
      <c r="V1426" s="2" t="s">
        <v>1137</v>
      </c>
      <c r="W1426" s="2" t="s">
        <v>5996</v>
      </c>
      <c r="X1426" s="2" t="s">
        <v>8526</v>
      </c>
      <c r="Y1426" s="2" t="s">
        <v>44</v>
      </c>
      <c r="Z1426" s="2"/>
      <c r="AA1426" s="2" t="s">
        <v>3527</v>
      </c>
      <c r="AB1426" s="2" t="s">
        <v>46</v>
      </c>
      <c r="AC1426" s="2" t="s">
        <v>3527</v>
      </c>
      <c r="AE1426" s="2" t="s">
        <v>10801</v>
      </c>
      <c r="AF1426" s="2" t="s">
        <v>7864</v>
      </c>
      <c r="AG1426" s="2">
        <v>100</v>
      </c>
      <c r="AH1426" s="2">
        <v>5</v>
      </c>
      <c r="AJ1426" s="2" t="s">
        <v>12947</v>
      </c>
      <c r="AK1426" s="2"/>
      <c r="AL1426" s="2"/>
      <c r="AM1426" s="2" t="s">
        <v>10791</v>
      </c>
    </row>
    <row r="1427" spans="1:39" x14ac:dyDescent="0.45">
      <c r="A1427" s="2" t="s">
        <v>12948</v>
      </c>
      <c r="B1427" s="2"/>
      <c r="C1427" s="2" t="s">
        <v>12950</v>
      </c>
      <c r="D1427" s="2" t="s">
        <v>12952</v>
      </c>
      <c r="E1427" s="25"/>
      <c r="F1427" s="21"/>
      <c r="G1427" s="21"/>
      <c r="H1427" s="2" t="s">
        <v>10789</v>
      </c>
      <c r="I1427" s="2" t="s">
        <v>10787</v>
      </c>
      <c r="J1427" s="2" t="s">
        <v>12949</v>
      </c>
      <c r="K1427" s="2" t="s">
        <v>12951</v>
      </c>
      <c r="L1427" s="2" t="s">
        <v>12953</v>
      </c>
      <c r="M1427" s="2"/>
      <c r="N1427" s="2" t="s">
        <v>8544</v>
      </c>
      <c r="O1427" s="2" t="s">
        <v>73</v>
      </c>
      <c r="P1427" s="2" t="s">
        <v>12954</v>
      </c>
      <c r="Q1427" s="2"/>
      <c r="R1427" s="2"/>
      <c r="S1427" s="2"/>
      <c r="T1427" s="2"/>
      <c r="U1427" s="2"/>
      <c r="V1427" s="2"/>
      <c r="W1427" s="2"/>
      <c r="X1427" s="2" t="s">
        <v>7555</v>
      </c>
      <c r="Y1427" s="2" t="s">
        <v>44</v>
      </c>
      <c r="Z1427" s="2"/>
      <c r="AA1427" s="2" t="s">
        <v>3527</v>
      </c>
      <c r="AB1427" s="2" t="s">
        <v>46</v>
      </c>
      <c r="AC1427" s="2" t="s">
        <v>3527</v>
      </c>
      <c r="AE1427" s="2" t="s">
        <v>10801</v>
      </c>
      <c r="AF1427" s="2" t="s">
        <v>7864</v>
      </c>
      <c r="AG1427" s="2">
        <v>100</v>
      </c>
      <c r="AH1427" s="2">
        <v>5</v>
      </c>
      <c r="AJ1427" s="2" t="s">
        <v>12955</v>
      </c>
      <c r="AK1427" s="2"/>
      <c r="AL1427" s="2"/>
      <c r="AM1427" s="2" t="s">
        <v>10791</v>
      </c>
    </row>
    <row r="1428" spans="1:39" x14ac:dyDescent="0.45">
      <c r="A1428" s="2" t="s">
        <v>12956</v>
      </c>
      <c r="B1428" s="2"/>
      <c r="C1428" s="2" t="s">
        <v>12958</v>
      </c>
      <c r="D1428" s="2" t="s">
        <v>12960</v>
      </c>
      <c r="E1428" s="25"/>
      <c r="F1428" s="21"/>
      <c r="G1428" s="21"/>
      <c r="H1428" s="2" t="s">
        <v>10789</v>
      </c>
      <c r="I1428" s="2" t="s">
        <v>10787</v>
      </c>
      <c r="J1428" s="2" t="s">
        <v>12957</v>
      </c>
      <c r="K1428" s="2" t="s">
        <v>12959</v>
      </c>
      <c r="L1428" s="2" t="s">
        <v>12961</v>
      </c>
      <c r="M1428" s="2"/>
      <c r="N1428" s="2" t="s">
        <v>1136</v>
      </c>
      <c r="O1428" s="2" t="s">
        <v>1137</v>
      </c>
      <c r="P1428" s="2" t="s">
        <v>12962</v>
      </c>
      <c r="Q1428" s="2"/>
      <c r="R1428" s="2"/>
      <c r="S1428" s="2"/>
      <c r="T1428" s="2"/>
      <c r="U1428" s="2"/>
      <c r="V1428" s="2"/>
      <c r="W1428" s="2"/>
      <c r="X1428" s="2" t="s">
        <v>12963</v>
      </c>
      <c r="Y1428" s="2" t="s">
        <v>44</v>
      </c>
      <c r="Z1428" s="2"/>
      <c r="AA1428" s="2" t="s">
        <v>3527</v>
      </c>
      <c r="AB1428" s="2" t="s">
        <v>46</v>
      </c>
      <c r="AC1428" s="2" t="s">
        <v>3527</v>
      </c>
      <c r="AE1428" s="2" t="s">
        <v>10801</v>
      </c>
      <c r="AF1428" s="2" t="s">
        <v>7864</v>
      </c>
      <c r="AG1428" s="2">
        <v>100</v>
      </c>
      <c r="AH1428" s="2">
        <v>5</v>
      </c>
      <c r="AJ1428" s="2" t="s">
        <v>12964</v>
      </c>
      <c r="AK1428" s="2"/>
      <c r="AL1428" s="2"/>
      <c r="AM1428" s="2" t="s">
        <v>10791</v>
      </c>
    </row>
    <row r="1429" spans="1:39" x14ac:dyDescent="0.45">
      <c r="A1429" s="2" t="s">
        <v>12965</v>
      </c>
      <c r="B1429" s="2"/>
      <c r="C1429" s="2" t="s">
        <v>12967</v>
      </c>
      <c r="D1429" s="2" t="s">
        <v>12969</v>
      </c>
      <c r="E1429" s="25"/>
      <c r="F1429" s="21"/>
      <c r="G1429" s="21"/>
      <c r="H1429" s="2" t="s">
        <v>10789</v>
      </c>
      <c r="I1429" s="2" t="s">
        <v>10787</v>
      </c>
      <c r="J1429" s="2" t="s">
        <v>12966</v>
      </c>
      <c r="K1429" s="2" t="s">
        <v>12968</v>
      </c>
      <c r="L1429" s="2" t="s">
        <v>12970</v>
      </c>
      <c r="M1429" s="2"/>
      <c r="N1429" s="2" t="s">
        <v>10397</v>
      </c>
      <c r="O1429" s="2" t="s">
        <v>221</v>
      </c>
      <c r="P1429" s="2" t="s">
        <v>12971</v>
      </c>
      <c r="Q1429" s="2"/>
      <c r="R1429" s="2"/>
      <c r="S1429" s="2"/>
      <c r="T1429" s="2"/>
      <c r="U1429" s="2"/>
      <c r="V1429" s="2"/>
      <c r="W1429" s="2"/>
      <c r="X1429" s="2" t="s">
        <v>5430</v>
      </c>
      <c r="Y1429" s="2" t="s">
        <v>44</v>
      </c>
      <c r="Z1429" s="2"/>
      <c r="AA1429" s="2" t="s">
        <v>3527</v>
      </c>
      <c r="AB1429" s="2" t="s">
        <v>46</v>
      </c>
      <c r="AC1429" s="2" t="s">
        <v>3527</v>
      </c>
      <c r="AE1429" s="2" t="s">
        <v>10801</v>
      </c>
      <c r="AF1429" s="2" t="s">
        <v>7864</v>
      </c>
      <c r="AG1429" s="2">
        <v>100</v>
      </c>
      <c r="AH1429" s="2">
        <v>5</v>
      </c>
      <c r="AJ1429" s="2" t="s">
        <v>12972</v>
      </c>
      <c r="AK1429" s="2"/>
      <c r="AL1429" s="2"/>
      <c r="AM1429" s="2" t="s">
        <v>10791</v>
      </c>
    </row>
    <row r="1430" spans="1:39" x14ac:dyDescent="0.45">
      <c r="A1430" s="2" t="s">
        <v>12973</v>
      </c>
      <c r="B1430" s="2"/>
      <c r="C1430" s="2" t="s">
        <v>12975</v>
      </c>
      <c r="D1430" s="2" t="s">
        <v>12977</v>
      </c>
      <c r="E1430" s="25"/>
      <c r="F1430" s="21"/>
      <c r="G1430" s="21"/>
      <c r="H1430" s="2" t="s">
        <v>10789</v>
      </c>
      <c r="I1430" s="2" t="s">
        <v>10787</v>
      </c>
      <c r="J1430" s="2" t="s">
        <v>12974</v>
      </c>
      <c r="K1430" s="2" t="s">
        <v>12976</v>
      </c>
      <c r="L1430" s="2" t="s">
        <v>12978</v>
      </c>
      <c r="M1430" s="2"/>
      <c r="N1430" s="2" t="s">
        <v>12979</v>
      </c>
      <c r="O1430" s="2" t="s">
        <v>73</v>
      </c>
      <c r="P1430" s="2" t="s">
        <v>12980</v>
      </c>
      <c r="Q1430" s="2"/>
      <c r="R1430" s="2"/>
      <c r="S1430" s="2"/>
      <c r="T1430" s="2"/>
      <c r="U1430" s="2"/>
      <c r="V1430" s="2"/>
      <c r="W1430" s="2"/>
      <c r="X1430" s="2" t="s">
        <v>12981</v>
      </c>
      <c r="Y1430" s="2" t="s">
        <v>44</v>
      </c>
      <c r="Z1430" s="2"/>
      <c r="AA1430" s="2" t="s">
        <v>3527</v>
      </c>
      <c r="AB1430" s="2" t="s">
        <v>46</v>
      </c>
      <c r="AC1430" s="2" t="s">
        <v>3527</v>
      </c>
      <c r="AE1430" s="2" t="s">
        <v>10801</v>
      </c>
      <c r="AF1430" s="2" t="s">
        <v>7864</v>
      </c>
      <c r="AG1430" s="2">
        <v>100</v>
      </c>
      <c r="AH1430" s="2">
        <v>5</v>
      </c>
      <c r="AJ1430" s="2" t="s">
        <v>12982</v>
      </c>
      <c r="AK1430" s="2"/>
      <c r="AL1430" s="2"/>
      <c r="AM1430" s="2" t="s">
        <v>10791</v>
      </c>
    </row>
    <row r="1431" spans="1:39" x14ac:dyDescent="0.45">
      <c r="A1431" s="2" t="s">
        <v>12983</v>
      </c>
      <c r="B1431" s="2"/>
      <c r="C1431" s="2" t="s">
        <v>12985</v>
      </c>
      <c r="D1431" s="2" t="s">
        <v>12987</v>
      </c>
      <c r="E1431" s="25"/>
      <c r="F1431" s="21"/>
      <c r="G1431" s="21"/>
      <c r="H1431" s="2" t="s">
        <v>10789</v>
      </c>
      <c r="I1431" s="2" t="s">
        <v>10787</v>
      </c>
      <c r="J1431" s="2" t="s">
        <v>12984</v>
      </c>
      <c r="K1431" s="2" t="s">
        <v>12986</v>
      </c>
      <c r="L1431" s="2" t="s">
        <v>12988</v>
      </c>
      <c r="M1431" s="2" t="s">
        <v>12988</v>
      </c>
      <c r="N1431" s="2" t="s">
        <v>12989</v>
      </c>
      <c r="O1431" s="2" t="s">
        <v>313</v>
      </c>
      <c r="P1431" s="2" t="s">
        <v>12990</v>
      </c>
      <c r="Q1431" s="2"/>
      <c r="R1431" s="2"/>
      <c r="S1431" s="2"/>
      <c r="T1431" s="2"/>
      <c r="U1431" s="2"/>
      <c r="V1431" s="2"/>
      <c r="W1431" s="2"/>
      <c r="X1431" s="2" t="s">
        <v>1049</v>
      </c>
      <c r="Y1431" s="2" t="s">
        <v>44</v>
      </c>
      <c r="Z1431" s="2"/>
      <c r="AA1431" s="2" t="s">
        <v>3527</v>
      </c>
      <c r="AB1431" s="2" t="s">
        <v>46</v>
      </c>
      <c r="AC1431" s="2" t="s">
        <v>3527</v>
      </c>
      <c r="AE1431" s="2" t="s">
        <v>10801</v>
      </c>
      <c r="AF1431" s="2" t="s">
        <v>7864</v>
      </c>
      <c r="AG1431" s="2">
        <v>100</v>
      </c>
      <c r="AH1431" s="2">
        <v>5</v>
      </c>
      <c r="AJ1431" s="2" t="s">
        <v>12991</v>
      </c>
      <c r="AK1431" s="2"/>
      <c r="AL1431" s="2"/>
      <c r="AM1431" s="2" t="s">
        <v>10791</v>
      </c>
    </row>
    <row r="1432" spans="1:39" x14ac:dyDescent="0.45">
      <c r="A1432" s="2" t="s">
        <v>12992</v>
      </c>
      <c r="B1432" s="2"/>
      <c r="C1432" s="2" t="s">
        <v>12994</v>
      </c>
      <c r="D1432" s="2" t="s">
        <v>12996</v>
      </c>
      <c r="E1432" s="25"/>
      <c r="F1432" s="21"/>
      <c r="G1432" s="21"/>
      <c r="H1432" s="2" t="s">
        <v>10789</v>
      </c>
      <c r="I1432" s="2" t="s">
        <v>10787</v>
      </c>
      <c r="J1432" s="2" t="s">
        <v>12993</v>
      </c>
      <c r="K1432" s="2" t="s">
        <v>12995</v>
      </c>
      <c r="L1432" s="2" t="s">
        <v>12997</v>
      </c>
      <c r="M1432" s="2"/>
      <c r="N1432" s="2" t="s">
        <v>12930</v>
      </c>
      <c r="O1432" s="2" t="s">
        <v>73</v>
      </c>
      <c r="P1432" s="2" t="s">
        <v>12998</v>
      </c>
      <c r="Q1432" s="2" t="s">
        <v>12995</v>
      </c>
      <c r="R1432" s="2"/>
      <c r="S1432" s="2"/>
      <c r="T1432" s="2"/>
      <c r="U1432" s="2" t="s">
        <v>12930</v>
      </c>
      <c r="V1432" s="2" t="s">
        <v>73</v>
      </c>
      <c r="W1432" s="2" t="s">
        <v>12998</v>
      </c>
      <c r="X1432" s="2" t="s">
        <v>12999</v>
      </c>
      <c r="Y1432" s="2" t="s">
        <v>44</v>
      </c>
      <c r="Z1432" s="2"/>
      <c r="AA1432" s="2" t="s">
        <v>3527</v>
      </c>
      <c r="AB1432" s="2" t="s">
        <v>46</v>
      </c>
      <c r="AC1432" s="2" t="s">
        <v>3527</v>
      </c>
      <c r="AE1432" s="2" t="s">
        <v>10801</v>
      </c>
      <c r="AF1432" s="2" t="s">
        <v>7864</v>
      </c>
      <c r="AG1432" s="2">
        <v>100</v>
      </c>
      <c r="AH1432" s="2">
        <v>5</v>
      </c>
      <c r="AJ1432" s="2" t="s">
        <v>13000</v>
      </c>
      <c r="AK1432" s="2"/>
      <c r="AL1432" s="2"/>
      <c r="AM1432" s="2" t="s">
        <v>10791</v>
      </c>
    </row>
    <row r="1433" spans="1:39" x14ac:dyDescent="0.45">
      <c r="A1433" s="2" t="s">
        <v>13001</v>
      </c>
      <c r="B1433" s="2"/>
      <c r="C1433" s="2" t="s">
        <v>13003</v>
      </c>
      <c r="D1433" s="2" t="s">
        <v>13005</v>
      </c>
      <c r="E1433" s="25"/>
      <c r="F1433" s="21"/>
      <c r="G1433" s="21"/>
      <c r="H1433" s="2" t="s">
        <v>10789</v>
      </c>
      <c r="I1433" s="2" t="s">
        <v>10787</v>
      </c>
      <c r="J1433" s="2" t="s">
        <v>13002</v>
      </c>
      <c r="K1433" s="2" t="s">
        <v>13004</v>
      </c>
      <c r="L1433" s="2" t="s">
        <v>13006</v>
      </c>
      <c r="M1433" s="2"/>
      <c r="N1433" s="2" t="s">
        <v>10513</v>
      </c>
      <c r="O1433" s="2" t="s">
        <v>313</v>
      </c>
      <c r="P1433" s="2" t="s">
        <v>13007</v>
      </c>
      <c r="Q1433" s="2"/>
      <c r="R1433" s="2"/>
      <c r="S1433" s="2"/>
      <c r="T1433" s="2"/>
      <c r="U1433" s="2"/>
      <c r="V1433" s="2"/>
      <c r="W1433" s="2"/>
      <c r="X1433" s="2" t="s">
        <v>7581</v>
      </c>
      <c r="Y1433" s="2" t="s">
        <v>44</v>
      </c>
      <c r="Z1433" s="2"/>
      <c r="AA1433" s="2" t="s">
        <v>3527</v>
      </c>
      <c r="AB1433" s="2" t="s">
        <v>46</v>
      </c>
      <c r="AC1433" s="2" t="s">
        <v>3527</v>
      </c>
      <c r="AE1433" s="2" t="s">
        <v>10801</v>
      </c>
      <c r="AF1433" s="2" t="s">
        <v>7864</v>
      </c>
      <c r="AG1433" s="2">
        <v>100</v>
      </c>
      <c r="AH1433" s="2">
        <v>5</v>
      </c>
      <c r="AJ1433" s="2" t="s">
        <v>13008</v>
      </c>
      <c r="AK1433" s="2"/>
      <c r="AL1433" s="2"/>
      <c r="AM1433" s="2" t="s">
        <v>10791</v>
      </c>
    </row>
    <row r="1434" spans="1:39" x14ac:dyDescent="0.45">
      <c r="A1434" s="2" t="s">
        <v>13009</v>
      </c>
      <c r="B1434" s="2"/>
      <c r="C1434" s="2" t="s">
        <v>13011</v>
      </c>
      <c r="D1434" s="2" t="s">
        <v>13013</v>
      </c>
      <c r="E1434" s="25"/>
      <c r="F1434" s="21"/>
      <c r="G1434" s="21"/>
      <c r="H1434" s="2" t="s">
        <v>10789</v>
      </c>
      <c r="I1434" s="2" t="s">
        <v>10787</v>
      </c>
      <c r="J1434" s="2" t="s">
        <v>13010</v>
      </c>
      <c r="K1434" s="2" t="s">
        <v>13012</v>
      </c>
      <c r="L1434" s="2" t="s">
        <v>13014</v>
      </c>
      <c r="M1434" s="2"/>
      <c r="N1434" s="2" t="s">
        <v>12989</v>
      </c>
      <c r="O1434" s="2" t="s">
        <v>313</v>
      </c>
      <c r="P1434" s="2" t="s">
        <v>12990</v>
      </c>
      <c r="Q1434" s="2"/>
      <c r="R1434" s="2"/>
      <c r="S1434" s="2"/>
      <c r="T1434" s="2"/>
      <c r="U1434" s="2"/>
      <c r="V1434" s="2"/>
      <c r="W1434" s="2"/>
      <c r="X1434" s="2" t="s">
        <v>5479</v>
      </c>
      <c r="Y1434" s="2" t="s">
        <v>44</v>
      </c>
      <c r="Z1434" s="2"/>
      <c r="AA1434" s="2" t="s">
        <v>3527</v>
      </c>
      <c r="AB1434" s="2" t="s">
        <v>46</v>
      </c>
      <c r="AC1434" s="2" t="s">
        <v>3527</v>
      </c>
      <c r="AE1434" s="2" t="s">
        <v>10801</v>
      </c>
      <c r="AF1434" s="2" t="s">
        <v>7864</v>
      </c>
      <c r="AG1434" s="2">
        <v>100</v>
      </c>
      <c r="AH1434" s="2">
        <v>5</v>
      </c>
      <c r="AJ1434" s="2" t="s">
        <v>13015</v>
      </c>
      <c r="AK1434" s="2"/>
      <c r="AL1434" s="2"/>
      <c r="AM1434" s="2" t="s">
        <v>10791</v>
      </c>
    </row>
    <row r="1435" spans="1:39" x14ac:dyDescent="0.45">
      <c r="A1435" s="2" t="s">
        <v>13016</v>
      </c>
      <c r="B1435" s="2"/>
      <c r="C1435" s="2" t="s">
        <v>13018</v>
      </c>
      <c r="D1435" s="2" t="s">
        <v>13020</v>
      </c>
      <c r="E1435" s="25"/>
      <c r="F1435" s="21"/>
      <c r="G1435" s="21"/>
      <c r="H1435" s="2" t="s">
        <v>10789</v>
      </c>
      <c r="I1435" s="2" t="s">
        <v>10787</v>
      </c>
      <c r="J1435" s="2" t="s">
        <v>13017</v>
      </c>
      <c r="K1435" s="2" t="s">
        <v>13019</v>
      </c>
      <c r="L1435" s="2" t="s">
        <v>13021</v>
      </c>
      <c r="M1435" s="2"/>
      <c r="N1435" s="2" t="s">
        <v>5984</v>
      </c>
      <c r="O1435" s="2" t="s">
        <v>313</v>
      </c>
      <c r="P1435" s="2" t="s">
        <v>13022</v>
      </c>
      <c r="Q1435" s="2"/>
      <c r="R1435" s="2"/>
      <c r="S1435" s="2"/>
      <c r="T1435" s="2"/>
      <c r="U1435" s="2"/>
      <c r="V1435" s="2"/>
      <c r="W1435" s="2"/>
      <c r="X1435" s="2" t="s">
        <v>10144</v>
      </c>
      <c r="Y1435" s="2" t="s">
        <v>44</v>
      </c>
      <c r="Z1435" s="2"/>
      <c r="AA1435" s="2" t="s">
        <v>3527</v>
      </c>
      <c r="AB1435" s="2" t="s">
        <v>46</v>
      </c>
      <c r="AC1435" s="2" t="s">
        <v>3527</v>
      </c>
      <c r="AE1435" s="2" t="s">
        <v>10801</v>
      </c>
      <c r="AF1435" s="2" t="s">
        <v>7864</v>
      </c>
      <c r="AG1435" s="2">
        <v>100</v>
      </c>
      <c r="AH1435" s="2">
        <v>5</v>
      </c>
      <c r="AJ1435" s="2" t="s">
        <v>13023</v>
      </c>
      <c r="AK1435" s="2"/>
      <c r="AL1435" s="2"/>
      <c r="AM1435" s="2" t="s">
        <v>10791</v>
      </c>
    </row>
    <row r="1436" spans="1:39" x14ac:dyDescent="0.45">
      <c r="A1436" s="2" t="s">
        <v>13024</v>
      </c>
      <c r="B1436" s="2"/>
      <c r="C1436" s="2" t="s">
        <v>13026</v>
      </c>
      <c r="D1436" s="2" t="s">
        <v>13028</v>
      </c>
      <c r="E1436" s="25"/>
      <c r="F1436" s="21"/>
      <c r="G1436" s="21"/>
      <c r="H1436" s="2" t="s">
        <v>10789</v>
      </c>
      <c r="I1436" s="2" t="s">
        <v>10787</v>
      </c>
      <c r="J1436" s="2" t="s">
        <v>13025</v>
      </c>
      <c r="K1436" s="2" t="s">
        <v>13027</v>
      </c>
      <c r="L1436" s="2" t="s">
        <v>13029</v>
      </c>
      <c r="M1436" s="2"/>
      <c r="N1436" s="2" t="s">
        <v>13030</v>
      </c>
      <c r="O1436" s="2" t="s">
        <v>313</v>
      </c>
      <c r="P1436" s="2" t="s">
        <v>13031</v>
      </c>
      <c r="Q1436" s="2" t="s">
        <v>13027</v>
      </c>
      <c r="R1436" s="2"/>
      <c r="S1436" s="2"/>
      <c r="T1436" s="2"/>
      <c r="U1436" s="2" t="s">
        <v>13030</v>
      </c>
      <c r="V1436" s="2" t="s">
        <v>313</v>
      </c>
      <c r="W1436" s="2" t="s">
        <v>13031</v>
      </c>
      <c r="X1436" s="2" t="s">
        <v>5488</v>
      </c>
      <c r="Y1436" s="2" t="s">
        <v>44</v>
      </c>
      <c r="Z1436" s="2"/>
      <c r="AA1436" s="2" t="s">
        <v>3527</v>
      </c>
      <c r="AB1436" s="2" t="s">
        <v>46</v>
      </c>
      <c r="AC1436" s="2" t="s">
        <v>3527</v>
      </c>
      <c r="AE1436" s="2" t="s">
        <v>10801</v>
      </c>
      <c r="AF1436" s="2" t="s">
        <v>7864</v>
      </c>
      <c r="AG1436" s="2">
        <v>100</v>
      </c>
      <c r="AH1436" s="2">
        <v>5</v>
      </c>
      <c r="AJ1436" s="2" t="s">
        <v>13032</v>
      </c>
      <c r="AK1436" s="2"/>
      <c r="AL1436" s="2"/>
      <c r="AM1436" s="2" t="s">
        <v>10791</v>
      </c>
    </row>
    <row r="1437" spans="1:39" x14ac:dyDescent="0.45">
      <c r="A1437" s="2" t="s">
        <v>13033</v>
      </c>
      <c r="B1437" s="2"/>
      <c r="C1437" s="2" t="s">
        <v>13035</v>
      </c>
      <c r="D1437" s="2" t="s">
        <v>13037</v>
      </c>
      <c r="E1437" s="25"/>
      <c r="F1437" s="21"/>
      <c r="G1437" s="21"/>
      <c r="H1437" s="2" t="s">
        <v>10789</v>
      </c>
      <c r="I1437" s="2" t="s">
        <v>10787</v>
      </c>
      <c r="J1437" s="2" t="s">
        <v>13034</v>
      </c>
      <c r="K1437" s="2" t="s">
        <v>13036</v>
      </c>
      <c r="L1437" s="2" t="s">
        <v>13038</v>
      </c>
      <c r="M1437" s="2"/>
      <c r="N1437" s="2" t="s">
        <v>13039</v>
      </c>
      <c r="O1437" s="2" t="s">
        <v>1281</v>
      </c>
      <c r="P1437" s="2" t="s">
        <v>13040</v>
      </c>
      <c r="Q1437" s="2"/>
      <c r="R1437" s="2"/>
      <c r="S1437" s="2"/>
      <c r="T1437" s="2"/>
      <c r="U1437" s="2"/>
      <c r="V1437" s="2"/>
      <c r="W1437" s="2"/>
      <c r="X1437" s="2" t="s">
        <v>12050</v>
      </c>
      <c r="Y1437" s="2" t="s">
        <v>44</v>
      </c>
      <c r="Z1437" s="2"/>
      <c r="AA1437" s="2" t="s">
        <v>3527</v>
      </c>
      <c r="AB1437" s="2" t="s">
        <v>46</v>
      </c>
      <c r="AC1437" s="2" t="s">
        <v>3527</v>
      </c>
      <c r="AE1437" s="2" t="s">
        <v>10801</v>
      </c>
      <c r="AF1437" s="2" t="s">
        <v>7864</v>
      </c>
      <c r="AG1437" s="2">
        <v>100</v>
      </c>
      <c r="AH1437" s="2">
        <v>5</v>
      </c>
      <c r="AJ1437" s="2" t="s">
        <v>13041</v>
      </c>
      <c r="AK1437" s="2"/>
      <c r="AL1437" s="2"/>
      <c r="AM1437" s="2" t="s">
        <v>10791</v>
      </c>
    </row>
    <row r="1438" spans="1:39" x14ac:dyDescent="0.45">
      <c r="A1438" s="2" t="s">
        <v>13042</v>
      </c>
      <c r="B1438" s="2"/>
      <c r="C1438" s="2" t="s">
        <v>13044</v>
      </c>
      <c r="D1438" s="2" t="s">
        <v>13046</v>
      </c>
      <c r="E1438" s="25"/>
      <c r="F1438" s="21"/>
      <c r="G1438" s="21"/>
      <c r="H1438" s="2" t="s">
        <v>10789</v>
      </c>
      <c r="I1438" s="2" t="s">
        <v>10787</v>
      </c>
      <c r="J1438" s="2" t="s">
        <v>13043</v>
      </c>
      <c r="K1438" s="2" t="s">
        <v>13045</v>
      </c>
      <c r="L1438" s="2" t="s">
        <v>13047</v>
      </c>
      <c r="M1438" s="2"/>
      <c r="N1438" s="2" t="s">
        <v>13048</v>
      </c>
      <c r="O1438" s="2" t="s">
        <v>217</v>
      </c>
      <c r="P1438" s="2" t="s">
        <v>13049</v>
      </c>
      <c r="Q1438" s="2"/>
      <c r="R1438" s="2"/>
      <c r="S1438" s="2"/>
      <c r="T1438" s="2"/>
      <c r="U1438" s="2"/>
      <c r="V1438" s="2"/>
      <c r="W1438" s="2"/>
      <c r="X1438" s="2" t="s">
        <v>3341</v>
      </c>
      <c r="Y1438" s="2" t="s">
        <v>44</v>
      </c>
      <c r="Z1438" s="2"/>
      <c r="AA1438" s="2" t="s">
        <v>3527</v>
      </c>
      <c r="AB1438" s="2" t="s">
        <v>46</v>
      </c>
      <c r="AC1438" s="2" t="s">
        <v>3527</v>
      </c>
      <c r="AE1438" s="2" t="s">
        <v>10801</v>
      </c>
      <c r="AF1438" s="2" t="s">
        <v>7864</v>
      </c>
      <c r="AG1438" s="2">
        <v>100</v>
      </c>
      <c r="AH1438" s="2">
        <v>5</v>
      </c>
      <c r="AJ1438" s="2" t="s">
        <v>13050</v>
      </c>
      <c r="AK1438" s="2"/>
      <c r="AL1438" s="2"/>
      <c r="AM1438" s="2" t="s">
        <v>10791</v>
      </c>
    </row>
    <row r="1439" spans="1:39" x14ac:dyDescent="0.45">
      <c r="A1439" s="2" t="s">
        <v>13051</v>
      </c>
      <c r="B1439" s="2"/>
      <c r="C1439" s="2" t="s">
        <v>13053</v>
      </c>
      <c r="D1439" s="2" t="s">
        <v>13055</v>
      </c>
      <c r="E1439" s="25"/>
      <c r="F1439" s="21"/>
      <c r="G1439" s="21"/>
      <c r="H1439" s="2" t="s">
        <v>10789</v>
      </c>
      <c r="I1439" s="2" t="s">
        <v>10787</v>
      </c>
      <c r="J1439" s="2" t="s">
        <v>13052</v>
      </c>
      <c r="K1439" s="2" t="s">
        <v>13054</v>
      </c>
      <c r="L1439" s="2" t="s">
        <v>13056</v>
      </c>
      <c r="M1439" s="2"/>
      <c r="N1439" s="2" t="s">
        <v>13039</v>
      </c>
      <c r="O1439" s="2" t="s">
        <v>1281</v>
      </c>
      <c r="P1439" s="2" t="s">
        <v>13057</v>
      </c>
      <c r="Q1439" s="2"/>
      <c r="R1439" s="2"/>
      <c r="S1439" s="2"/>
      <c r="T1439" s="2"/>
      <c r="U1439" s="2"/>
      <c r="V1439" s="2"/>
      <c r="W1439" s="2"/>
      <c r="X1439" s="2" t="s">
        <v>9528</v>
      </c>
      <c r="Y1439" s="2" t="s">
        <v>44</v>
      </c>
      <c r="Z1439" s="2"/>
      <c r="AA1439" s="2" t="s">
        <v>3527</v>
      </c>
      <c r="AB1439" s="2" t="s">
        <v>46</v>
      </c>
      <c r="AC1439" s="2" t="s">
        <v>3527</v>
      </c>
      <c r="AE1439" s="2" t="s">
        <v>10801</v>
      </c>
      <c r="AF1439" s="2" t="s">
        <v>7864</v>
      </c>
      <c r="AG1439" s="2">
        <v>100</v>
      </c>
      <c r="AH1439" s="2">
        <v>5</v>
      </c>
      <c r="AJ1439" s="2" t="s">
        <v>13058</v>
      </c>
      <c r="AK1439" s="2"/>
      <c r="AL1439" s="2"/>
      <c r="AM1439" s="2" t="s">
        <v>10791</v>
      </c>
    </row>
    <row r="1440" spans="1:39" x14ac:dyDescent="0.45">
      <c r="A1440" s="2" t="s">
        <v>13059</v>
      </c>
      <c r="B1440" s="2"/>
      <c r="C1440" s="2" t="s">
        <v>13061</v>
      </c>
      <c r="D1440" s="2" t="s">
        <v>13063</v>
      </c>
      <c r="E1440" s="25"/>
      <c r="F1440" s="21"/>
      <c r="G1440" s="21"/>
      <c r="H1440" s="2" t="s">
        <v>10789</v>
      </c>
      <c r="I1440" s="2" t="s">
        <v>10787</v>
      </c>
      <c r="J1440" s="2" t="s">
        <v>13060</v>
      </c>
      <c r="K1440" s="2" t="s">
        <v>13062</v>
      </c>
      <c r="L1440" s="2" t="s">
        <v>3562</v>
      </c>
      <c r="M1440" s="2" t="s">
        <v>3562</v>
      </c>
      <c r="N1440" s="2" t="s">
        <v>6029</v>
      </c>
      <c r="O1440" s="2" t="s">
        <v>278</v>
      </c>
      <c r="P1440" s="2" t="s">
        <v>6030</v>
      </c>
      <c r="Q1440" s="2"/>
      <c r="R1440" s="2"/>
      <c r="S1440" s="2"/>
      <c r="T1440" s="2"/>
      <c r="U1440" s="2"/>
      <c r="V1440" s="2"/>
      <c r="W1440" s="2"/>
      <c r="X1440" s="2" t="s">
        <v>9528</v>
      </c>
      <c r="Y1440" s="2" t="s">
        <v>44</v>
      </c>
      <c r="Z1440" s="2"/>
      <c r="AA1440" s="2" t="s">
        <v>3527</v>
      </c>
      <c r="AB1440" s="2" t="s">
        <v>46</v>
      </c>
      <c r="AC1440" s="2" t="s">
        <v>3527</v>
      </c>
      <c r="AE1440" s="2" t="s">
        <v>10801</v>
      </c>
      <c r="AF1440" s="2" t="s">
        <v>7864</v>
      </c>
      <c r="AG1440" s="2">
        <v>100</v>
      </c>
      <c r="AH1440" s="2">
        <v>5</v>
      </c>
      <c r="AJ1440" s="2" t="s">
        <v>13064</v>
      </c>
      <c r="AK1440" s="2"/>
      <c r="AL1440" s="2"/>
      <c r="AM1440" s="2" t="s">
        <v>10791</v>
      </c>
    </row>
    <row r="1441" spans="1:39" x14ac:dyDescent="0.45">
      <c r="A1441" s="2" t="s">
        <v>13065</v>
      </c>
      <c r="B1441" s="2"/>
      <c r="C1441" s="2" t="s">
        <v>13067</v>
      </c>
      <c r="D1441" s="2" t="s">
        <v>13069</v>
      </c>
      <c r="E1441" s="25"/>
      <c r="F1441" s="21"/>
      <c r="G1441" s="21"/>
      <c r="H1441" s="2" t="s">
        <v>10789</v>
      </c>
      <c r="I1441" s="2" t="s">
        <v>10787</v>
      </c>
      <c r="J1441" s="2" t="s">
        <v>13066</v>
      </c>
      <c r="K1441" s="2" t="s">
        <v>13068</v>
      </c>
      <c r="L1441" s="2" t="s">
        <v>13070</v>
      </c>
      <c r="M1441" s="2"/>
      <c r="N1441" s="2" t="s">
        <v>13071</v>
      </c>
      <c r="O1441" s="2" t="s">
        <v>73</v>
      </c>
      <c r="P1441" s="2" t="s">
        <v>13072</v>
      </c>
      <c r="Q1441" s="2" t="s">
        <v>13068</v>
      </c>
      <c r="R1441" s="2"/>
      <c r="S1441" s="2"/>
      <c r="T1441" s="2"/>
      <c r="U1441" s="2" t="s">
        <v>13071</v>
      </c>
      <c r="V1441" s="2" t="s">
        <v>73</v>
      </c>
      <c r="W1441" s="2" t="s">
        <v>13072</v>
      </c>
      <c r="X1441" s="2" t="s">
        <v>1082</v>
      </c>
      <c r="Y1441" s="2" t="s">
        <v>44</v>
      </c>
      <c r="Z1441" s="2"/>
      <c r="AA1441" s="2" t="s">
        <v>3527</v>
      </c>
      <c r="AB1441" s="2" t="s">
        <v>46</v>
      </c>
      <c r="AC1441" s="2" t="s">
        <v>3527</v>
      </c>
      <c r="AE1441" s="2" t="s">
        <v>10801</v>
      </c>
      <c r="AF1441" s="2" t="s">
        <v>7864</v>
      </c>
      <c r="AG1441" s="2">
        <v>100</v>
      </c>
      <c r="AH1441" s="2">
        <v>5</v>
      </c>
      <c r="AJ1441" s="2" t="s">
        <v>13073</v>
      </c>
      <c r="AK1441" s="2"/>
      <c r="AL1441" s="2"/>
      <c r="AM1441" s="2" t="s">
        <v>10791</v>
      </c>
    </row>
    <row r="1442" spans="1:39" x14ac:dyDescent="0.45">
      <c r="A1442" s="2" t="s">
        <v>13074</v>
      </c>
      <c r="B1442" s="2"/>
      <c r="C1442" s="2" t="s">
        <v>13076</v>
      </c>
      <c r="D1442" s="2" t="s">
        <v>13078</v>
      </c>
      <c r="E1442" s="25"/>
      <c r="F1442" s="21"/>
      <c r="G1442" s="21"/>
      <c r="H1442" s="2" t="s">
        <v>10789</v>
      </c>
      <c r="I1442" s="2" t="s">
        <v>10787</v>
      </c>
      <c r="J1442" s="2" t="s">
        <v>13075</v>
      </c>
      <c r="K1442" s="2" t="s">
        <v>13077</v>
      </c>
      <c r="L1442" s="2" t="s">
        <v>13079</v>
      </c>
      <c r="M1442" s="2"/>
      <c r="N1442" s="2" t="s">
        <v>12979</v>
      </c>
      <c r="O1442" s="2" t="s">
        <v>73</v>
      </c>
      <c r="P1442" s="2" t="s">
        <v>13080</v>
      </c>
      <c r="Q1442" s="2" t="s">
        <v>13077</v>
      </c>
      <c r="R1442" s="2"/>
      <c r="S1442" s="2"/>
      <c r="T1442" s="2"/>
      <c r="U1442" s="2" t="s">
        <v>12979</v>
      </c>
      <c r="V1442" s="2" t="s">
        <v>73</v>
      </c>
      <c r="W1442" s="2" t="s">
        <v>13080</v>
      </c>
      <c r="X1442" s="2" t="s">
        <v>13081</v>
      </c>
      <c r="Y1442" s="2" t="s">
        <v>44</v>
      </c>
      <c r="Z1442" s="2"/>
      <c r="AA1442" s="2" t="s">
        <v>3527</v>
      </c>
      <c r="AB1442" s="2" t="s">
        <v>46</v>
      </c>
      <c r="AC1442" s="2" t="s">
        <v>3527</v>
      </c>
      <c r="AE1442" s="2" t="s">
        <v>10801</v>
      </c>
      <c r="AF1442" s="2" t="s">
        <v>7864</v>
      </c>
      <c r="AG1442" s="2">
        <v>100</v>
      </c>
      <c r="AH1442" s="2">
        <v>5</v>
      </c>
      <c r="AJ1442" s="2" t="s">
        <v>13082</v>
      </c>
      <c r="AK1442" s="2"/>
      <c r="AL1442" s="2"/>
      <c r="AM1442" s="2" t="s">
        <v>10791</v>
      </c>
    </row>
    <row r="1443" spans="1:39" x14ac:dyDescent="0.45">
      <c r="A1443" s="2" t="s">
        <v>13083</v>
      </c>
      <c r="B1443" s="2"/>
      <c r="C1443" s="2" t="s">
        <v>13085</v>
      </c>
      <c r="D1443" s="2" t="s">
        <v>13087</v>
      </c>
      <c r="E1443" s="25"/>
      <c r="F1443" s="21"/>
      <c r="G1443" s="21"/>
      <c r="H1443" s="2" t="s">
        <v>10789</v>
      </c>
      <c r="I1443" s="2" t="s">
        <v>10787</v>
      </c>
      <c r="J1443" s="2" t="s">
        <v>13084</v>
      </c>
      <c r="K1443" s="2" t="s">
        <v>13086</v>
      </c>
      <c r="L1443" s="2" t="s">
        <v>3562</v>
      </c>
      <c r="M1443" s="2" t="s">
        <v>3562</v>
      </c>
      <c r="N1443" s="2" t="s">
        <v>5891</v>
      </c>
      <c r="O1443" s="2" t="s">
        <v>40</v>
      </c>
      <c r="P1443" s="2" t="s">
        <v>13088</v>
      </c>
      <c r="Q1443" s="2" t="s">
        <v>13086</v>
      </c>
      <c r="R1443" s="2"/>
      <c r="S1443" s="2"/>
      <c r="T1443" s="2"/>
      <c r="U1443" s="2" t="s">
        <v>5891</v>
      </c>
      <c r="V1443" s="2" t="s">
        <v>40</v>
      </c>
      <c r="W1443" s="2" t="s">
        <v>13088</v>
      </c>
      <c r="X1443" s="2" t="s">
        <v>13089</v>
      </c>
      <c r="Y1443" s="2" t="s">
        <v>44</v>
      </c>
      <c r="Z1443" s="2"/>
      <c r="AA1443" s="2" t="s">
        <v>3527</v>
      </c>
      <c r="AB1443" s="2" t="s">
        <v>46</v>
      </c>
      <c r="AC1443" s="2" t="s">
        <v>3527</v>
      </c>
      <c r="AE1443" s="2" t="s">
        <v>10801</v>
      </c>
      <c r="AF1443" s="2" t="s">
        <v>7864</v>
      </c>
      <c r="AG1443" s="2">
        <v>100</v>
      </c>
      <c r="AH1443" s="2">
        <v>5</v>
      </c>
      <c r="AJ1443" s="2" t="s">
        <v>13090</v>
      </c>
      <c r="AK1443" s="2"/>
      <c r="AL1443" s="2"/>
      <c r="AM1443" s="2" t="s">
        <v>10791</v>
      </c>
    </row>
    <row r="1444" spans="1:39" x14ac:dyDescent="0.45">
      <c r="A1444" s="2" t="s">
        <v>13091</v>
      </c>
      <c r="B1444" s="2"/>
      <c r="C1444" s="2" t="s">
        <v>13093</v>
      </c>
      <c r="D1444" s="2" t="s">
        <v>13095</v>
      </c>
      <c r="E1444" s="25"/>
      <c r="F1444" s="21"/>
      <c r="G1444" s="21"/>
      <c r="H1444" s="2" t="s">
        <v>10789</v>
      </c>
      <c r="I1444" s="2" t="s">
        <v>10787</v>
      </c>
      <c r="J1444" s="2" t="s">
        <v>13092</v>
      </c>
      <c r="K1444" s="2" t="s">
        <v>13094</v>
      </c>
      <c r="L1444" s="2" t="s">
        <v>13096</v>
      </c>
      <c r="M1444" s="2" t="s">
        <v>13096</v>
      </c>
      <c r="N1444" s="2" t="s">
        <v>13097</v>
      </c>
      <c r="O1444" s="2" t="s">
        <v>221</v>
      </c>
      <c r="P1444" s="2" t="s">
        <v>13098</v>
      </c>
      <c r="Q1444" s="2" t="s">
        <v>13094</v>
      </c>
      <c r="R1444" s="2"/>
      <c r="S1444" s="2"/>
      <c r="T1444" s="2"/>
      <c r="U1444" s="2" t="s">
        <v>13097</v>
      </c>
      <c r="V1444" s="2" t="s">
        <v>221</v>
      </c>
      <c r="W1444" s="2" t="s">
        <v>13098</v>
      </c>
      <c r="X1444" s="2" t="s">
        <v>11131</v>
      </c>
      <c r="Y1444" s="2" t="s">
        <v>44</v>
      </c>
      <c r="Z1444" s="2"/>
      <c r="AA1444" s="2" t="s">
        <v>3527</v>
      </c>
      <c r="AB1444" s="2" t="s">
        <v>46</v>
      </c>
      <c r="AC1444" s="2" t="s">
        <v>3527</v>
      </c>
      <c r="AE1444" s="2" t="s">
        <v>10801</v>
      </c>
      <c r="AF1444" s="2" t="s">
        <v>7864</v>
      </c>
      <c r="AG1444" s="2">
        <v>100</v>
      </c>
      <c r="AH1444" s="2">
        <v>5</v>
      </c>
      <c r="AJ1444" s="2" t="s">
        <v>13099</v>
      </c>
      <c r="AK1444" s="2"/>
      <c r="AL1444" s="2"/>
      <c r="AM1444" s="2" t="s">
        <v>10791</v>
      </c>
    </row>
    <row r="1445" spans="1:39" x14ac:dyDescent="0.45">
      <c r="A1445" s="2" t="s">
        <v>13100</v>
      </c>
      <c r="B1445" s="2"/>
      <c r="C1445" s="2" t="s">
        <v>13102</v>
      </c>
      <c r="D1445" s="2" t="s">
        <v>13104</v>
      </c>
      <c r="E1445" s="25"/>
      <c r="F1445" s="21"/>
      <c r="G1445" s="21"/>
      <c r="H1445" s="2" t="s">
        <v>10789</v>
      </c>
      <c r="I1445" s="2" t="s">
        <v>10787</v>
      </c>
      <c r="J1445" s="2" t="s">
        <v>13101</v>
      </c>
      <c r="K1445" s="2" t="s">
        <v>13103</v>
      </c>
      <c r="L1445" s="2" t="s">
        <v>3562</v>
      </c>
      <c r="M1445" s="2" t="s">
        <v>3562</v>
      </c>
      <c r="N1445" s="2" t="s">
        <v>6029</v>
      </c>
      <c r="O1445" s="2" t="s">
        <v>278</v>
      </c>
      <c r="P1445" s="2" t="s">
        <v>8422</v>
      </c>
      <c r="Q1445" s="2" t="s">
        <v>13103</v>
      </c>
      <c r="R1445" s="2"/>
      <c r="S1445" s="2"/>
      <c r="T1445" s="2"/>
      <c r="U1445" s="2" t="s">
        <v>6029</v>
      </c>
      <c r="V1445" s="2" t="s">
        <v>278</v>
      </c>
      <c r="W1445" s="2" t="s">
        <v>8422</v>
      </c>
      <c r="X1445" s="2" t="s">
        <v>13105</v>
      </c>
      <c r="Y1445" s="2" t="s">
        <v>44</v>
      </c>
      <c r="Z1445" s="2"/>
      <c r="AA1445" s="2" t="s">
        <v>3527</v>
      </c>
      <c r="AB1445" s="2" t="s">
        <v>46</v>
      </c>
      <c r="AC1445" s="2" t="s">
        <v>3527</v>
      </c>
      <c r="AE1445" s="2" t="s">
        <v>10801</v>
      </c>
      <c r="AF1445" s="2" t="s">
        <v>7864</v>
      </c>
      <c r="AG1445" s="2">
        <v>100</v>
      </c>
      <c r="AH1445" s="2">
        <v>5</v>
      </c>
      <c r="AJ1445" s="2" t="s">
        <v>13106</v>
      </c>
      <c r="AK1445" s="2"/>
      <c r="AL1445" s="2"/>
      <c r="AM1445" s="2" t="s">
        <v>10791</v>
      </c>
    </row>
    <row r="1446" spans="1:39" x14ac:dyDescent="0.45">
      <c r="A1446" s="2" t="s">
        <v>13107</v>
      </c>
      <c r="B1446" s="2"/>
      <c r="C1446" s="2" t="s">
        <v>13109</v>
      </c>
      <c r="D1446" s="2" t="s">
        <v>13111</v>
      </c>
      <c r="E1446" s="25"/>
      <c r="F1446" s="21"/>
      <c r="G1446" s="21"/>
      <c r="H1446" s="2" t="s">
        <v>10789</v>
      </c>
      <c r="I1446" s="2" t="s">
        <v>12417</v>
      </c>
      <c r="J1446" s="2" t="s">
        <v>13108</v>
      </c>
      <c r="K1446" s="2" t="s">
        <v>13110</v>
      </c>
      <c r="L1446" s="2" t="s">
        <v>3562</v>
      </c>
      <c r="M1446" s="2" t="s">
        <v>3562</v>
      </c>
      <c r="N1446" s="2" t="s">
        <v>1269</v>
      </c>
      <c r="O1446" s="2" t="s">
        <v>1176</v>
      </c>
      <c r="P1446" s="2" t="s">
        <v>1270</v>
      </c>
      <c r="Q1446" s="2"/>
      <c r="R1446" s="2"/>
      <c r="S1446" s="2"/>
      <c r="T1446" s="2"/>
      <c r="U1446" s="2"/>
      <c r="V1446" s="2"/>
      <c r="W1446" s="2"/>
      <c r="X1446" s="2" t="s">
        <v>13112</v>
      </c>
      <c r="Y1446" s="2" t="s">
        <v>44</v>
      </c>
      <c r="Z1446" s="2"/>
      <c r="AA1446" s="2" t="s">
        <v>3527</v>
      </c>
      <c r="AB1446" s="2" t="s">
        <v>46</v>
      </c>
      <c r="AC1446" s="2" t="s">
        <v>3527</v>
      </c>
      <c r="AE1446" s="2" t="s">
        <v>10801</v>
      </c>
      <c r="AF1446" s="2" t="s">
        <v>7864</v>
      </c>
      <c r="AG1446" s="2">
        <v>100</v>
      </c>
      <c r="AH1446" s="2">
        <v>5</v>
      </c>
      <c r="AJ1446" s="2" t="s">
        <v>13113</v>
      </c>
      <c r="AK1446" s="2"/>
      <c r="AL1446" s="2"/>
      <c r="AM1446" s="2" t="s">
        <v>10791</v>
      </c>
    </row>
    <row r="1447" spans="1:39" x14ac:dyDescent="0.45">
      <c r="A1447" s="2" t="s">
        <v>13114</v>
      </c>
      <c r="B1447" s="2"/>
      <c r="C1447" s="2" t="s">
        <v>13116</v>
      </c>
      <c r="D1447" s="2" t="s">
        <v>13118</v>
      </c>
      <c r="E1447" s="25"/>
      <c r="F1447" s="21"/>
      <c r="G1447" s="21"/>
      <c r="H1447" s="2" t="s">
        <v>10789</v>
      </c>
      <c r="I1447" s="2" t="s">
        <v>10787</v>
      </c>
      <c r="J1447" s="2" t="s">
        <v>13115</v>
      </c>
      <c r="K1447" s="2" t="s">
        <v>13117</v>
      </c>
      <c r="L1447" s="2" t="s">
        <v>13119</v>
      </c>
      <c r="M1447" s="2" t="s">
        <v>13119</v>
      </c>
      <c r="N1447" s="2" t="s">
        <v>6029</v>
      </c>
      <c r="O1447" s="2" t="s">
        <v>278</v>
      </c>
      <c r="P1447" s="2" t="s">
        <v>8422</v>
      </c>
      <c r="Q1447" s="2"/>
      <c r="R1447" s="2"/>
      <c r="S1447" s="2"/>
      <c r="T1447" s="2"/>
      <c r="U1447" s="2"/>
      <c r="V1447" s="2"/>
      <c r="W1447" s="2"/>
      <c r="X1447" s="2" t="s">
        <v>5594</v>
      </c>
      <c r="Y1447" s="2" t="s">
        <v>44</v>
      </c>
      <c r="Z1447" s="2"/>
      <c r="AA1447" s="2" t="s">
        <v>3527</v>
      </c>
      <c r="AB1447" s="2" t="s">
        <v>46</v>
      </c>
      <c r="AC1447" s="2" t="s">
        <v>3527</v>
      </c>
      <c r="AE1447" s="2" t="s">
        <v>10801</v>
      </c>
      <c r="AF1447" s="2" t="s">
        <v>7864</v>
      </c>
      <c r="AG1447" s="2">
        <v>100</v>
      </c>
      <c r="AH1447" s="2">
        <v>5</v>
      </c>
      <c r="AJ1447" s="2" t="s">
        <v>13120</v>
      </c>
      <c r="AK1447" s="2"/>
      <c r="AL1447" s="2"/>
      <c r="AM1447" s="2" t="s">
        <v>10791</v>
      </c>
    </row>
    <row r="1448" spans="1:39" x14ac:dyDescent="0.45">
      <c r="A1448" s="2" t="s">
        <v>13121</v>
      </c>
      <c r="B1448" s="2"/>
      <c r="C1448" s="2" t="s">
        <v>13123</v>
      </c>
      <c r="D1448" s="2" t="s">
        <v>13125</v>
      </c>
      <c r="E1448" s="25"/>
      <c r="F1448" s="21"/>
      <c r="G1448" s="21"/>
      <c r="H1448" s="2" t="s">
        <v>10789</v>
      </c>
      <c r="I1448" s="2" t="s">
        <v>10787</v>
      </c>
      <c r="J1448" s="2" t="s">
        <v>13122</v>
      </c>
      <c r="K1448" s="2" t="s">
        <v>13124</v>
      </c>
      <c r="L1448" s="2" t="s">
        <v>3562</v>
      </c>
      <c r="M1448" s="2" t="s">
        <v>3562</v>
      </c>
      <c r="N1448" s="2" t="s">
        <v>13126</v>
      </c>
      <c r="O1448" s="2" t="s">
        <v>1176</v>
      </c>
      <c r="P1448" s="2" t="s">
        <v>13127</v>
      </c>
      <c r="Q1448" s="2" t="s">
        <v>13124</v>
      </c>
      <c r="R1448" s="2"/>
      <c r="S1448" s="2"/>
      <c r="T1448" s="2"/>
      <c r="U1448" s="2" t="s">
        <v>13126</v>
      </c>
      <c r="V1448" s="2" t="s">
        <v>1176</v>
      </c>
      <c r="W1448" s="2" t="s">
        <v>13127</v>
      </c>
      <c r="X1448" s="2" t="s">
        <v>7730</v>
      </c>
      <c r="Y1448" s="2" t="s">
        <v>44</v>
      </c>
      <c r="Z1448" s="2"/>
      <c r="AA1448" s="2" t="s">
        <v>3527</v>
      </c>
      <c r="AB1448" s="2" t="s">
        <v>46</v>
      </c>
      <c r="AC1448" s="2" t="s">
        <v>3527</v>
      </c>
      <c r="AE1448" s="2" t="s">
        <v>10801</v>
      </c>
      <c r="AF1448" s="2" t="s">
        <v>7864</v>
      </c>
      <c r="AG1448" s="2">
        <v>100</v>
      </c>
      <c r="AH1448" s="2">
        <v>5</v>
      </c>
      <c r="AJ1448" s="2" t="s">
        <v>13128</v>
      </c>
      <c r="AK1448" s="2"/>
      <c r="AL1448" s="2"/>
      <c r="AM1448" s="2" t="s">
        <v>10791</v>
      </c>
    </row>
    <row r="1449" spans="1:39" x14ac:dyDescent="0.45">
      <c r="A1449" s="2" t="s">
        <v>13129</v>
      </c>
      <c r="B1449" s="2"/>
      <c r="C1449" s="2" t="s">
        <v>13131</v>
      </c>
      <c r="D1449" s="2" t="s">
        <v>13133</v>
      </c>
      <c r="E1449" s="25"/>
      <c r="F1449" s="21"/>
      <c r="G1449" s="21"/>
      <c r="H1449" s="2" t="s">
        <v>10789</v>
      </c>
      <c r="I1449" s="2" t="s">
        <v>10787</v>
      </c>
      <c r="J1449" s="2" t="s">
        <v>13130</v>
      </c>
      <c r="K1449" s="2" t="s">
        <v>13132</v>
      </c>
      <c r="L1449" s="2" t="s">
        <v>13134</v>
      </c>
      <c r="M1449" s="2" t="s">
        <v>13134</v>
      </c>
      <c r="N1449" s="2" t="s">
        <v>8392</v>
      </c>
      <c r="O1449" s="2" t="s">
        <v>313</v>
      </c>
      <c r="P1449" s="2" t="s">
        <v>8393</v>
      </c>
      <c r="Q1449" s="2" t="s">
        <v>13132</v>
      </c>
      <c r="R1449" s="2"/>
      <c r="S1449" s="2"/>
      <c r="T1449" s="2"/>
      <c r="U1449" s="2" t="s">
        <v>8392</v>
      </c>
      <c r="V1449" s="2" t="s">
        <v>313</v>
      </c>
      <c r="W1449" s="2" t="s">
        <v>8393</v>
      </c>
      <c r="X1449" s="2" t="s">
        <v>6685</v>
      </c>
      <c r="Y1449" s="2" t="s">
        <v>44</v>
      </c>
      <c r="Z1449" s="2"/>
      <c r="AA1449" s="2" t="s">
        <v>3527</v>
      </c>
      <c r="AB1449" s="2" t="s">
        <v>46</v>
      </c>
      <c r="AC1449" s="2" t="s">
        <v>3527</v>
      </c>
      <c r="AE1449" s="2" t="s">
        <v>10801</v>
      </c>
      <c r="AF1449" s="2" t="s">
        <v>7864</v>
      </c>
      <c r="AG1449" s="2">
        <v>100</v>
      </c>
      <c r="AH1449" s="2">
        <v>5</v>
      </c>
      <c r="AJ1449" s="2" t="s">
        <v>13135</v>
      </c>
      <c r="AK1449" s="2"/>
      <c r="AL1449" s="2"/>
      <c r="AM1449" s="2" t="s">
        <v>10791</v>
      </c>
    </row>
    <row r="1450" spans="1:39" x14ac:dyDescent="0.45">
      <c r="A1450" s="2" t="s">
        <v>13136</v>
      </c>
      <c r="B1450" s="2"/>
      <c r="C1450" s="2" t="s">
        <v>13138</v>
      </c>
      <c r="D1450" s="2" t="s">
        <v>13140</v>
      </c>
      <c r="E1450" s="25"/>
      <c r="F1450" s="21"/>
      <c r="G1450" s="21"/>
      <c r="H1450" s="2" t="s">
        <v>10789</v>
      </c>
      <c r="I1450" s="2" t="s">
        <v>10787</v>
      </c>
      <c r="J1450" s="2" t="s">
        <v>13137</v>
      </c>
      <c r="K1450" s="2" t="s">
        <v>13139</v>
      </c>
      <c r="L1450" s="2" t="s">
        <v>13141</v>
      </c>
      <c r="M1450" s="2" t="s">
        <v>13141</v>
      </c>
      <c r="N1450" s="2" t="s">
        <v>12989</v>
      </c>
      <c r="O1450" s="2" t="s">
        <v>313</v>
      </c>
      <c r="P1450" s="2" t="s">
        <v>12990</v>
      </c>
      <c r="Q1450" s="2" t="s">
        <v>13139</v>
      </c>
      <c r="R1450" s="2"/>
      <c r="S1450" s="2"/>
      <c r="T1450" s="2"/>
      <c r="U1450" s="2" t="s">
        <v>12989</v>
      </c>
      <c r="V1450" s="2" t="s">
        <v>313</v>
      </c>
      <c r="W1450" s="2" t="s">
        <v>12990</v>
      </c>
      <c r="X1450" s="2" t="s">
        <v>6685</v>
      </c>
      <c r="Y1450" s="2" t="s">
        <v>44</v>
      </c>
      <c r="Z1450" s="2"/>
      <c r="AA1450" s="2" t="s">
        <v>3527</v>
      </c>
      <c r="AB1450" s="2" t="s">
        <v>46</v>
      </c>
      <c r="AC1450" s="2" t="s">
        <v>3527</v>
      </c>
      <c r="AE1450" s="2" t="s">
        <v>10801</v>
      </c>
      <c r="AF1450" s="2" t="s">
        <v>7864</v>
      </c>
      <c r="AG1450" s="2">
        <v>100</v>
      </c>
      <c r="AH1450" s="2">
        <v>5</v>
      </c>
      <c r="AJ1450" s="2" t="s">
        <v>13142</v>
      </c>
      <c r="AK1450" s="2"/>
      <c r="AL1450" s="2"/>
      <c r="AM1450" s="2" t="s">
        <v>10791</v>
      </c>
    </row>
    <row r="1451" spans="1:39" x14ac:dyDescent="0.45">
      <c r="A1451" s="2" t="s">
        <v>13143</v>
      </c>
      <c r="B1451" s="2"/>
      <c r="C1451" s="2" t="s">
        <v>13145</v>
      </c>
      <c r="D1451" s="2" t="s">
        <v>13147</v>
      </c>
      <c r="E1451" s="25"/>
      <c r="F1451" s="21"/>
      <c r="G1451" s="21"/>
      <c r="H1451" s="2" t="s">
        <v>10789</v>
      </c>
      <c r="I1451" s="2" t="s">
        <v>10787</v>
      </c>
      <c r="J1451" s="2" t="s">
        <v>13144</v>
      </c>
      <c r="K1451" s="2" t="s">
        <v>13146</v>
      </c>
      <c r="L1451" s="2" t="s">
        <v>13148</v>
      </c>
      <c r="M1451" s="2" t="s">
        <v>13148</v>
      </c>
      <c r="N1451" s="2" t="s">
        <v>11280</v>
      </c>
      <c r="O1451" s="2" t="s">
        <v>313</v>
      </c>
      <c r="P1451" s="2" t="s">
        <v>13149</v>
      </c>
      <c r="Q1451" s="2"/>
      <c r="R1451" s="2"/>
      <c r="S1451" s="2"/>
      <c r="T1451" s="2"/>
      <c r="U1451" s="2"/>
      <c r="V1451" s="2"/>
      <c r="W1451" s="2"/>
      <c r="X1451" s="2" t="s">
        <v>13150</v>
      </c>
      <c r="Y1451" s="2" t="s">
        <v>44</v>
      </c>
      <c r="Z1451" s="2"/>
      <c r="AA1451" s="2" t="s">
        <v>3527</v>
      </c>
      <c r="AB1451" s="2" t="s">
        <v>46</v>
      </c>
      <c r="AC1451" s="2" t="s">
        <v>3527</v>
      </c>
      <c r="AE1451" s="2" t="s">
        <v>10801</v>
      </c>
      <c r="AF1451" s="2" t="s">
        <v>7864</v>
      </c>
      <c r="AG1451" s="2">
        <v>100</v>
      </c>
      <c r="AH1451" s="2">
        <v>5</v>
      </c>
      <c r="AJ1451" s="2" t="s">
        <v>13151</v>
      </c>
      <c r="AK1451" s="2"/>
      <c r="AL1451" s="2"/>
      <c r="AM1451" s="2" t="s">
        <v>10791</v>
      </c>
    </row>
    <row r="1452" spans="1:39" x14ac:dyDescent="0.45">
      <c r="A1452" s="2" t="s">
        <v>13152</v>
      </c>
      <c r="B1452" s="2"/>
      <c r="C1452" s="2" t="s">
        <v>13154</v>
      </c>
      <c r="D1452" s="2" t="s">
        <v>13156</v>
      </c>
      <c r="E1452" s="25"/>
      <c r="F1452" s="21"/>
      <c r="G1452" s="21"/>
      <c r="H1452" s="2" t="s">
        <v>10789</v>
      </c>
      <c r="I1452" s="2" t="s">
        <v>10787</v>
      </c>
      <c r="J1452" s="2" t="s">
        <v>13153</v>
      </c>
      <c r="K1452" s="2" t="s">
        <v>13155</v>
      </c>
      <c r="L1452" s="2" t="s">
        <v>13157</v>
      </c>
      <c r="M1452" s="2" t="s">
        <v>13157</v>
      </c>
      <c r="N1452" s="2" t="s">
        <v>12556</v>
      </c>
      <c r="O1452" s="2" t="s">
        <v>278</v>
      </c>
      <c r="P1452" s="2" t="s">
        <v>13158</v>
      </c>
      <c r="Q1452" s="2" t="s">
        <v>13155</v>
      </c>
      <c r="R1452" s="2"/>
      <c r="S1452" s="2"/>
      <c r="T1452" s="2"/>
      <c r="U1452" s="2" t="s">
        <v>12556</v>
      </c>
      <c r="V1452" s="2" t="s">
        <v>278</v>
      </c>
      <c r="W1452" s="2" t="s">
        <v>13158</v>
      </c>
      <c r="X1452" s="2" t="s">
        <v>3889</v>
      </c>
      <c r="Y1452" s="2" t="s">
        <v>44</v>
      </c>
      <c r="Z1452" s="2"/>
      <c r="AA1452" s="2" t="s">
        <v>3527</v>
      </c>
      <c r="AB1452" s="2" t="s">
        <v>46</v>
      </c>
      <c r="AC1452" s="2" t="s">
        <v>3527</v>
      </c>
      <c r="AE1452" s="2" t="s">
        <v>10801</v>
      </c>
      <c r="AF1452" s="2" t="s">
        <v>7864</v>
      </c>
      <c r="AG1452" s="2">
        <v>100</v>
      </c>
      <c r="AH1452" s="2">
        <v>5</v>
      </c>
      <c r="AJ1452" s="2" t="s">
        <v>13159</v>
      </c>
      <c r="AK1452" s="2"/>
      <c r="AL1452" s="2"/>
      <c r="AM1452" s="2" t="s">
        <v>10791</v>
      </c>
    </row>
    <row r="1453" spans="1:39" x14ac:dyDescent="0.45">
      <c r="A1453" s="2" t="s">
        <v>13160</v>
      </c>
      <c r="B1453" s="2"/>
      <c r="C1453" s="2" t="s">
        <v>13162</v>
      </c>
      <c r="D1453" s="2" t="s">
        <v>13164</v>
      </c>
      <c r="E1453" s="25"/>
      <c r="F1453" s="21"/>
      <c r="G1453" s="21"/>
      <c r="H1453" s="2" t="s">
        <v>10789</v>
      </c>
      <c r="I1453" s="2" t="s">
        <v>10787</v>
      </c>
      <c r="J1453" s="2" t="s">
        <v>13161</v>
      </c>
      <c r="K1453" s="2" t="s">
        <v>13163</v>
      </c>
      <c r="L1453" s="2" t="s">
        <v>13165</v>
      </c>
      <c r="M1453" s="2" t="s">
        <v>13165</v>
      </c>
      <c r="N1453" s="2" t="s">
        <v>1208</v>
      </c>
      <c r="O1453" s="2" t="s">
        <v>1209</v>
      </c>
      <c r="P1453" s="2" t="s">
        <v>13166</v>
      </c>
      <c r="Q1453" s="2"/>
      <c r="R1453" s="2"/>
      <c r="S1453" s="2"/>
      <c r="T1453" s="2"/>
      <c r="U1453" s="2"/>
      <c r="V1453" s="2"/>
      <c r="W1453" s="2"/>
      <c r="X1453" s="2" t="s">
        <v>5678</v>
      </c>
      <c r="Y1453" s="2" t="s">
        <v>44</v>
      </c>
      <c r="Z1453" s="2"/>
      <c r="AA1453" s="2" t="s">
        <v>3527</v>
      </c>
      <c r="AB1453" s="2" t="s">
        <v>46</v>
      </c>
      <c r="AC1453" s="2" t="s">
        <v>3527</v>
      </c>
      <c r="AE1453" s="2" t="s">
        <v>10801</v>
      </c>
      <c r="AF1453" s="2" t="s">
        <v>7864</v>
      </c>
      <c r="AG1453" s="2">
        <v>100</v>
      </c>
      <c r="AH1453" s="2">
        <v>5</v>
      </c>
      <c r="AJ1453" s="2" t="s">
        <v>13167</v>
      </c>
      <c r="AK1453" s="2"/>
      <c r="AL1453" s="2"/>
      <c r="AM1453" s="2" t="s">
        <v>10791</v>
      </c>
    </row>
    <row r="1454" spans="1:39" x14ac:dyDescent="0.45">
      <c r="A1454" s="2" t="s">
        <v>13168</v>
      </c>
      <c r="B1454" s="2"/>
      <c r="C1454" s="2" t="s">
        <v>13170</v>
      </c>
      <c r="D1454" s="2" t="s">
        <v>13172</v>
      </c>
      <c r="E1454" s="25"/>
      <c r="F1454" s="21"/>
      <c r="G1454" s="21"/>
      <c r="H1454" s="2" t="s">
        <v>10789</v>
      </c>
      <c r="I1454" s="2" t="s">
        <v>10787</v>
      </c>
      <c r="J1454" s="2" t="s">
        <v>13169</v>
      </c>
      <c r="K1454" s="2" t="s">
        <v>13171</v>
      </c>
      <c r="L1454" s="2" t="s">
        <v>13173</v>
      </c>
      <c r="M1454" s="2" t="s">
        <v>13173</v>
      </c>
      <c r="N1454" s="2" t="s">
        <v>5984</v>
      </c>
      <c r="O1454" s="2" t="s">
        <v>313</v>
      </c>
      <c r="P1454" s="2" t="s">
        <v>13174</v>
      </c>
      <c r="Q1454" s="2" t="s">
        <v>13171</v>
      </c>
      <c r="R1454" s="2"/>
      <c r="S1454" s="2"/>
      <c r="T1454" s="2"/>
      <c r="U1454" s="2" t="s">
        <v>5984</v>
      </c>
      <c r="V1454" s="2" t="s">
        <v>313</v>
      </c>
      <c r="W1454" s="2" t="s">
        <v>13174</v>
      </c>
      <c r="X1454" s="2" t="s">
        <v>792</v>
      </c>
      <c r="Y1454" s="2" t="s">
        <v>44</v>
      </c>
      <c r="Z1454" s="2"/>
      <c r="AA1454" s="2" t="s">
        <v>3527</v>
      </c>
      <c r="AB1454" s="2" t="s">
        <v>46</v>
      </c>
      <c r="AC1454" s="2" t="s">
        <v>3527</v>
      </c>
      <c r="AE1454" s="2" t="s">
        <v>10801</v>
      </c>
      <c r="AF1454" s="2" t="s">
        <v>7864</v>
      </c>
      <c r="AG1454" s="2">
        <v>100</v>
      </c>
      <c r="AH1454" s="2">
        <v>5</v>
      </c>
      <c r="AJ1454" s="2" t="s">
        <v>13175</v>
      </c>
      <c r="AK1454" s="2"/>
      <c r="AL1454" s="2"/>
      <c r="AM1454" s="2" t="s">
        <v>10791</v>
      </c>
    </row>
    <row r="1455" spans="1:39" x14ac:dyDescent="0.45">
      <c r="A1455" s="2" t="s">
        <v>13176</v>
      </c>
      <c r="B1455" s="2"/>
      <c r="C1455" s="2" t="s">
        <v>13178</v>
      </c>
      <c r="D1455" s="2" t="s">
        <v>13180</v>
      </c>
      <c r="E1455" s="25"/>
      <c r="F1455" s="21"/>
      <c r="G1455" s="21"/>
      <c r="H1455" s="2" t="s">
        <v>10789</v>
      </c>
      <c r="I1455" s="2" t="s">
        <v>10787</v>
      </c>
      <c r="J1455" s="2" t="s">
        <v>13177</v>
      </c>
      <c r="K1455" s="2" t="s">
        <v>13179</v>
      </c>
      <c r="L1455" s="2" t="s">
        <v>709</v>
      </c>
      <c r="M1455" s="2" t="s">
        <v>709</v>
      </c>
      <c r="N1455" s="2" t="s">
        <v>9679</v>
      </c>
      <c r="O1455" s="2" t="s">
        <v>9680</v>
      </c>
      <c r="P1455" s="2" t="s">
        <v>13181</v>
      </c>
      <c r="Q1455" s="2"/>
      <c r="R1455" s="2"/>
      <c r="S1455" s="2"/>
      <c r="T1455" s="2"/>
      <c r="U1455" s="2"/>
      <c r="V1455" s="2"/>
      <c r="W1455" s="2"/>
      <c r="X1455" s="2" t="s">
        <v>792</v>
      </c>
      <c r="Y1455" s="2" t="s">
        <v>44</v>
      </c>
      <c r="Z1455" s="2"/>
      <c r="AA1455" s="2" t="s">
        <v>3527</v>
      </c>
      <c r="AB1455" s="2" t="s">
        <v>46</v>
      </c>
      <c r="AC1455" s="2" t="s">
        <v>3527</v>
      </c>
      <c r="AE1455" s="2" t="s">
        <v>10801</v>
      </c>
      <c r="AF1455" s="2" t="s">
        <v>7864</v>
      </c>
      <c r="AG1455" s="2">
        <v>100</v>
      </c>
      <c r="AH1455" s="2">
        <v>5</v>
      </c>
      <c r="AJ1455" s="2" t="s">
        <v>13182</v>
      </c>
      <c r="AK1455" s="2"/>
      <c r="AL1455" s="2"/>
      <c r="AM1455" s="2" t="s">
        <v>10791</v>
      </c>
    </row>
    <row r="1456" spans="1:39" x14ac:dyDescent="0.45">
      <c r="A1456" s="2" t="s">
        <v>13183</v>
      </c>
      <c r="B1456" s="2"/>
      <c r="C1456" s="2" t="s">
        <v>13185</v>
      </c>
      <c r="D1456" s="2" t="s">
        <v>13187</v>
      </c>
      <c r="E1456" s="25"/>
      <c r="F1456" s="21"/>
      <c r="G1456" s="21"/>
      <c r="H1456" s="2" t="s">
        <v>10789</v>
      </c>
      <c r="I1456" s="2" t="s">
        <v>10787</v>
      </c>
      <c r="J1456" s="2" t="s">
        <v>13184</v>
      </c>
      <c r="K1456" s="2" t="s">
        <v>13186</v>
      </c>
      <c r="L1456" s="2" t="s">
        <v>13188</v>
      </c>
      <c r="M1456" s="2" t="s">
        <v>13188</v>
      </c>
      <c r="N1456" s="2" t="s">
        <v>10513</v>
      </c>
      <c r="O1456" s="2" t="s">
        <v>313</v>
      </c>
      <c r="P1456" s="2" t="s">
        <v>13189</v>
      </c>
      <c r="Q1456" s="2" t="s">
        <v>13186</v>
      </c>
      <c r="R1456" s="2"/>
      <c r="S1456" s="2"/>
      <c r="T1456" s="2"/>
      <c r="U1456" s="2" t="s">
        <v>10513</v>
      </c>
      <c r="V1456" s="2" t="s">
        <v>313</v>
      </c>
      <c r="W1456" s="2" t="s">
        <v>13189</v>
      </c>
      <c r="X1456" s="2" t="s">
        <v>12277</v>
      </c>
      <c r="Y1456" s="2" t="s">
        <v>44</v>
      </c>
      <c r="Z1456" s="2"/>
      <c r="AA1456" s="2" t="s">
        <v>3527</v>
      </c>
      <c r="AB1456" s="2" t="s">
        <v>46</v>
      </c>
      <c r="AC1456" s="2" t="s">
        <v>3527</v>
      </c>
      <c r="AE1456" s="2" t="s">
        <v>10801</v>
      </c>
      <c r="AF1456" s="2" t="s">
        <v>7864</v>
      </c>
      <c r="AG1456" s="2">
        <v>100</v>
      </c>
      <c r="AH1456" s="2">
        <v>5</v>
      </c>
      <c r="AJ1456" s="2" t="s">
        <v>13190</v>
      </c>
      <c r="AK1456" s="2"/>
      <c r="AL1456" s="2"/>
      <c r="AM1456" s="2" t="s">
        <v>10791</v>
      </c>
    </row>
    <row r="1457" spans="1:39" x14ac:dyDescent="0.45">
      <c r="A1457" s="2" t="s">
        <v>13191</v>
      </c>
      <c r="B1457" s="2"/>
      <c r="C1457" s="2" t="s">
        <v>13193</v>
      </c>
      <c r="D1457" s="2" t="s">
        <v>13195</v>
      </c>
      <c r="E1457" s="25"/>
      <c r="F1457" s="21"/>
      <c r="G1457" s="21"/>
      <c r="H1457" s="2" t="s">
        <v>10789</v>
      </c>
      <c r="I1457" s="2" t="s">
        <v>10787</v>
      </c>
      <c r="J1457" s="2" t="s">
        <v>13192</v>
      </c>
      <c r="K1457" s="2" t="s">
        <v>13194</v>
      </c>
      <c r="L1457" s="2" t="s">
        <v>13196</v>
      </c>
      <c r="M1457" s="2" t="s">
        <v>13196</v>
      </c>
      <c r="N1457" s="2" t="s">
        <v>12751</v>
      </c>
      <c r="O1457" s="2" t="s">
        <v>73</v>
      </c>
      <c r="P1457" s="2" t="s">
        <v>13197</v>
      </c>
      <c r="Q1457" s="2"/>
      <c r="R1457" s="2"/>
      <c r="S1457" s="2"/>
      <c r="T1457" s="2"/>
      <c r="U1457" s="2"/>
      <c r="V1457" s="2"/>
      <c r="W1457" s="2"/>
      <c r="X1457" s="2" t="s">
        <v>10559</v>
      </c>
      <c r="Y1457" s="2" t="s">
        <v>44</v>
      </c>
      <c r="Z1457" s="2"/>
      <c r="AA1457" s="2" t="s">
        <v>3527</v>
      </c>
      <c r="AB1457" s="2" t="s">
        <v>46</v>
      </c>
      <c r="AC1457" s="2" t="s">
        <v>3527</v>
      </c>
      <c r="AE1457" s="2" t="s">
        <v>10801</v>
      </c>
      <c r="AF1457" s="2" t="s">
        <v>7864</v>
      </c>
      <c r="AG1457" s="2">
        <v>100</v>
      </c>
      <c r="AH1457" s="2">
        <v>5</v>
      </c>
      <c r="AJ1457" s="2" t="s">
        <v>13198</v>
      </c>
      <c r="AK1457" s="2"/>
      <c r="AL1457" s="2"/>
      <c r="AM1457" s="2" t="s">
        <v>10791</v>
      </c>
    </row>
    <row r="1458" spans="1:39" x14ac:dyDescent="0.45">
      <c r="A1458" s="2" t="s">
        <v>13199</v>
      </c>
      <c r="B1458" s="2"/>
      <c r="C1458" s="2" t="s">
        <v>13201</v>
      </c>
      <c r="D1458" s="2" t="s">
        <v>13203</v>
      </c>
      <c r="E1458" s="25"/>
      <c r="F1458" s="21"/>
      <c r="G1458" s="21"/>
      <c r="H1458" s="2" t="s">
        <v>10789</v>
      </c>
      <c r="I1458" s="2" t="s">
        <v>10787</v>
      </c>
      <c r="J1458" s="2" t="s">
        <v>13200</v>
      </c>
      <c r="K1458" s="2" t="s">
        <v>13202</v>
      </c>
      <c r="L1458" s="2" t="s">
        <v>13204</v>
      </c>
      <c r="M1458" s="2" t="s">
        <v>13204</v>
      </c>
      <c r="N1458" s="2" t="s">
        <v>13205</v>
      </c>
      <c r="O1458" s="2" t="s">
        <v>13206</v>
      </c>
      <c r="P1458" s="2" t="s">
        <v>13207</v>
      </c>
      <c r="Q1458" s="2"/>
      <c r="R1458" s="2"/>
      <c r="S1458" s="2"/>
      <c r="T1458" s="2"/>
      <c r="U1458" s="2"/>
      <c r="V1458" s="2"/>
      <c r="W1458" s="2"/>
      <c r="X1458" s="2" t="s">
        <v>6214</v>
      </c>
      <c r="Y1458" s="2" t="s">
        <v>44</v>
      </c>
      <c r="Z1458" s="2"/>
      <c r="AA1458" s="2" t="s">
        <v>3527</v>
      </c>
      <c r="AB1458" s="2" t="s">
        <v>46</v>
      </c>
      <c r="AC1458" s="2" t="s">
        <v>3527</v>
      </c>
      <c r="AE1458" s="2" t="s">
        <v>10801</v>
      </c>
      <c r="AF1458" s="2" t="s">
        <v>7864</v>
      </c>
      <c r="AG1458" s="2">
        <v>100</v>
      </c>
      <c r="AH1458" s="2">
        <v>5</v>
      </c>
      <c r="AJ1458" s="2" t="s">
        <v>13208</v>
      </c>
      <c r="AK1458" s="2"/>
      <c r="AL1458" s="2"/>
      <c r="AM1458" s="2" t="s">
        <v>10791</v>
      </c>
    </row>
    <row r="1459" spans="1:39" x14ac:dyDescent="0.45">
      <c r="A1459" s="2" t="s">
        <v>13209</v>
      </c>
      <c r="B1459" s="2"/>
      <c r="C1459" s="2" t="s">
        <v>13211</v>
      </c>
      <c r="D1459" s="2" t="s">
        <v>13213</v>
      </c>
      <c r="E1459" s="25"/>
      <c r="F1459" s="21"/>
      <c r="G1459" s="21"/>
      <c r="H1459" s="2" t="s">
        <v>10789</v>
      </c>
      <c r="I1459" s="2" t="s">
        <v>10787</v>
      </c>
      <c r="J1459" s="2" t="s">
        <v>13210</v>
      </c>
      <c r="K1459" s="2" t="s">
        <v>13212</v>
      </c>
      <c r="L1459" s="2" t="s">
        <v>13214</v>
      </c>
      <c r="M1459" s="2"/>
      <c r="N1459" s="2" t="s">
        <v>12989</v>
      </c>
      <c r="O1459" s="2" t="s">
        <v>313</v>
      </c>
      <c r="P1459" s="2" t="s">
        <v>12990</v>
      </c>
      <c r="Q1459" s="2" t="s">
        <v>13212</v>
      </c>
      <c r="R1459" s="2"/>
      <c r="S1459" s="2"/>
      <c r="T1459" s="2"/>
      <c r="U1459" s="2" t="s">
        <v>12989</v>
      </c>
      <c r="V1459" s="2" t="s">
        <v>313</v>
      </c>
      <c r="W1459" s="2" t="s">
        <v>12990</v>
      </c>
      <c r="X1459" s="2" t="s">
        <v>885</v>
      </c>
      <c r="Y1459" s="2" t="s">
        <v>44</v>
      </c>
      <c r="Z1459" s="2"/>
      <c r="AA1459" s="2" t="s">
        <v>3527</v>
      </c>
      <c r="AB1459" s="2" t="s">
        <v>46</v>
      </c>
      <c r="AC1459" s="2" t="s">
        <v>3527</v>
      </c>
      <c r="AE1459" s="2" t="s">
        <v>10801</v>
      </c>
      <c r="AF1459" s="2" t="s">
        <v>7864</v>
      </c>
      <c r="AG1459" s="2">
        <v>100</v>
      </c>
      <c r="AH1459" s="2">
        <v>5</v>
      </c>
      <c r="AJ1459" s="2" t="s">
        <v>13215</v>
      </c>
      <c r="AK1459" s="2"/>
      <c r="AL1459" s="2"/>
      <c r="AM1459" s="2" t="s">
        <v>10791</v>
      </c>
    </row>
    <row r="1460" spans="1:39" x14ac:dyDescent="0.45">
      <c r="A1460" s="2" t="s">
        <v>13216</v>
      </c>
      <c r="B1460" s="2"/>
      <c r="C1460" s="2" t="s">
        <v>13218</v>
      </c>
      <c r="D1460" s="2" t="s">
        <v>13220</v>
      </c>
      <c r="E1460" s="25"/>
      <c r="F1460" s="21"/>
      <c r="G1460" s="21"/>
      <c r="H1460" s="2" t="s">
        <v>10789</v>
      </c>
      <c r="I1460" s="2" t="s">
        <v>10787</v>
      </c>
      <c r="J1460" s="2" t="s">
        <v>13217</v>
      </c>
      <c r="K1460" s="2" t="s">
        <v>13219</v>
      </c>
      <c r="L1460" s="2" t="s">
        <v>13221</v>
      </c>
      <c r="M1460" s="2" t="s">
        <v>13221</v>
      </c>
      <c r="N1460" s="2" t="s">
        <v>10605</v>
      </c>
      <c r="O1460" s="2" t="s">
        <v>1281</v>
      </c>
      <c r="P1460" s="2" t="s">
        <v>13222</v>
      </c>
      <c r="Q1460" s="2" t="s">
        <v>13219</v>
      </c>
      <c r="R1460" s="2"/>
      <c r="S1460" s="2"/>
      <c r="T1460" s="2"/>
      <c r="U1460" s="2" t="s">
        <v>10605</v>
      </c>
      <c r="V1460" s="2" t="s">
        <v>1281</v>
      </c>
      <c r="W1460" s="2" t="s">
        <v>13222</v>
      </c>
      <c r="X1460" s="2" t="s">
        <v>5766</v>
      </c>
      <c r="Y1460" s="2" t="s">
        <v>44</v>
      </c>
      <c r="Z1460" s="2"/>
      <c r="AA1460" s="2" t="s">
        <v>3527</v>
      </c>
      <c r="AB1460" s="2" t="s">
        <v>46</v>
      </c>
      <c r="AC1460" s="2" t="s">
        <v>3527</v>
      </c>
      <c r="AE1460" s="2" t="s">
        <v>10801</v>
      </c>
      <c r="AF1460" s="2" t="s">
        <v>7864</v>
      </c>
      <c r="AG1460" s="2">
        <v>100</v>
      </c>
      <c r="AH1460" s="2">
        <v>5</v>
      </c>
      <c r="AJ1460" s="2" t="s">
        <v>13223</v>
      </c>
      <c r="AK1460" s="2"/>
      <c r="AL1460" s="2"/>
      <c r="AM1460" s="2" t="s">
        <v>10791</v>
      </c>
    </row>
    <row r="1461" spans="1:39" x14ac:dyDescent="0.45">
      <c r="A1461" s="2" t="s">
        <v>13224</v>
      </c>
      <c r="B1461" s="2"/>
      <c r="C1461" s="2" t="s">
        <v>13226</v>
      </c>
      <c r="D1461" s="2" t="s">
        <v>13228</v>
      </c>
      <c r="E1461" s="25"/>
      <c r="F1461" s="21"/>
      <c r="G1461" s="21"/>
      <c r="H1461" s="2" t="s">
        <v>10789</v>
      </c>
      <c r="I1461" s="2" t="s">
        <v>12462</v>
      </c>
      <c r="J1461" s="2" t="s">
        <v>13225</v>
      </c>
      <c r="K1461" s="2" t="s">
        <v>13227</v>
      </c>
      <c r="L1461" s="2" t="s">
        <v>13229</v>
      </c>
      <c r="M1461" s="2" t="s">
        <v>13229</v>
      </c>
      <c r="N1461" s="2" t="s">
        <v>220</v>
      </c>
      <c r="O1461" s="2" t="s">
        <v>221</v>
      </c>
      <c r="P1461" s="2" t="s">
        <v>10337</v>
      </c>
      <c r="Q1461" s="2" t="s">
        <v>13227</v>
      </c>
      <c r="R1461" s="2"/>
      <c r="S1461" s="2"/>
      <c r="T1461" s="2"/>
      <c r="U1461" s="2" t="s">
        <v>220</v>
      </c>
      <c r="V1461" s="2" t="s">
        <v>221</v>
      </c>
      <c r="W1461" s="2" t="s">
        <v>10337</v>
      </c>
      <c r="X1461" s="2" t="s">
        <v>12351</v>
      </c>
      <c r="Y1461" s="2" t="s">
        <v>44</v>
      </c>
      <c r="Z1461" s="2"/>
      <c r="AA1461" s="2" t="s">
        <v>3527</v>
      </c>
      <c r="AB1461" s="2" t="s">
        <v>46</v>
      </c>
      <c r="AC1461" s="2" t="s">
        <v>3527</v>
      </c>
      <c r="AE1461" s="2" t="s">
        <v>10801</v>
      </c>
      <c r="AF1461" s="2" t="s">
        <v>7864</v>
      </c>
      <c r="AG1461" s="2">
        <v>100</v>
      </c>
      <c r="AH1461" s="2">
        <v>5</v>
      </c>
      <c r="AJ1461" s="2" t="s">
        <v>13230</v>
      </c>
      <c r="AK1461" s="2"/>
      <c r="AL1461" s="2"/>
      <c r="AM1461" s="2" t="s">
        <v>10791</v>
      </c>
    </row>
    <row r="1462" spans="1:39" x14ac:dyDescent="0.45">
      <c r="A1462" s="2" t="s">
        <v>13231</v>
      </c>
      <c r="B1462" s="2"/>
      <c r="C1462" s="2" t="s">
        <v>13233</v>
      </c>
      <c r="D1462" s="2" t="s">
        <v>13235</v>
      </c>
      <c r="E1462" s="25"/>
      <c r="F1462" s="21"/>
      <c r="G1462" s="21"/>
      <c r="H1462" s="2" t="s">
        <v>10789</v>
      </c>
      <c r="I1462" s="2" t="s">
        <v>10787</v>
      </c>
      <c r="J1462" s="2" t="s">
        <v>13232</v>
      </c>
      <c r="K1462" s="2" t="s">
        <v>13234</v>
      </c>
      <c r="L1462" s="2" t="s">
        <v>13236</v>
      </c>
      <c r="M1462" s="2" t="s">
        <v>13236</v>
      </c>
      <c r="N1462" s="2" t="s">
        <v>13237</v>
      </c>
      <c r="O1462" s="2" t="s">
        <v>278</v>
      </c>
      <c r="P1462" s="2" t="s">
        <v>13238</v>
      </c>
      <c r="Q1462" s="2"/>
      <c r="R1462" s="2"/>
      <c r="S1462" s="2"/>
      <c r="T1462" s="2"/>
      <c r="U1462" s="2"/>
      <c r="V1462" s="2"/>
      <c r="W1462" s="2"/>
      <c r="X1462" s="2" t="s">
        <v>12351</v>
      </c>
      <c r="Y1462" s="2" t="s">
        <v>44</v>
      </c>
      <c r="Z1462" s="2"/>
      <c r="AA1462" s="2" t="s">
        <v>3527</v>
      </c>
      <c r="AB1462" s="2" t="s">
        <v>46</v>
      </c>
      <c r="AC1462" s="2" t="s">
        <v>3527</v>
      </c>
      <c r="AE1462" s="2" t="s">
        <v>10801</v>
      </c>
      <c r="AF1462" s="2" t="s">
        <v>7864</v>
      </c>
      <c r="AG1462" s="2">
        <v>100</v>
      </c>
      <c r="AH1462" s="2">
        <v>5</v>
      </c>
      <c r="AJ1462" s="2" t="s">
        <v>13239</v>
      </c>
      <c r="AK1462" s="2"/>
      <c r="AL1462" s="2"/>
      <c r="AM1462" s="2" t="s">
        <v>10791</v>
      </c>
    </row>
    <row r="1463" spans="1:39" x14ac:dyDescent="0.45">
      <c r="A1463" s="2" t="s">
        <v>13240</v>
      </c>
      <c r="B1463" s="2"/>
      <c r="C1463" s="2" t="s">
        <v>13242</v>
      </c>
      <c r="D1463" s="2" t="s">
        <v>13244</v>
      </c>
      <c r="E1463" s="25"/>
      <c r="F1463" s="21"/>
      <c r="G1463" s="21"/>
      <c r="H1463" s="2" t="s">
        <v>10789</v>
      </c>
      <c r="I1463" s="2" t="s">
        <v>10787</v>
      </c>
      <c r="J1463" s="2" t="s">
        <v>13241</v>
      </c>
      <c r="K1463" s="2" t="s">
        <v>13243</v>
      </c>
      <c r="L1463" s="2" t="s">
        <v>13245</v>
      </c>
      <c r="M1463" s="2" t="s">
        <v>13245</v>
      </c>
      <c r="N1463" s="2" t="s">
        <v>8495</v>
      </c>
      <c r="O1463" s="2" t="s">
        <v>8496</v>
      </c>
      <c r="P1463" s="2" t="s">
        <v>13246</v>
      </c>
      <c r="Q1463" s="2" t="s">
        <v>13243</v>
      </c>
      <c r="R1463" s="2"/>
      <c r="S1463" s="2"/>
      <c r="T1463" s="2"/>
      <c r="U1463" s="2" t="s">
        <v>8495</v>
      </c>
      <c r="V1463" s="2" t="s">
        <v>8496</v>
      </c>
      <c r="W1463" s="2" t="s">
        <v>13246</v>
      </c>
      <c r="X1463" s="2" t="s">
        <v>5776</v>
      </c>
      <c r="Y1463" s="2" t="s">
        <v>44</v>
      </c>
      <c r="Z1463" s="2"/>
      <c r="AA1463" s="2" t="s">
        <v>3527</v>
      </c>
      <c r="AB1463" s="2" t="s">
        <v>46</v>
      </c>
      <c r="AC1463" s="2" t="s">
        <v>3527</v>
      </c>
      <c r="AE1463" s="2" t="s">
        <v>10801</v>
      </c>
      <c r="AF1463" s="2" t="s">
        <v>7864</v>
      </c>
      <c r="AG1463" s="2">
        <v>100</v>
      </c>
      <c r="AH1463" s="2">
        <v>5</v>
      </c>
      <c r="AJ1463" s="2" t="s">
        <v>13247</v>
      </c>
      <c r="AK1463" s="2"/>
      <c r="AL1463" s="2"/>
      <c r="AM1463" s="2" t="s">
        <v>10791</v>
      </c>
    </row>
    <row r="1464" spans="1:39" x14ac:dyDescent="0.45">
      <c r="A1464" s="2" t="s">
        <v>13248</v>
      </c>
      <c r="B1464" s="2"/>
      <c r="C1464" s="2" t="s">
        <v>13250</v>
      </c>
      <c r="D1464" s="2" t="s">
        <v>13252</v>
      </c>
      <c r="E1464" s="25"/>
      <c r="F1464" s="21"/>
      <c r="G1464" s="21"/>
      <c r="H1464" s="2" t="s">
        <v>10789</v>
      </c>
      <c r="I1464" s="2" t="s">
        <v>10787</v>
      </c>
      <c r="J1464" s="2" t="s">
        <v>13249</v>
      </c>
      <c r="K1464" s="2" t="s">
        <v>13251</v>
      </c>
      <c r="L1464" s="2" t="s">
        <v>3562</v>
      </c>
      <c r="M1464" s="2" t="s">
        <v>3562</v>
      </c>
      <c r="N1464" s="2" t="s">
        <v>10513</v>
      </c>
      <c r="O1464" s="2" t="s">
        <v>313</v>
      </c>
      <c r="P1464" s="2" t="s">
        <v>13253</v>
      </c>
      <c r="Q1464" s="2"/>
      <c r="R1464" s="2"/>
      <c r="S1464" s="2"/>
      <c r="T1464" s="2"/>
      <c r="U1464" s="2"/>
      <c r="V1464" s="2"/>
      <c r="W1464" s="2"/>
      <c r="X1464" s="2" t="s">
        <v>801</v>
      </c>
      <c r="Y1464" s="2" t="s">
        <v>44</v>
      </c>
      <c r="Z1464" s="2"/>
      <c r="AA1464" s="2" t="s">
        <v>3527</v>
      </c>
      <c r="AB1464" s="2" t="s">
        <v>46</v>
      </c>
      <c r="AC1464" s="2" t="s">
        <v>3527</v>
      </c>
      <c r="AE1464" s="2" t="s">
        <v>10801</v>
      </c>
      <c r="AF1464" s="2" t="s">
        <v>7864</v>
      </c>
      <c r="AG1464" s="2">
        <v>100</v>
      </c>
      <c r="AH1464" s="2">
        <v>5</v>
      </c>
      <c r="AJ1464" s="2" t="s">
        <v>13254</v>
      </c>
      <c r="AK1464" s="2"/>
      <c r="AL1464" s="2"/>
      <c r="AM1464" s="2" t="s">
        <v>10791</v>
      </c>
    </row>
    <row r="1465" spans="1:39" x14ac:dyDescent="0.45">
      <c r="A1465" s="2" t="s">
        <v>13255</v>
      </c>
      <c r="B1465" s="2"/>
      <c r="C1465" s="2" t="s">
        <v>13257</v>
      </c>
      <c r="D1465" s="2" t="s">
        <v>13259</v>
      </c>
      <c r="E1465" s="25"/>
      <c r="F1465" s="21"/>
      <c r="G1465" s="21"/>
      <c r="H1465" s="2" t="s">
        <v>10789</v>
      </c>
      <c r="I1465" s="2" t="s">
        <v>10787</v>
      </c>
      <c r="J1465" s="2" t="s">
        <v>13256</v>
      </c>
      <c r="K1465" s="2" t="s">
        <v>13258</v>
      </c>
      <c r="L1465" s="2" t="s">
        <v>13260</v>
      </c>
      <c r="M1465" s="2" t="s">
        <v>13260</v>
      </c>
      <c r="N1465" s="2" t="s">
        <v>12582</v>
      </c>
      <c r="O1465" s="2" t="s">
        <v>313</v>
      </c>
      <c r="P1465" s="2" t="s">
        <v>13261</v>
      </c>
      <c r="Q1465" s="2"/>
      <c r="R1465" s="2"/>
      <c r="S1465" s="2"/>
      <c r="T1465" s="2"/>
      <c r="U1465" s="2"/>
      <c r="V1465" s="2"/>
      <c r="W1465" s="2"/>
      <c r="X1465" s="2" t="s">
        <v>9560</v>
      </c>
      <c r="Y1465" s="2" t="s">
        <v>44</v>
      </c>
      <c r="Z1465" s="2"/>
      <c r="AA1465" s="2" t="s">
        <v>3527</v>
      </c>
      <c r="AB1465" s="2" t="s">
        <v>46</v>
      </c>
      <c r="AC1465" s="2" t="s">
        <v>3527</v>
      </c>
      <c r="AE1465" s="2" t="s">
        <v>10801</v>
      </c>
      <c r="AF1465" s="2" t="s">
        <v>7864</v>
      </c>
      <c r="AG1465" s="2">
        <v>100</v>
      </c>
      <c r="AH1465" s="2">
        <v>5</v>
      </c>
      <c r="AJ1465" s="2" t="s">
        <v>13262</v>
      </c>
      <c r="AK1465" s="2"/>
      <c r="AL1465" s="2"/>
      <c r="AM1465" s="2" t="s">
        <v>10791</v>
      </c>
    </row>
    <row r="1466" spans="1:39" x14ac:dyDescent="0.45">
      <c r="A1466" s="2" t="s">
        <v>13263</v>
      </c>
      <c r="B1466" s="2"/>
      <c r="C1466" s="2" t="s">
        <v>13265</v>
      </c>
      <c r="D1466" s="2" t="s">
        <v>13267</v>
      </c>
      <c r="E1466" s="25"/>
      <c r="F1466" s="21"/>
      <c r="G1466" s="21"/>
      <c r="H1466" s="2" t="s">
        <v>10789</v>
      </c>
      <c r="I1466" s="2" t="s">
        <v>10787</v>
      </c>
      <c r="J1466" s="2" t="s">
        <v>13264</v>
      </c>
      <c r="K1466" s="2" t="s">
        <v>13266</v>
      </c>
      <c r="L1466" s="2"/>
      <c r="M1466" s="2"/>
      <c r="N1466" s="2" t="s">
        <v>5984</v>
      </c>
      <c r="O1466" s="2" t="s">
        <v>313</v>
      </c>
      <c r="P1466" s="2" t="s">
        <v>12574</v>
      </c>
      <c r="Q1466" s="2" t="s">
        <v>13266</v>
      </c>
      <c r="R1466" s="2"/>
      <c r="S1466" s="2"/>
      <c r="T1466" s="2"/>
      <c r="U1466" s="2" t="s">
        <v>5984</v>
      </c>
      <c r="V1466" s="2" t="s">
        <v>313</v>
      </c>
      <c r="W1466" s="2" t="s">
        <v>12574</v>
      </c>
      <c r="X1466" s="2" t="s">
        <v>9694</v>
      </c>
      <c r="Y1466" s="2" t="s">
        <v>44</v>
      </c>
      <c r="Z1466" s="2"/>
      <c r="AA1466" s="2" t="s">
        <v>821</v>
      </c>
      <c r="AB1466" s="2" t="s">
        <v>46</v>
      </c>
      <c r="AC1466" s="2" t="s">
        <v>821</v>
      </c>
      <c r="AE1466" s="2" t="s">
        <v>10801</v>
      </c>
      <c r="AF1466" s="2" t="s">
        <v>7864</v>
      </c>
      <c r="AG1466" s="2">
        <v>90</v>
      </c>
      <c r="AH1466" s="2">
        <v>2</v>
      </c>
      <c r="AJ1466" s="2" t="s">
        <v>13268</v>
      </c>
      <c r="AK1466" s="2"/>
      <c r="AL1466" s="2"/>
      <c r="AM1466" s="2" t="s">
        <v>10791</v>
      </c>
    </row>
    <row r="1467" spans="1:39" x14ac:dyDescent="0.45">
      <c r="A1467" s="2" t="s">
        <v>13269</v>
      </c>
      <c r="B1467" s="2"/>
      <c r="C1467" s="2" t="s">
        <v>13271</v>
      </c>
      <c r="D1467" s="2" t="s">
        <v>13273</v>
      </c>
      <c r="E1467" s="25"/>
      <c r="F1467" s="21"/>
      <c r="G1467" s="21"/>
      <c r="H1467" s="2" t="s">
        <v>10789</v>
      </c>
      <c r="I1467" s="2" t="s">
        <v>10787</v>
      </c>
      <c r="J1467" s="2" t="s">
        <v>13270</v>
      </c>
      <c r="K1467" s="2" t="s">
        <v>13272</v>
      </c>
      <c r="L1467" s="2"/>
      <c r="M1467" s="2"/>
      <c r="N1467" s="2" t="s">
        <v>220</v>
      </c>
      <c r="O1467" s="2" t="s">
        <v>221</v>
      </c>
      <c r="P1467" s="2" t="s">
        <v>10250</v>
      </c>
      <c r="Q1467" s="2" t="s">
        <v>13274</v>
      </c>
      <c r="R1467" s="2"/>
      <c r="S1467" s="2"/>
      <c r="T1467" s="2"/>
      <c r="U1467" s="2" t="s">
        <v>220</v>
      </c>
      <c r="V1467" s="2" t="s">
        <v>221</v>
      </c>
      <c r="W1467" s="2" t="s">
        <v>10250</v>
      </c>
      <c r="X1467" s="2" t="s">
        <v>13275</v>
      </c>
      <c r="Y1467" s="2" t="s">
        <v>44</v>
      </c>
      <c r="Z1467" s="2"/>
      <c r="AA1467" s="2" t="s">
        <v>821</v>
      </c>
      <c r="AB1467" s="2" t="s">
        <v>46</v>
      </c>
      <c r="AC1467" s="2" t="s">
        <v>821</v>
      </c>
      <c r="AE1467" s="2" t="s">
        <v>10801</v>
      </c>
      <c r="AF1467" s="2" t="s">
        <v>7864</v>
      </c>
      <c r="AG1467" s="2">
        <v>90</v>
      </c>
      <c r="AH1467" s="2">
        <v>2</v>
      </c>
      <c r="AJ1467" s="2" t="s">
        <v>13276</v>
      </c>
      <c r="AK1467" s="2"/>
      <c r="AL1467" s="2"/>
      <c r="AM1467" s="2" t="s">
        <v>10791</v>
      </c>
    </row>
    <row r="1468" spans="1:39" x14ac:dyDescent="0.45">
      <c r="A1468" s="2" t="s">
        <v>13277</v>
      </c>
      <c r="B1468" s="2"/>
      <c r="C1468" s="2" t="s">
        <v>13279</v>
      </c>
      <c r="D1468" s="2" t="s">
        <v>13281</v>
      </c>
      <c r="E1468" s="25"/>
      <c r="F1468" s="21"/>
      <c r="G1468" s="21"/>
      <c r="H1468" s="2" t="s">
        <v>10789</v>
      </c>
      <c r="I1468" s="2" t="s">
        <v>10787</v>
      </c>
      <c r="J1468" s="2" t="s">
        <v>13278</v>
      </c>
      <c r="K1468" s="2" t="s">
        <v>13280</v>
      </c>
      <c r="L1468" s="2"/>
      <c r="M1468" s="2"/>
      <c r="N1468" s="2" t="s">
        <v>1161</v>
      </c>
      <c r="O1468" s="2" t="s">
        <v>221</v>
      </c>
      <c r="P1468" s="2" t="s">
        <v>5871</v>
      </c>
      <c r="Q1468" s="2" t="s">
        <v>13280</v>
      </c>
      <c r="R1468" s="2"/>
      <c r="S1468" s="2"/>
      <c r="T1468" s="2"/>
      <c r="U1468" s="2" t="s">
        <v>1161</v>
      </c>
      <c r="V1468" s="2" t="s">
        <v>221</v>
      </c>
      <c r="W1468" s="2" t="s">
        <v>5871</v>
      </c>
      <c r="X1468" s="2" t="s">
        <v>13282</v>
      </c>
      <c r="Y1468" s="2" t="s">
        <v>44</v>
      </c>
      <c r="Z1468" s="2"/>
      <c r="AA1468" s="2" t="s">
        <v>821</v>
      </c>
      <c r="AB1468" s="2" t="s">
        <v>46</v>
      </c>
      <c r="AC1468" s="2" t="s">
        <v>821</v>
      </c>
      <c r="AE1468" s="2" t="s">
        <v>10801</v>
      </c>
      <c r="AF1468" s="2" t="s">
        <v>7864</v>
      </c>
      <c r="AG1468" s="2">
        <v>90</v>
      </c>
      <c r="AH1468" s="2">
        <v>2</v>
      </c>
      <c r="AJ1468" s="2" t="s">
        <v>13283</v>
      </c>
      <c r="AK1468" s="2"/>
      <c r="AL1468" s="2"/>
      <c r="AM1468" s="2" t="s">
        <v>10791</v>
      </c>
    </row>
    <row r="1469" spans="1:39" x14ac:dyDescent="0.45">
      <c r="A1469" s="2" t="s">
        <v>13284</v>
      </c>
      <c r="B1469" s="2"/>
      <c r="C1469" s="7" t="s">
        <v>27997</v>
      </c>
      <c r="D1469" s="2" t="s">
        <v>13287</v>
      </c>
      <c r="E1469" s="25"/>
      <c r="F1469" s="21"/>
      <c r="G1469" s="21"/>
      <c r="H1469" s="2" t="s">
        <v>10789</v>
      </c>
      <c r="I1469" s="2" t="s">
        <v>11537</v>
      </c>
      <c r="J1469" s="2" t="s">
        <v>13285</v>
      </c>
      <c r="K1469" s="2" t="s">
        <v>13286</v>
      </c>
      <c r="L1469" s="2"/>
      <c r="M1469" s="2"/>
      <c r="N1469" s="2" t="s">
        <v>312</v>
      </c>
      <c r="O1469" s="2" t="s">
        <v>313</v>
      </c>
      <c r="P1469" s="2" t="s">
        <v>314</v>
      </c>
      <c r="Q1469" s="2" t="s">
        <v>13288</v>
      </c>
      <c r="R1469" s="2"/>
      <c r="S1469" s="2"/>
      <c r="T1469" s="2"/>
      <c r="U1469" s="2" t="s">
        <v>312</v>
      </c>
      <c r="V1469" s="2" t="s">
        <v>313</v>
      </c>
      <c r="W1469" s="2" t="s">
        <v>314</v>
      </c>
      <c r="X1469" s="2" t="s">
        <v>3738</v>
      </c>
      <c r="Y1469" s="2" t="s">
        <v>44</v>
      </c>
      <c r="Z1469" s="2"/>
      <c r="AA1469" s="2" t="s">
        <v>821</v>
      </c>
      <c r="AB1469" s="2" t="s">
        <v>46</v>
      </c>
      <c r="AC1469" s="2" t="s">
        <v>821</v>
      </c>
      <c r="AE1469" s="2" t="s">
        <v>10801</v>
      </c>
      <c r="AF1469" s="2" t="s">
        <v>7864</v>
      </c>
      <c r="AG1469" s="2">
        <v>75</v>
      </c>
      <c r="AH1469" s="2">
        <v>2</v>
      </c>
      <c r="AJ1469" s="2" t="s">
        <v>13289</v>
      </c>
      <c r="AK1469" s="2"/>
      <c r="AL1469" s="2"/>
      <c r="AM1469" s="2" t="s">
        <v>10791</v>
      </c>
    </row>
    <row r="1470" spans="1:39" x14ac:dyDescent="0.45">
      <c r="A1470" s="2" t="s">
        <v>13290</v>
      </c>
      <c r="B1470" s="2"/>
      <c r="C1470" s="7" t="s">
        <v>27997</v>
      </c>
      <c r="D1470" s="2" t="s">
        <v>13293</v>
      </c>
      <c r="E1470" s="25"/>
      <c r="F1470" s="21"/>
      <c r="G1470" s="21"/>
      <c r="H1470" s="2" t="s">
        <v>10789</v>
      </c>
      <c r="I1470" s="2" t="s">
        <v>10787</v>
      </c>
      <c r="J1470" s="2" t="s">
        <v>13291</v>
      </c>
      <c r="K1470" s="2" t="s">
        <v>13292</v>
      </c>
      <c r="L1470" s="2"/>
      <c r="M1470" s="2"/>
      <c r="N1470" s="2" t="s">
        <v>312</v>
      </c>
      <c r="O1470" s="2" t="s">
        <v>313</v>
      </c>
      <c r="P1470" s="2" t="s">
        <v>314</v>
      </c>
      <c r="Q1470" s="2" t="s">
        <v>13294</v>
      </c>
      <c r="R1470" s="2"/>
      <c r="S1470" s="2"/>
      <c r="T1470" s="2"/>
      <c r="U1470" s="2" t="s">
        <v>312</v>
      </c>
      <c r="V1470" s="2" t="s">
        <v>313</v>
      </c>
      <c r="W1470" s="2" t="s">
        <v>314</v>
      </c>
      <c r="X1470" s="2" t="s">
        <v>7844</v>
      </c>
      <c r="Y1470" s="2" t="s">
        <v>44</v>
      </c>
      <c r="Z1470" s="2"/>
      <c r="AA1470" s="2" t="s">
        <v>821</v>
      </c>
      <c r="AB1470" s="2" t="s">
        <v>46</v>
      </c>
      <c r="AC1470" s="2" t="s">
        <v>821</v>
      </c>
      <c r="AE1470" s="2" t="s">
        <v>10801</v>
      </c>
      <c r="AF1470" s="2" t="s">
        <v>7864</v>
      </c>
      <c r="AG1470" s="2">
        <v>75</v>
      </c>
      <c r="AH1470" s="2">
        <v>2</v>
      </c>
      <c r="AJ1470" s="2" t="s">
        <v>13295</v>
      </c>
      <c r="AK1470" s="2"/>
      <c r="AL1470" s="2"/>
      <c r="AM1470" s="2" t="s">
        <v>10791</v>
      </c>
    </row>
    <row r="1471" spans="1:39" x14ac:dyDescent="0.45">
      <c r="A1471" s="2" t="s">
        <v>13296</v>
      </c>
      <c r="B1471" s="2"/>
      <c r="C1471" s="7" t="s">
        <v>27996</v>
      </c>
      <c r="D1471" s="2" t="s">
        <v>13299</v>
      </c>
      <c r="E1471" s="25"/>
      <c r="F1471" s="21"/>
      <c r="G1471" s="21"/>
      <c r="H1471" s="2" t="s">
        <v>10789</v>
      </c>
      <c r="I1471" s="2" t="s">
        <v>11005</v>
      </c>
      <c r="J1471" s="2" t="s">
        <v>13297</v>
      </c>
      <c r="K1471" s="2" t="s">
        <v>13298</v>
      </c>
      <c r="L1471" s="2"/>
      <c r="M1471" s="2"/>
      <c r="N1471" s="2" t="s">
        <v>312</v>
      </c>
      <c r="O1471" s="2" t="s">
        <v>313</v>
      </c>
      <c r="P1471" s="2" t="s">
        <v>7647</v>
      </c>
      <c r="Q1471" s="2" t="s">
        <v>13300</v>
      </c>
      <c r="R1471" s="2"/>
      <c r="S1471" s="2"/>
      <c r="T1471" s="2"/>
      <c r="U1471" s="2" t="s">
        <v>312</v>
      </c>
      <c r="V1471" s="2" t="s">
        <v>313</v>
      </c>
      <c r="W1471" s="2" t="s">
        <v>7647</v>
      </c>
      <c r="X1471" s="2" t="s">
        <v>10624</v>
      </c>
      <c r="Y1471" s="2" t="s">
        <v>44</v>
      </c>
      <c r="Z1471" s="2"/>
      <c r="AA1471" s="2" t="s">
        <v>821</v>
      </c>
      <c r="AB1471" s="2" t="s">
        <v>46</v>
      </c>
      <c r="AC1471" s="2" t="s">
        <v>821</v>
      </c>
      <c r="AE1471" s="2" t="s">
        <v>10801</v>
      </c>
      <c r="AF1471" s="2" t="s">
        <v>7864</v>
      </c>
      <c r="AG1471" s="2">
        <v>75</v>
      </c>
      <c r="AH1471" s="2">
        <v>2</v>
      </c>
      <c r="AJ1471" s="2" t="s">
        <v>13301</v>
      </c>
      <c r="AK1471" s="2"/>
      <c r="AL1471" s="2"/>
      <c r="AM1471" s="2" t="s">
        <v>10791</v>
      </c>
    </row>
    <row r="1472" spans="1:39" x14ac:dyDescent="0.45">
      <c r="A1472" s="2" t="s">
        <v>13302</v>
      </c>
      <c r="B1472" s="2"/>
      <c r="C1472" s="2" t="s">
        <v>13304</v>
      </c>
      <c r="D1472" s="2" t="s">
        <v>13306</v>
      </c>
      <c r="E1472" s="25"/>
      <c r="F1472" s="21"/>
      <c r="G1472" s="21"/>
      <c r="H1472" s="2" t="s">
        <v>10789</v>
      </c>
      <c r="I1472" s="2" t="s">
        <v>12417</v>
      </c>
      <c r="J1472" s="2" t="s">
        <v>13303</v>
      </c>
      <c r="K1472" s="2" t="s">
        <v>13305</v>
      </c>
      <c r="L1472" s="2"/>
      <c r="M1472" s="2"/>
      <c r="N1472" s="2" t="s">
        <v>384</v>
      </c>
      <c r="O1472" s="2" t="s">
        <v>73</v>
      </c>
      <c r="P1472" s="2" t="s">
        <v>1012</v>
      </c>
      <c r="Q1472" s="2" t="s">
        <v>13305</v>
      </c>
      <c r="R1472" s="2"/>
      <c r="S1472" s="2"/>
      <c r="T1472" s="2"/>
      <c r="U1472" s="2" t="s">
        <v>384</v>
      </c>
      <c r="V1472" s="2" t="s">
        <v>73</v>
      </c>
      <c r="W1472" s="2" t="s">
        <v>1012</v>
      </c>
      <c r="X1472" s="2" t="s">
        <v>164</v>
      </c>
      <c r="Y1472" s="2" t="s">
        <v>44</v>
      </c>
      <c r="Z1472" s="2"/>
      <c r="AA1472" s="2" t="s">
        <v>3527</v>
      </c>
      <c r="AB1472" s="2" t="s">
        <v>46</v>
      </c>
      <c r="AC1472" s="2" t="s">
        <v>3527</v>
      </c>
      <c r="AE1472" s="2" t="s">
        <v>10801</v>
      </c>
      <c r="AF1472" s="2" t="s">
        <v>7864</v>
      </c>
      <c r="AG1472" s="2">
        <v>90</v>
      </c>
      <c r="AH1472" s="2">
        <v>0</v>
      </c>
      <c r="AJ1472" s="2" t="s">
        <v>13307</v>
      </c>
      <c r="AK1472" s="2"/>
      <c r="AL1472" s="2"/>
      <c r="AM1472" s="2" t="s">
        <v>10791</v>
      </c>
    </row>
    <row r="1473" spans="1:39" x14ac:dyDescent="0.45">
      <c r="A1473" s="2" t="s">
        <v>13308</v>
      </c>
      <c r="B1473" s="2"/>
      <c r="C1473" s="2" t="s">
        <v>13310</v>
      </c>
      <c r="D1473" s="2" t="s">
        <v>13312</v>
      </c>
      <c r="E1473" s="25"/>
      <c r="F1473" s="21"/>
      <c r="G1473" s="21"/>
      <c r="H1473" s="2" t="s">
        <v>10789</v>
      </c>
      <c r="I1473" s="2" t="s">
        <v>12462</v>
      </c>
      <c r="J1473" s="2" t="s">
        <v>13309</v>
      </c>
      <c r="K1473" s="2" t="s">
        <v>13311</v>
      </c>
      <c r="L1473" s="2"/>
      <c r="M1473" s="2"/>
      <c r="N1473" s="2" t="s">
        <v>5984</v>
      </c>
      <c r="O1473" s="2" t="s">
        <v>313</v>
      </c>
      <c r="P1473" s="2" t="s">
        <v>12889</v>
      </c>
      <c r="Q1473" s="2" t="s">
        <v>13311</v>
      </c>
      <c r="R1473" s="2"/>
      <c r="S1473" s="2"/>
      <c r="T1473" s="2"/>
      <c r="U1473" s="2" t="s">
        <v>5984</v>
      </c>
      <c r="V1473" s="2" t="s">
        <v>313</v>
      </c>
      <c r="W1473" s="2" t="s">
        <v>12889</v>
      </c>
      <c r="X1473" s="2" t="s">
        <v>9240</v>
      </c>
      <c r="Y1473" s="2" t="s">
        <v>44</v>
      </c>
      <c r="Z1473" s="2"/>
      <c r="AA1473" s="2" t="s">
        <v>3527</v>
      </c>
      <c r="AB1473" s="2" t="s">
        <v>46</v>
      </c>
      <c r="AC1473" s="2" t="s">
        <v>3527</v>
      </c>
      <c r="AE1473" s="2" t="s">
        <v>10801</v>
      </c>
      <c r="AF1473" s="2" t="s">
        <v>7864</v>
      </c>
      <c r="AG1473" s="2">
        <v>90</v>
      </c>
      <c r="AH1473" s="2">
        <v>0</v>
      </c>
      <c r="AJ1473" s="2" t="s">
        <v>13313</v>
      </c>
      <c r="AK1473" s="2"/>
      <c r="AL1473" s="2"/>
      <c r="AM1473" s="2" t="s">
        <v>10791</v>
      </c>
    </row>
    <row r="1474" spans="1:39" x14ac:dyDescent="0.45">
      <c r="A1474" s="2" t="s">
        <v>13314</v>
      </c>
      <c r="B1474" s="2"/>
      <c r="C1474" s="2" t="s">
        <v>13316</v>
      </c>
      <c r="D1474" s="2" t="s">
        <v>13318</v>
      </c>
      <c r="E1474" s="25"/>
      <c r="F1474" s="21"/>
      <c r="G1474" s="21"/>
      <c r="H1474" s="2" t="s">
        <v>10789</v>
      </c>
      <c r="I1474" s="2" t="s">
        <v>10787</v>
      </c>
      <c r="J1474" s="2" t="s">
        <v>13315</v>
      </c>
      <c r="K1474" s="2" t="s">
        <v>13317</v>
      </c>
      <c r="L1474" s="2"/>
      <c r="M1474" s="2"/>
      <c r="N1474" s="2" t="s">
        <v>12898</v>
      </c>
      <c r="O1474" s="2" t="s">
        <v>73</v>
      </c>
      <c r="P1474" s="2" t="s">
        <v>12899</v>
      </c>
      <c r="Q1474" s="2" t="s">
        <v>13319</v>
      </c>
      <c r="R1474" s="2"/>
      <c r="S1474" s="2"/>
      <c r="T1474" s="2"/>
      <c r="U1474" s="2" t="s">
        <v>12898</v>
      </c>
      <c r="V1474" s="2" t="s">
        <v>73</v>
      </c>
      <c r="W1474" s="2" t="s">
        <v>12899</v>
      </c>
      <c r="X1474" s="2" t="s">
        <v>13320</v>
      </c>
      <c r="Y1474" s="2" t="s">
        <v>44</v>
      </c>
      <c r="Z1474" s="2"/>
      <c r="AA1474" s="2" t="s">
        <v>3527</v>
      </c>
      <c r="AB1474" s="2" t="s">
        <v>46</v>
      </c>
      <c r="AC1474" s="2" t="s">
        <v>3527</v>
      </c>
      <c r="AE1474" s="2" t="s">
        <v>10801</v>
      </c>
      <c r="AF1474" s="2" t="s">
        <v>7864</v>
      </c>
      <c r="AG1474" s="2">
        <v>90</v>
      </c>
      <c r="AH1474" s="2">
        <v>0</v>
      </c>
      <c r="AJ1474" s="2" t="s">
        <v>13321</v>
      </c>
      <c r="AK1474" s="2"/>
      <c r="AL1474" s="2"/>
      <c r="AM1474" s="2" t="s">
        <v>10791</v>
      </c>
    </row>
    <row r="1475" spans="1:39" x14ac:dyDescent="0.45">
      <c r="A1475" s="2" t="s">
        <v>13322</v>
      </c>
      <c r="B1475" s="2"/>
      <c r="C1475" s="2" t="s">
        <v>13324</v>
      </c>
      <c r="D1475" s="2" t="s">
        <v>13326</v>
      </c>
      <c r="E1475" s="25"/>
      <c r="F1475" s="21"/>
      <c r="G1475" s="21"/>
      <c r="H1475" s="2" t="s">
        <v>10789</v>
      </c>
      <c r="I1475" s="2" t="s">
        <v>10787</v>
      </c>
      <c r="J1475" s="2" t="s">
        <v>13323</v>
      </c>
      <c r="K1475" s="2" t="s">
        <v>13325</v>
      </c>
      <c r="L1475" s="2"/>
      <c r="M1475" s="2"/>
      <c r="N1475" s="2" t="s">
        <v>72</v>
      </c>
      <c r="O1475" s="2" t="s">
        <v>73</v>
      </c>
      <c r="P1475" s="2" t="s">
        <v>722</v>
      </c>
      <c r="Q1475" s="2"/>
      <c r="R1475" s="2"/>
      <c r="S1475" s="2"/>
      <c r="T1475" s="2"/>
      <c r="U1475" s="2"/>
      <c r="V1475" s="2"/>
      <c r="W1475" s="2"/>
      <c r="X1475" s="2" t="s">
        <v>13327</v>
      </c>
      <c r="Y1475" s="2" t="s">
        <v>44</v>
      </c>
      <c r="Z1475" s="2"/>
      <c r="AA1475" s="2" t="s">
        <v>3527</v>
      </c>
      <c r="AB1475" s="2" t="s">
        <v>46</v>
      </c>
      <c r="AC1475" s="2" t="s">
        <v>3527</v>
      </c>
      <c r="AE1475" s="2" t="s">
        <v>10801</v>
      </c>
      <c r="AF1475" s="2" t="s">
        <v>7864</v>
      </c>
      <c r="AG1475" s="2">
        <v>90</v>
      </c>
      <c r="AH1475" s="2">
        <v>0</v>
      </c>
      <c r="AJ1475" s="2" t="s">
        <v>13328</v>
      </c>
      <c r="AK1475" s="2"/>
      <c r="AL1475" s="2"/>
      <c r="AM1475" s="2" t="s">
        <v>10791</v>
      </c>
    </row>
    <row r="1476" spans="1:39" x14ac:dyDescent="0.45">
      <c r="A1476" s="2" t="s">
        <v>13329</v>
      </c>
      <c r="B1476" s="2"/>
      <c r="C1476" s="2" t="s">
        <v>13331</v>
      </c>
      <c r="D1476" s="2" t="s">
        <v>13333</v>
      </c>
      <c r="E1476" s="25"/>
      <c r="F1476" s="21"/>
      <c r="G1476" s="21"/>
      <c r="H1476" s="2" t="s">
        <v>10789</v>
      </c>
      <c r="I1476" s="2" t="s">
        <v>10787</v>
      </c>
      <c r="J1476" s="2" t="s">
        <v>13330</v>
      </c>
      <c r="K1476" s="2" t="s">
        <v>13332</v>
      </c>
      <c r="L1476" s="2"/>
      <c r="M1476" s="2"/>
      <c r="N1476" s="2" t="s">
        <v>1269</v>
      </c>
      <c r="O1476" s="2" t="s">
        <v>1176</v>
      </c>
      <c r="P1476" s="2" t="s">
        <v>1270</v>
      </c>
      <c r="Q1476" s="2" t="s">
        <v>13332</v>
      </c>
      <c r="R1476" s="2"/>
      <c r="S1476" s="2"/>
      <c r="T1476" s="2"/>
      <c r="U1476" s="2" t="s">
        <v>1269</v>
      </c>
      <c r="V1476" s="2" t="s">
        <v>1176</v>
      </c>
      <c r="W1476" s="2" t="s">
        <v>1270</v>
      </c>
      <c r="X1476" s="2" t="s">
        <v>13334</v>
      </c>
      <c r="Y1476" s="2" t="s">
        <v>44</v>
      </c>
      <c r="Z1476" s="2"/>
      <c r="AA1476" s="2" t="s">
        <v>3527</v>
      </c>
      <c r="AB1476" s="2" t="s">
        <v>46</v>
      </c>
      <c r="AC1476" s="2" t="s">
        <v>3527</v>
      </c>
      <c r="AE1476" s="2" t="s">
        <v>10801</v>
      </c>
      <c r="AF1476" s="2" t="s">
        <v>7864</v>
      </c>
      <c r="AG1476" s="2">
        <v>90</v>
      </c>
      <c r="AH1476" s="2">
        <v>0</v>
      </c>
      <c r="AJ1476" s="2" t="s">
        <v>13335</v>
      </c>
      <c r="AK1476" s="2"/>
      <c r="AL1476" s="2"/>
      <c r="AM1476" s="2" t="s">
        <v>10791</v>
      </c>
    </row>
    <row r="1477" spans="1:39" x14ac:dyDescent="0.45">
      <c r="A1477" s="2" t="s">
        <v>13336</v>
      </c>
      <c r="B1477" s="2"/>
      <c r="C1477" s="2" t="s">
        <v>13338</v>
      </c>
      <c r="D1477" s="2" t="s">
        <v>13340</v>
      </c>
      <c r="E1477" s="25"/>
      <c r="F1477" s="21"/>
      <c r="G1477" s="21"/>
      <c r="H1477" s="2" t="s">
        <v>10789</v>
      </c>
      <c r="I1477" s="2" t="s">
        <v>10787</v>
      </c>
      <c r="J1477" s="2" t="s">
        <v>13337</v>
      </c>
      <c r="K1477" s="2" t="s">
        <v>13339</v>
      </c>
      <c r="L1477" s="2"/>
      <c r="M1477" s="2"/>
      <c r="N1477" s="2" t="s">
        <v>536</v>
      </c>
      <c r="O1477" s="2" t="s">
        <v>537</v>
      </c>
      <c r="P1477" s="2" t="s">
        <v>3214</v>
      </c>
      <c r="Q1477" s="2" t="s">
        <v>13341</v>
      </c>
      <c r="R1477" s="2"/>
      <c r="S1477" s="2"/>
      <c r="T1477" s="2"/>
      <c r="U1477" s="2" t="s">
        <v>536</v>
      </c>
      <c r="V1477" s="2" t="s">
        <v>537</v>
      </c>
      <c r="W1477" s="2" t="s">
        <v>2431</v>
      </c>
      <c r="X1477" s="2" t="s">
        <v>8071</v>
      </c>
      <c r="Y1477" s="2" t="s">
        <v>44</v>
      </c>
      <c r="Z1477" s="2"/>
      <c r="AA1477" s="2" t="s">
        <v>3527</v>
      </c>
      <c r="AB1477" s="2" t="s">
        <v>46</v>
      </c>
      <c r="AC1477" s="2" t="s">
        <v>3527</v>
      </c>
      <c r="AE1477" s="2" t="s">
        <v>10801</v>
      </c>
      <c r="AF1477" s="2" t="s">
        <v>7864</v>
      </c>
      <c r="AG1477" s="2">
        <v>90</v>
      </c>
      <c r="AH1477" s="2">
        <v>0</v>
      </c>
      <c r="AJ1477" s="2" t="s">
        <v>13342</v>
      </c>
      <c r="AK1477" s="2"/>
      <c r="AL1477" s="2"/>
      <c r="AM1477" s="2" t="s">
        <v>10791</v>
      </c>
    </row>
    <row r="1478" spans="1:39" x14ac:dyDescent="0.45">
      <c r="A1478" s="2" t="s">
        <v>13343</v>
      </c>
      <c r="B1478" s="2"/>
      <c r="C1478" s="2" t="s">
        <v>13345</v>
      </c>
      <c r="D1478" s="2" t="s">
        <v>13347</v>
      </c>
      <c r="E1478" s="25"/>
      <c r="F1478" s="21"/>
      <c r="G1478" s="21"/>
      <c r="H1478" s="2" t="s">
        <v>10789</v>
      </c>
      <c r="I1478" s="2" t="s">
        <v>10787</v>
      </c>
      <c r="J1478" s="2" t="s">
        <v>13344</v>
      </c>
      <c r="K1478" s="2" t="s">
        <v>13346</v>
      </c>
      <c r="L1478" s="2"/>
      <c r="M1478" s="2"/>
      <c r="N1478" s="2" t="s">
        <v>290</v>
      </c>
      <c r="O1478" s="2" t="s">
        <v>278</v>
      </c>
      <c r="P1478" s="2" t="s">
        <v>13348</v>
      </c>
      <c r="Q1478" s="2" t="s">
        <v>13349</v>
      </c>
      <c r="R1478" s="2"/>
      <c r="S1478" s="2"/>
      <c r="T1478" s="2"/>
      <c r="U1478" s="2" t="s">
        <v>5821</v>
      </c>
      <c r="V1478" s="2" t="s">
        <v>278</v>
      </c>
      <c r="W1478" s="2" t="s">
        <v>13348</v>
      </c>
      <c r="X1478" s="2" t="s">
        <v>13350</v>
      </c>
      <c r="Y1478" s="2" t="s">
        <v>44</v>
      </c>
      <c r="Z1478" s="2"/>
      <c r="AA1478" s="2" t="s">
        <v>3527</v>
      </c>
      <c r="AB1478" s="2" t="s">
        <v>46</v>
      </c>
      <c r="AC1478" s="2" t="s">
        <v>3527</v>
      </c>
      <c r="AE1478" s="2" t="s">
        <v>10801</v>
      </c>
      <c r="AF1478" s="2" t="s">
        <v>7864</v>
      </c>
      <c r="AG1478" s="2">
        <v>90</v>
      </c>
      <c r="AH1478" s="2">
        <v>0</v>
      </c>
      <c r="AJ1478" s="2" t="s">
        <v>13351</v>
      </c>
      <c r="AK1478" s="2"/>
      <c r="AL1478" s="2"/>
      <c r="AM1478" s="2" t="s">
        <v>10791</v>
      </c>
    </row>
    <row r="1479" spans="1:39" x14ac:dyDescent="0.45">
      <c r="A1479" s="2" t="s">
        <v>13352</v>
      </c>
      <c r="B1479" s="2"/>
      <c r="C1479" s="2" t="s">
        <v>13354</v>
      </c>
      <c r="D1479" s="2" t="s">
        <v>13356</v>
      </c>
      <c r="E1479" s="25"/>
      <c r="F1479" s="21"/>
      <c r="G1479" s="21"/>
      <c r="H1479" s="2" t="s">
        <v>10789</v>
      </c>
      <c r="I1479" s="2" t="s">
        <v>10787</v>
      </c>
      <c r="J1479" s="2" t="s">
        <v>13353</v>
      </c>
      <c r="K1479" s="2" t="s">
        <v>13355</v>
      </c>
      <c r="L1479" s="2"/>
      <c r="M1479" s="2"/>
      <c r="N1479" s="2" t="s">
        <v>6062</v>
      </c>
      <c r="O1479" s="2" t="s">
        <v>217</v>
      </c>
      <c r="P1479" s="2" t="s">
        <v>13357</v>
      </c>
      <c r="Q1479" s="2" t="s">
        <v>13355</v>
      </c>
      <c r="R1479" s="2"/>
      <c r="S1479" s="2"/>
      <c r="T1479" s="2"/>
      <c r="U1479" s="2" t="s">
        <v>6062</v>
      </c>
      <c r="V1479" s="2" t="s">
        <v>217</v>
      </c>
      <c r="W1479" s="2" t="s">
        <v>13357</v>
      </c>
      <c r="X1479" s="2" t="s">
        <v>13358</v>
      </c>
      <c r="Y1479" s="2" t="s">
        <v>44</v>
      </c>
      <c r="Z1479" s="2"/>
      <c r="AA1479" s="2" t="s">
        <v>3527</v>
      </c>
      <c r="AB1479" s="2" t="s">
        <v>46</v>
      </c>
      <c r="AC1479" s="2" t="s">
        <v>3527</v>
      </c>
      <c r="AE1479" s="2" t="s">
        <v>10801</v>
      </c>
      <c r="AF1479" s="2" t="s">
        <v>7864</v>
      </c>
      <c r="AG1479" s="2">
        <v>90</v>
      </c>
      <c r="AH1479" s="2">
        <v>0</v>
      </c>
      <c r="AJ1479" s="2" t="s">
        <v>13359</v>
      </c>
      <c r="AK1479" s="2"/>
      <c r="AL1479" s="2"/>
      <c r="AM1479" s="2" t="s">
        <v>10791</v>
      </c>
    </row>
    <row r="1480" spans="1:39" x14ac:dyDescent="0.45">
      <c r="A1480" s="2" t="s">
        <v>13360</v>
      </c>
      <c r="B1480" s="2"/>
      <c r="C1480" s="2" t="s">
        <v>13362</v>
      </c>
      <c r="D1480" s="2" t="s">
        <v>13364</v>
      </c>
      <c r="E1480" s="25"/>
      <c r="F1480" s="21"/>
      <c r="G1480" s="21"/>
      <c r="H1480" s="2" t="s">
        <v>10789</v>
      </c>
      <c r="I1480" s="2" t="s">
        <v>10787</v>
      </c>
      <c r="J1480" s="2" t="s">
        <v>13361</v>
      </c>
      <c r="K1480" s="2" t="s">
        <v>13363</v>
      </c>
      <c r="L1480" s="2"/>
      <c r="M1480" s="2"/>
      <c r="N1480" s="2" t="s">
        <v>1115</v>
      </c>
      <c r="O1480" s="2" t="s">
        <v>1112</v>
      </c>
      <c r="P1480" s="2" t="s">
        <v>1113</v>
      </c>
      <c r="Q1480" s="2" t="s">
        <v>13363</v>
      </c>
      <c r="R1480" s="2"/>
      <c r="S1480" s="2"/>
      <c r="T1480" s="2"/>
      <c r="U1480" s="2" t="s">
        <v>1115</v>
      </c>
      <c r="V1480" s="2" t="s">
        <v>1112</v>
      </c>
      <c r="W1480" s="2" t="s">
        <v>1113</v>
      </c>
      <c r="X1480" s="2" t="s">
        <v>13365</v>
      </c>
      <c r="Y1480" s="2" t="s">
        <v>44</v>
      </c>
      <c r="Z1480" s="2"/>
      <c r="AA1480" s="2" t="s">
        <v>3527</v>
      </c>
      <c r="AB1480" s="2" t="s">
        <v>46</v>
      </c>
      <c r="AC1480" s="2" t="s">
        <v>3527</v>
      </c>
      <c r="AE1480" s="2" t="s">
        <v>10801</v>
      </c>
      <c r="AF1480" s="2" t="s">
        <v>7864</v>
      </c>
      <c r="AG1480" s="2">
        <v>90</v>
      </c>
      <c r="AH1480" s="2">
        <v>0</v>
      </c>
      <c r="AJ1480" s="2" t="s">
        <v>13366</v>
      </c>
      <c r="AK1480" s="2"/>
      <c r="AL1480" s="2"/>
      <c r="AM1480" s="2" t="s">
        <v>10791</v>
      </c>
    </row>
    <row r="1481" spans="1:39" x14ac:dyDescent="0.45">
      <c r="A1481" s="2" t="s">
        <v>13367</v>
      </c>
      <c r="B1481" s="2"/>
      <c r="C1481" s="2" t="s">
        <v>13369</v>
      </c>
      <c r="D1481" s="2" t="s">
        <v>13371</v>
      </c>
      <c r="E1481" s="25"/>
      <c r="F1481" s="21"/>
      <c r="G1481" s="21"/>
      <c r="H1481" s="2" t="s">
        <v>10789</v>
      </c>
      <c r="I1481" s="2" t="s">
        <v>10787</v>
      </c>
      <c r="J1481" s="2" t="s">
        <v>13368</v>
      </c>
      <c r="K1481" s="2" t="s">
        <v>13370</v>
      </c>
      <c r="L1481" s="2"/>
      <c r="M1481" s="2"/>
      <c r="N1481" s="2" t="s">
        <v>384</v>
      </c>
      <c r="O1481" s="2" t="s">
        <v>73</v>
      </c>
      <c r="P1481" s="2" t="s">
        <v>951</v>
      </c>
      <c r="Q1481" s="2" t="s">
        <v>13370</v>
      </c>
      <c r="R1481" s="2"/>
      <c r="S1481" s="2"/>
      <c r="T1481" s="2"/>
      <c r="U1481" s="2" t="s">
        <v>384</v>
      </c>
      <c r="V1481" s="2" t="s">
        <v>73</v>
      </c>
      <c r="W1481" s="2" t="s">
        <v>951</v>
      </c>
      <c r="X1481" s="2" t="s">
        <v>13372</v>
      </c>
      <c r="Y1481" s="2" t="s">
        <v>44</v>
      </c>
      <c r="Z1481" s="2"/>
      <c r="AA1481" s="2" t="s">
        <v>3527</v>
      </c>
      <c r="AB1481" s="2" t="s">
        <v>46</v>
      </c>
      <c r="AC1481" s="2" t="s">
        <v>3527</v>
      </c>
      <c r="AE1481" s="2" t="s">
        <v>10801</v>
      </c>
      <c r="AF1481" s="2" t="s">
        <v>7864</v>
      </c>
      <c r="AG1481" s="2">
        <v>90</v>
      </c>
      <c r="AH1481" s="2">
        <v>0</v>
      </c>
      <c r="AJ1481" s="2" t="s">
        <v>13373</v>
      </c>
      <c r="AK1481" s="2"/>
      <c r="AL1481" s="2"/>
      <c r="AM1481" s="2" t="s">
        <v>10791</v>
      </c>
    </row>
    <row r="1482" spans="1:39" x14ac:dyDescent="0.45">
      <c r="A1482" s="2" t="s">
        <v>13374</v>
      </c>
      <c r="B1482" s="2"/>
      <c r="C1482" s="2" t="s">
        <v>13376</v>
      </c>
      <c r="D1482" s="2" t="s">
        <v>13378</v>
      </c>
      <c r="E1482" s="25"/>
      <c r="F1482" s="21"/>
      <c r="G1482" s="21"/>
      <c r="H1482" s="2" t="s">
        <v>10789</v>
      </c>
      <c r="I1482" s="2" t="s">
        <v>10787</v>
      </c>
      <c r="J1482" s="2" t="s">
        <v>13375</v>
      </c>
      <c r="K1482" s="2" t="s">
        <v>13377</v>
      </c>
      <c r="L1482" s="2"/>
      <c r="M1482" s="2"/>
      <c r="N1482" s="2" t="s">
        <v>1161</v>
      </c>
      <c r="O1482" s="2" t="s">
        <v>221</v>
      </c>
      <c r="P1482" s="2" t="s">
        <v>13379</v>
      </c>
      <c r="Q1482" s="2"/>
      <c r="R1482" s="2"/>
      <c r="S1482" s="2"/>
      <c r="T1482" s="2"/>
      <c r="U1482" s="2"/>
      <c r="V1482" s="2"/>
      <c r="W1482" s="2"/>
      <c r="X1482" s="2" t="s">
        <v>13380</v>
      </c>
      <c r="Y1482" s="2" t="s">
        <v>44</v>
      </c>
      <c r="Z1482" s="2"/>
      <c r="AA1482" s="2" t="s">
        <v>3527</v>
      </c>
      <c r="AB1482" s="2" t="s">
        <v>46</v>
      </c>
      <c r="AC1482" s="2" t="s">
        <v>3527</v>
      </c>
      <c r="AE1482" s="2" t="s">
        <v>10801</v>
      </c>
      <c r="AF1482" s="2" t="s">
        <v>7864</v>
      </c>
      <c r="AG1482" s="2">
        <v>90</v>
      </c>
      <c r="AH1482" s="2">
        <v>0</v>
      </c>
      <c r="AJ1482" s="2" t="s">
        <v>13381</v>
      </c>
      <c r="AK1482" s="2"/>
      <c r="AL1482" s="2"/>
      <c r="AM1482" s="2" t="s">
        <v>10791</v>
      </c>
    </row>
    <row r="1483" spans="1:39" x14ac:dyDescent="0.45">
      <c r="A1483" s="2" t="s">
        <v>13382</v>
      </c>
      <c r="B1483" s="2"/>
      <c r="C1483" s="2" t="s">
        <v>13384</v>
      </c>
      <c r="D1483" s="2" t="s">
        <v>13386</v>
      </c>
      <c r="E1483" s="25"/>
      <c r="F1483" s="21"/>
      <c r="G1483" s="21"/>
      <c r="H1483" s="2" t="s">
        <v>10789</v>
      </c>
      <c r="I1483" s="2" t="s">
        <v>10787</v>
      </c>
      <c r="J1483" s="2" t="s">
        <v>13383</v>
      </c>
      <c r="K1483" s="2" t="s">
        <v>13385</v>
      </c>
      <c r="L1483" s="2"/>
      <c r="M1483" s="2"/>
      <c r="N1483" s="2" t="s">
        <v>384</v>
      </c>
      <c r="O1483" s="2" t="s">
        <v>73</v>
      </c>
      <c r="P1483" s="2" t="s">
        <v>951</v>
      </c>
      <c r="Q1483" s="2" t="s">
        <v>13387</v>
      </c>
      <c r="R1483" s="2"/>
      <c r="S1483" s="2"/>
      <c r="T1483" s="2"/>
      <c r="U1483" s="2" t="s">
        <v>384</v>
      </c>
      <c r="V1483" s="2" t="s">
        <v>73</v>
      </c>
      <c r="W1483" s="2" t="s">
        <v>951</v>
      </c>
      <c r="X1483" s="2" t="s">
        <v>13388</v>
      </c>
      <c r="Y1483" s="2" t="s">
        <v>44</v>
      </c>
      <c r="Z1483" s="2"/>
      <c r="AA1483" s="2" t="s">
        <v>3527</v>
      </c>
      <c r="AB1483" s="2" t="s">
        <v>46</v>
      </c>
      <c r="AC1483" s="2" t="s">
        <v>3527</v>
      </c>
      <c r="AE1483" s="2" t="s">
        <v>10801</v>
      </c>
      <c r="AF1483" s="2" t="s">
        <v>7864</v>
      </c>
      <c r="AG1483" s="2">
        <v>90</v>
      </c>
      <c r="AH1483" s="2">
        <v>0</v>
      </c>
      <c r="AJ1483" s="2" t="s">
        <v>13389</v>
      </c>
      <c r="AK1483" s="2"/>
      <c r="AL1483" s="2"/>
      <c r="AM1483" s="2" t="s">
        <v>10791</v>
      </c>
    </row>
    <row r="1484" spans="1:39" x14ac:dyDescent="0.45">
      <c r="A1484" s="2" t="s">
        <v>13390</v>
      </c>
      <c r="B1484" s="2"/>
      <c r="C1484" s="2" t="s">
        <v>13392</v>
      </c>
      <c r="D1484" s="2" t="s">
        <v>13394</v>
      </c>
      <c r="E1484" s="25"/>
      <c r="F1484" s="21"/>
      <c r="G1484" s="21"/>
      <c r="H1484" s="2" t="s">
        <v>10789</v>
      </c>
      <c r="I1484" s="2" t="s">
        <v>10787</v>
      </c>
      <c r="J1484" s="2" t="s">
        <v>13391</v>
      </c>
      <c r="K1484" s="2" t="s">
        <v>13393</v>
      </c>
      <c r="L1484" s="2"/>
      <c r="M1484" s="2"/>
      <c r="N1484" s="2" t="s">
        <v>72</v>
      </c>
      <c r="O1484" s="2" t="s">
        <v>73</v>
      </c>
      <c r="P1484" s="2" t="s">
        <v>2270</v>
      </c>
      <c r="Q1484" s="2" t="s">
        <v>13393</v>
      </c>
      <c r="R1484" s="2"/>
      <c r="S1484" s="2"/>
      <c r="T1484" s="2"/>
      <c r="U1484" s="2" t="s">
        <v>72</v>
      </c>
      <c r="V1484" s="2" t="s">
        <v>73</v>
      </c>
      <c r="W1484" s="2" t="s">
        <v>2270</v>
      </c>
      <c r="X1484" s="2" t="s">
        <v>13395</v>
      </c>
      <c r="Y1484" s="2" t="s">
        <v>44</v>
      </c>
      <c r="Z1484" s="2"/>
      <c r="AA1484" s="2" t="s">
        <v>3527</v>
      </c>
      <c r="AB1484" s="2" t="s">
        <v>46</v>
      </c>
      <c r="AC1484" s="2" t="s">
        <v>3527</v>
      </c>
      <c r="AE1484" s="2" t="s">
        <v>10801</v>
      </c>
      <c r="AF1484" s="2" t="s">
        <v>7864</v>
      </c>
      <c r="AG1484" s="2">
        <v>90</v>
      </c>
      <c r="AH1484" s="2">
        <v>0</v>
      </c>
      <c r="AJ1484" s="2" t="s">
        <v>13396</v>
      </c>
      <c r="AK1484" s="2"/>
      <c r="AL1484" s="2"/>
      <c r="AM1484" s="2" t="s">
        <v>10791</v>
      </c>
    </row>
    <row r="1485" spans="1:39" x14ac:dyDescent="0.45">
      <c r="A1485" s="2" t="s">
        <v>13397</v>
      </c>
      <c r="B1485" s="2"/>
      <c r="C1485" s="2" t="s">
        <v>13399</v>
      </c>
      <c r="D1485" s="2" t="s">
        <v>13401</v>
      </c>
      <c r="E1485" s="25"/>
      <c r="F1485" s="21"/>
      <c r="G1485" s="21"/>
      <c r="H1485" s="2" t="s">
        <v>10789</v>
      </c>
      <c r="I1485" s="2" t="s">
        <v>11225</v>
      </c>
      <c r="J1485" s="2" t="s">
        <v>13398</v>
      </c>
      <c r="K1485" s="2" t="s">
        <v>13400</v>
      </c>
      <c r="L1485" s="2"/>
      <c r="M1485" s="2"/>
      <c r="N1485" s="2" t="s">
        <v>85</v>
      </c>
      <c r="O1485" s="2" t="s">
        <v>86</v>
      </c>
      <c r="P1485" s="2" t="s">
        <v>13402</v>
      </c>
      <c r="Q1485" s="2" t="s">
        <v>13400</v>
      </c>
      <c r="R1485" s="2"/>
      <c r="S1485" s="2"/>
      <c r="T1485" s="2"/>
      <c r="U1485" s="2" t="s">
        <v>85</v>
      </c>
      <c r="V1485" s="2" t="s">
        <v>86</v>
      </c>
      <c r="W1485" s="2" t="s">
        <v>13402</v>
      </c>
      <c r="X1485" s="2" t="s">
        <v>13403</v>
      </c>
      <c r="Y1485" s="2" t="s">
        <v>44</v>
      </c>
      <c r="Z1485" s="2"/>
      <c r="AA1485" s="2" t="s">
        <v>3527</v>
      </c>
      <c r="AB1485" s="2" t="s">
        <v>46</v>
      </c>
      <c r="AC1485" s="2" t="s">
        <v>3527</v>
      </c>
      <c r="AE1485" s="2" t="s">
        <v>10801</v>
      </c>
      <c r="AF1485" s="2" t="s">
        <v>7864</v>
      </c>
      <c r="AG1485" s="2">
        <v>90</v>
      </c>
      <c r="AH1485" s="2">
        <v>0</v>
      </c>
      <c r="AJ1485" s="2" t="s">
        <v>13404</v>
      </c>
      <c r="AK1485" s="2"/>
      <c r="AL1485" s="2"/>
      <c r="AM1485" s="2" t="s">
        <v>10791</v>
      </c>
    </row>
    <row r="1486" spans="1:39" x14ac:dyDescent="0.45">
      <c r="A1486" s="2" t="s">
        <v>13397</v>
      </c>
      <c r="B1486" s="2"/>
      <c r="C1486" s="2" t="s">
        <v>13399</v>
      </c>
      <c r="D1486" s="2" t="s">
        <v>13401</v>
      </c>
      <c r="E1486" s="25"/>
      <c r="F1486" s="21"/>
      <c r="G1486" s="21"/>
      <c r="H1486" s="2" t="s">
        <v>10789</v>
      </c>
      <c r="I1486" s="2" t="s">
        <v>11225</v>
      </c>
      <c r="J1486" s="2" t="s">
        <v>13398</v>
      </c>
      <c r="K1486" s="2" t="s">
        <v>13400</v>
      </c>
      <c r="L1486" s="2"/>
      <c r="M1486" s="2"/>
      <c r="N1486" s="2" t="s">
        <v>85</v>
      </c>
      <c r="O1486" s="2" t="s">
        <v>86</v>
      </c>
      <c r="P1486" s="2" t="s">
        <v>13402</v>
      </c>
      <c r="Q1486" s="2" t="s">
        <v>13400</v>
      </c>
      <c r="R1486" s="2"/>
      <c r="S1486" s="2"/>
      <c r="T1486" s="2"/>
      <c r="U1486" s="2" t="s">
        <v>85</v>
      </c>
      <c r="V1486" s="2" t="s">
        <v>86</v>
      </c>
      <c r="W1486" s="2" t="s">
        <v>13402</v>
      </c>
      <c r="X1486" s="2" t="s">
        <v>13403</v>
      </c>
      <c r="Y1486" s="2" t="s">
        <v>44</v>
      </c>
      <c r="Z1486" s="2"/>
      <c r="AA1486" s="2" t="s">
        <v>3527</v>
      </c>
      <c r="AB1486" s="2" t="s">
        <v>46</v>
      </c>
      <c r="AC1486" s="2" t="s">
        <v>3527</v>
      </c>
      <c r="AE1486" s="2" t="s">
        <v>10801</v>
      </c>
      <c r="AF1486" s="2" t="s">
        <v>7864</v>
      </c>
      <c r="AG1486" s="2">
        <v>90</v>
      </c>
      <c r="AH1486" s="2">
        <v>0</v>
      </c>
      <c r="AJ1486" s="2" t="s">
        <v>13404</v>
      </c>
      <c r="AK1486" s="2"/>
      <c r="AL1486" s="2"/>
      <c r="AM1486" s="2" t="s">
        <v>10791</v>
      </c>
    </row>
    <row r="1487" spans="1:39" x14ac:dyDescent="0.45">
      <c r="A1487" s="2" t="s">
        <v>13405</v>
      </c>
      <c r="B1487" s="2"/>
      <c r="C1487" s="2" t="s">
        <v>13407</v>
      </c>
      <c r="D1487" s="2" t="s">
        <v>13409</v>
      </c>
      <c r="E1487" s="25"/>
      <c r="F1487" s="21"/>
      <c r="G1487" s="21"/>
      <c r="H1487" s="2" t="s">
        <v>10789</v>
      </c>
      <c r="I1487" s="2" t="s">
        <v>10787</v>
      </c>
      <c r="J1487" s="2" t="s">
        <v>13406</v>
      </c>
      <c r="K1487" s="2" t="s">
        <v>13408</v>
      </c>
      <c r="L1487" s="2"/>
      <c r="M1487" s="2"/>
      <c r="N1487" s="2" t="s">
        <v>384</v>
      </c>
      <c r="O1487" s="2" t="s">
        <v>73</v>
      </c>
      <c r="P1487" s="2" t="s">
        <v>559</v>
      </c>
      <c r="Q1487" s="2" t="s">
        <v>13410</v>
      </c>
      <c r="R1487" s="2"/>
      <c r="S1487" s="2"/>
      <c r="T1487" s="2"/>
      <c r="U1487" s="2" t="s">
        <v>384</v>
      </c>
      <c r="V1487" s="2" t="s">
        <v>73</v>
      </c>
      <c r="W1487" s="2" t="s">
        <v>559</v>
      </c>
      <c r="X1487" s="2" t="s">
        <v>4464</v>
      </c>
      <c r="Y1487" s="2" t="s">
        <v>44</v>
      </c>
      <c r="Z1487" s="2"/>
      <c r="AA1487" s="2" t="s">
        <v>3527</v>
      </c>
      <c r="AB1487" s="2" t="s">
        <v>46</v>
      </c>
      <c r="AC1487" s="2" t="s">
        <v>3527</v>
      </c>
      <c r="AE1487" s="2" t="s">
        <v>10801</v>
      </c>
      <c r="AF1487" s="2" t="s">
        <v>7864</v>
      </c>
      <c r="AG1487" s="2">
        <v>90</v>
      </c>
      <c r="AH1487" s="2">
        <v>0</v>
      </c>
      <c r="AJ1487" s="2" t="s">
        <v>13411</v>
      </c>
      <c r="AK1487" s="2"/>
      <c r="AL1487" s="2"/>
      <c r="AM1487" s="2" t="s">
        <v>10791</v>
      </c>
    </row>
    <row r="1488" spans="1:39" x14ac:dyDescent="0.45">
      <c r="A1488" s="2" t="s">
        <v>13412</v>
      </c>
      <c r="B1488" s="2"/>
      <c r="C1488" s="2" t="s">
        <v>13414</v>
      </c>
      <c r="D1488" s="2" t="s">
        <v>13416</v>
      </c>
      <c r="E1488" s="25"/>
      <c r="F1488" s="21"/>
      <c r="G1488" s="21"/>
      <c r="H1488" s="2" t="s">
        <v>10789</v>
      </c>
      <c r="I1488" s="2" t="s">
        <v>10787</v>
      </c>
      <c r="J1488" s="2" t="s">
        <v>13413</v>
      </c>
      <c r="K1488" s="2" t="s">
        <v>13415</v>
      </c>
      <c r="L1488" s="2"/>
      <c r="M1488" s="2"/>
      <c r="N1488" s="2" t="s">
        <v>536</v>
      </c>
      <c r="O1488" s="2" t="s">
        <v>537</v>
      </c>
      <c r="P1488" s="2" t="s">
        <v>4096</v>
      </c>
      <c r="Q1488" s="2" t="s">
        <v>13415</v>
      </c>
      <c r="R1488" s="2"/>
      <c r="S1488" s="2"/>
      <c r="T1488" s="2"/>
      <c r="U1488" s="2" t="s">
        <v>536</v>
      </c>
      <c r="V1488" s="2" t="s">
        <v>537</v>
      </c>
      <c r="W1488" s="2" t="s">
        <v>4096</v>
      </c>
      <c r="X1488" s="2" t="s">
        <v>13417</v>
      </c>
      <c r="Y1488" s="2" t="s">
        <v>44</v>
      </c>
      <c r="Z1488" s="2"/>
      <c r="AA1488" s="2" t="s">
        <v>3527</v>
      </c>
      <c r="AB1488" s="2" t="s">
        <v>46</v>
      </c>
      <c r="AC1488" s="2" t="s">
        <v>3527</v>
      </c>
      <c r="AE1488" s="2" t="s">
        <v>10801</v>
      </c>
      <c r="AF1488" s="2" t="s">
        <v>7864</v>
      </c>
      <c r="AG1488" s="2">
        <v>90</v>
      </c>
      <c r="AH1488" s="2">
        <v>0</v>
      </c>
      <c r="AJ1488" s="2" t="s">
        <v>13418</v>
      </c>
      <c r="AK1488" s="2"/>
      <c r="AL1488" s="2"/>
      <c r="AM1488" s="2" t="s">
        <v>10791</v>
      </c>
    </row>
    <row r="1489" spans="1:39" x14ac:dyDescent="0.45">
      <c r="A1489" s="2" t="s">
        <v>13419</v>
      </c>
      <c r="B1489" s="2"/>
      <c r="C1489" s="2" t="s">
        <v>13421</v>
      </c>
      <c r="D1489" s="2" t="s">
        <v>13423</v>
      </c>
      <c r="E1489" s="25"/>
      <c r="F1489" s="21"/>
      <c r="G1489" s="21"/>
      <c r="H1489" s="2" t="s">
        <v>10789</v>
      </c>
      <c r="I1489" s="2" t="s">
        <v>10787</v>
      </c>
      <c r="J1489" s="2" t="s">
        <v>13420</v>
      </c>
      <c r="K1489" s="2" t="s">
        <v>13422</v>
      </c>
      <c r="L1489" s="2"/>
      <c r="M1489" s="2"/>
      <c r="N1489" s="2" t="s">
        <v>312</v>
      </c>
      <c r="O1489" s="2" t="s">
        <v>313</v>
      </c>
      <c r="P1489" s="2" t="s">
        <v>11535</v>
      </c>
      <c r="Q1489" s="2" t="s">
        <v>13422</v>
      </c>
      <c r="R1489" s="2"/>
      <c r="S1489" s="2"/>
      <c r="T1489" s="2"/>
      <c r="U1489" s="2" t="s">
        <v>312</v>
      </c>
      <c r="V1489" s="2" t="s">
        <v>313</v>
      </c>
      <c r="W1489" s="2" t="s">
        <v>11535</v>
      </c>
      <c r="X1489" s="2" t="s">
        <v>13424</v>
      </c>
      <c r="Y1489" s="2" t="s">
        <v>44</v>
      </c>
      <c r="Z1489" s="2"/>
      <c r="AA1489" s="2" t="s">
        <v>3527</v>
      </c>
      <c r="AB1489" s="2" t="s">
        <v>46</v>
      </c>
      <c r="AC1489" s="2" t="s">
        <v>3527</v>
      </c>
      <c r="AE1489" s="2" t="s">
        <v>10801</v>
      </c>
      <c r="AF1489" s="2" t="s">
        <v>7864</v>
      </c>
      <c r="AG1489" s="2">
        <v>90</v>
      </c>
      <c r="AH1489" s="2">
        <v>0</v>
      </c>
      <c r="AJ1489" s="2" t="s">
        <v>13425</v>
      </c>
      <c r="AK1489" s="2"/>
      <c r="AL1489" s="2"/>
      <c r="AM1489" s="2" t="s">
        <v>10791</v>
      </c>
    </row>
    <row r="1490" spans="1:39" x14ac:dyDescent="0.45">
      <c r="A1490" s="2" t="s">
        <v>13426</v>
      </c>
      <c r="B1490" s="2"/>
      <c r="C1490" s="2" t="s">
        <v>13428</v>
      </c>
      <c r="D1490" s="2" t="s">
        <v>13430</v>
      </c>
      <c r="E1490" s="25"/>
      <c r="F1490" s="21"/>
      <c r="G1490" s="21"/>
      <c r="H1490" s="2" t="s">
        <v>10789</v>
      </c>
      <c r="I1490" s="2" t="s">
        <v>10787</v>
      </c>
      <c r="J1490" s="2" t="s">
        <v>13427</v>
      </c>
      <c r="K1490" s="2" t="s">
        <v>13429</v>
      </c>
      <c r="L1490" s="2"/>
      <c r="M1490" s="2"/>
      <c r="N1490" s="2" t="s">
        <v>2962</v>
      </c>
      <c r="O1490" s="2" t="s">
        <v>73</v>
      </c>
      <c r="P1490" s="2" t="s">
        <v>13431</v>
      </c>
      <c r="Q1490" s="2" t="s">
        <v>13429</v>
      </c>
      <c r="R1490" s="2"/>
      <c r="S1490" s="2"/>
      <c r="T1490" s="2"/>
      <c r="U1490" s="2" t="s">
        <v>2962</v>
      </c>
      <c r="V1490" s="2" t="s">
        <v>73</v>
      </c>
      <c r="W1490" s="2" t="s">
        <v>13431</v>
      </c>
      <c r="X1490" s="2" t="s">
        <v>13432</v>
      </c>
      <c r="Y1490" s="2" t="s">
        <v>44</v>
      </c>
      <c r="Z1490" s="2"/>
      <c r="AA1490" s="2" t="s">
        <v>3527</v>
      </c>
      <c r="AB1490" s="2" t="s">
        <v>46</v>
      </c>
      <c r="AC1490" s="2" t="s">
        <v>3527</v>
      </c>
      <c r="AE1490" s="2" t="s">
        <v>10801</v>
      </c>
      <c r="AF1490" s="2" t="s">
        <v>7864</v>
      </c>
      <c r="AG1490" s="2">
        <v>90</v>
      </c>
      <c r="AH1490" s="2">
        <v>0</v>
      </c>
      <c r="AJ1490" s="2" t="s">
        <v>13433</v>
      </c>
      <c r="AK1490" s="2"/>
      <c r="AL1490" s="2"/>
      <c r="AM1490" s="2" t="s">
        <v>10791</v>
      </c>
    </row>
    <row r="1491" spans="1:39" x14ac:dyDescent="0.45">
      <c r="A1491" s="2" t="s">
        <v>13434</v>
      </c>
      <c r="B1491" s="2"/>
      <c r="C1491" s="2" t="s">
        <v>13436</v>
      </c>
      <c r="D1491" s="2" t="s">
        <v>13438</v>
      </c>
      <c r="E1491" s="25"/>
      <c r="F1491" s="21"/>
      <c r="G1491" s="21"/>
      <c r="H1491" s="2" t="s">
        <v>10789</v>
      </c>
      <c r="I1491" s="2" t="s">
        <v>10787</v>
      </c>
      <c r="J1491" s="2" t="s">
        <v>13435</v>
      </c>
      <c r="K1491" s="2" t="s">
        <v>13437</v>
      </c>
      <c r="L1491" s="2"/>
      <c r="M1491" s="2"/>
      <c r="N1491" s="2" t="s">
        <v>1136</v>
      </c>
      <c r="O1491" s="2" t="s">
        <v>1137</v>
      </c>
      <c r="P1491" s="2" t="s">
        <v>13439</v>
      </c>
      <c r="Q1491" s="2" t="s">
        <v>13440</v>
      </c>
      <c r="R1491" s="2"/>
      <c r="S1491" s="2"/>
      <c r="T1491" s="2"/>
      <c r="U1491" s="2" t="s">
        <v>1136</v>
      </c>
      <c r="V1491" s="2" t="s">
        <v>1137</v>
      </c>
      <c r="W1491" s="2" t="s">
        <v>13439</v>
      </c>
      <c r="X1491" s="2" t="s">
        <v>8315</v>
      </c>
      <c r="Y1491" s="2" t="s">
        <v>44</v>
      </c>
      <c r="Z1491" s="2"/>
      <c r="AA1491" s="2" t="s">
        <v>3527</v>
      </c>
      <c r="AB1491" s="2" t="s">
        <v>46</v>
      </c>
      <c r="AC1491" s="2" t="s">
        <v>3527</v>
      </c>
      <c r="AE1491" s="2" t="s">
        <v>10801</v>
      </c>
      <c r="AF1491" s="2" t="s">
        <v>7864</v>
      </c>
      <c r="AG1491" s="2">
        <v>90</v>
      </c>
      <c r="AH1491" s="2">
        <v>0</v>
      </c>
      <c r="AJ1491" s="2" t="s">
        <v>13441</v>
      </c>
      <c r="AK1491" s="2"/>
      <c r="AL1491" s="2"/>
      <c r="AM1491" s="2" t="s">
        <v>10791</v>
      </c>
    </row>
    <row r="1492" spans="1:39" x14ac:dyDescent="0.45">
      <c r="A1492" s="2" t="s">
        <v>13442</v>
      </c>
      <c r="B1492" s="2"/>
      <c r="C1492" s="2" t="s">
        <v>13444</v>
      </c>
      <c r="D1492" s="2" t="s">
        <v>13446</v>
      </c>
      <c r="E1492" s="25"/>
      <c r="F1492" s="21"/>
      <c r="G1492" s="21"/>
      <c r="H1492" s="2" t="s">
        <v>10789</v>
      </c>
      <c r="I1492" s="2" t="s">
        <v>10787</v>
      </c>
      <c r="J1492" s="2" t="s">
        <v>13443</v>
      </c>
      <c r="K1492" s="2" t="s">
        <v>13445</v>
      </c>
      <c r="L1492" s="2"/>
      <c r="M1492" s="2"/>
      <c r="N1492" s="2" t="s">
        <v>12582</v>
      </c>
      <c r="O1492" s="2" t="s">
        <v>313</v>
      </c>
      <c r="P1492" s="2" t="s">
        <v>12583</v>
      </c>
      <c r="Q1492" s="2" t="s">
        <v>13447</v>
      </c>
      <c r="R1492" s="2"/>
      <c r="S1492" s="2"/>
      <c r="T1492" s="2"/>
      <c r="U1492" s="2" t="s">
        <v>12582</v>
      </c>
      <c r="V1492" s="2" t="s">
        <v>313</v>
      </c>
      <c r="W1492" s="2" t="s">
        <v>12583</v>
      </c>
      <c r="X1492" s="2" t="s">
        <v>13448</v>
      </c>
      <c r="Y1492" s="2" t="s">
        <v>44</v>
      </c>
      <c r="Z1492" s="2"/>
      <c r="AA1492" s="2" t="s">
        <v>3527</v>
      </c>
      <c r="AB1492" s="2" t="s">
        <v>46</v>
      </c>
      <c r="AC1492" s="2" t="s">
        <v>3527</v>
      </c>
      <c r="AE1492" s="2" t="s">
        <v>10801</v>
      </c>
      <c r="AF1492" s="2" t="s">
        <v>7864</v>
      </c>
      <c r="AG1492" s="2">
        <v>90</v>
      </c>
      <c r="AH1492" s="2">
        <v>0</v>
      </c>
      <c r="AJ1492" s="2" t="s">
        <v>13449</v>
      </c>
      <c r="AK1492" s="2"/>
      <c r="AL1492" s="2"/>
      <c r="AM1492" s="2" t="s">
        <v>10791</v>
      </c>
    </row>
    <row r="1493" spans="1:39" x14ac:dyDescent="0.45">
      <c r="A1493" s="2" t="s">
        <v>13450</v>
      </c>
      <c r="B1493" s="2"/>
      <c r="C1493" s="2" t="s">
        <v>13452</v>
      </c>
      <c r="D1493" s="2" t="s">
        <v>13454</v>
      </c>
      <c r="E1493" s="25"/>
      <c r="F1493" s="21"/>
      <c r="G1493" s="21"/>
      <c r="H1493" s="2" t="s">
        <v>10789</v>
      </c>
      <c r="I1493" s="2" t="s">
        <v>10787</v>
      </c>
      <c r="J1493" s="2" t="s">
        <v>13451</v>
      </c>
      <c r="K1493" s="2" t="s">
        <v>13453</v>
      </c>
      <c r="L1493" s="2"/>
      <c r="M1493" s="2"/>
      <c r="N1493" s="2" t="s">
        <v>651</v>
      </c>
      <c r="O1493" s="2" t="s">
        <v>86</v>
      </c>
      <c r="P1493" s="2" t="s">
        <v>13455</v>
      </c>
      <c r="Q1493" s="2" t="s">
        <v>13456</v>
      </c>
      <c r="R1493" s="2"/>
      <c r="S1493" s="2"/>
      <c r="T1493" s="2"/>
      <c r="U1493" s="2" t="s">
        <v>651</v>
      </c>
      <c r="V1493" s="2" t="s">
        <v>86</v>
      </c>
      <c r="W1493" s="2" t="s">
        <v>87</v>
      </c>
      <c r="X1493" s="2" t="s">
        <v>13457</v>
      </c>
      <c r="Y1493" s="2" t="s">
        <v>44</v>
      </c>
      <c r="Z1493" s="2"/>
      <c r="AA1493" s="2" t="s">
        <v>3527</v>
      </c>
      <c r="AB1493" s="2" t="s">
        <v>46</v>
      </c>
      <c r="AC1493" s="2" t="s">
        <v>3527</v>
      </c>
      <c r="AE1493" s="2" t="s">
        <v>10801</v>
      </c>
      <c r="AF1493" s="2" t="s">
        <v>7864</v>
      </c>
      <c r="AG1493" s="2">
        <v>90</v>
      </c>
      <c r="AH1493" s="2">
        <v>0</v>
      </c>
      <c r="AJ1493" s="2" t="s">
        <v>13458</v>
      </c>
      <c r="AK1493" s="2"/>
      <c r="AL1493" s="2"/>
      <c r="AM1493" s="2" t="s">
        <v>10791</v>
      </c>
    </row>
    <row r="1494" spans="1:39" x14ac:dyDescent="0.45">
      <c r="A1494" s="2" t="s">
        <v>13459</v>
      </c>
      <c r="B1494" s="2"/>
      <c r="C1494" s="2" t="s">
        <v>13461</v>
      </c>
      <c r="D1494" s="2" t="s">
        <v>13463</v>
      </c>
      <c r="E1494" s="25"/>
      <c r="F1494" s="21"/>
      <c r="G1494" s="21"/>
      <c r="H1494" s="2" t="s">
        <v>10789</v>
      </c>
      <c r="I1494" s="2" t="s">
        <v>10787</v>
      </c>
      <c r="J1494" s="2" t="s">
        <v>13460</v>
      </c>
      <c r="K1494" s="2" t="s">
        <v>13462</v>
      </c>
      <c r="L1494" s="2"/>
      <c r="M1494" s="2"/>
      <c r="N1494" s="2" t="s">
        <v>651</v>
      </c>
      <c r="O1494" s="2" t="s">
        <v>86</v>
      </c>
      <c r="P1494" s="2" t="s">
        <v>3948</v>
      </c>
      <c r="Q1494" s="2" t="s">
        <v>13464</v>
      </c>
      <c r="R1494" s="2"/>
      <c r="S1494" s="2"/>
      <c r="T1494" s="2"/>
      <c r="U1494" s="2" t="s">
        <v>312</v>
      </c>
      <c r="V1494" s="2" t="s">
        <v>313</v>
      </c>
      <c r="W1494" s="2" t="s">
        <v>7647</v>
      </c>
      <c r="X1494" s="2" t="s">
        <v>9930</v>
      </c>
      <c r="Y1494" s="2" t="s">
        <v>44</v>
      </c>
      <c r="Z1494" s="2"/>
      <c r="AA1494" s="2" t="s">
        <v>3527</v>
      </c>
      <c r="AB1494" s="2" t="s">
        <v>46</v>
      </c>
      <c r="AC1494" s="2" t="s">
        <v>3527</v>
      </c>
      <c r="AE1494" s="2" t="s">
        <v>10801</v>
      </c>
      <c r="AF1494" s="2" t="s">
        <v>7864</v>
      </c>
      <c r="AG1494" s="2">
        <v>90</v>
      </c>
      <c r="AH1494" s="2">
        <v>0</v>
      </c>
      <c r="AJ1494" s="2" t="s">
        <v>13465</v>
      </c>
      <c r="AK1494" s="2"/>
      <c r="AL1494" s="2"/>
      <c r="AM1494" s="2" t="s">
        <v>10791</v>
      </c>
    </row>
    <row r="1495" spans="1:39" x14ac:dyDescent="0.45">
      <c r="A1495" s="2" t="s">
        <v>13466</v>
      </c>
      <c r="B1495" s="2"/>
      <c r="C1495" s="2" t="s">
        <v>13468</v>
      </c>
      <c r="D1495" s="2" t="s">
        <v>13470</v>
      </c>
      <c r="E1495" s="25"/>
      <c r="F1495" s="21"/>
      <c r="G1495" s="21"/>
      <c r="H1495" s="2" t="s">
        <v>10789</v>
      </c>
      <c r="I1495" s="2" t="s">
        <v>10787</v>
      </c>
      <c r="J1495" s="2" t="s">
        <v>13467</v>
      </c>
      <c r="K1495" s="2" t="s">
        <v>13469</v>
      </c>
      <c r="L1495" s="2"/>
      <c r="M1495" s="2"/>
      <c r="N1495" s="2" t="s">
        <v>59</v>
      </c>
      <c r="O1495" s="2" t="s">
        <v>60</v>
      </c>
      <c r="P1495" s="2" t="s">
        <v>8113</v>
      </c>
      <c r="Q1495" s="2" t="s">
        <v>13469</v>
      </c>
      <c r="R1495" s="2"/>
      <c r="S1495" s="2"/>
      <c r="T1495" s="2"/>
      <c r="U1495" s="2" t="s">
        <v>59</v>
      </c>
      <c r="V1495" s="2" t="s">
        <v>60</v>
      </c>
      <c r="W1495" s="2" t="s">
        <v>8113</v>
      </c>
      <c r="X1495" s="2" t="s">
        <v>6855</v>
      </c>
      <c r="Y1495" s="2" t="s">
        <v>44</v>
      </c>
      <c r="Z1495" s="2"/>
      <c r="AA1495" s="2" t="s">
        <v>3527</v>
      </c>
      <c r="AB1495" s="2" t="s">
        <v>46</v>
      </c>
      <c r="AC1495" s="2" t="s">
        <v>3527</v>
      </c>
      <c r="AE1495" s="2" t="s">
        <v>10801</v>
      </c>
      <c r="AF1495" s="2" t="s">
        <v>7864</v>
      </c>
      <c r="AG1495" s="2">
        <v>90</v>
      </c>
      <c r="AH1495" s="2">
        <v>0</v>
      </c>
      <c r="AJ1495" s="2" t="s">
        <v>13471</v>
      </c>
      <c r="AK1495" s="2"/>
      <c r="AL1495" s="2"/>
      <c r="AM1495" s="2" t="s">
        <v>10791</v>
      </c>
    </row>
    <row r="1496" spans="1:39" x14ac:dyDescent="0.45">
      <c r="A1496" s="2" t="s">
        <v>13472</v>
      </c>
      <c r="B1496" s="2"/>
      <c r="C1496" s="2" t="s">
        <v>13474</v>
      </c>
      <c r="D1496" s="2" t="s">
        <v>13476</v>
      </c>
      <c r="E1496" s="25"/>
      <c r="F1496" s="21"/>
      <c r="G1496" s="21"/>
      <c r="H1496" s="2" t="s">
        <v>10789</v>
      </c>
      <c r="I1496" s="2" t="s">
        <v>10787</v>
      </c>
      <c r="J1496" s="2" t="s">
        <v>13473</v>
      </c>
      <c r="K1496" s="2" t="s">
        <v>13475</v>
      </c>
      <c r="L1496" s="2"/>
      <c r="M1496" s="2"/>
      <c r="N1496" s="2" t="s">
        <v>290</v>
      </c>
      <c r="O1496" s="2" t="s">
        <v>278</v>
      </c>
      <c r="P1496" s="2" t="s">
        <v>13477</v>
      </c>
      <c r="Q1496" s="2" t="s">
        <v>13475</v>
      </c>
      <c r="R1496" s="2"/>
      <c r="S1496" s="2"/>
      <c r="T1496" s="2"/>
      <c r="U1496" s="2" t="s">
        <v>290</v>
      </c>
      <c r="V1496" s="2" t="s">
        <v>278</v>
      </c>
      <c r="W1496" s="2" t="s">
        <v>13477</v>
      </c>
      <c r="X1496" s="2" t="s">
        <v>9955</v>
      </c>
      <c r="Y1496" s="2" t="s">
        <v>44</v>
      </c>
      <c r="Z1496" s="2"/>
      <c r="AA1496" s="2" t="s">
        <v>3527</v>
      </c>
      <c r="AB1496" s="2" t="s">
        <v>46</v>
      </c>
      <c r="AC1496" s="2" t="s">
        <v>3527</v>
      </c>
      <c r="AE1496" s="2" t="s">
        <v>10801</v>
      </c>
      <c r="AF1496" s="2" t="s">
        <v>7864</v>
      </c>
      <c r="AG1496" s="2">
        <v>90</v>
      </c>
      <c r="AH1496" s="2">
        <v>0</v>
      </c>
      <c r="AJ1496" s="2" t="s">
        <v>13478</v>
      </c>
      <c r="AK1496" s="2"/>
      <c r="AL1496" s="2"/>
      <c r="AM1496" s="2" t="s">
        <v>10791</v>
      </c>
    </row>
    <row r="1497" spans="1:39" x14ac:dyDescent="0.45">
      <c r="A1497" s="2" t="s">
        <v>13479</v>
      </c>
      <c r="B1497" s="2"/>
      <c r="C1497" s="2" t="s">
        <v>13481</v>
      </c>
      <c r="D1497" s="2" t="s">
        <v>13483</v>
      </c>
      <c r="E1497" s="25"/>
      <c r="F1497" s="21"/>
      <c r="G1497" s="21"/>
      <c r="H1497" s="2" t="s">
        <v>10789</v>
      </c>
      <c r="I1497" s="2" t="s">
        <v>10787</v>
      </c>
      <c r="J1497" s="2" t="s">
        <v>13480</v>
      </c>
      <c r="K1497" s="2" t="s">
        <v>13482</v>
      </c>
      <c r="L1497" s="2"/>
      <c r="M1497" s="2"/>
      <c r="N1497" s="2" t="s">
        <v>2962</v>
      </c>
      <c r="O1497" s="2" t="s">
        <v>73</v>
      </c>
      <c r="P1497" s="2" t="s">
        <v>13484</v>
      </c>
      <c r="Q1497" s="2" t="s">
        <v>13485</v>
      </c>
      <c r="R1497" s="2"/>
      <c r="S1497" s="2"/>
      <c r="T1497" s="2"/>
      <c r="U1497" s="2" t="s">
        <v>2962</v>
      </c>
      <c r="V1497" s="2" t="s">
        <v>73</v>
      </c>
      <c r="W1497" s="2" t="s">
        <v>13484</v>
      </c>
      <c r="X1497" s="2" t="s">
        <v>9955</v>
      </c>
      <c r="Y1497" s="2" t="s">
        <v>44</v>
      </c>
      <c r="Z1497" s="2"/>
      <c r="AA1497" s="2" t="s">
        <v>3527</v>
      </c>
      <c r="AB1497" s="2" t="s">
        <v>46</v>
      </c>
      <c r="AC1497" s="2" t="s">
        <v>3527</v>
      </c>
      <c r="AE1497" s="2" t="s">
        <v>10801</v>
      </c>
      <c r="AF1497" s="2" t="s">
        <v>7864</v>
      </c>
      <c r="AG1497" s="2">
        <v>90</v>
      </c>
      <c r="AH1497" s="2">
        <v>0</v>
      </c>
      <c r="AJ1497" s="2" t="s">
        <v>13486</v>
      </c>
      <c r="AK1497" s="2"/>
      <c r="AL1497" s="2"/>
      <c r="AM1497" s="2" t="s">
        <v>10791</v>
      </c>
    </row>
    <row r="1498" spans="1:39" x14ac:dyDescent="0.45">
      <c r="A1498" s="2" t="s">
        <v>13487</v>
      </c>
      <c r="B1498" s="2"/>
      <c r="C1498" s="2" t="s">
        <v>13489</v>
      </c>
      <c r="D1498" s="2" t="s">
        <v>13491</v>
      </c>
      <c r="E1498" s="25"/>
      <c r="F1498" s="21"/>
      <c r="G1498" s="21"/>
      <c r="H1498" s="2" t="s">
        <v>10789</v>
      </c>
      <c r="I1498" s="2" t="s">
        <v>10787</v>
      </c>
      <c r="J1498" s="2" t="s">
        <v>13488</v>
      </c>
      <c r="K1498" s="2" t="s">
        <v>13490</v>
      </c>
      <c r="L1498" s="2"/>
      <c r="M1498" s="2"/>
      <c r="N1498" s="2" t="s">
        <v>1023</v>
      </c>
      <c r="O1498" s="2" t="s">
        <v>73</v>
      </c>
      <c r="P1498" s="2" t="s">
        <v>4463</v>
      </c>
      <c r="Q1498" s="2" t="s">
        <v>13492</v>
      </c>
      <c r="R1498" s="2"/>
      <c r="S1498" s="2"/>
      <c r="T1498" s="2"/>
      <c r="U1498" s="2" t="s">
        <v>1023</v>
      </c>
      <c r="V1498" s="2" t="s">
        <v>73</v>
      </c>
      <c r="W1498" s="2" t="s">
        <v>4463</v>
      </c>
      <c r="X1498" s="2" t="s">
        <v>9955</v>
      </c>
      <c r="Y1498" s="2" t="s">
        <v>44</v>
      </c>
      <c r="Z1498" s="2"/>
      <c r="AA1498" s="2" t="s">
        <v>3527</v>
      </c>
      <c r="AB1498" s="2" t="s">
        <v>46</v>
      </c>
      <c r="AC1498" s="2" t="s">
        <v>3527</v>
      </c>
      <c r="AE1498" s="2" t="s">
        <v>10801</v>
      </c>
      <c r="AF1498" s="2" t="s">
        <v>7864</v>
      </c>
      <c r="AG1498" s="2">
        <v>90</v>
      </c>
      <c r="AH1498" s="2">
        <v>0</v>
      </c>
      <c r="AJ1498" s="2" t="s">
        <v>13493</v>
      </c>
      <c r="AK1498" s="2"/>
      <c r="AL1498" s="2"/>
      <c r="AM1498" s="2" t="s">
        <v>10791</v>
      </c>
    </row>
    <row r="1499" spans="1:39" x14ac:dyDescent="0.45">
      <c r="A1499" s="2" t="s">
        <v>13494</v>
      </c>
      <c r="B1499" s="2"/>
      <c r="C1499" s="2" t="s">
        <v>13496</v>
      </c>
      <c r="D1499" s="2" t="s">
        <v>13498</v>
      </c>
      <c r="E1499" s="25"/>
      <c r="F1499" s="21"/>
      <c r="G1499" s="21"/>
      <c r="H1499" s="2" t="s">
        <v>10789</v>
      </c>
      <c r="I1499" s="2" t="s">
        <v>10787</v>
      </c>
      <c r="J1499" s="2" t="s">
        <v>13495</v>
      </c>
      <c r="K1499" s="2" t="s">
        <v>13497</v>
      </c>
      <c r="L1499" s="2"/>
      <c r="M1499" s="2"/>
      <c r="N1499" s="2" t="s">
        <v>12751</v>
      </c>
      <c r="O1499" s="2" t="s">
        <v>73</v>
      </c>
      <c r="P1499" s="2" t="s">
        <v>13499</v>
      </c>
      <c r="Q1499" s="2" t="s">
        <v>13497</v>
      </c>
      <c r="R1499" s="2"/>
      <c r="S1499" s="2"/>
      <c r="T1499" s="2"/>
      <c r="U1499" s="2" t="s">
        <v>12751</v>
      </c>
      <c r="V1499" s="2" t="s">
        <v>73</v>
      </c>
      <c r="W1499" s="2" t="s">
        <v>13499</v>
      </c>
      <c r="X1499" s="2" t="s">
        <v>6883</v>
      </c>
      <c r="Y1499" s="2" t="s">
        <v>44</v>
      </c>
      <c r="Z1499" s="2"/>
      <c r="AA1499" s="2" t="s">
        <v>3527</v>
      </c>
      <c r="AB1499" s="2" t="s">
        <v>46</v>
      </c>
      <c r="AC1499" s="2" t="s">
        <v>3527</v>
      </c>
      <c r="AE1499" s="2" t="s">
        <v>10801</v>
      </c>
      <c r="AF1499" s="2" t="s">
        <v>7864</v>
      </c>
      <c r="AG1499" s="2">
        <v>90</v>
      </c>
      <c r="AH1499" s="2">
        <v>0</v>
      </c>
      <c r="AJ1499" s="2" t="s">
        <v>13500</v>
      </c>
      <c r="AK1499" s="2"/>
      <c r="AL1499" s="2"/>
      <c r="AM1499" s="2" t="s">
        <v>10791</v>
      </c>
    </row>
    <row r="1500" spans="1:39" x14ac:dyDescent="0.45">
      <c r="A1500" s="2" t="s">
        <v>13501</v>
      </c>
      <c r="B1500" s="2"/>
      <c r="C1500" s="2" t="s">
        <v>13503</v>
      </c>
      <c r="D1500" s="2" t="s">
        <v>13505</v>
      </c>
      <c r="E1500" s="25"/>
      <c r="F1500" s="21"/>
      <c r="G1500" s="21"/>
      <c r="H1500" s="2" t="s">
        <v>10789</v>
      </c>
      <c r="I1500" s="2" t="s">
        <v>10787</v>
      </c>
      <c r="J1500" s="2" t="s">
        <v>13502</v>
      </c>
      <c r="K1500" s="2" t="s">
        <v>13504</v>
      </c>
      <c r="L1500" s="2"/>
      <c r="M1500" s="2"/>
      <c r="N1500" s="2" t="s">
        <v>59</v>
      </c>
      <c r="O1500" s="2" t="s">
        <v>60</v>
      </c>
      <c r="P1500" s="2" t="s">
        <v>4000</v>
      </c>
      <c r="Q1500" s="2" t="s">
        <v>13506</v>
      </c>
      <c r="R1500" s="2"/>
      <c r="S1500" s="2"/>
      <c r="T1500" s="2"/>
      <c r="U1500" s="2" t="s">
        <v>59</v>
      </c>
      <c r="V1500" s="2" t="s">
        <v>60</v>
      </c>
      <c r="W1500" s="2" t="s">
        <v>4000</v>
      </c>
      <c r="X1500" s="2" t="s">
        <v>13507</v>
      </c>
      <c r="Y1500" s="2" t="s">
        <v>44</v>
      </c>
      <c r="Z1500" s="2"/>
      <c r="AA1500" s="2" t="s">
        <v>3527</v>
      </c>
      <c r="AB1500" s="2" t="s">
        <v>46</v>
      </c>
      <c r="AC1500" s="2" t="s">
        <v>3527</v>
      </c>
      <c r="AE1500" s="2" t="s">
        <v>10801</v>
      </c>
      <c r="AF1500" s="2" t="s">
        <v>7864</v>
      </c>
      <c r="AG1500" s="2">
        <v>90</v>
      </c>
      <c r="AH1500" s="2">
        <v>0</v>
      </c>
      <c r="AJ1500" s="2" t="s">
        <v>13508</v>
      </c>
      <c r="AK1500" s="2"/>
      <c r="AL1500" s="2"/>
      <c r="AM1500" s="2" t="s">
        <v>10791</v>
      </c>
    </row>
    <row r="1501" spans="1:39" x14ac:dyDescent="0.45">
      <c r="A1501" s="2" t="s">
        <v>13509</v>
      </c>
      <c r="B1501" s="2"/>
      <c r="C1501" s="2" t="s">
        <v>13511</v>
      </c>
      <c r="D1501" s="2" t="s">
        <v>13513</v>
      </c>
      <c r="E1501" s="25"/>
      <c r="F1501" s="21"/>
      <c r="G1501" s="21"/>
      <c r="H1501" s="2" t="s">
        <v>10789</v>
      </c>
      <c r="I1501" s="2" t="s">
        <v>10787</v>
      </c>
      <c r="J1501" s="2" t="s">
        <v>13510</v>
      </c>
      <c r="K1501" s="2" t="s">
        <v>13512</v>
      </c>
      <c r="L1501" s="2"/>
      <c r="M1501" s="2"/>
      <c r="N1501" s="2" t="s">
        <v>9679</v>
      </c>
      <c r="O1501" s="2" t="s">
        <v>9680</v>
      </c>
      <c r="P1501" s="2" t="s">
        <v>13514</v>
      </c>
      <c r="Q1501" s="2" t="s">
        <v>13515</v>
      </c>
      <c r="R1501" s="2"/>
      <c r="S1501" s="2"/>
      <c r="T1501" s="2"/>
      <c r="U1501" s="2" t="s">
        <v>384</v>
      </c>
      <c r="V1501" s="2" t="s">
        <v>73</v>
      </c>
      <c r="W1501" s="2" t="s">
        <v>13516</v>
      </c>
      <c r="X1501" s="2" t="s">
        <v>10368</v>
      </c>
      <c r="Y1501" s="2" t="s">
        <v>44</v>
      </c>
      <c r="Z1501" s="2"/>
      <c r="AA1501" s="2" t="s">
        <v>3527</v>
      </c>
      <c r="AB1501" s="2" t="s">
        <v>46</v>
      </c>
      <c r="AC1501" s="2" t="s">
        <v>3527</v>
      </c>
      <c r="AE1501" s="2" t="s">
        <v>10801</v>
      </c>
      <c r="AF1501" s="2" t="s">
        <v>7864</v>
      </c>
      <c r="AG1501" s="2">
        <v>90</v>
      </c>
      <c r="AH1501" s="2">
        <v>0</v>
      </c>
      <c r="AJ1501" s="2" t="s">
        <v>13517</v>
      </c>
      <c r="AK1501" s="2"/>
      <c r="AL1501" s="2"/>
      <c r="AM1501" s="2" t="s">
        <v>10791</v>
      </c>
    </row>
    <row r="1502" spans="1:39" x14ac:dyDescent="0.45">
      <c r="A1502" s="2" t="s">
        <v>13518</v>
      </c>
      <c r="B1502" s="2"/>
      <c r="C1502" s="2" t="s">
        <v>13520</v>
      </c>
      <c r="D1502" s="2" t="s">
        <v>13522</v>
      </c>
      <c r="E1502" s="25"/>
      <c r="F1502" s="21"/>
      <c r="G1502" s="21"/>
      <c r="H1502" s="2" t="s">
        <v>10789</v>
      </c>
      <c r="I1502" s="2" t="s">
        <v>10787</v>
      </c>
      <c r="J1502" s="2" t="s">
        <v>13519</v>
      </c>
      <c r="K1502" s="2" t="s">
        <v>13521</v>
      </c>
      <c r="L1502" s="2"/>
      <c r="M1502" s="2"/>
      <c r="N1502" s="2" t="s">
        <v>1175</v>
      </c>
      <c r="O1502" s="2" t="s">
        <v>1176</v>
      </c>
      <c r="P1502" s="2" t="s">
        <v>10359</v>
      </c>
      <c r="Q1502" s="2" t="s">
        <v>13521</v>
      </c>
      <c r="R1502" s="2"/>
      <c r="S1502" s="2"/>
      <c r="T1502" s="2"/>
      <c r="U1502" s="2" t="s">
        <v>1175</v>
      </c>
      <c r="V1502" s="2" t="s">
        <v>1176</v>
      </c>
      <c r="W1502" s="2" t="s">
        <v>10359</v>
      </c>
      <c r="X1502" s="2" t="s">
        <v>13523</v>
      </c>
      <c r="Y1502" s="2" t="s">
        <v>44</v>
      </c>
      <c r="Z1502" s="2"/>
      <c r="AA1502" s="2" t="s">
        <v>3527</v>
      </c>
      <c r="AB1502" s="2" t="s">
        <v>46</v>
      </c>
      <c r="AC1502" s="2" t="s">
        <v>3527</v>
      </c>
      <c r="AE1502" s="2" t="s">
        <v>10801</v>
      </c>
      <c r="AF1502" s="2" t="s">
        <v>7864</v>
      </c>
      <c r="AG1502" s="2">
        <v>90</v>
      </c>
      <c r="AH1502" s="2">
        <v>0</v>
      </c>
      <c r="AJ1502" s="2" t="s">
        <v>13524</v>
      </c>
      <c r="AK1502" s="2"/>
      <c r="AL1502" s="2"/>
      <c r="AM1502" s="2" t="s">
        <v>10791</v>
      </c>
    </row>
    <row r="1503" spans="1:39" x14ac:dyDescent="0.45">
      <c r="A1503" s="2" t="s">
        <v>13525</v>
      </c>
      <c r="B1503" s="2"/>
      <c r="C1503" s="2" t="s">
        <v>13527</v>
      </c>
      <c r="D1503" s="2" t="s">
        <v>13529</v>
      </c>
      <c r="E1503" s="25"/>
      <c r="F1503" s="21"/>
      <c r="G1503" s="21"/>
      <c r="H1503" s="2" t="s">
        <v>10789</v>
      </c>
      <c r="I1503" s="2" t="s">
        <v>10787</v>
      </c>
      <c r="J1503" s="2" t="s">
        <v>13526</v>
      </c>
      <c r="K1503" s="2" t="s">
        <v>13528</v>
      </c>
      <c r="L1503" s="2"/>
      <c r="M1503" s="2"/>
      <c r="N1503" s="2" t="s">
        <v>2962</v>
      </c>
      <c r="O1503" s="2" t="s">
        <v>73</v>
      </c>
      <c r="P1503" s="2" t="s">
        <v>2963</v>
      </c>
      <c r="Q1503" s="2" t="s">
        <v>13528</v>
      </c>
      <c r="R1503" s="2"/>
      <c r="S1503" s="2"/>
      <c r="T1503" s="2"/>
      <c r="U1503" s="2" t="s">
        <v>2962</v>
      </c>
      <c r="V1503" s="2" t="s">
        <v>73</v>
      </c>
      <c r="W1503" s="2" t="s">
        <v>2963</v>
      </c>
      <c r="X1503" s="2" t="s">
        <v>13530</v>
      </c>
      <c r="Y1503" s="2" t="s">
        <v>44</v>
      </c>
      <c r="Z1503" s="2"/>
      <c r="AA1503" s="2" t="s">
        <v>3527</v>
      </c>
      <c r="AB1503" s="2" t="s">
        <v>46</v>
      </c>
      <c r="AC1503" s="2" t="s">
        <v>3527</v>
      </c>
      <c r="AE1503" s="2" t="s">
        <v>10801</v>
      </c>
      <c r="AF1503" s="2" t="s">
        <v>7864</v>
      </c>
      <c r="AG1503" s="2">
        <v>90</v>
      </c>
      <c r="AH1503" s="2">
        <v>0</v>
      </c>
      <c r="AJ1503" s="2" t="s">
        <v>13531</v>
      </c>
      <c r="AK1503" s="2"/>
      <c r="AL1503" s="2"/>
      <c r="AM1503" s="2" t="s">
        <v>10791</v>
      </c>
    </row>
    <row r="1504" spans="1:39" x14ac:dyDescent="0.45">
      <c r="A1504" s="2" t="s">
        <v>13532</v>
      </c>
      <c r="B1504" s="2"/>
      <c r="C1504" s="2" t="s">
        <v>13534</v>
      </c>
      <c r="D1504" s="2" t="s">
        <v>13536</v>
      </c>
      <c r="E1504" s="25"/>
      <c r="F1504" s="21"/>
      <c r="G1504" s="21"/>
      <c r="H1504" s="2" t="s">
        <v>10789</v>
      </c>
      <c r="I1504" s="2" t="s">
        <v>10787</v>
      </c>
      <c r="J1504" s="2" t="s">
        <v>13533</v>
      </c>
      <c r="K1504" s="2" t="s">
        <v>13535</v>
      </c>
      <c r="L1504" s="2"/>
      <c r="M1504" s="2"/>
      <c r="N1504" s="2" t="s">
        <v>1248</v>
      </c>
      <c r="O1504" s="2" t="s">
        <v>1137</v>
      </c>
      <c r="P1504" s="2" t="s">
        <v>11307</v>
      </c>
      <c r="Q1504" s="2" t="s">
        <v>13535</v>
      </c>
      <c r="R1504" s="2"/>
      <c r="S1504" s="2"/>
      <c r="T1504" s="2"/>
      <c r="U1504" s="2" t="s">
        <v>1248</v>
      </c>
      <c r="V1504" s="2" t="s">
        <v>1137</v>
      </c>
      <c r="W1504" s="2" t="s">
        <v>11307</v>
      </c>
      <c r="X1504" s="2" t="s">
        <v>6893</v>
      </c>
      <c r="Y1504" s="2" t="s">
        <v>44</v>
      </c>
      <c r="Z1504" s="2"/>
      <c r="AA1504" s="2" t="s">
        <v>3527</v>
      </c>
      <c r="AB1504" s="2" t="s">
        <v>46</v>
      </c>
      <c r="AC1504" s="2" t="s">
        <v>3527</v>
      </c>
      <c r="AE1504" s="2" t="s">
        <v>10801</v>
      </c>
      <c r="AF1504" s="2" t="s">
        <v>7864</v>
      </c>
      <c r="AG1504" s="2">
        <v>90</v>
      </c>
      <c r="AH1504" s="2">
        <v>0</v>
      </c>
      <c r="AJ1504" s="2" t="s">
        <v>13537</v>
      </c>
      <c r="AK1504" s="2"/>
      <c r="AL1504" s="2"/>
      <c r="AM1504" s="2" t="s">
        <v>10791</v>
      </c>
    </row>
    <row r="1505" spans="1:39" x14ac:dyDescent="0.45">
      <c r="A1505" s="2" t="s">
        <v>13538</v>
      </c>
      <c r="B1505" s="2"/>
      <c r="C1505" s="2" t="s">
        <v>13540</v>
      </c>
      <c r="D1505" s="2" t="s">
        <v>13542</v>
      </c>
      <c r="E1505" s="25"/>
      <c r="F1505" s="21"/>
      <c r="G1505" s="21"/>
      <c r="H1505" s="2" t="s">
        <v>10789</v>
      </c>
      <c r="I1505" s="2" t="s">
        <v>11005</v>
      </c>
      <c r="J1505" s="2" t="s">
        <v>13539</v>
      </c>
      <c r="K1505" s="2" t="s">
        <v>13541</v>
      </c>
      <c r="L1505" s="2"/>
      <c r="M1505" s="2"/>
      <c r="N1505" s="2" t="s">
        <v>8392</v>
      </c>
      <c r="O1505" s="2" t="s">
        <v>313</v>
      </c>
      <c r="P1505" s="2" t="s">
        <v>8393</v>
      </c>
      <c r="Q1505" s="2" t="s">
        <v>13541</v>
      </c>
      <c r="R1505" s="2"/>
      <c r="S1505" s="2"/>
      <c r="T1505" s="2"/>
      <c r="U1505" s="2" t="s">
        <v>8392</v>
      </c>
      <c r="V1505" s="2" t="s">
        <v>313</v>
      </c>
      <c r="W1505" s="2" t="s">
        <v>8393</v>
      </c>
      <c r="X1505" s="2" t="s">
        <v>13543</v>
      </c>
      <c r="Y1505" s="2" t="s">
        <v>44</v>
      </c>
      <c r="Z1505" s="2"/>
      <c r="AA1505" s="2" t="s">
        <v>3527</v>
      </c>
      <c r="AB1505" s="2" t="s">
        <v>46</v>
      </c>
      <c r="AC1505" s="2" t="s">
        <v>3527</v>
      </c>
      <c r="AE1505" s="2" t="s">
        <v>10801</v>
      </c>
      <c r="AF1505" s="2" t="s">
        <v>7864</v>
      </c>
      <c r="AG1505" s="2">
        <v>90</v>
      </c>
      <c r="AH1505" s="2">
        <v>0</v>
      </c>
      <c r="AJ1505" s="2" t="s">
        <v>13544</v>
      </c>
      <c r="AK1505" s="2"/>
      <c r="AL1505" s="2"/>
      <c r="AM1505" s="2" t="s">
        <v>10791</v>
      </c>
    </row>
    <row r="1506" spans="1:39" x14ac:dyDescent="0.45">
      <c r="A1506" s="2" t="s">
        <v>13545</v>
      </c>
      <c r="B1506" s="2"/>
      <c r="C1506" s="2" t="s">
        <v>13547</v>
      </c>
      <c r="D1506" s="2" t="s">
        <v>13549</v>
      </c>
      <c r="E1506" s="25"/>
      <c r="F1506" s="21"/>
      <c r="G1506" s="21"/>
      <c r="H1506" s="2" t="s">
        <v>10789</v>
      </c>
      <c r="I1506" s="2" t="s">
        <v>10787</v>
      </c>
      <c r="J1506" s="2" t="s">
        <v>13546</v>
      </c>
      <c r="K1506" s="2" t="s">
        <v>13548</v>
      </c>
      <c r="L1506" s="2"/>
      <c r="M1506" s="2"/>
      <c r="N1506" s="2" t="s">
        <v>312</v>
      </c>
      <c r="O1506" s="2" t="s">
        <v>313</v>
      </c>
      <c r="P1506" s="2" t="s">
        <v>7647</v>
      </c>
      <c r="Q1506" s="2" t="s">
        <v>13548</v>
      </c>
      <c r="R1506" s="2"/>
      <c r="S1506" s="2"/>
      <c r="T1506" s="2"/>
      <c r="U1506" s="2" t="s">
        <v>312</v>
      </c>
      <c r="V1506" s="2" t="s">
        <v>313</v>
      </c>
      <c r="W1506" s="2" t="s">
        <v>7647</v>
      </c>
      <c r="X1506" s="2" t="s">
        <v>13550</v>
      </c>
      <c r="Y1506" s="2" t="s">
        <v>44</v>
      </c>
      <c r="Z1506" s="2"/>
      <c r="AA1506" s="2" t="s">
        <v>3527</v>
      </c>
      <c r="AB1506" s="2" t="s">
        <v>46</v>
      </c>
      <c r="AC1506" s="2" t="s">
        <v>3527</v>
      </c>
      <c r="AE1506" s="2" t="s">
        <v>10801</v>
      </c>
      <c r="AF1506" s="2" t="s">
        <v>7864</v>
      </c>
      <c r="AG1506" s="2">
        <v>90</v>
      </c>
      <c r="AH1506" s="2">
        <v>0</v>
      </c>
      <c r="AJ1506" s="2" t="s">
        <v>13551</v>
      </c>
      <c r="AK1506" s="2"/>
      <c r="AL1506" s="2"/>
      <c r="AM1506" s="2" t="s">
        <v>10791</v>
      </c>
    </row>
    <row r="1507" spans="1:39" x14ac:dyDescent="0.45">
      <c r="A1507" s="2" t="s">
        <v>13552</v>
      </c>
      <c r="B1507" s="2"/>
      <c r="C1507" s="2" t="s">
        <v>13554</v>
      </c>
      <c r="D1507" s="2" t="s">
        <v>13556</v>
      </c>
      <c r="E1507" s="25"/>
      <c r="F1507" s="21"/>
      <c r="G1507" s="21"/>
      <c r="H1507" s="2" t="s">
        <v>10789</v>
      </c>
      <c r="I1507" s="2" t="s">
        <v>10787</v>
      </c>
      <c r="J1507" s="2" t="s">
        <v>13553</v>
      </c>
      <c r="K1507" s="2" t="s">
        <v>13555</v>
      </c>
      <c r="L1507" s="2"/>
      <c r="M1507" s="2"/>
      <c r="N1507" s="2" t="s">
        <v>290</v>
      </c>
      <c r="O1507" s="2" t="s">
        <v>278</v>
      </c>
      <c r="P1507" s="2" t="s">
        <v>396</v>
      </c>
      <c r="Q1507" s="2" t="s">
        <v>13555</v>
      </c>
      <c r="R1507" s="2"/>
      <c r="S1507" s="2"/>
      <c r="T1507" s="2"/>
      <c r="U1507" s="2" t="s">
        <v>290</v>
      </c>
      <c r="V1507" s="2" t="s">
        <v>278</v>
      </c>
      <c r="W1507" s="2" t="s">
        <v>396</v>
      </c>
      <c r="X1507" s="2" t="s">
        <v>13557</v>
      </c>
      <c r="Y1507" s="2" t="s">
        <v>44</v>
      </c>
      <c r="Z1507" s="2"/>
      <c r="AA1507" s="2" t="s">
        <v>3527</v>
      </c>
      <c r="AB1507" s="2" t="s">
        <v>46</v>
      </c>
      <c r="AC1507" s="2" t="s">
        <v>3527</v>
      </c>
      <c r="AE1507" s="2" t="s">
        <v>10801</v>
      </c>
      <c r="AF1507" s="2" t="s">
        <v>7864</v>
      </c>
      <c r="AG1507" s="2">
        <v>90</v>
      </c>
      <c r="AH1507" s="2">
        <v>0</v>
      </c>
      <c r="AJ1507" s="2" t="s">
        <v>13558</v>
      </c>
      <c r="AK1507" s="2"/>
      <c r="AL1507" s="2"/>
      <c r="AM1507" s="2" t="s">
        <v>10791</v>
      </c>
    </row>
    <row r="1508" spans="1:39" x14ac:dyDescent="0.45">
      <c r="A1508" s="2" t="s">
        <v>13559</v>
      </c>
      <c r="B1508" s="2"/>
      <c r="C1508" s="2" t="s">
        <v>13561</v>
      </c>
      <c r="D1508" s="2" t="s">
        <v>13563</v>
      </c>
      <c r="E1508" s="25"/>
      <c r="F1508" s="21"/>
      <c r="G1508" s="21"/>
      <c r="H1508" s="2" t="s">
        <v>10789</v>
      </c>
      <c r="I1508" s="2" t="s">
        <v>10787</v>
      </c>
      <c r="J1508" s="2" t="s">
        <v>13560</v>
      </c>
      <c r="K1508" s="2" t="s">
        <v>13562</v>
      </c>
      <c r="L1508" s="2"/>
      <c r="M1508" s="2"/>
      <c r="N1508" s="2" t="s">
        <v>13564</v>
      </c>
      <c r="O1508" s="2" t="s">
        <v>278</v>
      </c>
      <c r="P1508" s="2" t="s">
        <v>13565</v>
      </c>
      <c r="Q1508" s="2" t="s">
        <v>13562</v>
      </c>
      <c r="R1508" s="2"/>
      <c r="S1508" s="2"/>
      <c r="T1508" s="2"/>
      <c r="U1508" s="2" t="s">
        <v>13564</v>
      </c>
      <c r="V1508" s="2" t="s">
        <v>278</v>
      </c>
      <c r="W1508" s="2" t="s">
        <v>13565</v>
      </c>
      <c r="X1508" s="2" t="s">
        <v>13566</v>
      </c>
      <c r="Y1508" s="2" t="s">
        <v>44</v>
      </c>
      <c r="Z1508" s="2"/>
      <c r="AA1508" s="2" t="s">
        <v>3527</v>
      </c>
      <c r="AB1508" s="2" t="s">
        <v>46</v>
      </c>
      <c r="AC1508" s="2" t="s">
        <v>3527</v>
      </c>
      <c r="AE1508" s="2" t="s">
        <v>10801</v>
      </c>
      <c r="AF1508" s="2" t="s">
        <v>7864</v>
      </c>
      <c r="AG1508" s="2">
        <v>90</v>
      </c>
      <c r="AH1508" s="2">
        <v>0</v>
      </c>
      <c r="AJ1508" s="2" t="s">
        <v>13567</v>
      </c>
      <c r="AK1508" s="2"/>
      <c r="AL1508" s="2"/>
      <c r="AM1508" s="2" t="s">
        <v>10791</v>
      </c>
    </row>
    <row r="1509" spans="1:39" x14ac:dyDescent="0.45">
      <c r="A1509" s="2" t="s">
        <v>13568</v>
      </c>
      <c r="B1509" s="2"/>
      <c r="C1509" s="2" t="s">
        <v>13570</v>
      </c>
      <c r="D1509" s="2" t="s">
        <v>13572</v>
      </c>
      <c r="E1509" s="25"/>
      <c r="F1509" s="21"/>
      <c r="G1509" s="21"/>
      <c r="H1509" s="2" t="s">
        <v>10789</v>
      </c>
      <c r="I1509" s="2" t="s">
        <v>10787</v>
      </c>
      <c r="J1509" s="2" t="s">
        <v>13569</v>
      </c>
      <c r="K1509" s="2" t="s">
        <v>13571</v>
      </c>
      <c r="L1509" s="2"/>
      <c r="M1509" s="2"/>
      <c r="N1509" s="2" t="s">
        <v>12989</v>
      </c>
      <c r="O1509" s="2" t="s">
        <v>313</v>
      </c>
      <c r="P1509" s="2" t="s">
        <v>12990</v>
      </c>
      <c r="Q1509" s="2" t="s">
        <v>13573</v>
      </c>
      <c r="R1509" s="2"/>
      <c r="S1509" s="2"/>
      <c r="T1509" s="2"/>
      <c r="U1509" s="2" t="s">
        <v>312</v>
      </c>
      <c r="V1509" s="2" t="s">
        <v>313</v>
      </c>
      <c r="W1509" s="2" t="s">
        <v>314</v>
      </c>
      <c r="X1509" s="2" t="s">
        <v>13574</v>
      </c>
      <c r="Y1509" s="2" t="s">
        <v>44</v>
      </c>
      <c r="Z1509" s="2"/>
      <c r="AA1509" s="2" t="s">
        <v>3527</v>
      </c>
      <c r="AB1509" s="2" t="s">
        <v>46</v>
      </c>
      <c r="AC1509" s="2" t="s">
        <v>3527</v>
      </c>
      <c r="AE1509" s="2" t="s">
        <v>10801</v>
      </c>
      <c r="AF1509" s="2" t="s">
        <v>7864</v>
      </c>
      <c r="AG1509" s="2">
        <v>90</v>
      </c>
      <c r="AH1509" s="2">
        <v>0</v>
      </c>
      <c r="AJ1509" s="2" t="s">
        <v>13575</v>
      </c>
      <c r="AK1509" s="2"/>
      <c r="AL1509" s="2"/>
      <c r="AM1509" s="2" t="s">
        <v>10791</v>
      </c>
    </row>
    <row r="1510" spans="1:39" x14ac:dyDescent="0.45">
      <c r="A1510" s="2" t="s">
        <v>13576</v>
      </c>
      <c r="B1510" s="2"/>
      <c r="C1510" s="2" t="s">
        <v>13578</v>
      </c>
      <c r="D1510" s="2" t="s">
        <v>13580</v>
      </c>
      <c r="E1510" s="25"/>
      <c r="F1510" s="21"/>
      <c r="G1510" s="21"/>
      <c r="H1510" s="2" t="s">
        <v>10789</v>
      </c>
      <c r="I1510" s="2" t="s">
        <v>10787</v>
      </c>
      <c r="J1510" s="2" t="s">
        <v>13577</v>
      </c>
      <c r="K1510" s="2" t="s">
        <v>13579</v>
      </c>
      <c r="L1510" s="2"/>
      <c r="M1510" s="2"/>
      <c r="N1510" s="2" t="s">
        <v>5984</v>
      </c>
      <c r="O1510" s="2" t="s">
        <v>313</v>
      </c>
      <c r="P1510" s="2" t="s">
        <v>13581</v>
      </c>
      <c r="Q1510" s="2" t="s">
        <v>13582</v>
      </c>
      <c r="R1510" s="2"/>
      <c r="S1510" s="2"/>
      <c r="T1510" s="2"/>
      <c r="U1510" s="2" t="s">
        <v>12625</v>
      </c>
      <c r="V1510" s="2" t="s">
        <v>313</v>
      </c>
      <c r="W1510" s="2" t="s">
        <v>13583</v>
      </c>
      <c r="X1510" s="2" t="s">
        <v>13574</v>
      </c>
      <c r="Y1510" s="2" t="s">
        <v>44</v>
      </c>
      <c r="Z1510" s="2"/>
      <c r="AA1510" s="2" t="s">
        <v>3527</v>
      </c>
      <c r="AB1510" s="2" t="s">
        <v>46</v>
      </c>
      <c r="AC1510" s="2" t="s">
        <v>3527</v>
      </c>
      <c r="AE1510" s="2" t="s">
        <v>10801</v>
      </c>
      <c r="AF1510" s="2" t="s">
        <v>7864</v>
      </c>
      <c r="AG1510" s="2">
        <v>90</v>
      </c>
      <c r="AH1510" s="2">
        <v>0</v>
      </c>
      <c r="AJ1510" s="2" t="s">
        <v>13584</v>
      </c>
      <c r="AK1510" s="2"/>
      <c r="AL1510" s="2"/>
      <c r="AM1510" s="2" t="s">
        <v>10791</v>
      </c>
    </row>
    <row r="1511" spans="1:39" x14ac:dyDescent="0.45">
      <c r="A1511" s="2" t="s">
        <v>13585</v>
      </c>
      <c r="B1511" s="2"/>
      <c r="C1511" s="2" t="s">
        <v>13587</v>
      </c>
      <c r="D1511" s="2" t="s">
        <v>13589</v>
      </c>
      <c r="E1511" s="25"/>
      <c r="F1511" s="21"/>
      <c r="G1511" s="21"/>
      <c r="H1511" s="2" t="s">
        <v>10789</v>
      </c>
      <c r="I1511" s="2" t="s">
        <v>10787</v>
      </c>
      <c r="J1511" s="2" t="s">
        <v>13586</v>
      </c>
      <c r="K1511" s="2" t="s">
        <v>13588</v>
      </c>
      <c r="L1511" s="2"/>
      <c r="M1511" s="2"/>
      <c r="N1511" s="2" t="s">
        <v>6062</v>
      </c>
      <c r="O1511" s="2" t="s">
        <v>217</v>
      </c>
      <c r="P1511" s="2" t="s">
        <v>13357</v>
      </c>
      <c r="Q1511" s="2" t="s">
        <v>13588</v>
      </c>
      <c r="R1511" s="2"/>
      <c r="S1511" s="2"/>
      <c r="T1511" s="2"/>
      <c r="U1511" s="2" t="s">
        <v>6062</v>
      </c>
      <c r="V1511" s="2" t="s">
        <v>217</v>
      </c>
      <c r="W1511" s="2" t="s">
        <v>13357</v>
      </c>
      <c r="X1511" s="2" t="s">
        <v>13590</v>
      </c>
      <c r="Y1511" s="2" t="s">
        <v>44</v>
      </c>
      <c r="Z1511" s="2"/>
      <c r="AA1511" s="2" t="s">
        <v>3527</v>
      </c>
      <c r="AB1511" s="2" t="s">
        <v>46</v>
      </c>
      <c r="AC1511" s="2" t="s">
        <v>3527</v>
      </c>
      <c r="AE1511" s="2" t="s">
        <v>10801</v>
      </c>
      <c r="AF1511" s="2" t="s">
        <v>7864</v>
      </c>
      <c r="AG1511" s="2">
        <v>90</v>
      </c>
      <c r="AH1511" s="2">
        <v>0</v>
      </c>
      <c r="AJ1511" s="2" t="s">
        <v>13591</v>
      </c>
      <c r="AK1511" s="2"/>
      <c r="AL1511" s="2"/>
      <c r="AM1511" s="2" t="s">
        <v>10791</v>
      </c>
    </row>
    <row r="1512" spans="1:39" x14ac:dyDescent="0.45">
      <c r="A1512" s="2" t="s">
        <v>13592</v>
      </c>
      <c r="B1512" s="2"/>
      <c r="C1512" s="2" t="s">
        <v>13594</v>
      </c>
      <c r="D1512" s="2" t="s">
        <v>13596</v>
      </c>
      <c r="E1512" s="25"/>
      <c r="F1512" s="21"/>
      <c r="G1512" s="21"/>
      <c r="H1512" s="2" t="s">
        <v>10789</v>
      </c>
      <c r="I1512" s="2" t="s">
        <v>10787</v>
      </c>
      <c r="J1512" s="2" t="s">
        <v>13593</v>
      </c>
      <c r="K1512" s="2" t="s">
        <v>13595</v>
      </c>
      <c r="L1512" s="2"/>
      <c r="M1512" s="2"/>
      <c r="N1512" s="2" t="s">
        <v>312</v>
      </c>
      <c r="O1512" s="2" t="s">
        <v>313</v>
      </c>
      <c r="P1512" s="2" t="s">
        <v>7647</v>
      </c>
      <c r="Q1512" s="2" t="s">
        <v>13595</v>
      </c>
      <c r="R1512" s="2"/>
      <c r="S1512" s="2"/>
      <c r="T1512" s="2"/>
      <c r="U1512" s="2" t="s">
        <v>312</v>
      </c>
      <c r="V1512" s="2" t="s">
        <v>313</v>
      </c>
      <c r="W1512" s="2" t="s">
        <v>7647</v>
      </c>
      <c r="X1512" s="2" t="s">
        <v>2401</v>
      </c>
      <c r="Y1512" s="2" t="s">
        <v>44</v>
      </c>
      <c r="Z1512" s="2"/>
      <c r="AA1512" s="2" t="s">
        <v>3527</v>
      </c>
      <c r="AB1512" s="2" t="s">
        <v>46</v>
      </c>
      <c r="AC1512" s="2" t="s">
        <v>3527</v>
      </c>
      <c r="AE1512" s="2" t="s">
        <v>10801</v>
      </c>
      <c r="AF1512" s="2" t="s">
        <v>7864</v>
      </c>
      <c r="AG1512" s="2">
        <v>90</v>
      </c>
      <c r="AH1512" s="2">
        <v>0</v>
      </c>
      <c r="AJ1512" s="2" t="s">
        <v>13597</v>
      </c>
      <c r="AK1512" s="2"/>
      <c r="AL1512" s="2"/>
      <c r="AM1512" s="2" t="s">
        <v>10791</v>
      </c>
    </row>
    <row r="1513" spans="1:39" x14ac:dyDescent="0.45">
      <c r="A1513" s="2" t="s">
        <v>13598</v>
      </c>
      <c r="B1513" s="2"/>
      <c r="C1513" s="2" t="s">
        <v>13600</v>
      </c>
      <c r="D1513" s="2" t="s">
        <v>13602</v>
      </c>
      <c r="E1513" s="25"/>
      <c r="F1513" s="21"/>
      <c r="G1513" s="21"/>
      <c r="H1513" s="2" t="s">
        <v>10789</v>
      </c>
      <c r="I1513" s="2" t="s">
        <v>10787</v>
      </c>
      <c r="J1513" s="2" t="s">
        <v>13599</v>
      </c>
      <c r="K1513" s="2" t="s">
        <v>13601</v>
      </c>
      <c r="L1513" s="2"/>
      <c r="M1513" s="2"/>
      <c r="N1513" s="2" t="s">
        <v>12898</v>
      </c>
      <c r="O1513" s="2" t="s">
        <v>73</v>
      </c>
      <c r="P1513" s="2" t="s">
        <v>13603</v>
      </c>
      <c r="Q1513" s="2" t="s">
        <v>13604</v>
      </c>
      <c r="R1513" s="2"/>
      <c r="S1513" s="2"/>
      <c r="T1513" s="2"/>
      <c r="U1513" s="2" t="s">
        <v>12898</v>
      </c>
      <c r="V1513" s="2" t="s">
        <v>73</v>
      </c>
      <c r="W1513" s="2" t="s">
        <v>13603</v>
      </c>
      <c r="X1513" s="2" t="s">
        <v>2401</v>
      </c>
      <c r="Y1513" s="2" t="s">
        <v>44</v>
      </c>
      <c r="Z1513" s="2"/>
      <c r="AA1513" s="2" t="s">
        <v>3527</v>
      </c>
      <c r="AB1513" s="2" t="s">
        <v>46</v>
      </c>
      <c r="AC1513" s="2" t="s">
        <v>3527</v>
      </c>
      <c r="AE1513" s="2" t="s">
        <v>10801</v>
      </c>
      <c r="AF1513" s="2" t="s">
        <v>7864</v>
      </c>
      <c r="AG1513" s="2">
        <v>90</v>
      </c>
      <c r="AH1513" s="2">
        <v>0</v>
      </c>
      <c r="AJ1513" s="2" t="s">
        <v>13605</v>
      </c>
      <c r="AK1513" s="2"/>
      <c r="AL1513" s="2"/>
      <c r="AM1513" s="2" t="s">
        <v>10791</v>
      </c>
    </row>
    <row r="1514" spans="1:39" x14ac:dyDescent="0.45">
      <c r="A1514" s="2" t="s">
        <v>13606</v>
      </c>
      <c r="B1514" s="2"/>
      <c r="C1514" s="2" t="s">
        <v>13608</v>
      </c>
      <c r="D1514" s="2" t="s">
        <v>13610</v>
      </c>
      <c r="E1514" s="25"/>
      <c r="F1514" s="21"/>
      <c r="G1514" s="21"/>
      <c r="H1514" s="2" t="s">
        <v>10789</v>
      </c>
      <c r="I1514" s="2" t="s">
        <v>10787</v>
      </c>
      <c r="J1514" s="2" t="s">
        <v>13607</v>
      </c>
      <c r="K1514" s="2" t="s">
        <v>13609</v>
      </c>
      <c r="L1514" s="2"/>
      <c r="M1514" s="2"/>
      <c r="N1514" s="2" t="s">
        <v>10513</v>
      </c>
      <c r="O1514" s="2" t="s">
        <v>313</v>
      </c>
      <c r="P1514" s="2" t="s">
        <v>13611</v>
      </c>
      <c r="Q1514" s="2" t="s">
        <v>13609</v>
      </c>
      <c r="R1514" s="2"/>
      <c r="S1514" s="2"/>
      <c r="T1514" s="2"/>
      <c r="U1514" s="2" t="s">
        <v>10513</v>
      </c>
      <c r="V1514" s="2" t="s">
        <v>313</v>
      </c>
      <c r="W1514" s="2" t="s">
        <v>13611</v>
      </c>
      <c r="X1514" s="2" t="s">
        <v>1239</v>
      </c>
      <c r="Y1514" s="2" t="s">
        <v>44</v>
      </c>
      <c r="Z1514" s="2"/>
      <c r="AA1514" s="2" t="s">
        <v>3527</v>
      </c>
      <c r="AB1514" s="2" t="s">
        <v>46</v>
      </c>
      <c r="AC1514" s="2" t="s">
        <v>3527</v>
      </c>
      <c r="AE1514" s="2" t="s">
        <v>10801</v>
      </c>
      <c r="AF1514" s="2" t="s">
        <v>7864</v>
      </c>
      <c r="AG1514" s="2">
        <v>90</v>
      </c>
      <c r="AH1514" s="2">
        <v>0</v>
      </c>
      <c r="AJ1514" s="2" t="s">
        <v>13612</v>
      </c>
      <c r="AK1514" s="2"/>
      <c r="AL1514" s="2"/>
      <c r="AM1514" s="2" t="s">
        <v>10791</v>
      </c>
    </row>
    <row r="1515" spans="1:39" x14ac:dyDescent="0.45">
      <c r="A1515" s="2" t="s">
        <v>13613</v>
      </c>
      <c r="B1515" s="2"/>
      <c r="C1515" s="2" t="s">
        <v>13615</v>
      </c>
      <c r="D1515" s="2" t="s">
        <v>13617</v>
      </c>
      <c r="E1515" s="25"/>
      <c r="F1515" s="21"/>
      <c r="G1515" s="21"/>
      <c r="H1515" s="2" t="s">
        <v>10789</v>
      </c>
      <c r="I1515" s="2" t="s">
        <v>10787</v>
      </c>
      <c r="J1515" s="2" t="s">
        <v>13614</v>
      </c>
      <c r="K1515" s="2" t="s">
        <v>13616</v>
      </c>
      <c r="L1515" s="2"/>
      <c r="M1515" s="2"/>
      <c r="N1515" s="2" t="s">
        <v>13618</v>
      </c>
      <c r="O1515" s="2" t="s">
        <v>12537</v>
      </c>
      <c r="P1515" s="2" t="s">
        <v>13619</v>
      </c>
      <c r="Q1515" s="2" t="s">
        <v>13620</v>
      </c>
      <c r="R1515" s="2"/>
      <c r="S1515" s="2"/>
      <c r="T1515" s="2"/>
      <c r="U1515" s="2" t="s">
        <v>312</v>
      </c>
      <c r="V1515" s="2" t="s">
        <v>313</v>
      </c>
      <c r="W1515" s="2" t="s">
        <v>314</v>
      </c>
      <c r="X1515" s="2" t="s">
        <v>2498</v>
      </c>
      <c r="Y1515" s="2" t="s">
        <v>44</v>
      </c>
      <c r="Z1515" s="2"/>
      <c r="AA1515" s="2" t="s">
        <v>3527</v>
      </c>
      <c r="AB1515" s="2" t="s">
        <v>46</v>
      </c>
      <c r="AC1515" s="2" t="s">
        <v>3527</v>
      </c>
      <c r="AE1515" s="2" t="s">
        <v>10801</v>
      </c>
      <c r="AF1515" s="2" t="s">
        <v>7864</v>
      </c>
      <c r="AG1515" s="2">
        <v>90</v>
      </c>
      <c r="AH1515" s="2">
        <v>0</v>
      </c>
      <c r="AJ1515" s="2" t="s">
        <v>13621</v>
      </c>
      <c r="AK1515" s="2"/>
      <c r="AL1515" s="2"/>
      <c r="AM1515" s="2" t="s">
        <v>10791</v>
      </c>
    </row>
    <row r="1516" spans="1:39" x14ac:dyDescent="0.45">
      <c r="A1516" s="2" t="s">
        <v>13622</v>
      </c>
      <c r="B1516" s="2"/>
      <c r="C1516" s="2" t="s">
        <v>13624</v>
      </c>
      <c r="D1516" s="2" t="s">
        <v>13626</v>
      </c>
      <c r="E1516" s="25"/>
      <c r="F1516" s="21"/>
      <c r="G1516" s="21"/>
      <c r="H1516" s="2" t="s">
        <v>10789</v>
      </c>
      <c r="I1516" s="2" t="s">
        <v>10787</v>
      </c>
      <c r="J1516" s="2" t="s">
        <v>13623</v>
      </c>
      <c r="K1516" s="2" t="s">
        <v>13625</v>
      </c>
      <c r="L1516" s="2"/>
      <c r="M1516" s="2"/>
      <c r="N1516" s="2" t="s">
        <v>11247</v>
      </c>
      <c r="O1516" s="2" t="s">
        <v>1137</v>
      </c>
      <c r="P1516" s="2" t="s">
        <v>11248</v>
      </c>
      <c r="Q1516" s="2" t="s">
        <v>13625</v>
      </c>
      <c r="R1516" s="2"/>
      <c r="S1516" s="2"/>
      <c r="T1516" s="2"/>
      <c r="U1516" s="2" t="s">
        <v>11247</v>
      </c>
      <c r="V1516" s="2" t="s">
        <v>1137</v>
      </c>
      <c r="W1516" s="2" t="s">
        <v>11248</v>
      </c>
      <c r="X1516" s="2" t="s">
        <v>13627</v>
      </c>
      <c r="Y1516" s="2" t="s">
        <v>44</v>
      </c>
      <c r="Z1516" s="2"/>
      <c r="AA1516" s="2" t="s">
        <v>3527</v>
      </c>
      <c r="AB1516" s="2" t="s">
        <v>46</v>
      </c>
      <c r="AC1516" s="2" t="s">
        <v>3527</v>
      </c>
      <c r="AE1516" s="2" t="s">
        <v>10801</v>
      </c>
      <c r="AF1516" s="2" t="s">
        <v>7864</v>
      </c>
      <c r="AG1516" s="2">
        <v>90</v>
      </c>
      <c r="AH1516" s="2">
        <v>0</v>
      </c>
      <c r="AJ1516" s="2" t="s">
        <v>13628</v>
      </c>
      <c r="AK1516" s="2"/>
      <c r="AL1516" s="2"/>
      <c r="AM1516" s="2" t="s">
        <v>10791</v>
      </c>
    </row>
    <row r="1517" spans="1:39" x14ac:dyDescent="0.45">
      <c r="A1517" s="2" t="s">
        <v>13629</v>
      </c>
      <c r="B1517" s="2"/>
      <c r="C1517" s="2" t="s">
        <v>13631</v>
      </c>
      <c r="D1517" s="2" t="s">
        <v>13633</v>
      </c>
      <c r="E1517" s="25"/>
      <c r="F1517" s="21"/>
      <c r="G1517" s="21"/>
      <c r="H1517" s="2" t="s">
        <v>10789</v>
      </c>
      <c r="I1517" s="2" t="s">
        <v>10787</v>
      </c>
      <c r="J1517" s="2" t="s">
        <v>13630</v>
      </c>
      <c r="K1517" s="2" t="s">
        <v>13632</v>
      </c>
      <c r="L1517" s="2"/>
      <c r="M1517" s="2"/>
      <c r="N1517" s="2" t="s">
        <v>312</v>
      </c>
      <c r="O1517" s="2" t="s">
        <v>313</v>
      </c>
      <c r="P1517" s="2" t="s">
        <v>7647</v>
      </c>
      <c r="Q1517" s="2" t="s">
        <v>13632</v>
      </c>
      <c r="R1517" s="2"/>
      <c r="S1517" s="2"/>
      <c r="T1517" s="2"/>
      <c r="U1517" s="2" t="s">
        <v>312</v>
      </c>
      <c r="V1517" s="2" t="s">
        <v>313</v>
      </c>
      <c r="W1517" s="2" t="s">
        <v>7647</v>
      </c>
      <c r="X1517" s="2" t="s">
        <v>13634</v>
      </c>
      <c r="Y1517" s="2" t="s">
        <v>44</v>
      </c>
      <c r="Z1517" s="2"/>
      <c r="AA1517" s="2" t="s">
        <v>3527</v>
      </c>
      <c r="AB1517" s="2" t="s">
        <v>46</v>
      </c>
      <c r="AC1517" s="2" t="s">
        <v>3527</v>
      </c>
      <c r="AE1517" s="2" t="s">
        <v>10801</v>
      </c>
      <c r="AF1517" s="2" t="s">
        <v>7864</v>
      </c>
      <c r="AG1517" s="2">
        <v>90</v>
      </c>
      <c r="AH1517" s="2">
        <v>0</v>
      </c>
      <c r="AJ1517" s="2" t="s">
        <v>13635</v>
      </c>
      <c r="AK1517" s="2"/>
      <c r="AL1517" s="2"/>
      <c r="AM1517" s="2" t="s">
        <v>10791</v>
      </c>
    </row>
    <row r="1518" spans="1:39" x14ac:dyDescent="0.45">
      <c r="A1518" s="2" t="s">
        <v>13636</v>
      </c>
      <c r="B1518" s="2"/>
      <c r="C1518" s="2" t="s">
        <v>13638</v>
      </c>
      <c r="D1518" s="2" t="s">
        <v>13640</v>
      </c>
      <c r="E1518" s="25"/>
      <c r="F1518" s="21"/>
      <c r="G1518" s="21"/>
      <c r="H1518" s="2" t="s">
        <v>10789</v>
      </c>
      <c r="I1518" s="2" t="s">
        <v>10787</v>
      </c>
      <c r="J1518" s="2" t="s">
        <v>13637</v>
      </c>
      <c r="K1518" s="2" t="s">
        <v>13639</v>
      </c>
      <c r="L1518" s="2"/>
      <c r="M1518" s="2"/>
      <c r="N1518" s="2" t="s">
        <v>312</v>
      </c>
      <c r="O1518" s="2" t="s">
        <v>313</v>
      </c>
      <c r="P1518" s="2" t="s">
        <v>7647</v>
      </c>
      <c r="Q1518" s="2" t="s">
        <v>13641</v>
      </c>
      <c r="R1518" s="2"/>
      <c r="S1518" s="2"/>
      <c r="T1518" s="2"/>
      <c r="U1518" s="2" t="s">
        <v>312</v>
      </c>
      <c r="V1518" s="2" t="s">
        <v>313</v>
      </c>
      <c r="W1518" s="2" t="s">
        <v>7647</v>
      </c>
      <c r="X1518" s="2" t="s">
        <v>6949</v>
      </c>
      <c r="Y1518" s="2" t="s">
        <v>44</v>
      </c>
      <c r="Z1518" s="2"/>
      <c r="AA1518" s="2" t="s">
        <v>3527</v>
      </c>
      <c r="AB1518" s="2" t="s">
        <v>46</v>
      </c>
      <c r="AC1518" s="2" t="s">
        <v>3527</v>
      </c>
      <c r="AE1518" s="2" t="s">
        <v>10801</v>
      </c>
      <c r="AF1518" s="2" t="s">
        <v>7864</v>
      </c>
      <c r="AG1518" s="2">
        <v>90</v>
      </c>
      <c r="AH1518" s="2">
        <v>0</v>
      </c>
      <c r="AJ1518" s="2" t="s">
        <v>13642</v>
      </c>
      <c r="AK1518" s="2"/>
      <c r="AL1518" s="2"/>
      <c r="AM1518" s="2" t="s">
        <v>10791</v>
      </c>
    </row>
    <row r="1519" spans="1:39" x14ac:dyDescent="0.45">
      <c r="A1519" s="2" t="s">
        <v>13643</v>
      </c>
      <c r="B1519" s="2"/>
      <c r="C1519" s="2" t="s">
        <v>13645</v>
      </c>
      <c r="D1519" s="2" t="s">
        <v>13647</v>
      </c>
      <c r="E1519" s="25"/>
      <c r="F1519" s="21"/>
      <c r="G1519" s="21"/>
      <c r="H1519" s="2" t="s">
        <v>10789</v>
      </c>
      <c r="I1519" s="2" t="s">
        <v>10787</v>
      </c>
      <c r="J1519" s="2" t="s">
        <v>13644</v>
      </c>
      <c r="K1519" s="2" t="s">
        <v>13646</v>
      </c>
      <c r="L1519" s="2"/>
      <c r="M1519" s="2"/>
      <c r="N1519" s="2" t="s">
        <v>312</v>
      </c>
      <c r="O1519" s="2" t="s">
        <v>313</v>
      </c>
      <c r="P1519" s="2" t="s">
        <v>314</v>
      </c>
      <c r="Q1519" s="2" t="s">
        <v>13648</v>
      </c>
      <c r="R1519" s="2"/>
      <c r="S1519" s="2"/>
      <c r="T1519" s="2"/>
      <c r="U1519" s="2" t="s">
        <v>312</v>
      </c>
      <c r="V1519" s="2" t="s">
        <v>313</v>
      </c>
      <c r="W1519" s="2" t="s">
        <v>314</v>
      </c>
      <c r="X1519" s="2" t="s">
        <v>6949</v>
      </c>
      <c r="Y1519" s="2" t="s">
        <v>44</v>
      </c>
      <c r="Z1519" s="2"/>
      <c r="AA1519" s="2" t="s">
        <v>3527</v>
      </c>
      <c r="AB1519" s="2" t="s">
        <v>46</v>
      </c>
      <c r="AC1519" s="2" t="s">
        <v>3527</v>
      </c>
      <c r="AE1519" s="2" t="s">
        <v>10801</v>
      </c>
      <c r="AF1519" s="2" t="s">
        <v>7864</v>
      </c>
      <c r="AG1519" s="2">
        <v>90</v>
      </c>
      <c r="AH1519" s="2">
        <v>0</v>
      </c>
      <c r="AJ1519" s="2" t="s">
        <v>13649</v>
      </c>
      <c r="AK1519" s="2"/>
      <c r="AL1519" s="2"/>
      <c r="AM1519" s="2" t="s">
        <v>10791</v>
      </c>
    </row>
    <row r="1520" spans="1:39" x14ac:dyDescent="0.45">
      <c r="A1520" s="2" t="s">
        <v>13650</v>
      </c>
      <c r="B1520" s="2"/>
      <c r="C1520" s="2" t="s">
        <v>13652</v>
      </c>
      <c r="D1520" s="2" t="s">
        <v>13654</v>
      </c>
      <c r="E1520" s="25"/>
      <c r="F1520" s="21"/>
      <c r="G1520" s="21"/>
      <c r="H1520" s="2" t="s">
        <v>10789</v>
      </c>
      <c r="I1520" s="2" t="s">
        <v>10787</v>
      </c>
      <c r="J1520" s="2" t="s">
        <v>13651</v>
      </c>
      <c r="K1520" s="2" t="s">
        <v>13653</v>
      </c>
      <c r="L1520" s="2"/>
      <c r="M1520" s="2"/>
      <c r="N1520" s="2" t="s">
        <v>312</v>
      </c>
      <c r="O1520" s="2" t="s">
        <v>313</v>
      </c>
      <c r="P1520" s="2" t="s">
        <v>314</v>
      </c>
      <c r="Q1520" s="2" t="s">
        <v>13653</v>
      </c>
      <c r="R1520" s="2"/>
      <c r="S1520" s="2"/>
      <c r="T1520" s="2"/>
      <c r="U1520" s="2" t="s">
        <v>312</v>
      </c>
      <c r="V1520" s="2" t="s">
        <v>313</v>
      </c>
      <c r="W1520" s="2" t="s">
        <v>314</v>
      </c>
      <c r="X1520" s="2" t="s">
        <v>13655</v>
      </c>
      <c r="Y1520" s="2" t="s">
        <v>44</v>
      </c>
      <c r="Z1520" s="2"/>
      <c r="AA1520" s="2" t="s">
        <v>3527</v>
      </c>
      <c r="AB1520" s="2" t="s">
        <v>46</v>
      </c>
      <c r="AC1520" s="2" t="s">
        <v>3527</v>
      </c>
      <c r="AE1520" s="2" t="s">
        <v>10801</v>
      </c>
      <c r="AF1520" s="2" t="s">
        <v>7864</v>
      </c>
      <c r="AG1520" s="2">
        <v>90</v>
      </c>
      <c r="AH1520" s="2">
        <v>0</v>
      </c>
      <c r="AJ1520" s="2" t="s">
        <v>13656</v>
      </c>
      <c r="AK1520" s="2"/>
      <c r="AL1520" s="2"/>
      <c r="AM1520" s="2" t="s">
        <v>10791</v>
      </c>
    </row>
    <row r="1521" spans="1:39" x14ac:dyDescent="0.45">
      <c r="A1521" s="2" t="s">
        <v>13657</v>
      </c>
      <c r="B1521" s="2"/>
      <c r="C1521" s="2" t="s">
        <v>13659</v>
      </c>
      <c r="D1521" s="2" t="s">
        <v>13661</v>
      </c>
      <c r="E1521" s="25"/>
      <c r="F1521" s="21"/>
      <c r="G1521" s="21"/>
      <c r="H1521" s="2" t="s">
        <v>10789</v>
      </c>
      <c r="I1521" s="2" t="s">
        <v>10787</v>
      </c>
      <c r="J1521" s="2" t="s">
        <v>13658</v>
      </c>
      <c r="K1521" s="2" t="s">
        <v>13660</v>
      </c>
      <c r="L1521" s="2"/>
      <c r="M1521" s="2"/>
      <c r="N1521" s="2" t="s">
        <v>6029</v>
      </c>
      <c r="O1521" s="2" t="s">
        <v>278</v>
      </c>
      <c r="P1521" s="2" t="s">
        <v>11222</v>
      </c>
      <c r="Q1521" s="2" t="s">
        <v>13662</v>
      </c>
      <c r="R1521" s="2"/>
      <c r="S1521" s="2"/>
      <c r="T1521" s="2"/>
      <c r="U1521" s="2" t="s">
        <v>6029</v>
      </c>
      <c r="V1521" s="2" t="s">
        <v>278</v>
      </c>
      <c r="W1521" s="2" t="s">
        <v>11222</v>
      </c>
      <c r="X1521" s="2" t="s">
        <v>3546</v>
      </c>
      <c r="Y1521" s="2" t="s">
        <v>44</v>
      </c>
      <c r="Z1521" s="2"/>
      <c r="AA1521" s="2" t="s">
        <v>3527</v>
      </c>
      <c r="AB1521" s="2" t="s">
        <v>46</v>
      </c>
      <c r="AC1521" s="2" t="s">
        <v>3527</v>
      </c>
      <c r="AE1521" s="2" t="s">
        <v>10801</v>
      </c>
      <c r="AF1521" s="2" t="s">
        <v>7864</v>
      </c>
      <c r="AG1521" s="2">
        <v>90</v>
      </c>
      <c r="AH1521" s="2">
        <v>0</v>
      </c>
      <c r="AJ1521" s="2" t="s">
        <v>13663</v>
      </c>
      <c r="AK1521" s="2"/>
      <c r="AL1521" s="2"/>
      <c r="AM1521" s="2" t="s">
        <v>10791</v>
      </c>
    </row>
    <row r="1522" spans="1:39" x14ac:dyDescent="0.45">
      <c r="A1522" s="2" t="s">
        <v>13664</v>
      </c>
      <c r="B1522" s="2"/>
      <c r="C1522" s="2" t="s">
        <v>13666</v>
      </c>
      <c r="D1522" s="2" t="s">
        <v>13668</v>
      </c>
      <c r="E1522" s="25"/>
      <c r="F1522" s="21"/>
      <c r="G1522" s="21"/>
      <c r="H1522" s="2" t="s">
        <v>10789</v>
      </c>
      <c r="I1522" s="2" t="s">
        <v>10787</v>
      </c>
      <c r="J1522" s="2" t="s">
        <v>13665</v>
      </c>
      <c r="K1522" s="2" t="s">
        <v>13667</v>
      </c>
      <c r="L1522" s="2"/>
      <c r="M1522" s="2"/>
      <c r="N1522" s="2" t="s">
        <v>312</v>
      </c>
      <c r="O1522" s="2" t="s">
        <v>313</v>
      </c>
      <c r="P1522" s="2" t="s">
        <v>13669</v>
      </c>
      <c r="Q1522" s="2" t="s">
        <v>13670</v>
      </c>
      <c r="R1522" s="2"/>
      <c r="S1522" s="2"/>
      <c r="T1522" s="2"/>
      <c r="U1522" s="2" t="s">
        <v>312</v>
      </c>
      <c r="V1522" s="2" t="s">
        <v>313</v>
      </c>
      <c r="W1522" s="2" t="s">
        <v>314</v>
      </c>
      <c r="X1522" s="2" t="s">
        <v>3546</v>
      </c>
      <c r="Y1522" s="2" t="s">
        <v>44</v>
      </c>
      <c r="Z1522" s="2"/>
      <c r="AA1522" s="2" t="s">
        <v>3527</v>
      </c>
      <c r="AB1522" s="2" t="s">
        <v>46</v>
      </c>
      <c r="AC1522" s="2" t="s">
        <v>3527</v>
      </c>
      <c r="AE1522" s="2" t="s">
        <v>10801</v>
      </c>
      <c r="AF1522" s="2" t="s">
        <v>7864</v>
      </c>
      <c r="AG1522" s="2">
        <v>90</v>
      </c>
      <c r="AH1522" s="2">
        <v>0</v>
      </c>
      <c r="AJ1522" s="2" t="s">
        <v>13671</v>
      </c>
      <c r="AK1522" s="2"/>
      <c r="AL1522" s="2"/>
      <c r="AM1522" s="2" t="s">
        <v>10791</v>
      </c>
    </row>
    <row r="1523" spans="1:39" x14ac:dyDescent="0.45">
      <c r="A1523" s="2" t="s">
        <v>13672</v>
      </c>
      <c r="B1523" s="2"/>
      <c r="C1523" s="2" t="s">
        <v>13674</v>
      </c>
      <c r="D1523" s="2" t="s">
        <v>13676</v>
      </c>
      <c r="E1523" s="25"/>
      <c r="F1523" s="21"/>
      <c r="G1523" s="21"/>
      <c r="H1523" s="2" t="s">
        <v>10789</v>
      </c>
      <c r="I1523" s="2" t="s">
        <v>10787</v>
      </c>
      <c r="J1523" s="2" t="s">
        <v>13673</v>
      </c>
      <c r="K1523" s="2" t="s">
        <v>13675</v>
      </c>
      <c r="L1523" s="2"/>
      <c r="M1523" s="2"/>
      <c r="N1523" s="2" t="s">
        <v>312</v>
      </c>
      <c r="O1523" s="2" t="s">
        <v>313</v>
      </c>
      <c r="P1523" s="2" t="s">
        <v>7647</v>
      </c>
      <c r="Q1523" s="2" t="s">
        <v>13675</v>
      </c>
      <c r="R1523" s="2"/>
      <c r="S1523" s="2"/>
      <c r="T1523" s="2"/>
      <c r="U1523" s="2" t="s">
        <v>312</v>
      </c>
      <c r="V1523" s="2" t="s">
        <v>313</v>
      </c>
      <c r="W1523" s="2" t="s">
        <v>7647</v>
      </c>
      <c r="X1523" s="2" t="s">
        <v>3546</v>
      </c>
      <c r="Y1523" s="2" t="s">
        <v>44</v>
      </c>
      <c r="Z1523" s="2"/>
      <c r="AA1523" s="2" t="s">
        <v>3527</v>
      </c>
      <c r="AB1523" s="2" t="s">
        <v>46</v>
      </c>
      <c r="AC1523" s="2" t="s">
        <v>3527</v>
      </c>
      <c r="AE1523" s="2" t="s">
        <v>10801</v>
      </c>
      <c r="AF1523" s="2" t="s">
        <v>7864</v>
      </c>
      <c r="AG1523" s="2">
        <v>90</v>
      </c>
      <c r="AH1523" s="2">
        <v>0</v>
      </c>
      <c r="AJ1523" s="2" t="s">
        <v>13677</v>
      </c>
      <c r="AK1523" s="2"/>
      <c r="AL1523" s="2"/>
      <c r="AM1523" s="2" t="s">
        <v>10791</v>
      </c>
    </row>
    <row r="1524" spans="1:39" x14ac:dyDescent="0.45">
      <c r="A1524" s="2" t="s">
        <v>13678</v>
      </c>
      <c r="B1524" s="2"/>
      <c r="C1524" s="2" t="s">
        <v>13680</v>
      </c>
      <c r="D1524" s="2" t="s">
        <v>13682</v>
      </c>
      <c r="E1524" s="25"/>
      <c r="F1524" s="21"/>
      <c r="G1524" s="21"/>
      <c r="H1524" s="2" t="s">
        <v>10789</v>
      </c>
      <c r="I1524" s="2" t="s">
        <v>10787</v>
      </c>
      <c r="J1524" s="2" t="s">
        <v>13679</v>
      </c>
      <c r="K1524" s="2" t="s">
        <v>13681</v>
      </c>
      <c r="L1524" s="2"/>
      <c r="M1524" s="2"/>
      <c r="N1524" s="2" t="s">
        <v>312</v>
      </c>
      <c r="O1524" s="2" t="s">
        <v>313</v>
      </c>
      <c r="P1524" s="2" t="s">
        <v>7647</v>
      </c>
      <c r="Q1524" s="2" t="s">
        <v>13681</v>
      </c>
      <c r="R1524" s="2"/>
      <c r="S1524" s="2"/>
      <c r="T1524" s="2"/>
      <c r="U1524" s="2" t="s">
        <v>312</v>
      </c>
      <c r="V1524" s="2" t="s">
        <v>313</v>
      </c>
      <c r="W1524" s="2" t="s">
        <v>7647</v>
      </c>
      <c r="X1524" s="2" t="s">
        <v>3546</v>
      </c>
      <c r="Y1524" s="2" t="s">
        <v>44</v>
      </c>
      <c r="Z1524" s="2"/>
      <c r="AA1524" s="2" t="s">
        <v>3527</v>
      </c>
      <c r="AB1524" s="2" t="s">
        <v>46</v>
      </c>
      <c r="AC1524" s="2" t="s">
        <v>3527</v>
      </c>
      <c r="AE1524" s="2" t="s">
        <v>10801</v>
      </c>
      <c r="AF1524" s="2" t="s">
        <v>7864</v>
      </c>
      <c r="AG1524" s="2">
        <v>90</v>
      </c>
      <c r="AH1524" s="2">
        <v>0</v>
      </c>
      <c r="AJ1524" s="2" t="s">
        <v>13683</v>
      </c>
      <c r="AK1524" s="2"/>
      <c r="AL1524" s="2"/>
      <c r="AM1524" s="2" t="s">
        <v>10791</v>
      </c>
    </row>
    <row r="1525" spans="1:39" x14ac:dyDescent="0.45">
      <c r="A1525" s="2" t="s">
        <v>13684</v>
      </c>
      <c r="B1525" s="2"/>
      <c r="C1525" s="2" t="s">
        <v>13686</v>
      </c>
      <c r="D1525" s="2" t="s">
        <v>13688</v>
      </c>
      <c r="E1525" s="25"/>
      <c r="F1525" s="21"/>
      <c r="G1525" s="21"/>
      <c r="H1525" s="2" t="s">
        <v>10789</v>
      </c>
      <c r="I1525" s="2" t="s">
        <v>10787</v>
      </c>
      <c r="J1525" s="2" t="s">
        <v>13685</v>
      </c>
      <c r="K1525" s="2" t="s">
        <v>13687</v>
      </c>
      <c r="L1525" s="2"/>
      <c r="M1525" s="2"/>
      <c r="N1525" s="2" t="s">
        <v>85</v>
      </c>
      <c r="O1525" s="2" t="s">
        <v>86</v>
      </c>
      <c r="P1525" s="2" t="s">
        <v>3073</v>
      </c>
      <c r="Q1525" s="2" t="s">
        <v>13687</v>
      </c>
      <c r="R1525" s="2"/>
      <c r="S1525" s="2"/>
      <c r="T1525" s="2"/>
      <c r="U1525" s="2" t="s">
        <v>85</v>
      </c>
      <c r="V1525" s="2" t="s">
        <v>86</v>
      </c>
      <c r="W1525" s="2" t="s">
        <v>3073</v>
      </c>
      <c r="X1525" s="2" t="s">
        <v>3546</v>
      </c>
      <c r="Y1525" s="2" t="s">
        <v>44</v>
      </c>
      <c r="Z1525" s="2"/>
      <c r="AA1525" s="2" t="s">
        <v>3527</v>
      </c>
      <c r="AB1525" s="2" t="s">
        <v>46</v>
      </c>
      <c r="AC1525" s="2" t="s">
        <v>3527</v>
      </c>
      <c r="AE1525" s="2" t="s">
        <v>10801</v>
      </c>
      <c r="AF1525" s="2" t="s">
        <v>7864</v>
      </c>
      <c r="AG1525" s="2">
        <v>90</v>
      </c>
      <c r="AH1525" s="2">
        <v>0</v>
      </c>
      <c r="AJ1525" s="2" t="s">
        <v>13689</v>
      </c>
      <c r="AK1525" s="2"/>
      <c r="AL1525" s="2"/>
      <c r="AM1525" s="2" t="s">
        <v>10791</v>
      </c>
    </row>
    <row r="1526" spans="1:39" x14ac:dyDescent="0.45">
      <c r="A1526" s="2" t="s">
        <v>13690</v>
      </c>
      <c r="B1526" s="2"/>
      <c r="C1526" s="2" t="s">
        <v>13692</v>
      </c>
      <c r="D1526" s="2" t="s">
        <v>13694</v>
      </c>
      <c r="E1526" s="25"/>
      <c r="F1526" s="21"/>
      <c r="G1526" s="21"/>
      <c r="H1526" s="2" t="s">
        <v>10789</v>
      </c>
      <c r="I1526" s="2" t="s">
        <v>10787</v>
      </c>
      <c r="J1526" s="2" t="s">
        <v>13691</v>
      </c>
      <c r="K1526" s="2" t="s">
        <v>13693</v>
      </c>
      <c r="L1526" s="2"/>
      <c r="M1526" s="2"/>
      <c r="N1526" s="2" t="s">
        <v>12625</v>
      </c>
      <c r="O1526" s="2" t="s">
        <v>313</v>
      </c>
      <c r="P1526" s="2" t="s">
        <v>13695</v>
      </c>
      <c r="Q1526" s="2" t="s">
        <v>13696</v>
      </c>
      <c r="R1526" s="2"/>
      <c r="S1526" s="2"/>
      <c r="T1526" s="2"/>
      <c r="U1526" s="2" t="s">
        <v>12625</v>
      </c>
      <c r="V1526" s="2" t="s">
        <v>313</v>
      </c>
      <c r="W1526" s="2" t="s">
        <v>13695</v>
      </c>
      <c r="X1526" s="2" t="s">
        <v>9965</v>
      </c>
      <c r="Y1526" s="2" t="s">
        <v>44</v>
      </c>
      <c r="Z1526" s="2"/>
      <c r="AA1526" s="2" t="s">
        <v>3527</v>
      </c>
      <c r="AB1526" s="2" t="s">
        <v>46</v>
      </c>
      <c r="AC1526" s="2" t="s">
        <v>3527</v>
      </c>
      <c r="AE1526" s="2" t="s">
        <v>10801</v>
      </c>
      <c r="AF1526" s="2" t="s">
        <v>7864</v>
      </c>
      <c r="AG1526" s="2">
        <v>90</v>
      </c>
      <c r="AH1526" s="2">
        <v>0</v>
      </c>
      <c r="AJ1526" s="2" t="s">
        <v>13697</v>
      </c>
      <c r="AK1526" s="2"/>
      <c r="AL1526" s="2"/>
      <c r="AM1526" s="2" t="s">
        <v>10791</v>
      </c>
    </row>
    <row r="1527" spans="1:39" x14ac:dyDescent="0.45">
      <c r="A1527" s="2" t="s">
        <v>13698</v>
      </c>
      <c r="B1527" s="2"/>
      <c r="C1527" s="2" t="s">
        <v>13700</v>
      </c>
      <c r="D1527" s="2" t="s">
        <v>13702</v>
      </c>
      <c r="E1527" s="25"/>
      <c r="F1527" s="21"/>
      <c r="G1527" s="21"/>
      <c r="H1527" s="2" t="s">
        <v>10789</v>
      </c>
      <c r="I1527" s="2" t="s">
        <v>12462</v>
      </c>
      <c r="J1527" s="2" t="s">
        <v>13699</v>
      </c>
      <c r="K1527" s="2" t="s">
        <v>13701</v>
      </c>
      <c r="L1527" s="2"/>
      <c r="M1527" s="2"/>
      <c r="N1527" s="2" t="s">
        <v>1023</v>
      </c>
      <c r="O1527" s="2" t="s">
        <v>73</v>
      </c>
      <c r="P1527" s="2" t="s">
        <v>13703</v>
      </c>
      <c r="Q1527" s="2" t="s">
        <v>13704</v>
      </c>
      <c r="R1527" s="2"/>
      <c r="S1527" s="2"/>
      <c r="T1527" s="2"/>
      <c r="U1527" s="2" t="s">
        <v>1023</v>
      </c>
      <c r="V1527" s="2" t="s">
        <v>73</v>
      </c>
      <c r="W1527" s="2" t="s">
        <v>13703</v>
      </c>
      <c r="X1527" s="2" t="s">
        <v>10712</v>
      </c>
      <c r="Y1527" s="2" t="s">
        <v>44</v>
      </c>
      <c r="Z1527" s="2"/>
      <c r="AA1527" s="2" t="s">
        <v>3527</v>
      </c>
      <c r="AB1527" s="2" t="s">
        <v>46</v>
      </c>
      <c r="AC1527" s="2" t="s">
        <v>3527</v>
      </c>
      <c r="AE1527" s="2" t="s">
        <v>10801</v>
      </c>
      <c r="AF1527" s="2" t="s">
        <v>7864</v>
      </c>
      <c r="AG1527" s="2">
        <v>90</v>
      </c>
      <c r="AH1527" s="2">
        <v>0</v>
      </c>
      <c r="AJ1527" s="2" t="s">
        <v>13705</v>
      </c>
      <c r="AK1527" s="2"/>
      <c r="AL1527" s="2"/>
      <c r="AM1527" s="2" t="s">
        <v>10791</v>
      </c>
    </row>
    <row r="1528" spans="1:39" x14ac:dyDescent="0.45">
      <c r="A1528" s="2" t="s">
        <v>13706</v>
      </c>
      <c r="B1528" s="2"/>
      <c r="C1528" s="2" t="s">
        <v>13708</v>
      </c>
      <c r="D1528" s="2" t="s">
        <v>13710</v>
      </c>
      <c r="E1528" s="25"/>
      <c r="F1528" s="21"/>
      <c r="G1528" s="21"/>
      <c r="H1528" s="2" t="s">
        <v>10789</v>
      </c>
      <c r="I1528" s="2" t="s">
        <v>10787</v>
      </c>
      <c r="J1528" s="2" t="s">
        <v>13707</v>
      </c>
      <c r="K1528" s="2" t="s">
        <v>13709</v>
      </c>
      <c r="L1528" s="2"/>
      <c r="M1528" s="2"/>
      <c r="N1528" s="2" t="s">
        <v>72</v>
      </c>
      <c r="O1528" s="2" t="s">
        <v>73</v>
      </c>
      <c r="P1528" s="2" t="s">
        <v>2270</v>
      </c>
      <c r="Q1528" s="2" t="s">
        <v>13709</v>
      </c>
      <c r="R1528" s="2"/>
      <c r="S1528" s="2"/>
      <c r="T1528" s="2"/>
      <c r="U1528" s="2" t="s">
        <v>72</v>
      </c>
      <c r="V1528" s="2" t="s">
        <v>73</v>
      </c>
      <c r="W1528" s="2" t="s">
        <v>2270</v>
      </c>
      <c r="X1528" s="2" t="s">
        <v>10712</v>
      </c>
      <c r="Y1528" s="2" t="s">
        <v>44</v>
      </c>
      <c r="Z1528" s="2"/>
      <c r="AA1528" s="2" t="s">
        <v>3527</v>
      </c>
      <c r="AB1528" s="2" t="s">
        <v>46</v>
      </c>
      <c r="AC1528" s="2" t="s">
        <v>3527</v>
      </c>
      <c r="AE1528" s="2" t="s">
        <v>10801</v>
      </c>
      <c r="AF1528" s="2" t="s">
        <v>7864</v>
      </c>
      <c r="AG1528" s="2">
        <v>90</v>
      </c>
      <c r="AH1528" s="2">
        <v>0</v>
      </c>
      <c r="AJ1528" s="2" t="s">
        <v>13711</v>
      </c>
      <c r="AK1528" s="2"/>
      <c r="AL1528" s="2"/>
      <c r="AM1528" s="2" t="s">
        <v>10791</v>
      </c>
    </row>
    <row r="1529" spans="1:39" x14ac:dyDescent="0.45">
      <c r="A1529" s="2" t="s">
        <v>13712</v>
      </c>
      <c r="B1529" s="2"/>
      <c r="C1529" s="2" t="s">
        <v>13714</v>
      </c>
      <c r="D1529" s="2" t="s">
        <v>13716</v>
      </c>
      <c r="E1529" s="25"/>
      <c r="F1529" s="21"/>
      <c r="G1529" s="21"/>
      <c r="H1529" s="2" t="s">
        <v>10789</v>
      </c>
      <c r="I1529" s="2" t="s">
        <v>10787</v>
      </c>
      <c r="J1529" s="2" t="s">
        <v>13713</v>
      </c>
      <c r="K1529" s="2" t="s">
        <v>13715</v>
      </c>
      <c r="L1529" s="2"/>
      <c r="M1529" s="2"/>
      <c r="N1529" s="2" t="s">
        <v>85</v>
      </c>
      <c r="O1529" s="2" t="s">
        <v>86</v>
      </c>
      <c r="P1529" s="2" t="s">
        <v>3918</v>
      </c>
      <c r="Q1529" s="2" t="s">
        <v>13715</v>
      </c>
      <c r="R1529" s="2"/>
      <c r="S1529" s="2"/>
      <c r="T1529" s="2"/>
      <c r="U1529" s="2" t="s">
        <v>85</v>
      </c>
      <c r="V1529" s="2" t="s">
        <v>86</v>
      </c>
      <c r="W1529" s="2" t="s">
        <v>3918</v>
      </c>
      <c r="X1529" s="2" t="s">
        <v>10712</v>
      </c>
      <c r="Y1529" s="2" t="s">
        <v>44</v>
      </c>
      <c r="Z1529" s="2"/>
      <c r="AA1529" s="2" t="s">
        <v>3527</v>
      </c>
      <c r="AB1529" s="2" t="s">
        <v>46</v>
      </c>
      <c r="AC1529" s="2" t="s">
        <v>3527</v>
      </c>
      <c r="AE1529" s="2" t="s">
        <v>10801</v>
      </c>
      <c r="AF1529" s="2" t="s">
        <v>7864</v>
      </c>
      <c r="AG1529" s="2">
        <v>90</v>
      </c>
      <c r="AH1529" s="2">
        <v>0</v>
      </c>
      <c r="AJ1529" s="2" t="s">
        <v>13717</v>
      </c>
      <c r="AK1529" s="2"/>
      <c r="AL1529" s="2"/>
      <c r="AM1529" s="2" t="s">
        <v>10791</v>
      </c>
    </row>
    <row r="1530" spans="1:39" x14ac:dyDescent="0.45">
      <c r="A1530" s="2" t="s">
        <v>13718</v>
      </c>
      <c r="B1530" s="2"/>
      <c r="C1530" s="2" t="s">
        <v>13720</v>
      </c>
      <c r="D1530" s="2" t="s">
        <v>13722</v>
      </c>
      <c r="E1530" s="25"/>
      <c r="F1530" s="21"/>
      <c r="G1530" s="21"/>
      <c r="H1530" s="2" t="s">
        <v>10789</v>
      </c>
      <c r="I1530" s="2" t="s">
        <v>10787</v>
      </c>
      <c r="J1530" s="2" t="s">
        <v>13719</v>
      </c>
      <c r="K1530" s="2" t="s">
        <v>13721</v>
      </c>
      <c r="L1530" s="2"/>
      <c r="M1530" s="2"/>
      <c r="N1530" s="2" t="s">
        <v>13723</v>
      </c>
      <c r="O1530" s="2" t="s">
        <v>313</v>
      </c>
      <c r="P1530" s="2" t="s">
        <v>13724</v>
      </c>
      <c r="Q1530" s="2" t="s">
        <v>13721</v>
      </c>
      <c r="R1530" s="2"/>
      <c r="S1530" s="2"/>
      <c r="T1530" s="2"/>
      <c r="U1530" s="2" t="s">
        <v>13723</v>
      </c>
      <c r="V1530" s="2" t="s">
        <v>313</v>
      </c>
      <c r="W1530" s="2" t="s">
        <v>13724</v>
      </c>
      <c r="X1530" s="2" t="s">
        <v>6958</v>
      </c>
      <c r="Y1530" s="2" t="s">
        <v>44</v>
      </c>
      <c r="Z1530" s="2"/>
      <c r="AA1530" s="2" t="s">
        <v>3527</v>
      </c>
      <c r="AB1530" s="2" t="s">
        <v>46</v>
      </c>
      <c r="AC1530" s="2" t="s">
        <v>3527</v>
      </c>
      <c r="AE1530" s="2" t="s">
        <v>10801</v>
      </c>
      <c r="AF1530" s="2" t="s">
        <v>7864</v>
      </c>
      <c r="AG1530" s="2">
        <v>90</v>
      </c>
      <c r="AH1530" s="2">
        <v>0</v>
      </c>
      <c r="AJ1530" s="2" t="s">
        <v>13725</v>
      </c>
      <c r="AK1530" s="2"/>
      <c r="AL1530" s="2"/>
      <c r="AM1530" s="2" t="s">
        <v>10791</v>
      </c>
    </row>
    <row r="1531" spans="1:39" x14ac:dyDescent="0.45">
      <c r="A1531" s="2" t="s">
        <v>13726</v>
      </c>
      <c r="B1531" s="2"/>
      <c r="C1531" s="2" t="s">
        <v>13728</v>
      </c>
      <c r="D1531" s="2" t="s">
        <v>13730</v>
      </c>
      <c r="E1531" s="25"/>
      <c r="F1531" s="21"/>
      <c r="G1531" s="21"/>
      <c r="H1531" s="2" t="s">
        <v>10789</v>
      </c>
      <c r="I1531" s="2" t="s">
        <v>10787</v>
      </c>
      <c r="J1531" s="2" t="s">
        <v>13727</v>
      </c>
      <c r="K1531" s="2" t="s">
        <v>13729</v>
      </c>
      <c r="L1531" s="2"/>
      <c r="M1531" s="2"/>
      <c r="N1531" s="2" t="s">
        <v>10766</v>
      </c>
      <c r="O1531" s="2" t="s">
        <v>1137</v>
      </c>
      <c r="P1531" s="2" t="s">
        <v>10767</v>
      </c>
      <c r="Q1531" s="2" t="s">
        <v>13731</v>
      </c>
      <c r="R1531" s="2"/>
      <c r="S1531" s="2"/>
      <c r="T1531" s="2"/>
      <c r="U1531" s="2" t="s">
        <v>10766</v>
      </c>
      <c r="V1531" s="2" t="s">
        <v>1137</v>
      </c>
      <c r="W1531" s="2" t="s">
        <v>10767</v>
      </c>
      <c r="X1531" s="2" t="s">
        <v>13732</v>
      </c>
      <c r="Y1531" s="2" t="s">
        <v>44</v>
      </c>
      <c r="Z1531" s="2"/>
      <c r="AA1531" s="2" t="s">
        <v>3527</v>
      </c>
      <c r="AB1531" s="2" t="s">
        <v>46</v>
      </c>
      <c r="AC1531" s="2" t="s">
        <v>3527</v>
      </c>
      <c r="AE1531" s="2" t="s">
        <v>10801</v>
      </c>
      <c r="AF1531" s="2" t="s">
        <v>7864</v>
      </c>
      <c r="AG1531" s="2">
        <v>90</v>
      </c>
      <c r="AH1531" s="2">
        <v>0</v>
      </c>
      <c r="AJ1531" s="2" t="s">
        <v>13733</v>
      </c>
      <c r="AK1531" s="2"/>
      <c r="AL1531" s="2"/>
      <c r="AM1531" s="2" t="s">
        <v>10791</v>
      </c>
    </row>
    <row r="1532" spans="1:39" x14ac:dyDescent="0.45">
      <c r="A1532" s="2" t="s">
        <v>13734</v>
      </c>
      <c r="B1532" s="2"/>
      <c r="C1532" s="2" t="s">
        <v>13736</v>
      </c>
      <c r="D1532" s="2" t="s">
        <v>13738</v>
      </c>
      <c r="E1532" s="25"/>
      <c r="F1532" s="21"/>
      <c r="G1532" s="21"/>
      <c r="H1532" s="2" t="s">
        <v>10789</v>
      </c>
      <c r="I1532" s="2" t="s">
        <v>10787</v>
      </c>
      <c r="J1532" s="2" t="s">
        <v>13735</v>
      </c>
      <c r="K1532" s="2" t="s">
        <v>13737</v>
      </c>
      <c r="L1532" s="2"/>
      <c r="M1532" s="2"/>
      <c r="N1532" s="2" t="s">
        <v>85</v>
      </c>
      <c r="O1532" s="2" t="s">
        <v>86</v>
      </c>
      <c r="P1532" s="2" t="s">
        <v>3073</v>
      </c>
      <c r="Q1532" s="2" t="s">
        <v>13737</v>
      </c>
      <c r="R1532" s="2"/>
      <c r="S1532" s="2"/>
      <c r="T1532" s="2"/>
      <c r="U1532" s="2" t="s">
        <v>85</v>
      </c>
      <c r="V1532" s="2" t="s">
        <v>86</v>
      </c>
      <c r="W1532" s="2" t="s">
        <v>3073</v>
      </c>
      <c r="X1532" s="2" t="s">
        <v>13739</v>
      </c>
      <c r="Y1532" s="2" t="s">
        <v>44</v>
      </c>
      <c r="Z1532" s="2"/>
      <c r="AA1532" s="2" t="s">
        <v>3527</v>
      </c>
      <c r="AB1532" s="2" t="s">
        <v>46</v>
      </c>
      <c r="AC1532" s="2" t="s">
        <v>3527</v>
      </c>
      <c r="AE1532" s="2" t="s">
        <v>10801</v>
      </c>
      <c r="AF1532" s="2" t="s">
        <v>7864</v>
      </c>
      <c r="AG1532" s="2">
        <v>90</v>
      </c>
      <c r="AH1532" s="2">
        <v>0</v>
      </c>
      <c r="AJ1532" s="2" t="s">
        <v>13740</v>
      </c>
      <c r="AK1532" s="2"/>
      <c r="AL1532" s="2"/>
      <c r="AM1532" s="2" t="s">
        <v>10791</v>
      </c>
    </row>
    <row r="1533" spans="1:39" x14ac:dyDescent="0.45">
      <c r="A1533" s="2" t="s">
        <v>13741</v>
      </c>
      <c r="B1533" s="2"/>
      <c r="C1533" s="2" t="s">
        <v>13743</v>
      </c>
      <c r="D1533" s="2" t="s">
        <v>13745</v>
      </c>
      <c r="E1533" s="25"/>
      <c r="F1533" s="21"/>
      <c r="G1533" s="21"/>
      <c r="H1533" s="2" t="s">
        <v>10789</v>
      </c>
      <c r="I1533" s="2" t="s">
        <v>10787</v>
      </c>
      <c r="J1533" s="2" t="s">
        <v>13742</v>
      </c>
      <c r="K1533" s="2" t="s">
        <v>13744</v>
      </c>
      <c r="L1533" s="2"/>
      <c r="M1533" s="2"/>
      <c r="N1533" s="2" t="s">
        <v>312</v>
      </c>
      <c r="O1533" s="2" t="s">
        <v>313</v>
      </c>
      <c r="P1533" s="2" t="s">
        <v>10207</v>
      </c>
      <c r="Q1533" s="2" t="s">
        <v>13744</v>
      </c>
      <c r="R1533" s="2"/>
      <c r="S1533" s="2"/>
      <c r="T1533" s="2"/>
      <c r="U1533" s="2" t="s">
        <v>312</v>
      </c>
      <c r="V1533" s="2" t="s">
        <v>313</v>
      </c>
      <c r="W1533" s="2" t="s">
        <v>10207</v>
      </c>
      <c r="X1533" s="2" t="s">
        <v>2605</v>
      </c>
      <c r="Y1533" s="2" t="s">
        <v>44</v>
      </c>
      <c r="Z1533" s="2"/>
      <c r="AA1533" s="2" t="s">
        <v>3527</v>
      </c>
      <c r="AB1533" s="2" t="s">
        <v>46</v>
      </c>
      <c r="AC1533" s="2" t="s">
        <v>3527</v>
      </c>
      <c r="AE1533" s="2" t="s">
        <v>10801</v>
      </c>
      <c r="AF1533" s="2" t="s">
        <v>7864</v>
      </c>
      <c r="AG1533" s="2">
        <v>90</v>
      </c>
      <c r="AH1533" s="2">
        <v>0</v>
      </c>
      <c r="AJ1533" s="2" t="s">
        <v>13746</v>
      </c>
      <c r="AK1533" s="2"/>
      <c r="AL1533" s="2"/>
      <c r="AM1533" s="2" t="s">
        <v>10791</v>
      </c>
    </row>
    <row r="1534" spans="1:39" x14ac:dyDescent="0.45">
      <c r="A1534" s="2" t="s">
        <v>13747</v>
      </c>
      <c r="B1534" s="2"/>
      <c r="C1534" s="2" t="s">
        <v>13749</v>
      </c>
      <c r="D1534" s="2" t="s">
        <v>13751</v>
      </c>
      <c r="E1534" s="25"/>
      <c r="F1534" s="21"/>
      <c r="G1534" s="21"/>
      <c r="H1534" s="2" t="s">
        <v>10789</v>
      </c>
      <c r="I1534" s="2" t="s">
        <v>10787</v>
      </c>
      <c r="J1534" s="2" t="s">
        <v>13748</v>
      </c>
      <c r="K1534" s="2" t="s">
        <v>13750</v>
      </c>
      <c r="L1534" s="2"/>
      <c r="M1534" s="2"/>
      <c r="N1534" s="2" t="s">
        <v>312</v>
      </c>
      <c r="O1534" s="2" t="s">
        <v>313</v>
      </c>
      <c r="P1534" s="2" t="s">
        <v>314</v>
      </c>
      <c r="Q1534" s="2" t="s">
        <v>13750</v>
      </c>
      <c r="R1534" s="2"/>
      <c r="S1534" s="2"/>
      <c r="T1534" s="2"/>
      <c r="U1534" s="2" t="s">
        <v>312</v>
      </c>
      <c r="V1534" s="2" t="s">
        <v>313</v>
      </c>
      <c r="W1534" s="2" t="s">
        <v>314</v>
      </c>
      <c r="X1534" s="2" t="s">
        <v>2605</v>
      </c>
      <c r="Y1534" s="2" t="s">
        <v>44</v>
      </c>
      <c r="Z1534" s="2"/>
      <c r="AA1534" s="2" t="s">
        <v>3527</v>
      </c>
      <c r="AB1534" s="2" t="s">
        <v>46</v>
      </c>
      <c r="AC1534" s="2" t="s">
        <v>3527</v>
      </c>
      <c r="AE1534" s="2" t="s">
        <v>10801</v>
      </c>
      <c r="AF1534" s="2" t="s">
        <v>7864</v>
      </c>
      <c r="AG1534" s="2">
        <v>90</v>
      </c>
      <c r="AH1534" s="2">
        <v>0</v>
      </c>
      <c r="AJ1534" s="2" t="s">
        <v>13752</v>
      </c>
      <c r="AK1534" s="2"/>
      <c r="AL1534" s="2"/>
      <c r="AM1534" s="2" t="s">
        <v>10791</v>
      </c>
    </row>
    <row r="1535" spans="1:39" x14ac:dyDescent="0.45">
      <c r="A1535" s="2" t="s">
        <v>13753</v>
      </c>
      <c r="B1535" s="2"/>
      <c r="C1535" s="2" t="s">
        <v>13755</v>
      </c>
      <c r="D1535" s="2" t="s">
        <v>13757</v>
      </c>
      <c r="E1535" s="25"/>
      <c r="F1535" s="21"/>
      <c r="G1535" s="21"/>
      <c r="H1535" s="2" t="s">
        <v>10789</v>
      </c>
      <c r="I1535" s="2" t="s">
        <v>10787</v>
      </c>
      <c r="J1535" s="2" t="s">
        <v>13754</v>
      </c>
      <c r="K1535" s="2" t="s">
        <v>13756</v>
      </c>
      <c r="L1535" s="2"/>
      <c r="M1535" s="2"/>
      <c r="N1535" s="2" t="s">
        <v>312</v>
      </c>
      <c r="O1535" s="2" t="s">
        <v>313</v>
      </c>
      <c r="P1535" s="2" t="s">
        <v>12321</v>
      </c>
      <c r="Q1535" s="2" t="s">
        <v>13758</v>
      </c>
      <c r="R1535" s="2"/>
      <c r="S1535" s="2"/>
      <c r="T1535" s="2"/>
      <c r="U1535" s="2" t="s">
        <v>312</v>
      </c>
      <c r="V1535" s="2" t="s">
        <v>313</v>
      </c>
      <c r="W1535" s="2" t="s">
        <v>12321</v>
      </c>
      <c r="X1535" s="2" t="s">
        <v>13759</v>
      </c>
      <c r="Y1535" s="2" t="s">
        <v>44</v>
      </c>
      <c r="Z1535" s="2"/>
      <c r="AA1535" s="2" t="s">
        <v>3527</v>
      </c>
      <c r="AB1535" s="2" t="s">
        <v>46</v>
      </c>
      <c r="AC1535" s="2" t="s">
        <v>3527</v>
      </c>
      <c r="AE1535" s="2" t="s">
        <v>10801</v>
      </c>
      <c r="AF1535" s="2" t="s">
        <v>7864</v>
      </c>
      <c r="AG1535" s="2">
        <v>90</v>
      </c>
      <c r="AH1535" s="2">
        <v>0</v>
      </c>
      <c r="AJ1535" s="2" t="s">
        <v>13760</v>
      </c>
      <c r="AK1535" s="2"/>
      <c r="AL1535" s="2"/>
      <c r="AM1535" s="2" t="s">
        <v>10791</v>
      </c>
    </row>
    <row r="1536" spans="1:39" x14ac:dyDescent="0.45">
      <c r="A1536" s="2" t="s">
        <v>13761</v>
      </c>
      <c r="B1536" s="2"/>
      <c r="C1536" s="2" t="s">
        <v>13763</v>
      </c>
      <c r="D1536" s="2" t="s">
        <v>13765</v>
      </c>
      <c r="E1536" s="25"/>
      <c r="F1536" s="21"/>
      <c r="G1536" s="21"/>
      <c r="H1536" s="2" t="s">
        <v>10789</v>
      </c>
      <c r="I1536" s="2" t="s">
        <v>10787</v>
      </c>
      <c r="J1536" s="2" t="s">
        <v>13762</v>
      </c>
      <c r="K1536" s="2" t="s">
        <v>13764</v>
      </c>
      <c r="L1536" s="2"/>
      <c r="M1536" s="2"/>
      <c r="N1536" s="2" t="s">
        <v>13766</v>
      </c>
      <c r="O1536" s="2" t="s">
        <v>1137</v>
      </c>
      <c r="P1536" s="2" t="s">
        <v>13767</v>
      </c>
      <c r="Q1536" s="2" t="s">
        <v>13764</v>
      </c>
      <c r="R1536" s="2"/>
      <c r="S1536" s="2"/>
      <c r="T1536" s="2"/>
      <c r="U1536" s="2" t="s">
        <v>13766</v>
      </c>
      <c r="V1536" s="2" t="s">
        <v>1137</v>
      </c>
      <c r="W1536" s="2" t="s">
        <v>13767</v>
      </c>
      <c r="X1536" s="2" t="s">
        <v>13759</v>
      </c>
      <c r="Y1536" s="2" t="s">
        <v>44</v>
      </c>
      <c r="Z1536" s="2"/>
      <c r="AA1536" s="2" t="s">
        <v>3527</v>
      </c>
      <c r="AB1536" s="2" t="s">
        <v>46</v>
      </c>
      <c r="AC1536" s="2" t="s">
        <v>3527</v>
      </c>
      <c r="AE1536" s="2" t="s">
        <v>10801</v>
      </c>
      <c r="AF1536" s="2" t="s">
        <v>7864</v>
      </c>
      <c r="AG1536" s="2">
        <v>90</v>
      </c>
      <c r="AH1536" s="2">
        <v>0</v>
      </c>
      <c r="AJ1536" s="2" t="s">
        <v>13768</v>
      </c>
      <c r="AK1536" s="2"/>
      <c r="AL1536" s="2"/>
      <c r="AM1536" s="2" t="s">
        <v>10791</v>
      </c>
    </row>
    <row r="1537" spans="1:39" x14ac:dyDescent="0.45">
      <c r="A1537" s="2" t="s">
        <v>13769</v>
      </c>
      <c r="B1537" s="2"/>
      <c r="C1537" s="2" t="s">
        <v>13771</v>
      </c>
      <c r="D1537" s="2" t="s">
        <v>13773</v>
      </c>
      <c r="E1537" s="25"/>
      <c r="F1537" s="21"/>
      <c r="G1537" s="21"/>
      <c r="H1537" s="2" t="s">
        <v>10789</v>
      </c>
      <c r="I1537" s="2" t="s">
        <v>10787</v>
      </c>
      <c r="J1537" s="2" t="s">
        <v>13770</v>
      </c>
      <c r="K1537" s="2" t="s">
        <v>13772</v>
      </c>
      <c r="L1537" s="2"/>
      <c r="M1537" s="2"/>
      <c r="N1537" s="2" t="s">
        <v>312</v>
      </c>
      <c r="O1537" s="2" t="s">
        <v>313</v>
      </c>
      <c r="P1537" s="2" t="s">
        <v>7647</v>
      </c>
      <c r="Q1537" s="2" t="s">
        <v>13772</v>
      </c>
      <c r="R1537" s="2"/>
      <c r="S1537" s="2"/>
      <c r="T1537" s="2"/>
      <c r="U1537" s="2" t="s">
        <v>312</v>
      </c>
      <c r="V1537" s="2" t="s">
        <v>313</v>
      </c>
      <c r="W1537" s="2" t="s">
        <v>7647</v>
      </c>
      <c r="X1537" s="2" t="s">
        <v>13759</v>
      </c>
      <c r="Y1537" s="2" t="s">
        <v>44</v>
      </c>
      <c r="Z1537" s="2"/>
      <c r="AA1537" s="2" t="s">
        <v>3527</v>
      </c>
      <c r="AB1537" s="2" t="s">
        <v>46</v>
      </c>
      <c r="AC1537" s="2" t="s">
        <v>3527</v>
      </c>
      <c r="AE1537" s="2" t="s">
        <v>10801</v>
      </c>
      <c r="AF1537" s="2" t="s">
        <v>7864</v>
      </c>
      <c r="AG1537" s="2">
        <v>90</v>
      </c>
      <c r="AH1537" s="2">
        <v>0</v>
      </c>
      <c r="AJ1537" s="2" t="s">
        <v>13774</v>
      </c>
      <c r="AK1537" s="2"/>
      <c r="AL1537" s="2"/>
      <c r="AM1537" s="2" t="s">
        <v>10791</v>
      </c>
    </row>
    <row r="1538" spans="1:39" x14ac:dyDescent="0.45">
      <c r="A1538" s="2" t="s">
        <v>13775</v>
      </c>
      <c r="B1538" s="2"/>
      <c r="C1538" s="2" t="s">
        <v>13777</v>
      </c>
      <c r="D1538" s="2" t="s">
        <v>13779</v>
      </c>
      <c r="E1538" s="25"/>
      <c r="F1538" s="21"/>
      <c r="G1538" s="21"/>
      <c r="H1538" s="2" t="s">
        <v>10789</v>
      </c>
      <c r="I1538" s="2" t="s">
        <v>10787</v>
      </c>
      <c r="J1538" s="2" t="s">
        <v>13776</v>
      </c>
      <c r="K1538" s="2" t="s">
        <v>13778</v>
      </c>
      <c r="L1538" s="2"/>
      <c r="M1538" s="2"/>
      <c r="N1538" s="2" t="s">
        <v>312</v>
      </c>
      <c r="O1538" s="2" t="s">
        <v>313</v>
      </c>
      <c r="P1538" s="2" t="s">
        <v>314</v>
      </c>
      <c r="Q1538" s="2" t="s">
        <v>13778</v>
      </c>
      <c r="R1538" s="2"/>
      <c r="S1538" s="2"/>
      <c r="T1538" s="2"/>
      <c r="U1538" s="2" t="s">
        <v>312</v>
      </c>
      <c r="V1538" s="2" t="s">
        <v>313</v>
      </c>
      <c r="W1538" s="2" t="s">
        <v>314</v>
      </c>
      <c r="X1538" s="2" t="s">
        <v>13759</v>
      </c>
      <c r="Y1538" s="2" t="s">
        <v>44</v>
      </c>
      <c r="Z1538" s="2"/>
      <c r="AA1538" s="2" t="s">
        <v>3527</v>
      </c>
      <c r="AB1538" s="2" t="s">
        <v>46</v>
      </c>
      <c r="AC1538" s="2" t="s">
        <v>3527</v>
      </c>
      <c r="AE1538" s="2" t="s">
        <v>10801</v>
      </c>
      <c r="AF1538" s="2" t="s">
        <v>7864</v>
      </c>
      <c r="AG1538" s="2">
        <v>90</v>
      </c>
      <c r="AH1538" s="2">
        <v>0</v>
      </c>
      <c r="AJ1538" s="2" t="s">
        <v>13780</v>
      </c>
      <c r="AK1538" s="2"/>
      <c r="AL1538" s="2"/>
      <c r="AM1538" s="2" t="s">
        <v>10791</v>
      </c>
    </row>
    <row r="1539" spans="1:39" x14ac:dyDescent="0.45">
      <c r="A1539" s="2" t="s">
        <v>13781</v>
      </c>
      <c r="B1539" s="2"/>
      <c r="C1539" s="2" t="s">
        <v>13783</v>
      </c>
      <c r="D1539" s="2" t="s">
        <v>13785</v>
      </c>
      <c r="E1539" s="25"/>
      <c r="F1539" s="21"/>
      <c r="G1539" s="21"/>
      <c r="H1539" s="2" t="s">
        <v>10789</v>
      </c>
      <c r="I1539" s="2" t="s">
        <v>10787</v>
      </c>
      <c r="J1539" s="2" t="s">
        <v>13782</v>
      </c>
      <c r="K1539" s="2" t="s">
        <v>13784</v>
      </c>
      <c r="L1539" s="2"/>
      <c r="M1539" s="2"/>
      <c r="N1539" s="2" t="s">
        <v>312</v>
      </c>
      <c r="O1539" s="2" t="s">
        <v>313</v>
      </c>
      <c r="P1539" s="2" t="s">
        <v>7647</v>
      </c>
      <c r="Q1539" s="2" t="s">
        <v>13786</v>
      </c>
      <c r="R1539" s="2"/>
      <c r="S1539" s="2"/>
      <c r="T1539" s="2"/>
      <c r="U1539" s="2" t="s">
        <v>312</v>
      </c>
      <c r="V1539" s="2" t="s">
        <v>313</v>
      </c>
      <c r="W1539" s="2" t="s">
        <v>7647</v>
      </c>
      <c r="X1539" s="2" t="s">
        <v>6975</v>
      </c>
      <c r="Y1539" s="2" t="s">
        <v>44</v>
      </c>
      <c r="Z1539" s="2"/>
      <c r="AA1539" s="2" t="s">
        <v>3527</v>
      </c>
      <c r="AB1539" s="2" t="s">
        <v>46</v>
      </c>
      <c r="AC1539" s="2" t="s">
        <v>3527</v>
      </c>
      <c r="AE1539" s="2" t="s">
        <v>10801</v>
      </c>
      <c r="AF1539" s="2" t="s">
        <v>7864</v>
      </c>
      <c r="AG1539" s="2">
        <v>90</v>
      </c>
      <c r="AH1539" s="2">
        <v>0</v>
      </c>
      <c r="AJ1539" s="2" t="s">
        <v>13787</v>
      </c>
      <c r="AK1539" s="2"/>
      <c r="AL1539" s="2"/>
      <c r="AM1539" s="2" t="s">
        <v>10791</v>
      </c>
    </row>
    <row r="1540" spans="1:39" x14ac:dyDescent="0.45">
      <c r="A1540" s="2" t="s">
        <v>13788</v>
      </c>
      <c r="B1540" s="2"/>
      <c r="C1540" s="2" t="s">
        <v>13790</v>
      </c>
      <c r="D1540" s="2" t="s">
        <v>13792</v>
      </c>
      <c r="E1540" s="25"/>
      <c r="F1540" s="21"/>
      <c r="G1540" s="21"/>
      <c r="H1540" s="2" t="s">
        <v>10789</v>
      </c>
      <c r="I1540" s="2" t="s">
        <v>10787</v>
      </c>
      <c r="J1540" s="2" t="s">
        <v>13789</v>
      </c>
      <c r="K1540" s="2" t="s">
        <v>13791</v>
      </c>
      <c r="L1540" s="2"/>
      <c r="M1540" s="2"/>
      <c r="N1540" s="2" t="s">
        <v>1175</v>
      </c>
      <c r="O1540" s="2" t="s">
        <v>1176</v>
      </c>
      <c r="P1540" s="2" t="s">
        <v>1177</v>
      </c>
      <c r="Q1540" s="2" t="s">
        <v>13791</v>
      </c>
      <c r="R1540" s="2"/>
      <c r="S1540" s="2"/>
      <c r="T1540" s="2"/>
      <c r="U1540" s="2" t="s">
        <v>1175</v>
      </c>
      <c r="V1540" s="2" t="s">
        <v>1176</v>
      </c>
      <c r="W1540" s="2" t="s">
        <v>1177</v>
      </c>
      <c r="X1540" s="2" t="s">
        <v>6975</v>
      </c>
      <c r="Y1540" s="2" t="s">
        <v>44</v>
      </c>
      <c r="Z1540" s="2"/>
      <c r="AA1540" s="2" t="s">
        <v>3527</v>
      </c>
      <c r="AB1540" s="2" t="s">
        <v>46</v>
      </c>
      <c r="AC1540" s="2" t="s">
        <v>3527</v>
      </c>
      <c r="AE1540" s="2" t="s">
        <v>10801</v>
      </c>
      <c r="AF1540" s="2" t="s">
        <v>7864</v>
      </c>
      <c r="AG1540" s="2">
        <v>90</v>
      </c>
      <c r="AH1540" s="2">
        <v>0</v>
      </c>
      <c r="AJ1540" s="2" t="s">
        <v>13793</v>
      </c>
      <c r="AK1540" s="2"/>
      <c r="AL1540" s="2"/>
      <c r="AM1540" s="2" t="s">
        <v>10791</v>
      </c>
    </row>
    <row r="1541" spans="1:39" x14ac:dyDescent="0.45">
      <c r="A1541" s="2" t="s">
        <v>13794</v>
      </c>
      <c r="B1541" s="2"/>
      <c r="C1541" s="2" t="s">
        <v>13796</v>
      </c>
      <c r="D1541" s="2" t="s">
        <v>13798</v>
      </c>
      <c r="E1541" s="25"/>
      <c r="F1541" s="21"/>
      <c r="G1541" s="21"/>
      <c r="H1541" s="2" t="s">
        <v>10789</v>
      </c>
      <c r="I1541" s="2" t="s">
        <v>10787</v>
      </c>
      <c r="J1541" s="2" t="s">
        <v>13795</v>
      </c>
      <c r="K1541" s="2" t="s">
        <v>13797</v>
      </c>
      <c r="L1541" s="2"/>
      <c r="M1541" s="2"/>
      <c r="N1541" s="2" t="s">
        <v>1023</v>
      </c>
      <c r="O1541" s="2" t="s">
        <v>73</v>
      </c>
      <c r="P1541" s="2" t="s">
        <v>11513</v>
      </c>
      <c r="Q1541" s="2" t="s">
        <v>13797</v>
      </c>
      <c r="R1541" s="2"/>
      <c r="S1541" s="2"/>
      <c r="T1541" s="2"/>
      <c r="U1541" s="2" t="s">
        <v>1023</v>
      </c>
      <c r="V1541" s="2" t="s">
        <v>73</v>
      </c>
      <c r="W1541" s="2" t="s">
        <v>11513</v>
      </c>
      <c r="X1541" s="2" t="s">
        <v>2614</v>
      </c>
      <c r="Y1541" s="2" t="s">
        <v>44</v>
      </c>
      <c r="Z1541" s="2"/>
      <c r="AA1541" s="2" t="s">
        <v>3527</v>
      </c>
      <c r="AB1541" s="2" t="s">
        <v>46</v>
      </c>
      <c r="AC1541" s="2" t="s">
        <v>3527</v>
      </c>
      <c r="AE1541" s="2" t="s">
        <v>10801</v>
      </c>
      <c r="AF1541" s="2" t="s">
        <v>7864</v>
      </c>
      <c r="AG1541" s="2">
        <v>90</v>
      </c>
      <c r="AH1541" s="2">
        <v>0</v>
      </c>
      <c r="AJ1541" s="2" t="s">
        <v>13799</v>
      </c>
      <c r="AK1541" s="2"/>
      <c r="AL1541" s="2"/>
      <c r="AM1541" s="2" t="s">
        <v>10791</v>
      </c>
    </row>
    <row r="1542" spans="1:39" x14ac:dyDescent="0.45">
      <c r="A1542" s="2" t="s">
        <v>13800</v>
      </c>
      <c r="B1542" s="2"/>
      <c r="C1542" s="2" t="s">
        <v>13802</v>
      </c>
      <c r="D1542" s="2" t="s">
        <v>13804</v>
      </c>
      <c r="E1542" s="25"/>
      <c r="F1542" s="21"/>
      <c r="G1542" s="21"/>
      <c r="H1542" s="2" t="s">
        <v>10789</v>
      </c>
      <c r="I1542" s="2" t="s">
        <v>10787</v>
      </c>
      <c r="J1542" s="2" t="s">
        <v>13801</v>
      </c>
      <c r="K1542" s="2" t="s">
        <v>13803</v>
      </c>
      <c r="L1542" s="2"/>
      <c r="M1542" s="2"/>
      <c r="N1542" s="2" t="s">
        <v>8392</v>
      </c>
      <c r="O1542" s="2" t="s">
        <v>313</v>
      </c>
      <c r="P1542" s="2" t="s">
        <v>8393</v>
      </c>
      <c r="Q1542" s="2" t="s">
        <v>13803</v>
      </c>
      <c r="R1542" s="2"/>
      <c r="S1542" s="2"/>
      <c r="T1542" s="2"/>
      <c r="U1542" s="2" t="s">
        <v>8392</v>
      </c>
      <c r="V1542" s="2" t="s">
        <v>313</v>
      </c>
      <c r="W1542" s="2" t="s">
        <v>8393</v>
      </c>
      <c r="X1542" s="2" t="s">
        <v>2614</v>
      </c>
      <c r="Y1542" s="2" t="s">
        <v>44</v>
      </c>
      <c r="Z1542" s="2"/>
      <c r="AA1542" s="2" t="s">
        <v>3527</v>
      </c>
      <c r="AB1542" s="2" t="s">
        <v>46</v>
      </c>
      <c r="AC1542" s="2" t="s">
        <v>3527</v>
      </c>
      <c r="AE1542" s="2" t="s">
        <v>10801</v>
      </c>
      <c r="AF1542" s="2" t="s">
        <v>7864</v>
      </c>
      <c r="AG1542" s="2">
        <v>90</v>
      </c>
      <c r="AH1542" s="2">
        <v>0</v>
      </c>
      <c r="AJ1542" s="2" t="s">
        <v>13805</v>
      </c>
      <c r="AK1542" s="2"/>
      <c r="AL1542" s="2"/>
      <c r="AM1542" s="2" t="s">
        <v>10791</v>
      </c>
    </row>
    <row r="1543" spans="1:39" x14ac:dyDescent="0.45">
      <c r="A1543" s="2" t="s">
        <v>13806</v>
      </c>
      <c r="B1543" s="2"/>
      <c r="C1543" s="2" t="s">
        <v>13808</v>
      </c>
      <c r="D1543" s="2" t="s">
        <v>13810</v>
      </c>
      <c r="E1543" s="25"/>
      <c r="F1543" s="21"/>
      <c r="G1543" s="21"/>
      <c r="H1543" s="2" t="s">
        <v>10789</v>
      </c>
      <c r="I1543" s="2" t="s">
        <v>10787</v>
      </c>
      <c r="J1543" s="2" t="s">
        <v>13807</v>
      </c>
      <c r="K1543" s="2" t="s">
        <v>13809</v>
      </c>
      <c r="L1543" s="2"/>
      <c r="M1543" s="2"/>
      <c r="N1543" s="2" t="s">
        <v>312</v>
      </c>
      <c r="O1543" s="2" t="s">
        <v>313</v>
      </c>
      <c r="P1543" s="2" t="s">
        <v>314</v>
      </c>
      <c r="Q1543" s="2" t="s">
        <v>13809</v>
      </c>
      <c r="R1543" s="2"/>
      <c r="S1543" s="2"/>
      <c r="T1543" s="2"/>
      <c r="U1543" s="2" t="s">
        <v>312</v>
      </c>
      <c r="V1543" s="2" t="s">
        <v>313</v>
      </c>
      <c r="W1543" s="2" t="s">
        <v>314</v>
      </c>
      <c r="X1543" s="2" t="s">
        <v>4810</v>
      </c>
      <c r="Y1543" s="2" t="s">
        <v>44</v>
      </c>
      <c r="Z1543" s="2"/>
      <c r="AA1543" s="2" t="s">
        <v>3527</v>
      </c>
      <c r="AB1543" s="2" t="s">
        <v>46</v>
      </c>
      <c r="AC1543" s="2" t="s">
        <v>3527</v>
      </c>
      <c r="AE1543" s="2" t="s">
        <v>10801</v>
      </c>
      <c r="AF1543" s="2" t="s">
        <v>7864</v>
      </c>
      <c r="AG1543" s="2">
        <v>90</v>
      </c>
      <c r="AH1543" s="2">
        <v>0</v>
      </c>
      <c r="AJ1543" s="2" t="s">
        <v>13811</v>
      </c>
      <c r="AK1543" s="2"/>
      <c r="AL1543" s="2"/>
      <c r="AM1543" s="2" t="s">
        <v>10791</v>
      </c>
    </row>
    <row r="1544" spans="1:39" x14ac:dyDescent="0.45">
      <c r="A1544" s="2" t="s">
        <v>13812</v>
      </c>
      <c r="B1544" s="2"/>
      <c r="C1544" s="2" t="s">
        <v>13814</v>
      </c>
      <c r="D1544" s="2" t="s">
        <v>13816</v>
      </c>
      <c r="E1544" s="25"/>
      <c r="F1544" s="21"/>
      <c r="G1544" s="21"/>
      <c r="H1544" s="2" t="s">
        <v>10789</v>
      </c>
      <c r="I1544" s="2" t="s">
        <v>10787</v>
      </c>
      <c r="J1544" s="2" t="s">
        <v>13813</v>
      </c>
      <c r="K1544" s="2" t="s">
        <v>13815</v>
      </c>
      <c r="L1544" s="2"/>
      <c r="M1544" s="2"/>
      <c r="N1544" s="2" t="s">
        <v>72</v>
      </c>
      <c r="O1544" s="2" t="s">
        <v>73</v>
      </c>
      <c r="P1544" s="2" t="s">
        <v>514</v>
      </c>
      <c r="Q1544" s="2" t="s">
        <v>13815</v>
      </c>
      <c r="R1544" s="2"/>
      <c r="S1544" s="2"/>
      <c r="T1544" s="2"/>
      <c r="U1544" s="2" t="s">
        <v>72</v>
      </c>
      <c r="V1544" s="2" t="s">
        <v>73</v>
      </c>
      <c r="W1544" s="2" t="s">
        <v>514</v>
      </c>
      <c r="X1544" s="2" t="s">
        <v>4810</v>
      </c>
      <c r="Y1544" s="2" t="s">
        <v>44</v>
      </c>
      <c r="Z1544" s="2"/>
      <c r="AA1544" s="2" t="s">
        <v>3527</v>
      </c>
      <c r="AB1544" s="2" t="s">
        <v>46</v>
      </c>
      <c r="AC1544" s="2" t="s">
        <v>3527</v>
      </c>
      <c r="AE1544" s="2" t="s">
        <v>10801</v>
      </c>
      <c r="AF1544" s="2" t="s">
        <v>7864</v>
      </c>
      <c r="AG1544" s="2">
        <v>90</v>
      </c>
      <c r="AH1544" s="2">
        <v>0</v>
      </c>
      <c r="AJ1544" s="2" t="s">
        <v>13817</v>
      </c>
      <c r="AK1544" s="2"/>
      <c r="AL1544" s="2"/>
      <c r="AM1544" s="2" t="s">
        <v>10791</v>
      </c>
    </row>
    <row r="1545" spans="1:39" x14ac:dyDescent="0.45">
      <c r="A1545" s="2" t="s">
        <v>13818</v>
      </c>
      <c r="B1545" s="2"/>
      <c r="C1545" s="2" t="s">
        <v>13820</v>
      </c>
      <c r="D1545" s="2" t="s">
        <v>13822</v>
      </c>
      <c r="E1545" s="25"/>
      <c r="F1545" s="21"/>
      <c r="G1545" s="21"/>
      <c r="H1545" s="2" t="s">
        <v>10789</v>
      </c>
      <c r="I1545" s="2" t="s">
        <v>10787</v>
      </c>
      <c r="J1545" s="2" t="s">
        <v>13819</v>
      </c>
      <c r="K1545" s="2" t="s">
        <v>13821</v>
      </c>
      <c r="L1545" s="2"/>
      <c r="M1545" s="2"/>
      <c r="N1545" s="2" t="s">
        <v>85</v>
      </c>
      <c r="O1545" s="2" t="s">
        <v>86</v>
      </c>
      <c r="P1545" s="2" t="s">
        <v>12027</v>
      </c>
      <c r="Q1545" s="2" t="s">
        <v>13821</v>
      </c>
      <c r="R1545" s="2"/>
      <c r="S1545" s="2"/>
      <c r="T1545" s="2"/>
      <c r="U1545" s="2" t="s">
        <v>85</v>
      </c>
      <c r="V1545" s="2" t="s">
        <v>86</v>
      </c>
      <c r="W1545" s="2" t="s">
        <v>12027</v>
      </c>
      <c r="X1545" s="2" t="s">
        <v>1347</v>
      </c>
      <c r="Y1545" s="2" t="s">
        <v>44</v>
      </c>
      <c r="Z1545" s="2"/>
      <c r="AA1545" s="2" t="s">
        <v>3527</v>
      </c>
      <c r="AB1545" s="2" t="s">
        <v>46</v>
      </c>
      <c r="AC1545" s="2" t="s">
        <v>3527</v>
      </c>
      <c r="AE1545" s="2" t="s">
        <v>10801</v>
      </c>
      <c r="AF1545" s="2" t="s">
        <v>7864</v>
      </c>
      <c r="AG1545" s="2">
        <v>90</v>
      </c>
      <c r="AH1545" s="2">
        <v>0</v>
      </c>
      <c r="AJ1545" s="2" t="s">
        <v>13823</v>
      </c>
      <c r="AK1545" s="2"/>
      <c r="AL1545" s="2"/>
      <c r="AM1545" s="2" t="s">
        <v>10791</v>
      </c>
    </row>
    <row r="1546" spans="1:39" x14ac:dyDescent="0.45">
      <c r="A1546" s="2" t="s">
        <v>13824</v>
      </c>
      <c r="B1546" s="2"/>
      <c r="C1546" s="2" t="s">
        <v>13826</v>
      </c>
      <c r="D1546" s="2" t="s">
        <v>13828</v>
      </c>
      <c r="E1546" s="25"/>
      <c r="F1546" s="21"/>
      <c r="G1546" s="21"/>
      <c r="H1546" s="2" t="s">
        <v>10789</v>
      </c>
      <c r="I1546" s="2" t="s">
        <v>10787</v>
      </c>
      <c r="J1546" s="2" t="s">
        <v>13825</v>
      </c>
      <c r="K1546" s="2" t="s">
        <v>13827</v>
      </c>
      <c r="L1546" s="2"/>
      <c r="M1546" s="2"/>
      <c r="N1546" s="2" t="s">
        <v>384</v>
      </c>
      <c r="O1546" s="2" t="s">
        <v>73</v>
      </c>
      <c r="P1546" s="2" t="s">
        <v>13516</v>
      </c>
      <c r="Q1546" s="2" t="s">
        <v>13829</v>
      </c>
      <c r="R1546" s="2"/>
      <c r="S1546" s="2"/>
      <c r="T1546" s="2"/>
      <c r="U1546" s="2" t="s">
        <v>384</v>
      </c>
      <c r="V1546" s="2" t="s">
        <v>73</v>
      </c>
      <c r="W1546" s="2" t="s">
        <v>13516</v>
      </c>
      <c r="X1546" s="2" t="s">
        <v>13830</v>
      </c>
      <c r="Y1546" s="2" t="s">
        <v>44</v>
      </c>
      <c r="Z1546" s="2"/>
      <c r="AA1546" s="2" t="s">
        <v>3527</v>
      </c>
      <c r="AB1546" s="2" t="s">
        <v>46</v>
      </c>
      <c r="AC1546" s="2" t="s">
        <v>3527</v>
      </c>
      <c r="AE1546" s="2" t="s">
        <v>10801</v>
      </c>
      <c r="AF1546" s="2" t="s">
        <v>7864</v>
      </c>
      <c r="AG1546" s="2">
        <v>90</v>
      </c>
      <c r="AH1546" s="2">
        <v>0</v>
      </c>
      <c r="AJ1546" s="2" t="s">
        <v>13831</v>
      </c>
      <c r="AK1546" s="2"/>
      <c r="AL1546" s="2"/>
      <c r="AM1546" s="2" t="s">
        <v>10791</v>
      </c>
    </row>
    <row r="1547" spans="1:39" x14ac:dyDescent="0.45">
      <c r="A1547" s="2" t="s">
        <v>13832</v>
      </c>
      <c r="B1547" s="2"/>
      <c r="C1547" s="2" t="s">
        <v>13834</v>
      </c>
      <c r="D1547" s="2" t="s">
        <v>13836</v>
      </c>
      <c r="E1547" s="25"/>
      <c r="F1547" s="21"/>
      <c r="G1547" s="21"/>
      <c r="H1547" s="2" t="s">
        <v>10789</v>
      </c>
      <c r="I1547" s="2" t="s">
        <v>10787</v>
      </c>
      <c r="J1547" s="2" t="s">
        <v>13833</v>
      </c>
      <c r="K1547" s="2" t="s">
        <v>13835</v>
      </c>
      <c r="L1547" s="2"/>
      <c r="M1547" s="2"/>
      <c r="N1547" s="2" t="s">
        <v>312</v>
      </c>
      <c r="O1547" s="2" t="s">
        <v>313</v>
      </c>
      <c r="P1547" s="2" t="s">
        <v>7647</v>
      </c>
      <c r="Q1547" s="2" t="s">
        <v>13837</v>
      </c>
      <c r="R1547" s="2"/>
      <c r="S1547" s="2"/>
      <c r="T1547" s="2"/>
      <c r="U1547" s="2" t="s">
        <v>312</v>
      </c>
      <c r="V1547" s="2" t="s">
        <v>313</v>
      </c>
      <c r="W1547" s="2" t="s">
        <v>7647</v>
      </c>
      <c r="X1547" s="2" t="s">
        <v>13838</v>
      </c>
      <c r="Y1547" s="2" t="s">
        <v>44</v>
      </c>
      <c r="Z1547" s="2"/>
      <c r="AA1547" s="2" t="s">
        <v>3527</v>
      </c>
      <c r="AB1547" s="2" t="s">
        <v>46</v>
      </c>
      <c r="AC1547" s="2" t="s">
        <v>3527</v>
      </c>
      <c r="AE1547" s="2" t="s">
        <v>10801</v>
      </c>
      <c r="AF1547" s="2" t="s">
        <v>7864</v>
      </c>
      <c r="AG1547" s="2">
        <v>90</v>
      </c>
      <c r="AH1547" s="2">
        <v>0</v>
      </c>
      <c r="AJ1547" s="2" t="s">
        <v>13839</v>
      </c>
      <c r="AK1547" s="2"/>
      <c r="AL1547" s="2"/>
      <c r="AM1547" s="2" t="s">
        <v>10791</v>
      </c>
    </row>
    <row r="1548" spans="1:39" x14ac:dyDescent="0.45">
      <c r="A1548" s="2" t="s">
        <v>13840</v>
      </c>
      <c r="B1548" s="2"/>
      <c r="C1548" s="2" t="s">
        <v>13842</v>
      </c>
      <c r="D1548" s="2" t="s">
        <v>13844</v>
      </c>
      <c r="E1548" s="25"/>
      <c r="F1548" s="21"/>
      <c r="G1548" s="21"/>
      <c r="H1548" s="2" t="s">
        <v>10789</v>
      </c>
      <c r="I1548" s="2" t="s">
        <v>10787</v>
      </c>
      <c r="J1548" s="2" t="s">
        <v>13841</v>
      </c>
      <c r="K1548" s="2" t="s">
        <v>13843</v>
      </c>
      <c r="L1548" s="2"/>
      <c r="M1548" s="2"/>
      <c r="N1548" s="2" t="s">
        <v>59</v>
      </c>
      <c r="O1548" s="2" t="s">
        <v>60</v>
      </c>
      <c r="P1548" s="2" t="s">
        <v>3167</v>
      </c>
      <c r="Q1548" s="2" t="s">
        <v>13843</v>
      </c>
      <c r="R1548" s="2"/>
      <c r="S1548" s="2"/>
      <c r="T1548" s="2"/>
      <c r="U1548" s="2" t="s">
        <v>59</v>
      </c>
      <c r="V1548" s="2" t="s">
        <v>60</v>
      </c>
      <c r="W1548" s="2" t="s">
        <v>3167</v>
      </c>
      <c r="X1548" s="2" t="s">
        <v>13838</v>
      </c>
      <c r="Y1548" s="2" t="s">
        <v>44</v>
      </c>
      <c r="Z1548" s="2"/>
      <c r="AA1548" s="2" t="s">
        <v>3527</v>
      </c>
      <c r="AB1548" s="2" t="s">
        <v>46</v>
      </c>
      <c r="AC1548" s="2" t="s">
        <v>3527</v>
      </c>
      <c r="AE1548" s="2" t="s">
        <v>10801</v>
      </c>
      <c r="AF1548" s="2" t="s">
        <v>7864</v>
      </c>
      <c r="AG1548" s="2">
        <v>90</v>
      </c>
      <c r="AH1548" s="2">
        <v>0</v>
      </c>
      <c r="AJ1548" s="2" t="s">
        <v>13845</v>
      </c>
      <c r="AK1548" s="2"/>
      <c r="AL1548" s="2"/>
      <c r="AM1548" s="2" t="s">
        <v>10791</v>
      </c>
    </row>
    <row r="1549" spans="1:39" x14ac:dyDescent="0.45">
      <c r="A1549" s="2" t="s">
        <v>13846</v>
      </c>
      <c r="B1549" s="2"/>
      <c r="C1549" s="2" t="s">
        <v>13848</v>
      </c>
      <c r="D1549" s="2" t="s">
        <v>13850</v>
      </c>
      <c r="E1549" s="25"/>
      <c r="F1549" s="21"/>
      <c r="G1549" s="21"/>
      <c r="H1549" s="2" t="s">
        <v>10789</v>
      </c>
      <c r="I1549" s="2" t="s">
        <v>10787</v>
      </c>
      <c r="J1549" s="2" t="s">
        <v>13847</v>
      </c>
      <c r="K1549" s="2" t="s">
        <v>13849</v>
      </c>
      <c r="L1549" s="2"/>
      <c r="M1549" s="2"/>
      <c r="N1549" s="2" t="s">
        <v>5984</v>
      </c>
      <c r="O1549" s="2" t="s">
        <v>313</v>
      </c>
      <c r="P1549" s="2" t="s">
        <v>13851</v>
      </c>
      <c r="Q1549" s="2" t="s">
        <v>13849</v>
      </c>
      <c r="R1549" s="2"/>
      <c r="S1549" s="2"/>
      <c r="T1549" s="2"/>
      <c r="U1549" s="2" t="s">
        <v>5984</v>
      </c>
      <c r="V1549" s="2" t="s">
        <v>313</v>
      </c>
      <c r="W1549" s="2" t="s">
        <v>13851</v>
      </c>
      <c r="X1549" s="2" t="s">
        <v>12590</v>
      </c>
      <c r="Y1549" s="2" t="s">
        <v>44</v>
      </c>
      <c r="Z1549" s="2"/>
      <c r="AA1549" s="2" t="s">
        <v>3527</v>
      </c>
      <c r="AB1549" s="2" t="s">
        <v>46</v>
      </c>
      <c r="AC1549" s="2" t="s">
        <v>3527</v>
      </c>
      <c r="AE1549" s="2" t="s">
        <v>10801</v>
      </c>
      <c r="AF1549" s="2" t="s">
        <v>7864</v>
      </c>
      <c r="AG1549" s="2">
        <v>90</v>
      </c>
      <c r="AH1549" s="2">
        <v>0</v>
      </c>
      <c r="AJ1549" s="2" t="s">
        <v>13852</v>
      </c>
      <c r="AK1549" s="2"/>
      <c r="AL1549" s="2"/>
      <c r="AM1549" s="2" t="s">
        <v>10791</v>
      </c>
    </row>
    <row r="1550" spans="1:39" x14ac:dyDescent="0.45">
      <c r="A1550" s="2" t="s">
        <v>13853</v>
      </c>
      <c r="B1550" s="2"/>
      <c r="C1550" s="2" t="s">
        <v>13855</v>
      </c>
      <c r="D1550" s="2" t="s">
        <v>13857</v>
      </c>
      <c r="E1550" s="25"/>
      <c r="F1550" s="21"/>
      <c r="G1550" s="21"/>
      <c r="H1550" s="2" t="s">
        <v>10789</v>
      </c>
      <c r="I1550" s="2" t="s">
        <v>10787</v>
      </c>
      <c r="J1550" s="2" t="s">
        <v>13854</v>
      </c>
      <c r="K1550" s="2" t="s">
        <v>13856</v>
      </c>
      <c r="L1550" s="2"/>
      <c r="M1550" s="2"/>
      <c r="N1550" s="2" t="s">
        <v>8647</v>
      </c>
      <c r="O1550" s="2" t="s">
        <v>537</v>
      </c>
      <c r="P1550" s="2" t="s">
        <v>13858</v>
      </c>
      <c r="Q1550" s="2" t="s">
        <v>13856</v>
      </c>
      <c r="R1550" s="2"/>
      <c r="S1550" s="2"/>
      <c r="T1550" s="2"/>
      <c r="U1550" s="2" t="s">
        <v>8647</v>
      </c>
      <c r="V1550" s="2" t="s">
        <v>537</v>
      </c>
      <c r="W1550" s="2" t="s">
        <v>13858</v>
      </c>
      <c r="X1550" s="2" t="s">
        <v>8963</v>
      </c>
      <c r="Y1550" s="2" t="s">
        <v>44</v>
      </c>
      <c r="Z1550" s="2"/>
      <c r="AA1550" s="2" t="s">
        <v>3527</v>
      </c>
      <c r="AB1550" s="2" t="s">
        <v>46</v>
      </c>
      <c r="AC1550" s="2" t="s">
        <v>3527</v>
      </c>
      <c r="AE1550" s="2" t="s">
        <v>10801</v>
      </c>
      <c r="AF1550" s="2" t="s">
        <v>7864</v>
      </c>
      <c r="AG1550" s="2">
        <v>90</v>
      </c>
      <c r="AH1550" s="2">
        <v>0</v>
      </c>
      <c r="AJ1550" s="2" t="s">
        <v>13859</v>
      </c>
      <c r="AK1550" s="2"/>
      <c r="AL1550" s="2"/>
      <c r="AM1550" s="2" t="s">
        <v>10791</v>
      </c>
    </row>
    <row r="1551" spans="1:39" x14ac:dyDescent="0.45">
      <c r="A1551" s="2" t="s">
        <v>13860</v>
      </c>
      <c r="B1551" s="2"/>
      <c r="C1551" s="2" t="s">
        <v>13862</v>
      </c>
      <c r="D1551" s="2" t="s">
        <v>13864</v>
      </c>
      <c r="E1551" s="25"/>
      <c r="F1551" s="21"/>
      <c r="G1551" s="21"/>
      <c r="H1551" s="2" t="s">
        <v>10789</v>
      </c>
      <c r="I1551" s="2" t="s">
        <v>10787</v>
      </c>
      <c r="J1551" s="2" t="s">
        <v>13861</v>
      </c>
      <c r="K1551" s="2" t="s">
        <v>13863</v>
      </c>
      <c r="L1551" s="2"/>
      <c r="M1551" s="2"/>
      <c r="N1551" s="2" t="s">
        <v>312</v>
      </c>
      <c r="O1551" s="2" t="s">
        <v>313</v>
      </c>
      <c r="P1551" s="2" t="s">
        <v>13865</v>
      </c>
      <c r="Q1551" s="2" t="s">
        <v>13863</v>
      </c>
      <c r="R1551" s="2"/>
      <c r="S1551" s="2"/>
      <c r="T1551" s="2"/>
      <c r="U1551" s="2" t="s">
        <v>312</v>
      </c>
      <c r="V1551" s="2" t="s">
        <v>313</v>
      </c>
      <c r="W1551" s="2" t="s">
        <v>13865</v>
      </c>
      <c r="X1551" s="2" t="s">
        <v>13866</v>
      </c>
      <c r="Y1551" s="2" t="s">
        <v>44</v>
      </c>
      <c r="Z1551" s="2"/>
      <c r="AA1551" s="2" t="s">
        <v>3527</v>
      </c>
      <c r="AB1551" s="2" t="s">
        <v>46</v>
      </c>
      <c r="AC1551" s="2" t="s">
        <v>3527</v>
      </c>
      <c r="AE1551" s="2" t="s">
        <v>10801</v>
      </c>
      <c r="AF1551" s="2" t="s">
        <v>7864</v>
      </c>
      <c r="AG1551" s="2">
        <v>90</v>
      </c>
      <c r="AH1551" s="2">
        <v>0</v>
      </c>
      <c r="AJ1551" s="2" t="s">
        <v>13867</v>
      </c>
      <c r="AK1551" s="2"/>
      <c r="AL1551" s="2"/>
      <c r="AM1551" s="2" t="s">
        <v>10791</v>
      </c>
    </row>
    <row r="1552" spans="1:39" x14ac:dyDescent="0.45">
      <c r="A1552" s="2" t="s">
        <v>13868</v>
      </c>
      <c r="B1552" s="2"/>
      <c r="C1552" s="2" t="s">
        <v>13870</v>
      </c>
      <c r="D1552" s="2" t="s">
        <v>13872</v>
      </c>
      <c r="E1552" s="25"/>
      <c r="F1552" s="21"/>
      <c r="G1552" s="21"/>
      <c r="H1552" s="2" t="s">
        <v>10789</v>
      </c>
      <c r="I1552" s="2" t="s">
        <v>10787</v>
      </c>
      <c r="J1552" s="2" t="s">
        <v>13869</v>
      </c>
      <c r="K1552" s="2" t="s">
        <v>13871</v>
      </c>
      <c r="L1552" s="2"/>
      <c r="M1552" s="2"/>
      <c r="N1552" s="2" t="s">
        <v>536</v>
      </c>
      <c r="O1552" s="2" t="s">
        <v>537</v>
      </c>
      <c r="P1552" s="2" t="s">
        <v>3961</v>
      </c>
      <c r="Q1552" s="2" t="s">
        <v>13871</v>
      </c>
      <c r="R1552" s="2"/>
      <c r="S1552" s="2"/>
      <c r="T1552" s="2"/>
      <c r="U1552" s="2" t="s">
        <v>536</v>
      </c>
      <c r="V1552" s="2" t="s">
        <v>537</v>
      </c>
      <c r="W1552" s="2" t="s">
        <v>3961</v>
      </c>
      <c r="X1552" s="2" t="s">
        <v>13873</v>
      </c>
      <c r="Y1552" s="2" t="s">
        <v>44</v>
      </c>
      <c r="Z1552" s="2"/>
      <c r="AA1552" s="2" t="s">
        <v>3527</v>
      </c>
      <c r="AB1552" s="2" t="s">
        <v>46</v>
      </c>
      <c r="AC1552" s="2" t="s">
        <v>3527</v>
      </c>
      <c r="AE1552" s="2" t="s">
        <v>10801</v>
      </c>
      <c r="AF1552" s="2" t="s">
        <v>7864</v>
      </c>
      <c r="AG1552" s="2">
        <v>90</v>
      </c>
      <c r="AH1552" s="2">
        <v>0</v>
      </c>
      <c r="AJ1552" s="2" t="s">
        <v>13874</v>
      </c>
      <c r="AK1552" s="2"/>
      <c r="AL1552" s="2"/>
      <c r="AM1552" s="2" t="s">
        <v>10791</v>
      </c>
    </row>
    <row r="1553" spans="1:39" x14ac:dyDescent="0.45">
      <c r="A1553" s="2" t="s">
        <v>13875</v>
      </c>
      <c r="B1553" s="2"/>
      <c r="C1553" s="2" t="s">
        <v>13877</v>
      </c>
      <c r="D1553" s="2" t="s">
        <v>13879</v>
      </c>
      <c r="E1553" s="25"/>
      <c r="F1553" s="21"/>
      <c r="G1553" s="21"/>
      <c r="H1553" s="2" t="s">
        <v>10789</v>
      </c>
      <c r="I1553" s="2" t="s">
        <v>10787</v>
      </c>
      <c r="J1553" s="2" t="s">
        <v>13876</v>
      </c>
      <c r="K1553" s="2" t="s">
        <v>13878</v>
      </c>
      <c r="L1553" s="2"/>
      <c r="M1553" s="2"/>
      <c r="N1553" s="2" t="s">
        <v>11330</v>
      </c>
      <c r="O1553" s="2" t="s">
        <v>73</v>
      </c>
      <c r="P1553" s="2" t="s">
        <v>13880</v>
      </c>
      <c r="Q1553" s="2" t="s">
        <v>13878</v>
      </c>
      <c r="R1553" s="2"/>
      <c r="S1553" s="2"/>
      <c r="T1553" s="2"/>
      <c r="U1553" s="2" t="s">
        <v>11330</v>
      </c>
      <c r="V1553" s="2" t="s">
        <v>73</v>
      </c>
      <c r="W1553" s="2" t="s">
        <v>13880</v>
      </c>
      <c r="X1553" s="2" t="s">
        <v>13873</v>
      </c>
      <c r="Y1553" s="2" t="s">
        <v>44</v>
      </c>
      <c r="Z1553" s="2"/>
      <c r="AA1553" s="2" t="s">
        <v>3527</v>
      </c>
      <c r="AB1553" s="2" t="s">
        <v>46</v>
      </c>
      <c r="AC1553" s="2" t="s">
        <v>3527</v>
      </c>
      <c r="AE1553" s="2" t="s">
        <v>10801</v>
      </c>
      <c r="AF1553" s="2" t="s">
        <v>7864</v>
      </c>
      <c r="AG1553" s="2">
        <v>90</v>
      </c>
      <c r="AH1553" s="2">
        <v>0</v>
      </c>
      <c r="AJ1553" s="2" t="s">
        <v>13881</v>
      </c>
      <c r="AK1553" s="2"/>
      <c r="AL1553" s="2"/>
      <c r="AM1553" s="2" t="s">
        <v>10791</v>
      </c>
    </row>
    <row r="1554" spans="1:39" x14ac:dyDescent="0.45">
      <c r="A1554" s="2" t="s">
        <v>13882</v>
      </c>
      <c r="B1554" s="2"/>
      <c r="C1554" s="2" t="s">
        <v>13884</v>
      </c>
      <c r="D1554" s="2" t="s">
        <v>13886</v>
      </c>
      <c r="E1554" s="25"/>
      <c r="F1554" s="21"/>
      <c r="G1554" s="21"/>
      <c r="H1554" s="2" t="s">
        <v>10789</v>
      </c>
      <c r="I1554" s="2" t="s">
        <v>10787</v>
      </c>
      <c r="J1554" s="2" t="s">
        <v>13883</v>
      </c>
      <c r="K1554" s="2" t="s">
        <v>13885</v>
      </c>
      <c r="L1554" s="2"/>
      <c r="M1554" s="2"/>
      <c r="N1554" s="2" t="s">
        <v>72</v>
      </c>
      <c r="O1554" s="2" t="s">
        <v>73</v>
      </c>
      <c r="P1554" s="2" t="s">
        <v>1808</v>
      </c>
      <c r="Q1554" s="2" t="s">
        <v>13885</v>
      </c>
      <c r="R1554" s="2"/>
      <c r="S1554" s="2"/>
      <c r="T1554" s="2"/>
      <c r="U1554" s="2" t="s">
        <v>72</v>
      </c>
      <c r="V1554" s="2" t="s">
        <v>73</v>
      </c>
      <c r="W1554" s="2" t="s">
        <v>1808</v>
      </c>
      <c r="X1554" s="2" t="s">
        <v>4831</v>
      </c>
      <c r="Y1554" s="2" t="s">
        <v>44</v>
      </c>
      <c r="Z1554" s="2"/>
      <c r="AA1554" s="2" t="s">
        <v>3527</v>
      </c>
      <c r="AB1554" s="2" t="s">
        <v>46</v>
      </c>
      <c r="AC1554" s="2" t="s">
        <v>3527</v>
      </c>
      <c r="AE1554" s="2" t="s">
        <v>10801</v>
      </c>
      <c r="AF1554" s="2" t="s">
        <v>7864</v>
      </c>
      <c r="AG1554" s="2">
        <v>90</v>
      </c>
      <c r="AH1554" s="2">
        <v>0</v>
      </c>
      <c r="AJ1554" s="2" t="s">
        <v>13887</v>
      </c>
      <c r="AK1554" s="2"/>
      <c r="AL1554" s="2"/>
      <c r="AM1554" s="2" t="s">
        <v>10791</v>
      </c>
    </row>
    <row r="1555" spans="1:39" x14ac:dyDescent="0.45">
      <c r="A1555" s="2" t="s">
        <v>13888</v>
      </c>
      <c r="B1555" s="2"/>
      <c r="C1555" s="2" t="s">
        <v>13890</v>
      </c>
      <c r="D1555" s="2" t="s">
        <v>13892</v>
      </c>
      <c r="E1555" s="25"/>
      <c r="F1555" s="21"/>
      <c r="G1555" s="21"/>
      <c r="H1555" s="2" t="s">
        <v>10789</v>
      </c>
      <c r="I1555" s="2" t="s">
        <v>10787</v>
      </c>
      <c r="J1555" s="2" t="s">
        <v>13889</v>
      </c>
      <c r="K1555" s="2" t="s">
        <v>13891</v>
      </c>
      <c r="L1555" s="2"/>
      <c r="M1555" s="2"/>
      <c r="N1555" s="2" t="s">
        <v>277</v>
      </c>
      <c r="O1555" s="2" t="s">
        <v>278</v>
      </c>
      <c r="P1555" s="2" t="s">
        <v>13893</v>
      </c>
      <c r="Q1555" s="2" t="s">
        <v>13894</v>
      </c>
      <c r="R1555" s="2"/>
      <c r="S1555" s="2"/>
      <c r="T1555" s="2"/>
      <c r="U1555" s="2" t="s">
        <v>277</v>
      </c>
      <c r="V1555" s="2" t="s">
        <v>278</v>
      </c>
      <c r="W1555" s="2" t="s">
        <v>13893</v>
      </c>
      <c r="X1555" s="2" t="s">
        <v>4831</v>
      </c>
      <c r="Y1555" s="2" t="s">
        <v>44</v>
      </c>
      <c r="Z1555" s="2"/>
      <c r="AA1555" s="2" t="s">
        <v>3527</v>
      </c>
      <c r="AB1555" s="2" t="s">
        <v>46</v>
      </c>
      <c r="AC1555" s="2" t="s">
        <v>3527</v>
      </c>
      <c r="AE1555" s="2" t="s">
        <v>10801</v>
      </c>
      <c r="AF1555" s="2" t="s">
        <v>7864</v>
      </c>
      <c r="AG1555" s="2">
        <v>90</v>
      </c>
      <c r="AH1555" s="2">
        <v>0</v>
      </c>
      <c r="AJ1555" s="2" t="s">
        <v>13895</v>
      </c>
      <c r="AK1555" s="2"/>
      <c r="AL1555" s="2"/>
      <c r="AM1555" s="2" t="s">
        <v>10791</v>
      </c>
    </row>
    <row r="1556" spans="1:39" x14ac:dyDescent="0.45">
      <c r="A1556" s="2" t="s">
        <v>13896</v>
      </c>
      <c r="B1556" s="2"/>
      <c r="C1556" s="2" t="s">
        <v>13898</v>
      </c>
      <c r="D1556" s="2" t="s">
        <v>13900</v>
      </c>
      <c r="E1556" s="25"/>
      <c r="F1556" s="21"/>
      <c r="G1556" s="21"/>
      <c r="H1556" s="2" t="s">
        <v>10789</v>
      </c>
      <c r="I1556" s="2" t="s">
        <v>10787</v>
      </c>
      <c r="J1556" s="2" t="s">
        <v>13897</v>
      </c>
      <c r="K1556" s="2" t="s">
        <v>13899</v>
      </c>
      <c r="L1556" s="2"/>
      <c r="M1556" s="2"/>
      <c r="N1556" s="2" t="s">
        <v>312</v>
      </c>
      <c r="O1556" s="2" t="s">
        <v>313</v>
      </c>
      <c r="P1556" s="2" t="s">
        <v>7647</v>
      </c>
      <c r="Q1556" s="2" t="s">
        <v>13899</v>
      </c>
      <c r="R1556" s="2"/>
      <c r="S1556" s="2"/>
      <c r="T1556" s="2"/>
      <c r="U1556" s="2" t="s">
        <v>312</v>
      </c>
      <c r="V1556" s="2" t="s">
        <v>313</v>
      </c>
      <c r="W1556" s="2" t="s">
        <v>7647</v>
      </c>
      <c r="X1556" s="2" t="s">
        <v>2690</v>
      </c>
      <c r="Y1556" s="2" t="s">
        <v>44</v>
      </c>
      <c r="Z1556" s="2"/>
      <c r="AA1556" s="2" t="s">
        <v>3527</v>
      </c>
      <c r="AB1556" s="2" t="s">
        <v>46</v>
      </c>
      <c r="AC1556" s="2" t="s">
        <v>3527</v>
      </c>
      <c r="AE1556" s="2" t="s">
        <v>10801</v>
      </c>
      <c r="AF1556" s="2" t="s">
        <v>7864</v>
      </c>
      <c r="AG1556" s="2">
        <v>90</v>
      </c>
      <c r="AH1556" s="2">
        <v>0</v>
      </c>
      <c r="AJ1556" s="2" t="s">
        <v>13901</v>
      </c>
      <c r="AK1556" s="2"/>
      <c r="AL1556" s="2"/>
      <c r="AM1556" s="2" t="s">
        <v>10791</v>
      </c>
    </row>
    <row r="1557" spans="1:39" x14ac:dyDescent="0.45">
      <c r="A1557" s="2" t="s">
        <v>13902</v>
      </c>
      <c r="B1557" s="2"/>
      <c r="C1557" s="2" t="s">
        <v>13904</v>
      </c>
      <c r="D1557" s="2" t="s">
        <v>13906</v>
      </c>
      <c r="E1557" s="25"/>
      <c r="F1557" s="21"/>
      <c r="G1557" s="21"/>
      <c r="H1557" s="2" t="s">
        <v>10789</v>
      </c>
      <c r="I1557" s="2" t="s">
        <v>10787</v>
      </c>
      <c r="J1557" s="2" t="s">
        <v>13903</v>
      </c>
      <c r="K1557" s="2" t="s">
        <v>13905</v>
      </c>
      <c r="L1557" s="2"/>
      <c r="M1557" s="2"/>
      <c r="N1557" s="2" t="s">
        <v>312</v>
      </c>
      <c r="O1557" s="2" t="s">
        <v>313</v>
      </c>
      <c r="P1557" s="2" t="s">
        <v>7647</v>
      </c>
      <c r="Q1557" s="2" t="s">
        <v>13905</v>
      </c>
      <c r="R1557" s="2"/>
      <c r="S1557" s="2"/>
      <c r="T1557" s="2"/>
      <c r="U1557" s="2" t="s">
        <v>312</v>
      </c>
      <c r="V1557" s="2" t="s">
        <v>313</v>
      </c>
      <c r="W1557" s="2" t="s">
        <v>7647</v>
      </c>
      <c r="X1557" s="2" t="s">
        <v>13907</v>
      </c>
      <c r="Y1557" s="2" t="s">
        <v>44</v>
      </c>
      <c r="Z1557" s="2"/>
      <c r="AA1557" s="2" t="s">
        <v>3527</v>
      </c>
      <c r="AB1557" s="2" t="s">
        <v>46</v>
      </c>
      <c r="AC1557" s="2" t="s">
        <v>3527</v>
      </c>
      <c r="AE1557" s="2" t="s">
        <v>10801</v>
      </c>
      <c r="AF1557" s="2" t="s">
        <v>7864</v>
      </c>
      <c r="AG1557" s="2">
        <v>90</v>
      </c>
      <c r="AH1557" s="2">
        <v>0</v>
      </c>
      <c r="AJ1557" s="2" t="s">
        <v>13908</v>
      </c>
      <c r="AK1557" s="2"/>
      <c r="AL1557" s="2"/>
      <c r="AM1557" s="2" t="s">
        <v>10791</v>
      </c>
    </row>
    <row r="1558" spans="1:39" x14ac:dyDescent="0.45">
      <c r="A1558" s="2" t="s">
        <v>13909</v>
      </c>
      <c r="B1558" s="2"/>
      <c r="C1558" s="2" t="s">
        <v>13911</v>
      </c>
      <c r="D1558" s="2" t="s">
        <v>13913</v>
      </c>
      <c r="E1558" s="25"/>
      <c r="F1558" s="21"/>
      <c r="G1558" s="21"/>
      <c r="H1558" s="2" t="s">
        <v>10789</v>
      </c>
      <c r="I1558" s="2" t="s">
        <v>10787</v>
      </c>
      <c r="J1558" s="2" t="s">
        <v>13910</v>
      </c>
      <c r="K1558" s="2" t="s">
        <v>13912</v>
      </c>
      <c r="L1558" s="2"/>
      <c r="M1558" s="2"/>
      <c r="N1558" s="2" t="s">
        <v>312</v>
      </c>
      <c r="O1558" s="2" t="s">
        <v>313</v>
      </c>
      <c r="P1558" s="2" t="s">
        <v>12990</v>
      </c>
      <c r="Q1558" s="2" t="s">
        <v>13912</v>
      </c>
      <c r="R1558" s="2"/>
      <c r="S1558" s="2"/>
      <c r="T1558" s="2"/>
      <c r="U1558" s="2" t="s">
        <v>312</v>
      </c>
      <c r="V1558" s="2" t="s">
        <v>313</v>
      </c>
      <c r="W1558" s="2" t="s">
        <v>12990</v>
      </c>
      <c r="X1558" s="2" t="s">
        <v>580</v>
      </c>
      <c r="Y1558" s="2" t="s">
        <v>44</v>
      </c>
      <c r="Z1558" s="2"/>
      <c r="AA1558" s="2" t="s">
        <v>3527</v>
      </c>
      <c r="AB1558" s="2" t="s">
        <v>46</v>
      </c>
      <c r="AC1558" s="2" t="s">
        <v>3527</v>
      </c>
      <c r="AE1558" s="2" t="s">
        <v>10801</v>
      </c>
      <c r="AF1558" s="2" t="s">
        <v>7864</v>
      </c>
      <c r="AG1558" s="2">
        <v>90</v>
      </c>
      <c r="AH1558" s="2">
        <v>0</v>
      </c>
      <c r="AJ1558" s="2" t="s">
        <v>13914</v>
      </c>
      <c r="AK1558" s="2"/>
      <c r="AL1558" s="2"/>
      <c r="AM1558" s="2" t="s">
        <v>10791</v>
      </c>
    </row>
    <row r="1559" spans="1:39" x14ac:dyDescent="0.45">
      <c r="A1559" s="2" t="s">
        <v>13915</v>
      </c>
      <c r="B1559" s="2"/>
      <c r="C1559" s="2" t="s">
        <v>13917</v>
      </c>
      <c r="D1559" s="2" t="s">
        <v>13919</v>
      </c>
      <c r="E1559" s="25"/>
      <c r="F1559" s="21"/>
      <c r="G1559" s="21"/>
      <c r="H1559" s="2" t="s">
        <v>10789</v>
      </c>
      <c r="I1559" s="2" t="s">
        <v>10787</v>
      </c>
      <c r="J1559" s="2" t="s">
        <v>13916</v>
      </c>
      <c r="K1559" s="2" t="s">
        <v>13918</v>
      </c>
      <c r="L1559" s="2"/>
      <c r="M1559" s="2"/>
      <c r="N1559" s="2" t="s">
        <v>8392</v>
      </c>
      <c r="O1559" s="2" t="s">
        <v>313</v>
      </c>
      <c r="P1559" s="2" t="s">
        <v>13920</v>
      </c>
      <c r="Q1559" s="2" t="s">
        <v>13918</v>
      </c>
      <c r="R1559" s="2"/>
      <c r="S1559" s="2"/>
      <c r="T1559" s="2"/>
      <c r="U1559" s="2" t="s">
        <v>8392</v>
      </c>
      <c r="V1559" s="2" t="s">
        <v>313</v>
      </c>
      <c r="W1559" s="2" t="s">
        <v>13920</v>
      </c>
      <c r="X1559" s="2" t="s">
        <v>580</v>
      </c>
      <c r="Y1559" s="2" t="s">
        <v>44</v>
      </c>
      <c r="Z1559" s="2"/>
      <c r="AA1559" s="2" t="s">
        <v>3527</v>
      </c>
      <c r="AB1559" s="2" t="s">
        <v>46</v>
      </c>
      <c r="AC1559" s="2" t="s">
        <v>3527</v>
      </c>
      <c r="AE1559" s="2" t="s">
        <v>10801</v>
      </c>
      <c r="AF1559" s="2" t="s">
        <v>7864</v>
      </c>
      <c r="AG1559" s="2">
        <v>90</v>
      </c>
      <c r="AH1559" s="2">
        <v>0</v>
      </c>
      <c r="AJ1559" s="2" t="s">
        <v>13921</v>
      </c>
      <c r="AK1559" s="2"/>
      <c r="AL1559" s="2"/>
      <c r="AM1559" s="2" t="s">
        <v>10791</v>
      </c>
    </row>
    <row r="1560" spans="1:39" x14ac:dyDescent="0.45">
      <c r="A1560" s="2" t="s">
        <v>13922</v>
      </c>
      <c r="B1560" s="2"/>
      <c r="C1560" s="2" t="s">
        <v>13924</v>
      </c>
      <c r="D1560" s="2" t="s">
        <v>13926</v>
      </c>
      <c r="E1560" s="25"/>
      <c r="F1560" s="21"/>
      <c r="G1560" s="21"/>
      <c r="H1560" s="2" t="s">
        <v>10789</v>
      </c>
      <c r="I1560" s="2" t="s">
        <v>10787</v>
      </c>
      <c r="J1560" s="2" t="s">
        <v>13923</v>
      </c>
      <c r="K1560" s="2" t="s">
        <v>13925</v>
      </c>
      <c r="L1560" s="2"/>
      <c r="M1560" s="2"/>
      <c r="N1560" s="2" t="s">
        <v>312</v>
      </c>
      <c r="O1560" s="2" t="s">
        <v>313</v>
      </c>
      <c r="P1560" s="2" t="s">
        <v>7647</v>
      </c>
      <c r="Q1560" s="2" t="s">
        <v>13925</v>
      </c>
      <c r="R1560" s="2"/>
      <c r="S1560" s="2"/>
      <c r="T1560" s="2"/>
      <c r="U1560" s="2" t="s">
        <v>312</v>
      </c>
      <c r="V1560" s="2" t="s">
        <v>313</v>
      </c>
      <c r="W1560" s="2" t="s">
        <v>7647</v>
      </c>
      <c r="X1560" s="2" t="s">
        <v>580</v>
      </c>
      <c r="Y1560" s="2" t="s">
        <v>44</v>
      </c>
      <c r="Z1560" s="2"/>
      <c r="AA1560" s="2" t="s">
        <v>3527</v>
      </c>
      <c r="AB1560" s="2" t="s">
        <v>46</v>
      </c>
      <c r="AC1560" s="2" t="s">
        <v>3527</v>
      </c>
      <c r="AE1560" s="2" t="s">
        <v>10801</v>
      </c>
      <c r="AF1560" s="2" t="s">
        <v>7864</v>
      </c>
      <c r="AG1560" s="2">
        <v>90</v>
      </c>
      <c r="AH1560" s="2">
        <v>0</v>
      </c>
      <c r="AJ1560" s="2" t="s">
        <v>13927</v>
      </c>
      <c r="AK1560" s="2"/>
      <c r="AL1560" s="2"/>
      <c r="AM1560" s="2" t="s">
        <v>10791</v>
      </c>
    </row>
    <row r="1561" spans="1:39" x14ac:dyDescent="0.45">
      <c r="A1561" s="2" t="s">
        <v>13928</v>
      </c>
      <c r="B1561" s="2"/>
      <c r="C1561" s="2" t="s">
        <v>13930</v>
      </c>
      <c r="D1561" s="2" t="s">
        <v>13932</v>
      </c>
      <c r="E1561" s="25"/>
      <c r="F1561" s="21"/>
      <c r="G1561" s="21"/>
      <c r="H1561" s="2" t="s">
        <v>10789</v>
      </c>
      <c r="I1561" s="2" t="s">
        <v>10787</v>
      </c>
      <c r="J1561" s="2" t="s">
        <v>13929</v>
      </c>
      <c r="K1561" s="2" t="s">
        <v>13931</v>
      </c>
      <c r="L1561" s="2"/>
      <c r="M1561" s="2"/>
      <c r="N1561" s="2" t="s">
        <v>277</v>
      </c>
      <c r="O1561" s="2" t="s">
        <v>278</v>
      </c>
      <c r="P1561" s="2" t="s">
        <v>279</v>
      </c>
      <c r="Q1561" s="2" t="s">
        <v>13931</v>
      </c>
      <c r="R1561" s="2"/>
      <c r="S1561" s="2"/>
      <c r="T1561" s="2"/>
      <c r="U1561" s="2" t="s">
        <v>277</v>
      </c>
      <c r="V1561" s="2" t="s">
        <v>278</v>
      </c>
      <c r="W1561" s="2" t="s">
        <v>279</v>
      </c>
      <c r="X1561" s="2" t="s">
        <v>580</v>
      </c>
      <c r="Y1561" s="2" t="s">
        <v>44</v>
      </c>
      <c r="Z1561" s="2"/>
      <c r="AA1561" s="2" t="s">
        <v>3527</v>
      </c>
      <c r="AB1561" s="2" t="s">
        <v>46</v>
      </c>
      <c r="AC1561" s="2" t="s">
        <v>3527</v>
      </c>
      <c r="AE1561" s="2" t="s">
        <v>10801</v>
      </c>
      <c r="AF1561" s="2" t="s">
        <v>7864</v>
      </c>
      <c r="AG1561" s="2">
        <v>90</v>
      </c>
      <c r="AH1561" s="2">
        <v>0</v>
      </c>
      <c r="AJ1561" s="2" t="s">
        <v>13933</v>
      </c>
      <c r="AK1561" s="2"/>
      <c r="AL1561" s="2"/>
      <c r="AM1561" s="2" t="s">
        <v>10791</v>
      </c>
    </row>
    <row r="1562" spans="1:39" x14ac:dyDescent="0.45">
      <c r="A1562" s="2" t="s">
        <v>13934</v>
      </c>
      <c r="B1562" s="2"/>
      <c r="C1562" s="2" t="s">
        <v>13936</v>
      </c>
      <c r="D1562" s="2" t="s">
        <v>13938</v>
      </c>
      <c r="E1562" s="25"/>
      <c r="F1562" s="21"/>
      <c r="G1562" s="21"/>
      <c r="H1562" s="2" t="s">
        <v>10789</v>
      </c>
      <c r="I1562" s="2" t="s">
        <v>10787</v>
      </c>
      <c r="J1562" s="2" t="s">
        <v>13935</v>
      </c>
      <c r="K1562" s="2" t="s">
        <v>13937</v>
      </c>
      <c r="L1562" s="2"/>
      <c r="M1562" s="2"/>
      <c r="N1562" s="2" t="s">
        <v>384</v>
      </c>
      <c r="O1562" s="2" t="s">
        <v>73</v>
      </c>
      <c r="P1562" s="2" t="s">
        <v>13939</v>
      </c>
      <c r="Q1562" s="2" t="s">
        <v>13937</v>
      </c>
      <c r="R1562" s="2"/>
      <c r="S1562" s="2"/>
      <c r="T1562" s="2"/>
      <c r="U1562" s="2" t="s">
        <v>384</v>
      </c>
      <c r="V1562" s="2" t="s">
        <v>73</v>
      </c>
      <c r="W1562" s="2" t="s">
        <v>13939</v>
      </c>
      <c r="X1562" s="2" t="s">
        <v>580</v>
      </c>
      <c r="Y1562" s="2" t="s">
        <v>44</v>
      </c>
      <c r="Z1562" s="2"/>
      <c r="AA1562" s="2" t="s">
        <v>3527</v>
      </c>
      <c r="AB1562" s="2" t="s">
        <v>46</v>
      </c>
      <c r="AC1562" s="2" t="s">
        <v>3527</v>
      </c>
      <c r="AE1562" s="2" t="s">
        <v>10801</v>
      </c>
      <c r="AF1562" s="2" t="s">
        <v>7864</v>
      </c>
      <c r="AG1562" s="2">
        <v>90</v>
      </c>
      <c r="AH1562" s="2">
        <v>0</v>
      </c>
      <c r="AJ1562" s="2" t="s">
        <v>13940</v>
      </c>
      <c r="AK1562" s="2"/>
      <c r="AL1562" s="2"/>
      <c r="AM1562" s="2" t="s">
        <v>10791</v>
      </c>
    </row>
    <row r="1563" spans="1:39" x14ac:dyDescent="0.45">
      <c r="A1563" s="2" t="s">
        <v>13941</v>
      </c>
      <c r="B1563" s="2"/>
      <c r="C1563" s="2" t="s">
        <v>13943</v>
      </c>
      <c r="D1563" s="2" t="s">
        <v>13945</v>
      </c>
      <c r="E1563" s="25"/>
      <c r="F1563" s="21"/>
      <c r="G1563" s="21"/>
      <c r="H1563" s="2" t="s">
        <v>10789</v>
      </c>
      <c r="I1563" s="2" t="s">
        <v>10787</v>
      </c>
      <c r="J1563" s="2" t="s">
        <v>13942</v>
      </c>
      <c r="K1563" s="2" t="s">
        <v>13944</v>
      </c>
      <c r="L1563" s="2"/>
      <c r="M1563" s="2"/>
      <c r="N1563" s="2" t="s">
        <v>277</v>
      </c>
      <c r="O1563" s="2" t="s">
        <v>278</v>
      </c>
      <c r="P1563" s="2" t="s">
        <v>1546</v>
      </c>
      <c r="Q1563" s="2" t="s">
        <v>13944</v>
      </c>
      <c r="R1563" s="2"/>
      <c r="S1563" s="2"/>
      <c r="T1563" s="2"/>
      <c r="U1563" s="2" t="s">
        <v>277</v>
      </c>
      <c r="V1563" s="2" t="s">
        <v>278</v>
      </c>
      <c r="W1563" s="2" t="s">
        <v>1546</v>
      </c>
      <c r="X1563" s="2" t="s">
        <v>580</v>
      </c>
      <c r="Y1563" s="2" t="s">
        <v>44</v>
      </c>
      <c r="Z1563" s="2"/>
      <c r="AA1563" s="2" t="s">
        <v>3527</v>
      </c>
      <c r="AB1563" s="2" t="s">
        <v>46</v>
      </c>
      <c r="AC1563" s="2" t="s">
        <v>3527</v>
      </c>
      <c r="AE1563" s="2" t="s">
        <v>10801</v>
      </c>
      <c r="AF1563" s="2" t="s">
        <v>7864</v>
      </c>
      <c r="AG1563" s="2">
        <v>90</v>
      </c>
      <c r="AH1563" s="2">
        <v>0</v>
      </c>
      <c r="AJ1563" s="2" t="s">
        <v>13946</v>
      </c>
      <c r="AK1563" s="2"/>
      <c r="AL1563" s="2"/>
      <c r="AM1563" s="2" t="s">
        <v>10791</v>
      </c>
    </row>
    <row r="1564" spans="1:39" x14ac:dyDescent="0.45">
      <c r="A1564" s="2" t="s">
        <v>13947</v>
      </c>
      <c r="B1564" s="2"/>
      <c r="C1564" s="2" t="s">
        <v>13949</v>
      </c>
      <c r="D1564" s="2" t="s">
        <v>13951</v>
      </c>
      <c r="E1564" s="25"/>
      <c r="F1564" s="21"/>
      <c r="G1564" s="21"/>
      <c r="H1564" s="2" t="s">
        <v>10789</v>
      </c>
      <c r="I1564" s="2" t="s">
        <v>10787</v>
      </c>
      <c r="J1564" s="2" t="s">
        <v>13948</v>
      </c>
      <c r="K1564" s="2" t="s">
        <v>13950</v>
      </c>
      <c r="L1564" s="2"/>
      <c r="M1564" s="2"/>
      <c r="N1564" s="2" t="s">
        <v>9838</v>
      </c>
      <c r="O1564" s="2" t="s">
        <v>278</v>
      </c>
      <c r="P1564" s="2" t="s">
        <v>13952</v>
      </c>
      <c r="Q1564" s="2" t="s">
        <v>13950</v>
      </c>
      <c r="R1564" s="2"/>
      <c r="S1564" s="2"/>
      <c r="T1564" s="2"/>
      <c r="U1564" s="2" t="s">
        <v>9838</v>
      </c>
      <c r="V1564" s="2" t="s">
        <v>278</v>
      </c>
      <c r="W1564" s="2" t="s">
        <v>13952</v>
      </c>
      <c r="X1564" s="2" t="s">
        <v>6993</v>
      </c>
      <c r="Y1564" s="2" t="s">
        <v>44</v>
      </c>
      <c r="Z1564" s="2"/>
      <c r="AA1564" s="2" t="s">
        <v>3527</v>
      </c>
      <c r="AB1564" s="2" t="s">
        <v>46</v>
      </c>
      <c r="AC1564" s="2" t="s">
        <v>3527</v>
      </c>
      <c r="AE1564" s="2" t="s">
        <v>10801</v>
      </c>
      <c r="AF1564" s="2" t="s">
        <v>7864</v>
      </c>
      <c r="AG1564" s="2">
        <v>90</v>
      </c>
      <c r="AH1564" s="2">
        <v>0</v>
      </c>
      <c r="AJ1564" s="2" t="s">
        <v>13953</v>
      </c>
      <c r="AK1564" s="2"/>
      <c r="AL1564" s="2"/>
      <c r="AM1564" s="2" t="s">
        <v>10791</v>
      </c>
    </row>
    <row r="1565" spans="1:39" x14ac:dyDescent="0.45">
      <c r="A1565" s="2" t="s">
        <v>13954</v>
      </c>
      <c r="B1565" s="2"/>
      <c r="C1565" s="2" t="s">
        <v>13956</v>
      </c>
      <c r="D1565" s="2" t="s">
        <v>13958</v>
      </c>
      <c r="E1565" s="25"/>
      <c r="F1565" s="21"/>
      <c r="G1565" s="21"/>
      <c r="H1565" s="2" t="s">
        <v>10789</v>
      </c>
      <c r="I1565" s="2" t="s">
        <v>10787</v>
      </c>
      <c r="J1565" s="2" t="s">
        <v>13955</v>
      </c>
      <c r="K1565" s="2" t="s">
        <v>13957</v>
      </c>
      <c r="L1565" s="2"/>
      <c r="M1565" s="2"/>
      <c r="N1565" s="2" t="s">
        <v>290</v>
      </c>
      <c r="O1565" s="2" t="s">
        <v>278</v>
      </c>
      <c r="P1565" s="2" t="s">
        <v>13959</v>
      </c>
      <c r="Q1565" s="2" t="s">
        <v>13957</v>
      </c>
      <c r="R1565" s="2"/>
      <c r="S1565" s="2"/>
      <c r="T1565" s="2"/>
      <c r="U1565" s="2" t="s">
        <v>290</v>
      </c>
      <c r="V1565" s="2" t="s">
        <v>278</v>
      </c>
      <c r="W1565" s="2" t="s">
        <v>13959</v>
      </c>
      <c r="X1565" s="2" t="s">
        <v>6993</v>
      </c>
      <c r="Y1565" s="2" t="s">
        <v>44</v>
      </c>
      <c r="Z1565" s="2"/>
      <c r="AA1565" s="2" t="s">
        <v>3527</v>
      </c>
      <c r="AB1565" s="2" t="s">
        <v>46</v>
      </c>
      <c r="AC1565" s="2" t="s">
        <v>3527</v>
      </c>
      <c r="AE1565" s="2" t="s">
        <v>10801</v>
      </c>
      <c r="AF1565" s="2" t="s">
        <v>7864</v>
      </c>
      <c r="AG1565" s="2">
        <v>90</v>
      </c>
      <c r="AH1565" s="2">
        <v>0</v>
      </c>
      <c r="AJ1565" s="2" t="s">
        <v>13960</v>
      </c>
      <c r="AK1565" s="2"/>
      <c r="AL1565" s="2"/>
      <c r="AM1565" s="2" t="s">
        <v>10791</v>
      </c>
    </row>
    <row r="1566" spans="1:39" x14ac:dyDescent="0.45">
      <c r="A1566" s="2" t="s">
        <v>13961</v>
      </c>
      <c r="B1566" s="2"/>
      <c r="C1566" s="2" t="s">
        <v>13963</v>
      </c>
      <c r="D1566" s="2" t="s">
        <v>13965</v>
      </c>
      <c r="E1566" s="25"/>
      <c r="F1566" s="21"/>
      <c r="G1566" s="21"/>
      <c r="H1566" s="2" t="s">
        <v>10789</v>
      </c>
      <c r="I1566" s="2" t="s">
        <v>10787</v>
      </c>
      <c r="J1566" s="2" t="s">
        <v>13962</v>
      </c>
      <c r="K1566" s="2" t="s">
        <v>13964</v>
      </c>
      <c r="L1566" s="2"/>
      <c r="M1566" s="2"/>
      <c r="N1566" s="2" t="s">
        <v>13966</v>
      </c>
      <c r="O1566" s="2" t="s">
        <v>221</v>
      </c>
      <c r="P1566" s="2" t="s">
        <v>13967</v>
      </c>
      <c r="Q1566" s="2" t="s">
        <v>13964</v>
      </c>
      <c r="R1566" s="2"/>
      <c r="S1566" s="2"/>
      <c r="T1566" s="2"/>
      <c r="U1566" s="2" t="s">
        <v>13966</v>
      </c>
      <c r="V1566" s="2" t="s">
        <v>221</v>
      </c>
      <c r="W1566" s="2" t="s">
        <v>13967</v>
      </c>
      <c r="X1566" s="2" t="s">
        <v>6993</v>
      </c>
      <c r="Y1566" s="2" t="s">
        <v>44</v>
      </c>
      <c r="Z1566" s="2"/>
      <c r="AA1566" s="2" t="s">
        <v>3527</v>
      </c>
      <c r="AB1566" s="2" t="s">
        <v>46</v>
      </c>
      <c r="AC1566" s="2" t="s">
        <v>3527</v>
      </c>
      <c r="AE1566" s="2" t="s">
        <v>10801</v>
      </c>
      <c r="AF1566" s="2" t="s">
        <v>7864</v>
      </c>
      <c r="AG1566" s="2">
        <v>90</v>
      </c>
      <c r="AH1566" s="2">
        <v>0</v>
      </c>
      <c r="AJ1566" s="2" t="s">
        <v>13968</v>
      </c>
      <c r="AK1566" s="2"/>
      <c r="AL1566" s="2"/>
      <c r="AM1566" s="2" t="s">
        <v>10791</v>
      </c>
    </row>
    <row r="1567" spans="1:39" x14ac:dyDescent="0.45">
      <c r="A1567" s="2" t="s">
        <v>13969</v>
      </c>
      <c r="B1567" s="2"/>
      <c r="C1567" s="2" t="s">
        <v>13971</v>
      </c>
      <c r="D1567" s="2" t="s">
        <v>13973</v>
      </c>
      <c r="E1567" s="25"/>
      <c r="F1567" s="21"/>
      <c r="G1567" s="21"/>
      <c r="H1567" s="2" t="s">
        <v>10789</v>
      </c>
      <c r="I1567" s="2" t="s">
        <v>10787</v>
      </c>
      <c r="J1567" s="2" t="s">
        <v>13970</v>
      </c>
      <c r="K1567" s="2" t="s">
        <v>13972</v>
      </c>
      <c r="L1567" s="2"/>
      <c r="M1567" s="2"/>
      <c r="N1567" s="2" t="s">
        <v>312</v>
      </c>
      <c r="O1567" s="2" t="s">
        <v>313</v>
      </c>
      <c r="P1567" s="2" t="s">
        <v>7647</v>
      </c>
      <c r="Q1567" s="2" t="s">
        <v>13974</v>
      </c>
      <c r="R1567" s="2"/>
      <c r="S1567" s="2"/>
      <c r="T1567" s="2"/>
      <c r="U1567" s="2" t="s">
        <v>312</v>
      </c>
      <c r="V1567" s="2" t="s">
        <v>313</v>
      </c>
      <c r="W1567" s="2" t="s">
        <v>314</v>
      </c>
      <c r="X1567" s="2" t="s">
        <v>6993</v>
      </c>
      <c r="Y1567" s="2" t="s">
        <v>44</v>
      </c>
      <c r="Z1567" s="2"/>
      <c r="AA1567" s="2" t="s">
        <v>3527</v>
      </c>
      <c r="AB1567" s="2" t="s">
        <v>46</v>
      </c>
      <c r="AC1567" s="2" t="s">
        <v>3527</v>
      </c>
      <c r="AE1567" s="2" t="s">
        <v>10801</v>
      </c>
      <c r="AF1567" s="2" t="s">
        <v>7864</v>
      </c>
      <c r="AG1567" s="2">
        <v>90</v>
      </c>
      <c r="AH1567" s="2">
        <v>0</v>
      </c>
      <c r="AJ1567" s="2" t="s">
        <v>13975</v>
      </c>
      <c r="AK1567" s="2"/>
      <c r="AL1567" s="2"/>
      <c r="AM1567" s="2" t="s">
        <v>10791</v>
      </c>
    </row>
    <row r="1568" spans="1:39" x14ac:dyDescent="0.45">
      <c r="A1568" s="2" t="s">
        <v>13976</v>
      </c>
      <c r="B1568" s="2"/>
      <c r="C1568" s="2" t="s">
        <v>13978</v>
      </c>
      <c r="D1568" s="2" t="s">
        <v>13980</v>
      </c>
      <c r="E1568" s="25"/>
      <c r="F1568" s="21"/>
      <c r="G1568" s="21"/>
      <c r="H1568" s="2" t="s">
        <v>10789</v>
      </c>
      <c r="I1568" s="2" t="s">
        <v>10787</v>
      </c>
      <c r="J1568" s="2" t="s">
        <v>13977</v>
      </c>
      <c r="K1568" s="2" t="s">
        <v>13979</v>
      </c>
      <c r="L1568" s="2"/>
      <c r="M1568" s="2"/>
      <c r="N1568" s="2" t="s">
        <v>13039</v>
      </c>
      <c r="O1568" s="2" t="s">
        <v>1281</v>
      </c>
      <c r="P1568" s="2" t="s">
        <v>13981</v>
      </c>
      <c r="Q1568" s="2" t="s">
        <v>13979</v>
      </c>
      <c r="R1568" s="2"/>
      <c r="S1568" s="2"/>
      <c r="T1568" s="2"/>
      <c r="U1568" s="2" t="s">
        <v>13039</v>
      </c>
      <c r="V1568" s="2" t="s">
        <v>1281</v>
      </c>
      <c r="W1568" s="2" t="s">
        <v>13981</v>
      </c>
      <c r="X1568" s="2" t="s">
        <v>6993</v>
      </c>
      <c r="Y1568" s="2" t="s">
        <v>44</v>
      </c>
      <c r="Z1568" s="2"/>
      <c r="AA1568" s="2" t="s">
        <v>3527</v>
      </c>
      <c r="AB1568" s="2" t="s">
        <v>46</v>
      </c>
      <c r="AC1568" s="2" t="s">
        <v>3527</v>
      </c>
      <c r="AE1568" s="2" t="s">
        <v>10801</v>
      </c>
      <c r="AF1568" s="2" t="s">
        <v>7864</v>
      </c>
      <c r="AG1568" s="2">
        <v>90</v>
      </c>
      <c r="AH1568" s="2">
        <v>0</v>
      </c>
      <c r="AJ1568" s="2" t="s">
        <v>13982</v>
      </c>
      <c r="AK1568" s="2"/>
      <c r="AL1568" s="2"/>
      <c r="AM1568" s="2" t="s">
        <v>10791</v>
      </c>
    </row>
    <row r="1569" spans="1:39" x14ac:dyDescent="0.45">
      <c r="A1569" s="2" t="s">
        <v>13983</v>
      </c>
      <c r="B1569" s="2"/>
      <c r="C1569" s="2" t="s">
        <v>13985</v>
      </c>
      <c r="D1569" s="2" t="s">
        <v>13987</v>
      </c>
      <c r="E1569" s="25"/>
      <c r="F1569" s="21"/>
      <c r="G1569" s="21"/>
      <c r="H1569" s="2" t="s">
        <v>10789</v>
      </c>
      <c r="I1569" s="2" t="s">
        <v>10787</v>
      </c>
      <c r="J1569" s="2" t="s">
        <v>13984</v>
      </c>
      <c r="K1569" s="2" t="s">
        <v>13986</v>
      </c>
      <c r="L1569" s="2"/>
      <c r="M1569" s="2"/>
      <c r="N1569" s="2" t="s">
        <v>59</v>
      </c>
      <c r="O1569" s="2" t="s">
        <v>60</v>
      </c>
      <c r="P1569" s="2" t="s">
        <v>5251</v>
      </c>
      <c r="Q1569" s="2" t="s">
        <v>13988</v>
      </c>
      <c r="R1569" s="2"/>
      <c r="S1569" s="2"/>
      <c r="T1569" s="2"/>
      <c r="U1569" s="2" t="s">
        <v>59</v>
      </c>
      <c r="V1569" s="2" t="s">
        <v>60</v>
      </c>
      <c r="W1569" s="2" t="s">
        <v>5251</v>
      </c>
      <c r="X1569" s="2" t="s">
        <v>7004</v>
      </c>
      <c r="Y1569" s="2" t="s">
        <v>44</v>
      </c>
      <c r="Z1569" s="2"/>
      <c r="AA1569" s="2" t="s">
        <v>3527</v>
      </c>
      <c r="AB1569" s="2" t="s">
        <v>46</v>
      </c>
      <c r="AC1569" s="2" t="s">
        <v>3527</v>
      </c>
      <c r="AE1569" s="2" t="s">
        <v>10801</v>
      </c>
      <c r="AF1569" s="2" t="s">
        <v>7864</v>
      </c>
      <c r="AG1569" s="2">
        <v>90</v>
      </c>
      <c r="AH1569" s="2">
        <v>0</v>
      </c>
      <c r="AJ1569" s="2" t="s">
        <v>13989</v>
      </c>
      <c r="AK1569" s="2"/>
      <c r="AL1569" s="2"/>
      <c r="AM1569" s="2" t="s">
        <v>10791</v>
      </c>
    </row>
    <row r="1570" spans="1:39" x14ac:dyDescent="0.45">
      <c r="A1570" s="2" t="s">
        <v>13990</v>
      </c>
      <c r="B1570" s="2"/>
      <c r="C1570" s="2" t="s">
        <v>13992</v>
      </c>
      <c r="D1570" s="2" t="s">
        <v>13994</v>
      </c>
      <c r="E1570" s="25"/>
      <c r="F1570" s="21"/>
      <c r="G1570" s="21"/>
      <c r="H1570" s="2" t="s">
        <v>10789</v>
      </c>
      <c r="I1570" s="2" t="s">
        <v>10787</v>
      </c>
      <c r="J1570" s="2" t="s">
        <v>13991</v>
      </c>
      <c r="K1570" s="2" t="s">
        <v>13993</v>
      </c>
      <c r="L1570" s="2"/>
      <c r="M1570" s="2"/>
      <c r="N1570" s="2" t="s">
        <v>651</v>
      </c>
      <c r="O1570" s="2" t="s">
        <v>86</v>
      </c>
      <c r="P1570" s="2" t="s">
        <v>4521</v>
      </c>
      <c r="Q1570" s="2" t="s">
        <v>13995</v>
      </c>
      <c r="R1570" s="2"/>
      <c r="S1570" s="2"/>
      <c r="T1570" s="2"/>
      <c r="U1570" s="2" t="s">
        <v>651</v>
      </c>
      <c r="V1570" s="2" t="s">
        <v>86</v>
      </c>
      <c r="W1570" s="2" t="s">
        <v>4521</v>
      </c>
      <c r="X1570" s="2" t="s">
        <v>7004</v>
      </c>
      <c r="Y1570" s="2" t="s">
        <v>44</v>
      </c>
      <c r="Z1570" s="2"/>
      <c r="AA1570" s="2" t="s">
        <v>3527</v>
      </c>
      <c r="AB1570" s="2" t="s">
        <v>46</v>
      </c>
      <c r="AC1570" s="2" t="s">
        <v>3527</v>
      </c>
      <c r="AE1570" s="2" t="s">
        <v>10801</v>
      </c>
      <c r="AF1570" s="2" t="s">
        <v>7864</v>
      </c>
      <c r="AG1570" s="2">
        <v>90</v>
      </c>
      <c r="AH1570" s="2">
        <v>0</v>
      </c>
      <c r="AJ1570" s="2" t="s">
        <v>13996</v>
      </c>
      <c r="AK1570" s="2"/>
      <c r="AL1570" s="2"/>
      <c r="AM1570" s="2" t="s">
        <v>10791</v>
      </c>
    </row>
    <row r="1571" spans="1:39" x14ac:dyDescent="0.45">
      <c r="A1571" s="2" t="s">
        <v>13997</v>
      </c>
      <c r="B1571" s="2"/>
      <c r="C1571" s="2" t="s">
        <v>13999</v>
      </c>
      <c r="D1571" s="2" t="s">
        <v>14001</v>
      </c>
      <c r="E1571" s="25"/>
      <c r="F1571" s="21"/>
      <c r="G1571" s="21"/>
      <c r="H1571" s="2" t="s">
        <v>10789</v>
      </c>
      <c r="I1571" s="2" t="s">
        <v>12417</v>
      </c>
      <c r="J1571" s="2" t="s">
        <v>13998</v>
      </c>
      <c r="K1571" s="2" t="s">
        <v>14000</v>
      </c>
      <c r="L1571" s="2"/>
      <c r="M1571" s="2"/>
      <c r="N1571" s="2" t="s">
        <v>59</v>
      </c>
      <c r="O1571" s="2" t="s">
        <v>60</v>
      </c>
      <c r="P1571" s="2" t="s">
        <v>5584</v>
      </c>
      <c r="Q1571" s="2" t="s">
        <v>14002</v>
      </c>
      <c r="R1571" s="2"/>
      <c r="S1571" s="2"/>
      <c r="T1571" s="2"/>
      <c r="U1571" s="2" t="s">
        <v>59</v>
      </c>
      <c r="V1571" s="2" t="s">
        <v>60</v>
      </c>
      <c r="W1571" s="2" t="s">
        <v>5584</v>
      </c>
      <c r="X1571" s="2" t="s">
        <v>1003</v>
      </c>
      <c r="Y1571" s="2" t="s">
        <v>44</v>
      </c>
      <c r="Z1571" s="2"/>
      <c r="AA1571" s="2" t="s">
        <v>3527</v>
      </c>
      <c r="AB1571" s="2" t="s">
        <v>46</v>
      </c>
      <c r="AC1571" s="2" t="s">
        <v>3527</v>
      </c>
      <c r="AE1571" s="2" t="s">
        <v>10801</v>
      </c>
      <c r="AF1571" s="2" t="s">
        <v>7864</v>
      </c>
      <c r="AG1571" s="2">
        <v>90</v>
      </c>
      <c r="AH1571" s="2">
        <v>0</v>
      </c>
      <c r="AJ1571" s="2" t="s">
        <v>14003</v>
      </c>
      <c r="AK1571" s="2"/>
      <c r="AL1571" s="2"/>
      <c r="AM1571" s="2" t="s">
        <v>10791</v>
      </c>
    </row>
    <row r="1572" spans="1:39" x14ac:dyDescent="0.45">
      <c r="A1572" s="2" t="s">
        <v>14004</v>
      </c>
      <c r="B1572" s="2"/>
      <c r="C1572" s="2" t="s">
        <v>14006</v>
      </c>
      <c r="D1572" s="2" t="s">
        <v>14008</v>
      </c>
      <c r="E1572" s="25"/>
      <c r="F1572" s="21"/>
      <c r="G1572" s="21"/>
      <c r="H1572" s="2" t="s">
        <v>10789</v>
      </c>
      <c r="I1572" s="2" t="s">
        <v>10787</v>
      </c>
      <c r="J1572" s="2" t="s">
        <v>14005</v>
      </c>
      <c r="K1572" s="2" t="s">
        <v>14007</v>
      </c>
      <c r="L1572" s="2"/>
      <c r="M1572" s="2"/>
      <c r="N1572" s="2" t="s">
        <v>312</v>
      </c>
      <c r="O1572" s="2" t="s">
        <v>313</v>
      </c>
      <c r="P1572" s="2" t="s">
        <v>7647</v>
      </c>
      <c r="Q1572" s="2" t="s">
        <v>14007</v>
      </c>
      <c r="R1572" s="2"/>
      <c r="S1572" s="2"/>
      <c r="T1572" s="2"/>
      <c r="U1572" s="2" t="s">
        <v>312</v>
      </c>
      <c r="V1572" s="2" t="s">
        <v>313</v>
      </c>
      <c r="W1572" s="2" t="s">
        <v>7647</v>
      </c>
      <c r="X1572" s="2" t="s">
        <v>4532</v>
      </c>
      <c r="Y1572" s="2" t="s">
        <v>44</v>
      </c>
      <c r="Z1572" s="2"/>
      <c r="AA1572" s="2" t="s">
        <v>3527</v>
      </c>
      <c r="AB1572" s="2" t="s">
        <v>46</v>
      </c>
      <c r="AC1572" s="2" t="s">
        <v>3527</v>
      </c>
      <c r="AE1572" s="2" t="s">
        <v>10801</v>
      </c>
      <c r="AF1572" s="2" t="s">
        <v>7864</v>
      </c>
      <c r="AG1572" s="2">
        <v>90</v>
      </c>
      <c r="AH1572" s="2">
        <v>0</v>
      </c>
      <c r="AJ1572" s="2" t="s">
        <v>14009</v>
      </c>
      <c r="AK1572" s="2"/>
      <c r="AL1572" s="2"/>
      <c r="AM1572" s="2" t="s">
        <v>10791</v>
      </c>
    </row>
    <row r="1573" spans="1:39" x14ac:dyDescent="0.45">
      <c r="A1573" s="2" t="s">
        <v>14010</v>
      </c>
      <c r="B1573" s="2"/>
      <c r="C1573" s="2" t="s">
        <v>14012</v>
      </c>
      <c r="D1573" s="2" t="s">
        <v>14014</v>
      </c>
      <c r="E1573" s="25"/>
      <c r="F1573" s="21"/>
      <c r="G1573" s="21"/>
      <c r="H1573" s="2" t="s">
        <v>10789</v>
      </c>
      <c r="I1573" s="2" t="s">
        <v>10787</v>
      </c>
      <c r="J1573" s="2" t="s">
        <v>14011</v>
      </c>
      <c r="K1573" s="2" t="s">
        <v>14013</v>
      </c>
      <c r="L1573" s="2"/>
      <c r="M1573" s="2"/>
      <c r="N1573" s="2" t="s">
        <v>324</v>
      </c>
      <c r="O1573" s="2" t="s">
        <v>73</v>
      </c>
      <c r="P1573" s="2" t="s">
        <v>2072</v>
      </c>
      <c r="Q1573" s="2" t="s">
        <v>14015</v>
      </c>
      <c r="R1573" s="2"/>
      <c r="S1573" s="2"/>
      <c r="T1573" s="2"/>
      <c r="U1573" s="2" t="s">
        <v>324</v>
      </c>
      <c r="V1573" s="2" t="s">
        <v>73</v>
      </c>
      <c r="W1573" s="2" t="s">
        <v>2072</v>
      </c>
      <c r="X1573" s="2" t="s">
        <v>4532</v>
      </c>
      <c r="Y1573" s="2" t="s">
        <v>44</v>
      </c>
      <c r="Z1573" s="2"/>
      <c r="AA1573" s="2" t="s">
        <v>3527</v>
      </c>
      <c r="AB1573" s="2" t="s">
        <v>46</v>
      </c>
      <c r="AC1573" s="2" t="s">
        <v>3527</v>
      </c>
      <c r="AE1573" s="2" t="s">
        <v>10801</v>
      </c>
      <c r="AF1573" s="2" t="s">
        <v>7864</v>
      </c>
      <c r="AG1573" s="2">
        <v>90</v>
      </c>
      <c r="AH1573" s="2">
        <v>0</v>
      </c>
      <c r="AJ1573" s="2" t="s">
        <v>14016</v>
      </c>
      <c r="AK1573" s="2"/>
      <c r="AL1573" s="2"/>
      <c r="AM1573" s="2" t="s">
        <v>10791</v>
      </c>
    </row>
    <row r="1574" spans="1:39" x14ac:dyDescent="0.45">
      <c r="A1574" s="2" t="s">
        <v>14017</v>
      </c>
      <c r="B1574" s="2"/>
      <c r="C1574" s="2" t="s">
        <v>14019</v>
      </c>
      <c r="D1574" s="2" t="s">
        <v>14021</v>
      </c>
      <c r="E1574" s="25"/>
      <c r="F1574" s="21"/>
      <c r="G1574" s="21"/>
      <c r="H1574" s="2" t="s">
        <v>10789</v>
      </c>
      <c r="I1574" s="2" t="s">
        <v>10787</v>
      </c>
      <c r="J1574" s="2" t="s">
        <v>14018</v>
      </c>
      <c r="K1574" s="2" t="s">
        <v>14020</v>
      </c>
      <c r="L1574" s="2"/>
      <c r="M1574" s="2"/>
      <c r="N1574" s="2" t="s">
        <v>72</v>
      </c>
      <c r="O1574" s="2" t="s">
        <v>73</v>
      </c>
      <c r="P1574" s="2" t="s">
        <v>2665</v>
      </c>
      <c r="Q1574" s="2" t="s">
        <v>14020</v>
      </c>
      <c r="R1574" s="2"/>
      <c r="S1574" s="2"/>
      <c r="T1574" s="2"/>
      <c r="U1574" s="2" t="s">
        <v>72</v>
      </c>
      <c r="V1574" s="2" t="s">
        <v>73</v>
      </c>
      <c r="W1574" s="2" t="s">
        <v>2665</v>
      </c>
      <c r="X1574" s="2" t="s">
        <v>4867</v>
      </c>
      <c r="Y1574" s="2" t="s">
        <v>44</v>
      </c>
      <c r="Z1574" s="2"/>
      <c r="AA1574" s="2" t="s">
        <v>3527</v>
      </c>
      <c r="AB1574" s="2" t="s">
        <v>46</v>
      </c>
      <c r="AC1574" s="2" t="s">
        <v>3527</v>
      </c>
      <c r="AE1574" s="2" t="s">
        <v>10801</v>
      </c>
      <c r="AF1574" s="2" t="s">
        <v>7864</v>
      </c>
      <c r="AG1574" s="2">
        <v>90</v>
      </c>
      <c r="AH1574" s="2">
        <v>0</v>
      </c>
      <c r="AJ1574" s="2" t="s">
        <v>14022</v>
      </c>
      <c r="AK1574" s="2"/>
      <c r="AL1574" s="2"/>
      <c r="AM1574" s="2" t="s">
        <v>10791</v>
      </c>
    </row>
    <row r="1575" spans="1:39" x14ac:dyDescent="0.45">
      <c r="A1575" s="2" t="s">
        <v>14023</v>
      </c>
      <c r="B1575" s="2"/>
      <c r="C1575" s="2" t="s">
        <v>11930</v>
      </c>
      <c r="D1575" s="2" t="s">
        <v>14026</v>
      </c>
      <c r="E1575" s="25"/>
      <c r="F1575" s="21"/>
      <c r="G1575" s="21"/>
      <c r="H1575" s="2" t="s">
        <v>10789</v>
      </c>
      <c r="I1575" s="2" t="s">
        <v>10787</v>
      </c>
      <c r="J1575" s="2" t="s">
        <v>14024</v>
      </c>
      <c r="K1575" s="2" t="s">
        <v>14025</v>
      </c>
      <c r="L1575" s="2"/>
      <c r="M1575" s="2"/>
      <c r="N1575" s="2" t="s">
        <v>312</v>
      </c>
      <c r="O1575" s="2" t="s">
        <v>313</v>
      </c>
      <c r="P1575" s="2" t="s">
        <v>314</v>
      </c>
      <c r="Q1575" s="2" t="s">
        <v>14025</v>
      </c>
      <c r="R1575" s="2"/>
      <c r="S1575" s="2"/>
      <c r="T1575" s="2"/>
      <c r="U1575" s="2" t="s">
        <v>312</v>
      </c>
      <c r="V1575" s="2" t="s">
        <v>313</v>
      </c>
      <c r="W1575" s="2" t="s">
        <v>314</v>
      </c>
      <c r="X1575" s="2" t="s">
        <v>14027</v>
      </c>
      <c r="Y1575" s="2" t="s">
        <v>44</v>
      </c>
      <c r="Z1575" s="2"/>
      <c r="AA1575" s="2" t="s">
        <v>3527</v>
      </c>
      <c r="AB1575" s="2" t="s">
        <v>46</v>
      </c>
      <c r="AC1575" s="2" t="s">
        <v>3527</v>
      </c>
      <c r="AE1575" s="2" t="s">
        <v>10801</v>
      </c>
      <c r="AF1575" s="2" t="s">
        <v>7864</v>
      </c>
      <c r="AG1575" s="2">
        <v>90</v>
      </c>
      <c r="AH1575" s="2">
        <v>0</v>
      </c>
      <c r="AJ1575" s="2" t="s">
        <v>14028</v>
      </c>
      <c r="AK1575" s="2"/>
      <c r="AL1575" s="2"/>
      <c r="AM1575" s="2" t="s">
        <v>10791</v>
      </c>
    </row>
    <row r="1576" spans="1:39" x14ac:dyDescent="0.45">
      <c r="A1576" s="2" t="s">
        <v>14029</v>
      </c>
      <c r="B1576" s="2"/>
      <c r="C1576" s="2" t="s">
        <v>11276</v>
      </c>
      <c r="D1576" s="2" t="s">
        <v>11278</v>
      </c>
      <c r="E1576" s="25"/>
      <c r="F1576" s="21"/>
      <c r="G1576" s="21"/>
      <c r="H1576" s="2" t="s">
        <v>10789</v>
      </c>
      <c r="I1576" s="2" t="s">
        <v>10787</v>
      </c>
      <c r="J1576" s="2" t="s">
        <v>14030</v>
      </c>
      <c r="K1576" s="2" t="s">
        <v>14031</v>
      </c>
      <c r="L1576" s="2"/>
      <c r="M1576" s="2"/>
      <c r="N1576" s="2" t="s">
        <v>11280</v>
      </c>
      <c r="O1576" s="2" t="s">
        <v>313</v>
      </c>
      <c r="P1576" s="2" t="s">
        <v>11281</v>
      </c>
      <c r="Q1576" s="2" t="s">
        <v>14031</v>
      </c>
      <c r="R1576" s="2"/>
      <c r="S1576" s="2"/>
      <c r="T1576" s="2"/>
      <c r="U1576" s="2" t="s">
        <v>11280</v>
      </c>
      <c r="V1576" s="2" t="s">
        <v>313</v>
      </c>
      <c r="W1576" s="2" t="s">
        <v>11281</v>
      </c>
      <c r="X1576" s="2" t="s">
        <v>12608</v>
      </c>
      <c r="Y1576" s="2" t="s">
        <v>44</v>
      </c>
      <c r="Z1576" s="2"/>
      <c r="AA1576" s="2" t="s">
        <v>3527</v>
      </c>
      <c r="AB1576" s="2" t="s">
        <v>46</v>
      </c>
      <c r="AC1576" s="2" t="s">
        <v>3527</v>
      </c>
      <c r="AE1576" s="2" t="s">
        <v>10801</v>
      </c>
      <c r="AF1576" s="2" t="s">
        <v>7864</v>
      </c>
      <c r="AG1576" s="2">
        <v>90</v>
      </c>
      <c r="AH1576" s="2">
        <v>0</v>
      </c>
      <c r="AJ1576" s="2" t="s">
        <v>14032</v>
      </c>
      <c r="AK1576" s="2"/>
      <c r="AL1576" s="2"/>
      <c r="AM1576" s="2" t="s">
        <v>10791</v>
      </c>
    </row>
    <row r="1577" spans="1:39" x14ac:dyDescent="0.45">
      <c r="A1577" s="2" t="s">
        <v>14033</v>
      </c>
      <c r="B1577" s="2"/>
      <c r="C1577" s="2" t="s">
        <v>14035</v>
      </c>
      <c r="D1577" s="2" t="s">
        <v>14037</v>
      </c>
      <c r="E1577" s="25"/>
      <c r="F1577" s="21"/>
      <c r="G1577" s="21"/>
      <c r="H1577" s="2" t="s">
        <v>10789</v>
      </c>
      <c r="I1577" s="2" t="s">
        <v>10787</v>
      </c>
      <c r="J1577" s="2" t="s">
        <v>14034</v>
      </c>
      <c r="K1577" s="2" t="s">
        <v>14036</v>
      </c>
      <c r="L1577" s="2"/>
      <c r="M1577" s="2"/>
      <c r="N1577" s="2" t="s">
        <v>384</v>
      </c>
      <c r="O1577" s="2" t="s">
        <v>73</v>
      </c>
      <c r="P1577" s="2" t="s">
        <v>7107</v>
      </c>
      <c r="Q1577" s="2" t="s">
        <v>14036</v>
      </c>
      <c r="R1577" s="2"/>
      <c r="S1577" s="2"/>
      <c r="T1577" s="2"/>
      <c r="U1577" s="2" t="s">
        <v>384</v>
      </c>
      <c r="V1577" s="2" t="s">
        <v>73</v>
      </c>
      <c r="W1577" s="2" t="s">
        <v>7107</v>
      </c>
      <c r="X1577" s="2" t="s">
        <v>12608</v>
      </c>
      <c r="Y1577" s="2" t="s">
        <v>44</v>
      </c>
      <c r="Z1577" s="2"/>
      <c r="AA1577" s="2" t="s">
        <v>3527</v>
      </c>
      <c r="AB1577" s="2" t="s">
        <v>46</v>
      </c>
      <c r="AC1577" s="2" t="s">
        <v>3527</v>
      </c>
      <c r="AE1577" s="2" t="s">
        <v>10801</v>
      </c>
      <c r="AF1577" s="2" t="s">
        <v>7864</v>
      </c>
      <c r="AG1577" s="2">
        <v>90</v>
      </c>
      <c r="AH1577" s="2">
        <v>0</v>
      </c>
      <c r="AJ1577" s="2" t="s">
        <v>14038</v>
      </c>
      <c r="AK1577" s="2"/>
      <c r="AL1577" s="2"/>
      <c r="AM1577" s="2" t="s">
        <v>10791</v>
      </c>
    </row>
    <row r="1578" spans="1:39" x14ac:dyDescent="0.45">
      <c r="A1578" s="2" t="s">
        <v>14039</v>
      </c>
      <c r="B1578" s="2"/>
      <c r="C1578" s="2" t="s">
        <v>14041</v>
      </c>
      <c r="D1578" s="2" t="s">
        <v>14043</v>
      </c>
      <c r="E1578" s="25"/>
      <c r="F1578" s="21"/>
      <c r="G1578" s="21"/>
      <c r="H1578" s="2" t="s">
        <v>10789</v>
      </c>
      <c r="I1578" s="2" t="s">
        <v>10787</v>
      </c>
      <c r="J1578" s="2" t="s">
        <v>14040</v>
      </c>
      <c r="K1578" s="2" t="s">
        <v>14042</v>
      </c>
      <c r="L1578" s="2"/>
      <c r="M1578" s="2"/>
      <c r="N1578" s="2" t="s">
        <v>651</v>
      </c>
      <c r="O1578" s="2" t="s">
        <v>86</v>
      </c>
      <c r="P1578" s="2" t="s">
        <v>14044</v>
      </c>
      <c r="Q1578" s="2" t="s">
        <v>14042</v>
      </c>
      <c r="R1578" s="2"/>
      <c r="S1578" s="2"/>
      <c r="T1578" s="2"/>
      <c r="U1578" s="2" t="s">
        <v>651</v>
      </c>
      <c r="V1578" s="2" t="s">
        <v>86</v>
      </c>
      <c r="W1578" s="2" t="s">
        <v>14044</v>
      </c>
      <c r="X1578" s="2" t="s">
        <v>9618</v>
      </c>
      <c r="Y1578" s="2" t="s">
        <v>44</v>
      </c>
      <c r="Z1578" s="2"/>
      <c r="AA1578" s="2" t="s">
        <v>3527</v>
      </c>
      <c r="AB1578" s="2" t="s">
        <v>46</v>
      </c>
      <c r="AC1578" s="2" t="s">
        <v>3527</v>
      </c>
      <c r="AE1578" s="2" t="s">
        <v>10801</v>
      </c>
      <c r="AF1578" s="2" t="s">
        <v>7864</v>
      </c>
      <c r="AG1578" s="2">
        <v>90</v>
      </c>
      <c r="AH1578" s="2">
        <v>0</v>
      </c>
      <c r="AJ1578" s="2" t="s">
        <v>14045</v>
      </c>
      <c r="AK1578" s="2"/>
      <c r="AL1578" s="2"/>
      <c r="AM1578" s="2" t="s">
        <v>10791</v>
      </c>
    </row>
    <row r="1579" spans="1:39" x14ac:dyDescent="0.45">
      <c r="A1579" s="2" t="s">
        <v>14046</v>
      </c>
      <c r="B1579" s="2"/>
      <c r="C1579" s="2" t="s">
        <v>14048</v>
      </c>
      <c r="D1579" s="2" t="s">
        <v>14050</v>
      </c>
      <c r="E1579" s="25"/>
      <c r="F1579" s="21"/>
      <c r="G1579" s="21"/>
      <c r="H1579" s="2" t="s">
        <v>10789</v>
      </c>
      <c r="I1579" s="2" t="s">
        <v>10787</v>
      </c>
      <c r="J1579" s="2" t="s">
        <v>14047</v>
      </c>
      <c r="K1579" s="2" t="s">
        <v>14049</v>
      </c>
      <c r="L1579" s="2"/>
      <c r="M1579" s="2"/>
      <c r="N1579" s="2" t="s">
        <v>312</v>
      </c>
      <c r="O1579" s="2" t="s">
        <v>313</v>
      </c>
      <c r="P1579" s="2" t="s">
        <v>7647</v>
      </c>
      <c r="Q1579" s="2" t="s">
        <v>14049</v>
      </c>
      <c r="R1579" s="2"/>
      <c r="S1579" s="2"/>
      <c r="T1579" s="2"/>
      <c r="U1579" s="2" t="s">
        <v>312</v>
      </c>
      <c r="V1579" s="2" t="s">
        <v>313</v>
      </c>
      <c r="W1579" s="2" t="s">
        <v>7647</v>
      </c>
      <c r="X1579" s="2" t="s">
        <v>2716</v>
      </c>
      <c r="Y1579" s="2" t="s">
        <v>44</v>
      </c>
      <c r="Z1579" s="2"/>
      <c r="AA1579" s="2" t="s">
        <v>3527</v>
      </c>
      <c r="AB1579" s="2" t="s">
        <v>46</v>
      </c>
      <c r="AC1579" s="2" t="s">
        <v>3527</v>
      </c>
      <c r="AE1579" s="2" t="s">
        <v>10801</v>
      </c>
      <c r="AF1579" s="2" t="s">
        <v>7864</v>
      </c>
      <c r="AG1579" s="2">
        <v>90</v>
      </c>
      <c r="AH1579" s="2">
        <v>0</v>
      </c>
      <c r="AJ1579" s="2" t="s">
        <v>14051</v>
      </c>
      <c r="AK1579" s="2"/>
      <c r="AL1579" s="2"/>
      <c r="AM1579" s="2" t="s">
        <v>10791</v>
      </c>
    </row>
    <row r="1580" spans="1:39" x14ac:dyDescent="0.45">
      <c r="A1580" s="2" t="s">
        <v>14052</v>
      </c>
      <c r="B1580" s="2"/>
      <c r="C1580" s="2" t="s">
        <v>14054</v>
      </c>
      <c r="D1580" s="2" t="s">
        <v>14056</v>
      </c>
      <c r="E1580" s="25"/>
      <c r="F1580" s="21"/>
      <c r="G1580" s="21"/>
      <c r="H1580" s="2" t="s">
        <v>10789</v>
      </c>
      <c r="I1580" s="2" t="s">
        <v>10787</v>
      </c>
      <c r="J1580" s="2" t="s">
        <v>14053</v>
      </c>
      <c r="K1580" s="2" t="s">
        <v>14055</v>
      </c>
      <c r="L1580" s="2"/>
      <c r="M1580" s="2"/>
      <c r="N1580" s="2" t="s">
        <v>312</v>
      </c>
      <c r="O1580" s="2" t="s">
        <v>313</v>
      </c>
      <c r="P1580" s="2" t="s">
        <v>314</v>
      </c>
      <c r="Q1580" s="2" t="s">
        <v>14055</v>
      </c>
      <c r="R1580" s="2"/>
      <c r="S1580" s="2"/>
      <c r="T1580" s="2"/>
      <c r="U1580" s="2" t="s">
        <v>312</v>
      </c>
      <c r="V1580" s="2" t="s">
        <v>313</v>
      </c>
      <c r="W1580" s="2" t="s">
        <v>314</v>
      </c>
      <c r="X1580" s="2" t="s">
        <v>9022</v>
      </c>
      <c r="Y1580" s="2" t="s">
        <v>44</v>
      </c>
      <c r="Z1580" s="2"/>
      <c r="AA1580" s="2" t="s">
        <v>3527</v>
      </c>
      <c r="AB1580" s="2" t="s">
        <v>46</v>
      </c>
      <c r="AC1580" s="2" t="s">
        <v>3527</v>
      </c>
      <c r="AE1580" s="2" t="s">
        <v>10801</v>
      </c>
      <c r="AF1580" s="2" t="s">
        <v>7864</v>
      </c>
      <c r="AG1580" s="2">
        <v>90</v>
      </c>
      <c r="AH1580" s="2">
        <v>0</v>
      </c>
      <c r="AJ1580" s="2" t="s">
        <v>14057</v>
      </c>
      <c r="AK1580" s="2"/>
      <c r="AL1580" s="2"/>
      <c r="AM1580" s="2" t="s">
        <v>10791</v>
      </c>
    </row>
    <row r="1581" spans="1:39" x14ac:dyDescent="0.45">
      <c r="A1581" s="2" t="s">
        <v>14058</v>
      </c>
      <c r="B1581" s="2"/>
      <c r="C1581" s="2" t="s">
        <v>14060</v>
      </c>
      <c r="D1581" s="2" t="s">
        <v>14062</v>
      </c>
      <c r="E1581" s="25"/>
      <c r="F1581" s="21"/>
      <c r="G1581" s="21"/>
      <c r="H1581" s="2" t="s">
        <v>10789</v>
      </c>
      <c r="I1581" s="2" t="s">
        <v>11214</v>
      </c>
      <c r="J1581" s="2" t="s">
        <v>14059</v>
      </c>
      <c r="K1581" s="2" t="s">
        <v>14061</v>
      </c>
      <c r="L1581" s="2"/>
      <c r="M1581" s="2"/>
      <c r="N1581" s="2" t="s">
        <v>312</v>
      </c>
      <c r="O1581" s="2" t="s">
        <v>313</v>
      </c>
      <c r="P1581" s="2" t="s">
        <v>14063</v>
      </c>
      <c r="Q1581" s="2" t="s">
        <v>14061</v>
      </c>
      <c r="R1581" s="2"/>
      <c r="S1581" s="2"/>
      <c r="T1581" s="2"/>
      <c r="U1581" s="2" t="s">
        <v>312</v>
      </c>
      <c r="V1581" s="2" t="s">
        <v>313</v>
      </c>
      <c r="W1581" s="2" t="s">
        <v>14063</v>
      </c>
      <c r="X1581" s="2" t="s">
        <v>8433</v>
      </c>
      <c r="Y1581" s="2" t="s">
        <v>44</v>
      </c>
      <c r="Z1581" s="2"/>
      <c r="AA1581" s="2" t="s">
        <v>3527</v>
      </c>
      <c r="AB1581" s="2" t="s">
        <v>46</v>
      </c>
      <c r="AC1581" s="2" t="s">
        <v>3527</v>
      </c>
      <c r="AE1581" s="2" t="s">
        <v>10801</v>
      </c>
      <c r="AF1581" s="2" t="s">
        <v>7864</v>
      </c>
      <c r="AG1581" s="2">
        <v>90</v>
      </c>
      <c r="AH1581" s="2">
        <v>0</v>
      </c>
      <c r="AJ1581" s="2" t="s">
        <v>14064</v>
      </c>
      <c r="AK1581" s="2"/>
      <c r="AL1581" s="2"/>
      <c r="AM1581" s="2" t="s">
        <v>10791</v>
      </c>
    </row>
    <row r="1582" spans="1:39" x14ac:dyDescent="0.45">
      <c r="A1582" s="2" t="s">
        <v>14065</v>
      </c>
      <c r="B1582" s="2"/>
      <c r="C1582" s="2" t="s">
        <v>14067</v>
      </c>
      <c r="D1582" s="2" t="s">
        <v>14069</v>
      </c>
      <c r="E1582" s="25"/>
      <c r="F1582" s="21"/>
      <c r="G1582" s="21"/>
      <c r="H1582" s="2" t="s">
        <v>10789</v>
      </c>
      <c r="I1582" s="2" t="s">
        <v>10787</v>
      </c>
      <c r="J1582" s="2" t="s">
        <v>14066</v>
      </c>
      <c r="K1582" s="2" t="s">
        <v>14068</v>
      </c>
      <c r="L1582" s="2"/>
      <c r="M1582" s="2"/>
      <c r="N1582" s="2" t="s">
        <v>14070</v>
      </c>
      <c r="O1582" s="2" t="s">
        <v>313</v>
      </c>
      <c r="P1582" s="2" t="s">
        <v>14071</v>
      </c>
      <c r="Q1582" s="2" t="s">
        <v>14068</v>
      </c>
      <c r="R1582" s="2"/>
      <c r="S1582" s="2"/>
      <c r="T1582" s="2"/>
      <c r="U1582" s="2" t="s">
        <v>14070</v>
      </c>
      <c r="V1582" s="2" t="s">
        <v>313</v>
      </c>
      <c r="W1582" s="2" t="s">
        <v>14071</v>
      </c>
      <c r="X1582" s="2" t="s">
        <v>14072</v>
      </c>
      <c r="Y1582" s="2" t="s">
        <v>44</v>
      </c>
      <c r="Z1582" s="2"/>
      <c r="AA1582" s="2" t="s">
        <v>3527</v>
      </c>
      <c r="AB1582" s="2" t="s">
        <v>46</v>
      </c>
      <c r="AC1582" s="2" t="s">
        <v>3527</v>
      </c>
      <c r="AE1582" s="2" t="s">
        <v>10801</v>
      </c>
      <c r="AF1582" s="2" t="s">
        <v>7864</v>
      </c>
      <c r="AG1582" s="2">
        <v>90</v>
      </c>
      <c r="AH1582" s="2">
        <v>0</v>
      </c>
      <c r="AJ1582" s="2" t="s">
        <v>14073</v>
      </c>
      <c r="AK1582" s="2"/>
      <c r="AL1582" s="2"/>
      <c r="AM1582" s="2" t="s">
        <v>10791</v>
      </c>
    </row>
    <row r="1583" spans="1:39" x14ac:dyDescent="0.45">
      <c r="A1583" s="2" t="s">
        <v>14074</v>
      </c>
      <c r="B1583" s="2"/>
      <c r="C1583" s="2" t="s">
        <v>14076</v>
      </c>
      <c r="D1583" s="2" t="s">
        <v>14078</v>
      </c>
      <c r="E1583" s="25"/>
      <c r="F1583" s="21"/>
      <c r="G1583" s="21"/>
      <c r="H1583" s="2" t="s">
        <v>10789</v>
      </c>
      <c r="I1583" s="2" t="s">
        <v>10787</v>
      </c>
      <c r="J1583" s="2" t="s">
        <v>14075</v>
      </c>
      <c r="K1583" s="2" t="s">
        <v>14077</v>
      </c>
      <c r="L1583" s="2"/>
      <c r="M1583" s="2"/>
      <c r="N1583" s="2" t="s">
        <v>384</v>
      </c>
      <c r="O1583" s="2" t="s">
        <v>73</v>
      </c>
      <c r="P1583" s="2" t="s">
        <v>14079</v>
      </c>
      <c r="Q1583" s="2" t="s">
        <v>14077</v>
      </c>
      <c r="R1583" s="2"/>
      <c r="S1583" s="2"/>
      <c r="T1583" s="2"/>
      <c r="U1583" s="2" t="s">
        <v>384</v>
      </c>
      <c r="V1583" s="2" t="s">
        <v>73</v>
      </c>
      <c r="W1583" s="2" t="s">
        <v>14079</v>
      </c>
      <c r="X1583" s="2" t="s">
        <v>7052</v>
      </c>
      <c r="Y1583" s="2" t="s">
        <v>44</v>
      </c>
      <c r="Z1583" s="2"/>
      <c r="AA1583" s="2" t="s">
        <v>3527</v>
      </c>
      <c r="AB1583" s="2" t="s">
        <v>46</v>
      </c>
      <c r="AC1583" s="2" t="s">
        <v>3527</v>
      </c>
      <c r="AE1583" s="2" t="s">
        <v>10801</v>
      </c>
      <c r="AF1583" s="2" t="s">
        <v>7864</v>
      </c>
      <c r="AG1583" s="2">
        <v>90</v>
      </c>
      <c r="AH1583" s="2">
        <v>0</v>
      </c>
      <c r="AJ1583" s="2" t="s">
        <v>14080</v>
      </c>
      <c r="AK1583" s="2"/>
      <c r="AL1583" s="2"/>
      <c r="AM1583" s="2" t="s">
        <v>10791</v>
      </c>
    </row>
    <row r="1584" spans="1:39" x14ac:dyDescent="0.45">
      <c r="A1584" s="2" t="s">
        <v>14081</v>
      </c>
      <c r="B1584" s="2"/>
      <c r="C1584" s="2" t="s">
        <v>14083</v>
      </c>
      <c r="D1584" s="2" t="s">
        <v>14085</v>
      </c>
      <c r="E1584" s="25"/>
      <c r="F1584" s="21"/>
      <c r="G1584" s="21"/>
      <c r="H1584" s="2" t="s">
        <v>10789</v>
      </c>
      <c r="I1584" s="2" t="s">
        <v>10787</v>
      </c>
      <c r="J1584" s="2" t="s">
        <v>14082</v>
      </c>
      <c r="K1584" s="2" t="s">
        <v>14084</v>
      </c>
      <c r="L1584" s="2"/>
      <c r="M1584" s="2"/>
      <c r="N1584" s="2" t="s">
        <v>14086</v>
      </c>
      <c r="O1584" s="2" t="s">
        <v>1137</v>
      </c>
      <c r="P1584" s="2" t="s">
        <v>14087</v>
      </c>
      <c r="Q1584" s="2" t="s">
        <v>14084</v>
      </c>
      <c r="R1584" s="2"/>
      <c r="S1584" s="2"/>
      <c r="T1584" s="2"/>
      <c r="U1584" s="2" t="s">
        <v>14086</v>
      </c>
      <c r="V1584" s="2" t="s">
        <v>1137</v>
      </c>
      <c r="W1584" s="2" t="s">
        <v>14087</v>
      </c>
      <c r="X1584" s="2" t="s">
        <v>4965</v>
      </c>
      <c r="Y1584" s="2" t="s">
        <v>44</v>
      </c>
      <c r="Z1584" s="2"/>
      <c r="AA1584" s="2" t="s">
        <v>3527</v>
      </c>
      <c r="AB1584" s="2" t="s">
        <v>46</v>
      </c>
      <c r="AC1584" s="2" t="s">
        <v>3527</v>
      </c>
      <c r="AE1584" s="2" t="s">
        <v>10801</v>
      </c>
      <c r="AF1584" s="2" t="s">
        <v>7864</v>
      </c>
      <c r="AG1584" s="2">
        <v>90</v>
      </c>
      <c r="AH1584" s="2">
        <v>0</v>
      </c>
      <c r="AJ1584" s="2" t="s">
        <v>14088</v>
      </c>
      <c r="AK1584" s="2"/>
      <c r="AL1584" s="2"/>
      <c r="AM1584" s="2" t="s">
        <v>10791</v>
      </c>
    </row>
    <row r="1585" spans="1:39" x14ac:dyDescent="0.45">
      <c r="A1585" s="2" t="s">
        <v>14089</v>
      </c>
      <c r="B1585" s="2"/>
      <c r="C1585" s="2" t="s">
        <v>14091</v>
      </c>
      <c r="D1585" s="2" t="s">
        <v>14093</v>
      </c>
      <c r="E1585" s="25"/>
      <c r="F1585" s="21"/>
      <c r="G1585" s="21"/>
      <c r="H1585" s="2" t="s">
        <v>10789</v>
      </c>
      <c r="I1585" s="2" t="s">
        <v>10787</v>
      </c>
      <c r="J1585" s="2" t="s">
        <v>14090</v>
      </c>
      <c r="K1585" s="2" t="s">
        <v>14092</v>
      </c>
      <c r="L1585" s="2"/>
      <c r="M1585" s="2"/>
      <c r="N1585" s="2" t="s">
        <v>312</v>
      </c>
      <c r="O1585" s="2" t="s">
        <v>313</v>
      </c>
      <c r="P1585" s="2" t="s">
        <v>314</v>
      </c>
      <c r="Q1585" s="2" t="s">
        <v>14092</v>
      </c>
      <c r="R1585" s="2"/>
      <c r="S1585" s="2"/>
      <c r="T1585" s="2"/>
      <c r="U1585" s="2" t="s">
        <v>312</v>
      </c>
      <c r="V1585" s="2" t="s">
        <v>313</v>
      </c>
      <c r="W1585" s="2" t="s">
        <v>314</v>
      </c>
      <c r="X1585" s="2" t="s">
        <v>7062</v>
      </c>
      <c r="Y1585" s="2" t="s">
        <v>44</v>
      </c>
      <c r="Z1585" s="2"/>
      <c r="AA1585" s="2" t="s">
        <v>3527</v>
      </c>
      <c r="AB1585" s="2" t="s">
        <v>46</v>
      </c>
      <c r="AC1585" s="2" t="s">
        <v>3527</v>
      </c>
      <c r="AE1585" s="2" t="s">
        <v>10801</v>
      </c>
      <c r="AF1585" s="2" t="s">
        <v>7864</v>
      </c>
      <c r="AG1585" s="2">
        <v>90</v>
      </c>
      <c r="AH1585" s="2">
        <v>0</v>
      </c>
      <c r="AJ1585" s="2" t="s">
        <v>14094</v>
      </c>
      <c r="AK1585" s="2"/>
      <c r="AL1585" s="2"/>
      <c r="AM1585" s="2" t="s">
        <v>10791</v>
      </c>
    </row>
    <row r="1586" spans="1:39" x14ac:dyDescent="0.45">
      <c r="A1586" s="2" t="s">
        <v>14095</v>
      </c>
      <c r="B1586" s="2"/>
      <c r="C1586" s="2" t="s">
        <v>14097</v>
      </c>
      <c r="D1586" s="2" t="s">
        <v>14099</v>
      </c>
      <c r="E1586" s="25"/>
      <c r="F1586" s="21"/>
      <c r="G1586" s="21"/>
      <c r="H1586" s="2" t="s">
        <v>10789</v>
      </c>
      <c r="I1586" s="2" t="s">
        <v>10787</v>
      </c>
      <c r="J1586" s="2" t="s">
        <v>14096</v>
      </c>
      <c r="K1586" s="2" t="s">
        <v>14098</v>
      </c>
      <c r="L1586" s="2"/>
      <c r="M1586" s="2"/>
      <c r="N1586" s="2" t="s">
        <v>85</v>
      </c>
      <c r="O1586" s="2" t="s">
        <v>86</v>
      </c>
      <c r="P1586" s="2" t="s">
        <v>3073</v>
      </c>
      <c r="Q1586" s="2" t="s">
        <v>14098</v>
      </c>
      <c r="R1586" s="2"/>
      <c r="S1586" s="2"/>
      <c r="T1586" s="2"/>
      <c r="U1586" s="2" t="s">
        <v>85</v>
      </c>
      <c r="V1586" s="2" t="s">
        <v>86</v>
      </c>
      <c r="W1586" s="2" t="s">
        <v>3073</v>
      </c>
      <c r="X1586" s="2" t="s">
        <v>4984</v>
      </c>
      <c r="Y1586" s="2" t="s">
        <v>44</v>
      </c>
      <c r="Z1586" s="2"/>
      <c r="AA1586" s="2" t="s">
        <v>3527</v>
      </c>
      <c r="AB1586" s="2" t="s">
        <v>46</v>
      </c>
      <c r="AC1586" s="2" t="s">
        <v>3527</v>
      </c>
      <c r="AE1586" s="2" t="s">
        <v>10801</v>
      </c>
      <c r="AF1586" s="2" t="s">
        <v>7864</v>
      </c>
      <c r="AG1586" s="2">
        <v>90</v>
      </c>
      <c r="AH1586" s="2">
        <v>0</v>
      </c>
      <c r="AJ1586" s="2" t="s">
        <v>14100</v>
      </c>
      <c r="AK1586" s="2"/>
      <c r="AL1586" s="2"/>
      <c r="AM1586" s="2" t="s">
        <v>10791</v>
      </c>
    </row>
    <row r="1587" spans="1:39" x14ac:dyDescent="0.45">
      <c r="A1587" s="2" t="s">
        <v>14101</v>
      </c>
      <c r="B1587" s="2"/>
      <c r="C1587" s="2" t="s">
        <v>14103</v>
      </c>
      <c r="D1587" s="2" t="s">
        <v>14105</v>
      </c>
      <c r="E1587" s="25"/>
      <c r="F1587" s="21"/>
      <c r="G1587" s="21"/>
      <c r="H1587" s="2" t="s">
        <v>10789</v>
      </c>
      <c r="I1587" s="2" t="s">
        <v>10787</v>
      </c>
      <c r="J1587" s="2" t="s">
        <v>14102</v>
      </c>
      <c r="K1587" s="2" t="s">
        <v>14104</v>
      </c>
      <c r="L1587" s="2"/>
      <c r="M1587" s="2"/>
      <c r="N1587" s="2" t="s">
        <v>312</v>
      </c>
      <c r="O1587" s="2" t="s">
        <v>313</v>
      </c>
      <c r="P1587" s="2" t="s">
        <v>314</v>
      </c>
      <c r="Q1587" s="2" t="s">
        <v>14104</v>
      </c>
      <c r="R1587" s="2"/>
      <c r="S1587" s="2"/>
      <c r="T1587" s="2"/>
      <c r="U1587" s="2" t="s">
        <v>312</v>
      </c>
      <c r="V1587" s="2" t="s">
        <v>313</v>
      </c>
      <c r="W1587" s="2" t="s">
        <v>314</v>
      </c>
      <c r="X1587" s="2" t="s">
        <v>4984</v>
      </c>
      <c r="Y1587" s="2" t="s">
        <v>44</v>
      </c>
      <c r="Z1587" s="2"/>
      <c r="AA1587" s="2" t="s">
        <v>3527</v>
      </c>
      <c r="AB1587" s="2" t="s">
        <v>46</v>
      </c>
      <c r="AC1587" s="2" t="s">
        <v>3527</v>
      </c>
      <c r="AE1587" s="2" t="s">
        <v>10801</v>
      </c>
      <c r="AF1587" s="2" t="s">
        <v>7864</v>
      </c>
      <c r="AG1587" s="2">
        <v>90</v>
      </c>
      <c r="AH1587" s="2">
        <v>0</v>
      </c>
      <c r="AJ1587" s="2" t="s">
        <v>14106</v>
      </c>
      <c r="AK1587" s="2"/>
      <c r="AL1587" s="2"/>
      <c r="AM1587" s="2" t="s">
        <v>10791</v>
      </c>
    </row>
    <row r="1588" spans="1:39" x14ac:dyDescent="0.45">
      <c r="A1588" s="2" t="s">
        <v>14107</v>
      </c>
      <c r="B1588" s="2"/>
      <c r="C1588" s="2" t="s">
        <v>14109</v>
      </c>
      <c r="D1588" s="2" t="s">
        <v>14111</v>
      </c>
      <c r="E1588" s="25"/>
      <c r="F1588" s="21"/>
      <c r="G1588" s="21"/>
      <c r="H1588" s="2" t="s">
        <v>10789</v>
      </c>
      <c r="I1588" s="2" t="s">
        <v>10787</v>
      </c>
      <c r="J1588" s="2" t="s">
        <v>14108</v>
      </c>
      <c r="K1588" s="2" t="s">
        <v>14110</v>
      </c>
      <c r="L1588" s="2"/>
      <c r="M1588" s="2"/>
      <c r="N1588" s="2" t="s">
        <v>72</v>
      </c>
      <c r="O1588" s="2" t="s">
        <v>73</v>
      </c>
      <c r="P1588" s="2" t="s">
        <v>197</v>
      </c>
      <c r="Q1588" s="2" t="s">
        <v>14110</v>
      </c>
      <c r="R1588" s="2"/>
      <c r="S1588" s="2"/>
      <c r="T1588" s="2"/>
      <c r="U1588" s="2" t="s">
        <v>72</v>
      </c>
      <c r="V1588" s="2" t="s">
        <v>73</v>
      </c>
      <c r="W1588" s="2" t="s">
        <v>197</v>
      </c>
      <c r="X1588" s="2" t="s">
        <v>7071</v>
      </c>
      <c r="Y1588" s="2" t="s">
        <v>44</v>
      </c>
      <c r="Z1588" s="2"/>
      <c r="AA1588" s="2" t="s">
        <v>3527</v>
      </c>
      <c r="AB1588" s="2" t="s">
        <v>46</v>
      </c>
      <c r="AC1588" s="2" t="s">
        <v>3527</v>
      </c>
      <c r="AE1588" s="2" t="s">
        <v>10801</v>
      </c>
      <c r="AF1588" s="2" t="s">
        <v>7864</v>
      </c>
      <c r="AG1588" s="2">
        <v>90</v>
      </c>
      <c r="AH1588" s="2">
        <v>0</v>
      </c>
      <c r="AJ1588" s="2" t="s">
        <v>14112</v>
      </c>
      <c r="AK1588" s="2"/>
      <c r="AL1588" s="2"/>
      <c r="AM1588" s="2" t="s">
        <v>10791</v>
      </c>
    </row>
    <row r="1589" spans="1:39" x14ac:dyDescent="0.45">
      <c r="A1589" s="2" t="s">
        <v>14113</v>
      </c>
      <c r="B1589" s="2"/>
      <c r="C1589" s="2" t="s">
        <v>14115</v>
      </c>
      <c r="D1589" s="2" t="s">
        <v>14117</v>
      </c>
      <c r="E1589" s="25"/>
      <c r="F1589" s="21"/>
      <c r="G1589" s="21"/>
      <c r="H1589" s="2" t="s">
        <v>10789</v>
      </c>
      <c r="I1589" s="2" t="s">
        <v>10787</v>
      </c>
      <c r="J1589" s="2" t="s">
        <v>14114</v>
      </c>
      <c r="K1589" s="2" t="s">
        <v>14116</v>
      </c>
      <c r="L1589" s="2"/>
      <c r="M1589" s="2"/>
      <c r="N1589" s="2" t="s">
        <v>12582</v>
      </c>
      <c r="O1589" s="2" t="s">
        <v>313</v>
      </c>
      <c r="P1589" s="2" t="s">
        <v>12583</v>
      </c>
      <c r="Q1589" s="2" t="s">
        <v>14118</v>
      </c>
      <c r="R1589" s="2"/>
      <c r="S1589" s="2"/>
      <c r="T1589" s="2"/>
      <c r="U1589" s="2" t="s">
        <v>12582</v>
      </c>
      <c r="V1589" s="2" t="s">
        <v>313</v>
      </c>
      <c r="W1589" s="2" t="s">
        <v>12583</v>
      </c>
      <c r="X1589" s="2" t="s">
        <v>7071</v>
      </c>
      <c r="Y1589" s="2" t="s">
        <v>44</v>
      </c>
      <c r="Z1589" s="2"/>
      <c r="AA1589" s="2" t="s">
        <v>3527</v>
      </c>
      <c r="AB1589" s="2" t="s">
        <v>46</v>
      </c>
      <c r="AC1589" s="2" t="s">
        <v>3527</v>
      </c>
      <c r="AE1589" s="2" t="s">
        <v>10801</v>
      </c>
      <c r="AF1589" s="2" t="s">
        <v>7864</v>
      </c>
      <c r="AG1589" s="2">
        <v>90</v>
      </c>
      <c r="AH1589" s="2">
        <v>0</v>
      </c>
      <c r="AJ1589" s="2" t="s">
        <v>14119</v>
      </c>
      <c r="AK1589" s="2"/>
      <c r="AL1589" s="2"/>
      <c r="AM1589" s="2" t="s">
        <v>10791</v>
      </c>
    </row>
    <row r="1590" spans="1:39" x14ac:dyDescent="0.45">
      <c r="A1590" s="2" t="s">
        <v>14120</v>
      </c>
      <c r="B1590" s="2"/>
      <c r="C1590" s="2" t="s">
        <v>14122</v>
      </c>
      <c r="D1590" s="2" t="s">
        <v>14124</v>
      </c>
      <c r="E1590" s="25"/>
      <c r="F1590" s="21"/>
      <c r="G1590" s="21"/>
      <c r="H1590" s="2" t="s">
        <v>10789</v>
      </c>
      <c r="I1590" s="2" t="s">
        <v>11537</v>
      </c>
      <c r="J1590" s="2" t="s">
        <v>14121</v>
      </c>
      <c r="K1590" s="2" t="s">
        <v>14123</v>
      </c>
      <c r="L1590" s="2"/>
      <c r="M1590" s="2"/>
      <c r="N1590" s="2" t="s">
        <v>14125</v>
      </c>
      <c r="O1590" s="2" t="s">
        <v>8496</v>
      </c>
      <c r="P1590" s="2" t="s">
        <v>14126</v>
      </c>
      <c r="Q1590" s="2" t="s">
        <v>14127</v>
      </c>
      <c r="R1590" s="2"/>
      <c r="S1590" s="2"/>
      <c r="T1590" s="2"/>
      <c r="U1590" s="2" t="s">
        <v>8495</v>
      </c>
      <c r="V1590" s="2" t="s">
        <v>8496</v>
      </c>
      <c r="W1590" s="2" t="s">
        <v>14128</v>
      </c>
      <c r="X1590" s="2" t="s">
        <v>7071</v>
      </c>
      <c r="Y1590" s="2" t="s">
        <v>44</v>
      </c>
      <c r="Z1590" s="2"/>
      <c r="AA1590" s="2" t="s">
        <v>3527</v>
      </c>
      <c r="AB1590" s="2" t="s">
        <v>46</v>
      </c>
      <c r="AC1590" s="2" t="s">
        <v>3527</v>
      </c>
      <c r="AE1590" s="2" t="s">
        <v>10801</v>
      </c>
      <c r="AF1590" s="2" t="s">
        <v>7864</v>
      </c>
      <c r="AG1590" s="2">
        <v>90</v>
      </c>
      <c r="AH1590" s="2">
        <v>0</v>
      </c>
      <c r="AJ1590" s="2" t="s">
        <v>14129</v>
      </c>
      <c r="AK1590" s="2"/>
      <c r="AL1590" s="2"/>
      <c r="AM1590" s="2" t="s">
        <v>10791</v>
      </c>
    </row>
    <row r="1591" spans="1:39" x14ac:dyDescent="0.45">
      <c r="A1591" s="2" t="s">
        <v>14130</v>
      </c>
      <c r="B1591" s="2"/>
      <c r="C1591" s="2" t="s">
        <v>14132</v>
      </c>
      <c r="D1591" s="2" t="s">
        <v>14134</v>
      </c>
      <c r="E1591" s="25"/>
      <c r="F1591" s="21"/>
      <c r="G1591" s="21"/>
      <c r="H1591" s="2" t="s">
        <v>10789</v>
      </c>
      <c r="I1591" s="2" t="s">
        <v>10787</v>
      </c>
      <c r="J1591" s="2" t="s">
        <v>14131</v>
      </c>
      <c r="K1591" s="2" t="s">
        <v>14133</v>
      </c>
      <c r="L1591" s="2"/>
      <c r="M1591" s="2"/>
      <c r="N1591" s="2" t="s">
        <v>651</v>
      </c>
      <c r="O1591" s="2" t="s">
        <v>86</v>
      </c>
      <c r="P1591" s="2" t="s">
        <v>12119</v>
      </c>
      <c r="Q1591" s="2" t="s">
        <v>14133</v>
      </c>
      <c r="R1591" s="2"/>
      <c r="S1591" s="2"/>
      <c r="T1591" s="2"/>
      <c r="U1591" s="2" t="s">
        <v>651</v>
      </c>
      <c r="V1591" s="2" t="s">
        <v>86</v>
      </c>
      <c r="W1591" s="2" t="s">
        <v>12119</v>
      </c>
      <c r="X1591" s="2" t="s">
        <v>10010</v>
      </c>
      <c r="Y1591" s="2" t="s">
        <v>44</v>
      </c>
      <c r="Z1591" s="2"/>
      <c r="AA1591" s="2" t="s">
        <v>3527</v>
      </c>
      <c r="AB1591" s="2" t="s">
        <v>46</v>
      </c>
      <c r="AC1591" s="2" t="s">
        <v>3527</v>
      </c>
      <c r="AE1591" s="2" t="s">
        <v>10801</v>
      </c>
      <c r="AF1591" s="2" t="s">
        <v>7864</v>
      </c>
      <c r="AG1591" s="2">
        <v>90</v>
      </c>
      <c r="AH1591" s="2">
        <v>0</v>
      </c>
      <c r="AJ1591" s="2" t="s">
        <v>14135</v>
      </c>
      <c r="AK1591" s="2"/>
      <c r="AL1591" s="2"/>
      <c r="AM1591" s="2" t="s">
        <v>10791</v>
      </c>
    </row>
    <row r="1592" spans="1:39" x14ac:dyDescent="0.45">
      <c r="A1592" s="2" t="s">
        <v>14136</v>
      </c>
      <c r="B1592" s="2"/>
      <c r="C1592" s="2" t="s">
        <v>14138</v>
      </c>
      <c r="D1592" s="2" t="s">
        <v>14140</v>
      </c>
      <c r="E1592" s="25"/>
      <c r="F1592" s="21"/>
      <c r="G1592" s="21"/>
      <c r="H1592" s="2" t="s">
        <v>10789</v>
      </c>
      <c r="I1592" s="2" t="s">
        <v>10787</v>
      </c>
      <c r="J1592" s="2" t="s">
        <v>14137</v>
      </c>
      <c r="K1592" s="2" t="s">
        <v>14139</v>
      </c>
      <c r="L1592" s="2"/>
      <c r="M1592" s="2"/>
      <c r="N1592" s="2" t="s">
        <v>312</v>
      </c>
      <c r="O1592" s="2" t="s">
        <v>313</v>
      </c>
      <c r="P1592" s="2" t="s">
        <v>14141</v>
      </c>
      <c r="Q1592" s="2" t="s">
        <v>14139</v>
      </c>
      <c r="R1592" s="2"/>
      <c r="S1592" s="2"/>
      <c r="T1592" s="2"/>
      <c r="U1592" s="2" t="s">
        <v>312</v>
      </c>
      <c r="V1592" s="2" t="s">
        <v>313</v>
      </c>
      <c r="W1592" s="2" t="s">
        <v>14141</v>
      </c>
      <c r="X1592" s="2" t="s">
        <v>10017</v>
      </c>
      <c r="Y1592" s="2" t="s">
        <v>44</v>
      </c>
      <c r="Z1592" s="2"/>
      <c r="AA1592" s="2" t="s">
        <v>3527</v>
      </c>
      <c r="AB1592" s="2" t="s">
        <v>46</v>
      </c>
      <c r="AC1592" s="2" t="s">
        <v>3527</v>
      </c>
      <c r="AE1592" s="2" t="s">
        <v>10801</v>
      </c>
      <c r="AF1592" s="2" t="s">
        <v>7864</v>
      </c>
      <c r="AG1592" s="2">
        <v>90</v>
      </c>
      <c r="AH1592" s="2">
        <v>0</v>
      </c>
      <c r="AJ1592" s="2" t="s">
        <v>14142</v>
      </c>
      <c r="AK1592" s="2"/>
      <c r="AL1592" s="2"/>
      <c r="AM1592" s="2" t="s">
        <v>10791</v>
      </c>
    </row>
    <row r="1593" spans="1:39" x14ac:dyDescent="0.45">
      <c r="A1593" s="2" t="s">
        <v>14143</v>
      </c>
      <c r="B1593" s="2"/>
      <c r="C1593" s="2" t="s">
        <v>14145</v>
      </c>
      <c r="D1593" s="2" t="s">
        <v>14147</v>
      </c>
      <c r="E1593" s="25"/>
      <c r="F1593" s="21"/>
      <c r="G1593" s="21"/>
      <c r="H1593" s="2" t="s">
        <v>10789</v>
      </c>
      <c r="I1593" s="2" t="s">
        <v>10787</v>
      </c>
      <c r="J1593" s="2" t="s">
        <v>14144</v>
      </c>
      <c r="K1593" s="2" t="s">
        <v>14146</v>
      </c>
      <c r="L1593" s="2"/>
      <c r="M1593" s="2"/>
      <c r="N1593" s="2" t="s">
        <v>312</v>
      </c>
      <c r="O1593" s="2" t="s">
        <v>313</v>
      </c>
      <c r="P1593" s="2" t="s">
        <v>7647</v>
      </c>
      <c r="Q1593" s="2" t="s">
        <v>14146</v>
      </c>
      <c r="R1593" s="2"/>
      <c r="S1593" s="2"/>
      <c r="T1593" s="2"/>
      <c r="U1593" s="2" t="s">
        <v>312</v>
      </c>
      <c r="V1593" s="2" t="s">
        <v>313</v>
      </c>
      <c r="W1593" s="2" t="s">
        <v>7647</v>
      </c>
      <c r="X1593" s="2" t="s">
        <v>9053</v>
      </c>
      <c r="Y1593" s="2" t="s">
        <v>44</v>
      </c>
      <c r="Z1593" s="2"/>
      <c r="AA1593" s="2" t="s">
        <v>3527</v>
      </c>
      <c r="AB1593" s="2" t="s">
        <v>46</v>
      </c>
      <c r="AC1593" s="2" t="s">
        <v>3527</v>
      </c>
      <c r="AE1593" s="2" t="s">
        <v>10801</v>
      </c>
      <c r="AF1593" s="2" t="s">
        <v>7864</v>
      </c>
      <c r="AG1593" s="2">
        <v>90</v>
      </c>
      <c r="AH1593" s="2">
        <v>0</v>
      </c>
      <c r="AJ1593" s="2" t="s">
        <v>14148</v>
      </c>
      <c r="AK1593" s="2"/>
      <c r="AL1593" s="2"/>
      <c r="AM1593" s="2" t="s">
        <v>10791</v>
      </c>
    </row>
    <row r="1594" spans="1:39" x14ac:dyDescent="0.45">
      <c r="A1594" s="2" t="s">
        <v>14149</v>
      </c>
      <c r="B1594" s="2"/>
      <c r="C1594" s="2" t="s">
        <v>14151</v>
      </c>
      <c r="D1594" s="2" t="s">
        <v>14153</v>
      </c>
      <c r="E1594" s="25"/>
      <c r="F1594" s="21"/>
      <c r="G1594" s="21"/>
      <c r="H1594" s="2" t="s">
        <v>10789</v>
      </c>
      <c r="I1594" s="2" t="s">
        <v>10787</v>
      </c>
      <c r="J1594" s="2" t="s">
        <v>14150</v>
      </c>
      <c r="K1594" s="2" t="s">
        <v>14152</v>
      </c>
      <c r="L1594" s="2"/>
      <c r="M1594" s="2"/>
      <c r="N1594" s="2" t="s">
        <v>312</v>
      </c>
      <c r="O1594" s="2" t="s">
        <v>313</v>
      </c>
      <c r="P1594" s="2" t="s">
        <v>1048</v>
      </c>
      <c r="Q1594" s="2" t="s">
        <v>14152</v>
      </c>
      <c r="R1594" s="2"/>
      <c r="S1594" s="2"/>
      <c r="T1594" s="2"/>
      <c r="U1594" s="2" t="s">
        <v>312</v>
      </c>
      <c r="V1594" s="2" t="s">
        <v>313</v>
      </c>
      <c r="W1594" s="2" t="s">
        <v>1048</v>
      </c>
      <c r="X1594" s="2" t="s">
        <v>10728</v>
      </c>
      <c r="Y1594" s="2" t="s">
        <v>44</v>
      </c>
      <c r="Z1594" s="2"/>
      <c r="AA1594" s="2" t="s">
        <v>3527</v>
      </c>
      <c r="AB1594" s="2" t="s">
        <v>46</v>
      </c>
      <c r="AC1594" s="2" t="s">
        <v>3527</v>
      </c>
      <c r="AE1594" s="2" t="s">
        <v>10801</v>
      </c>
      <c r="AF1594" s="2" t="s">
        <v>7864</v>
      </c>
      <c r="AG1594" s="2">
        <v>90</v>
      </c>
      <c r="AH1594" s="2">
        <v>0</v>
      </c>
      <c r="AJ1594" s="2" t="s">
        <v>14154</v>
      </c>
      <c r="AK1594" s="2"/>
      <c r="AL1594" s="2"/>
      <c r="AM1594" s="2" t="s">
        <v>10791</v>
      </c>
    </row>
    <row r="1595" spans="1:39" x14ac:dyDescent="0.45">
      <c r="A1595" s="2" t="s">
        <v>14155</v>
      </c>
      <c r="B1595" s="2"/>
      <c r="C1595" s="2" t="s">
        <v>14157</v>
      </c>
      <c r="D1595" s="2" t="s">
        <v>14159</v>
      </c>
      <c r="E1595" s="25"/>
      <c r="F1595" s="21"/>
      <c r="G1595" s="21"/>
      <c r="H1595" s="2" t="s">
        <v>10789</v>
      </c>
      <c r="I1595" s="2" t="s">
        <v>10787</v>
      </c>
      <c r="J1595" s="2" t="s">
        <v>14156</v>
      </c>
      <c r="K1595" s="2" t="s">
        <v>14158</v>
      </c>
      <c r="L1595" s="2"/>
      <c r="M1595" s="2"/>
      <c r="N1595" s="2" t="s">
        <v>72</v>
      </c>
      <c r="O1595" s="2" t="s">
        <v>73</v>
      </c>
      <c r="P1595" s="2" t="s">
        <v>2270</v>
      </c>
      <c r="Q1595" s="2" t="s">
        <v>14158</v>
      </c>
      <c r="R1595" s="2"/>
      <c r="S1595" s="2"/>
      <c r="T1595" s="2"/>
      <c r="U1595" s="2" t="s">
        <v>72</v>
      </c>
      <c r="V1595" s="2" t="s">
        <v>73</v>
      </c>
      <c r="W1595" s="2" t="s">
        <v>2270</v>
      </c>
      <c r="X1595" s="2" t="s">
        <v>10728</v>
      </c>
      <c r="Y1595" s="2" t="s">
        <v>44</v>
      </c>
      <c r="Z1595" s="2"/>
      <c r="AA1595" s="2" t="s">
        <v>3527</v>
      </c>
      <c r="AB1595" s="2" t="s">
        <v>46</v>
      </c>
      <c r="AC1595" s="2" t="s">
        <v>3527</v>
      </c>
      <c r="AE1595" s="2" t="s">
        <v>10801</v>
      </c>
      <c r="AF1595" s="2" t="s">
        <v>7864</v>
      </c>
      <c r="AG1595" s="2">
        <v>90</v>
      </c>
      <c r="AH1595" s="2">
        <v>0</v>
      </c>
      <c r="AJ1595" s="2" t="s">
        <v>14160</v>
      </c>
      <c r="AK1595" s="2"/>
      <c r="AL1595" s="2"/>
      <c r="AM1595" s="2" t="s">
        <v>10791</v>
      </c>
    </row>
    <row r="1596" spans="1:39" x14ac:dyDescent="0.45">
      <c r="A1596" s="2" t="s">
        <v>14161</v>
      </c>
      <c r="B1596" s="2"/>
      <c r="C1596" s="2" t="s">
        <v>14163</v>
      </c>
      <c r="D1596" s="2" t="s">
        <v>14165</v>
      </c>
      <c r="E1596" s="25"/>
      <c r="F1596" s="21"/>
      <c r="G1596" s="21"/>
      <c r="H1596" s="2" t="s">
        <v>10789</v>
      </c>
      <c r="I1596" s="2" t="s">
        <v>10787</v>
      </c>
      <c r="J1596" s="2" t="s">
        <v>14162</v>
      </c>
      <c r="K1596" s="2" t="s">
        <v>14164</v>
      </c>
      <c r="L1596" s="2"/>
      <c r="M1596" s="2"/>
      <c r="N1596" s="2" t="s">
        <v>5984</v>
      </c>
      <c r="O1596" s="2" t="s">
        <v>313</v>
      </c>
      <c r="P1596" s="2" t="s">
        <v>12889</v>
      </c>
      <c r="Q1596" s="2" t="s">
        <v>14164</v>
      </c>
      <c r="R1596" s="2"/>
      <c r="S1596" s="2"/>
      <c r="T1596" s="2"/>
      <c r="U1596" s="2" t="s">
        <v>5984</v>
      </c>
      <c r="V1596" s="2" t="s">
        <v>313</v>
      </c>
      <c r="W1596" s="2" t="s">
        <v>12889</v>
      </c>
      <c r="X1596" s="2" t="s">
        <v>10728</v>
      </c>
      <c r="Y1596" s="2" t="s">
        <v>44</v>
      </c>
      <c r="Z1596" s="2"/>
      <c r="AA1596" s="2" t="s">
        <v>3527</v>
      </c>
      <c r="AB1596" s="2" t="s">
        <v>46</v>
      </c>
      <c r="AC1596" s="2" t="s">
        <v>3527</v>
      </c>
      <c r="AE1596" s="2" t="s">
        <v>10801</v>
      </c>
      <c r="AF1596" s="2" t="s">
        <v>7864</v>
      </c>
      <c r="AG1596" s="2">
        <v>90</v>
      </c>
      <c r="AH1596" s="2">
        <v>0</v>
      </c>
      <c r="AJ1596" s="2" t="s">
        <v>14166</v>
      </c>
      <c r="AK1596" s="2"/>
      <c r="AL1596" s="2"/>
      <c r="AM1596" s="2" t="s">
        <v>10791</v>
      </c>
    </row>
    <row r="1597" spans="1:39" x14ac:dyDescent="0.45">
      <c r="A1597" s="2" t="s">
        <v>14167</v>
      </c>
      <c r="B1597" s="2"/>
      <c r="C1597" s="2" t="s">
        <v>14169</v>
      </c>
      <c r="D1597" s="2" t="s">
        <v>14171</v>
      </c>
      <c r="E1597" s="25"/>
      <c r="F1597" s="21"/>
      <c r="G1597" s="21"/>
      <c r="H1597" s="2" t="s">
        <v>10789</v>
      </c>
      <c r="I1597" s="2" t="s">
        <v>10787</v>
      </c>
      <c r="J1597" s="2" t="s">
        <v>14168</v>
      </c>
      <c r="K1597" s="2" t="s">
        <v>14170</v>
      </c>
      <c r="L1597" s="2"/>
      <c r="M1597" s="2"/>
      <c r="N1597" s="2" t="s">
        <v>11247</v>
      </c>
      <c r="O1597" s="2" t="s">
        <v>1137</v>
      </c>
      <c r="P1597" s="2" t="s">
        <v>14172</v>
      </c>
      <c r="Q1597" s="2" t="s">
        <v>14173</v>
      </c>
      <c r="R1597" s="2"/>
      <c r="S1597" s="2"/>
      <c r="T1597" s="2"/>
      <c r="U1597" s="2" t="s">
        <v>11247</v>
      </c>
      <c r="V1597" s="2" t="s">
        <v>1137</v>
      </c>
      <c r="W1597" s="2" t="s">
        <v>14172</v>
      </c>
      <c r="X1597" s="2" t="s">
        <v>10728</v>
      </c>
      <c r="Y1597" s="2" t="s">
        <v>44</v>
      </c>
      <c r="Z1597" s="2"/>
      <c r="AA1597" s="2" t="s">
        <v>3527</v>
      </c>
      <c r="AB1597" s="2" t="s">
        <v>46</v>
      </c>
      <c r="AC1597" s="2" t="s">
        <v>3527</v>
      </c>
      <c r="AE1597" s="2" t="s">
        <v>10801</v>
      </c>
      <c r="AF1597" s="2" t="s">
        <v>7864</v>
      </c>
      <c r="AG1597" s="2">
        <v>90</v>
      </c>
      <c r="AH1597" s="2">
        <v>0</v>
      </c>
      <c r="AJ1597" s="2" t="s">
        <v>14174</v>
      </c>
      <c r="AK1597" s="2"/>
      <c r="AL1597" s="2"/>
      <c r="AM1597" s="2" t="s">
        <v>10791</v>
      </c>
    </row>
    <row r="1598" spans="1:39" x14ac:dyDescent="0.45">
      <c r="A1598" s="2" t="s">
        <v>14175</v>
      </c>
      <c r="B1598" s="2"/>
      <c r="C1598" s="2" t="s">
        <v>14177</v>
      </c>
      <c r="D1598" s="2" t="s">
        <v>14179</v>
      </c>
      <c r="E1598" s="25"/>
      <c r="F1598" s="21"/>
      <c r="G1598" s="21"/>
      <c r="H1598" s="2" t="s">
        <v>10789</v>
      </c>
      <c r="I1598" s="2" t="s">
        <v>10787</v>
      </c>
      <c r="J1598" s="2" t="s">
        <v>14176</v>
      </c>
      <c r="K1598" s="2" t="s">
        <v>14178</v>
      </c>
      <c r="L1598" s="2"/>
      <c r="M1598" s="2"/>
      <c r="N1598" s="2" t="s">
        <v>1188</v>
      </c>
      <c r="O1598" s="2" t="s">
        <v>221</v>
      </c>
      <c r="P1598" s="2" t="s">
        <v>7349</v>
      </c>
      <c r="Q1598" s="2" t="s">
        <v>14180</v>
      </c>
      <c r="R1598" s="2"/>
      <c r="S1598" s="2"/>
      <c r="T1598" s="2"/>
      <c r="U1598" s="2" t="s">
        <v>1188</v>
      </c>
      <c r="V1598" s="2" t="s">
        <v>221</v>
      </c>
      <c r="W1598" s="2" t="s">
        <v>7349</v>
      </c>
      <c r="X1598" s="2" t="s">
        <v>9639</v>
      </c>
      <c r="Y1598" s="2" t="s">
        <v>44</v>
      </c>
      <c r="Z1598" s="2"/>
      <c r="AA1598" s="2" t="s">
        <v>3527</v>
      </c>
      <c r="AB1598" s="2" t="s">
        <v>46</v>
      </c>
      <c r="AC1598" s="2" t="s">
        <v>3527</v>
      </c>
      <c r="AE1598" s="2" t="s">
        <v>10801</v>
      </c>
      <c r="AF1598" s="2" t="s">
        <v>7864</v>
      </c>
      <c r="AG1598" s="2">
        <v>90</v>
      </c>
      <c r="AH1598" s="2">
        <v>0</v>
      </c>
      <c r="AJ1598" s="2" t="s">
        <v>14181</v>
      </c>
      <c r="AK1598" s="2"/>
      <c r="AL1598" s="2"/>
      <c r="AM1598" s="2" t="s">
        <v>10791</v>
      </c>
    </row>
    <row r="1599" spans="1:39" x14ac:dyDescent="0.45">
      <c r="A1599" s="2" t="s">
        <v>14182</v>
      </c>
      <c r="B1599" s="2"/>
      <c r="C1599" s="2" t="s">
        <v>14184</v>
      </c>
      <c r="D1599" s="2" t="s">
        <v>14186</v>
      </c>
      <c r="E1599" s="25"/>
      <c r="F1599" s="21"/>
      <c r="G1599" s="21"/>
      <c r="H1599" s="2" t="s">
        <v>10789</v>
      </c>
      <c r="I1599" s="2" t="s">
        <v>10787</v>
      </c>
      <c r="J1599" s="2" t="s">
        <v>14183</v>
      </c>
      <c r="K1599" s="2" t="s">
        <v>14185</v>
      </c>
      <c r="L1599" s="2"/>
      <c r="M1599" s="2"/>
      <c r="N1599" s="2" t="s">
        <v>59</v>
      </c>
      <c r="O1599" s="2" t="s">
        <v>60</v>
      </c>
      <c r="P1599" s="2" t="s">
        <v>1589</v>
      </c>
      <c r="Q1599" s="2" t="s">
        <v>14185</v>
      </c>
      <c r="R1599" s="2"/>
      <c r="S1599" s="2"/>
      <c r="T1599" s="2"/>
      <c r="U1599" s="2" t="s">
        <v>59</v>
      </c>
      <c r="V1599" s="2" t="s">
        <v>60</v>
      </c>
      <c r="W1599" s="2" t="s">
        <v>1589</v>
      </c>
      <c r="X1599" s="2" t="s">
        <v>14187</v>
      </c>
      <c r="Y1599" s="2" t="s">
        <v>44</v>
      </c>
      <c r="Z1599" s="2"/>
      <c r="AA1599" s="2" t="s">
        <v>3527</v>
      </c>
      <c r="AB1599" s="2" t="s">
        <v>46</v>
      </c>
      <c r="AC1599" s="2" t="s">
        <v>3527</v>
      </c>
      <c r="AE1599" s="2" t="s">
        <v>10801</v>
      </c>
      <c r="AF1599" s="2" t="s">
        <v>7864</v>
      </c>
      <c r="AG1599" s="2">
        <v>90</v>
      </c>
      <c r="AH1599" s="2">
        <v>0</v>
      </c>
      <c r="AJ1599" s="2" t="s">
        <v>14188</v>
      </c>
      <c r="AK1599" s="2"/>
      <c r="AL1599" s="2"/>
      <c r="AM1599" s="2" t="s">
        <v>10791</v>
      </c>
    </row>
    <row r="1600" spans="1:39" x14ac:dyDescent="0.45">
      <c r="A1600" s="2" t="s">
        <v>14189</v>
      </c>
      <c r="B1600" s="2"/>
      <c r="C1600" s="2" t="s">
        <v>14191</v>
      </c>
      <c r="D1600" s="2" t="s">
        <v>14193</v>
      </c>
      <c r="E1600" s="25"/>
      <c r="F1600" s="21"/>
      <c r="G1600" s="21"/>
      <c r="H1600" s="2" t="s">
        <v>10789</v>
      </c>
      <c r="I1600" s="2" t="s">
        <v>10787</v>
      </c>
      <c r="J1600" s="2" t="s">
        <v>14190</v>
      </c>
      <c r="K1600" s="2" t="s">
        <v>14192</v>
      </c>
      <c r="L1600" s="2"/>
      <c r="M1600" s="2"/>
      <c r="N1600" s="2" t="s">
        <v>324</v>
      </c>
      <c r="O1600" s="2" t="s">
        <v>73</v>
      </c>
      <c r="P1600" s="2" t="s">
        <v>6817</v>
      </c>
      <c r="Q1600" s="2" t="s">
        <v>14192</v>
      </c>
      <c r="R1600" s="2"/>
      <c r="S1600" s="2"/>
      <c r="T1600" s="2"/>
      <c r="U1600" s="2" t="s">
        <v>324</v>
      </c>
      <c r="V1600" s="2" t="s">
        <v>73</v>
      </c>
      <c r="W1600" s="2" t="s">
        <v>6817</v>
      </c>
      <c r="X1600" s="2" t="s">
        <v>2829</v>
      </c>
      <c r="Y1600" s="2" t="s">
        <v>44</v>
      </c>
      <c r="Z1600" s="2"/>
      <c r="AA1600" s="2" t="s">
        <v>3527</v>
      </c>
      <c r="AB1600" s="2" t="s">
        <v>46</v>
      </c>
      <c r="AC1600" s="2" t="s">
        <v>3527</v>
      </c>
      <c r="AE1600" s="2" t="s">
        <v>10801</v>
      </c>
      <c r="AF1600" s="2" t="s">
        <v>7864</v>
      </c>
      <c r="AG1600" s="2">
        <v>90</v>
      </c>
      <c r="AH1600" s="2">
        <v>0</v>
      </c>
      <c r="AJ1600" s="2" t="s">
        <v>14194</v>
      </c>
      <c r="AK1600" s="2"/>
      <c r="AL1600" s="2"/>
      <c r="AM1600" s="2" t="s">
        <v>10791</v>
      </c>
    </row>
    <row r="1601" spans="1:39" x14ac:dyDescent="0.45">
      <c r="A1601" s="2" t="s">
        <v>14195</v>
      </c>
      <c r="B1601" s="2"/>
      <c r="C1601" s="2" t="s">
        <v>14197</v>
      </c>
      <c r="D1601" s="2" t="s">
        <v>14199</v>
      </c>
      <c r="E1601" s="25"/>
      <c r="F1601" s="21"/>
      <c r="G1601" s="21"/>
      <c r="H1601" s="2" t="s">
        <v>10789</v>
      </c>
      <c r="I1601" s="2" t="s">
        <v>10787</v>
      </c>
      <c r="J1601" s="2" t="s">
        <v>14196</v>
      </c>
      <c r="K1601" s="2" t="s">
        <v>14198</v>
      </c>
      <c r="L1601" s="2"/>
      <c r="M1601" s="2"/>
      <c r="N1601" s="2" t="s">
        <v>312</v>
      </c>
      <c r="O1601" s="2" t="s">
        <v>313</v>
      </c>
      <c r="P1601" s="2" t="s">
        <v>7647</v>
      </c>
      <c r="Q1601" s="2" t="s">
        <v>14198</v>
      </c>
      <c r="R1601" s="2"/>
      <c r="S1601" s="2"/>
      <c r="T1601" s="2"/>
      <c r="U1601" s="2" t="s">
        <v>312</v>
      </c>
      <c r="V1601" s="2" t="s">
        <v>313</v>
      </c>
      <c r="W1601" s="2" t="s">
        <v>7647</v>
      </c>
      <c r="X1601" s="2" t="s">
        <v>14200</v>
      </c>
      <c r="Y1601" s="2" t="s">
        <v>44</v>
      </c>
      <c r="Z1601" s="2"/>
      <c r="AA1601" s="2" t="s">
        <v>3527</v>
      </c>
      <c r="AB1601" s="2" t="s">
        <v>46</v>
      </c>
      <c r="AC1601" s="2" t="s">
        <v>3527</v>
      </c>
      <c r="AE1601" s="2" t="s">
        <v>10801</v>
      </c>
      <c r="AF1601" s="2" t="s">
        <v>7864</v>
      </c>
      <c r="AG1601" s="2">
        <v>90</v>
      </c>
      <c r="AH1601" s="2">
        <v>0</v>
      </c>
      <c r="AJ1601" s="2" t="s">
        <v>14201</v>
      </c>
      <c r="AK1601" s="2"/>
      <c r="AL1601" s="2"/>
      <c r="AM1601" s="2" t="s">
        <v>10791</v>
      </c>
    </row>
    <row r="1602" spans="1:39" x14ac:dyDescent="0.45">
      <c r="A1602" s="2" t="s">
        <v>14202</v>
      </c>
      <c r="B1602" s="2"/>
      <c r="C1602" s="2" t="s">
        <v>14204</v>
      </c>
      <c r="D1602" s="2" t="s">
        <v>14206</v>
      </c>
      <c r="E1602" s="25"/>
      <c r="F1602" s="21"/>
      <c r="G1602" s="21"/>
      <c r="H1602" s="2" t="s">
        <v>10789</v>
      </c>
      <c r="I1602" s="2" t="s">
        <v>10787</v>
      </c>
      <c r="J1602" s="2" t="s">
        <v>14203</v>
      </c>
      <c r="K1602" s="2" t="s">
        <v>14205</v>
      </c>
      <c r="L1602" s="2"/>
      <c r="M1602" s="2"/>
      <c r="N1602" s="2" t="s">
        <v>59</v>
      </c>
      <c r="O1602" s="2" t="s">
        <v>60</v>
      </c>
      <c r="P1602" s="2" t="s">
        <v>5513</v>
      </c>
      <c r="Q1602" s="2" t="s">
        <v>14205</v>
      </c>
      <c r="R1602" s="2"/>
      <c r="S1602" s="2"/>
      <c r="T1602" s="2"/>
      <c r="U1602" s="2" t="s">
        <v>59</v>
      </c>
      <c r="V1602" s="2" t="s">
        <v>60</v>
      </c>
      <c r="W1602" s="2" t="s">
        <v>5513</v>
      </c>
      <c r="X1602" s="2" t="s">
        <v>589</v>
      </c>
      <c r="Y1602" s="2" t="s">
        <v>44</v>
      </c>
      <c r="Z1602" s="2"/>
      <c r="AA1602" s="2" t="s">
        <v>3527</v>
      </c>
      <c r="AB1602" s="2" t="s">
        <v>46</v>
      </c>
      <c r="AC1602" s="2" t="s">
        <v>3527</v>
      </c>
      <c r="AE1602" s="2" t="s">
        <v>10801</v>
      </c>
      <c r="AF1602" s="2" t="s">
        <v>7864</v>
      </c>
      <c r="AG1602" s="2">
        <v>90</v>
      </c>
      <c r="AH1602" s="2">
        <v>0</v>
      </c>
      <c r="AJ1602" s="2" t="s">
        <v>14207</v>
      </c>
      <c r="AK1602" s="2"/>
      <c r="AL1602" s="2"/>
      <c r="AM1602" s="2" t="s">
        <v>10791</v>
      </c>
    </row>
    <row r="1603" spans="1:39" x14ac:dyDescent="0.45">
      <c r="A1603" s="2" t="s">
        <v>14208</v>
      </c>
      <c r="B1603" s="2"/>
      <c r="C1603" s="2" t="s">
        <v>14210</v>
      </c>
      <c r="D1603" s="2" t="s">
        <v>14212</v>
      </c>
      <c r="E1603" s="25"/>
      <c r="F1603" s="21"/>
      <c r="G1603" s="21"/>
      <c r="H1603" s="2" t="s">
        <v>10789</v>
      </c>
      <c r="I1603" s="2" t="s">
        <v>10787</v>
      </c>
      <c r="J1603" s="2" t="s">
        <v>14209</v>
      </c>
      <c r="K1603" s="2" t="s">
        <v>14211</v>
      </c>
      <c r="L1603" s="2"/>
      <c r="M1603" s="2"/>
      <c r="N1603" s="2" t="s">
        <v>312</v>
      </c>
      <c r="O1603" s="2" t="s">
        <v>313</v>
      </c>
      <c r="P1603" s="2" t="s">
        <v>11652</v>
      </c>
      <c r="Q1603" s="2" t="s">
        <v>14211</v>
      </c>
      <c r="R1603" s="2"/>
      <c r="S1603" s="2"/>
      <c r="T1603" s="2"/>
      <c r="U1603" s="2" t="s">
        <v>312</v>
      </c>
      <c r="V1603" s="2" t="s">
        <v>313</v>
      </c>
      <c r="W1603" s="2" t="s">
        <v>11652</v>
      </c>
      <c r="X1603" s="2" t="s">
        <v>7080</v>
      </c>
      <c r="Y1603" s="2" t="s">
        <v>44</v>
      </c>
      <c r="Z1603" s="2"/>
      <c r="AA1603" s="2" t="s">
        <v>3527</v>
      </c>
      <c r="AB1603" s="2" t="s">
        <v>46</v>
      </c>
      <c r="AC1603" s="2" t="s">
        <v>3527</v>
      </c>
      <c r="AE1603" s="2" t="s">
        <v>10801</v>
      </c>
      <c r="AF1603" s="2" t="s">
        <v>7864</v>
      </c>
      <c r="AG1603" s="2">
        <v>90</v>
      </c>
      <c r="AH1603" s="2">
        <v>0</v>
      </c>
      <c r="AJ1603" s="2" t="s">
        <v>14213</v>
      </c>
      <c r="AK1603" s="2"/>
      <c r="AL1603" s="2"/>
      <c r="AM1603" s="2" t="s">
        <v>10791</v>
      </c>
    </row>
    <row r="1604" spans="1:39" x14ac:dyDescent="0.45">
      <c r="A1604" s="2" t="s">
        <v>14214</v>
      </c>
      <c r="B1604" s="2"/>
      <c r="C1604" s="2" t="s">
        <v>14216</v>
      </c>
      <c r="D1604" s="2" t="s">
        <v>14218</v>
      </c>
      <c r="E1604" s="25"/>
      <c r="F1604" s="21"/>
      <c r="G1604" s="21"/>
      <c r="H1604" s="2" t="s">
        <v>10789</v>
      </c>
      <c r="I1604" s="2" t="s">
        <v>10787</v>
      </c>
      <c r="J1604" s="2" t="s">
        <v>14215</v>
      </c>
      <c r="K1604" s="2" t="s">
        <v>14217</v>
      </c>
      <c r="L1604" s="2"/>
      <c r="M1604" s="2"/>
      <c r="N1604" s="2" t="s">
        <v>14219</v>
      </c>
      <c r="O1604" s="2" t="s">
        <v>60</v>
      </c>
      <c r="P1604" s="2" t="s">
        <v>14220</v>
      </c>
      <c r="Q1604" s="2" t="s">
        <v>14217</v>
      </c>
      <c r="R1604" s="2"/>
      <c r="S1604" s="2"/>
      <c r="T1604" s="2"/>
      <c r="U1604" s="2" t="s">
        <v>14219</v>
      </c>
      <c r="V1604" s="2" t="s">
        <v>60</v>
      </c>
      <c r="W1604" s="2" t="s">
        <v>14220</v>
      </c>
      <c r="X1604" s="2" t="s">
        <v>2838</v>
      </c>
      <c r="Y1604" s="2" t="s">
        <v>44</v>
      </c>
      <c r="Z1604" s="2"/>
      <c r="AA1604" s="2" t="s">
        <v>3527</v>
      </c>
      <c r="AB1604" s="2" t="s">
        <v>46</v>
      </c>
      <c r="AC1604" s="2" t="s">
        <v>3527</v>
      </c>
      <c r="AE1604" s="2" t="s">
        <v>10801</v>
      </c>
      <c r="AF1604" s="2" t="s">
        <v>7864</v>
      </c>
      <c r="AG1604" s="2">
        <v>90</v>
      </c>
      <c r="AH1604" s="2">
        <v>0</v>
      </c>
      <c r="AJ1604" s="2" t="s">
        <v>14221</v>
      </c>
      <c r="AK1604" s="2"/>
      <c r="AL1604" s="2"/>
      <c r="AM1604" s="2" t="s">
        <v>10791</v>
      </c>
    </row>
    <row r="1605" spans="1:39" x14ac:dyDescent="0.45">
      <c r="A1605" s="2" t="s">
        <v>14222</v>
      </c>
      <c r="B1605" s="2"/>
      <c r="C1605" s="2" t="s">
        <v>14224</v>
      </c>
      <c r="D1605" s="2" t="s">
        <v>14226</v>
      </c>
      <c r="E1605" s="25"/>
      <c r="F1605" s="21"/>
      <c r="G1605" s="21"/>
      <c r="H1605" s="2" t="s">
        <v>10789</v>
      </c>
      <c r="I1605" s="2" t="s">
        <v>10787</v>
      </c>
      <c r="J1605" s="2" t="s">
        <v>14223</v>
      </c>
      <c r="K1605" s="2" t="s">
        <v>14225</v>
      </c>
      <c r="L1605" s="2"/>
      <c r="M1605" s="2"/>
      <c r="N1605" s="2" t="s">
        <v>5984</v>
      </c>
      <c r="O1605" s="2" t="s">
        <v>313</v>
      </c>
      <c r="P1605" s="2" t="s">
        <v>13851</v>
      </c>
      <c r="Q1605" s="2" t="s">
        <v>14225</v>
      </c>
      <c r="R1605" s="2"/>
      <c r="S1605" s="2"/>
      <c r="T1605" s="2"/>
      <c r="U1605" s="2" t="s">
        <v>5984</v>
      </c>
      <c r="V1605" s="2" t="s">
        <v>313</v>
      </c>
      <c r="W1605" s="2" t="s">
        <v>13851</v>
      </c>
      <c r="X1605" s="2" t="s">
        <v>2838</v>
      </c>
      <c r="Y1605" s="2" t="s">
        <v>44</v>
      </c>
      <c r="Z1605" s="2"/>
      <c r="AA1605" s="2" t="s">
        <v>3527</v>
      </c>
      <c r="AB1605" s="2" t="s">
        <v>46</v>
      </c>
      <c r="AC1605" s="2" t="s">
        <v>3527</v>
      </c>
      <c r="AE1605" s="2" t="s">
        <v>10801</v>
      </c>
      <c r="AF1605" s="2" t="s">
        <v>7864</v>
      </c>
      <c r="AG1605" s="2">
        <v>90</v>
      </c>
      <c r="AH1605" s="2">
        <v>0</v>
      </c>
      <c r="AJ1605" s="2" t="s">
        <v>14227</v>
      </c>
      <c r="AK1605" s="2"/>
      <c r="AL1605" s="2"/>
      <c r="AM1605" s="2" t="s">
        <v>10791</v>
      </c>
    </row>
    <row r="1606" spans="1:39" x14ac:dyDescent="0.45">
      <c r="A1606" s="2" t="s">
        <v>14228</v>
      </c>
      <c r="B1606" s="2"/>
      <c r="C1606" s="2" t="s">
        <v>14230</v>
      </c>
      <c r="D1606" s="2" t="s">
        <v>14232</v>
      </c>
      <c r="E1606" s="25"/>
      <c r="F1606" s="21"/>
      <c r="G1606" s="21"/>
      <c r="H1606" s="2" t="s">
        <v>10789</v>
      </c>
      <c r="I1606" s="2" t="s">
        <v>10787</v>
      </c>
      <c r="J1606" s="2" t="s">
        <v>14229</v>
      </c>
      <c r="K1606" s="2" t="s">
        <v>14231</v>
      </c>
      <c r="L1606" s="2"/>
      <c r="M1606" s="2"/>
      <c r="N1606" s="2" t="s">
        <v>1023</v>
      </c>
      <c r="O1606" s="2" t="s">
        <v>73</v>
      </c>
      <c r="P1606" s="2" t="s">
        <v>14233</v>
      </c>
      <c r="Q1606" s="2" t="s">
        <v>14231</v>
      </c>
      <c r="R1606" s="2"/>
      <c r="S1606" s="2"/>
      <c r="T1606" s="2"/>
      <c r="U1606" s="2" t="s">
        <v>1023</v>
      </c>
      <c r="V1606" s="2" t="s">
        <v>73</v>
      </c>
      <c r="W1606" s="2" t="s">
        <v>14233</v>
      </c>
      <c r="X1606" s="2" t="s">
        <v>14234</v>
      </c>
      <c r="Y1606" s="2" t="s">
        <v>44</v>
      </c>
      <c r="Z1606" s="2"/>
      <c r="AA1606" s="2" t="s">
        <v>3527</v>
      </c>
      <c r="AB1606" s="2" t="s">
        <v>46</v>
      </c>
      <c r="AC1606" s="2" t="s">
        <v>3527</v>
      </c>
      <c r="AE1606" s="2" t="s">
        <v>10801</v>
      </c>
      <c r="AF1606" s="2" t="s">
        <v>7864</v>
      </c>
      <c r="AG1606" s="2">
        <v>90</v>
      </c>
      <c r="AH1606" s="2">
        <v>0</v>
      </c>
      <c r="AJ1606" s="2" t="s">
        <v>14235</v>
      </c>
      <c r="AK1606" s="2"/>
      <c r="AL1606" s="2"/>
      <c r="AM1606" s="2" t="s">
        <v>10791</v>
      </c>
    </row>
    <row r="1607" spans="1:39" x14ac:dyDescent="0.45">
      <c r="A1607" s="2" t="s">
        <v>14236</v>
      </c>
      <c r="B1607" s="2"/>
      <c r="C1607" s="2" t="s">
        <v>14238</v>
      </c>
      <c r="D1607" s="2" t="s">
        <v>14240</v>
      </c>
      <c r="E1607" s="25"/>
      <c r="F1607" s="21"/>
      <c r="G1607" s="21"/>
      <c r="H1607" s="2" t="s">
        <v>10789</v>
      </c>
      <c r="I1607" s="2" t="s">
        <v>10787</v>
      </c>
      <c r="J1607" s="2" t="s">
        <v>14237</v>
      </c>
      <c r="K1607" s="2" t="s">
        <v>14239</v>
      </c>
      <c r="L1607" s="2"/>
      <c r="M1607" s="2"/>
      <c r="N1607" s="2" t="s">
        <v>59</v>
      </c>
      <c r="O1607" s="2" t="s">
        <v>60</v>
      </c>
      <c r="P1607" s="2" t="s">
        <v>14241</v>
      </c>
      <c r="Q1607" s="2" t="s">
        <v>14239</v>
      </c>
      <c r="R1607" s="2"/>
      <c r="S1607" s="2"/>
      <c r="T1607" s="2"/>
      <c r="U1607" s="2" t="s">
        <v>59</v>
      </c>
      <c r="V1607" s="2" t="s">
        <v>60</v>
      </c>
      <c r="W1607" s="2" t="s">
        <v>14241</v>
      </c>
      <c r="X1607" s="2" t="s">
        <v>14234</v>
      </c>
      <c r="Y1607" s="2" t="s">
        <v>44</v>
      </c>
      <c r="Z1607" s="2"/>
      <c r="AA1607" s="2" t="s">
        <v>3527</v>
      </c>
      <c r="AB1607" s="2" t="s">
        <v>46</v>
      </c>
      <c r="AC1607" s="2" t="s">
        <v>3527</v>
      </c>
      <c r="AE1607" s="2" t="s">
        <v>10801</v>
      </c>
      <c r="AF1607" s="2" t="s">
        <v>7864</v>
      </c>
      <c r="AG1607" s="2">
        <v>90</v>
      </c>
      <c r="AH1607" s="2">
        <v>0</v>
      </c>
      <c r="AJ1607" s="2" t="s">
        <v>14242</v>
      </c>
      <c r="AK1607" s="2"/>
      <c r="AL1607" s="2"/>
      <c r="AM1607" s="2" t="s">
        <v>10791</v>
      </c>
    </row>
    <row r="1608" spans="1:39" x14ac:dyDescent="0.45">
      <c r="A1608" s="2" t="s">
        <v>14243</v>
      </c>
      <c r="B1608" s="2"/>
      <c r="C1608" s="2" t="s">
        <v>14245</v>
      </c>
      <c r="D1608" s="2" t="s">
        <v>14247</v>
      </c>
      <c r="E1608" s="25"/>
      <c r="F1608" s="21"/>
      <c r="G1608" s="21"/>
      <c r="H1608" s="2" t="s">
        <v>10789</v>
      </c>
      <c r="I1608" s="2" t="s">
        <v>10787</v>
      </c>
      <c r="J1608" s="2" t="s">
        <v>14244</v>
      </c>
      <c r="K1608" s="2" t="s">
        <v>14246</v>
      </c>
      <c r="L1608" s="2"/>
      <c r="M1608" s="2"/>
      <c r="N1608" s="2" t="s">
        <v>312</v>
      </c>
      <c r="O1608" s="2" t="s">
        <v>313</v>
      </c>
      <c r="P1608" s="2" t="s">
        <v>7647</v>
      </c>
      <c r="Q1608" s="2" t="s">
        <v>14246</v>
      </c>
      <c r="R1608" s="2"/>
      <c r="S1608" s="2"/>
      <c r="T1608" s="2"/>
      <c r="U1608" s="2" t="s">
        <v>312</v>
      </c>
      <c r="V1608" s="2" t="s">
        <v>313</v>
      </c>
      <c r="W1608" s="2" t="s">
        <v>7647</v>
      </c>
      <c r="X1608" s="2" t="s">
        <v>14234</v>
      </c>
      <c r="Y1608" s="2" t="s">
        <v>44</v>
      </c>
      <c r="Z1608" s="2"/>
      <c r="AA1608" s="2" t="s">
        <v>3527</v>
      </c>
      <c r="AB1608" s="2" t="s">
        <v>46</v>
      </c>
      <c r="AC1608" s="2" t="s">
        <v>3527</v>
      </c>
      <c r="AE1608" s="2" t="s">
        <v>10801</v>
      </c>
      <c r="AF1608" s="2" t="s">
        <v>7864</v>
      </c>
      <c r="AG1608" s="2">
        <v>90</v>
      </c>
      <c r="AH1608" s="2">
        <v>0</v>
      </c>
      <c r="AJ1608" s="2" t="s">
        <v>14248</v>
      </c>
      <c r="AK1608" s="2"/>
      <c r="AL1608" s="2"/>
      <c r="AM1608" s="2" t="s">
        <v>10791</v>
      </c>
    </row>
    <row r="1609" spans="1:39" x14ac:dyDescent="0.45">
      <c r="A1609" s="2" t="s">
        <v>14249</v>
      </c>
      <c r="B1609" s="2"/>
      <c r="C1609" s="2" t="s">
        <v>14251</v>
      </c>
      <c r="D1609" s="2" t="s">
        <v>14253</v>
      </c>
      <c r="E1609" s="25"/>
      <c r="F1609" s="21"/>
      <c r="G1609" s="21"/>
      <c r="H1609" s="2" t="s">
        <v>10789</v>
      </c>
      <c r="I1609" s="2" t="s">
        <v>10787</v>
      </c>
      <c r="J1609" s="2" t="s">
        <v>14250</v>
      </c>
      <c r="K1609" s="2" t="s">
        <v>14252</v>
      </c>
      <c r="L1609" s="2"/>
      <c r="M1609" s="2"/>
      <c r="N1609" s="2" t="s">
        <v>312</v>
      </c>
      <c r="O1609" s="2" t="s">
        <v>313</v>
      </c>
      <c r="P1609" s="2" t="s">
        <v>11484</v>
      </c>
      <c r="Q1609" s="2" t="s">
        <v>14252</v>
      </c>
      <c r="R1609" s="2"/>
      <c r="S1609" s="2"/>
      <c r="T1609" s="2"/>
      <c r="U1609" s="2" t="s">
        <v>312</v>
      </c>
      <c r="V1609" s="2" t="s">
        <v>313</v>
      </c>
      <c r="W1609" s="2" t="s">
        <v>11484</v>
      </c>
      <c r="X1609" s="2" t="s">
        <v>2848</v>
      </c>
      <c r="Y1609" s="2" t="s">
        <v>44</v>
      </c>
      <c r="Z1609" s="2"/>
      <c r="AA1609" s="2" t="s">
        <v>3527</v>
      </c>
      <c r="AB1609" s="2" t="s">
        <v>46</v>
      </c>
      <c r="AC1609" s="2" t="s">
        <v>3527</v>
      </c>
      <c r="AE1609" s="2" t="s">
        <v>10801</v>
      </c>
      <c r="AF1609" s="2" t="s">
        <v>7864</v>
      </c>
      <c r="AG1609" s="2">
        <v>90</v>
      </c>
      <c r="AH1609" s="2">
        <v>0</v>
      </c>
      <c r="AJ1609" s="2" t="s">
        <v>14254</v>
      </c>
      <c r="AK1609" s="2"/>
      <c r="AL1609" s="2"/>
      <c r="AM1609" s="2" t="s">
        <v>10791</v>
      </c>
    </row>
    <row r="1610" spans="1:39" x14ac:dyDescent="0.45">
      <c r="A1610" s="2" t="s">
        <v>14255</v>
      </c>
      <c r="B1610" s="2"/>
      <c r="C1610" s="2" t="s">
        <v>14257</v>
      </c>
      <c r="D1610" s="2" t="s">
        <v>14259</v>
      </c>
      <c r="E1610" s="25"/>
      <c r="F1610" s="21"/>
      <c r="G1610" s="21"/>
      <c r="H1610" s="2" t="s">
        <v>10789</v>
      </c>
      <c r="I1610" s="2" t="s">
        <v>10787</v>
      </c>
      <c r="J1610" s="2" t="s">
        <v>14256</v>
      </c>
      <c r="K1610" s="2" t="s">
        <v>14258</v>
      </c>
      <c r="L1610" s="2"/>
      <c r="M1610" s="2"/>
      <c r="N1610" s="2" t="s">
        <v>312</v>
      </c>
      <c r="O1610" s="2" t="s">
        <v>313</v>
      </c>
      <c r="P1610" s="2" t="s">
        <v>7647</v>
      </c>
      <c r="Q1610" s="2" t="s">
        <v>14260</v>
      </c>
      <c r="R1610" s="2"/>
      <c r="S1610" s="2"/>
      <c r="T1610" s="2"/>
      <c r="U1610" s="2" t="s">
        <v>312</v>
      </c>
      <c r="V1610" s="2" t="s">
        <v>313</v>
      </c>
      <c r="W1610" s="2" t="s">
        <v>7647</v>
      </c>
      <c r="X1610" s="2" t="s">
        <v>2213</v>
      </c>
      <c r="Y1610" s="2" t="s">
        <v>44</v>
      </c>
      <c r="Z1610" s="2"/>
      <c r="AA1610" s="2" t="s">
        <v>3527</v>
      </c>
      <c r="AB1610" s="2" t="s">
        <v>46</v>
      </c>
      <c r="AC1610" s="2" t="s">
        <v>3527</v>
      </c>
      <c r="AE1610" s="2" t="s">
        <v>10801</v>
      </c>
      <c r="AF1610" s="2" t="s">
        <v>7864</v>
      </c>
      <c r="AG1610" s="2">
        <v>90</v>
      </c>
      <c r="AH1610" s="2">
        <v>0</v>
      </c>
      <c r="AJ1610" s="2" t="s">
        <v>14261</v>
      </c>
      <c r="AK1610" s="2"/>
      <c r="AL1610" s="2"/>
      <c r="AM1610" s="2" t="s">
        <v>10791</v>
      </c>
    </row>
    <row r="1611" spans="1:39" x14ac:dyDescent="0.45">
      <c r="A1611" s="2" t="s">
        <v>14262</v>
      </c>
      <c r="B1611" s="2"/>
      <c r="C1611" s="2" t="s">
        <v>14264</v>
      </c>
      <c r="D1611" s="2" t="s">
        <v>14266</v>
      </c>
      <c r="E1611" s="25"/>
      <c r="F1611" s="21"/>
      <c r="G1611" s="21"/>
      <c r="H1611" s="2" t="s">
        <v>10789</v>
      </c>
      <c r="I1611" s="2" t="s">
        <v>10787</v>
      </c>
      <c r="J1611" s="2" t="s">
        <v>14263</v>
      </c>
      <c r="K1611" s="2" t="s">
        <v>14265</v>
      </c>
      <c r="L1611" s="2"/>
      <c r="M1611" s="2"/>
      <c r="N1611" s="2" t="s">
        <v>11291</v>
      </c>
      <c r="O1611" s="2" t="s">
        <v>73</v>
      </c>
      <c r="P1611" s="2" t="s">
        <v>14267</v>
      </c>
      <c r="Q1611" s="2" t="s">
        <v>14265</v>
      </c>
      <c r="R1611" s="2"/>
      <c r="S1611" s="2"/>
      <c r="T1611" s="2"/>
      <c r="U1611" s="2" t="s">
        <v>11291</v>
      </c>
      <c r="V1611" s="2" t="s">
        <v>73</v>
      </c>
      <c r="W1611" s="2" t="s">
        <v>14267</v>
      </c>
      <c r="X1611" s="2" t="s">
        <v>9649</v>
      </c>
      <c r="Y1611" s="2" t="s">
        <v>44</v>
      </c>
      <c r="Z1611" s="2"/>
      <c r="AA1611" s="2" t="s">
        <v>3527</v>
      </c>
      <c r="AB1611" s="2" t="s">
        <v>46</v>
      </c>
      <c r="AC1611" s="2" t="s">
        <v>3527</v>
      </c>
      <c r="AE1611" s="2" t="s">
        <v>10801</v>
      </c>
      <c r="AF1611" s="2" t="s">
        <v>7864</v>
      </c>
      <c r="AG1611" s="2">
        <v>90</v>
      </c>
      <c r="AH1611" s="2">
        <v>0</v>
      </c>
      <c r="AJ1611" s="2" t="s">
        <v>14268</v>
      </c>
      <c r="AK1611" s="2"/>
      <c r="AL1611" s="2"/>
      <c r="AM1611" s="2" t="s">
        <v>10791</v>
      </c>
    </row>
    <row r="1612" spans="1:39" x14ac:dyDescent="0.45">
      <c r="A1612" s="2" t="s">
        <v>14269</v>
      </c>
      <c r="B1612" s="2"/>
      <c r="C1612" s="2" t="s">
        <v>14271</v>
      </c>
      <c r="D1612" s="2" t="s">
        <v>14273</v>
      </c>
      <c r="E1612" s="25"/>
      <c r="F1612" s="21"/>
      <c r="G1612" s="21"/>
      <c r="H1612" s="2" t="s">
        <v>10789</v>
      </c>
      <c r="I1612" s="2" t="s">
        <v>10787</v>
      </c>
      <c r="J1612" s="2" t="s">
        <v>14270</v>
      </c>
      <c r="K1612" s="2" t="s">
        <v>14272</v>
      </c>
      <c r="L1612" s="2"/>
      <c r="M1612" s="2"/>
      <c r="N1612" s="2" t="s">
        <v>312</v>
      </c>
      <c r="O1612" s="2" t="s">
        <v>313</v>
      </c>
      <c r="P1612" s="2" t="s">
        <v>314</v>
      </c>
      <c r="Q1612" s="2" t="s">
        <v>14272</v>
      </c>
      <c r="R1612" s="2"/>
      <c r="S1612" s="2"/>
      <c r="T1612" s="2"/>
      <c r="U1612" s="2" t="s">
        <v>312</v>
      </c>
      <c r="V1612" s="2" t="s">
        <v>313</v>
      </c>
      <c r="W1612" s="2" t="s">
        <v>314</v>
      </c>
      <c r="X1612" s="2" t="s">
        <v>8456</v>
      </c>
      <c r="Y1612" s="2" t="s">
        <v>44</v>
      </c>
      <c r="Z1612" s="2"/>
      <c r="AA1612" s="2" t="s">
        <v>3527</v>
      </c>
      <c r="AB1612" s="2" t="s">
        <v>46</v>
      </c>
      <c r="AC1612" s="2" t="s">
        <v>3527</v>
      </c>
      <c r="AE1612" s="2" t="s">
        <v>10801</v>
      </c>
      <c r="AF1612" s="2" t="s">
        <v>7864</v>
      </c>
      <c r="AG1612" s="2">
        <v>90</v>
      </c>
      <c r="AH1612" s="2">
        <v>0</v>
      </c>
      <c r="AJ1612" s="2" t="s">
        <v>14274</v>
      </c>
      <c r="AK1612" s="2"/>
      <c r="AL1612" s="2"/>
      <c r="AM1612" s="2" t="s">
        <v>10791</v>
      </c>
    </row>
    <row r="1613" spans="1:39" x14ac:dyDescent="0.45">
      <c r="A1613" s="2" t="s">
        <v>14275</v>
      </c>
      <c r="B1613" s="2"/>
      <c r="C1613" s="2" t="s">
        <v>14277</v>
      </c>
      <c r="D1613" s="2" t="s">
        <v>14279</v>
      </c>
      <c r="E1613" s="25"/>
      <c r="F1613" s="21"/>
      <c r="G1613" s="21"/>
      <c r="H1613" s="2" t="s">
        <v>10789</v>
      </c>
      <c r="I1613" s="2" t="s">
        <v>10787</v>
      </c>
      <c r="J1613" s="2" t="s">
        <v>14276</v>
      </c>
      <c r="K1613" s="2" t="s">
        <v>14278</v>
      </c>
      <c r="L1613" s="2"/>
      <c r="M1613" s="2"/>
      <c r="N1613" s="2" t="s">
        <v>12804</v>
      </c>
      <c r="O1613" s="2" t="s">
        <v>221</v>
      </c>
      <c r="P1613" s="2" t="s">
        <v>14280</v>
      </c>
      <c r="Q1613" s="2" t="s">
        <v>14278</v>
      </c>
      <c r="R1613" s="2"/>
      <c r="S1613" s="2"/>
      <c r="T1613" s="2"/>
      <c r="U1613" s="2" t="s">
        <v>12804</v>
      </c>
      <c r="V1613" s="2" t="s">
        <v>221</v>
      </c>
      <c r="W1613" s="2" t="s">
        <v>14280</v>
      </c>
      <c r="X1613" s="2" t="s">
        <v>14281</v>
      </c>
      <c r="Y1613" s="2" t="s">
        <v>44</v>
      </c>
      <c r="Z1613" s="2"/>
      <c r="AA1613" s="2" t="s">
        <v>3527</v>
      </c>
      <c r="AB1613" s="2" t="s">
        <v>46</v>
      </c>
      <c r="AC1613" s="2" t="s">
        <v>3527</v>
      </c>
      <c r="AE1613" s="2" t="s">
        <v>10801</v>
      </c>
      <c r="AF1613" s="2" t="s">
        <v>7864</v>
      </c>
      <c r="AG1613" s="2">
        <v>90</v>
      </c>
      <c r="AH1613" s="2">
        <v>0</v>
      </c>
      <c r="AJ1613" s="2" t="s">
        <v>14282</v>
      </c>
      <c r="AK1613" s="2"/>
      <c r="AL1613" s="2"/>
      <c r="AM1613" s="2" t="s">
        <v>10791</v>
      </c>
    </row>
  </sheetData>
  <autoFilter ref="A1:AM1613" xr:uid="{00000000-0009-0000-0000-000000000000}"/>
  <phoneticPr fontId="9" type="noConversion"/>
  <conditionalFormatting sqref="H2:I1613">
    <cfRule type="cellIs" dxfId="11" priority="2" operator="equal">
      <formula>"A - Contact First"</formula>
    </cfRule>
    <cfRule type="cellIs" dxfId="10" priority="3" operator="equal">
      <formula>"B - Good Lead"</formula>
    </cfRule>
    <cfRule type="cellIs" dxfId="9" priority="4" operator="equal">
      <formula>"C - Later"</formula>
    </cfRule>
    <cfRule type="cellIs" dxfId="8" priority="5" operator="equal">
      <formula>"D - Ignore"</formula>
    </cfRule>
  </conditionalFormatting>
  <hyperlinks>
    <hyperlink ref="D2" r:id="rId1" xr:uid="{3FCEDD25-E4B7-4961-B46F-54B9BF2E2A9B}"/>
    <hyperlink ref="D3" r:id="rId2" xr:uid="{E00DACC7-A235-4158-AC8B-CEADCD37D253}"/>
    <hyperlink ref="D4" r:id="rId3" xr:uid="{EACE7E0C-1AA4-406C-BB15-CD1DFE7F24AC}"/>
    <hyperlink ref="D5" r:id="rId4" xr:uid="{2B9CAFCF-6854-47C0-B1B6-92D087796547}"/>
    <hyperlink ref="D6" r:id="rId5" xr:uid="{2C050E9E-5FE2-4620-9EDE-2B68A13936FB}"/>
    <hyperlink ref="D7" r:id="rId6" xr:uid="{B0CA1AB6-69A4-4BA0-9F45-18DB81A0C19D}"/>
    <hyperlink ref="D8" r:id="rId7" xr:uid="{A1C1AC8F-7B28-44DF-AEF8-1A385209BFCC}"/>
    <hyperlink ref="D9" r:id="rId8" xr:uid="{182DEDA6-6A20-44E1-ACF3-9654BA7D1E9D}"/>
    <hyperlink ref="D10" r:id="rId9" xr:uid="{842D13FD-CC2D-448D-9A5A-168759F95F1F}"/>
    <hyperlink ref="D11" r:id="rId10" xr:uid="{B681EDFA-75AF-4395-B61A-826E29342F38}"/>
    <hyperlink ref="D12" r:id="rId11" xr:uid="{0D17D52E-37E1-4441-B723-777ADF744E05}"/>
    <hyperlink ref="D13" r:id="rId12" xr:uid="{B277490F-6474-4AAE-9829-549B70066AEA}"/>
    <hyperlink ref="D14" r:id="rId13" xr:uid="{2D266E9B-689D-4B70-A3D3-C9A49368B996}"/>
    <hyperlink ref="D15" r:id="rId14" xr:uid="{E3CCB954-BA67-4F55-860A-57F3ADA90BAE}"/>
    <hyperlink ref="D16" r:id="rId15" xr:uid="{FC45C91F-F22B-40DC-BC4D-4806DA604D56}"/>
    <hyperlink ref="D17" r:id="rId16" xr:uid="{59AAAD3B-11CF-4D73-B3DA-D79B4FA6AEE6}"/>
    <hyperlink ref="D18" r:id="rId17" xr:uid="{BD01E1A5-25E3-4EA7-BC03-BA1641AD300B}"/>
    <hyperlink ref="D19" r:id="rId18" xr:uid="{05535612-08C9-45F6-8F74-9353127DB695}"/>
    <hyperlink ref="D20" r:id="rId19" xr:uid="{E6A8CE84-CAA9-40B6-9637-F1E1481F1C8C}"/>
    <hyperlink ref="D21" r:id="rId20" xr:uid="{388D4E78-7AF3-47CB-90AD-3B579162FB43}"/>
    <hyperlink ref="D22" r:id="rId21" xr:uid="{AB6584CA-37F5-4E68-B943-F802BC241FE7}"/>
    <hyperlink ref="D23" r:id="rId22" xr:uid="{CBBFB582-37F9-40CB-88B5-BD0611EFA815}"/>
    <hyperlink ref="D26" r:id="rId23" xr:uid="{B1F1D272-6C1B-4CE0-8FAB-14F3FA14F2F5}"/>
    <hyperlink ref="D27" r:id="rId24" xr:uid="{F5BD5665-2786-42C9-AED8-2050D845C4D6}"/>
    <hyperlink ref="D28" r:id="rId25" xr:uid="{E1D621DC-3133-42DC-89E6-DEEBB3B1D9E9}"/>
    <hyperlink ref="D40" r:id="rId26" xr:uid="{859C7B6A-9705-42FD-99D7-2E8CDD743631}"/>
    <hyperlink ref="D51" r:id="rId27" xr:uid="{1354DF49-ADF4-453D-AD8A-60257592ABC0}"/>
    <hyperlink ref="D59" r:id="rId28" xr:uid="{EA9B1892-9BF0-43B1-86AE-95C71EEDAE47}"/>
    <hyperlink ref="D61" r:id="rId29" xr:uid="{0914AA25-9C38-4969-99AF-8687D1BD4652}"/>
    <hyperlink ref="D66" r:id="rId30" xr:uid="{48777116-055D-486E-9060-20C5BEBE0FBB}"/>
    <hyperlink ref="D67" r:id="rId31" xr:uid="{3187DD22-5A12-4D80-ACA4-5C893A5D5B22}"/>
    <hyperlink ref="D68" r:id="rId32" xr:uid="{CF8E5112-43F4-4255-90D9-3940D0FEB85C}"/>
    <hyperlink ref="D69" r:id="rId33" xr:uid="{75B1C1F8-CBE7-48CA-AAC9-AB3CA76C856C}"/>
    <hyperlink ref="D73" r:id="rId34" xr:uid="{A97D6E5A-104B-4909-8B7F-386BDD6897D6}"/>
    <hyperlink ref="D99" r:id="rId35" xr:uid="{5482D006-5F61-4104-97BD-1798EA75FC1D}"/>
    <hyperlink ref="D1126" r:id="rId36" xr:uid="{4A8B7994-AAD2-43FD-AC74-C4AF627BDA70}"/>
  </hyperlinks>
  <pageMargins left="0.75" right="0.75" top="1" bottom="1" header="0.511811023622047" footer="0.511811023622047"/>
  <pageSetup paperSize="9" orientation="portrait" horizontalDpi="300" verticalDpi="300" r:id="rId3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6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26" customWidth="1"/>
    <col min="4" max="4" width="38" customWidth="1"/>
    <col min="5" max="5" width="26" customWidth="1"/>
    <col min="6" max="10" width="18" customWidth="1"/>
    <col min="11" max="11" width="38" customWidth="1"/>
    <col min="12" max="12" width="26" customWidth="1"/>
    <col min="13" max="23" width="18" customWidth="1"/>
    <col min="24" max="24" width="26" customWidth="1"/>
    <col min="25" max="29" width="18" customWidth="1"/>
    <col min="30" max="33" width="38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 s="2" t="s">
        <v>14283</v>
      </c>
      <c r="B2" s="2" t="s">
        <v>14284</v>
      </c>
      <c r="C2" s="2" t="s">
        <v>14285</v>
      </c>
      <c r="D2" s="2" t="s">
        <v>14286</v>
      </c>
      <c r="E2" s="2" t="s">
        <v>14287</v>
      </c>
      <c r="F2" s="2" t="s">
        <v>253</v>
      </c>
      <c r="G2" s="2" t="s">
        <v>253</v>
      </c>
      <c r="H2" s="2" t="s">
        <v>39</v>
      </c>
      <c r="I2" s="2" t="s">
        <v>40</v>
      </c>
      <c r="J2" s="2" t="s">
        <v>254</v>
      </c>
      <c r="K2" s="2" t="s">
        <v>14286</v>
      </c>
      <c r="L2" s="2"/>
      <c r="M2" s="2"/>
      <c r="N2" s="2"/>
      <c r="O2" s="2" t="s">
        <v>39</v>
      </c>
      <c r="P2" s="2" t="s">
        <v>40</v>
      </c>
      <c r="Q2" s="2" t="s">
        <v>254</v>
      </c>
      <c r="R2" s="2" t="s">
        <v>14288</v>
      </c>
      <c r="S2" s="2" t="s">
        <v>44</v>
      </c>
      <c r="T2" s="2"/>
      <c r="U2" s="2" t="s">
        <v>45</v>
      </c>
      <c r="V2" s="2" t="s">
        <v>199</v>
      </c>
      <c r="W2" s="2" t="s">
        <v>45</v>
      </c>
      <c r="X2" s="2" t="s">
        <v>258</v>
      </c>
      <c r="Y2" s="2" t="s">
        <v>48</v>
      </c>
      <c r="Z2" s="2" t="s">
        <v>49</v>
      </c>
      <c r="AA2" s="2">
        <v>100</v>
      </c>
      <c r="AB2" s="2">
        <v>100</v>
      </c>
      <c r="AC2" s="2" t="s">
        <v>50</v>
      </c>
      <c r="AD2" s="2" t="s">
        <v>259</v>
      </c>
      <c r="AE2" s="2"/>
      <c r="AF2" s="2" t="s">
        <v>14289</v>
      </c>
      <c r="AG2" s="2" t="s">
        <v>14290</v>
      </c>
    </row>
    <row r="3" spans="1:33" x14ac:dyDescent="0.45">
      <c r="A3" s="2" t="s">
        <v>14291</v>
      </c>
      <c r="B3" s="2" t="s">
        <v>14292</v>
      </c>
      <c r="C3" s="2" t="s">
        <v>14293</v>
      </c>
      <c r="D3" s="2" t="s">
        <v>14294</v>
      </c>
      <c r="E3" s="2" t="s">
        <v>14295</v>
      </c>
      <c r="F3" s="2" t="s">
        <v>14296</v>
      </c>
      <c r="G3" s="2" t="s">
        <v>14296</v>
      </c>
      <c r="H3" s="2" t="s">
        <v>72</v>
      </c>
      <c r="I3" s="2" t="s">
        <v>73</v>
      </c>
      <c r="J3" s="2" t="s">
        <v>464</v>
      </c>
      <c r="K3" s="2" t="s">
        <v>14297</v>
      </c>
      <c r="L3" s="2"/>
      <c r="M3" s="2"/>
      <c r="N3" s="2"/>
      <c r="O3" s="2" t="s">
        <v>72</v>
      </c>
      <c r="P3" s="2" t="s">
        <v>73</v>
      </c>
      <c r="Q3" s="2" t="s">
        <v>373</v>
      </c>
      <c r="R3" s="2" t="s">
        <v>14298</v>
      </c>
      <c r="S3" s="2" t="s">
        <v>44</v>
      </c>
      <c r="T3" s="2"/>
      <c r="U3" s="2" t="s">
        <v>45</v>
      </c>
      <c r="V3" s="2" t="s">
        <v>46</v>
      </c>
      <c r="W3" s="2" t="s">
        <v>45</v>
      </c>
      <c r="X3" s="2" t="s">
        <v>466</v>
      </c>
      <c r="Y3" s="2" t="s">
        <v>48</v>
      </c>
      <c r="Z3" s="2" t="s">
        <v>49</v>
      </c>
      <c r="AA3" s="2">
        <v>100</v>
      </c>
      <c r="AB3" s="2">
        <v>100</v>
      </c>
      <c r="AC3" s="2" t="s">
        <v>50</v>
      </c>
      <c r="AD3" s="2" t="s">
        <v>467</v>
      </c>
      <c r="AE3" s="2"/>
      <c r="AF3" s="2" t="s">
        <v>14289</v>
      </c>
      <c r="AG3" s="2" t="s">
        <v>14290</v>
      </c>
    </row>
    <row r="4" spans="1:33" x14ac:dyDescent="0.45">
      <c r="A4" s="2" t="s">
        <v>14299</v>
      </c>
      <c r="B4" s="2" t="s">
        <v>14300</v>
      </c>
      <c r="C4" s="2" t="s">
        <v>14301</v>
      </c>
      <c r="D4" s="2" t="s">
        <v>14302</v>
      </c>
      <c r="E4" s="2" t="s">
        <v>128</v>
      </c>
      <c r="F4" s="2" t="s">
        <v>14303</v>
      </c>
      <c r="G4" s="2" t="s">
        <v>14303</v>
      </c>
      <c r="H4" s="2" t="s">
        <v>72</v>
      </c>
      <c r="I4" s="2" t="s">
        <v>73</v>
      </c>
      <c r="J4" s="2" t="s">
        <v>98</v>
      </c>
      <c r="K4" s="2" t="s">
        <v>14302</v>
      </c>
      <c r="L4" s="2"/>
      <c r="M4" s="2"/>
      <c r="N4" s="2"/>
      <c r="O4" s="2" t="s">
        <v>72</v>
      </c>
      <c r="P4" s="2" t="s">
        <v>73</v>
      </c>
      <c r="Q4" s="2" t="s">
        <v>98</v>
      </c>
      <c r="R4" s="2" t="s">
        <v>4906</v>
      </c>
      <c r="S4" s="2" t="s">
        <v>44</v>
      </c>
      <c r="T4" s="2"/>
      <c r="U4" s="2" t="s">
        <v>45</v>
      </c>
      <c r="V4" s="2" t="s">
        <v>46</v>
      </c>
      <c r="W4" s="2" t="s">
        <v>45</v>
      </c>
      <c r="X4" s="2" t="s">
        <v>132</v>
      </c>
      <c r="Y4" s="2" t="s">
        <v>48</v>
      </c>
      <c r="Z4" s="2" t="s">
        <v>49</v>
      </c>
      <c r="AA4" s="2">
        <v>100</v>
      </c>
      <c r="AB4" s="2">
        <v>100</v>
      </c>
      <c r="AC4" s="2" t="s">
        <v>50</v>
      </c>
      <c r="AD4" s="2" t="s">
        <v>133</v>
      </c>
      <c r="AE4" s="2"/>
      <c r="AF4" s="2" t="s">
        <v>14289</v>
      </c>
      <c r="AG4" s="2" t="s">
        <v>14290</v>
      </c>
    </row>
    <row r="5" spans="1:33" x14ac:dyDescent="0.45">
      <c r="A5" s="2" t="s">
        <v>14304</v>
      </c>
      <c r="B5" s="2" t="s">
        <v>14305</v>
      </c>
      <c r="C5" s="2" t="s">
        <v>14306</v>
      </c>
      <c r="D5" s="2" t="s">
        <v>14307</v>
      </c>
      <c r="E5" s="2" t="s">
        <v>14308</v>
      </c>
      <c r="F5" s="2" t="s">
        <v>253</v>
      </c>
      <c r="G5" s="2" t="s">
        <v>253</v>
      </c>
      <c r="H5" s="2" t="s">
        <v>39</v>
      </c>
      <c r="I5" s="2" t="s">
        <v>40</v>
      </c>
      <c r="J5" s="2" t="s">
        <v>254</v>
      </c>
      <c r="K5" s="2" t="s">
        <v>14309</v>
      </c>
      <c r="L5" s="2"/>
      <c r="M5" s="2"/>
      <c r="N5" s="2"/>
      <c r="O5" s="2" t="s">
        <v>39</v>
      </c>
      <c r="P5" s="2" t="s">
        <v>40</v>
      </c>
      <c r="Q5" s="2" t="s">
        <v>254</v>
      </c>
      <c r="R5" s="2" t="s">
        <v>2838</v>
      </c>
      <c r="S5" s="2" t="s">
        <v>44</v>
      </c>
      <c r="T5" s="2"/>
      <c r="U5" s="2" t="s">
        <v>45</v>
      </c>
      <c r="V5" s="2" t="s">
        <v>46</v>
      </c>
      <c r="W5" s="2" t="s">
        <v>45</v>
      </c>
      <c r="X5" s="2" t="s">
        <v>258</v>
      </c>
      <c r="Y5" s="2" t="s">
        <v>48</v>
      </c>
      <c r="Z5" s="2" t="s">
        <v>49</v>
      </c>
      <c r="AA5" s="2">
        <v>100</v>
      </c>
      <c r="AB5" s="2">
        <v>100</v>
      </c>
      <c r="AC5" s="2" t="s">
        <v>50</v>
      </c>
      <c r="AD5" s="2" t="s">
        <v>259</v>
      </c>
      <c r="AE5" s="2"/>
      <c r="AF5" s="2" t="s">
        <v>14289</v>
      </c>
      <c r="AG5" s="2" t="s">
        <v>14290</v>
      </c>
    </row>
    <row r="6" spans="1:33" x14ac:dyDescent="0.45">
      <c r="A6" s="2" t="s">
        <v>14310</v>
      </c>
      <c r="B6" s="2" t="s">
        <v>14311</v>
      </c>
      <c r="C6" s="2" t="s">
        <v>14312</v>
      </c>
      <c r="D6" s="2" t="s">
        <v>14313</v>
      </c>
      <c r="E6" s="2" t="s">
        <v>14314</v>
      </c>
      <c r="F6" s="2" t="s">
        <v>14315</v>
      </c>
      <c r="G6" s="2" t="s">
        <v>14315</v>
      </c>
      <c r="H6" s="2" t="s">
        <v>72</v>
      </c>
      <c r="I6" s="2" t="s">
        <v>73</v>
      </c>
      <c r="J6" s="2" t="s">
        <v>74</v>
      </c>
      <c r="K6" s="2" t="s">
        <v>14316</v>
      </c>
      <c r="L6" s="2"/>
      <c r="M6" s="2"/>
      <c r="N6" s="2"/>
      <c r="O6" s="2" t="s">
        <v>72</v>
      </c>
      <c r="P6" s="2" t="s">
        <v>73</v>
      </c>
      <c r="Q6" s="2" t="s">
        <v>74</v>
      </c>
      <c r="R6" s="2" t="s">
        <v>14317</v>
      </c>
      <c r="S6" s="2" t="s">
        <v>44</v>
      </c>
      <c r="T6" s="2"/>
      <c r="U6" s="2" t="s">
        <v>821</v>
      </c>
      <c r="V6" s="2" t="s">
        <v>46</v>
      </c>
      <c r="W6" s="2" t="s">
        <v>821</v>
      </c>
      <c r="X6" s="2" t="s">
        <v>304</v>
      </c>
      <c r="Y6" s="2" t="s">
        <v>48</v>
      </c>
      <c r="Z6" s="2" t="s">
        <v>49</v>
      </c>
      <c r="AA6" s="2">
        <v>100</v>
      </c>
      <c r="AB6" s="2">
        <v>97</v>
      </c>
      <c r="AC6" s="2" t="s">
        <v>50</v>
      </c>
      <c r="AD6" s="2" t="s">
        <v>305</v>
      </c>
      <c r="AE6" s="2"/>
      <c r="AF6" s="2" t="s">
        <v>14289</v>
      </c>
      <c r="AG6" s="2" t="s">
        <v>14290</v>
      </c>
    </row>
    <row r="7" spans="1:33" x14ac:dyDescent="0.45">
      <c r="A7" s="2" t="s">
        <v>468</v>
      </c>
      <c r="B7" s="2" t="s">
        <v>14318</v>
      </c>
      <c r="C7" s="2" t="s">
        <v>14319</v>
      </c>
      <c r="D7" s="2" t="s">
        <v>471</v>
      </c>
      <c r="E7" s="2" t="s">
        <v>14320</v>
      </c>
      <c r="F7" s="2" t="s">
        <v>14321</v>
      </c>
      <c r="G7" s="2" t="s">
        <v>14321</v>
      </c>
      <c r="H7" s="2" t="s">
        <v>72</v>
      </c>
      <c r="I7" s="2" t="s">
        <v>73</v>
      </c>
      <c r="J7" s="2" t="s">
        <v>474</v>
      </c>
      <c r="K7" s="2" t="s">
        <v>14322</v>
      </c>
      <c r="L7" s="2"/>
      <c r="M7" s="2"/>
      <c r="N7" s="2"/>
      <c r="O7" s="2" t="s">
        <v>72</v>
      </c>
      <c r="P7" s="2" t="s">
        <v>73</v>
      </c>
      <c r="Q7" s="2" t="s">
        <v>98</v>
      </c>
      <c r="R7" s="2" t="s">
        <v>14323</v>
      </c>
      <c r="S7" s="2" t="s">
        <v>44</v>
      </c>
      <c r="T7" s="2"/>
      <c r="U7" s="2" t="s">
        <v>821</v>
      </c>
      <c r="V7" s="2" t="s">
        <v>199</v>
      </c>
      <c r="W7" s="2" t="s">
        <v>821</v>
      </c>
      <c r="X7" s="2" t="s">
        <v>476</v>
      </c>
      <c r="Y7" s="2" t="s">
        <v>48</v>
      </c>
      <c r="Z7" s="2" t="s">
        <v>49</v>
      </c>
      <c r="AA7" s="2">
        <v>100</v>
      </c>
      <c r="AB7" s="2">
        <v>97</v>
      </c>
      <c r="AC7" s="2" t="s">
        <v>50</v>
      </c>
      <c r="AD7" s="2" t="s">
        <v>477</v>
      </c>
      <c r="AE7" s="2"/>
      <c r="AF7" s="2" t="s">
        <v>14289</v>
      </c>
      <c r="AG7" s="2" t="s">
        <v>14290</v>
      </c>
    </row>
    <row r="8" spans="1:33" x14ac:dyDescent="0.45">
      <c r="A8" s="2" t="s">
        <v>378</v>
      </c>
      <c r="B8" s="2" t="s">
        <v>14324</v>
      </c>
      <c r="C8" s="2" t="s">
        <v>14325</v>
      </c>
      <c r="D8" s="2" t="s">
        <v>14326</v>
      </c>
      <c r="E8" s="2" t="s">
        <v>14327</v>
      </c>
      <c r="F8" s="2" t="s">
        <v>14328</v>
      </c>
      <c r="G8" s="2" t="s">
        <v>14328</v>
      </c>
      <c r="H8" s="2" t="s">
        <v>384</v>
      </c>
      <c r="I8" s="2" t="s">
        <v>73</v>
      </c>
      <c r="J8" s="2" t="s">
        <v>385</v>
      </c>
      <c r="K8" s="2" t="s">
        <v>14329</v>
      </c>
      <c r="L8" s="2"/>
      <c r="M8" s="2"/>
      <c r="N8" s="2"/>
      <c r="O8" s="2" t="s">
        <v>384</v>
      </c>
      <c r="P8" s="2" t="s">
        <v>73</v>
      </c>
      <c r="Q8" s="2" t="s">
        <v>385</v>
      </c>
      <c r="R8" s="2" t="s">
        <v>9108</v>
      </c>
      <c r="S8" s="2" t="s">
        <v>44</v>
      </c>
      <c r="T8" s="2"/>
      <c r="U8" s="2" t="s">
        <v>821</v>
      </c>
      <c r="V8" s="2" t="s">
        <v>199</v>
      </c>
      <c r="W8" s="2" t="s">
        <v>821</v>
      </c>
      <c r="X8" s="2" t="s">
        <v>387</v>
      </c>
      <c r="Y8" s="2" t="s">
        <v>48</v>
      </c>
      <c r="Z8" s="2" t="s">
        <v>49</v>
      </c>
      <c r="AA8" s="2">
        <v>100</v>
      </c>
      <c r="AB8" s="2">
        <v>97</v>
      </c>
      <c r="AC8" s="2" t="s">
        <v>50</v>
      </c>
      <c r="AD8" s="2" t="s">
        <v>388</v>
      </c>
      <c r="AE8" s="2"/>
      <c r="AF8" s="2" t="s">
        <v>14289</v>
      </c>
      <c r="AG8" s="2" t="s">
        <v>14290</v>
      </c>
    </row>
    <row r="9" spans="1:33" x14ac:dyDescent="0.45">
      <c r="A9" s="2" t="s">
        <v>14330</v>
      </c>
      <c r="B9" s="2" t="s">
        <v>14331</v>
      </c>
      <c r="C9" s="2" t="s">
        <v>14332</v>
      </c>
      <c r="D9" s="2" t="s">
        <v>14333</v>
      </c>
      <c r="E9" s="2" t="s">
        <v>14334</v>
      </c>
      <c r="F9" s="2" t="s">
        <v>14335</v>
      </c>
      <c r="G9" s="2" t="s">
        <v>14335</v>
      </c>
      <c r="H9" s="2" t="s">
        <v>72</v>
      </c>
      <c r="I9" s="2" t="s">
        <v>73</v>
      </c>
      <c r="J9" s="2" t="s">
        <v>98</v>
      </c>
      <c r="K9" s="2" t="s">
        <v>14336</v>
      </c>
      <c r="L9" s="2"/>
      <c r="M9" s="2"/>
      <c r="N9" s="2"/>
      <c r="O9" s="2" t="s">
        <v>72</v>
      </c>
      <c r="P9" s="2" t="s">
        <v>73</v>
      </c>
      <c r="Q9" s="2" t="s">
        <v>98</v>
      </c>
      <c r="R9" s="2" t="s">
        <v>14337</v>
      </c>
      <c r="S9" s="2" t="s">
        <v>44</v>
      </c>
      <c r="T9" s="2"/>
      <c r="U9" s="2" t="s">
        <v>821</v>
      </c>
      <c r="V9" s="2" t="s">
        <v>46</v>
      </c>
      <c r="W9" s="2" t="s">
        <v>821</v>
      </c>
      <c r="X9" s="2" t="s">
        <v>132</v>
      </c>
      <c r="Y9" s="2" t="s">
        <v>48</v>
      </c>
      <c r="Z9" s="2" t="s">
        <v>49</v>
      </c>
      <c r="AA9" s="2">
        <v>100</v>
      </c>
      <c r="AB9" s="2">
        <v>97</v>
      </c>
      <c r="AC9" s="2" t="s">
        <v>50</v>
      </c>
      <c r="AD9" s="2" t="s">
        <v>133</v>
      </c>
      <c r="AE9" s="2"/>
      <c r="AF9" s="2" t="s">
        <v>14289</v>
      </c>
      <c r="AG9" s="2" t="s">
        <v>14290</v>
      </c>
    </row>
    <row r="10" spans="1:33" x14ac:dyDescent="0.45">
      <c r="A10" s="2" t="s">
        <v>14338</v>
      </c>
      <c r="B10" s="2" t="s">
        <v>14339</v>
      </c>
      <c r="C10" s="2" t="s">
        <v>14340</v>
      </c>
      <c r="D10" s="2" t="s">
        <v>14341</v>
      </c>
      <c r="E10" s="2" t="s">
        <v>14342</v>
      </c>
      <c r="F10" s="2" t="s">
        <v>14343</v>
      </c>
      <c r="G10" s="2" t="s">
        <v>14343</v>
      </c>
      <c r="H10" s="2"/>
      <c r="I10" s="2" t="s">
        <v>73</v>
      </c>
      <c r="J10" s="2" t="s">
        <v>464</v>
      </c>
      <c r="K10" s="2" t="s">
        <v>14344</v>
      </c>
      <c r="L10" s="2"/>
      <c r="M10" s="2"/>
      <c r="N10" s="2"/>
      <c r="O10" s="2" t="s">
        <v>72</v>
      </c>
      <c r="P10" s="2" t="s">
        <v>73</v>
      </c>
      <c r="Q10" s="2" t="s">
        <v>373</v>
      </c>
      <c r="R10" s="2" t="s">
        <v>14345</v>
      </c>
      <c r="S10" s="2" t="s">
        <v>44</v>
      </c>
      <c r="T10" s="2"/>
      <c r="U10" s="2" t="s">
        <v>821</v>
      </c>
      <c r="V10" s="2" t="s">
        <v>46</v>
      </c>
      <c r="W10" s="2" t="s">
        <v>821</v>
      </c>
      <c r="X10" s="2" t="s">
        <v>466</v>
      </c>
      <c r="Y10" s="2" t="s">
        <v>48</v>
      </c>
      <c r="Z10" s="2" t="s">
        <v>49</v>
      </c>
      <c r="AA10" s="2">
        <v>100</v>
      </c>
      <c r="AB10" s="2">
        <v>97</v>
      </c>
      <c r="AC10" s="2" t="s">
        <v>50</v>
      </c>
      <c r="AD10" s="2" t="s">
        <v>467</v>
      </c>
      <c r="AE10" s="2"/>
      <c r="AF10" s="2" t="s">
        <v>14289</v>
      </c>
      <c r="AG10" s="2" t="s">
        <v>14290</v>
      </c>
    </row>
    <row r="11" spans="1:33" x14ac:dyDescent="0.45">
      <c r="A11" s="2" t="s">
        <v>14346</v>
      </c>
      <c r="B11" s="2" t="s">
        <v>14347</v>
      </c>
      <c r="C11" s="2" t="s">
        <v>14348</v>
      </c>
      <c r="D11" s="2" t="s">
        <v>14349</v>
      </c>
      <c r="E11" s="2" t="s">
        <v>14350</v>
      </c>
      <c r="F11" s="2" t="s">
        <v>14351</v>
      </c>
      <c r="G11" s="2" t="s">
        <v>14351</v>
      </c>
      <c r="H11" s="2" t="s">
        <v>72</v>
      </c>
      <c r="I11" s="2" t="s">
        <v>73</v>
      </c>
      <c r="J11" s="2" t="s">
        <v>373</v>
      </c>
      <c r="K11" s="2" t="s">
        <v>14349</v>
      </c>
      <c r="L11" s="2"/>
      <c r="M11" s="2"/>
      <c r="N11" s="2"/>
      <c r="O11" s="2" t="s">
        <v>72</v>
      </c>
      <c r="P11" s="2" t="s">
        <v>73</v>
      </c>
      <c r="Q11" s="2" t="s">
        <v>373</v>
      </c>
      <c r="R11" s="2" t="s">
        <v>14352</v>
      </c>
      <c r="S11" s="2" t="s">
        <v>44</v>
      </c>
      <c r="T11" s="2"/>
      <c r="U11" s="2" t="s">
        <v>821</v>
      </c>
      <c r="V11" s="2" t="s">
        <v>46</v>
      </c>
      <c r="W11" s="2" t="s">
        <v>821</v>
      </c>
      <c r="X11" s="2" t="s">
        <v>376</v>
      </c>
      <c r="Y11" s="2" t="s">
        <v>48</v>
      </c>
      <c r="Z11" s="2" t="s">
        <v>49</v>
      </c>
      <c r="AA11" s="2">
        <v>100</v>
      </c>
      <c r="AB11" s="2">
        <v>97</v>
      </c>
      <c r="AC11" s="2" t="s">
        <v>50</v>
      </c>
      <c r="AD11" s="2" t="s">
        <v>377</v>
      </c>
      <c r="AE11" s="2"/>
      <c r="AF11" s="2" t="s">
        <v>14289</v>
      </c>
      <c r="AG11" s="2" t="s">
        <v>14290</v>
      </c>
    </row>
    <row r="12" spans="1:33" x14ac:dyDescent="0.45">
      <c r="A12" s="2" t="s">
        <v>14353</v>
      </c>
      <c r="B12" s="2" t="s">
        <v>14354</v>
      </c>
      <c r="C12" s="2" t="s">
        <v>594</v>
      </c>
      <c r="D12" s="2" t="s">
        <v>14355</v>
      </c>
      <c r="E12" s="2" t="s">
        <v>14356</v>
      </c>
      <c r="F12" s="2" t="s">
        <v>14357</v>
      </c>
      <c r="G12" s="2" t="s">
        <v>14357</v>
      </c>
      <c r="H12" s="2" t="s">
        <v>72</v>
      </c>
      <c r="I12" s="2" t="s">
        <v>73</v>
      </c>
      <c r="J12" s="2" t="s">
        <v>98</v>
      </c>
      <c r="K12" s="2" t="s">
        <v>14358</v>
      </c>
      <c r="L12" s="2"/>
      <c r="M12" s="2"/>
      <c r="N12" s="2"/>
      <c r="O12" s="2" t="s">
        <v>72</v>
      </c>
      <c r="P12" s="2" t="s">
        <v>73</v>
      </c>
      <c r="Q12" s="2" t="s">
        <v>98</v>
      </c>
      <c r="R12" s="2" t="s">
        <v>14359</v>
      </c>
      <c r="S12" s="2" t="s">
        <v>44</v>
      </c>
      <c r="T12" s="2"/>
      <c r="U12" s="2" t="s">
        <v>821</v>
      </c>
      <c r="V12" s="2" t="s">
        <v>46</v>
      </c>
      <c r="W12" s="2" t="s">
        <v>821</v>
      </c>
      <c r="X12" s="2" t="s">
        <v>599</v>
      </c>
      <c r="Y12" s="2" t="s">
        <v>48</v>
      </c>
      <c r="Z12" s="2" t="s">
        <v>49</v>
      </c>
      <c r="AA12" s="2">
        <v>100</v>
      </c>
      <c r="AB12" s="2">
        <v>97</v>
      </c>
      <c r="AC12" s="2" t="s">
        <v>50</v>
      </c>
      <c r="AD12" s="2" t="s">
        <v>600</v>
      </c>
      <c r="AE12" s="2"/>
      <c r="AF12" s="2" t="s">
        <v>14289</v>
      </c>
      <c r="AG12" s="2" t="s">
        <v>14290</v>
      </c>
    </row>
    <row r="13" spans="1:33" x14ac:dyDescent="0.45">
      <c r="A13" s="2" t="s">
        <v>14360</v>
      </c>
      <c r="B13" s="2" t="s">
        <v>14361</v>
      </c>
      <c r="C13" s="2" t="s">
        <v>14362</v>
      </c>
      <c r="D13" s="2" t="s">
        <v>14363</v>
      </c>
      <c r="E13" s="2" t="s">
        <v>14364</v>
      </c>
      <c r="F13" s="2" t="s">
        <v>14365</v>
      </c>
      <c r="G13" s="2" t="s">
        <v>14365</v>
      </c>
      <c r="H13" s="2" t="s">
        <v>290</v>
      </c>
      <c r="I13" s="2" t="s">
        <v>278</v>
      </c>
      <c r="J13" s="2" t="s">
        <v>291</v>
      </c>
      <c r="K13" s="2" t="s">
        <v>14366</v>
      </c>
      <c r="L13" s="2"/>
      <c r="M13" s="2"/>
      <c r="N13" s="2"/>
      <c r="O13" s="2" t="s">
        <v>290</v>
      </c>
      <c r="P13" s="2" t="s">
        <v>278</v>
      </c>
      <c r="Q13" s="2" t="s">
        <v>291</v>
      </c>
      <c r="R13" s="2" t="s">
        <v>14367</v>
      </c>
      <c r="S13" s="2" t="s">
        <v>44</v>
      </c>
      <c r="T13" s="2"/>
      <c r="U13" s="2" t="s">
        <v>821</v>
      </c>
      <c r="V13" s="2" t="s">
        <v>46</v>
      </c>
      <c r="W13" s="2" t="s">
        <v>821</v>
      </c>
      <c r="X13" s="2" t="s">
        <v>294</v>
      </c>
      <c r="Y13" s="2" t="s">
        <v>48</v>
      </c>
      <c r="Z13" s="2" t="s">
        <v>49</v>
      </c>
      <c r="AA13" s="2">
        <v>100</v>
      </c>
      <c r="AB13" s="2">
        <v>97</v>
      </c>
      <c r="AC13" s="2" t="s">
        <v>50</v>
      </c>
      <c r="AD13" s="2" t="s">
        <v>295</v>
      </c>
      <c r="AE13" s="2"/>
      <c r="AF13" s="2" t="s">
        <v>14289</v>
      </c>
      <c r="AG13" s="2" t="s">
        <v>14290</v>
      </c>
    </row>
    <row r="14" spans="1:33" x14ac:dyDescent="0.45">
      <c r="A14" s="2" t="s">
        <v>14368</v>
      </c>
      <c r="B14" s="2" t="s">
        <v>14369</v>
      </c>
      <c r="C14" s="2" t="s">
        <v>14370</v>
      </c>
      <c r="D14" s="2" t="s">
        <v>14371</v>
      </c>
      <c r="E14" s="2" t="s">
        <v>14372</v>
      </c>
      <c r="F14" s="2" t="s">
        <v>14373</v>
      </c>
      <c r="G14" s="2" t="s">
        <v>14373</v>
      </c>
      <c r="H14" s="2" t="s">
        <v>72</v>
      </c>
      <c r="I14" s="2" t="s">
        <v>73</v>
      </c>
      <c r="J14" s="2" t="s">
        <v>140</v>
      </c>
      <c r="K14" s="2" t="s">
        <v>14371</v>
      </c>
      <c r="L14" s="2" t="s">
        <v>14374</v>
      </c>
      <c r="M14" s="2" t="s">
        <v>14375</v>
      </c>
      <c r="N14" s="2" t="s">
        <v>14375</v>
      </c>
      <c r="O14" s="2" t="s">
        <v>72</v>
      </c>
      <c r="P14" s="2" t="s">
        <v>73</v>
      </c>
      <c r="Q14" s="2" t="s">
        <v>140</v>
      </c>
      <c r="R14" s="2" t="s">
        <v>7916</v>
      </c>
      <c r="S14" s="2" t="s">
        <v>44</v>
      </c>
      <c r="T14" s="2"/>
      <c r="U14" s="2" t="s">
        <v>821</v>
      </c>
      <c r="V14" s="2" t="s">
        <v>46</v>
      </c>
      <c r="W14" s="2" t="s">
        <v>821</v>
      </c>
      <c r="X14" s="2" t="s">
        <v>445</v>
      </c>
      <c r="Y14" s="2" t="s">
        <v>48</v>
      </c>
      <c r="Z14" s="2" t="s">
        <v>49</v>
      </c>
      <c r="AA14" s="2">
        <v>100</v>
      </c>
      <c r="AB14" s="2">
        <v>97</v>
      </c>
      <c r="AC14" s="2" t="s">
        <v>50</v>
      </c>
      <c r="AD14" s="2" t="s">
        <v>446</v>
      </c>
      <c r="AE14" s="2"/>
      <c r="AF14" s="2" t="s">
        <v>14289</v>
      </c>
      <c r="AG14" s="2" t="s">
        <v>14290</v>
      </c>
    </row>
    <row r="15" spans="1:33" x14ac:dyDescent="0.45">
      <c r="A15" s="2" t="s">
        <v>746</v>
      </c>
      <c r="B15" s="2" t="s">
        <v>14376</v>
      </c>
      <c r="C15" s="2" t="s">
        <v>14377</v>
      </c>
      <c r="D15" s="2" t="s">
        <v>14378</v>
      </c>
      <c r="E15" s="2" t="s">
        <v>14379</v>
      </c>
      <c r="F15" s="2" t="s">
        <v>14380</v>
      </c>
      <c r="G15" s="2" t="s">
        <v>14380</v>
      </c>
      <c r="H15" s="2" t="s">
        <v>72</v>
      </c>
      <c r="I15" s="2" t="s">
        <v>73</v>
      </c>
      <c r="J15" s="2" t="s">
        <v>373</v>
      </c>
      <c r="K15" s="2" t="s">
        <v>14381</v>
      </c>
      <c r="L15" s="2"/>
      <c r="M15" s="2"/>
      <c r="N15" s="2"/>
      <c r="O15" s="2" t="s">
        <v>72</v>
      </c>
      <c r="P15" s="2" t="s">
        <v>73</v>
      </c>
      <c r="Q15" s="2" t="s">
        <v>373</v>
      </c>
      <c r="R15" s="2" t="s">
        <v>14382</v>
      </c>
      <c r="S15" s="2" t="s">
        <v>44</v>
      </c>
      <c r="T15" s="2"/>
      <c r="U15" s="2" t="s">
        <v>821</v>
      </c>
      <c r="V15" s="2" t="s">
        <v>199</v>
      </c>
      <c r="W15" s="2" t="s">
        <v>821</v>
      </c>
      <c r="X15" s="2" t="s">
        <v>753</v>
      </c>
      <c r="Y15" s="2" t="s">
        <v>48</v>
      </c>
      <c r="Z15" s="2" t="s">
        <v>49</v>
      </c>
      <c r="AA15" s="2">
        <v>100</v>
      </c>
      <c r="AB15" s="2">
        <v>97</v>
      </c>
      <c r="AC15" s="2" t="s">
        <v>50</v>
      </c>
      <c r="AD15" s="2" t="s">
        <v>754</v>
      </c>
      <c r="AE15" s="2"/>
      <c r="AF15" s="2" t="s">
        <v>14289</v>
      </c>
      <c r="AG15" s="2" t="s">
        <v>14290</v>
      </c>
    </row>
    <row r="16" spans="1:33" x14ac:dyDescent="0.45">
      <c r="A16" s="2" t="s">
        <v>14383</v>
      </c>
      <c r="B16" s="2" t="s">
        <v>14384</v>
      </c>
      <c r="C16" s="2" t="s">
        <v>14385</v>
      </c>
      <c r="D16" s="2" t="s">
        <v>14386</v>
      </c>
      <c r="E16" s="2" t="s">
        <v>14387</v>
      </c>
      <c r="F16" s="2" t="s">
        <v>14388</v>
      </c>
      <c r="G16" s="2" t="s">
        <v>14388</v>
      </c>
      <c r="H16" s="2" t="s">
        <v>72</v>
      </c>
      <c r="I16" s="2" t="s">
        <v>73</v>
      </c>
      <c r="J16" s="2" t="s">
        <v>74</v>
      </c>
      <c r="K16" s="2" t="s">
        <v>14389</v>
      </c>
      <c r="L16" s="2"/>
      <c r="M16" s="2"/>
      <c r="N16" s="2"/>
      <c r="O16" s="2" t="s">
        <v>312</v>
      </c>
      <c r="P16" s="2" t="s">
        <v>313</v>
      </c>
      <c r="Q16" s="2" t="s">
        <v>314</v>
      </c>
      <c r="R16" s="2" t="s">
        <v>14390</v>
      </c>
      <c r="S16" s="2" t="s">
        <v>44</v>
      </c>
      <c r="T16" s="2"/>
      <c r="U16" s="2" t="s">
        <v>821</v>
      </c>
      <c r="V16" s="2" t="s">
        <v>46</v>
      </c>
      <c r="W16" s="2" t="s">
        <v>821</v>
      </c>
      <c r="X16" s="2" t="s">
        <v>506</v>
      </c>
      <c r="Y16" s="2" t="s">
        <v>48</v>
      </c>
      <c r="Z16" s="2" t="s">
        <v>49</v>
      </c>
      <c r="AA16" s="2">
        <v>100</v>
      </c>
      <c r="AB16" s="2">
        <v>97</v>
      </c>
      <c r="AC16" s="2" t="s">
        <v>50</v>
      </c>
      <c r="AD16" s="2" t="s">
        <v>507</v>
      </c>
      <c r="AE16" s="2"/>
      <c r="AF16" s="2" t="s">
        <v>14289</v>
      </c>
      <c r="AG16" s="2" t="s">
        <v>14290</v>
      </c>
    </row>
    <row r="17" spans="1:33" x14ac:dyDescent="0.45">
      <c r="A17" s="2" t="s">
        <v>14391</v>
      </c>
      <c r="B17" s="2" t="s">
        <v>14392</v>
      </c>
      <c r="C17" s="2" t="s">
        <v>420</v>
      </c>
      <c r="D17" s="2" t="s">
        <v>14393</v>
      </c>
      <c r="E17" s="2" t="s">
        <v>422</v>
      </c>
      <c r="F17" s="2" t="s">
        <v>14394</v>
      </c>
      <c r="G17" s="2" t="s">
        <v>14394</v>
      </c>
      <c r="H17" s="2" t="s">
        <v>424</v>
      </c>
      <c r="I17" s="2" t="s">
        <v>217</v>
      </c>
      <c r="J17" s="2" t="s">
        <v>218</v>
      </c>
      <c r="K17" s="2" t="s">
        <v>14393</v>
      </c>
      <c r="L17" s="2"/>
      <c r="M17" s="2"/>
      <c r="N17" s="2"/>
      <c r="O17" s="2" t="s">
        <v>424</v>
      </c>
      <c r="P17" s="2" t="s">
        <v>217</v>
      </c>
      <c r="Q17" s="2" t="s">
        <v>218</v>
      </c>
      <c r="R17" s="2" t="s">
        <v>14395</v>
      </c>
      <c r="S17" s="2" t="s">
        <v>44</v>
      </c>
      <c r="T17" s="2"/>
      <c r="U17" s="2" t="s">
        <v>821</v>
      </c>
      <c r="V17" s="2" t="s">
        <v>46</v>
      </c>
      <c r="W17" s="2" t="s">
        <v>821</v>
      </c>
      <c r="X17" s="2" t="s">
        <v>427</v>
      </c>
      <c r="Y17" s="2" t="s">
        <v>48</v>
      </c>
      <c r="Z17" s="2" t="s">
        <v>49</v>
      </c>
      <c r="AA17" s="2">
        <v>100</v>
      </c>
      <c r="AB17" s="2">
        <v>97</v>
      </c>
      <c r="AC17" s="2" t="s">
        <v>50</v>
      </c>
      <c r="AD17" s="2" t="s">
        <v>428</v>
      </c>
      <c r="AE17" s="2"/>
      <c r="AF17" s="2" t="s">
        <v>14289</v>
      </c>
      <c r="AG17" s="2" t="s">
        <v>14290</v>
      </c>
    </row>
    <row r="18" spans="1:33" x14ac:dyDescent="0.45">
      <c r="A18" s="2" t="s">
        <v>14396</v>
      </c>
      <c r="B18" s="2" t="s">
        <v>14397</v>
      </c>
      <c r="C18" s="2" t="s">
        <v>14398</v>
      </c>
      <c r="D18" s="2" t="s">
        <v>14399</v>
      </c>
      <c r="E18" s="2" t="s">
        <v>14400</v>
      </c>
      <c r="F18" s="2" t="s">
        <v>14401</v>
      </c>
      <c r="G18" s="2" t="s">
        <v>14401</v>
      </c>
      <c r="H18" s="2" t="s">
        <v>536</v>
      </c>
      <c r="I18" s="2" t="s">
        <v>1281</v>
      </c>
      <c r="J18" s="2" t="s">
        <v>641</v>
      </c>
      <c r="K18" s="2" t="s">
        <v>14402</v>
      </c>
      <c r="L18" s="2"/>
      <c r="M18" s="2"/>
      <c r="N18" s="2"/>
      <c r="O18" s="2" t="s">
        <v>536</v>
      </c>
      <c r="P18" s="2" t="s">
        <v>1281</v>
      </c>
      <c r="Q18" s="2" t="s">
        <v>1818</v>
      </c>
      <c r="R18" s="2" t="s">
        <v>14403</v>
      </c>
      <c r="S18" s="2" t="s">
        <v>44</v>
      </c>
      <c r="T18" s="2"/>
      <c r="U18" s="2" t="s">
        <v>821</v>
      </c>
      <c r="V18" s="2" t="s">
        <v>46</v>
      </c>
      <c r="W18" s="2" t="s">
        <v>821</v>
      </c>
      <c r="X18" s="2" t="s">
        <v>693</v>
      </c>
      <c r="Y18" s="2" t="s">
        <v>48</v>
      </c>
      <c r="Z18" s="2" t="s">
        <v>49</v>
      </c>
      <c r="AA18" s="2">
        <v>100</v>
      </c>
      <c r="AB18" s="2">
        <v>97</v>
      </c>
      <c r="AC18" s="2" t="s">
        <v>50</v>
      </c>
      <c r="AD18" s="2" t="s">
        <v>694</v>
      </c>
      <c r="AE18" s="2"/>
      <c r="AF18" s="2" t="s">
        <v>14289</v>
      </c>
      <c r="AG18" s="2" t="s">
        <v>14290</v>
      </c>
    </row>
    <row r="19" spans="1:33" x14ac:dyDescent="0.45">
      <c r="A19" s="2" t="s">
        <v>14404</v>
      </c>
      <c r="B19" s="2" t="s">
        <v>14405</v>
      </c>
      <c r="C19" s="2" t="s">
        <v>14406</v>
      </c>
      <c r="D19" s="2" t="s">
        <v>14407</v>
      </c>
      <c r="E19" s="2" t="s">
        <v>14408</v>
      </c>
      <c r="F19" s="2" t="s">
        <v>14409</v>
      </c>
      <c r="G19" s="2" t="s">
        <v>14409</v>
      </c>
      <c r="H19" s="2" t="s">
        <v>536</v>
      </c>
      <c r="I19" s="2" t="s">
        <v>1281</v>
      </c>
      <c r="J19" s="2" t="s">
        <v>1428</v>
      </c>
      <c r="K19" s="2" t="s">
        <v>14410</v>
      </c>
      <c r="L19" s="2"/>
      <c r="M19" s="2"/>
      <c r="N19" s="2"/>
      <c r="O19" s="2"/>
      <c r="P19" s="2" t="s">
        <v>1281</v>
      </c>
      <c r="Q19" s="2" t="s">
        <v>1428</v>
      </c>
      <c r="R19" s="2" t="s">
        <v>14411</v>
      </c>
      <c r="S19" s="2" t="s">
        <v>44</v>
      </c>
      <c r="T19" s="2"/>
      <c r="U19" s="2" t="s">
        <v>821</v>
      </c>
      <c r="V19" s="2" t="s">
        <v>46</v>
      </c>
      <c r="W19" s="2" t="s">
        <v>821</v>
      </c>
      <c r="X19" s="2" t="s">
        <v>540</v>
      </c>
      <c r="Y19" s="2" t="s">
        <v>48</v>
      </c>
      <c r="Z19" s="2" t="s">
        <v>49</v>
      </c>
      <c r="AA19" s="2">
        <v>100</v>
      </c>
      <c r="AB19" s="2">
        <v>97</v>
      </c>
      <c r="AC19" s="2" t="s">
        <v>50</v>
      </c>
      <c r="AD19" s="2" t="s">
        <v>541</v>
      </c>
      <c r="AE19" s="2"/>
      <c r="AF19" s="2" t="s">
        <v>14289</v>
      </c>
      <c r="AG19" s="2" t="s">
        <v>14290</v>
      </c>
    </row>
    <row r="20" spans="1:33" x14ac:dyDescent="0.45">
      <c r="A20" s="2" t="s">
        <v>14412</v>
      </c>
      <c r="B20" s="2" t="s">
        <v>14413</v>
      </c>
      <c r="C20" s="2" t="s">
        <v>14414</v>
      </c>
      <c r="D20" s="2" t="s">
        <v>14415</v>
      </c>
      <c r="E20" s="2" t="s">
        <v>14416</v>
      </c>
      <c r="F20" s="2" t="s">
        <v>14417</v>
      </c>
      <c r="G20" s="2" t="s">
        <v>14417</v>
      </c>
      <c r="H20" s="2" t="s">
        <v>59</v>
      </c>
      <c r="I20" s="2" t="s">
        <v>60</v>
      </c>
      <c r="J20" s="2" t="s">
        <v>108</v>
      </c>
      <c r="K20" s="2" t="s">
        <v>14418</v>
      </c>
      <c r="L20" s="2"/>
      <c r="M20" s="2"/>
      <c r="N20" s="2"/>
      <c r="O20" s="2" t="s">
        <v>59</v>
      </c>
      <c r="P20" s="2" t="s">
        <v>60</v>
      </c>
      <c r="Q20" s="2" t="s">
        <v>108</v>
      </c>
      <c r="R20" s="2" t="s">
        <v>14419</v>
      </c>
      <c r="S20" s="2" t="s">
        <v>44</v>
      </c>
      <c r="T20" s="2"/>
      <c r="U20" s="2" t="s">
        <v>821</v>
      </c>
      <c r="V20" s="2" t="s">
        <v>46</v>
      </c>
      <c r="W20" s="2" t="s">
        <v>821</v>
      </c>
      <c r="X20" s="2" t="s">
        <v>111</v>
      </c>
      <c r="Y20" s="2" t="s">
        <v>48</v>
      </c>
      <c r="Z20" s="2" t="s">
        <v>49</v>
      </c>
      <c r="AA20" s="2">
        <v>100</v>
      </c>
      <c r="AB20" s="2">
        <v>97</v>
      </c>
      <c r="AC20" s="2" t="s">
        <v>50</v>
      </c>
      <c r="AD20" s="2" t="s">
        <v>112</v>
      </c>
      <c r="AE20" s="2"/>
      <c r="AF20" s="2" t="s">
        <v>14289</v>
      </c>
      <c r="AG20" s="2" t="s">
        <v>14290</v>
      </c>
    </row>
    <row r="21" spans="1:33" x14ac:dyDescent="0.45">
      <c r="A21" s="2" t="s">
        <v>14420</v>
      </c>
      <c r="B21" s="2" t="s">
        <v>14421</v>
      </c>
      <c r="C21" s="2" t="s">
        <v>262</v>
      </c>
      <c r="D21" s="2" t="s">
        <v>14422</v>
      </c>
      <c r="E21" s="2" t="s">
        <v>264</v>
      </c>
      <c r="F21" s="2" t="s">
        <v>14423</v>
      </c>
      <c r="G21" s="2" t="s">
        <v>14423</v>
      </c>
      <c r="H21" s="2" t="s">
        <v>59</v>
      </c>
      <c r="I21" s="2" t="s">
        <v>60</v>
      </c>
      <c r="J21" s="2" t="s">
        <v>266</v>
      </c>
      <c r="K21" s="2" t="s">
        <v>14424</v>
      </c>
      <c r="L21" s="2"/>
      <c r="M21" s="2"/>
      <c r="N21" s="2"/>
      <c r="O21" s="2" t="s">
        <v>59</v>
      </c>
      <c r="P21" s="2" t="s">
        <v>60</v>
      </c>
      <c r="Q21" s="2" t="s">
        <v>266</v>
      </c>
      <c r="R21" s="2" t="s">
        <v>14425</v>
      </c>
      <c r="S21" s="2" t="s">
        <v>44</v>
      </c>
      <c r="T21" s="2"/>
      <c r="U21" s="2" t="s">
        <v>821</v>
      </c>
      <c r="V21" s="2" t="s">
        <v>46</v>
      </c>
      <c r="W21" s="2" t="s">
        <v>821</v>
      </c>
      <c r="X21" s="2" t="s">
        <v>269</v>
      </c>
      <c r="Y21" s="2" t="s">
        <v>48</v>
      </c>
      <c r="Z21" s="2" t="s">
        <v>49</v>
      </c>
      <c r="AA21" s="2">
        <v>100</v>
      </c>
      <c r="AB21" s="2">
        <v>97</v>
      </c>
      <c r="AC21" s="2" t="s">
        <v>50</v>
      </c>
      <c r="AD21" s="2" t="s">
        <v>270</v>
      </c>
      <c r="AE21" s="2"/>
      <c r="AF21" s="2" t="s">
        <v>14289</v>
      </c>
      <c r="AG21" s="2" t="s">
        <v>14290</v>
      </c>
    </row>
    <row r="22" spans="1:33" x14ac:dyDescent="0.45">
      <c r="A22" s="2" t="s">
        <v>14426</v>
      </c>
      <c r="B22" s="2" t="s">
        <v>14427</v>
      </c>
      <c r="C22" s="2" t="s">
        <v>14428</v>
      </c>
      <c r="D22" s="2" t="s">
        <v>14429</v>
      </c>
      <c r="E22" s="2" t="s">
        <v>627</v>
      </c>
      <c r="F22" s="2" t="s">
        <v>14430</v>
      </c>
      <c r="G22" s="2" t="s">
        <v>14430</v>
      </c>
      <c r="H22" s="2" t="s">
        <v>651</v>
      </c>
      <c r="I22" s="2" t="s">
        <v>86</v>
      </c>
      <c r="J22" s="2" t="s">
        <v>629</v>
      </c>
      <c r="K22" s="2" t="s">
        <v>14431</v>
      </c>
      <c r="L22" s="2"/>
      <c r="M22" s="2"/>
      <c r="N22" s="2"/>
      <c r="O22" s="2" t="s">
        <v>39</v>
      </c>
      <c r="P22" s="2" t="s">
        <v>40</v>
      </c>
      <c r="Q22" s="2" t="s">
        <v>41</v>
      </c>
      <c r="R22" s="2" t="s">
        <v>1367</v>
      </c>
      <c r="S22" s="2" t="s">
        <v>44</v>
      </c>
      <c r="T22" s="2"/>
      <c r="U22" s="2" t="s">
        <v>821</v>
      </c>
      <c r="V22" s="2" t="s">
        <v>46</v>
      </c>
      <c r="W22" s="2" t="s">
        <v>821</v>
      </c>
      <c r="X22" s="2" t="s">
        <v>633</v>
      </c>
      <c r="Y22" s="2" t="s">
        <v>48</v>
      </c>
      <c r="Z22" s="2" t="s">
        <v>49</v>
      </c>
      <c r="AA22" s="2">
        <v>100</v>
      </c>
      <c r="AB22" s="2">
        <v>97</v>
      </c>
      <c r="AC22" s="2" t="s">
        <v>50</v>
      </c>
      <c r="AD22" s="2" t="s">
        <v>634</v>
      </c>
      <c r="AE22" s="2"/>
      <c r="AF22" s="2" t="s">
        <v>14289</v>
      </c>
      <c r="AG22" s="2" t="s">
        <v>14290</v>
      </c>
    </row>
    <row r="23" spans="1:33" x14ac:dyDescent="0.45">
      <c r="A23" s="2" t="s">
        <v>14432</v>
      </c>
      <c r="B23" s="2" t="s">
        <v>14433</v>
      </c>
      <c r="C23" s="2" t="s">
        <v>14434</v>
      </c>
      <c r="D23" s="2" t="s">
        <v>14435</v>
      </c>
      <c r="E23" s="2" t="s">
        <v>14436</v>
      </c>
      <c r="F23" s="2" t="s">
        <v>14437</v>
      </c>
      <c r="G23" s="2" t="s">
        <v>14437</v>
      </c>
      <c r="H23" s="2" t="s">
        <v>174</v>
      </c>
      <c r="I23" s="2" t="s">
        <v>175</v>
      </c>
      <c r="J23" s="2" t="s">
        <v>772</v>
      </c>
      <c r="K23" s="2" t="s">
        <v>14435</v>
      </c>
      <c r="L23" s="2"/>
      <c r="M23" s="2"/>
      <c r="N23" s="2"/>
      <c r="O23" s="2" t="s">
        <v>174</v>
      </c>
      <c r="P23" s="2" t="s">
        <v>175</v>
      </c>
      <c r="Q23" s="2" t="s">
        <v>772</v>
      </c>
      <c r="R23" s="2" t="s">
        <v>3798</v>
      </c>
      <c r="S23" s="2" t="s">
        <v>44</v>
      </c>
      <c r="T23" s="2"/>
      <c r="U23" s="2" t="s">
        <v>821</v>
      </c>
      <c r="V23" s="2" t="s">
        <v>46</v>
      </c>
      <c r="W23" s="2" t="s">
        <v>821</v>
      </c>
      <c r="X23" s="2" t="s">
        <v>774</v>
      </c>
      <c r="Y23" s="2" t="s">
        <v>48</v>
      </c>
      <c r="Z23" s="2" t="s">
        <v>49</v>
      </c>
      <c r="AA23" s="2">
        <v>100</v>
      </c>
      <c r="AB23" s="2">
        <v>97</v>
      </c>
      <c r="AC23" s="2" t="s">
        <v>50</v>
      </c>
      <c r="AD23" s="2" t="s">
        <v>775</v>
      </c>
      <c r="AE23" s="2"/>
      <c r="AF23" s="2" t="s">
        <v>14289</v>
      </c>
      <c r="AG23" s="2" t="s">
        <v>14290</v>
      </c>
    </row>
    <row r="24" spans="1:33" x14ac:dyDescent="0.45">
      <c r="A24" s="2" t="s">
        <v>14438</v>
      </c>
      <c r="B24" s="2" t="s">
        <v>14439</v>
      </c>
      <c r="C24" s="2" t="s">
        <v>14440</v>
      </c>
      <c r="D24" s="2" t="s">
        <v>14441</v>
      </c>
      <c r="E24" s="2" t="s">
        <v>14442</v>
      </c>
      <c r="F24" s="2" t="s">
        <v>14443</v>
      </c>
      <c r="G24" s="2" t="s">
        <v>14443</v>
      </c>
      <c r="H24" s="2" t="s">
        <v>72</v>
      </c>
      <c r="I24" s="2" t="s">
        <v>73</v>
      </c>
      <c r="J24" s="2" t="s">
        <v>791</v>
      </c>
      <c r="K24" s="2" t="s">
        <v>14444</v>
      </c>
      <c r="L24" s="2"/>
      <c r="M24" s="2"/>
      <c r="N24" s="2"/>
      <c r="O24" s="2" t="s">
        <v>72</v>
      </c>
      <c r="P24" s="2" t="s">
        <v>73</v>
      </c>
      <c r="Q24" s="2" t="s">
        <v>791</v>
      </c>
      <c r="R24" s="2" t="s">
        <v>1661</v>
      </c>
      <c r="S24" s="2" t="s">
        <v>44</v>
      </c>
      <c r="T24" s="2"/>
      <c r="U24" s="2" t="s">
        <v>821</v>
      </c>
      <c r="V24" s="2" t="s">
        <v>46</v>
      </c>
      <c r="W24" s="2" t="s">
        <v>821</v>
      </c>
      <c r="X24" s="2" t="s">
        <v>793</v>
      </c>
      <c r="Y24" s="2" t="s">
        <v>48</v>
      </c>
      <c r="Z24" s="2" t="s">
        <v>49</v>
      </c>
      <c r="AA24" s="2">
        <v>100</v>
      </c>
      <c r="AB24" s="2">
        <v>97</v>
      </c>
      <c r="AC24" s="2" t="s">
        <v>50</v>
      </c>
      <c r="AD24" s="2" t="s">
        <v>794</v>
      </c>
      <c r="AE24" s="2"/>
      <c r="AF24" s="2" t="s">
        <v>14289</v>
      </c>
      <c r="AG24" s="2" t="s">
        <v>14290</v>
      </c>
    </row>
    <row r="25" spans="1:33" x14ac:dyDescent="0.45">
      <c r="A25" s="2" t="s">
        <v>14445</v>
      </c>
      <c r="B25" s="2" t="s">
        <v>14446</v>
      </c>
      <c r="C25" s="2" t="s">
        <v>14447</v>
      </c>
      <c r="D25" s="2" t="s">
        <v>14448</v>
      </c>
      <c r="E25" s="2" t="s">
        <v>14449</v>
      </c>
      <c r="F25" s="2" t="s">
        <v>14450</v>
      </c>
      <c r="G25" s="2" t="s">
        <v>14450</v>
      </c>
      <c r="H25" s="2" t="s">
        <v>59</v>
      </c>
      <c r="I25" s="2" t="s">
        <v>60</v>
      </c>
      <c r="J25" s="2" t="s">
        <v>151</v>
      </c>
      <c r="K25" s="2" t="s">
        <v>14451</v>
      </c>
      <c r="L25" s="2"/>
      <c r="M25" s="2"/>
      <c r="N25" s="2"/>
      <c r="O25" s="2" t="s">
        <v>59</v>
      </c>
      <c r="P25" s="2" t="s">
        <v>60</v>
      </c>
      <c r="Q25" s="2" t="s">
        <v>151</v>
      </c>
      <c r="R25" s="2" t="s">
        <v>1780</v>
      </c>
      <c r="S25" s="2" t="s">
        <v>44</v>
      </c>
      <c r="T25" s="2"/>
      <c r="U25" s="2" t="s">
        <v>821</v>
      </c>
      <c r="V25" s="2" t="s">
        <v>46</v>
      </c>
      <c r="W25" s="2" t="s">
        <v>821</v>
      </c>
      <c r="X25" s="2" t="s">
        <v>154</v>
      </c>
      <c r="Y25" s="2" t="s">
        <v>48</v>
      </c>
      <c r="Z25" s="2" t="s">
        <v>49</v>
      </c>
      <c r="AA25" s="2">
        <v>100</v>
      </c>
      <c r="AB25" s="2">
        <v>97</v>
      </c>
      <c r="AC25" s="2" t="s">
        <v>50</v>
      </c>
      <c r="AD25" s="2" t="s">
        <v>155</v>
      </c>
      <c r="AE25" s="2"/>
      <c r="AF25" s="2" t="s">
        <v>14289</v>
      </c>
      <c r="AG25" s="2" t="s">
        <v>14290</v>
      </c>
    </row>
    <row r="26" spans="1:33" x14ac:dyDescent="0.45">
      <c r="A26" s="2" t="s">
        <v>14452</v>
      </c>
      <c r="B26" s="2" t="s">
        <v>14453</v>
      </c>
      <c r="C26" s="2" t="s">
        <v>14454</v>
      </c>
      <c r="D26" s="2" t="s">
        <v>14455</v>
      </c>
      <c r="E26" s="2" t="s">
        <v>117</v>
      </c>
      <c r="F26" s="2" t="s">
        <v>118</v>
      </c>
      <c r="G26" s="2" t="s">
        <v>118</v>
      </c>
      <c r="H26" s="2" t="s">
        <v>72</v>
      </c>
      <c r="I26" s="2" t="s">
        <v>73</v>
      </c>
      <c r="J26" s="2" t="s">
        <v>119</v>
      </c>
      <c r="K26" s="2" t="s">
        <v>14456</v>
      </c>
      <c r="L26" s="2"/>
      <c r="M26" s="2"/>
      <c r="N26" s="2"/>
      <c r="O26" s="2" t="s">
        <v>72</v>
      </c>
      <c r="P26" s="2" t="s">
        <v>73</v>
      </c>
      <c r="Q26" s="2" t="s">
        <v>98</v>
      </c>
      <c r="R26" s="2" t="s">
        <v>14457</v>
      </c>
      <c r="S26" s="2" t="s">
        <v>44</v>
      </c>
      <c r="T26" s="2"/>
      <c r="U26" s="2" t="s">
        <v>821</v>
      </c>
      <c r="V26" s="2" t="s">
        <v>46</v>
      </c>
      <c r="W26" s="2" t="s">
        <v>821</v>
      </c>
      <c r="X26" s="2" t="s">
        <v>122</v>
      </c>
      <c r="Y26" s="2" t="s">
        <v>48</v>
      </c>
      <c r="Z26" s="2" t="s">
        <v>49</v>
      </c>
      <c r="AA26" s="2">
        <v>100</v>
      </c>
      <c r="AB26" s="2">
        <v>97</v>
      </c>
      <c r="AC26" s="2" t="s">
        <v>50</v>
      </c>
      <c r="AD26" s="2" t="s">
        <v>123</v>
      </c>
      <c r="AE26" s="2"/>
      <c r="AF26" s="2" t="s">
        <v>14289</v>
      </c>
      <c r="AG26" s="2" t="s">
        <v>14290</v>
      </c>
    </row>
    <row r="27" spans="1:33" x14ac:dyDescent="0.45">
      <c r="A27" s="2" t="s">
        <v>14458</v>
      </c>
      <c r="B27" s="2" t="s">
        <v>14459</v>
      </c>
      <c r="C27" s="2" t="s">
        <v>14460</v>
      </c>
      <c r="D27" s="2" t="s">
        <v>14461</v>
      </c>
      <c r="E27" s="2" t="s">
        <v>14462</v>
      </c>
      <c r="F27" s="2" t="s">
        <v>14463</v>
      </c>
      <c r="G27" s="2" t="s">
        <v>14463</v>
      </c>
      <c r="H27" s="2" t="s">
        <v>59</v>
      </c>
      <c r="I27" s="2" t="s">
        <v>60</v>
      </c>
      <c r="J27" s="2" t="s">
        <v>151</v>
      </c>
      <c r="K27" s="2" t="s">
        <v>14464</v>
      </c>
      <c r="L27" s="2"/>
      <c r="M27" s="2"/>
      <c r="N27" s="2"/>
      <c r="O27" s="2" t="s">
        <v>59</v>
      </c>
      <c r="P27" s="2" t="s">
        <v>60</v>
      </c>
      <c r="Q27" s="2" t="s">
        <v>151</v>
      </c>
      <c r="R27" s="2" t="s">
        <v>14465</v>
      </c>
      <c r="S27" s="2" t="s">
        <v>44</v>
      </c>
      <c r="T27" s="2"/>
      <c r="U27" s="2" t="s">
        <v>821</v>
      </c>
      <c r="V27" s="2" t="s">
        <v>46</v>
      </c>
      <c r="W27" s="2" t="s">
        <v>821</v>
      </c>
      <c r="X27" s="2" t="s">
        <v>366</v>
      </c>
      <c r="Y27" s="2" t="s">
        <v>48</v>
      </c>
      <c r="Z27" s="2" t="s">
        <v>49</v>
      </c>
      <c r="AA27" s="2">
        <v>100</v>
      </c>
      <c r="AB27" s="2">
        <v>97</v>
      </c>
      <c r="AC27" s="2" t="s">
        <v>50</v>
      </c>
      <c r="AD27" s="2" t="s">
        <v>367</v>
      </c>
      <c r="AE27" s="2"/>
      <c r="AF27" s="2" t="s">
        <v>14289</v>
      </c>
      <c r="AG27" s="2" t="s">
        <v>14290</v>
      </c>
    </row>
    <row r="28" spans="1:33" x14ac:dyDescent="0.45">
      <c r="A28" s="2" t="s">
        <v>14466</v>
      </c>
      <c r="B28" s="2" t="s">
        <v>14467</v>
      </c>
      <c r="C28" s="2" t="s">
        <v>14468</v>
      </c>
      <c r="D28" s="2" t="s">
        <v>14469</v>
      </c>
      <c r="E28" s="2" t="s">
        <v>14470</v>
      </c>
      <c r="F28" s="2" t="s">
        <v>14471</v>
      </c>
      <c r="G28" s="2" t="s">
        <v>14471</v>
      </c>
      <c r="H28" s="2" t="s">
        <v>72</v>
      </c>
      <c r="I28" s="2" t="s">
        <v>73</v>
      </c>
      <c r="J28" s="2" t="s">
        <v>761</v>
      </c>
      <c r="K28" s="2" t="s">
        <v>14469</v>
      </c>
      <c r="L28" s="2"/>
      <c r="M28" s="2"/>
      <c r="N28" s="2"/>
      <c r="O28" s="2" t="s">
        <v>72</v>
      </c>
      <c r="P28" s="2" t="s">
        <v>73</v>
      </c>
      <c r="Q28" s="2" t="s">
        <v>761</v>
      </c>
      <c r="R28" s="2" t="s">
        <v>14472</v>
      </c>
      <c r="S28" s="2" t="s">
        <v>44</v>
      </c>
      <c r="T28" s="2"/>
      <c r="U28" s="2" t="s">
        <v>821</v>
      </c>
      <c r="V28" s="2" t="s">
        <v>199</v>
      </c>
      <c r="W28" s="2" t="s">
        <v>821</v>
      </c>
      <c r="X28" s="2" t="s">
        <v>764</v>
      </c>
      <c r="Y28" s="2" t="s">
        <v>48</v>
      </c>
      <c r="Z28" s="2" t="s">
        <v>49</v>
      </c>
      <c r="AA28" s="2">
        <v>100</v>
      </c>
      <c r="AB28" s="2">
        <v>97</v>
      </c>
      <c r="AC28" s="2" t="s">
        <v>50</v>
      </c>
      <c r="AD28" s="2" t="s">
        <v>765</v>
      </c>
      <c r="AE28" s="2"/>
      <c r="AF28" s="2" t="s">
        <v>14289</v>
      </c>
      <c r="AG28" s="2" t="s">
        <v>14290</v>
      </c>
    </row>
    <row r="29" spans="1:33" x14ac:dyDescent="0.45">
      <c r="A29" s="2" t="s">
        <v>14473</v>
      </c>
      <c r="B29" s="2" t="s">
        <v>14474</v>
      </c>
      <c r="C29" s="2" t="s">
        <v>14475</v>
      </c>
      <c r="D29" s="2" t="s">
        <v>14476</v>
      </c>
      <c r="E29" s="2" t="s">
        <v>14477</v>
      </c>
      <c r="F29" s="2" t="s">
        <v>14478</v>
      </c>
      <c r="G29" s="2" t="s">
        <v>14478</v>
      </c>
      <c r="H29" s="2" t="s">
        <v>72</v>
      </c>
      <c r="I29" s="2" t="s">
        <v>73</v>
      </c>
      <c r="J29" s="2" t="s">
        <v>162</v>
      </c>
      <c r="K29" s="2" t="s">
        <v>14479</v>
      </c>
      <c r="L29" s="2"/>
      <c r="M29" s="2"/>
      <c r="N29" s="2"/>
      <c r="O29" s="2" t="s">
        <v>72</v>
      </c>
      <c r="P29" s="2" t="s">
        <v>73</v>
      </c>
      <c r="Q29" s="2" t="s">
        <v>162</v>
      </c>
      <c r="R29" s="2" t="s">
        <v>14480</v>
      </c>
      <c r="S29" s="2" t="s">
        <v>44</v>
      </c>
      <c r="T29" s="2"/>
      <c r="U29" s="2" t="s">
        <v>821</v>
      </c>
      <c r="V29" s="2" t="s">
        <v>46</v>
      </c>
      <c r="W29" s="2" t="s">
        <v>821</v>
      </c>
      <c r="X29" s="2" t="s">
        <v>165</v>
      </c>
      <c r="Y29" s="2" t="s">
        <v>48</v>
      </c>
      <c r="Z29" s="2" t="s">
        <v>49</v>
      </c>
      <c r="AA29" s="2">
        <v>100</v>
      </c>
      <c r="AB29" s="2">
        <v>97</v>
      </c>
      <c r="AC29" s="2" t="s">
        <v>50</v>
      </c>
      <c r="AD29" s="2" t="s">
        <v>166</v>
      </c>
      <c r="AE29" s="2"/>
      <c r="AF29" s="2" t="s">
        <v>14289</v>
      </c>
      <c r="AG29" s="2" t="s">
        <v>14290</v>
      </c>
    </row>
    <row r="30" spans="1:33" x14ac:dyDescent="0.45">
      <c r="A30" s="2" t="s">
        <v>14481</v>
      </c>
      <c r="B30" s="2" t="s">
        <v>14482</v>
      </c>
      <c r="C30" s="2" t="s">
        <v>14483</v>
      </c>
      <c r="D30" s="2" t="s">
        <v>14484</v>
      </c>
      <c r="E30" s="2" t="s">
        <v>14485</v>
      </c>
      <c r="F30" s="2" t="s">
        <v>311</v>
      </c>
      <c r="G30" s="2" t="s">
        <v>311</v>
      </c>
      <c r="H30" s="2" t="s">
        <v>312</v>
      </c>
      <c r="I30" s="2" t="s">
        <v>313</v>
      </c>
      <c r="J30" s="2" t="s">
        <v>314</v>
      </c>
      <c r="K30" s="2" t="s">
        <v>14486</v>
      </c>
      <c r="L30" s="2"/>
      <c r="M30" s="2"/>
      <c r="N30" s="2"/>
      <c r="O30" s="2" t="s">
        <v>312</v>
      </c>
      <c r="P30" s="2" t="s">
        <v>313</v>
      </c>
      <c r="Q30" s="2" t="s">
        <v>314</v>
      </c>
      <c r="R30" s="2" t="s">
        <v>4541</v>
      </c>
      <c r="S30" s="2" t="s">
        <v>44</v>
      </c>
      <c r="T30" s="2"/>
      <c r="U30" s="2" t="s">
        <v>821</v>
      </c>
      <c r="V30" s="2" t="s">
        <v>46</v>
      </c>
      <c r="W30" s="2" t="s">
        <v>821</v>
      </c>
      <c r="X30" s="2" t="s">
        <v>316</v>
      </c>
      <c r="Y30" s="2" t="s">
        <v>48</v>
      </c>
      <c r="Z30" s="2" t="s">
        <v>49</v>
      </c>
      <c r="AA30" s="2">
        <v>100</v>
      </c>
      <c r="AB30" s="2">
        <v>97</v>
      </c>
      <c r="AC30" s="2" t="s">
        <v>50</v>
      </c>
      <c r="AD30" s="2" t="s">
        <v>317</v>
      </c>
      <c r="AE30" s="2"/>
      <c r="AF30" s="2" t="s">
        <v>14289</v>
      </c>
      <c r="AG30" s="2" t="s">
        <v>14290</v>
      </c>
    </row>
    <row r="31" spans="1:33" x14ac:dyDescent="0.45">
      <c r="A31" s="2" t="s">
        <v>447</v>
      </c>
      <c r="B31" s="2" t="s">
        <v>14487</v>
      </c>
      <c r="C31" s="2" t="s">
        <v>14488</v>
      </c>
      <c r="D31" s="2" t="s">
        <v>14489</v>
      </c>
      <c r="E31" s="2" t="s">
        <v>14490</v>
      </c>
      <c r="F31" s="2" t="s">
        <v>14491</v>
      </c>
      <c r="G31" s="2" t="s">
        <v>14491</v>
      </c>
      <c r="H31" s="2" t="s">
        <v>39</v>
      </c>
      <c r="I31" s="2" t="s">
        <v>40</v>
      </c>
      <c r="J31" s="2" t="s">
        <v>453</v>
      </c>
      <c r="K31" s="2" t="s">
        <v>14489</v>
      </c>
      <c r="L31" s="2"/>
      <c r="M31" s="2"/>
      <c r="N31" s="2"/>
      <c r="O31" s="2" t="s">
        <v>39</v>
      </c>
      <c r="P31" s="2" t="s">
        <v>40</v>
      </c>
      <c r="Q31" s="2" t="s">
        <v>453</v>
      </c>
      <c r="R31" s="2" t="s">
        <v>2316</v>
      </c>
      <c r="S31" s="2" t="s">
        <v>44</v>
      </c>
      <c r="T31" s="2"/>
      <c r="U31" s="2" t="s">
        <v>821</v>
      </c>
      <c r="V31" s="2" t="s">
        <v>199</v>
      </c>
      <c r="W31" s="2" t="s">
        <v>821</v>
      </c>
      <c r="X31" s="2" t="s">
        <v>456</v>
      </c>
      <c r="Y31" s="2" t="s">
        <v>48</v>
      </c>
      <c r="Z31" s="2" t="s">
        <v>49</v>
      </c>
      <c r="AA31" s="2">
        <v>100</v>
      </c>
      <c r="AB31" s="2">
        <v>97</v>
      </c>
      <c r="AC31" s="2" t="s">
        <v>50</v>
      </c>
      <c r="AD31" s="2" t="s">
        <v>457</v>
      </c>
      <c r="AE31" s="2"/>
      <c r="AF31" s="2" t="s">
        <v>14289</v>
      </c>
      <c r="AG31" s="2" t="s">
        <v>14290</v>
      </c>
    </row>
    <row r="32" spans="1:33" x14ac:dyDescent="0.45">
      <c r="A32" s="2" t="s">
        <v>656</v>
      </c>
      <c r="B32" s="2" t="s">
        <v>14492</v>
      </c>
      <c r="C32" s="2" t="s">
        <v>14493</v>
      </c>
      <c r="D32" s="2" t="s">
        <v>14494</v>
      </c>
      <c r="E32" s="2" t="s">
        <v>14495</v>
      </c>
      <c r="F32" s="2" t="s">
        <v>14496</v>
      </c>
      <c r="G32" s="2" t="s">
        <v>14496</v>
      </c>
      <c r="H32" s="2" t="s">
        <v>651</v>
      </c>
      <c r="I32" s="2" t="s">
        <v>86</v>
      </c>
      <c r="J32" s="2" t="s">
        <v>1507</v>
      </c>
      <c r="K32" s="2" t="s">
        <v>14494</v>
      </c>
      <c r="L32" s="2"/>
      <c r="M32" s="2"/>
      <c r="N32" s="2"/>
      <c r="O32" s="2" t="s">
        <v>651</v>
      </c>
      <c r="P32" s="2" t="s">
        <v>86</v>
      </c>
      <c r="Q32" s="2" t="s">
        <v>1507</v>
      </c>
      <c r="R32" s="2" t="s">
        <v>13574</v>
      </c>
      <c r="S32" s="2" t="s">
        <v>44</v>
      </c>
      <c r="T32" s="2"/>
      <c r="U32" s="2" t="s">
        <v>821</v>
      </c>
      <c r="V32" s="2" t="s">
        <v>199</v>
      </c>
      <c r="W32" s="2" t="s">
        <v>821</v>
      </c>
      <c r="X32" s="2" t="s">
        <v>663</v>
      </c>
      <c r="Y32" s="2" t="s">
        <v>48</v>
      </c>
      <c r="Z32" s="2" t="s">
        <v>49</v>
      </c>
      <c r="AA32" s="2">
        <v>100</v>
      </c>
      <c r="AB32" s="2">
        <v>97</v>
      </c>
      <c r="AC32" s="2" t="s">
        <v>50</v>
      </c>
      <c r="AD32" s="2" t="s">
        <v>664</v>
      </c>
      <c r="AE32" s="2"/>
      <c r="AF32" s="2" t="s">
        <v>14289</v>
      </c>
      <c r="AG32" s="2" t="s">
        <v>14290</v>
      </c>
    </row>
    <row r="33" spans="1:33" x14ac:dyDescent="0.45">
      <c r="A33" s="2" t="s">
        <v>656</v>
      </c>
      <c r="B33" s="2" t="s">
        <v>14492</v>
      </c>
      <c r="C33" s="2" t="s">
        <v>14493</v>
      </c>
      <c r="D33" s="2" t="s">
        <v>14494</v>
      </c>
      <c r="E33" s="2" t="s">
        <v>14495</v>
      </c>
      <c r="F33" s="2" t="s">
        <v>14496</v>
      </c>
      <c r="G33" s="2" t="s">
        <v>14496</v>
      </c>
      <c r="H33" s="2" t="s">
        <v>651</v>
      </c>
      <c r="I33" s="2" t="s">
        <v>86</v>
      </c>
      <c r="J33" s="2" t="s">
        <v>1507</v>
      </c>
      <c r="K33" s="2" t="s">
        <v>14494</v>
      </c>
      <c r="L33" s="2"/>
      <c r="M33" s="2"/>
      <c r="N33" s="2"/>
      <c r="O33" s="2" t="s">
        <v>651</v>
      </c>
      <c r="P33" s="2" t="s">
        <v>86</v>
      </c>
      <c r="Q33" s="2" t="s">
        <v>1507</v>
      </c>
      <c r="R33" s="2" t="s">
        <v>13574</v>
      </c>
      <c r="S33" s="2" t="s">
        <v>44</v>
      </c>
      <c r="T33" s="2"/>
      <c r="U33" s="2" t="s">
        <v>821</v>
      </c>
      <c r="V33" s="2" t="s">
        <v>199</v>
      </c>
      <c r="W33" s="2" t="s">
        <v>821</v>
      </c>
      <c r="X33" s="2" t="s">
        <v>663</v>
      </c>
      <c r="Y33" s="2" t="s">
        <v>48</v>
      </c>
      <c r="Z33" s="2" t="s">
        <v>49</v>
      </c>
      <c r="AA33" s="2">
        <v>100</v>
      </c>
      <c r="AB33" s="2">
        <v>97</v>
      </c>
      <c r="AC33" s="2" t="s">
        <v>50</v>
      </c>
      <c r="AD33" s="2" t="s">
        <v>664</v>
      </c>
      <c r="AE33" s="2"/>
      <c r="AF33" s="2" t="s">
        <v>14289</v>
      </c>
      <c r="AG33" s="2" t="s">
        <v>14290</v>
      </c>
    </row>
    <row r="34" spans="1:33" x14ac:dyDescent="0.45">
      <c r="A34" s="2" t="s">
        <v>488</v>
      </c>
      <c r="B34" s="2" t="s">
        <v>14497</v>
      </c>
      <c r="C34" s="2" t="s">
        <v>490</v>
      </c>
      <c r="D34" s="2" t="s">
        <v>14498</v>
      </c>
      <c r="E34" s="2" t="s">
        <v>492</v>
      </c>
      <c r="F34" s="2" t="s">
        <v>11413</v>
      </c>
      <c r="G34" s="2" t="s">
        <v>11413</v>
      </c>
      <c r="H34" s="2" t="s">
        <v>72</v>
      </c>
      <c r="I34" s="2" t="s">
        <v>73</v>
      </c>
      <c r="J34" s="2" t="s">
        <v>484</v>
      </c>
      <c r="K34" s="2" t="s">
        <v>14499</v>
      </c>
      <c r="L34" s="2" t="s">
        <v>492</v>
      </c>
      <c r="M34" s="2" t="s">
        <v>14500</v>
      </c>
      <c r="N34" s="2" t="s">
        <v>14500</v>
      </c>
      <c r="O34" s="2" t="s">
        <v>72</v>
      </c>
      <c r="P34" s="2" t="s">
        <v>73</v>
      </c>
      <c r="Q34" s="2" t="s">
        <v>484</v>
      </c>
      <c r="R34" s="2" t="s">
        <v>4611</v>
      </c>
      <c r="S34" s="2" t="s">
        <v>44</v>
      </c>
      <c r="T34" s="2"/>
      <c r="U34" s="2" t="s">
        <v>821</v>
      </c>
      <c r="V34" s="2" t="s">
        <v>199</v>
      </c>
      <c r="W34" s="2" t="s">
        <v>821</v>
      </c>
      <c r="X34" s="2" t="s">
        <v>496</v>
      </c>
      <c r="Y34" s="2" t="s">
        <v>48</v>
      </c>
      <c r="Z34" s="2" t="s">
        <v>49</v>
      </c>
      <c r="AA34" s="2">
        <v>100</v>
      </c>
      <c r="AB34" s="2">
        <v>97</v>
      </c>
      <c r="AC34" s="2" t="s">
        <v>50</v>
      </c>
      <c r="AD34" s="2" t="s">
        <v>497</v>
      </c>
      <c r="AE34" s="2"/>
      <c r="AF34" s="2" t="s">
        <v>14289</v>
      </c>
      <c r="AG34" s="2" t="s">
        <v>14290</v>
      </c>
    </row>
    <row r="35" spans="1:33" x14ac:dyDescent="0.45">
      <c r="A35" s="2" t="s">
        <v>478</v>
      </c>
      <c r="B35" s="2" t="s">
        <v>14501</v>
      </c>
      <c r="C35" s="2" t="s">
        <v>14502</v>
      </c>
      <c r="D35" s="2" t="s">
        <v>14503</v>
      </c>
      <c r="E35" s="2" t="s">
        <v>14504</v>
      </c>
      <c r="F35" s="2" t="s">
        <v>14505</v>
      </c>
      <c r="G35" s="2" t="s">
        <v>14505</v>
      </c>
      <c r="H35" s="2" t="s">
        <v>72</v>
      </c>
      <c r="I35" s="2" t="s">
        <v>73</v>
      </c>
      <c r="J35" s="2" t="s">
        <v>1035</v>
      </c>
      <c r="K35" s="2" t="s">
        <v>14506</v>
      </c>
      <c r="L35" s="2"/>
      <c r="M35" s="2"/>
      <c r="N35" s="2"/>
      <c r="O35" s="2" t="s">
        <v>72</v>
      </c>
      <c r="P35" s="2" t="s">
        <v>73</v>
      </c>
      <c r="Q35" s="2" t="s">
        <v>1035</v>
      </c>
      <c r="R35" s="2" t="s">
        <v>954</v>
      </c>
      <c r="S35" s="2" t="s">
        <v>44</v>
      </c>
      <c r="T35" s="2"/>
      <c r="U35" s="2" t="s">
        <v>821</v>
      </c>
      <c r="V35" s="2" t="s">
        <v>199</v>
      </c>
      <c r="W35" s="2" t="s">
        <v>821</v>
      </c>
      <c r="X35" s="2" t="s">
        <v>486</v>
      </c>
      <c r="Y35" s="2" t="s">
        <v>48</v>
      </c>
      <c r="Z35" s="2" t="s">
        <v>49</v>
      </c>
      <c r="AA35" s="2">
        <v>100</v>
      </c>
      <c r="AB35" s="2">
        <v>97</v>
      </c>
      <c r="AC35" s="2" t="s">
        <v>50</v>
      </c>
      <c r="AD35" s="2" t="s">
        <v>487</v>
      </c>
      <c r="AE35" s="2"/>
      <c r="AF35" s="2" t="s">
        <v>14289</v>
      </c>
      <c r="AG35" s="2" t="s">
        <v>14290</v>
      </c>
    </row>
    <row r="36" spans="1:33" x14ac:dyDescent="0.45">
      <c r="A36" s="2" t="s">
        <v>14507</v>
      </c>
      <c r="B36" s="2" t="s">
        <v>14508</v>
      </c>
      <c r="C36" s="2" t="s">
        <v>14509</v>
      </c>
      <c r="D36" s="2" t="s">
        <v>14510</v>
      </c>
      <c r="E36" s="2" t="s">
        <v>14511</v>
      </c>
      <c r="F36" s="2" t="s">
        <v>14512</v>
      </c>
      <c r="G36" s="2" t="s">
        <v>14512</v>
      </c>
      <c r="H36" s="2" t="s">
        <v>277</v>
      </c>
      <c r="I36" s="2" t="s">
        <v>278</v>
      </c>
      <c r="J36" s="2" t="s">
        <v>279</v>
      </c>
      <c r="K36" s="2" t="s">
        <v>14513</v>
      </c>
      <c r="L36" s="2"/>
      <c r="M36" s="2"/>
      <c r="N36" s="2"/>
      <c r="O36" s="2" t="s">
        <v>277</v>
      </c>
      <c r="P36" s="2" t="s">
        <v>278</v>
      </c>
      <c r="Q36" s="2" t="s">
        <v>279</v>
      </c>
      <c r="R36" s="2" t="s">
        <v>4753</v>
      </c>
      <c r="S36" s="2" t="s">
        <v>44</v>
      </c>
      <c r="T36" s="2"/>
      <c r="U36" s="2" t="s">
        <v>821</v>
      </c>
      <c r="V36" s="2" t="s">
        <v>46</v>
      </c>
      <c r="W36" s="2" t="s">
        <v>821</v>
      </c>
      <c r="X36" s="2" t="s">
        <v>282</v>
      </c>
      <c r="Y36" s="2" t="s">
        <v>48</v>
      </c>
      <c r="Z36" s="2" t="s">
        <v>49</v>
      </c>
      <c r="AA36" s="2">
        <v>100</v>
      </c>
      <c r="AB36" s="2">
        <v>97</v>
      </c>
      <c r="AC36" s="2" t="s">
        <v>50</v>
      </c>
      <c r="AD36" s="2" t="s">
        <v>283</v>
      </c>
      <c r="AE36" s="2"/>
      <c r="AF36" s="2" t="s">
        <v>14289</v>
      </c>
      <c r="AG36" s="2" t="s">
        <v>14290</v>
      </c>
    </row>
    <row r="37" spans="1:33" x14ac:dyDescent="0.45">
      <c r="A37" s="2" t="s">
        <v>14514</v>
      </c>
      <c r="B37" s="2" t="s">
        <v>14515</v>
      </c>
      <c r="C37" s="2" t="s">
        <v>14516</v>
      </c>
      <c r="D37" s="2" t="s">
        <v>14517</v>
      </c>
      <c r="E37" s="2" t="s">
        <v>14518</v>
      </c>
      <c r="F37" s="2" t="s">
        <v>14519</v>
      </c>
      <c r="G37" s="2" t="s">
        <v>14519</v>
      </c>
      <c r="H37" s="2" t="s">
        <v>424</v>
      </c>
      <c r="I37" s="2" t="s">
        <v>217</v>
      </c>
      <c r="J37" s="2" t="s">
        <v>218</v>
      </c>
      <c r="K37" s="2" t="s">
        <v>14520</v>
      </c>
      <c r="L37" s="2"/>
      <c r="M37" s="2"/>
      <c r="N37" s="2"/>
      <c r="O37" s="2" t="s">
        <v>424</v>
      </c>
      <c r="P37" s="2" t="s">
        <v>217</v>
      </c>
      <c r="Q37" s="2" t="s">
        <v>218</v>
      </c>
      <c r="R37" s="2" t="s">
        <v>4800</v>
      </c>
      <c r="S37" s="2" t="s">
        <v>44</v>
      </c>
      <c r="T37" s="2"/>
      <c r="U37" s="2" t="s">
        <v>821</v>
      </c>
      <c r="V37" s="2" t="s">
        <v>46</v>
      </c>
      <c r="W37" s="2" t="s">
        <v>821</v>
      </c>
      <c r="X37" s="2" t="s">
        <v>783</v>
      </c>
      <c r="Y37" s="2" t="s">
        <v>48</v>
      </c>
      <c r="Z37" s="2" t="s">
        <v>49</v>
      </c>
      <c r="AA37" s="2">
        <v>100</v>
      </c>
      <c r="AB37" s="2">
        <v>97</v>
      </c>
      <c r="AC37" s="2" t="s">
        <v>50</v>
      </c>
      <c r="AD37" s="2" t="s">
        <v>784</v>
      </c>
      <c r="AE37" s="2"/>
      <c r="AF37" s="2" t="s">
        <v>14289</v>
      </c>
      <c r="AG37" s="2" t="s">
        <v>14290</v>
      </c>
    </row>
    <row r="38" spans="1:33" x14ac:dyDescent="0.45">
      <c r="A38" s="2" t="s">
        <v>14521</v>
      </c>
      <c r="B38" s="2" t="s">
        <v>14522</v>
      </c>
      <c r="C38" s="2" t="s">
        <v>14523</v>
      </c>
      <c r="D38" s="2" t="s">
        <v>14524</v>
      </c>
      <c r="E38" s="2" t="s">
        <v>14525</v>
      </c>
      <c r="F38" s="2" t="s">
        <v>14526</v>
      </c>
      <c r="G38" s="2" t="s">
        <v>14526</v>
      </c>
      <c r="H38" s="2" t="s">
        <v>651</v>
      </c>
      <c r="I38" s="2" t="s">
        <v>86</v>
      </c>
      <c r="J38" s="2" t="s">
        <v>569</v>
      </c>
      <c r="K38" s="2" t="s">
        <v>14527</v>
      </c>
      <c r="L38" s="2"/>
      <c r="M38" s="2"/>
      <c r="N38" s="2"/>
      <c r="O38" s="2" t="s">
        <v>651</v>
      </c>
      <c r="P38" s="2" t="s">
        <v>86</v>
      </c>
      <c r="Q38" s="2" t="s">
        <v>569</v>
      </c>
      <c r="R38" s="2" t="s">
        <v>14072</v>
      </c>
      <c r="S38" s="2" t="s">
        <v>44</v>
      </c>
      <c r="T38" s="2"/>
      <c r="U38" s="2" t="s">
        <v>821</v>
      </c>
      <c r="V38" s="2" t="s">
        <v>46</v>
      </c>
      <c r="W38" s="2" t="s">
        <v>821</v>
      </c>
      <c r="X38" s="2" t="s">
        <v>571</v>
      </c>
      <c r="Y38" s="2" t="s">
        <v>48</v>
      </c>
      <c r="Z38" s="2" t="s">
        <v>49</v>
      </c>
      <c r="AA38" s="2">
        <v>100</v>
      </c>
      <c r="AB38" s="2">
        <v>97</v>
      </c>
      <c r="AC38" s="2" t="s">
        <v>50</v>
      </c>
      <c r="AD38" s="2" t="s">
        <v>572</v>
      </c>
      <c r="AE38" s="2"/>
      <c r="AF38" s="2" t="s">
        <v>14289</v>
      </c>
      <c r="AG38" s="2" t="s">
        <v>14290</v>
      </c>
    </row>
    <row r="39" spans="1:33" x14ac:dyDescent="0.45">
      <c r="A39" s="2" t="s">
        <v>14528</v>
      </c>
      <c r="B39" s="2" t="s">
        <v>14529</v>
      </c>
      <c r="C39" s="2" t="s">
        <v>14530</v>
      </c>
      <c r="D39" s="2" t="s">
        <v>14531</v>
      </c>
      <c r="E39" s="2" t="s">
        <v>14532</v>
      </c>
      <c r="F39" s="2" t="s">
        <v>14533</v>
      </c>
      <c r="G39" s="2" t="s">
        <v>14533</v>
      </c>
      <c r="H39" s="2" t="s">
        <v>72</v>
      </c>
      <c r="I39" s="2" t="s">
        <v>73</v>
      </c>
      <c r="J39" s="2" t="s">
        <v>373</v>
      </c>
      <c r="K39" s="2" t="s">
        <v>14534</v>
      </c>
      <c r="L39" s="2"/>
      <c r="M39" s="2"/>
      <c r="N39" s="2"/>
      <c r="O39" s="2" t="s">
        <v>72</v>
      </c>
      <c r="P39" s="2" t="s">
        <v>73</v>
      </c>
      <c r="Q39" s="2" t="s">
        <v>373</v>
      </c>
      <c r="R39" s="2" t="s">
        <v>2993</v>
      </c>
      <c r="S39" s="2" t="s">
        <v>44</v>
      </c>
      <c r="T39" s="2"/>
      <c r="U39" s="2" t="s">
        <v>821</v>
      </c>
      <c r="V39" s="2" t="s">
        <v>46</v>
      </c>
      <c r="W39" s="2" t="s">
        <v>821</v>
      </c>
      <c r="X39" s="2" t="s">
        <v>549</v>
      </c>
      <c r="Y39" s="2" t="s">
        <v>48</v>
      </c>
      <c r="Z39" s="2" t="s">
        <v>49</v>
      </c>
      <c r="AA39" s="2">
        <v>100</v>
      </c>
      <c r="AB39" s="2">
        <v>97</v>
      </c>
      <c r="AC39" s="2" t="s">
        <v>50</v>
      </c>
      <c r="AD39" s="2" t="s">
        <v>550</v>
      </c>
      <c r="AE39" s="2"/>
      <c r="AF39" s="2" t="s">
        <v>14289</v>
      </c>
      <c r="AG39" s="2" t="s">
        <v>14290</v>
      </c>
    </row>
    <row r="40" spans="1:33" x14ac:dyDescent="0.45">
      <c r="A40" s="2" t="s">
        <v>14535</v>
      </c>
      <c r="B40" s="2" t="s">
        <v>14536</v>
      </c>
      <c r="C40" s="2" t="s">
        <v>14537</v>
      </c>
      <c r="D40" s="2" t="s">
        <v>14538</v>
      </c>
      <c r="E40" s="2" t="s">
        <v>14539</v>
      </c>
      <c r="F40" s="2" t="s">
        <v>14540</v>
      </c>
      <c r="G40" s="2" t="s">
        <v>14540</v>
      </c>
      <c r="H40" s="2" t="s">
        <v>290</v>
      </c>
      <c r="I40" s="2" t="s">
        <v>278</v>
      </c>
      <c r="J40" s="2" t="s">
        <v>671</v>
      </c>
      <c r="K40" s="2" t="s">
        <v>14541</v>
      </c>
      <c r="L40" s="2"/>
      <c r="M40" s="2"/>
      <c r="N40" s="2"/>
      <c r="O40" s="2" t="s">
        <v>290</v>
      </c>
      <c r="P40" s="2" t="s">
        <v>278</v>
      </c>
      <c r="Q40" s="2" t="s">
        <v>671</v>
      </c>
      <c r="R40" s="2" t="s">
        <v>14542</v>
      </c>
      <c r="S40" s="2" t="s">
        <v>44</v>
      </c>
      <c r="T40" s="2"/>
      <c r="U40" s="2" t="s">
        <v>821</v>
      </c>
      <c r="V40" s="2" t="s">
        <v>46</v>
      </c>
      <c r="W40" s="2" t="s">
        <v>821</v>
      </c>
      <c r="X40" s="2" t="s">
        <v>673</v>
      </c>
      <c r="Y40" s="2" t="s">
        <v>48</v>
      </c>
      <c r="Z40" s="2" t="s">
        <v>49</v>
      </c>
      <c r="AA40" s="2">
        <v>100</v>
      </c>
      <c r="AB40" s="2">
        <v>97</v>
      </c>
      <c r="AC40" s="2" t="s">
        <v>50</v>
      </c>
      <c r="AD40" s="2" t="s">
        <v>674</v>
      </c>
      <c r="AE40" s="2"/>
      <c r="AF40" s="2" t="s">
        <v>14289</v>
      </c>
      <c r="AG40" s="2" t="s">
        <v>14290</v>
      </c>
    </row>
    <row r="41" spans="1:33" x14ac:dyDescent="0.45">
      <c r="A41" s="2" t="s">
        <v>237</v>
      </c>
      <c r="B41" s="2" t="s">
        <v>14543</v>
      </c>
      <c r="C41" s="2" t="s">
        <v>14544</v>
      </c>
      <c r="D41" s="2" t="s">
        <v>14545</v>
      </c>
      <c r="E41" s="2" t="s">
        <v>14546</v>
      </c>
      <c r="F41" s="2" t="s">
        <v>14547</v>
      </c>
      <c r="G41" s="2" t="s">
        <v>14547</v>
      </c>
      <c r="H41" s="2" t="s">
        <v>72</v>
      </c>
      <c r="I41" s="2" t="s">
        <v>73</v>
      </c>
      <c r="J41" s="2" t="s">
        <v>74</v>
      </c>
      <c r="K41" s="2" t="s">
        <v>14545</v>
      </c>
      <c r="L41" s="2"/>
      <c r="M41" s="2"/>
      <c r="N41" s="2"/>
      <c r="O41" s="2" t="s">
        <v>72</v>
      </c>
      <c r="P41" s="2" t="s">
        <v>73</v>
      </c>
      <c r="Q41" s="2" t="s">
        <v>74</v>
      </c>
      <c r="R41" s="2" t="s">
        <v>14548</v>
      </c>
      <c r="S41" s="2" t="s">
        <v>44</v>
      </c>
      <c r="T41" s="2"/>
      <c r="U41" s="2" t="s">
        <v>821</v>
      </c>
      <c r="V41" s="2" t="s">
        <v>199</v>
      </c>
      <c r="W41" s="2" t="s">
        <v>821</v>
      </c>
      <c r="X41" s="2" t="s">
        <v>246</v>
      </c>
      <c r="Y41" s="2" t="s">
        <v>48</v>
      </c>
      <c r="Z41" s="2" t="s">
        <v>49</v>
      </c>
      <c r="AA41" s="2">
        <v>100</v>
      </c>
      <c r="AB41" s="2">
        <v>97</v>
      </c>
      <c r="AC41" s="2" t="s">
        <v>50</v>
      </c>
      <c r="AD41" s="2" t="s">
        <v>247</v>
      </c>
      <c r="AE41" s="2"/>
      <c r="AF41" s="2" t="s">
        <v>14289</v>
      </c>
      <c r="AG41" s="2" t="s">
        <v>14290</v>
      </c>
    </row>
    <row r="42" spans="1:33" x14ac:dyDescent="0.45">
      <c r="A42" s="2" t="s">
        <v>400</v>
      </c>
      <c r="B42" s="2" t="s">
        <v>14549</v>
      </c>
      <c r="C42" s="2" t="s">
        <v>14550</v>
      </c>
      <c r="D42" s="2" t="s">
        <v>14551</v>
      </c>
      <c r="E42" s="2" t="s">
        <v>14552</v>
      </c>
      <c r="F42" s="2" t="s">
        <v>14553</v>
      </c>
      <c r="G42" s="2" t="s">
        <v>14553</v>
      </c>
      <c r="H42" s="2" t="s">
        <v>277</v>
      </c>
      <c r="I42" s="2" t="s">
        <v>278</v>
      </c>
      <c r="J42" s="2" t="s">
        <v>279</v>
      </c>
      <c r="K42" s="2" t="s">
        <v>14551</v>
      </c>
      <c r="L42" s="2"/>
      <c r="M42" s="2"/>
      <c r="N42" s="2"/>
      <c r="O42" s="2" t="s">
        <v>277</v>
      </c>
      <c r="P42" s="2" t="s">
        <v>278</v>
      </c>
      <c r="Q42" s="2" t="s">
        <v>279</v>
      </c>
      <c r="R42" s="2" t="s">
        <v>5356</v>
      </c>
      <c r="S42" s="2" t="s">
        <v>44</v>
      </c>
      <c r="T42" s="2"/>
      <c r="U42" s="2" t="s">
        <v>821</v>
      </c>
      <c r="V42" s="2" t="s">
        <v>199</v>
      </c>
      <c r="W42" s="2" t="s">
        <v>821</v>
      </c>
      <c r="X42" s="2" t="s">
        <v>407</v>
      </c>
      <c r="Y42" s="2" t="s">
        <v>48</v>
      </c>
      <c r="Z42" s="2" t="s">
        <v>49</v>
      </c>
      <c r="AA42" s="2">
        <v>100</v>
      </c>
      <c r="AB42" s="2">
        <v>97</v>
      </c>
      <c r="AC42" s="2" t="s">
        <v>50</v>
      </c>
      <c r="AD42" s="2" t="s">
        <v>408</v>
      </c>
      <c r="AE42" s="2"/>
      <c r="AF42" s="2" t="s">
        <v>14289</v>
      </c>
      <c r="AG42" s="2" t="s">
        <v>14290</v>
      </c>
    </row>
    <row r="43" spans="1:33" x14ac:dyDescent="0.45">
      <c r="A43" s="2" t="s">
        <v>14554</v>
      </c>
      <c r="B43" s="2" t="s">
        <v>14555</v>
      </c>
      <c r="C43" s="2" t="s">
        <v>14556</v>
      </c>
      <c r="D43" s="2" t="s">
        <v>14557</v>
      </c>
      <c r="E43" s="2" t="s">
        <v>718</v>
      </c>
      <c r="F43" s="2" t="s">
        <v>719</v>
      </c>
      <c r="G43" s="2" t="s">
        <v>719</v>
      </c>
      <c r="H43" s="2" t="s">
        <v>72</v>
      </c>
      <c r="I43" s="2" t="s">
        <v>73</v>
      </c>
      <c r="J43" s="2" t="s">
        <v>720</v>
      </c>
      <c r="K43" s="2" t="s">
        <v>14558</v>
      </c>
      <c r="L43" s="2"/>
      <c r="M43" s="2"/>
      <c r="N43" s="2"/>
      <c r="O43" s="2" t="s">
        <v>72</v>
      </c>
      <c r="P43" s="2" t="s">
        <v>73</v>
      </c>
      <c r="Q43" s="2" t="s">
        <v>722</v>
      </c>
      <c r="R43" s="2" t="s">
        <v>5356</v>
      </c>
      <c r="S43" s="2" t="s">
        <v>44</v>
      </c>
      <c r="T43" s="2"/>
      <c r="U43" s="2" t="s">
        <v>821</v>
      </c>
      <c r="V43" s="2" t="s">
        <v>46</v>
      </c>
      <c r="W43" s="2" t="s">
        <v>821</v>
      </c>
      <c r="X43" s="2" t="s">
        <v>724</v>
      </c>
      <c r="Y43" s="2" t="s">
        <v>48</v>
      </c>
      <c r="Z43" s="2" t="s">
        <v>49</v>
      </c>
      <c r="AA43" s="2">
        <v>100</v>
      </c>
      <c r="AB43" s="2">
        <v>97</v>
      </c>
      <c r="AC43" s="2" t="s">
        <v>50</v>
      </c>
      <c r="AD43" s="2" t="s">
        <v>725</v>
      </c>
      <c r="AE43" s="2"/>
      <c r="AF43" s="2" t="s">
        <v>14289</v>
      </c>
      <c r="AG43" s="2" t="s">
        <v>14290</v>
      </c>
    </row>
    <row r="44" spans="1:33" x14ac:dyDescent="0.45">
      <c r="A44" s="2" t="s">
        <v>14559</v>
      </c>
      <c r="B44" s="2" t="s">
        <v>14560</v>
      </c>
      <c r="C44" s="2" t="s">
        <v>14561</v>
      </c>
      <c r="D44" s="2" t="s">
        <v>14562</v>
      </c>
      <c r="E44" s="2" t="s">
        <v>14563</v>
      </c>
      <c r="F44" s="2" t="s">
        <v>14564</v>
      </c>
      <c r="G44" s="2" t="s">
        <v>14564</v>
      </c>
      <c r="H44" s="2" t="s">
        <v>39</v>
      </c>
      <c r="I44" s="2" t="s">
        <v>40</v>
      </c>
      <c r="J44" s="2" t="s">
        <v>254</v>
      </c>
      <c r="K44" s="2" t="s">
        <v>14565</v>
      </c>
      <c r="L44" s="2"/>
      <c r="M44" s="2"/>
      <c r="N44" s="2"/>
      <c r="O44" s="2" t="s">
        <v>72</v>
      </c>
      <c r="P44" s="2" t="s">
        <v>73</v>
      </c>
      <c r="Q44" s="2" t="s">
        <v>791</v>
      </c>
      <c r="R44" s="2" t="s">
        <v>5411</v>
      </c>
      <c r="S44" s="2" t="s">
        <v>44</v>
      </c>
      <c r="T44" s="2"/>
      <c r="U44" s="2" t="s">
        <v>821</v>
      </c>
      <c r="V44" s="2" t="s">
        <v>46</v>
      </c>
      <c r="W44" s="2" t="s">
        <v>821</v>
      </c>
      <c r="X44" s="2" t="s">
        <v>258</v>
      </c>
      <c r="Y44" s="2" t="s">
        <v>48</v>
      </c>
      <c r="Z44" s="2" t="s">
        <v>49</v>
      </c>
      <c r="AA44" s="2">
        <v>100</v>
      </c>
      <c r="AB44" s="2">
        <v>97</v>
      </c>
      <c r="AC44" s="2" t="s">
        <v>50</v>
      </c>
      <c r="AD44" s="2" t="s">
        <v>259</v>
      </c>
      <c r="AE44" s="2"/>
      <c r="AF44" s="2" t="s">
        <v>14289</v>
      </c>
      <c r="AG44" s="2" t="s">
        <v>14290</v>
      </c>
    </row>
    <row r="45" spans="1:33" x14ac:dyDescent="0.45">
      <c r="A45" s="2" t="s">
        <v>14566</v>
      </c>
      <c r="B45" s="2" t="s">
        <v>14567</v>
      </c>
      <c r="C45" s="2" t="s">
        <v>14568</v>
      </c>
      <c r="D45" s="2" t="s">
        <v>14569</v>
      </c>
      <c r="E45" s="2" t="s">
        <v>14570</v>
      </c>
      <c r="F45" s="2" t="s">
        <v>14571</v>
      </c>
      <c r="G45" s="2" t="s">
        <v>14571</v>
      </c>
      <c r="H45" s="2" t="s">
        <v>174</v>
      </c>
      <c r="I45" s="2" t="s">
        <v>175</v>
      </c>
      <c r="J45" s="2" t="s">
        <v>176</v>
      </c>
      <c r="K45" s="2" t="s">
        <v>14569</v>
      </c>
      <c r="L45" s="2"/>
      <c r="M45" s="2"/>
      <c r="N45" s="2"/>
      <c r="O45" s="2" t="s">
        <v>174</v>
      </c>
      <c r="P45" s="2" t="s">
        <v>175</v>
      </c>
      <c r="Q45" s="2" t="s">
        <v>176</v>
      </c>
      <c r="R45" s="2" t="s">
        <v>11080</v>
      </c>
      <c r="S45" s="2" t="s">
        <v>44</v>
      </c>
      <c r="T45" s="2"/>
      <c r="U45" s="2" t="s">
        <v>821</v>
      </c>
      <c r="V45" s="2" t="s">
        <v>46</v>
      </c>
      <c r="W45" s="2" t="s">
        <v>821</v>
      </c>
      <c r="X45" s="2" t="s">
        <v>179</v>
      </c>
      <c r="Y45" s="2" t="s">
        <v>48</v>
      </c>
      <c r="Z45" s="2" t="s">
        <v>49</v>
      </c>
      <c r="AA45" s="2">
        <v>100</v>
      </c>
      <c r="AB45" s="2">
        <v>97</v>
      </c>
      <c r="AC45" s="2" t="s">
        <v>50</v>
      </c>
      <c r="AD45" s="2" t="s">
        <v>180</v>
      </c>
      <c r="AE45" s="2"/>
      <c r="AF45" s="2" t="s">
        <v>14289</v>
      </c>
      <c r="AG45" s="2" t="s">
        <v>14290</v>
      </c>
    </row>
    <row r="46" spans="1:33" x14ac:dyDescent="0.45">
      <c r="A46" s="2" t="s">
        <v>14572</v>
      </c>
      <c r="B46" s="2" t="s">
        <v>14573</v>
      </c>
      <c r="C46" s="2" t="s">
        <v>14574</v>
      </c>
      <c r="D46" s="2" t="s">
        <v>14575</v>
      </c>
      <c r="E46" s="2" t="s">
        <v>14576</v>
      </c>
      <c r="F46" s="2" t="s">
        <v>9550</v>
      </c>
      <c r="G46" s="2" t="s">
        <v>9550</v>
      </c>
      <c r="H46" s="2" t="s">
        <v>72</v>
      </c>
      <c r="I46" s="2" t="s">
        <v>73</v>
      </c>
      <c r="J46" s="2" t="s">
        <v>74</v>
      </c>
      <c r="K46" s="2" t="s">
        <v>14575</v>
      </c>
      <c r="L46" s="2"/>
      <c r="M46" s="2"/>
      <c r="N46" s="2"/>
      <c r="O46" s="2" t="s">
        <v>72</v>
      </c>
      <c r="P46" s="2" t="s">
        <v>73</v>
      </c>
      <c r="Q46" s="2" t="s">
        <v>74</v>
      </c>
      <c r="R46" s="2" t="s">
        <v>14577</v>
      </c>
      <c r="S46" s="2" t="s">
        <v>44</v>
      </c>
      <c r="T46" s="2"/>
      <c r="U46" s="2" t="s">
        <v>821</v>
      </c>
      <c r="V46" s="2" t="s">
        <v>199</v>
      </c>
      <c r="W46" s="2" t="s">
        <v>821</v>
      </c>
      <c r="X46" s="2" t="s">
        <v>436</v>
      </c>
      <c r="Y46" s="2" t="s">
        <v>48</v>
      </c>
      <c r="Z46" s="2" t="s">
        <v>49</v>
      </c>
      <c r="AA46" s="2">
        <v>100</v>
      </c>
      <c r="AB46" s="2">
        <v>97</v>
      </c>
      <c r="AC46" s="2" t="s">
        <v>50</v>
      </c>
      <c r="AD46" s="2" t="s">
        <v>437</v>
      </c>
      <c r="AE46" s="2"/>
      <c r="AF46" s="2" t="s">
        <v>14289</v>
      </c>
      <c r="AG46" s="2" t="s">
        <v>14290</v>
      </c>
    </row>
    <row r="47" spans="1:33" x14ac:dyDescent="0.45">
      <c r="A47" s="2" t="s">
        <v>6281</v>
      </c>
      <c r="B47" s="2" t="s">
        <v>14578</v>
      </c>
      <c r="C47" s="2" t="s">
        <v>14579</v>
      </c>
      <c r="D47" s="2" t="s">
        <v>14580</v>
      </c>
      <c r="E47" s="2" t="s">
        <v>14581</v>
      </c>
      <c r="F47" s="2" t="s">
        <v>14582</v>
      </c>
      <c r="G47" s="2" t="s">
        <v>14582</v>
      </c>
      <c r="H47" s="2" t="s">
        <v>1148</v>
      </c>
      <c r="I47" s="2" t="s">
        <v>278</v>
      </c>
      <c r="J47" s="2" t="s">
        <v>1149</v>
      </c>
      <c r="K47" s="2" t="s">
        <v>14583</v>
      </c>
      <c r="L47" s="2"/>
      <c r="M47" s="2"/>
      <c r="N47" s="2"/>
      <c r="O47" s="2" t="s">
        <v>85</v>
      </c>
      <c r="P47" s="2" t="s">
        <v>86</v>
      </c>
      <c r="Q47" s="2" t="s">
        <v>87</v>
      </c>
      <c r="R47" s="2" t="s">
        <v>14584</v>
      </c>
      <c r="S47" s="2" t="s">
        <v>44</v>
      </c>
      <c r="T47" s="2"/>
      <c r="U47" s="2" t="s">
        <v>45</v>
      </c>
      <c r="V47" s="2" t="s">
        <v>199</v>
      </c>
      <c r="W47" s="2" t="s">
        <v>45</v>
      </c>
      <c r="X47" s="2" t="s">
        <v>855</v>
      </c>
      <c r="Y47" s="2" t="s">
        <v>48</v>
      </c>
      <c r="Z47" s="2" t="s">
        <v>49</v>
      </c>
      <c r="AA47" s="2">
        <v>100</v>
      </c>
      <c r="AB47" s="2">
        <v>95</v>
      </c>
      <c r="AC47" s="2" t="s">
        <v>50</v>
      </c>
      <c r="AD47" s="2" t="s">
        <v>856</v>
      </c>
      <c r="AE47" s="2"/>
      <c r="AF47" s="2" t="s">
        <v>14289</v>
      </c>
      <c r="AG47" s="2" t="s">
        <v>14290</v>
      </c>
    </row>
    <row r="48" spans="1:33" x14ac:dyDescent="0.45">
      <c r="A48" s="2" t="s">
        <v>14585</v>
      </c>
      <c r="B48" s="2" t="s">
        <v>14586</v>
      </c>
      <c r="C48" s="2" t="s">
        <v>14587</v>
      </c>
      <c r="D48" s="2" t="s">
        <v>14588</v>
      </c>
      <c r="E48" s="2" t="s">
        <v>14589</v>
      </c>
      <c r="F48" s="2" t="s">
        <v>14590</v>
      </c>
      <c r="G48" s="2" t="s">
        <v>14590</v>
      </c>
      <c r="H48" s="2" t="s">
        <v>1148</v>
      </c>
      <c r="I48" s="2" t="s">
        <v>278</v>
      </c>
      <c r="J48" s="2" t="s">
        <v>8358</v>
      </c>
      <c r="K48" s="2" t="s">
        <v>14591</v>
      </c>
      <c r="L48" s="2"/>
      <c r="M48" s="2"/>
      <c r="N48" s="2"/>
      <c r="O48" s="2" t="s">
        <v>72</v>
      </c>
      <c r="P48" s="2" t="s">
        <v>73</v>
      </c>
      <c r="Q48" s="2" t="s">
        <v>98</v>
      </c>
      <c r="R48" s="2" t="s">
        <v>14592</v>
      </c>
      <c r="S48" s="2" t="s">
        <v>44</v>
      </c>
      <c r="T48" s="2"/>
      <c r="U48" s="2" t="s">
        <v>45</v>
      </c>
      <c r="V48" s="2" t="s">
        <v>46</v>
      </c>
      <c r="W48" s="2" t="s">
        <v>45</v>
      </c>
      <c r="X48" s="2" t="s">
        <v>1038</v>
      </c>
      <c r="Y48" s="2" t="s">
        <v>48</v>
      </c>
      <c r="Z48" s="2" t="s">
        <v>49</v>
      </c>
      <c r="AA48" s="2">
        <v>100</v>
      </c>
      <c r="AB48" s="2">
        <v>95</v>
      </c>
      <c r="AC48" s="2" t="s">
        <v>50</v>
      </c>
      <c r="AD48" s="2" t="s">
        <v>1039</v>
      </c>
      <c r="AE48" s="2"/>
      <c r="AF48" s="2" t="s">
        <v>14289</v>
      </c>
      <c r="AG48" s="2" t="s">
        <v>14290</v>
      </c>
    </row>
    <row r="49" spans="1:33" x14ac:dyDescent="0.45">
      <c r="A49" s="2" t="s">
        <v>1106</v>
      </c>
      <c r="B49" s="2" t="s">
        <v>14593</v>
      </c>
      <c r="C49" s="2" t="s">
        <v>14594</v>
      </c>
      <c r="D49" s="2" t="s">
        <v>14595</v>
      </c>
      <c r="E49" s="2" t="s">
        <v>14596</v>
      </c>
      <c r="F49" s="2" t="s">
        <v>14597</v>
      </c>
      <c r="G49" s="2" t="s">
        <v>14597</v>
      </c>
      <c r="H49" s="2" t="s">
        <v>1115</v>
      </c>
      <c r="I49" s="2" t="s">
        <v>1112</v>
      </c>
      <c r="J49" s="2" t="s">
        <v>1113</v>
      </c>
      <c r="K49" s="2" t="s">
        <v>14598</v>
      </c>
      <c r="L49" s="2"/>
      <c r="M49" s="2"/>
      <c r="N49" s="2"/>
      <c r="O49" s="2" t="s">
        <v>1115</v>
      </c>
      <c r="P49" s="2" t="s">
        <v>1112</v>
      </c>
      <c r="Q49" s="2" t="s">
        <v>1113</v>
      </c>
      <c r="R49" s="2" t="s">
        <v>14599</v>
      </c>
      <c r="S49" s="2" t="s">
        <v>44</v>
      </c>
      <c r="T49" s="2"/>
      <c r="U49" s="2" t="s">
        <v>821</v>
      </c>
      <c r="V49" s="2" t="s">
        <v>199</v>
      </c>
      <c r="W49" s="2" t="s">
        <v>821</v>
      </c>
      <c r="X49" s="2" t="s">
        <v>1117</v>
      </c>
      <c r="Y49" s="2" t="s">
        <v>48</v>
      </c>
      <c r="Z49" s="2" t="s">
        <v>49</v>
      </c>
      <c r="AA49" s="2">
        <v>100</v>
      </c>
      <c r="AB49" s="2">
        <v>92</v>
      </c>
      <c r="AC49" s="2" t="s">
        <v>50</v>
      </c>
      <c r="AD49" s="2" t="s">
        <v>1118</v>
      </c>
      <c r="AE49" s="2"/>
      <c r="AF49" s="2" t="s">
        <v>14289</v>
      </c>
      <c r="AG49" s="2" t="s">
        <v>14290</v>
      </c>
    </row>
    <row r="50" spans="1:33" x14ac:dyDescent="0.45">
      <c r="A50" s="2" t="s">
        <v>14600</v>
      </c>
      <c r="B50" s="2" t="s">
        <v>14601</v>
      </c>
      <c r="C50" s="2" t="s">
        <v>522</v>
      </c>
      <c r="D50" s="2" t="s">
        <v>14602</v>
      </c>
      <c r="E50" s="2" t="s">
        <v>14603</v>
      </c>
      <c r="F50" s="2" t="s">
        <v>14604</v>
      </c>
      <c r="G50" s="2" t="s">
        <v>14604</v>
      </c>
      <c r="H50" s="2" t="s">
        <v>1148</v>
      </c>
      <c r="I50" s="2" t="s">
        <v>278</v>
      </c>
      <c r="J50" s="2" t="s">
        <v>1149</v>
      </c>
      <c r="K50" s="2" t="s">
        <v>14605</v>
      </c>
      <c r="L50" s="2"/>
      <c r="M50" s="2"/>
      <c r="N50" s="2"/>
      <c r="O50" s="2" t="s">
        <v>72</v>
      </c>
      <c r="P50" s="2" t="s">
        <v>73</v>
      </c>
      <c r="Q50" s="2" t="s">
        <v>609</v>
      </c>
      <c r="R50" s="2" t="s">
        <v>14606</v>
      </c>
      <c r="S50" s="2" t="s">
        <v>44</v>
      </c>
      <c r="T50" s="2"/>
      <c r="U50" s="2" t="s">
        <v>821</v>
      </c>
      <c r="V50" s="2" t="s">
        <v>46</v>
      </c>
      <c r="W50" s="2" t="s">
        <v>821</v>
      </c>
      <c r="X50" s="2" t="s">
        <v>527</v>
      </c>
      <c r="Y50" s="2" t="s">
        <v>48</v>
      </c>
      <c r="Z50" s="2" t="s">
        <v>49</v>
      </c>
      <c r="AA50" s="2">
        <v>100</v>
      </c>
      <c r="AB50" s="2">
        <v>92</v>
      </c>
      <c r="AC50" s="2" t="s">
        <v>50</v>
      </c>
      <c r="AD50" s="2" t="s">
        <v>528</v>
      </c>
      <c r="AE50" s="2"/>
      <c r="AF50" s="2" t="s">
        <v>14289</v>
      </c>
      <c r="AG50" s="2" t="s">
        <v>14290</v>
      </c>
    </row>
    <row r="51" spans="1:33" x14ac:dyDescent="0.45">
      <c r="A51" s="2" t="s">
        <v>1214</v>
      </c>
      <c r="B51" s="2" t="s">
        <v>1215</v>
      </c>
      <c r="C51" s="2" t="s">
        <v>1216</v>
      </c>
      <c r="D51" s="2" t="s">
        <v>1217</v>
      </c>
      <c r="E51" s="2" t="s">
        <v>1218</v>
      </c>
      <c r="F51" s="2" t="s">
        <v>1219</v>
      </c>
      <c r="G51" s="2" t="s">
        <v>1219</v>
      </c>
      <c r="H51" s="2" t="s">
        <v>1220</v>
      </c>
      <c r="I51" s="2" t="s">
        <v>1221</v>
      </c>
      <c r="J51" s="2" t="s">
        <v>1222</v>
      </c>
      <c r="K51" s="2" t="s">
        <v>1223</v>
      </c>
      <c r="L51" s="2"/>
      <c r="M51" s="2"/>
      <c r="N51" s="2"/>
      <c r="O51" s="2" t="s">
        <v>1224</v>
      </c>
      <c r="P51" s="2" t="s">
        <v>278</v>
      </c>
      <c r="Q51" s="2" t="s">
        <v>1225</v>
      </c>
      <c r="R51" s="2" t="s">
        <v>1226</v>
      </c>
      <c r="S51" s="2" t="s">
        <v>44</v>
      </c>
      <c r="T51" s="2"/>
      <c r="U51" s="2" t="s">
        <v>821</v>
      </c>
      <c r="V51" s="2" t="s">
        <v>46</v>
      </c>
      <c r="W51" s="2" t="s">
        <v>821</v>
      </c>
      <c r="X51" s="2" t="s">
        <v>1227</v>
      </c>
      <c r="Y51" s="2" t="s">
        <v>48</v>
      </c>
      <c r="Z51" s="2" t="s">
        <v>49</v>
      </c>
      <c r="AA51" s="2">
        <v>100</v>
      </c>
      <c r="AB51" s="2">
        <v>92</v>
      </c>
      <c r="AC51" s="2" t="s">
        <v>50</v>
      </c>
      <c r="AD51" s="2" t="s">
        <v>1228</v>
      </c>
      <c r="AE51" s="2"/>
      <c r="AF51" s="2" t="s">
        <v>14289</v>
      </c>
      <c r="AG51" s="2" t="s">
        <v>14290</v>
      </c>
    </row>
    <row r="52" spans="1:33" x14ac:dyDescent="0.45">
      <c r="A52" s="2" t="s">
        <v>14607</v>
      </c>
      <c r="B52" s="2" t="s">
        <v>14608</v>
      </c>
      <c r="C52" s="2" t="s">
        <v>14609</v>
      </c>
      <c r="D52" s="2" t="s">
        <v>14610</v>
      </c>
      <c r="E52" s="2" t="s">
        <v>14611</v>
      </c>
      <c r="F52" s="2" t="s">
        <v>14612</v>
      </c>
      <c r="G52" s="2" t="s">
        <v>14612</v>
      </c>
      <c r="H52" s="2" t="s">
        <v>1125</v>
      </c>
      <c r="I52" s="2" t="s">
        <v>60</v>
      </c>
      <c r="J52" s="2" t="s">
        <v>1126</v>
      </c>
      <c r="K52" s="2" t="s">
        <v>14610</v>
      </c>
      <c r="L52" s="2"/>
      <c r="M52" s="2"/>
      <c r="N52" s="2"/>
      <c r="O52" s="2" t="s">
        <v>1125</v>
      </c>
      <c r="P52" s="2" t="s">
        <v>60</v>
      </c>
      <c r="Q52" s="2" t="s">
        <v>1126</v>
      </c>
      <c r="R52" s="2" t="s">
        <v>4965</v>
      </c>
      <c r="S52" s="2" t="s">
        <v>44</v>
      </c>
      <c r="T52" s="2"/>
      <c r="U52" s="2" t="s">
        <v>821</v>
      </c>
      <c r="V52" s="2" t="s">
        <v>46</v>
      </c>
      <c r="W52" s="2" t="s">
        <v>821</v>
      </c>
      <c r="X52" s="2" t="s">
        <v>1128</v>
      </c>
      <c r="Y52" s="2" t="s">
        <v>48</v>
      </c>
      <c r="Z52" s="2" t="s">
        <v>49</v>
      </c>
      <c r="AA52" s="2">
        <v>100</v>
      </c>
      <c r="AB52" s="2">
        <v>92</v>
      </c>
      <c r="AC52" s="2" t="s">
        <v>50</v>
      </c>
      <c r="AD52" s="2" t="s">
        <v>1129</v>
      </c>
      <c r="AE52" s="2"/>
      <c r="AF52" s="2" t="s">
        <v>14289</v>
      </c>
      <c r="AG52" s="2" t="s">
        <v>14290</v>
      </c>
    </row>
    <row r="53" spans="1:33" x14ac:dyDescent="0.45">
      <c r="A53" s="2" t="s">
        <v>14613</v>
      </c>
      <c r="B53" s="2" t="s">
        <v>14614</v>
      </c>
      <c r="C53" s="2" t="s">
        <v>1195</v>
      </c>
      <c r="D53" s="2" t="s">
        <v>14615</v>
      </c>
      <c r="E53" s="2" t="s">
        <v>14616</v>
      </c>
      <c r="F53" s="2" t="s">
        <v>14617</v>
      </c>
      <c r="G53" s="2" t="s">
        <v>14617</v>
      </c>
      <c r="H53" s="2" t="s">
        <v>1148</v>
      </c>
      <c r="I53" s="2" t="s">
        <v>278</v>
      </c>
      <c r="J53" s="2" t="s">
        <v>1149</v>
      </c>
      <c r="K53" s="2" t="s">
        <v>14618</v>
      </c>
      <c r="L53" s="2"/>
      <c r="M53" s="2"/>
      <c r="N53" s="2"/>
      <c r="O53" s="2" t="s">
        <v>1148</v>
      </c>
      <c r="P53" s="2" t="s">
        <v>278</v>
      </c>
      <c r="Q53" s="2" t="s">
        <v>1149</v>
      </c>
      <c r="R53" s="2" t="s">
        <v>4984</v>
      </c>
      <c r="S53" s="2" t="s">
        <v>44</v>
      </c>
      <c r="T53" s="2"/>
      <c r="U53" s="2" t="s">
        <v>821</v>
      </c>
      <c r="V53" s="2" t="s">
        <v>199</v>
      </c>
      <c r="W53" s="2" t="s">
        <v>821</v>
      </c>
      <c r="X53" s="2" t="s">
        <v>1200</v>
      </c>
      <c r="Y53" s="2" t="s">
        <v>48</v>
      </c>
      <c r="Z53" s="2" t="s">
        <v>49</v>
      </c>
      <c r="AA53" s="2">
        <v>100</v>
      </c>
      <c r="AB53" s="2">
        <v>92</v>
      </c>
      <c r="AC53" s="2" t="s">
        <v>50</v>
      </c>
      <c r="AD53" s="2" t="s">
        <v>1201</v>
      </c>
      <c r="AE53" s="2"/>
      <c r="AF53" s="2" t="s">
        <v>14289</v>
      </c>
      <c r="AG53" s="2" t="s">
        <v>14290</v>
      </c>
    </row>
    <row r="54" spans="1:33" x14ac:dyDescent="0.45">
      <c r="A54" s="2" t="s">
        <v>1168</v>
      </c>
      <c r="B54" s="2" t="s">
        <v>14619</v>
      </c>
      <c r="C54" s="2" t="s">
        <v>14620</v>
      </c>
      <c r="D54" s="2" t="s">
        <v>14621</v>
      </c>
      <c r="E54" s="2" t="s">
        <v>14622</v>
      </c>
      <c r="F54" s="2" t="s">
        <v>14623</v>
      </c>
      <c r="G54" s="2" t="s">
        <v>14623</v>
      </c>
      <c r="H54" s="2" t="s">
        <v>1148</v>
      </c>
      <c r="I54" s="2" t="s">
        <v>278</v>
      </c>
      <c r="J54" s="2" t="s">
        <v>1149</v>
      </c>
      <c r="K54" s="2" t="s">
        <v>14624</v>
      </c>
      <c r="L54" s="2"/>
      <c r="M54" s="2"/>
      <c r="N54" s="2"/>
      <c r="O54" s="2" t="s">
        <v>1175</v>
      </c>
      <c r="P54" s="2" t="s">
        <v>1176</v>
      </c>
      <c r="Q54" s="2" t="s">
        <v>1177</v>
      </c>
      <c r="R54" s="2" t="s">
        <v>11004</v>
      </c>
      <c r="S54" s="2" t="s">
        <v>44</v>
      </c>
      <c r="T54" s="2"/>
      <c r="U54" s="2" t="s">
        <v>821</v>
      </c>
      <c r="V54" s="2" t="s">
        <v>199</v>
      </c>
      <c r="W54" s="2" t="s">
        <v>821</v>
      </c>
      <c r="X54" s="2" t="s">
        <v>1179</v>
      </c>
      <c r="Y54" s="2" t="s">
        <v>48</v>
      </c>
      <c r="Z54" s="2" t="s">
        <v>49</v>
      </c>
      <c r="AA54" s="2">
        <v>100</v>
      </c>
      <c r="AB54" s="2">
        <v>92</v>
      </c>
      <c r="AC54" s="2" t="s">
        <v>50</v>
      </c>
      <c r="AD54" s="2" t="s">
        <v>1180</v>
      </c>
      <c r="AE54" s="2"/>
      <c r="AF54" s="2" t="s">
        <v>14289</v>
      </c>
      <c r="AG54" s="2" t="s">
        <v>14290</v>
      </c>
    </row>
    <row r="55" spans="1:33" x14ac:dyDescent="0.45">
      <c r="A55" s="2" t="s">
        <v>14625</v>
      </c>
      <c r="B55" s="2" t="s">
        <v>14626</v>
      </c>
      <c r="C55" s="2" t="s">
        <v>14627</v>
      </c>
      <c r="D55" s="2" t="s">
        <v>14628</v>
      </c>
      <c r="E55" s="2" t="s">
        <v>14629</v>
      </c>
      <c r="F55" s="2" t="s">
        <v>14630</v>
      </c>
      <c r="G55" s="2" t="s">
        <v>14630</v>
      </c>
      <c r="H55" s="2" t="s">
        <v>72</v>
      </c>
      <c r="I55" s="2" t="s">
        <v>73</v>
      </c>
      <c r="J55" s="2" t="s">
        <v>187</v>
      </c>
      <c r="K55" s="2" t="s">
        <v>14631</v>
      </c>
      <c r="L55" s="2"/>
      <c r="M55" s="2"/>
      <c r="N55" s="2"/>
      <c r="O55" s="2" t="s">
        <v>72</v>
      </c>
      <c r="P55" s="2" t="s">
        <v>73</v>
      </c>
      <c r="Q55" s="2" t="s">
        <v>187</v>
      </c>
      <c r="R55" s="2" t="s">
        <v>14632</v>
      </c>
      <c r="S55" s="2" t="s">
        <v>44</v>
      </c>
      <c r="T55" s="2"/>
      <c r="U55" s="2" t="s">
        <v>3527</v>
      </c>
      <c r="V55" s="2" t="s">
        <v>46</v>
      </c>
      <c r="W55" s="2" t="s">
        <v>3527</v>
      </c>
      <c r="X55" s="2" t="s">
        <v>844</v>
      </c>
      <c r="Y55" s="2" t="s">
        <v>48</v>
      </c>
      <c r="Z55" s="2" t="s">
        <v>49</v>
      </c>
      <c r="AA55" s="2">
        <v>100</v>
      </c>
      <c r="AB55" s="2">
        <v>90</v>
      </c>
      <c r="AC55" s="2" t="s">
        <v>50</v>
      </c>
      <c r="AD55" s="2" t="s">
        <v>845</v>
      </c>
      <c r="AE55" s="2"/>
      <c r="AF55" s="2" t="s">
        <v>14289</v>
      </c>
      <c r="AG55" s="2" t="s">
        <v>14290</v>
      </c>
    </row>
    <row r="56" spans="1:33" x14ac:dyDescent="0.45">
      <c r="A56" s="2" t="s">
        <v>14633</v>
      </c>
      <c r="B56" s="2" t="s">
        <v>14634</v>
      </c>
      <c r="C56" s="2" t="s">
        <v>14635</v>
      </c>
      <c r="D56" s="2" t="s">
        <v>14636</v>
      </c>
      <c r="E56" s="2" t="s">
        <v>117</v>
      </c>
      <c r="F56" s="2" t="s">
        <v>14637</v>
      </c>
      <c r="G56" s="2" t="s">
        <v>14637</v>
      </c>
      <c r="H56" s="2" t="s">
        <v>72</v>
      </c>
      <c r="I56" s="2" t="s">
        <v>73</v>
      </c>
      <c r="J56" s="2" t="s">
        <v>119</v>
      </c>
      <c r="K56" s="2" t="s">
        <v>14638</v>
      </c>
      <c r="L56" s="2"/>
      <c r="M56" s="2"/>
      <c r="N56" s="2"/>
      <c r="O56" s="2" t="s">
        <v>72</v>
      </c>
      <c r="P56" s="2" t="s">
        <v>73</v>
      </c>
      <c r="Q56" s="2" t="s">
        <v>98</v>
      </c>
      <c r="R56" s="2" t="s">
        <v>14639</v>
      </c>
      <c r="S56" s="2" t="s">
        <v>44</v>
      </c>
      <c r="T56" s="2"/>
      <c r="U56" s="2" t="s">
        <v>3527</v>
      </c>
      <c r="V56" s="2" t="s">
        <v>46</v>
      </c>
      <c r="W56" s="2" t="s">
        <v>3527</v>
      </c>
      <c r="X56" s="2" t="s">
        <v>122</v>
      </c>
      <c r="Y56" s="2" t="s">
        <v>48</v>
      </c>
      <c r="Z56" s="2" t="s">
        <v>49</v>
      </c>
      <c r="AA56" s="2">
        <v>100</v>
      </c>
      <c r="AB56" s="2">
        <v>90</v>
      </c>
      <c r="AC56" s="2" t="s">
        <v>50</v>
      </c>
      <c r="AD56" s="2" t="s">
        <v>123</v>
      </c>
      <c r="AE56" s="2"/>
      <c r="AF56" s="2" t="s">
        <v>14289</v>
      </c>
      <c r="AG56" s="2" t="s">
        <v>14290</v>
      </c>
    </row>
    <row r="57" spans="1:33" x14ac:dyDescent="0.45">
      <c r="A57" s="2" t="s">
        <v>14640</v>
      </c>
      <c r="B57" s="2" t="s">
        <v>14641</v>
      </c>
      <c r="C57" s="2" t="s">
        <v>585</v>
      </c>
      <c r="D57" s="2" t="s">
        <v>14642</v>
      </c>
      <c r="E57" s="2" t="s">
        <v>14643</v>
      </c>
      <c r="F57" s="2" t="s">
        <v>14644</v>
      </c>
      <c r="G57" s="2" t="s">
        <v>14644</v>
      </c>
      <c r="H57" s="2" t="s">
        <v>72</v>
      </c>
      <c r="I57" s="2" t="s">
        <v>73</v>
      </c>
      <c r="J57" s="2" t="s">
        <v>484</v>
      </c>
      <c r="K57" s="2" t="s">
        <v>14645</v>
      </c>
      <c r="L57" s="2"/>
      <c r="M57" s="2"/>
      <c r="N57" s="2"/>
      <c r="O57" s="2" t="s">
        <v>72</v>
      </c>
      <c r="P57" s="2" t="s">
        <v>73</v>
      </c>
      <c r="Q57" s="2" t="s">
        <v>484</v>
      </c>
      <c r="R57" s="2" t="s">
        <v>14352</v>
      </c>
      <c r="S57" s="2" t="s">
        <v>44</v>
      </c>
      <c r="T57" s="2"/>
      <c r="U57" s="2" t="s">
        <v>3527</v>
      </c>
      <c r="V57" s="2" t="s">
        <v>46</v>
      </c>
      <c r="W57" s="2" t="s">
        <v>3527</v>
      </c>
      <c r="X57" s="2" t="s">
        <v>590</v>
      </c>
      <c r="Y57" s="2" t="s">
        <v>48</v>
      </c>
      <c r="Z57" s="2" t="s">
        <v>49</v>
      </c>
      <c r="AA57" s="2">
        <v>100</v>
      </c>
      <c r="AB57" s="2">
        <v>90</v>
      </c>
      <c r="AC57" s="2" t="s">
        <v>50</v>
      </c>
      <c r="AD57" s="2" t="s">
        <v>591</v>
      </c>
      <c r="AE57" s="2"/>
      <c r="AF57" s="2" t="s">
        <v>14289</v>
      </c>
      <c r="AG57" s="2" t="s">
        <v>14290</v>
      </c>
    </row>
    <row r="58" spans="1:33" x14ac:dyDescent="0.45">
      <c r="A58" s="2" t="s">
        <v>14646</v>
      </c>
      <c r="B58" s="2" t="s">
        <v>14647</v>
      </c>
      <c r="C58" s="2" t="s">
        <v>14648</v>
      </c>
      <c r="D58" s="2" t="s">
        <v>14649</v>
      </c>
      <c r="E58" s="2" t="s">
        <v>14650</v>
      </c>
      <c r="F58" s="2" t="s">
        <v>14651</v>
      </c>
      <c r="G58" s="2" t="s">
        <v>14651</v>
      </c>
      <c r="H58" s="2" t="s">
        <v>72</v>
      </c>
      <c r="I58" s="2" t="s">
        <v>73</v>
      </c>
      <c r="J58" s="2" t="s">
        <v>98</v>
      </c>
      <c r="K58" s="2" t="s">
        <v>14652</v>
      </c>
      <c r="L58" s="2"/>
      <c r="M58" s="2"/>
      <c r="N58" s="2"/>
      <c r="O58" s="2" t="s">
        <v>290</v>
      </c>
      <c r="P58" s="2" t="s">
        <v>278</v>
      </c>
      <c r="Q58" s="2" t="s">
        <v>396</v>
      </c>
      <c r="R58" s="2" t="s">
        <v>6426</v>
      </c>
      <c r="S58" s="2" t="s">
        <v>44</v>
      </c>
      <c r="T58" s="2"/>
      <c r="U58" s="2" t="s">
        <v>3527</v>
      </c>
      <c r="V58" s="2" t="s">
        <v>46</v>
      </c>
      <c r="W58" s="2" t="s">
        <v>3527</v>
      </c>
      <c r="X58" s="2" t="s">
        <v>398</v>
      </c>
      <c r="Y58" s="2" t="s">
        <v>48</v>
      </c>
      <c r="Z58" s="2" t="s">
        <v>49</v>
      </c>
      <c r="AA58" s="2">
        <v>100</v>
      </c>
      <c r="AB58" s="2">
        <v>90</v>
      </c>
      <c r="AC58" s="2" t="s">
        <v>50</v>
      </c>
      <c r="AD58" s="2" t="s">
        <v>399</v>
      </c>
      <c r="AE58" s="2"/>
      <c r="AF58" s="2" t="s">
        <v>14289</v>
      </c>
      <c r="AG58" s="2" t="s">
        <v>14290</v>
      </c>
    </row>
    <row r="59" spans="1:33" x14ac:dyDescent="0.45">
      <c r="A59" s="2" t="s">
        <v>14653</v>
      </c>
      <c r="B59" s="2" t="s">
        <v>14654</v>
      </c>
      <c r="C59" s="2" t="s">
        <v>14655</v>
      </c>
      <c r="D59" s="2" t="s">
        <v>14656</v>
      </c>
      <c r="E59" s="2" t="s">
        <v>14657</v>
      </c>
      <c r="F59" s="2" t="s">
        <v>14658</v>
      </c>
      <c r="G59" s="2" t="s">
        <v>14658</v>
      </c>
      <c r="H59" s="2" t="s">
        <v>72</v>
      </c>
      <c r="I59" s="2" t="s">
        <v>73</v>
      </c>
      <c r="J59" s="2" t="s">
        <v>187</v>
      </c>
      <c r="K59" s="2" t="s">
        <v>14659</v>
      </c>
      <c r="L59" s="2"/>
      <c r="M59" s="2"/>
      <c r="N59" s="2"/>
      <c r="O59" s="2" t="s">
        <v>72</v>
      </c>
      <c r="P59" s="2" t="s">
        <v>73</v>
      </c>
      <c r="Q59" s="2" t="s">
        <v>187</v>
      </c>
      <c r="R59" s="2" t="s">
        <v>6446</v>
      </c>
      <c r="S59" s="2" t="s">
        <v>44</v>
      </c>
      <c r="T59" s="2"/>
      <c r="U59" s="2" t="s">
        <v>3527</v>
      </c>
      <c r="V59" s="2" t="s">
        <v>46</v>
      </c>
      <c r="W59" s="2" t="s">
        <v>3527</v>
      </c>
      <c r="X59" s="2" t="s">
        <v>189</v>
      </c>
      <c r="Y59" s="2" t="s">
        <v>48</v>
      </c>
      <c r="Z59" s="2" t="s">
        <v>49</v>
      </c>
      <c r="AA59" s="2">
        <v>100</v>
      </c>
      <c r="AB59" s="2">
        <v>90</v>
      </c>
      <c r="AC59" s="2" t="s">
        <v>50</v>
      </c>
      <c r="AD59" s="2" t="s">
        <v>190</v>
      </c>
      <c r="AE59" s="2"/>
      <c r="AF59" s="2" t="s">
        <v>14289</v>
      </c>
      <c r="AG59" s="2" t="s">
        <v>14290</v>
      </c>
    </row>
    <row r="60" spans="1:33" x14ac:dyDescent="0.45">
      <c r="A60" s="2" t="s">
        <v>14660</v>
      </c>
      <c r="B60" s="2" t="s">
        <v>14661</v>
      </c>
      <c r="C60" s="2" t="s">
        <v>14662</v>
      </c>
      <c r="D60" s="2" t="s">
        <v>14663</v>
      </c>
      <c r="E60" s="2" t="s">
        <v>14504</v>
      </c>
      <c r="F60" s="2" t="s">
        <v>14505</v>
      </c>
      <c r="G60" s="2" t="s">
        <v>14505</v>
      </c>
      <c r="H60" s="2" t="s">
        <v>72</v>
      </c>
      <c r="I60" s="2" t="s">
        <v>73</v>
      </c>
      <c r="J60" s="2" t="s">
        <v>464</v>
      </c>
      <c r="K60" s="2" t="s">
        <v>14664</v>
      </c>
      <c r="L60" s="2"/>
      <c r="M60" s="2"/>
      <c r="N60" s="2"/>
      <c r="O60" s="2" t="s">
        <v>72</v>
      </c>
      <c r="P60" s="2" t="s">
        <v>73</v>
      </c>
      <c r="Q60" s="2" t="s">
        <v>464</v>
      </c>
      <c r="R60" s="2" t="s">
        <v>6455</v>
      </c>
      <c r="S60" s="2" t="s">
        <v>44</v>
      </c>
      <c r="T60" s="2"/>
      <c r="U60" s="2" t="s">
        <v>3527</v>
      </c>
      <c r="V60" s="2" t="s">
        <v>46</v>
      </c>
      <c r="W60" s="2" t="s">
        <v>3527</v>
      </c>
      <c r="X60" s="2" t="s">
        <v>486</v>
      </c>
      <c r="Y60" s="2" t="s">
        <v>48</v>
      </c>
      <c r="Z60" s="2" t="s">
        <v>49</v>
      </c>
      <c r="AA60" s="2">
        <v>100</v>
      </c>
      <c r="AB60" s="2">
        <v>90</v>
      </c>
      <c r="AC60" s="2" t="s">
        <v>50</v>
      </c>
      <c r="AD60" s="2" t="s">
        <v>487</v>
      </c>
      <c r="AE60" s="2"/>
      <c r="AF60" s="2" t="s">
        <v>14289</v>
      </c>
      <c r="AG60" s="2" t="s">
        <v>14290</v>
      </c>
    </row>
    <row r="61" spans="1:33" x14ac:dyDescent="0.45">
      <c r="A61" s="2" t="s">
        <v>14665</v>
      </c>
      <c r="B61" s="2" t="s">
        <v>14666</v>
      </c>
      <c r="C61" s="2" t="s">
        <v>14667</v>
      </c>
      <c r="D61" s="2" t="s">
        <v>14668</v>
      </c>
      <c r="E61" s="2" t="s">
        <v>14669</v>
      </c>
      <c r="F61" s="2" t="s">
        <v>14670</v>
      </c>
      <c r="G61" s="2" t="s">
        <v>14670</v>
      </c>
      <c r="H61" s="2" t="s">
        <v>72</v>
      </c>
      <c r="I61" s="2" t="s">
        <v>73</v>
      </c>
      <c r="J61" s="2" t="s">
        <v>74</v>
      </c>
      <c r="K61" s="2" t="s">
        <v>14671</v>
      </c>
      <c r="L61" s="2"/>
      <c r="M61" s="2"/>
      <c r="N61" s="2"/>
      <c r="O61" s="2" t="s">
        <v>72</v>
      </c>
      <c r="P61" s="2" t="s">
        <v>73</v>
      </c>
      <c r="Q61" s="2" t="s">
        <v>74</v>
      </c>
      <c r="R61" s="2" t="s">
        <v>6502</v>
      </c>
      <c r="S61" s="2" t="s">
        <v>44</v>
      </c>
      <c r="T61" s="2"/>
      <c r="U61" s="2" t="s">
        <v>3527</v>
      </c>
      <c r="V61" s="2" t="s">
        <v>46</v>
      </c>
      <c r="W61" s="2" t="s">
        <v>3527</v>
      </c>
      <c r="X61" s="2" t="s">
        <v>77</v>
      </c>
      <c r="Y61" s="2" t="s">
        <v>48</v>
      </c>
      <c r="Z61" s="2" t="s">
        <v>49</v>
      </c>
      <c r="AA61" s="2">
        <v>100</v>
      </c>
      <c r="AB61" s="2">
        <v>90</v>
      </c>
      <c r="AC61" s="2" t="s">
        <v>50</v>
      </c>
      <c r="AD61" s="2" t="s">
        <v>78</v>
      </c>
      <c r="AE61" s="2"/>
      <c r="AF61" s="2" t="s">
        <v>14289</v>
      </c>
      <c r="AG61" s="2" t="s">
        <v>14290</v>
      </c>
    </row>
    <row r="62" spans="1:33" x14ac:dyDescent="0.45">
      <c r="A62" s="2" t="s">
        <v>14672</v>
      </c>
      <c r="B62" s="2" t="s">
        <v>14673</v>
      </c>
      <c r="C62" s="2" t="s">
        <v>14674</v>
      </c>
      <c r="D62" s="2" t="s">
        <v>14675</v>
      </c>
      <c r="E62" s="2" t="s">
        <v>861</v>
      </c>
      <c r="F62" s="2" t="s">
        <v>14676</v>
      </c>
      <c r="G62" s="2" t="s">
        <v>14676</v>
      </c>
      <c r="H62" s="2" t="s">
        <v>72</v>
      </c>
      <c r="I62" s="2" t="s">
        <v>73</v>
      </c>
      <c r="J62" s="2" t="s">
        <v>464</v>
      </c>
      <c r="K62" s="2" t="s">
        <v>14677</v>
      </c>
      <c r="L62" s="2"/>
      <c r="M62" s="2"/>
      <c r="N62" s="2"/>
      <c r="O62" s="2" t="s">
        <v>72</v>
      </c>
      <c r="P62" s="2" t="s">
        <v>73</v>
      </c>
      <c r="Q62" s="2" t="s">
        <v>162</v>
      </c>
      <c r="R62" s="2" t="s">
        <v>6548</v>
      </c>
      <c r="S62" s="2" t="s">
        <v>44</v>
      </c>
      <c r="T62" s="2"/>
      <c r="U62" s="2" t="s">
        <v>3527</v>
      </c>
      <c r="V62" s="2" t="s">
        <v>46</v>
      </c>
      <c r="W62" s="2" t="s">
        <v>3527</v>
      </c>
      <c r="X62" s="2" t="s">
        <v>865</v>
      </c>
      <c r="Y62" s="2" t="s">
        <v>48</v>
      </c>
      <c r="Z62" s="2" t="s">
        <v>49</v>
      </c>
      <c r="AA62" s="2">
        <v>100</v>
      </c>
      <c r="AB62" s="2">
        <v>90</v>
      </c>
      <c r="AC62" s="2" t="s">
        <v>50</v>
      </c>
      <c r="AD62" s="2" t="s">
        <v>866</v>
      </c>
      <c r="AE62" s="2"/>
      <c r="AF62" s="2" t="s">
        <v>14289</v>
      </c>
      <c r="AG62" s="2" t="s">
        <v>14290</v>
      </c>
    </row>
    <row r="63" spans="1:33" x14ac:dyDescent="0.45">
      <c r="A63" s="2" t="s">
        <v>14678</v>
      </c>
      <c r="B63" s="2" t="s">
        <v>14679</v>
      </c>
      <c r="C63" s="2" t="s">
        <v>14680</v>
      </c>
      <c r="D63" s="2" t="s">
        <v>14681</v>
      </c>
      <c r="E63" s="2" t="s">
        <v>14350</v>
      </c>
      <c r="F63" s="2" t="s">
        <v>14682</v>
      </c>
      <c r="G63" s="2" t="s">
        <v>14682</v>
      </c>
      <c r="H63" s="2" t="s">
        <v>72</v>
      </c>
      <c r="I63" s="2" t="s">
        <v>73</v>
      </c>
      <c r="J63" s="2" t="s">
        <v>373</v>
      </c>
      <c r="K63" s="2" t="s">
        <v>14683</v>
      </c>
      <c r="L63" s="2"/>
      <c r="M63" s="2"/>
      <c r="N63" s="2"/>
      <c r="O63" s="2" t="s">
        <v>72</v>
      </c>
      <c r="P63" s="2" t="s">
        <v>73</v>
      </c>
      <c r="Q63" s="2" t="s">
        <v>464</v>
      </c>
      <c r="R63" s="2" t="s">
        <v>14684</v>
      </c>
      <c r="S63" s="2" t="s">
        <v>44</v>
      </c>
      <c r="T63" s="2"/>
      <c r="U63" s="2" t="s">
        <v>3527</v>
      </c>
      <c r="V63" s="2" t="s">
        <v>46</v>
      </c>
      <c r="W63" s="2" t="s">
        <v>3527</v>
      </c>
      <c r="X63" s="2" t="s">
        <v>376</v>
      </c>
      <c r="Y63" s="2" t="s">
        <v>48</v>
      </c>
      <c r="Z63" s="2" t="s">
        <v>49</v>
      </c>
      <c r="AA63" s="2">
        <v>100</v>
      </c>
      <c r="AB63" s="2">
        <v>90</v>
      </c>
      <c r="AC63" s="2" t="s">
        <v>50</v>
      </c>
      <c r="AD63" s="2" t="s">
        <v>377</v>
      </c>
      <c r="AE63" s="2"/>
      <c r="AF63" s="2" t="s">
        <v>14289</v>
      </c>
      <c r="AG63" s="2" t="s">
        <v>14290</v>
      </c>
    </row>
    <row r="64" spans="1:33" x14ac:dyDescent="0.45">
      <c r="A64" s="2" t="s">
        <v>14685</v>
      </c>
      <c r="B64" s="2" t="s">
        <v>14686</v>
      </c>
      <c r="C64" s="2" t="s">
        <v>14687</v>
      </c>
      <c r="D64" s="2" t="s">
        <v>14688</v>
      </c>
      <c r="E64" s="2" t="s">
        <v>14689</v>
      </c>
      <c r="F64" s="2" t="s">
        <v>14690</v>
      </c>
      <c r="G64" s="2" t="s">
        <v>14690</v>
      </c>
      <c r="H64" s="2" t="s">
        <v>85</v>
      </c>
      <c r="I64" s="2" t="s">
        <v>86</v>
      </c>
      <c r="J64" s="2" t="s">
        <v>87</v>
      </c>
      <c r="K64" s="2" t="s">
        <v>14691</v>
      </c>
      <c r="L64" s="2"/>
      <c r="M64" s="2"/>
      <c r="N64" s="2"/>
      <c r="O64" s="2" t="s">
        <v>85</v>
      </c>
      <c r="P64" s="2" t="s">
        <v>86</v>
      </c>
      <c r="Q64" s="2" t="s">
        <v>87</v>
      </c>
      <c r="R64" s="2" t="s">
        <v>11203</v>
      </c>
      <c r="S64" s="2" t="s">
        <v>44</v>
      </c>
      <c r="T64" s="2"/>
      <c r="U64" s="2" t="s">
        <v>3527</v>
      </c>
      <c r="V64" s="2" t="s">
        <v>46</v>
      </c>
      <c r="W64" s="2" t="s">
        <v>3527</v>
      </c>
      <c r="X64" s="2" t="s">
        <v>89</v>
      </c>
      <c r="Y64" s="2" t="s">
        <v>48</v>
      </c>
      <c r="Z64" s="2" t="s">
        <v>49</v>
      </c>
      <c r="AA64" s="2">
        <v>100</v>
      </c>
      <c r="AB64" s="2">
        <v>90</v>
      </c>
      <c r="AC64" s="2" t="s">
        <v>50</v>
      </c>
      <c r="AD64" s="2" t="s">
        <v>90</v>
      </c>
      <c r="AE64" s="2"/>
      <c r="AF64" s="2" t="s">
        <v>14289</v>
      </c>
      <c r="AG64" s="2" t="s">
        <v>14290</v>
      </c>
    </row>
    <row r="65" spans="1:33" x14ac:dyDescent="0.45">
      <c r="A65" s="2" t="s">
        <v>14692</v>
      </c>
      <c r="B65" s="2" t="s">
        <v>14693</v>
      </c>
      <c r="C65" s="2" t="s">
        <v>14694</v>
      </c>
      <c r="D65" s="2" t="s">
        <v>14695</v>
      </c>
      <c r="E65" s="2" t="s">
        <v>14696</v>
      </c>
      <c r="F65" s="2" t="s">
        <v>14697</v>
      </c>
      <c r="G65" s="2" t="s">
        <v>14697</v>
      </c>
      <c r="H65" s="2" t="s">
        <v>72</v>
      </c>
      <c r="I65" s="2" t="s">
        <v>73</v>
      </c>
      <c r="J65" s="2" t="s">
        <v>74</v>
      </c>
      <c r="K65" s="2" t="s">
        <v>14698</v>
      </c>
      <c r="L65" s="2"/>
      <c r="M65" s="2"/>
      <c r="N65" s="2"/>
      <c r="O65" s="2" t="s">
        <v>72</v>
      </c>
      <c r="P65" s="2" t="s">
        <v>73</v>
      </c>
      <c r="Q65" s="2" t="s">
        <v>74</v>
      </c>
      <c r="R65" s="2" t="s">
        <v>14352</v>
      </c>
      <c r="S65" s="2" t="s">
        <v>44</v>
      </c>
      <c r="T65" s="2"/>
      <c r="U65" s="2" t="s">
        <v>3527</v>
      </c>
      <c r="V65" s="2" t="s">
        <v>46</v>
      </c>
      <c r="W65" s="2" t="s">
        <v>3527</v>
      </c>
      <c r="X65" s="2" t="s">
        <v>744</v>
      </c>
      <c r="Y65" s="2" t="s">
        <v>48</v>
      </c>
      <c r="Z65" s="2" t="s">
        <v>49</v>
      </c>
      <c r="AA65" s="2">
        <v>100</v>
      </c>
      <c r="AB65" s="2">
        <v>90</v>
      </c>
      <c r="AC65" s="2" t="s">
        <v>50</v>
      </c>
      <c r="AD65" s="2" t="s">
        <v>745</v>
      </c>
      <c r="AE65" s="2"/>
      <c r="AF65" s="2" t="s">
        <v>14289</v>
      </c>
      <c r="AG65" s="2" t="s">
        <v>14290</v>
      </c>
    </row>
    <row r="66" spans="1:33" x14ac:dyDescent="0.45">
      <c r="A66" s="2" t="s">
        <v>14699</v>
      </c>
      <c r="B66" s="2" t="s">
        <v>14700</v>
      </c>
      <c r="C66" s="2" t="s">
        <v>14701</v>
      </c>
      <c r="D66" s="2" t="s">
        <v>14702</v>
      </c>
      <c r="E66" s="2" t="s">
        <v>14436</v>
      </c>
      <c r="F66" s="2" t="s">
        <v>14703</v>
      </c>
      <c r="G66" s="2" t="s">
        <v>14703</v>
      </c>
      <c r="H66" s="2" t="s">
        <v>174</v>
      </c>
      <c r="I66" s="2" t="s">
        <v>175</v>
      </c>
      <c r="J66" s="2" t="s">
        <v>772</v>
      </c>
      <c r="K66" s="2" t="s">
        <v>14704</v>
      </c>
      <c r="L66" s="2"/>
      <c r="M66" s="2"/>
      <c r="N66" s="2"/>
      <c r="O66" s="2" t="s">
        <v>174</v>
      </c>
      <c r="P66" s="2" t="s">
        <v>175</v>
      </c>
      <c r="Q66" s="2" t="s">
        <v>176</v>
      </c>
      <c r="R66" s="2" t="s">
        <v>1702</v>
      </c>
      <c r="S66" s="2" t="s">
        <v>44</v>
      </c>
      <c r="T66" s="2"/>
      <c r="U66" s="2" t="s">
        <v>3527</v>
      </c>
      <c r="V66" s="2" t="s">
        <v>46</v>
      </c>
      <c r="W66" s="2" t="s">
        <v>3527</v>
      </c>
      <c r="X66" s="2" t="s">
        <v>774</v>
      </c>
      <c r="Y66" s="2" t="s">
        <v>48</v>
      </c>
      <c r="Z66" s="2" t="s">
        <v>49</v>
      </c>
      <c r="AA66" s="2">
        <v>100</v>
      </c>
      <c r="AB66" s="2">
        <v>90</v>
      </c>
      <c r="AC66" s="2" t="s">
        <v>50</v>
      </c>
      <c r="AD66" s="2" t="s">
        <v>775</v>
      </c>
      <c r="AE66" s="2"/>
      <c r="AF66" s="2" t="s">
        <v>14289</v>
      </c>
      <c r="AG66" s="2" t="s">
        <v>14290</v>
      </c>
    </row>
    <row r="67" spans="1:33" x14ac:dyDescent="0.45">
      <c r="A67" s="2" t="s">
        <v>14705</v>
      </c>
      <c r="B67" s="2" t="s">
        <v>14706</v>
      </c>
      <c r="C67" s="2" t="s">
        <v>14707</v>
      </c>
      <c r="D67" s="2" t="s">
        <v>14708</v>
      </c>
      <c r="E67" s="2" t="s">
        <v>14709</v>
      </c>
      <c r="F67" s="2" t="s">
        <v>14710</v>
      </c>
      <c r="G67" s="2" t="s">
        <v>14710</v>
      </c>
      <c r="H67" s="2" t="s">
        <v>651</v>
      </c>
      <c r="I67" s="2" t="s">
        <v>86</v>
      </c>
      <c r="J67" s="2" t="s">
        <v>87</v>
      </c>
      <c r="K67" s="2" t="s">
        <v>14708</v>
      </c>
      <c r="L67" s="2"/>
      <c r="M67" s="2"/>
      <c r="N67" s="2"/>
      <c r="O67" s="2" t="s">
        <v>651</v>
      </c>
      <c r="P67" s="2" t="s">
        <v>86</v>
      </c>
      <c r="Q67" s="2" t="s">
        <v>87</v>
      </c>
      <c r="R67" s="2" t="s">
        <v>14711</v>
      </c>
      <c r="S67" s="2" t="s">
        <v>44</v>
      </c>
      <c r="T67" s="2"/>
      <c r="U67" s="2" t="s">
        <v>3527</v>
      </c>
      <c r="V67" s="2" t="s">
        <v>46</v>
      </c>
      <c r="W67" s="2" t="s">
        <v>3527</v>
      </c>
      <c r="X67" s="2" t="s">
        <v>654</v>
      </c>
      <c r="Y67" s="2" t="s">
        <v>48</v>
      </c>
      <c r="Z67" s="2" t="s">
        <v>49</v>
      </c>
      <c r="AA67" s="2">
        <v>100</v>
      </c>
      <c r="AB67" s="2">
        <v>90</v>
      </c>
      <c r="AC67" s="2" t="s">
        <v>50</v>
      </c>
      <c r="AD67" s="2" t="s">
        <v>655</v>
      </c>
      <c r="AE67" s="2"/>
      <c r="AF67" s="2" t="s">
        <v>14289</v>
      </c>
      <c r="AG67" s="2" t="s">
        <v>14290</v>
      </c>
    </row>
    <row r="68" spans="1:33" x14ac:dyDescent="0.45">
      <c r="A68" s="2" t="s">
        <v>14712</v>
      </c>
      <c r="B68" s="2" t="s">
        <v>14713</v>
      </c>
      <c r="C68" s="2" t="s">
        <v>938</v>
      </c>
      <c r="D68" s="2" t="s">
        <v>14714</v>
      </c>
      <c r="E68" s="2" t="s">
        <v>940</v>
      </c>
      <c r="F68" s="2" t="s">
        <v>14715</v>
      </c>
      <c r="G68" s="2" t="s">
        <v>14715</v>
      </c>
      <c r="H68" s="2" t="s">
        <v>174</v>
      </c>
      <c r="I68" s="2" t="s">
        <v>175</v>
      </c>
      <c r="J68" s="2" t="s">
        <v>1316</v>
      </c>
      <c r="K68" s="2" t="s">
        <v>14714</v>
      </c>
      <c r="L68" s="2"/>
      <c r="M68" s="2"/>
      <c r="N68" s="2"/>
      <c r="O68" s="2" t="s">
        <v>174</v>
      </c>
      <c r="P68" s="2" t="s">
        <v>175</v>
      </c>
      <c r="Q68" s="2" t="s">
        <v>1316</v>
      </c>
      <c r="R68" s="2" t="s">
        <v>14716</v>
      </c>
      <c r="S68" s="2" t="s">
        <v>44</v>
      </c>
      <c r="T68" s="2"/>
      <c r="U68" s="2" t="s">
        <v>3527</v>
      </c>
      <c r="V68" s="2" t="s">
        <v>46</v>
      </c>
      <c r="W68" s="2" t="s">
        <v>3527</v>
      </c>
      <c r="X68" s="2" t="s">
        <v>943</v>
      </c>
      <c r="Y68" s="2" t="s">
        <v>48</v>
      </c>
      <c r="Z68" s="2" t="s">
        <v>49</v>
      </c>
      <c r="AA68" s="2">
        <v>100</v>
      </c>
      <c r="AB68" s="2">
        <v>90</v>
      </c>
      <c r="AC68" s="2" t="s">
        <v>50</v>
      </c>
      <c r="AD68" s="2" t="s">
        <v>944</v>
      </c>
      <c r="AE68" s="2"/>
      <c r="AF68" s="2" t="s">
        <v>14289</v>
      </c>
      <c r="AG68" s="2" t="s">
        <v>14290</v>
      </c>
    </row>
    <row r="69" spans="1:33" x14ac:dyDescent="0.45">
      <c r="A69" s="2" t="s">
        <v>14717</v>
      </c>
      <c r="B69" s="2" t="s">
        <v>14718</v>
      </c>
      <c r="C69" s="2" t="s">
        <v>14719</v>
      </c>
      <c r="D69" s="2" t="s">
        <v>910</v>
      </c>
      <c r="E69" s="2" t="s">
        <v>911</v>
      </c>
      <c r="F69" s="2" t="s">
        <v>14720</v>
      </c>
      <c r="G69" s="2" t="s">
        <v>14720</v>
      </c>
      <c r="H69" s="2" t="s">
        <v>72</v>
      </c>
      <c r="I69" s="2" t="s">
        <v>73</v>
      </c>
      <c r="J69" s="2" t="s">
        <v>913</v>
      </c>
      <c r="K69" s="2" t="s">
        <v>14721</v>
      </c>
      <c r="L69" s="2"/>
      <c r="M69" s="2"/>
      <c r="N69" s="2"/>
      <c r="O69" s="2" t="s">
        <v>72</v>
      </c>
      <c r="P69" s="2" t="s">
        <v>73</v>
      </c>
      <c r="Q69" s="2" t="s">
        <v>913</v>
      </c>
      <c r="R69" s="2" t="s">
        <v>4359</v>
      </c>
      <c r="S69" s="2" t="s">
        <v>44</v>
      </c>
      <c r="T69" s="2"/>
      <c r="U69" s="2" t="s">
        <v>3527</v>
      </c>
      <c r="V69" s="2" t="s">
        <v>46</v>
      </c>
      <c r="W69" s="2" t="s">
        <v>3527</v>
      </c>
      <c r="X69" s="2" t="s">
        <v>915</v>
      </c>
      <c r="Y69" s="2" t="s">
        <v>48</v>
      </c>
      <c r="Z69" s="2" t="s">
        <v>49</v>
      </c>
      <c r="AA69" s="2">
        <v>100</v>
      </c>
      <c r="AB69" s="2">
        <v>90</v>
      </c>
      <c r="AC69" s="2" t="s">
        <v>50</v>
      </c>
      <c r="AD69" s="2" t="s">
        <v>916</v>
      </c>
      <c r="AE69" s="2"/>
      <c r="AF69" s="2" t="s">
        <v>14289</v>
      </c>
      <c r="AG69" s="2" t="s">
        <v>14290</v>
      </c>
    </row>
    <row r="70" spans="1:33" x14ac:dyDescent="0.45">
      <c r="A70" s="2" t="s">
        <v>14722</v>
      </c>
      <c r="B70" s="2" t="s">
        <v>14723</v>
      </c>
      <c r="C70" s="2" t="s">
        <v>947</v>
      </c>
      <c r="D70" s="2" t="s">
        <v>14724</v>
      </c>
      <c r="E70" s="2" t="s">
        <v>949</v>
      </c>
      <c r="F70" s="2" t="s">
        <v>950</v>
      </c>
      <c r="G70" s="2" t="s">
        <v>950</v>
      </c>
      <c r="H70" s="2" t="s">
        <v>384</v>
      </c>
      <c r="I70" s="2" t="s">
        <v>73</v>
      </c>
      <c r="J70" s="2" t="s">
        <v>951</v>
      </c>
      <c r="K70" s="2" t="s">
        <v>14724</v>
      </c>
      <c r="L70" s="2"/>
      <c r="M70" s="2"/>
      <c r="N70" s="2"/>
      <c r="O70" s="2" t="s">
        <v>384</v>
      </c>
      <c r="P70" s="2" t="s">
        <v>73</v>
      </c>
      <c r="Q70" s="2" t="s">
        <v>951</v>
      </c>
      <c r="R70" s="2" t="s">
        <v>11406</v>
      </c>
      <c r="S70" s="2" t="s">
        <v>44</v>
      </c>
      <c r="T70" s="2"/>
      <c r="U70" s="2" t="s">
        <v>3527</v>
      </c>
      <c r="V70" s="2" t="s">
        <v>46</v>
      </c>
      <c r="W70" s="2" t="s">
        <v>3527</v>
      </c>
      <c r="X70" s="2" t="s">
        <v>955</v>
      </c>
      <c r="Y70" s="2" t="s">
        <v>48</v>
      </c>
      <c r="Z70" s="2" t="s">
        <v>49</v>
      </c>
      <c r="AA70" s="2">
        <v>100</v>
      </c>
      <c r="AB70" s="2">
        <v>90</v>
      </c>
      <c r="AC70" s="2" t="s">
        <v>50</v>
      </c>
      <c r="AD70" s="2" t="s">
        <v>956</v>
      </c>
      <c r="AE70" s="2"/>
      <c r="AF70" s="2" t="s">
        <v>14289</v>
      </c>
      <c r="AG70" s="2" t="s">
        <v>14290</v>
      </c>
    </row>
    <row r="71" spans="1:33" x14ac:dyDescent="0.45">
      <c r="A71" s="2" t="s">
        <v>14725</v>
      </c>
      <c r="B71" s="2" t="s">
        <v>14726</v>
      </c>
      <c r="C71" s="2" t="s">
        <v>14727</v>
      </c>
      <c r="D71" s="2" t="s">
        <v>14728</v>
      </c>
      <c r="E71" s="2" t="s">
        <v>14729</v>
      </c>
      <c r="F71" s="2" t="s">
        <v>14730</v>
      </c>
      <c r="G71" s="2" t="s">
        <v>14730</v>
      </c>
      <c r="H71" s="2" t="s">
        <v>59</v>
      </c>
      <c r="I71" s="2" t="s">
        <v>60</v>
      </c>
      <c r="J71" s="2" t="s">
        <v>61</v>
      </c>
      <c r="K71" s="2" t="s">
        <v>14728</v>
      </c>
      <c r="L71" s="2"/>
      <c r="M71" s="2"/>
      <c r="N71" s="2"/>
      <c r="O71" s="2" t="s">
        <v>59</v>
      </c>
      <c r="P71" s="2" t="s">
        <v>60</v>
      </c>
      <c r="Q71" s="2" t="s">
        <v>61</v>
      </c>
      <c r="R71" s="2" t="s">
        <v>14731</v>
      </c>
      <c r="S71" s="2" t="s">
        <v>44</v>
      </c>
      <c r="T71" s="2"/>
      <c r="U71" s="2" t="s">
        <v>3527</v>
      </c>
      <c r="V71" s="2" t="s">
        <v>46</v>
      </c>
      <c r="W71" s="2" t="s">
        <v>3527</v>
      </c>
      <c r="X71" s="2" t="s">
        <v>64</v>
      </c>
      <c r="Y71" s="2" t="s">
        <v>48</v>
      </c>
      <c r="Z71" s="2" t="s">
        <v>49</v>
      </c>
      <c r="AA71" s="2">
        <v>100</v>
      </c>
      <c r="AB71" s="2">
        <v>90</v>
      </c>
      <c r="AC71" s="2" t="s">
        <v>50</v>
      </c>
      <c r="AD71" s="2" t="s">
        <v>65</v>
      </c>
      <c r="AE71" s="2"/>
      <c r="AF71" s="2" t="s">
        <v>14289</v>
      </c>
      <c r="AG71" s="2" t="s">
        <v>14290</v>
      </c>
    </row>
    <row r="72" spans="1:33" x14ac:dyDescent="0.45">
      <c r="A72" s="2" t="s">
        <v>14732</v>
      </c>
      <c r="B72" s="2" t="s">
        <v>14733</v>
      </c>
      <c r="C72" s="2" t="s">
        <v>14734</v>
      </c>
      <c r="D72" s="2" t="s">
        <v>14735</v>
      </c>
      <c r="E72" s="2" t="s">
        <v>14736</v>
      </c>
      <c r="F72" s="2" t="s">
        <v>14737</v>
      </c>
      <c r="G72" s="2" t="s">
        <v>14737</v>
      </c>
      <c r="H72" s="2" t="s">
        <v>72</v>
      </c>
      <c r="I72" s="2" t="s">
        <v>73</v>
      </c>
      <c r="J72" s="2" t="s">
        <v>140</v>
      </c>
      <c r="K72" s="2" t="s">
        <v>14735</v>
      </c>
      <c r="L72" s="2"/>
      <c r="M72" s="2"/>
      <c r="N72" s="2"/>
      <c r="O72" s="2" t="s">
        <v>72</v>
      </c>
      <c r="P72" s="2" t="s">
        <v>73</v>
      </c>
      <c r="Q72" s="2" t="s">
        <v>140</v>
      </c>
      <c r="R72" s="2" t="s">
        <v>2158</v>
      </c>
      <c r="S72" s="2" t="s">
        <v>44</v>
      </c>
      <c r="T72" s="2"/>
      <c r="U72" s="2" t="s">
        <v>3527</v>
      </c>
      <c r="V72" s="2" t="s">
        <v>46</v>
      </c>
      <c r="W72" s="2" t="s">
        <v>3527</v>
      </c>
      <c r="X72" s="2" t="s">
        <v>143</v>
      </c>
      <c r="Y72" s="2" t="s">
        <v>48</v>
      </c>
      <c r="Z72" s="2" t="s">
        <v>49</v>
      </c>
      <c r="AA72" s="2">
        <v>100</v>
      </c>
      <c r="AB72" s="2">
        <v>90</v>
      </c>
      <c r="AC72" s="2" t="s">
        <v>50</v>
      </c>
      <c r="AD72" s="2" t="s">
        <v>144</v>
      </c>
      <c r="AE72" s="2"/>
      <c r="AF72" s="2" t="s">
        <v>14289</v>
      </c>
      <c r="AG72" s="2" t="s">
        <v>14290</v>
      </c>
    </row>
    <row r="73" spans="1:33" x14ac:dyDescent="0.45">
      <c r="A73" s="2" t="s">
        <v>14738</v>
      </c>
      <c r="B73" s="2" t="s">
        <v>14739</v>
      </c>
      <c r="C73" s="2" t="s">
        <v>988</v>
      </c>
      <c r="D73" s="2" t="s">
        <v>14740</v>
      </c>
      <c r="E73" s="2" t="s">
        <v>990</v>
      </c>
      <c r="F73" s="2" t="s">
        <v>14741</v>
      </c>
      <c r="G73" s="2" t="s">
        <v>14741</v>
      </c>
      <c r="H73" s="2" t="s">
        <v>384</v>
      </c>
      <c r="I73" s="2" t="s">
        <v>73</v>
      </c>
      <c r="J73" s="2" t="s">
        <v>14742</v>
      </c>
      <c r="K73" s="2" t="s">
        <v>14743</v>
      </c>
      <c r="L73" s="2"/>
      <c r="M73" s="2"/>
      <c r="N73" s="2"/>
      <c r="O73" s="2" t="s">
        <v>59</v>
      </c>
      <c r="P73" s="2" t="s">
        <v>60</v>
      </c>
      <c r="Q73" s="2" t="s">
        <v>992</v>
      </c>
      <c r="R73" s="2" t="s">
        <v>6846</v>
      </c>
      <c r="S73" s="2" t="s">
        <v>44</v>
      </c>
      <c r="T73" s="2"/>
      <c r="U73" s="2" t="s">
        <v>3527</v>
      </c>
      <c r="V73" s="2" t="s">
        <v>46</v>
      </c>
      <c r="W73" s="2" t="s">
        <v>3527</v>
      </c>
      <c r="X73" s="2" t="s">
        <v>994</v>
      </c>
      <c r="Y73" s="2" t="s">
        <v>48</v>
      </c>
      <c r="Z73" s="2" t="s">
        <v>49</v>
      </c>
      <c r="AA73" s="2">
        <v>100</v>
      </c>
      <c r="AB73" s="2">
        <v>90</v>
      </c>
      <c r="AC73" s="2" t="s">
        <v>50</v>
      </c>
      <c r="AD73" s="2" t="s">
        <v>995</v>
      </c>
      <c r="AE73" s="2"/>
      <c r="AF73" s="2" t="s">
        <v>14289</v>
      </c>
      <c r="AG73" s="2" t="s">
        <v>14290</v>
      </c>
    </row>
    <row r="74" spans="1:33" x14ac:dyDescent="0.45">
      <c r="A74" s="2" t="s">
        <v>917</v>
      </c>
      <c r="B74" s="2" t="s">
        <v>14744</v>
      </c>
      <c r="C74" s="2" t="s">
        <v>919</v>
      </c>
      <c r="D74" s="2" t="s">
        <v>920</v>
      </c>
      <c r="E74" s="2" t="s">
        <v>921</v>
      </c>
      <c r="F74" s="2" t="s">
        <v>14745</v>
      </c>
      <c r="G74" s="2" t="s">
        <v>14745</v>
      </c>
      <c r="H74" s="2" t="s">
        <v>72</v>
      </c>
      <c r="I74" s="2" t="s">
        <v>73</v>
      </c>
      <c r="J74" s="2" t="s">
        <v>464</v>
      </c>
      <c r="K74" s="2" t="s">
        <v>14746</v>
      </c>
      <c r="L74" s="2"/>
      <c r="M74" s="2"/>
      <c r="N74" s="2"/>
      <c r="O74" s="2" t="s">
        <v>72</v>
      </c>
      <c r="P74" s="2" t="s">
        <v>73</v>
      </c>
      <c r="Q74" s="2" t="s">
        <v>464</v>
      </c>
      <c r="R74" s="2" t="s">
        <v>14747</v>
      </c>
      <c r="S74" s="2" t="s">
        <v>44</v>
      </c>
      <c r="T74" s="2"/>
      <c r="U74" s="2" t="s">
        <v>3527</v>
      </c>
      <c r="V74" s="2" t="s">
        <v>199</v>
      </c>
      <c r="W74" s="2" t="s">
        <v>3527</v>
      </c>
      <c r="X74" s="2" t="s">
        <v>925</v>
      </c>
      <c r="Y74" s="2" t="s">
        <v>48</v>
      </c>
      <c r="Z74" s="2" t="s">
        <v>49</v>
      </c>
      <c r="AA74" s="2">
        <v>100</v>
      </c>
      <c r="AB74" s="2">
        <v>90</v>
      </c>
      <c r="AC74" s="2" t="s">
        <v>50</v>
      </c>
      <c r="AD74" s="2" t="s">
        <v>926</v>
      </c>
      <c r="AE74" s="2"/>
      <c r="AF74" s="2" t="s">
        <v>14289</v>
      </c>
      <c r="AG74" s="2" t="s">
        <v>14290</v>
      </c>
    </row>
    <row r="75" spans="1:33" x14ac:dyDescent="0.45">
      <c r="A75" s="2" t="s">
        <v>601</v>
      </c>
      <c r="B75" s="2" t="s">
        <v>14748</v>
      </c>
      <c r="C75" s="2" t="s">
        <v>14749</v>
      </c>
      <c r="D75" s="2" t="s">
        <v>14750</v>
      </c>
      <c r="E75" s="2" t="s">
        <v>14751</v>
      </c>
      <c r="F75" s="2" t="s">
        <v>14752</v>
      </c>
      <c r="G75" s="2" t="s">
        <v>14752</v>
      </c>
      <c r="H75" s="2" t="s">
        <v>72</v>
      </c>
      <c r="I75" s="2" t="s">
        <v>73</v>
      </c>
      <c r="J75" s="2" t="s">
        <v>607</v>
      </c>
      <c r="K75" s="2" t="s">
        <v>14753</v>
      </c>
      <c r="L75" s="2"/>
      <c r="M75" s="2"/>
      <c r="N75" s="2"/>
      <c r="O75" s="2" t="s">
        <v>72</v>
      </c>
      <c r="P75" s="2" t="s">
        <v>73</v>
      </c>
      <c r="Q75" s="2" t="s">
        <v>609</v>
      </c>
      <c r="R75" s="2" t="s">
        <v>9783</v>
      </c>
      <c r="S75" s="2" t="s">
        <v>44</v>
      </c>
      <c r="T75" s="2"/>
      <c r="U75" s="2" t="s">
        <v>3527</v>
      </c>
      <c r="V75" s="2" t="s">
        <v>199</v>
      </c>
      <c r="W75" s="2" t="s">
        <v>3527</v>
      </c>
      <c r="X75" s="2" t="s">
        <v>611</v>
      </c>
      <c r="Y75" s="2" t="s">
        <v>48</v>
      </c>
      <c r="Z75" s="2" t="s">
        <v>49</v>
      </c>
      <c r="AA75" s="2">
        <v>100</v>
      </c>
      <c r="AB75" s="2">
        <v>90</v>
      </c>
      <c r="AC75" s="2" t="s">
        <v>50</v>
      </c>
      <c r="AD75" s="2" t="s">
        <v>612</v>
      </c>
      <c r="AE75" s="2"/>
      <c r="AF75" s="2" t="s">
        <v>14289</v>
      </c>
      <c r="AG75" s="2" t="s">
        <v>14290</v>
      </c>
    </row>
    <row r="76" spans="1:33" x14ac:dyDescent="0.45">
      <c r="A76" s="2" t="s">
        <v>478</v>
      </c>
      <c r="B76" s="2" t="s">
        <v>14754</v>
      </c>
      <c r="C76" s="2" t="s">
        <v>14755</v>
      </c>
      <c r="D76" s="2" t="s">
        <v>14756</v>
      </c>
      <c r="E76" s="2" t="s">
        <v>14757</v>
      </c>
      <c r="F76" s="2" t="s">
        <v>14758</v>
      </c>
      <c r="G76" s="2" t="s">
        <v>14758</v>
      </c>
      <c r="H76" s="2" t="s">
        <v>72</v>
      </c>
      <c r="I76" s="2" t="s">
        <v>73</v>
      </c>
      <c r="J76" s="2" t="s">
        <v>484</v>
      </c>
      <c r="K76" s="2" t="s">
        <v>14756</v>
      </c>
      <c r="L76" s="2"/>
      <c r="M76" s="2"/>
      <c r="N76" s="2"/>
      <c r="O76" s="2" t="s">
        <v>72</v>
      </c>
      <c r="P76" s="2" t="s">
        <v>73</v>
      </c>
      <c r="Q76" s="2" t="s">
        <v>484</v>
      </c>
      <c r="R76" s="2" t="s">
        <v>10686</v>
      </c>
      <c r="S76" s="2" t="s">
        <v>44</v>
      </c>
      <c r="T76" s="2"/>
      <c r="U76" s="2" t="s">
        <v>3527</v>
      </c>
      <c r="V76" s="2" t="s">
        <v>199</v>
      </c>
      <c r="W76" s="2" t="s">
        <v>3527</v>
      </c>
      <c r="X76" s="2" t="s">
        <v>486</v>
      </c>
      <c r="Y76" s="2" t="s">
        <v>48</v>
      </c>
      <c r="Z76" s="2" t="s">
        <v>49</v>
      </c>
      <c r="AA76" s="2">
        <v>100</v>
      </c>
      <c r="AB76" s="2">
        <v>90</v>
      </c>
      <c r="AC76" s="2" t="s">
        <v>50</v>
      </c>
      <c r="AD76" s="2" t="s">
        <v>487</v>
      </c>
      <c r="AE76" s="2"/>
      <c r="AF76" s="2" t="s">
        <v>14289</v>
      </c>
      <c r="AG76" s="2" t="s">
        <v>14290</v>
      </c>
    </row>
    <row r="77" spans="1:33" x14ac:dyDescent="0.45">
      <c r="A77" s="2" t="s">
        <v>573</v>
      </c>
      <c r="B77" s="2" t="s">
        <v>14759</v>
      </c>
      <c r="C77" s="2" t="s">
        <v>14760</v>
      </c>
      <c r="D77" s="2" t="s">
        <v>14761</v>
      </c>
      <c r="E77" s="2" t="s">
        <v>14762</v>
      </c>
      <c r="F77" s="2" t="s">
        <v>14763</v>
      </c>
      <c r="G77" s="2" t="s">
        <v>14763</v>
      </c>
      <c r="H77" s="2" t="s">
        <v>85</v>
      </c>
      <c r="I77" s="2" t="s">
        <v>86</v>
      </c>
      <c r="J77" s="2" t="s">
        <v>579</v>
      </c>
      <c r="K77" s="2" t="s">
        <v>14764</v>
      </c>
      <c r="L77" s="2"/>
      <c r="M77" s="2"/>
      <c r="N77" s="2"/>
      <c r="O77" s="2" t="s">
        <v>72</v>
      </c>
      <c r="P77" s="2" t="s">
        <v>73</v>
      </c>
      <c r="Q77" s="2" t="s">
        <v>1164</v>
      </c>
      <c r="R77" s="2" t="s">
        <v>14765</v>
      </c>
      <c r="S77" s="2" t="s">
        <v>44</v>
      </c>
      <c r="T77" s="2"/>
      <c r="U77" s="2" t="s">
        <v>3527</v>
      </c>
      <c r="V77" s="2" t="s">
        <v>199</v>
      </c>
      <c r="W77" s="2" t="s">
        <v>3527</v>
      </c>
      <c r="X77" s="2" t="s">
        <v>581</v>
      </c>
      <c r="Y77" s="2" t="s">
        <v>48</v>
      </c>
      <c r="Z77" s="2" t="s">
        <v>49</v>
      </c>
      <c r="AA77" s="2">
        <v>100</v>
      </c>
      <c r="AB77" s="2">
        <v>90</v>
      </c>
      <c r="AC77" s="2" t="s">
        <v>50</v>
      </c>
      <c r="AD77" s="2" t="s">
        <v>582</v>
      </c>
      <c r="AE77" s="2"/>
      <c r="AF77" s="2" t="s">
        <v>14289</v>
      </c>
      <c r="AG77" s="2" t="s">
        <v>14290</v>
      </c>
    </row>
    <row r="78" spans="1:33" x14ac:dyDescent="0.45">
      <c r="A78" s="2" t="s">
        <v>14766</v>
      </c>
      <c r="B78" s="2" t="s">
        <v>14767</v>
      </c>
      <c r="C78" s="2" t="s">
        <v>14768</v>
      </c>
      <c r="D78" s="2" t="s">
        <v>14769</v>
      </c>
      <c r="E78" s="2" t="s">
        <v>14770</v>
      </c>
      <c r="F78" s="2" t="s">
        <v>14771</v>
      </c>
      <c r="G78" s="2" t="s">
        <v>14771</v>
      </c>
      <c r="H78" s="2" t="s">
        <v>59</v>
      </c>
      <c r="I78" s="2" t="s">
        <v>60</v>
      </c>
      <c r="J78" s="2" t="s">
        <v>1100</v>
      </c>
      <c r="K78" s="2" t="s">
        <v>14769</v>
      </c>
      <c r="L78" s="2"/>
      <c r="M78" s="2"/>
      <c r="N78" s="2"/>
      <c r="O78" s="2" t="s">
        <v>59</v>
      </c>
      <c r="P78" s="2" t="s">
        <v>60</v>
      </c>
      <c r="Q78" s="2" t="s">
        <v>1100</v>
      </c>
      <c r="R78" s="2" t="s">
        <v>12608</v>
      </c>
      <c r="S78" s="2" t="s">
        <v>44</v>
      </c>
      <c r="T78" s="2"/>
      <c r="U78" s="2" t="s">
        <v>3527</v>
      </c>
      <c r="V78" s="2" t="s">
        <v>46</v>
      </c>
      <c r="W78" s="2" t="s">
        <v>3527</v>
      </c>
      <c r="X78" s="2" t="s">
        <v>1104</v>
      </c>
      <c r="Y78" s="2" t="s">
        <v>48</v>
      </c>
      <c r="Z78" s="2" t="s">
        <v>49</v>
      </c>
      <c r="AA78" s="2">
        <v>100</v>
      </c>
      <c r="AB78" s="2">
        <v>90</v>
      </c>
      <c r="AC78" s="2" t="s">
        <v>50</v>
      </c>
      <c r="AD78" s="2" t="s">
        <v>1105</v>
      </c>
      <c r="AE78" s="2"/>
      <c r="AF78" s="2" t="s">
        <v>14289</v>
      </c>
      <c r="AG78" s="2" t="s">
        <v>14290</v>
      </c>
    </row>
    <row r="79" spans="1:33" x14ac:dyDescent="0.45">
      <c r="A79" s="2" t="s">
        <v>867</v>
      </c>
      <c r="B79" s="2" t="s">
        <v>14772</v>
      </c>
      <c r="C79" s="2" t="s">
        <v>14773</v>
      </c>
      <c r="D79" s="2" t="s">
        <v>14774</v>
      </c>
      <c r="E79" s="2" t="s">
        <v>871</v>
      </c>
      <c r="F79" s="2" t="s">
        <v>14775</v>
      </c>
      <c r="G79" s="2" t="s">
        <v>14775</v>
      </c>
      <c r="H79" s="2" t="s">
        <v>72</v>
      </c>
      <c r="I79" s="2" t="s">
        <v>73</v>
      </c>
      <c r="J79" s="2" t="s">
        <v>98</v>
      </c>
      <c r="K79" s="2" t="s">
        <v>14776</v>
      </c>
      <c r="L79" s="2"/>
      <c r="M79" s="2"/>
      <c r="N79" s="2"/>
      <c r="O79" s="2" t="s">
        <v>216</v>
      </c>
      <c r="P79" s="2" t="s">
        <v>217</v>
      </c>
      <c r="Q79" s="2" t="s">
        <v>875</v>
      </c>
      <c r="R79" s="2" t="s">
        <v>7564</v>
      </c>
      <c r="S79" s="2" t="s">
        <v>44</v>
      </c>
      <c r="T79" s="2"/>
      <c r="U79" s="2" t="s">
        <v>3527</v>
      </c>
      <c r="V79" s="2" t="s">
        <v>199</v>
      </c>
      <c r="W79" s="2" t="s">
        <v>3527</v>
      </c>
      <c r="X79" s="2" t="s">
        <v>877</v>
      </c>
      <c r="Y79" s="2" t="s">
        <v>48</v>
      </c>
      <c r="Z79" s="2" t="s">
        <v>49</v>
      </c>
      <c r="AA79" s="2">
        <v>100</v>
      </c>
      <c r="AB79" s="2">
        <v>90</v>
      </c>
      <c r="AC79" s="2" t="s">
        <v>50</v>
      </c>
      <c r="AD79" s="2" t="s">
        <v>878</v>
      </c>
      <c r="AE79" s="2"/>
      <c r="AF79" s="2" t="s">
        <v>14289</v>
      </c>
      <c r="AG79" s="2" t="s">
        <v>14290</v>
      </c>
    </row>
    <row r="80" spans="1:33" x14ac:dyDescent="0.45">
      <c r="A80" s="2" t="s">
        <v>191</v>
      </c>
      <c r="B80" s="2" t="s">
        <v>14777</v>
      </c>
      <c r="C80" s="2" t="s">
        <v>14778</v>
      </c>
      <c r="D80" s="2" t="s">
        <v>14779</v>
      </c>
      <c r="E80" s="2" t="s">
        <v>195</v>
      </c>
      <c r="F80" s="2" t="s">
        <v>14780</v>
      </c>
      <c r="G80" s="2" t="s">
        <v>14780</v>
      </c>
      <c r="H80" s="2" t="s">
        <v>72</v>
      </c>
      <c r="I80" s="2" t="s">
        <v>73</v>
      </c>
      <c r="J80" s="2" t="s">
        <v>197</v>
      </c>
      <c r="K80" s="2" t="s">
        <v>14779</v>
      </c>
      <c r="L80" s="2"/>
      <c r="M80" s="2"/>
      <c r="N80" s="2"/>
      <c r="O80" s="2" t="s">
        <v>72</v>
      </c>
      <c r="P80" s="2" t="s">
        <v>73</v>
      </c>
      <c r="Q80" s="2" t="s">
        <v>197</v>
      </c>
      <c r="R80" s="2" t="s">
        <v>10010</v>
      </c>
      <c r="S80" s="2" t="s">
        <v>44</v>
      </c>
      <c r="T80" s="2"/>
      <c r="U80" s="2" t="s">
        <v>3527</v>
      </c>
      <c r="V80" s="2" t="s">
        <v>199</v>
      </c>
      <c r="W80" s="2" t="s">
        <v>3527</v>
      </c>
      <c r="X80" s="2" t="s">
        <v>200</v>
      </c>
      <c r="Y80" s="2" t="s">
        <v>48</v>
      </c>
      <c r="Z80" s="2" t="s">
        <v>49</v>
      </c>
      <c r="AA80" s="2">
        <v>100</v>
      </c>
      <c r="AB80" s="2">
        <v>90</v>
      </c>
      <c r="AC80" s="2" t="s">
        <v>50</v>
      </c>
      <c r="AD80" s="2" t="s">
        <v>201</v>
      </c>
      <c r="AE80" s="2"/>
      <c r="AF80" s="2" t="s">
        <v>14289</v>
      </c>
      <c r="AG80" s="2" t="s">
        <v>14290</v>
      </c>
    </row>
    <row r="81" spans="1:33" x14ac:dyDescent="0.45">
      <c r="A81" s="2" t="s">
        <v>966</v>
      </c>
      <c r="B81" s="2" t="s">
        <v>14781</v>
      </c>
      <c r="C81" s="2" t="s">
        <v>968</v>
      </c>
      <c r="D81" s="2" t="s">
        <v>14782</v>
      </c>
      <c r="E81" s="2" t="s">
        <v>970</v>
      </c>
      <c r="F81" s="2" t="s">
        <v>14783</v>
      </c>
      <c r="G81" s="2" t="s">
        <v>14783</v>
      </c>
      <c r="H81" s="2" t="s">
        <v>72</v>
      </c>
      <c r="I81" s="2" t="s">
        <v>73</v>
      </c>
      <c r="J81" s="2" t="s">
        <v>464</v>
      </c>
      <c r="K81" s="2" t="s">
        <v>14782</v>
      </c>
      <c r="L81" s="2"/>
      <c r="M81" s="2"/>
      <c r="N81" s="2"/>
      <c r="O81" s="2" t="s">
        <v>72</v>
      </c>
      <c r="P81" s="2" t="s">
        <v>73</v>
      </c>
      <c r="Q81" s="2" t="s">
        <v>464</v>
      </c>
      <c r="R81" s="2" t="s">
        <v>2848</v>
      </c>
      <c r="S81" s="2" t="s">
        <v>44</v>
      </c>
      <c r="T81" s="2"/>
      <c r="U81" s="2" t="s">
        <v>3527</v>
      </c>
      <c r="V81" s="2" t="s">
        <v>199</v>
      </c>
      <c r="W81" s="2" t="s">
        <v>3527</v>
      </c>
      <c r="X81" s="2" t="s">
        <v>974</v>
      </c>
      <c r="Y81" s="2" t="s">
        <v>48</v>
      </c>
      <c r="Z81" s="2" t="s">
        <v>49</v>
      </c>
      <c r="AA81" s="2">
        <v>100</v>
      </c>
      <c r="AB81" s="2">
        <v>90</v>
      </c>
      <c r="AC81" s="2" t="s">
        <v>50</v>
      </c>
      <c r="AD81" s="2" t="s">
        <v>975</v>
      </c>
      <c r="AE81" s="2"/>
      <c r="AF81" s="2" t="s">
        <v>14289</v>
      </c>
      <c r="AG81" s="2" t="s">
        <v>14290</v>
      </c>
    </row>
    <row r="82" spans="1:33" x14ac:dyDescent="0.45">
      <c r="A82" s="2" t="s">
        <v>14784</v>
      </c>
      <c r="B82" s="2" t="s">
        <v>14785</v>
      </c>
      <c r="C82" s="2" t="s">
        <v>14786</v>
      </c>
      <c r="D82" s="2" t="s">
        <v>14787</v>
      </c>
      <c r="E82" s="2" t="s">
        <v>14788</v>
      </c>
      <c r="F82" s="2" t="s">
        <v>14789</v>
      </c>
      <c r="G82" s="2" t="s">
        <v>14789</v>
      </c>
      <c r="H82" s="2" t="s">
        <v>39</v>
      </c>
      <c r="I82" s="2" t="s">
        <v>40</v>
      </c>
      <c r="J82" s="2" t="s">
        <v>41</v>
      </c>
      <c r="K82" s="2" t="s">
        <v>14787</v>
      </c>
      <c r="L82" s="2"/>
      <c r="M82" s="2"/>
      <c r="N82" s="2"/>
      <c r="O82" s="2" t="s">
        <v>39</v>
      </c>
      <c r="P82" s="2" t="s">
        <v>40</v>
      </c>
      <c r="Q82" s="2" t="s">
        <v>41</v>
      </c>
      <c r="R82" s="2" t="s">
        <v>632</v>
      </c>
      <c r="S82" s="2" t="s">
        <v>44</v>
      </c>
      <c r="T82" s="2"/>
      <c r="U82" s="2" t="s">
        <v>3527</v>
      </c>
      <c r="V82" s="2" t="s">
        <v>46</v>
      </c>
      <c r="W82" s="2" t="s">
        <v>3527</v>
      </c>
      <c r="X82" s="2" t="s">
        <v>47</v>
      </c>
      <c r="Y82" s="2" t="s">
        <v>48</v>
      </c>
      <c r="Z82" s="2" t="s">
        <v>49</v>
      </c>
      <c r="AA82" s="2">
        <v>100</v>
      </c>
      <c r="AB82" s="2">
        <v>90</v>
      </c>
      <c r="AC82" s="2" t="s">
        <v>50</v>
      </c>
      <c r="AD82" s="2" t="s">
        <v>51</v>
      </c>
      <c r="AE82" s="2"/>
      <c r="AF82" s="2" t="s">
        <v>14289</v>
      </c>
      <c r="AG82" s="2" t="s">
        <v>14290</v>
      </c>
    </row>
    <row r="83" spans="1:33" x14ac:dyDescent="0.45">
      <c r="A83" s="2" t="s">
        <v>14790</v>
      </c>
      <c r="B83" s="2" t="s">
        <v>14791</v>
      </c>
      <c r="C83" s="2" t="s">
        <v>14792</v>
      </c>
      <c r="D83" s="2" t="s">
        <v>14793</v>
      </c>
      <c r="E83" s="2" t="s">
        <v>14794</v>
      </c>
      <c r="F83" s="2" t="s">
        <v>14795</v>
      </c>
      <c r="G83" s="2" t="s">
        <v>14795</v>
      </c>
      <c r="H83" s="2" t="s">
        <v>384</v>
      </c>
      <c r="I83" s="2" t="s">
        <v>73</v>
      </c>
      <c r="J83" s="2" t="s">
        <v>1012</v>
      </c>
      <c r="K83" s="2" t="s">
        <v>14796</v>
      </c>
      <c r="L83" s="2"/>
      <c r="M83" s="2"/>
      <c r="N83" s="2"/>
      <c r="O83" s="2" t="s">
        <v>384</v>
      </c>
      <c r="P83" s="2" t="s">
        <v>73</v>
      </c>
      <c r="Q83" s="2" t="s">
        <v>951</v>
      </c>
      <c r="R83" s="2" t="s">
        <v>5124</v>
      </c>
      <c r="S83" s="2" t="s">
        <v>44</v>
      </c>
      <c r="T83" s="2"/>
      <c r="U83" s="2" t="s">
        <v>3527</v>
      </c>
      <c r="V83" s="2" t="s">
        <v>46</v>
      </c>
      <c r="W83" s="2" t="s">
        <v>3527</v>
      </c>
      <c r="X83" s="2" t="s">
        <v>1015</v>
      </c>
      <c r="Y83" s="2" t="s">
        <v>48</v>
      </c>
      <c r="Z83" s="2" t="s">
        <v>49</v>
      </c>
      <c r="AA83" s="2">
        <v>100</v>
      </c>
      <c r="AB83" s="2">
        <v>90</v>
      </c>
      <c r="AC83" s="2" t="s">
        <v>50</v>
      </c>
      <c r="AD83" s="2" t="s">
        <v>1016</v>
      </c>
      <c r="AE83" s="2"/>
      <c r="AF83" s="2" t="s">
        <v>14289</v>
      </c>
      <c r="AG83" s="2" t="s">
        <v>14290</v>
      </c>
    </row>
    <row r="84" spans="1:33" x14ac:dyDescent="0.45">
      <c r="A84" s="2" t="s">
        <v>14797</v>
      </c>
      <c r="B84" s="2" t="s">
        <v>14798</v>
      </c>
      <c r="C84" s="2" t="s">
        <v>14799</v>
      </c>
      <c r="D84" s="2" t="s">
        <v>14800</v>
      </c>
      <c r="E84" s="2" t="s">
        <v>344</v>
      </c>
      <c r="F84" s="2" t="s">
        <v>14801</v>
      </c>
      <c r="G84" s="2" t="s">
        <v>14801</v>
      </c>
      <c r="H84" s="2" t="s">
        <v>277</v>
      </c>
      <c r="I84" s="2" t="s">
        <v>278</v>
      </c>
      <c r="J84" s="2" t="s">
        <v>279</v>
      </c>
      <c r="K84" s="2" t="s">
        <v>14800</v>
      </c>
      <c r="L84" s="2"/>
      <c r="M84" s="2"/>
      <c r="N84" s="2"/>
      <c r="O84" s="2" t="s">
        <v>277</v>
      </c>
      <c r="P84" s="2" t="s">
        <v>278</v>
      </c>
      <c r="Q84" s="2" t="s">
        <v>279</v>
      </c>
      <c r="R84" s="2" t="s">
        <v>5133</v>
      </c>
      <c r="S84" s="2" t="s">
        <v>44</v>
      </c>
      <c r="T84" s="2"/>
      <c r="U84" s="2" t="s">
        <v>3527</v>
      </c>
      <c r="V84" s="2" t="s">
        <v>46</v>
      </c>
      <c r="W84" s="2" t="s">
        <v>3527</v>
      </c>
      <c r="X84" s="2" t="s">
        <v>347</v>
      </c>
      <c r="Y84" s="2" t="s">
        <v>48</v>
      </c>
      <c r="Z84" s="2" t="s">
        <v>49</v>
      </c>
      <c r="AA84" s="2">
        <v>100</v>
      </c>
      <c r="AB84" s="2">
        <v>90</v>
      </c>
      <c r="AC84" s="2" t="s">
        <v>50</v>
      </c>
      <c r="AD84" s="2" t="s">
        <v>348</v>
      </c>
      <c r="AE84" s="2"/>
      <c r="AF84" s="2" t="s">
        <v>14289</v>
      </c>
      <c r="AG84" s="2" t="s">
        <v>14290</v>
      </c>
    </row>
    <row r="85" spans="1:33" x14ac:dyDescent="0.45">
      <c r="A85" s="2" t="s">
        <v>704</v>
      </c>
      <c r="B85" s="2" t="s">
        <v>14802</v>
      </c>
      <c r="C85" s="2" t="s">
        <v>14803</v>
      </c>
      <c r="D85" s="2" t="s">
        <v>14804</v>
      </c>
      <c r="E85" s="2" t="s">
        <v>14805</v>
      </c>
      <c r="F85" s="2" t="s">
        <v>14806</v>
      </c>
      <c r="G85" s="2" t="s">
        <v>14806</v>
      </c>
      <c r="H85" s="2" t="s">
        <v>72</v>
      </c>
      <c r="I85" s="2" t="s">
        <v>73</v>
      </c>
      <c r="J85" s="2" t="s">
        <v>74</v>
      </c>
      <c r="K85" s="2" t="s">
        <v>14804</v>
      </c>
      <c r="L85" s="2"/>
      <c r="M85" s="2"/>
      <c r="N85" s="2"/>
      <c r="O85" s="2" t="s">
        <v>72</v>
      </c>
      <c r="P85" s="2" t="s">
        <v>73</v>
      </c>
      <c r="Q85" s="2" t="s">
        <v>74</v>
      </c>
      <c r="R85" s="2" t="s">
        <v>7269</v>
      </c>
      <c r="S85" s="2" t="s">
        <v>44</v>
      </c>
      <c r="T85" s="2"/>
      <c r="U85" s="2" t="s">
        <v>3527</v>
      </c>
      <c r="V85" s="2" t="s">
        <v>199</v>
      </c>
      <c r="W85" s="2" t="s">
        <v>3527</v>
      </c>
      <c r="X85" s="2" t="s">
        <v>712</v>
      </c>
      <c r="Y85" s="2" t="s">
        <v>48</v>
      </c>
      <c r="Z85" s="2" t="s">
        <v>49</v>
      </c>
      <c r="AA85" s="2">
        <v>100</v>
      </c>
      <c r="AB85" s="2">
        <v>90</v>
      </c>
      <c r="AC85" s="2" t="s">
        <v>50</v>
      </c>
      <c r="AD85" s="2" t="s">
        <v>713</v>
      </c>
      <c r="AE85" s="2"/>
      <c r="AF85" s="2" t="s">
        <v>14289</v>
      </c>
      <c r="AG85" s="2" t="s">
        <v>14290</v>
      </c>
    </row>
    <row r="86" spans="1:33" x14ac:dyDescent="0.45">
      <c r="A86" s="2" t="s">
        <v>1075</v>
      </c>
      <c r="B86" s="2" t="s">
        <v>14807</v>
      </c>
      <c r="C86" s="2" t="s">
        <v>1077</v>
      </c>
      <c r="D86" s="2" t="s">
        <v>14808</v>
      </c>
      <c r="E86" s="2" t="s">
        <v>1079</v>
      </c>
      <c r="F86" s="2" t="s">
        <v>14809</v>
      </c>
      <c r="G86" s="2" t="s">
        <v>14809</v>
      </c>
      <c r="H86" s="2" t="s">
        <v>72</v>
      </c>
      <c r="I86" s="2" t="s">
        <v>73</v>
      </c>
      <c r="J86" s="2" t="s">
        <v>791</v>
      </c>
      <c r="K86" s="2" t="s">
        <v>14808</v>
      </c>
      <c r="L86" s="2"/>
      <c r="M86" s="2"/>
      <c r="N86" s="2"/>
      <c r="O86" s="2" t="s">
        <v>72</v>
      </c>
      <c r="P86" s="2" t="s">
        <v>73</v>
      </c>
      <c r="Q86" s="2" t="s">
        <v>791</v>
      </c>
      <c r="R86" s="2" t="s">
        <v>11729</v>
      </c>
      <c r="S86" s="2" t="s">
        <v>44</v>
      </c>
      <c r="T86" s="2"/>
      <c r="U86" s="2" t="s">
        <v>3527</v>
      </c>
      <c r="V86" s="2" t="s">
        <v>199</v>
      </c>
      <c r="W86" s="2" t="s">
        <v>3527</v>
      </c>
      <c r="X86" s="2" t="s">
        <v>1083</v>
      </c>
      <c r="Y86" s="2" t="s">
        <v>48</v>
      </c>
      <c r="Z86" s="2" t="s">
        <v>49</v>
      </c>
      <c r="AA86" s="2">
        <v>100</v>
      </c>
      <c r="AB86" s="2">
        <v>90</v>
      </c>
      <c r="AC86" s="2" t="s">
        <v>50</v>
      </c>
      <c r="AD86" s="2" t="s">
        <v>1084</v>
      </c>
      <c r="AE86" s="2"/>
      <c r="AF86" s="2" t="s">
        <v>14289</v>
      </c>
      <c r="AG86" s="2" t="s">
        <v>14290</v>
      </c>
    </row>
    <row r="87" spans="1:33" x14ac:dyDescent="0.45">
      <c r="A87" s="2" t="s">
        <v>14810</v>
      </c>
      <c r="B87" s="2" t="s">
        <v>14811</v>
      </c>
      <c r="C87" s="2" t="s">
        <v>14812</v>
      </c>
      <c r="D87" s="2" t="s">
        <v>14813</v>
      </c>
      <c r="E87" s="2" t="s">
        <v>14814</v>
      </c>
      <c r="F87" s="2" t="s">
        <v>14815</v>
      </c>
      <c r="G87" s="2" t="s">
        <v>14815</v>
      </c>
      <c r="H87" s="2" t="s">
        <v>72</v>
      </c>
      <c r="I87" s="2" t="s">
        <v>73</v>
      </c>
      <c r="J87" s="2" t="s">
        <v>464</v>
      </c>
      <c r="K87" s="2" t="s">
        <v>14813</v>
      </c>
      <c r="L87" s="2"/>
      <c r="M87" s="2"/>
      <c r="N87" s="2"/>
      <c r="O87" s="2" t="s">
        <v>72</v>
      </c>
      <c r="P87" s="2" t="s">
        <v>73</v>
      </c>
      <c r="Q87" s="2" t="s">
        <v>464</v>
      </c>
      <c r="R87" s="2" t="s">
        <v>5224</v>
      </c>
      <c r="S87" s="2" t="s">
        <v>44</v>
      </c>
      <c r="T87" s="2"/>
      <c r="U87" s="2" t="s">
        <v>3527</v>
      </c>
      <c r="V87" s="2" t="s">
        <v>46</v>
      </c>
      <c r="W87" s="2" t="s">
        <v>3527</v>
      </c>
      <c r="X87" s="2" t="s">
        <v>822</v>
      </c>
      <c r="Y87" s="2" t="s">
        <v>48</v>
      </c>
      <c r="Z87" s="2" t="s">
        <v>49</v>
      </c>
      <c r="AA87" s="2">
        <v>100</v>
      </c>
      <c r="AB87" s="2">
        <v>90</v>
      </c>
      <c r="AC87" s="2" t="s">
        <v>50</v>
      </c>
      <c r="AD87" s="2" t="s">
        <v>823</v>
      </c>
      <c r="AE87" s="2"/>
      <c r="AF87" s="2" t="s">
        <v>14289</v>
      </c>
      <c r="AG87" s="2" t="s">
        <v>14290</v>
      </c>
    </row>
    <row r="88" spans="1:33" x14ac:dyDescent="0.45">
      <c r="A88" s="2" t="s">
        <v>14816</v>
      </c>
      <c r="B88" s="2" t="s">
        <v>14817</v>
      </c>
      <c r="C88" s="2" t="s">
        <v>14818</v>
      </c>
      <c r="D88" s="2" t="s">
        <v>14819</v>
      </c>
      <c r="E88" s="2" t="s">
        <v>14820</v>
      </c>
      <c r="F88" s="2" t="s">
        <v>14821</v>
      </c>
      <c r="G88" s="2" t="s">
        <v>14821</v>
      </c>
      <c r="H88" s="2" t="s">
        <v>72</v>
      </c>
      <c r="I88" s="2" t="s">
        <v>73</v>
      </c>
      <c r="J88" s="2" t="s">
        <v>162</v>
      </c>
      <c r="K88" s="2" t="s">
        <v>14819</v>
      </c>
      <c r="L88" s="2"/>
      <c r="M88" s="2"/>
      <c r="N88" s="2"/>
      <c r="O88" s="2" t="s">
        <v>72</v>
      </c>
      <c r="P88" s="2" t="s">
        <v>73</v>
      </c>
      <c r="Q88" s="2" t="s">
        <v>162</v>
      </c>
      <c r="R88" s="2" t="s">
        <v>5286</v>
      </c>
      <c r="S88" s="2" t="s">
        <v>44</v>
      </c>
      <c r="T88" s="2"/>
      <c r="U88" s="2" t="s">
        <v>3527</v>
      </c>
      <c r="V88" s="2" t="s">
        <v>46</v>
      </c>
      <c r="W88" s="2" t="s">
        <v>3527</v>
      </c>
      <c r="X88" s="2" t="s">
        <v>165</v>
      </c>
      <c r="Y88" s="2" t="s">
        <v>48</v>
      </c>
      <c r="Z88" s="2" t="s">
        <v>49</v>
      </c>
      <c r="AA88" s="2">
        <v>100</v>
      </c>
      <c r="AB88" s="2">
        <v>90</v>
      </c>
      <c r="AC88" s="2" t="s">
        <v>50</v>
      </c>
      <c r="AD88" s="2" t="s">
        <v>166</v>
      </c>
      <c r="AE88" s="2"/>
      <c r="AF88" s="2" t="s">
        <v>14289</v>
      </c>
      <c r="AG88" s="2" t="s">
        <v>14290</v>
      </c>
    </row>
    <row r="89" spans="1:33" x14ac:dyDescent="0.45">
      <c r="A89" s="2" t="s">
        <v>14822</v>
      </c>
      <c r="B89" s="2" t="s">
        <v>14823</v>
      </c>
      <c r="C89" s="2" t="s">
        <v>806</v>
      </c>
      <c r="D89" s="2" t="s">
        <v>14824</v>
      </c>
      <c r="E89" s="2" t="s">
        <v>808</v>
      </c>
      <c r="F89" s="2" t="s">
        <v>14825</v>
      </c>
      <c r="G89" s="2" t="s">
        <v>14825</v>
      </c>
      <c r="H89" s="2" t="s">
        <v>174</v>
      </c>
      <c r="I89" s="2" t="s">
        <v>175</v>
      </c>
      <c r="J89" s="2" t="s">
        <v>810</v>
      </c>
      <c r="K89" s="2" t="s">
        <v>14824</v>
      </c>
      <c r="L89" s="2"/>
      <c r="M89" s="2"/>
      <c r="N89" s="2"/>
      <c r="O89" s="2" t="s">
        <v>174</v>
      </c>
      <c r="P89" s="2" t="s">
        <v>175</v>
      </c>
      <c r="Q89" s="2" t="s">
        <v>810</v>
      </c>
      <c r="R89" s="2" t="s">
        <v>14826</v>
      </c>
      <c r="S89" s="2" t="s">
        <v>44</v>
      </c>
      <c r="T89" s="2"/>
      <c r="U89" s="2" t="s">
        <v>3527</v>
      </c>
      <c r="V89" s="2" t="s">
        <v>46</v>
      </c>
      <c r="W89" s="2" t="s">
        <v>3527</v>
      </c>
      <c r="X89" s="2" t="s">
        <v>811</v>
      </c>
      <c r="Y89" s="2" t="s">
        <v>48</v>
      </c>
      <c r="Z89" s="2" t="s">
        <v>49</v>
      </c>
      <c r="AA89" s="2">
        <v>100</v>
      </c>
      <c r="AB89" s="2">
        <v>90</v>
      </c>
      <c r="AC89" s="2" t="s">
        <v>50</v>
      </c>
      <c r="AD89" s="2" t="s">
        <v>812</v>
      </c>
      <c r="AE89" s="2"/>
      <c r="AF89" s="2" t="s">
        <v>14289</v>
      </c>
      <c r="AG89" s="2" t="s">
        <v>14290</v>
      </c>
    </row>
    <row r="90" spans="1:33" x14ac:dyDescent="0.45">
      <c r="A90" s="2" t="s">
        <v>14466</v>
      </c>
      <c r="B90" s="2" t="s">
        <v>14827</v>
      </c>
      <c r="C90" s="2" t="s">
        <v>14828</v>
      </c>
      <c r="D90" s="2" t="s">
        <v>14829</v>
      </c>
      <c r="E90" s="2" t="s">
        <v>14830</v>
      </c>
      <c r="F90" s="2" t="s">
        <v>14831</v>
      </c>
      <c r="G90" s="2" t="s">
        <v>14831</v>
      </c>
      <c r="H90" s="2" t="s">
        <v>72</v>
      </c>
      <c r="I90" s="2" t="s">
        <v>73</v>
      </c>
      <c r="J90" s="2" t="s">
        <v>761</v>
      </c>
      <c r="K90" s="2" t="s">
        <v>14832</v>
      </c>
      <c r="L90" s="2"/>
      <c r="M90" s="2"/>
      <c r="N90" s="2"/>
      <c r="O90" s="2" t="s">
        <v>72</v>
      </c>
      <c r="P90" s="2" t="s">
        <v>73</v>
      </c>
      <c r="Q90" s="2" t="s">
        <v>761</v>
      </c>
      <c r="R90" s="2" t="s">
        <v>14833</v>
      </c>
      <c r="S90" s="2" t="s">
        <v>44</v>
      </c>
      <c r="T90" s="2"/>
      <c r="U90" s="2" t="s">
        <v>3527</v>
      </c>
      <c r="V90" s="2" t="s">
        <v>199</v>
      </c>
      <c r="W90" s="2" t="s">
        <v>3527</v>
      </c>
      <c r="X90" s="2" t="s">
        <v>764</v>
      </c>
      <c r="Y90" s="2" t="s">
        <v>48</v>
      </c>
      <c r="Z90" s="2" t="s">
        <v>49</v>
      </c>
      <c r="AA90" s="2">
        <v>100</v>
      </c>
      <c r="AB90" s="2">
        <v>90</v>
      </c>
      <c r="AC90" s="2" t="s">
        <v>50</v>
      </c>
      <c r="AD90" s="2" t="s">
        <v>765</v>
      </c>
      <c r="AE90" s="2"/>
      <c r="AF90" s="2" t="s">
        <v>14289</v>
      </c>
      <c r="AG90" s="2" t="s">
        <v>14290</v>
      </c>
    </row>
    <row r="91" spans="1:33" x14ac:dyDescent="0.45">
      <c r="A91" s="2" t="s">
        <v>14834</v>
      </c>
      <c r="B91" s="2" t="s">
        <v>14835</v>
      </c>
      <c r="C91" s="2" t="s">
        <v>14836</v>
      </c>
      <c r="D91" s="2" t="s">
        <v>14837</v>
      </c>
      <c r="E91" s="2" t="s">
        <v>14838</v>
      </c>
      <c r="F91" s="2" t="s">
        <v>3562</v>
      </c>
      <c r="G91" s="2" t="s">
        <v>3562</v>
      </c>
      <c r="H91" s="2" t="s">
        <v>72</v>
      </c>
      <c r="I91" s="2" t="s">
        <v>73</v>
      </c>
      <c r="J91" s="2" t="s">
        <v>1046</v>
      </c>
      <c r="K91" s="2" t="s">
        <v>14839</v>
      </c>
      <c r="L91" s="2"/>
      <c r="M91" s="2"/>
      <c r="N91" s="2"/>
      <c r="O91" s="2" t="s">
        <v>312</v>
      </c>
      <c r="P91" s="2" t="s">
        <v>313</v>
      </c>
      <c r="Q91" s="2" t="s">
        <v>1048</v>
      </c>
      <c r="R91" s="2" t="s">
        <v>14840</v>
      </c>
      <c r="S91" s="2" t="s">
        <v>44</v>
      </c>
      <c r="T91" s="2"/>
      <c r="U91" s="2" t="s">
        <v>3527</v>
      </c>
      <c r="V91" s="2" t="s">
        <v>46</v>
      </c>
      <c r="W91" s="2" t="s">
        <v>3527</v>
      </c>
      <c r="X91" s="2" t="s">
        <v>1050</v>
      </c>
      <c r="Y91" s="2" t="s">
        <v>48</v>
      </c>
      <c r="Z91" s="2" t="s">
        <v>49</v>
      </c>
      <c r="AA91" s="2">
        <v>100</v>
      </c>
      <c r="AB91" s="2">
        <v>90</v>
      </c>
      <c r="AC91" s="2" t="s">
        <v>50</v>
      </c>
      <c r="AD91" s="2" t="s">
        <v>1051</v>
      </c>
      <c r="AE91" s="2"/>
      <c r="AF91" s="2" t="s">
        <v>14289</v>
      </c>
      <c r="AG91" s="2" t="s">
        <v>14290</v>
      </c>
    </row>
    <row r="92" spans="1:33" x14ac:dyDescent="0.45">
      <c r="A92" s="2" t="s">
        <v>14841</v>
      </c>
      <c r="B92" s="2" t="s">
        <v>14842</v>
      </c>
      <c r="C92" s="2" t="s">
        <v>900</v>
      </c>
      <c r="D92" s="2" t="s">
        <v>14843</v>
      </c>
      <c r="E92" s="2" t="s">
        <v>902</v>
      </c>
      <c r="F92" s="2" t="s">
        <v>14844</v>
      </c>
      <c r="G92" s="2" t="s">
        <v>14844</v>
      </c>
      <c r="H92" s="2" t="s">
        <v>72</v>
      </c>
      <c r="I92" s="2" t="s">
        <v>73</v>
      </c>
      <c r="J92" s="2" t="s">
        <v>74</v>
      </c>
      <c r="K92" s="2" t="s">
        <v>14845</v>
      </c>
      <c r="L92" s="2"/>
      <c r="M92" s="2"/>
      <c r="N92" s="2"/>
      <c r="O92" s="2" t="s">
        <v>72</v>
      </c>
      <c r="P92" s="2" t="s">
        <v>73</v>
      </c>
      <c r="Q92" s="2" t="s">
        <v>74</v>
      </c>
      <c r="R92" s="2" t="s">
        <v>743</v>
      </c>
      <c r="S92" s="2" t="s">
        <v>44</v>
      </c>
      <c r="T92" s="2"/>
      <c r="U92" s="2" t="s">
        <v>3527</v>
      </c>
      <c r="V92" s="2" t="s">
        <v>46</v>
      </c>
      <c r="W92" s="2" t="s">
        <v>3527</v>
      </c>
      <c r="X92" s="2" t="s">
        <v>905</v>
      </c>
      <c r="Y92" s="2" t="s">
        <v>48</v>
      </c>
      <c r="Z92" s="2" t="s">
        <v>49</v>
      </c>
      <c r="AA92" s="2">
        <v>100</v>
      </c>
      <c r="AB92" s="2">
        <v>90</v>
      </c>
      <c r="AC92" s="2" t="s">
        <v>50</v>
      </c>
      <c r="AD92" s="2" t="s">
        <v>906</v>
      </c>
      <c r="AE92" s="2"/>
      <c r="AF92" s="2" t="s">
        <v>14289</v>
      </c>
      <c r="AG92" s="2" t="s">
        <v>14290</v>
      </c>
    </row>
    <row r="93" spans="1:33" x14ac:dyDescent="0.45">
      <c r="A93" s="2" t="s">
        <v>996</v>
      </c>
      <c r="B93" s="2" t="s">
        <v>14846</v>
      </c>
      <c r="C93" s="2" t="s">
        <v>14847</v>
      </c>
      <c r="D93" s="2" t="s">
        <v>999</v>
      </c>
      <c r="E93" s="2" t="s">
        <v>14848</v>
      </c>
      <c r="F93" s="2" t="s">
        <v>1001</v>
      </c>
      <c r="G93" s="2"/>
      <c r="H93" s="2" t="s">
        <v>72</v>
      </c>
      <c r="I93" s="2" t="s">
        <v>73</v>
      </c>
      <c r="J93" s="2" t="s">
        <v>484</v>
      </c>
      <c r="K93" s="2" t="s">
        <v>14849</v>
      </c>
      <c r="L93" s="2"/>
      <c r="M93" s="2"/>
      <c r="N93" s="2"/>
      <c r="O93" s="2" t="s">
        <v>72</v>
      </c>
      <c r="P93" s="2" t="s">
        <v>73</v>
      </c>
      <c r="Q93" s="2" t="s">
        <v>484</v>
      </c>
      <c r="R93" s="2" t="s">
        <v>1061</v>
      </c>
      <c r="S93" s="2" t="s">
        <v>44</v>
      </c>
      <c r="T93" s="2"/>
      <c r="U93" s="2" t="s">
        <v>3527</v>
      </c>
      <c r="V93" s="2" t="s">
        <v>199</v>
      </c>
      <c r="W93" s="2" t="s">
        <v>3527</v>
      </c>
      <c r="X93" s="2" t="s">
        <v>1004</v>
      </c>
      <c r="Y93" s="2" t="s">
        <v>48</v>
      </c>
      <c r="Z93" s="2" t="s">
        <v>49</v>
      </c>
      <c r="AA93" s="2">
        <v>100</v>
      </c>
      <c r="AB93" s="2">
        <v>90</v>
      </c>
      <c r="AC93" s="2" t="s">
        <v>50</v>
      </c>
      <c r="AD93" s="2" t="s">
        <v>1005</v>
      </c>
      <c r="AE93" s="2"/>
      <c r="AF93" s="2" t="s">
        <v>14289</v>
      </c>
      <c r="AG93" s="2" t="s">
        <v>14290</v>
      </c>
    </row>
    <row r="94" spans="1:33" x14ac:dyDescent="0.45">
      <c r="A94" s="2" t="s">
        <v>498</v>
      </c>
      <c r="B94" s="2" t="s">
        <v>14850</v>
      </c>
      <c r="C94" s="2" t="s">
        <v>14851</v>
      </c>
      <c r="D94" s="2" t="s">
        <v>14852</v>
      </c>
      <c r="E94" s="2" t="s">
        <v>14853</v>
      </c>
      <c r="F94" s="2" t="s">
        <v>14854</v>
      </c>
      <c r="G94" s="2" t="s">
        <v>14854</v>
      </c>
      <c r="H94" s="2" t="s">
        <v>72</v>
      </c>
      <c r="I94" s="2" t="s">
        <v>73</v>
      </c>
      <c r="J94" s="2" t="s">
        <v>74</v>
      </c>
      <c r="K94" s="2"/>
      <c r="L94" s="2"/>
      <c r="M94" s="2"/>
      <c r="N94" s="2"/>
      <c r="O94" s="2"/>
      <c r="P94" s="2"/>
      <c r="Q94" s="2"/>
      <c r="R94" s="2" t="s">
        <v>7581</v>
      </c>
      <c r="S94" s="2" t="s">
        <v>44</v>
      </c>
      <c r="T94" s="2"/>
      <c r="U94" s="2" t="s">
        <v>3527</v>
      </c>
      <c r="V94" s="2" t="s">
        <v>199</v>
      </c>
      <c r="W94" s="2" t="s">
        <v>3527</v>
      </c>
      <c r="X94" s="2" t="s">
        <v>506</v>
      </c>
      <c r="Y94" s="2" t="s">
        <v>48</v>
      </c>
      <c r="Z94" s="2" t="s">
        <v>49</v>
      </c>
      <c r="AA94" s="2">
        <v>100</v>
      </c>
      <c r="AB94" s="2">
        <v>90</v>
      </c>
      <c r="AC94" s="2" t="s">
        <v>50</v>
      </c>
      <c r="AD94" s="2" t="s">
        <v>507</v>
      </c>
      <c r="AE94" s="2"/>
      <c r="AF94" s="2" t="s">
        <v>14289</v>
      </c>
      <c r="AG94" s="2" t="s">
        <v>14290</v>
      </c>
    </row>
    <row r="95" spans="1:33" x14ac:dyDescent="0.45">
      <c r="A95" s="2" t="s">
        <v>1064</v>
      </c>
      <c r="B95" s="2" t="s">
        <v>14855</v>
      </c>
      <c r="C95" s="2" t="s">
        <v>14856</v>
      </c>
      <c r="D95" s="2" t="s">
        <v>14857</v>
      </c>
      <c r="E95" s="2" t="s">
        <v>14858</v>
      </c>
      <c r="F95" s="2" t="s">
        <v>3562</v>
      </c>
      <c r="G95" s="2" t="s">
        <v>3562</v>
      </c>
      <c r="H95" s="2" t="s">
        <v>536</v>
      </c>
      <c r="I95" s="2" t="s">
        <v>537</v>
      </c>
      <c r="J95" s="2" t="s">
        <v>1070</v>
      </c>
      <c r="K95" s="2" t="s">
        <v>14857</v>
      </c>
      <c r="L95" s="2"/>
      <c r="M95" s="2"/>
      <c r="N95" s="2"/>
      <c r="O95" s="2" t="s">
        <v>536</v>
      </c>
      <c r="P95" s="2" t="s">
        <v>537</v>
      </c>
      <c r="Q95" s="2" t="s">
        <v>1070</v>
      </c>
      <c r="R95" s="2" t="s">
        <v>14859</v>
      </c>
      <c r="S95" s="2" t="s">
        <v>44</v>
      </c>
      <c r="T95" s="2"/>
      <c r="U95" s="2" t="s">
        <v>3527</v>
      </c>
      <c r="V95" s="2" t="s">
        <v>199</v>
      </c>
      <c r="W95" s="2" t="s">
        <v>3527</v>
      </c>
      <c r="X95" s="2" t="s">
        <v>1073</v>
      </c>
      <c r="Y95" s="2" t="s">
        <v>48</v>
      </c>
      <c r="Z95" s="2" t="s">
        <v>49</v>
      </c>
      <c r="AA95" s="2">
        <v>100</v>
      </c>
      <c r="AB95" s="2">
        <v>90</v>
      </c>
      <c r="AC95" s="2" t="s">
        <v>50</v>
      </c>
      <c r="AD95" s="2" t="s">
        <v>1074</v>
      </c>
      <c r="AE95" s="2"/>
      <c r="AF95" s="2" t="s">
        <v>14289</v>
      </c>
      <c r="AG95" s="2" t="s">
        <v>14290</v>
      </c>
    </row>
    <row r="96" spans="1:33" x14ac:dyDescent="0.45">
      <c r="A96" s="2" t="s">
        <v>14860</v>
      </c>
      <c r="B96" s="2" t="s">
        <v>14861</v>
      </c>
      <c r="C96" s="2" t="s">
        <v>14862</v>
      </c>
      <c r="D96" s="2" t="s">
        <v>14863</v>
      </c>
      <c r="E96" s="2" t="s">
        <v>230</v>
      </c>
      <c r="F96" s="2" t="s">
        <v>709</v>
      </c>
      <c r="G96" s="2" t="s">
        <v>709</v>
      </c>
      <c r="H96" s="2" t="s">
        <v>72</v>
      </c>
      <c r="I96" s="2" t="s">
        <v>73</v>
      </c>
      <c r="J96" s="2" t="s">
        <v>232</v>
      </c>
      <c r="K96" s="2"/>
      <c r="L96" s="2"/>
      <c r="M96" s="2"/>
      <c r="N96" s="2"/>
      <c r="O96" s="2"/>
      <c r="P96" s="2"/>
      <c r="Q96" s="2"/>
      <c r="R96" s="2" t="s">
        <v>7648</v>
      </c>
      <c r="S96" s="2" t="s">
        <v>44</v>
      </c>
      <c r="T96" s="2"/>
      <c r="U96" s="2" t="s">
        <v>3527</v>
      </c>
      <c r="V96" s="2" t="s">
        <v>199</v>
      </c>
      <c r="W96" s="2" t="s">
        <v>3527</v>
      </c>
      <c r="X96" s="2" t="s">
        <v>235</v>
      </c>
      <c r="Y96" s="2" t="s">
        <v>48</v>
      </c>
      <c r="Z96" s="2" t="s">
        <v>49</v>
      </c>
      <c r="AA96" s="2">
        <v>100</v>
      </c>
      <c r="AB96" s="2">
        <v>90</v>
      </c>
      <c r="AC96" s="2" t="s">
        <v>50</v>
      </c>
      <c r="AD96" s="2" t="s">
        <v>236</v>
      </c>
      <c r="AE96" s="2"/>
      <c r="AF96" s="2" t="s">
        <v>14289</v>
      </c>
      <c r="AG96" s="2" t="s">
        <v>14290</v>
      </c>
    </row>
    <row r="97" spans="1:33" x14ac:dyDescent="0.45">
      <c r="A97" s="2" t="s">
        <v>957</v>
      </c>
      <c r="B97" s="2" t="s">
        <v>14864</v>
      </c>
      <c r="C97" s="2" t="s">
        <v>14865</v>
      </c>
      <c r="D97" s="2" t="s">
        <v>14866</v>
      </c>
      <c r="E97" s="2" t="s">
        <v>14867</v>
      </c>
      <c r="F97" s="2" t="s">
        <v>14868</v>
      </c>
      <c r="G97" s="2"/>
      <c r="H97" s="2" t="s">
        <v>72</v>
      </c>
      <c r="I97" s="2" t="s">
        <v>73</v>
      </c>
      <c r="J97" s="2" t="s">
        <v>74</v>
      </c>
      <c r="K97" s="2" t="s">
        <v>14866</v>
      </c>
      <c r="L97" s="2"/>
      <c r="M97" s="2"/>
      <c r="N97" s="2"/>
      <c r="O97" s="2" t="s">
        <v>72</v>
      </c>
      <c r="P97" s="2" t="s">
        <v>73</v>
      </c>
      <c r="Q97" s="2" t="s">
        <v>74</v>
      </c>
      <c r="R97" s="2" t="s">
        <v>5557</v>
      </c>
      <c r="S97" s="2" t="s">
        <v>44</v>
      </c>
      <c r="T97" s="2"/>
      <c r="U97" s="2" t="s">
        <v>3527</v>
      </c>
      <c r="V97" s="2" t="s">
        <v>199</v>
      </c>
      <c r="W97" s="2" t="s">
        <v>3527</v>
      </c>
      <c r="X97" s="2" t="s">
        <v>964</v>
      </c>
      <c r="Y97" s="2" t="s">
        <v>48</v>
      </c>
      <c r="Z97" s="2" t="s">
        <v>49</v>
      </c>
      <c r="AA97" s="2">
        <v>100</v>
      </c>
      <c r="AB97" s="2">
        <v>90</v>
      </c>
      <c r="AC97" s="2" t="s">
        <v>50</v>
      </c>
      <c r="AD97" s="2" t="s">
        <v>965</v>
      </c>
      <c r="AE97" s="2"/>
      <c r="AF97" s="2" t="s">
        <v>14289</v>
      </c>
      <c r="AG97" s="2" t="s">
        <v>14290</v>
      </c>
    </row>
    <row r="98" spans="1:33" x14ac:dyDescent="0.45">
      <c r="A98" s="2" t="s">
        <v>14869</v>
      </c>
      <c r="B98" s="2" t="s">
        <v>14870</v>
      </c>
      <c r="C98" s="2" t="s">
        <v>14871</v>
      </c>
      <c r="D98" s="2" t="s">
        <v>14872</v>
      </c>
      <c r="E98" s="2" t="s">
        <v>14873</v>
      </c>
      <c r="F98" s="2" t="s">
        <v>14874</v>
      </c>
      <c r="G98" s="2" t="s">
        <v>14874</v>
      </c>
      <c r="H98" s="2" t="s">
        <v>72</v>
      </c>
      <c r="I98" s="2" t="s">
        <v>73</v>
      </c>
      <c r="J98" s="2" t="s">
        <v>162</v>
      </c>
      <c r="K98" s="2" t="s">
        <v>14872</v>
      </c>
      <c r="L98" s="2"/>
      <c r="M98" s="2"/>
      <c r="N98" s="2"/>
      <c r="O98" s="2" t="s">
        <v>72</v>
      </c>
      <c r="P98" s="2" t="s">
        <v>73</v>
      </c>
      <c r="Q98" s="2" t="s">
        <v>162</v>
      </c>
      <c r="R98" s="2" t="s">
        <v>3439</v>
      </c>
      <c r="S98" s="2" t="s">
        <v>44</v>
      </c>
      <c r="T98" s="2"/>
      <c r="U98" s="2" t="s">
        <v>3527</v>
      </c>
      <c r="V98" s="2" t="s">
        <v>46</v>
      </c>
      <c r="W98" s="2" t="s">
        <v>3527</v>
      </c>
      <c r="X98" s="2" t="s">
        <v>1227</v>
      </c>
      <c r="Y98" s="2" t="s">
        <v>48</v>
      </c>
      <c r="Z98" s="2" t="s">
        <v>49</v>
      </c>
      <c r="AA98" s="2">
        <v>100</v>
      </c>
      <c r="AB98" s="2">
        <v>90</v>
      </c>
      <c r="AC98" s="2" t="s">
        <v>50</v>
      </c>
      <c r="AD98" s="2" t="s">
        <v>1228</v>
      </c>
      <c r="AE98" s="2"/>
      <c r="AF98" s="2" t="s">
        <v>14289</v>
      </c>
      <c r="AG98" s="2" t="s">
        <v>14290</v>
      </c>
    </row>
    <row r="99" spans="1:33" x14ac:dyDescent="0.45">
      <c r="A99" s="2" t="s">
        <v>927</v>
      </c>
      <c r="B99" s="2" t="s">
        <v>14875</v>
      </c>
      <c r="C99" s="2" t="s">
        <v>14876</v>
      </c>
      <c r="D99" s="2" t="s">
        <v>14877</v>
      </c>
      <c r="E99" s="2" t="s">
        <v>931</v>
      </c>
      <c r="F99" s="2" t="s">
        <v>709</v>
      </c>
      <c r="G99" s="2" t="s">
        <v>709</v>
      </c>
      <c r="H99" s="2" t="s">
        <v>72</v>
      </c>
      <c r="I99" s="2" t="s">
        <v>73</v>
      </c>
      <c r="J99" s="2" t="s">
        <v>98</v>
      </c>
      <c r="K99" s="2" t="s">
        <v>14877</v>
      </c>
      <c r="L99" s="2"/>
      <c r="M99" s="2"/>
      <c r="N99" s="2"/>
      <c r="O99" s="2" t="s">
        <v>72</v>
      </c>
      <c r="P99" s="2" t="s">
        <v>73</v>
      </c>
      <c r="Q99" s="2" t="s">
        <v>98</v>
      </c>
      <c r="R99" s="2" t="s">
        <v>3458</v>
      </c>
      <c r="S99" s="2" t="s">
        <v>44</v>
      </c>
      <c r="T99" s="2"/>
      <c r="U99" s="2" t="s">
        <v>3527</v>
      </c>
      <c r="V99" s="2" t="s">
        <v>199</v>
      </c>
      <c r="W99" s="2" t="s">
        <v>3527</v>
      </c>
      <c r="X99" s="2" t="s">
        <v>934</v>
      </c>
      <c r="Y99" s="2" t="s">
        <v>48</v>
      </c>
      <c r="Z99" s="2" t="s">
        <v>49</v>
      </c>
      <c r="AA99" s="2">
        <v>100</v>
      </c>
      <c r="AB99" s="2">
        <v>90</v>
      </c>
      <c r="AC99" s="2" t="s">
        <v>50</v>
      </c>
      <c r="AD99" s="2" t="s">
        <v>935</v>
      </c>
      <c r="AE99" s="2"/>
      <c r="AF99" s="2" t="s">
        <v>14289</v>
      </c>
      <c r="AG99" s="2" t="s">
        <v>14290</v>
      </c>
    </row>
    <row r="100" spans="1:33" x14ac:dyDescent="0.45">
      <c r="A100" s="2" t="s">
        <v>1052</v>
      </c>
      <c r="B100" s="2" t="s">
        <v>14878</v>
      </c>
      <c r="C100" s="2" t="s">
        <v>1054</v>
      </c>
      <c r="D100" s="2" t="s">
        <v>14879</v>
      </c>
      <c r="E100" s="2" t="s">
        <v>1056</v>
      </c>
      <c r="F100" s="2" t="s">
        <v>14880</v>
      </c>
      <c r="G100" s="2" t="s">
        <v>14880</v>
      </c>
      <c r="H100" s="2" t="s">
        <v>277</v>
      </c>
      <c r="I100" s="2" t="s">
        <v>278</v>
      </c>
      <c r="J100" s="2" t="s">
        <v>1058</v>
      </c>
      <c r="K100" s="2" t="s">
        <v>14881</v>
      </c>
      <c r="L100" s="2"/>
      <c r="M100" s="2"/>
      <c r="N100" s="2"/>
      <c r="O100" s="2" t="s">
        <v>277</v>
      </c>
      <c r="P100" s="2" t="s">
        <v>278</v>
      </c>
      <c r="Q100" s="2" t="s">
        <v>1060</v>
      </c>
      <c r="R100" s="2" t="s">
        <v>773</v>
      </c>
      <c r="S100" s="2" t="s">
        <v>44</v>
      </c>
      <c r="T100" s="2"/>
      <c r="U100" s="2" t="s">
        <v>3527</v>
      </c>
      <c r="V100" s="2" t="s">
        <v>199</v>
      </c>
      <c r="W100" s="2" t="s">
        <v>3527</v>
      </c>
      <c r="X100" s="2" t="s">
        <v>1062</v>
      </c>
      <c r="Y100" s="2" t="s">
        <v>48</v>
      </c>
      <c r="Z100" s="2" t="s">
        <v>49</v>
      </c>
      <c r="AA100" s="2">
        <v>100</v>
      </c>
      <c r="AB100" s="2">
        <v>90</v>
      </c>
      <c r="AC100" s="2" t="s">
        <v>50</v>
      </c>
      <c r="AD100" s="2" t="s">
        <v>1063</v>
      </c>
      <c r="AE100" s="2"/>
      <c r="AF100" s="2" t="s">
        <v>14289</v>
      </c>
      <c r="AG100" s="2" t="s">
        <v>14290</v>
      </c>
    </row>
    <row r="101" spans="1:33" x14ac:dyDescent="0.45">
      <c r="A101" s="2" t="s">
        <v>1085</v>
      </c>
      <c r="B101" s="2" t="s">
        <v>14882</v>
      </c>
      <c r="C101" s="2" t="s">
        <v>14883</v>
      </c>
      <c r="D101" s="2" t="s">
        <v>14884</v>
      </c>
      <c r="E101" s="2" t="s">
        <v>14885</v>
      </c>
      <c r="F101" s="2" t="s">
        <v>14886</v>
      </c>
      <c r="G101" s="2" t="s">
        <v>14886</v>
      </c>
      <c r="H101" s="2" t="s">
        <v>536</v>
      </c>
      <c r="I101" s="2" t="s">
        <v>537</v>
      </c>
      <c r="J101" s="2" t="s">
        <v>1091</v>
      </c>
      <c r="K101" s="2"/>
      <c r="L101" s="2"/>
      <c r="M101" s="2"/>
      <c r="N101" s="2"/>
      <c r="O101" s="2"/>
      <c r="P101" s="2"/>
      <c r="Q101" s="2"/>
      <c r="R101" s="2" t="s">
        <v>792</v>
      </c>
      <c r="S101" s="2" t="s">
        <v>44</v>
      </c>
      <c r="T101" s="2"/>
      <c r="U101" s="2" t="s">
        <v>3527</v>
      </c>
      <c r="V101" s="2" t="s">
        <v>199</v>
      </c>
      <c r="W101" s="2" t="s">
        <v>3527</v>
      </c>
      <c r="X101" s="2" t="s">
        <v>1093</v>
      </c>
      <c r="Y101" s="2" t="s">
        <v>48</v>
      </c>
      <c r="Z101" s="2" t="s">
        <v>49</v>
      </c>
      <c r="AA101" s="2">
        <v>100</v>
      </c>
      <c r="AB101" s="2">
        <v>90</v>
      </c>
      <c r="AC101" s="2" t="s">
        <v>50</v>
      </c>
      <c r="AD101" s="2" t="s">
        <v>1094</v>
      </c>
      <c r="AE101" s="2"/>
      <c r="AF101" s="2" t="s">
        <v>14289</v>
      </c>
      <c r="AG101" s="2" t="s">
        <v>14290</v>
      </c>
    </row>
    <row r="102" spans="1:33" x14ac:dyDescent="0.45">
      <c r="A102" s="2" t="s">
        <v>14887</v>
      </c>
      <c r="B102" s="2" t="s">
        <v>14888</v>
      </c>
      <c r="C102" s="2" t="s">
        <v>14889</v>
      </c>
      <c r="D102" s="2" t="s">
        <v>14890</v>
      </c>
      <c r="E102" s="2" t="s">
        <v>14891</v>
      </c>
      <c r="F102" s="2" t="s">
        <v>14892</v>
      </c>
      <c r="G102" s="2" t="s">
        <v>14892</v>
      </c>
      <c r="H102" s="2" t="s">
        <v>277</v>
      </c>
      <c r="I102" s="2" t="s">
        <v>278</v>
      </c>
      <c r="J102" s="2" t="s">
        <v>279</v>
      </c>
      <c r="K102" s="2" t="s">
        <v>14890</v>
      </c>
      <c r="L102" s="2"/>
      <c r="M102" s="2"/>
      <c r="N102" s="2"/>
      <c r="O102" s="2" t="s">
        <v>277</v>
      </c>
      <c r="P102" s="2" t="s">
        <v>278</v>
      </c>
      <c r="Q102" s="2" t="s">
        <v>279</v>
      </c>
      <c r="R102" s="2" t="s">
        <v>885</v>
      </c>
      <c r="S102" s="2" t="s">
        <v>44</v>
      </c>
      <c r="T102" s="2"/>
      <c r="U102" s="2" t="s">
        <v>3527</v>
      </c>
      <c r="V102" s="2" t="s">
        <v>46</v>
      </c>
      <c r="W102" s="2" t="s">
        <v>3527</v>
      </c>
      <c r="X102" s="2" t="s">
        <v>702</v>
      </c>
      <c r="Y102" s="2" t="s">
        <v>48</v>
      </c>
      <c r="Z102" s="2" t="s">
        <v>49</v>
      </c>
      <c r="AA102" s="2">
        <v>100</v>
      </c>
      <c r="AB102" s="2">
        <v>90</v>
      </c>
      <c r="AC102" s="2" t="s">
        <v>50</v>
      </c>
      <c r="AD102" s="2" t="s">
        <v>703</v>
      </c>
      <c r="AE102" s="2"/>
      <c r="AF102" s="2" t="s">
        <v>14289</v>
      </c>
      <c r="AG102" s="2" t="s">
        <v>14290</v>
      </c>
    </row>
    <row r="103" spans="1:33" x14ac:dyDescent="0.45">
      <c r="A103" s="2" t="s">
        <v>14893</v>
      </c>
      <c r="B103" s="2" t="s">
        <v>14894</v>
      </c>
      <c r="C103" s="2" t="s">
        <v>14895</v>
      </c>
      <c r="D103" s="2" t="s">
        <v>14896</v>
      </c>
      <c r="E103" s="2" t="s">
        <v>14897</v>
      </c>
      <c r="F103" s="2"/>
      <c r="G103" s="2"/>
      <c r="H103" s="2" t="s">
        <v>72</v>
      </c>
      <c r="I103" s="2" t="s">
        <v>73</v>
      </c>
      <c r="J103" s="2" t="s">
        <v>98</v>
      </c>
      <c r="K103" s="2" t="s">
        <v>14898</v>
      </c>
      <c r="L103" s="2"/>
      <c r="M103" s="2"/>
      <c r="N103" s="2"/>
      <c r="O103" s="2" t="s">
        <v>72</v>
      </c>
      <c r="P103" s="2" t="s">
        <v>73</v>
      </c>
      <c r="Q103" s="2" t="s">
        <v>98</v>
      </c>
      <c r="R103" s="2" t="s">
        <v>14899</v>
      </c>
      <c r="S103" s="2" t="s">
        <v>44</v>
      </c>
      <c r="T103" s="2"/>
      <c r="U103" s="2" t="s">
        <v>821</v>
      </c>
      <c r="V103" s="2" t="s">
        <v>46</v>
      </c>
      <c r="W103" s="2" t="s">
        <v>821</v>
      </c>
      <c r="X103" s="2" t="s">
        <v>3563</v>
      </c>
      <c r="Y103" s="2" t="s">
        <v>48</v>
      </c>
      <c r="Z103" s="2" t="s">
        <v>49</v>
      </c>
      <c r="AA103" s="2">
        <v>90</v>
      </c>
      <c r="AB103" s="2">
        <v>87</v>
      </c>
      <c r="AC103" s="2" t="s">
        <v>50</v>
      </c>
      <c r="AD103" s="2" t="s">
        <v>3564</v>
      </c>
      <c r="AE103" s="2"/>
      <c r="AF103" s="2" t="s">
        <v>14289</v>
      </c>
      <c r="AG103" s="2" t="s">
        <v>14290</v>
      </c>
    </row>
    <row r="104" spans="1:33" x14ac:dyDescent="0.45">
      <c r="A104" s="2" t="s">
        <v>3530</v>
      </c>
      <c r="B104" s="2" t="s">
        <v>14900</v>
      </c>
      <c r="C104" s="2" t="s">
        <v>3532</v>
      </c>
      <c r="D104" s="2" t="s">
        <v>14901</v>
      </c>
      <c r="E104" s="2" t="s">
        <v>3534</v>
      </c>
      <c r="F104" s="2"/>
      <c r="G104" s="2"/>
      <c r="H104" s="2" t="s">
        <v>72</v>
      </c>
      <c r="I104" s="2" t="s">
        <v>73</v>
      </c>
      <c r="J104" s="2" t="s">
        <v>243</v>
      </c>
      <c r="K104" s="2" t="s">
        <v>14901</v>
      </c>
      <c r="L104" s="2"/>
      <c r="M104" s="2"/>
      <c r="N104" s="2"/>
      <c r="O104" s="2" t="s">
        <v>72</v>
      </c>
      <c r="P104" s="2" t="s">
        <v>73</v>
      </c>
      <c r="Q104" s="2" t="s">
        <v>243</v>
      </c>
      <c r="R104" s="2" t="s">
        <v>5872</v>
      </c>
      <c r="S104" s="2" t="s">
        <v>44</v>
      </c>
      <c r="T104" s="2"/>
      <c r="U104" s="2" t="s">
        <v>821</v>
      </c>
      <c r="V104" s="2" t="s">
        <v>199</v>
      </c>
      <c r="W104" s="2" t="s">
        <v>821</v>
      </c>
      <c r="X104" s="2" t="s">
        <v>3538</v>
      </c>
      <c r="Y104" s="2" t="s">
        <v>48</v>
      </c>
      <c r="Z104" s="2" t="s">
        <v>49</v>
      </c>
      <c r="AA104" s="2">
        <v>90</v>
      </c>
      <c r="AB104" s="2">
        <v>87</v>
      </c>
      <c r="AC104" s="2" t="s">
        <v>50</v>
      </c>
      <c r="AD104" s="2" t="s">
        <v>3539</v>
      </c>
      <c r="AE104" s="2"/>
      <c r="AF104" s="2" t="s">
        <v>14289</v>
      </c>
      <c r="AG104" s="2" t="s">
        <v>14290</v>
      </c>
    </row>
    <row r="105" spans="1:33" x14ac:dyDescent="0.45">
      <c r="A105" s="2" t="s">
        <v>14902</v>
      </c>
      <c r="B105" s="2" t="s">
        <v>14903</v>
      </c>
      <c r="C105" s="2" t="s">
        <v>14904</v>
      </c>
      <c r="D105" s="2" t="s">
        <v>14905</v>
      </c>
      <c r="E105" s="2" t="s">
        <v>14906</v>
      </c>
      <c r="F105" s="2"/>
      <c r="G105" s="2"/>
      <c r="H105" s="2" t="s">
        <v>72</v>
      </c>
      <c r="I105" s="2" t="s">
        <v>73</v>
      </c>
      <c r="J105" s="2" t="s">
        <v>791</v>
      </c>
      <c r="K105" s="2" t="s">
        <v>14905</v>
      </c>
      <c r="L105" s="2"/>
      <c r="M105" s="2"/>
      <c r="N105" s="2"/>
      <c r="O105" s="2" t="s">
        <v>72</v>
      </c>
      <c r="P105" s="2" t="s">
        <v>73</v>
      </c>
      <c r="Q105" s="2" t="s">
        <v>791</v>
      </c>
      <c r="R105" s="2" t="s">
        <v>4214</v>
      </c>
      <c r="S105" s="2" t="s">
        <v>44</v>
      </c>
      <c r="T105" s="2"/>
      <c r="U105" s="2" t="s">
        <v>821</v>
      </c>
      <c r="V105" s="2" t="s">
        <v>46</v>
      </c>
      <c r="W105" s="2" t="s">
        <v>821</v>
      </c>
      <c r="X105" s="2" t="s">
        <v>802</v>
      </c>
      <c r="Y105" s="2" t="s">
        <v>48</v>
      </c>
      <c r="Z105" s="2" t="s">
        <v>49</v>
      </c>
      <c r="AA105" s="2">
        <v>90</v>
      </c>
      <c r="AB105" s="2">
        <v>87</v>
      </c>
      <c r="AC105" s="2" t="s">
        <v>50</v>
      </c>
      <c r="AD105" s="2" t="s">
        <v>803</v>
      </c>
      <c r="AE105" s="2"/>
      <c r="AF105" s="2" t="s">
        <v>14289</v>
      </c>
      <c r="AG105" s="2" t="s">
        <v>14290</v>
      </c>
    </row>
    <row r="106" spans="1:33" x14ac:dyDescent="0.45">
      <c r="A106" s="2" t="s">
        <v>3549</v>
      </c>
      <c r="B106" s="2" t="s">
        <v>14907</v>
      </c>
      <c r="C106" s="2" t="s">
        <v>3551</v>
      </c>
      <c r="D106" s="2" t="s">
        <v>14908</v>
      </c>
      <c r="E106" s="2" t="s">
        <v>3553</v>
      </c>
      <c r="F106" s="2"/>
      <c r="G106" s="2"/>
      <c r="H106" s="2" t="s">
        <v>536</v>
      </c>
      <c r="I106" s="2" t="s">
        <v>537</v>
      </c>
      <c r="J106" s="2" t="s">
        <v>538</v>
      </c>
      <c r="K106" s="2" t="s">
        <v>14909</v>
      </c>
      <c r="L106" s="2"/>
      <c r="M106" s="2"/>
      <c r="N106" s="2"/>
      <c r="O106" s="2" t="s">
        <v>536</v>
      </c>
      <c r="P106" s="2" t="s">
        <v>537</v>
      </c>
      <c r="Q106" s="2" t="s">
        <v>538</v>
      </c>
      <c r="R106" s="2" t="s">
        <v>14910</v>
      </c>
      <c r="S106" s="2" t="s">
        <v>44</v>
      </c>
      <c r="T106" s="2"/>
      <c r="U106" s="2" t="s">
        <v>821</v>
      </c>
      <c r="V106" s="2" t="s">
        <v>199</v>
      </c>
      <c r="W106" s="2" t="s">
        <v>821</v>
      </c>
      <c r="X106" s="2" t="s">
        <v>3555</v>
      </c>
      <c r="Y106" s="2" t="s">
        <v>48</v>
      </c>
      <c r="Z106" s="2" t="s">
        <v>49</v>
      </c>
      <c r="AA106" s="2">
        <v>90</v>
      </c>
      <c r="AB106" s="2">
        <v>87</v>
      </c>
      <c r="AC106" s="2" t="s">
        <v>50</v>
      </c>
      <c r="AD106" s="2" t="s">
        <v>3556</v>
      </c>
      <c r="AE106" s="2"/>
      <c r="AF106" s="2" t="s">
        <v>14289</v>
      </c>
      <c r="AG106" s="2" t="s">
        <v>14290</v>
      </c>
    </row>
    <row r="107" spans="1:33" x14ac:dyDescent="0.45">
      <c r="A107" s="2" t="s">
        <v>14911</v>
      </c>
      <c r="B107" s="2" t="s">
        <v>14912</v>
      </c>
      <c r="C107" s="2" t="s">
        <v>14913</v>
      </c>
      <c r="D107" s="2" t="s">
        <v>14914</v>
      </c>
      <c r="E107" s="2" t="s">
        <v>14915</v>
      </c>
      <c r="F107" s="2"/>
      <c r="G107" s="2"/>
      <c r="H107" s="2" t="s">
        <v>72</v>
      </c>
      <c r="I107" s="2" t="s">
        <v>73</v>
      </c>
      <c r="J107" s="2" t="s">
        <v>98</v>
      </c>
      <c r="K107" s="2" t="s">
        <v>14914</v>
      </c>
      <c r="L107" s="2"/>
      <c r="M107" s="2"/>
      <c r="N107" s="2"/>
      <c r="O107" s="2" t="s">
        <v>72</v>
      </c>
      <c r="P107" s="2" t="s">
        <v>73</v>
      </c>
      <c r="Q107" s="2" t="s">
        <v>98</v>
      </c>
      <c r="R107" s="2" t="s">
        <v>8105</v>
      </c>
      <c r="S107" s="2" t="s">
        <v>44</v>
      </c>
      <c r="T107" s="2"/>
      <c r="U107" s="2" t="s">
        <v>821</v>
      </c>
      <c r="V107" s="2" t="s">
        <v>46</v>
      </c>
      <c r="W107" s="2" t="s">
        <v>821</v>
      </c>
      <c r="X107" s="2" t="s">
        <v>3528</v>
      </c>
      <c r="Y107" s="2" t="s">
        <v>48</v>
      </c>
      <c r="Z107" s="2" t="s">
        <v>49</v>
      </c>
      <c r="AA107" s="2">
        <v>90</v>
      </c>
      <c r="AB107" s="2">
        <v>87</v>
      </c>
      <c r="AC107" s="2" t="s">
        <v>50</v>
      </c>
      <c r="AD107" s="2" t="s">
        <v>3529</v>
      </c>
      <c r="AE107" s="2"/>
      <c r="AF107" s="2" t="s">
        <v>14289</v>
      </c>
      <c r="AG107" s="2" t="s">
        <v>14290</v>
      </c>
    </row>
    <row r="108" spans="1:33" x14ac:dyDescent="0.45">
      <c r="A108" s="2" t="s">
        <v>14916</v>
      </c>
      <c r="B108" s="2" t="s">
        <v>14917</v>
      </c>
      <c r="C108" s="2" t="s">
        <v>14918</v>
      </c>
      <c r="D108" s="2" t="s">
        <v>14919</v>
      </c>
      <c r="E108" s="2" t="s">
        <v>14920</v>
      </c>
      <c r="F108" s="2"/>
      <c r="G108" s="2"/>
      <c r="H108" s="2" t="s">
        <v>72</v>
      </c>
      <c r="I108" s="2" t="s">
        <v>73</v>
      </c>
      <c r="J108" s="2" t="s">
        <v>1430</v>
      </c>
      <c r="K108" s="2" t="s">
        <v>14919</v>
      </c>
      <c r="L108" s="2"/>
      <c r="M108" s="2"/>
      <c r="N108" s="2"/>
      <c r="O108" s="2" t="s">
        <v>72</v>
      </c>
      <c r="P108" s="2" t="s">
        <v>73</v>
      </c>
      <c r="Q108" s="2" t="s">
        <v>1430</v>
      </c>
      <c r="R108" s="2" t="s">
        <v>14921</v>
      </c>
      <c r="S108" s="2" t="s">
        <v>44</v>
      </c>
      <c r="T108" s="2"/>
      <c r="U108" s="2" t="s">
        <v>821</v>
      </c>
      <c r="V108" s="2" t="s">
        <v>46</v>
      </c>
      <c r="W108" s="2" t="s">
        <v>821</v>
      </c>
      <c r="X108" s="2" t="s">
        <v>416</v>
      </c>
      <c r="Y108" s="2" t="s">
        <v>48</v>
      </c>
      <c r="Z108" s="2" t="s">
        <v>49</v>
      </c>
      <c r="AA108" s="2">
        <v>90</v>
      </c>
      <c r="AB108" s="2">
        <v>87</v>
      </c>
      <c r="AC108" s="2" t="s">
        <v>50</v>
      </c>
      <c r="AD108" s="2" t="s">
        <v>417</v>
      </c>
      <c r="AE108" s="2"/>
      <c r="AF108" s="2" t="s">
        <v>14289</v>
      </c>
      <c r="AG108" s="2" t="s">
        <v>14290</v>
      </c>
    </row>
    <row r="109" spans="1:33" x14ac:dyDescent="0.45">
      <c r="A109" s="2" t="s">
        <v>14922</v>
      </c>
      <c r="B109" s="2" t="s">
        <v>14923</v>
      </c>
      <c r="C109" s="2" t="s">
        <v>14924</v>
      </c>
      <c r="D109" s="2" t="s">
        <v>14925</v>
      </c>
      <c r="E109" s="2" t="s">
        <v>95</v>
      </c>
      <c r="F109" s="2"/>
      <c r="G109" s="2"/>
      <c r="H109" s="2" t="s">
        <v>72</v>
      </c>
      <c r="I109" s="2" t="s">
        <v>73</v>
      </c>
      <c r="J109" s="2" t="s">
        <v>98</v>
      </c>
      <c r="K109" s="2" t="s">
        <v>14925</v>
      </c>
      <c r="L109" s="2"/>
      <c r="M109" s="2"/>
      <c r="N109" s="2"/>
      <c r="O109" s="2" t="s">
        <v>72</v>
      </c>
      <c r="P109" s="2" t="s">
        <v>73</v>
      </c>
      <c r="Q109" s="2" t="s">
        <v>98</v>
      </c>
      <c r="R109" s="2" t="s">
        <v>1991</v>
      </c>
      <c r="S109" s="2" t="s">
        <v>44</v>
      </c>
      <c r="T109" s="2"/>
      <c r="U109" s="2" t="s">
        <v>821</v>
      </c>
      <c r="V109" s="2" t="s">
        <v>46</v>
      </c>
      <c r="W109" s="2" t="s">
        <v>821</v>
      </c>
      <c r="X109" s="2" t="s">
        <v>100</v>
      </c>
      <c r="Y109" s="2" t="s">
        <v>48</v>
      </c>
      <c r="Z109" s="2" t="s">
        <v>49</v>
      </c>
      <c r="AA109" s="2">
        <v>90</v>
      </c>
      <c r="AB109" s="2">
        <v>87</v>
      </c>
      <c r="AC109" s="2" t="s">
        <v>50</v>
      </c>
      <c r="AD109" s="2" t="s">
        <v>101</v>
      </c>
      <c r="AE109" s="2"/>
      <c r="AF109" s="2" t="s">
        <v>14289</v>
      </c>
      <c r="AG109" s="2" t="s">
        <v>14290</v>
      </c>
    </row>
    <row r="110" spans="1:33" x14ac:dyDescent="0.45">
      <c r="A110" s="2" t="s">
        <v>14926</v>
      </c>
      <c r="B110" s="2" t="s">
        <v>14927</v>
      </c>
      <c r="C110" s="2" t="s">
        <v>14928</v>
      </c>
      <c r="D110" s="2" t="s">
        <v>14929</v>
      </c>
      <c r="E110" s="2" t="s">
        <v>14930</v>
      </c>
      <c r="F110" s="2"/>
      <c r="G110" s="2"/>
      <c r="H110" s="2" t="s">
        <v>384</v>
      </c>
      <c r="I110" s="2" t="s">
        <v>73</v>
      </c>
      <c r="J110" s="2" t="s">
        <v>559</v>
      </c>
      <c r="K110" s="2" t="s">
        <v>14931</v>
      </c>
      <c r="L110" s="2"/>
      <c r="M110" s="2"/>
      <c r="N110" s="2"/>
      <c r="O110" s="2" t="s">
        <v>384</v>
      </c>
      <c r="P110" s="2" t="s">
        <v>73</v>
      </c>
      <c r="Q110" s="2" t="s">
        <v>559</v>
      </c>
      <c r="R110" s="2" t="s">
        <v>14932</v>
      </c>
      <c r="S110" s="2" t="s">
        <v>44</v>
      </c>
      <c r="T110" s="2"/>
      <c r="U110" s="2" t="s">
        <v>821</v>
      </c>
      <c r="V110" s="2" t="s">
        <v>46</v>
      </c>
      <c r="W110" s="2" t="s">
        <v>821</v>
      </c>
      <c r="X110" s="2" t="s">
        <v>561</v>
      </c>
      <c r="Y110" s="2" t="s">
        <v>48</v>
      </c>
      <c r="Z110" s="2" t="s">
        <v>49</v>
      </c>
      <c r="AA110" s="2">
        <v>90</v>
      </c>
      <c r="AB110" s="2">
        <v>87</v>
      </c>
      <c r="AC110" s="2" t="s">
        <v>50</v>
      </c>
      <c r="AD110" s="2" t="s">
        <v>562</v>
      </c>
      <c r="AE110" s="2"/>
      <c r="AF110" s="2" t="s">
        <v>14289</v>
      </c>
      <c r="AG110" s="2" t="s">
        <v>14290</v>
      </c>
    </row>
    <row r="111" spans="1:33" x14ac:dyDescent="0.45">
      <c r="A111" s="2" t="s">
        <v>508</v>
      </c>
      <c r="B111" s="2" t="s">
        <v>14933</v>
      </c>
      <c r="C111" s="2" t="s">
        <v>14934</v>
      </c>
      <c r="D111" s="2" t="s">
        <v>14935</v>
      </c>
      <c r="E111" s="2" t="s">
        <v>14936</v>
      </c>
      <c r="F111" s="2"/>
      <c r="G111" s="2"/>
      <c r="H111" s="2" t="s">
        <v>72</v>
      </c>
      <c r="I111" s="2" t="s">
        <v>73</v>
      </c>
      <c r="J111" s="2" t="s">
        <v>7023</v>
      </c>
      <c r="K111" s="2" t="s">
        <v>14937</v>
      </c>
      <c r="L111" s="2"/>
      <c r="M111" s="2"/>
      <c r="N111" s="2"/>
      <c r="O111" s="2" t="s">
        <v>324</v>
      </c>
      <c r="P111" s="2" t="s">
        <v>73</v>
      </c>
      <c r="Q111" s="2" t="s">
        <v>516</v>
      </c>
      <c r="R111" s="2" t="s">
        <v>14938</v>
      </c>
      <c r="S111" s="2" t="s">
        <v>44</v>
      </c>
      <c r="T111" s="2"/>
      <c r="U111" s="2" t="s">
        <v>821</v>
      </c>
      <c r="V111" s="2" t="s">
        <v>199</v>
      </c>
      <c r="W111" s="2" t="s">
        <v>821</v>
      </c>
      <c r="X111" s="2" t="s">
        <v>518</v>
      </c>
      <c r="Y111" s="2" t="s">
        <v>48</v>
      </c>
      <c r="Z111" s="2" t="s">
        <v>49</v>
      </c>
      <c r="AA111" s="2">
        <v>90</v>
      </c>
      <c r="AB111" s="2">
        <v>87</v>
      </c>
      <c r="AC111" s="2" t="s">
        <v>50</v>
      </c>
      <c r="AD111" s="2" t="s">
        <v>519</v>
      </c>
      <c r="AE111" s="2"/>
      <c r="AF111" s="2" t="s">
        <v>14289</v>
      </c>
      <c r="AG111" s="2" t="s">
        <v>14290</v>
      </c>
    </row>
    <row r="112" spans="1:33" x14ac:dyDescent="0.45">
      <c r="A112" s="2" t="s">
        <v>14939</v>
      </c>
      <c r="B112" s="2" t="s">
        <v>14940</v>
      </c>
      <c r="C112" s="2" t="s">
        <v>14941</v>
      </c>
      <c r="D112" s="2" t="s">
        <v>14942</v>
      </c>
      <c r="E112" s="2" t="s">
        <v>3544</v>
      </c>
      <c r="F112" s="2"/>
      <c r="G112" s="2"/>
      <c r="H112" s="2" t="s">
        <v>174</v>
      </c>
      <c r="I112" s="2" t="s">
        <v>175</v>
      </c>
      <c r="J112" s="2" t="s">
        <v>1779</v>
      </c>
      <c r="K112" s="2" t="s">
        <v>14942</v>
      </c>
      <c r="L112" s="2"/>
      <c r="M112" s="2"/>
      <c r="N112" s="2"/>
      <c r="O112" s="2" t="s">
        <v>174</v>
      </c>
      <c r="P112" s="2" t="s">
        <v>175</v>
      </c>
      <c r="Q112" s="2" t="s">
        <v>1779</v>
      </c>
      <c r="R112" s="2" t="s">
        <v>14943</v>
      </c>
      <c r="S112" s="2" t="s">
        <v>44</v>
      </c>
      <c r="T112" s="2"/>
      <c r="U112" s="2" t="s">
        <v>821</v>
      </c>
      <c r="V112" s="2" t="s">
        <v>46</v>
      </c>
      <c r="W112" s="2" t="s">
        <v>821</v>
      </c>
      <c r="X112" s="2" t="s">
        <v>3547</v>
      </c>
      <c r="Y112" s="2" t="s">
        <v>48</v>
      </c>
      <c r="Z112" s="2" t="s">
        <v>49</v>
      </c>
      <c r="AA112" s="2">
        <v>90</v>
      </c>
      <c r="AB112" s="2">
        <v>87</v>
      </c>
      <c r="AC112" s="2" t="s">
        <v>50</v>
      </c>
      <c r="AD112" s="2" t="s">
        <v>3548</v>
      </c>
      <c r="AE112" s="2"/>
      <c r="AF112" s="2" t="s">
        <v>14289</v>
      </c>
      <c r="AG112" s="2" t="s">
        <v>14290</v>
      </c>
    </row>
    <row r="113" spans="1:33" x14ac:dyDescent="0.45">
      <c r="A113" s="2" t="s">
        <v>14944</v>
      </c>
      <c r="B113" s="2" t="s">
        <v>14945</v>
      </c>
      <c r="C113" s="2" t="s">
        <v>14946</v>
      </c>
      <c r="D113" s="2" t="s">
        <v>14947</v>
      </c>
      <c r="E113" s="2" t="s">
        <v>14948</v>
      </c>
      <c r="F113" s="2" t="s">
        <v>14949</v>
      </c>
      <c r="G113" s="2" t="s">
        <v>14949</v>
      </c>
      <c r="H113" s="2" t="s">
        <v>1136</v>
      </c>
      <c r="I113" s="2" t="s">
        <v>1137</v>
      </c>
      <c r="J113" s="2" t="s">
        <v>1138</v>
      </c>
      <c r="K113" s="2" t="s">
        <v>14947</v>
      </c>
      <c r="L113" s="2"/>
      <c r="M113" s="2"/>
      <c r="N113" s="2"/>
      <c r="O113" s="2" t="s">
        <v>1136</v>
      </c>
      <c r="P113" s="2" t="s">
        <v>1137</v>
      </c>
      <c r="Q113" s="2" t="s">
        <v>1138</v>
      </c>
      <c r="R113" s="2" t="s">
        <v>142</v>
      </c>
      <c r="S113" s="2" t="s">
        <v>44</v>
      </c>
      <c r="T113" s="2"/>
      <c r="U113" s="2" t="s">
        <v>3527</v>
      </c>
      <c r="V113" s="2" t="s">
        <v>46</v>
      </c>
      <c r="W113" s="2" t="s">
        <v>3527</v>
      </c>
      <c r="X113" s="2" t="s">
        <v>1140</v>
      </c>
      <c r="Y113" s="2" t="s">
        <v>48</v>
      </c>
      <c r="Z113" s="2" t="s">
        <v>49</v>
      </c>
      <c r="AA113" s="2">
        <v>100</v>
      </c>
      <c r="AB113" s="2">
        <v>85</v>
      </c>
      <c r="AC113" s="2" t="s">
        <v>50</v>
      </c>
      <c r="AD113" s="2" t="s">
        <v>1141</v>
      </c>
      <c r="AE113" s="2"/>
      <c r="AF113" s="2" t="s">
        <v>14289</v>
      </c>
      <c r="AG113" s="2" t="s">
        <v>14290</v>
      </c>
    </row>
    <row r="114" spans="1:33" x14ac:dyDescent="0.45">
      <c r="A114" s="2" t="s">
        <v>14950</v>
      </c>
      <c r="B114" s="2" t="s">
        <v>14951</v>
      </c>
      <c r="C114" s="2" t="s">
        <v>1183</v>
      </c>
      <c r="D114" s="2" t="s">
        <v>14952</v>
      </c>
      <c r="E114" s="2" t="s">
        <v>1185</v>
      </c>
      <c r="F114" s="2" t="s">
        <v>14953</v>
      </c>
      <c r="G114" s="2" t="s">
        <v>14953</v>
      </c>
      <c r="H114" s="2" t="s">
        <v>1148</v>
      </c>
      <c r="I114" s="2" t="s">
        <v>278</v>
      </c>
      <c r="J114" s="2" t="s">
        <v>8358</v>
      </c>
      <c r="K114" s="2" t="s">
        <v>14954</v>
      </c>
      <c r="L114" s="2"/>
      <c r="M114" s="2"/>
      <c r="N114" s="2"/>
      <c r="O114" s="2" t="s">
        <v>1188</v>
      </c>
      <c r="P114" s="2" t="s">
        <v>221</v>
      </c>
      <c r="Q114" s="2" t="s">
        <v>1189</v>
      </c>
      <c r="R114" s="2" t="s">
        <v>14955</v>
      </c>
      <c r="S114" s="2" t="s">
        <v>44</v>
      </c>
      <c r="T114" s="2"/>
      <c r="U114" s="2" t="s">
        <v>3527</v>
      </c>
      <c r="V114" s="2" t="s">
        <v>46</v>
      </c>
      <c r="W114" s="2" t="s">
        <v>3527</v>
      </c>
      <c r="X114" s="2" t="s">
        <v>1191</v>
      </c>
      <c r="Y114" s="2" t="s">
        <v>48</v>
      </c>
      <c r="Z114" s="2" t="s">
        <v>49</v>
      </c>
      <c r="AA114" s="2">
        <v>100</v>
      </c>
      <c r="AB114" s="2">
        <v>85</v>
      </c>
      <c r="AC114" s="2" t="s">
        <v>50</v>
      </c>
      <c r="AD114" s="2" t="s">
        <v>1192</v>
      </c>
      <c r="AE114" s="2"/>
      <c r="AF114" s="2" t="s">
        <v>14289</v>
      </c>
      <c r="AG114" s="2" t="s">
        <v>14290</v>
      </c>
    </row>
    <row r="115" spans="1:33" x14ac:dyDescent="0.45">
      <c r="A115" s="2" t="s">
        <v>14956</v>
      </c>
      <c r="B115" s="2" t="s">
        <v>14957</v>
      </c>
      <c r="C115" s="2" t="s">
        <v>14958</v>
      </c>
      <c r="D115" s="2" t="s">
        <v>14959</v>
      </c>
      <c r="E115" s="2" t="s">
        <v>1233</v>
      </c>
      <c r="F115" s="2" t="s">
        <v>14960</v>
      </c>
      <c r="G115" s="2" t="s">
        <v>14960</v>
      </c>
      <c r="H115" s="2" t="s">
        <v>1235</v>
      </c>
      <c r="I115" s="2" t="s">
        <v>40</v>
      </c>
      <c r="J115" s="2" t="s">
        <v>1236</v>
      </c>
      <c r="K115" s="2" t="s">
        <v>14961</v>
      </c>
      <c r="L115" s="2"/>
      <c r="M115" s="2"/>
      <c r="N115" s="2"/>
      <c r="O115" s="2" t="s">
        <v>39</v>
      </c>
      <c r="P115" s="2" t="s">
        <v>40</v>
      </c>
      <c r="Q115" s="2" t="s">
        <v>1238</v>
      </c>
      <c r="R115" s="2" t="s">
        <v>14962</v>
      </c>
      <c r="S115" s="2" t="s">
        <v>44</v>
      </c>
      <c r="T115" s="2"/>
      <c r="U115" s="2" t="s">
        <v>3527</v>
      </c>
      <c r="V115" s="2" t="s">
        <v>46</v>
      </c>
      <c r="W115" s="2" t="s">
        <v>3527</v>
      </c>
      <c r="X115" s="2" t="s">
        <v>1240</v>
      </c>
      <c r="Y115" s="2" t="s">
        <v>48</v>
      </c>
      <c r="Z115" s="2" t="s">
        <v>49</v>
      </c>
      <c r="AA115" s="2">
        <v>100</v>
      </c>
      <c r="AB115" s="2">
        <v>85</v>
      </c>
      <c r="AC115" s="2" t="s">
        <v>50</v>
      </c>
      <c r="AD115" s="2" t="s">
        <v>1241</v>
      </c>
      <c r="AE115" s="2"/>
      <c r="AF115" s="2" t="s">
        <v>14289</v>
      </c>
      <c r="AG115" s="2" t="s">
        <v>14290</v>
      </c>
    </row>
    <row r="116" spans="1:33" x14ac:dyDescent="0.45">
      <c r="A116" s="2" t="s">
        <v>14963</v>
      </c>
      <c r="B116" s="2" t="s">
        <v>14964</v>
      </c>
      <c r="C116" s="2" t="s">
        <v>14965</v>
      </c>
      <c r="D116" s="2" t="s">
        <v>14966</v>
      </c>
      <c r="E116" s="2" t="s">
        <v>14967</v>
      </c>
      <c r="F116" s="2" t="s">
        <v>14968</v>
      </c>
      <c r="G116" s="2" t="s">
        <v>14968</v>
      </c>
      <c r="H116" s="2" t="s">
        <v>6051</v>
      </c>
      <c r="I116" s="2" t="s">
        <v>6051</v>
      </c>
      <c r="J116" s="2" t="s">
        <v>1270</v>
      </c>
      <c r="K116" s="2" t="s">
        <v>14969</v>
      </c>
      <c r="L116" s="2"/>
      <c r="M116" s="2"/>
      <c r="N116" s="2"/>
      <c r="O116" s="2" t="s">
        <v>1269</v>
      </c>
      <c r="P116" s="2" t="s">
        <v>1176</v>
      </c>
      <c r="Q116" s="2" t="s">
        <v>1270</v>
      </c>
      <c r="R116" s="2" t="s">
        <v>14970</v>
      </c>
      <c r="S116" s="2" t="s">
        <v>44</v>
      </c>
      <c r="T116" s="2"/>
      <c r="U116" s="2" t="s">
        <v>3527</v>
      </c>
      <c r="V116" s="2" t="s">
        <v>46</v>
      </c>
      <c r="W116" s="2" t="s">
        <v>3527</v>
      </c>
      <c r="X116" s="2" t="s">
        <v>1272</v>
      </c>
      <c r="Y116" s="2" t="s">
        <v>48</v>
      </c>
      <c r="Z116" s="2" t="s">
        <v>49</v>
      </c>
      <c r="AA116" s="2">
        <v>100</v>
      </c>
      <c r="AB116" s="2">
        <v>85</v>
      </c>
      <c r="AC116" s="2" t="s">
        <v>50</v>
      </c>
      <c r="AD116" s="2" t="s">
        <v>1273</v>
      </c>
      <c r="AE116" s="2"/>
      <c r="AF116" s="2" t="s">
        <v>14289</v>
      </c>
      <c r="AG116" s="2" t="s">
        <v>14290</v>
      </c>
    </row>
    <row r="117" spans="1:33" x14ac:dyDescent="0.45">
      <c r="A117" s="2" t="s">
        <v>14963</v>
      </c>
      <c r="B117" s="2" t="s">
        <v>14964</v>
      </c>
      <c r="C117" s="2" t="s">
        <v>14965</v>
      </c>
      <c r="D117" s="2" t="s">
        <v>14966</v>
      </c>
      <c r="E117" s="2" t="s">
        <v>14967</v>
      </c>
      <c r="F117" s="2" t="s">
        <v>14968</v>
      </c>
      <c r="G117" s="2" t="s">
        <v>14968</v>
      </c>
      <c r="H117" s="2" t="s">
        <v>6051</v>
      </c>
      <c r="I117" s="2" t="s">
        <v>6051</v>
      </c>
      <c r="J117" s="2" t="s">
        <v>1270</v>
      </c>
      <c r="K117" s="2" t="s">
        <v>14969</v>
      </c>
      <c r="L117" s="2"/>
      <c r="M117" s="2"/>
      <c r="N117" s="2"/>
      <c r="O117" s="2" t="s">
        <v>1269</v>
      </c>
      <c r="P117" s="2" t="s">
        <v>1176</v>
      </c>
      <c r="Q117" s="2" t="s">
        <v>1270</v>
      </c>
      <c r="R117" s="2" t="s">
        <v>14970</v>
      </c>
      <c r="S117" s="2" t="s">
        <v>44</v>
      </c>
      <c r="T117" s="2"/>
      <c r="U117" s="2" t="s">
        <v>3527</v>
      </c>
      <c r="V117" s="2" t="s">
        <v>46</v>
      </c>
      <c r="W117" s="2" t="s">
        <v>3527</v>
      </c>
      <c r="X117" s="2" t="s">
        <v>1272</v>
      </c>
      <c r="Y117" s="2" t="s">
        <v>48</v>
      </c>
      <c r="Z117" s="2" t="s">
        <v>49</v>
      </c>
      <c r="AA117" s="2">
        <v>100</v>
      </c>
      <c r="AB117" s="2">
        <v>85</v>
      </c>
      <c r="AC117" s="2" t="s">
        <v>50</v>
      </c>
      <c r="AD117" s="2" t="s">
        <v>1273</v>
      </c>
      <c r="AE117" s="2"/>
      <c r="AF117" s="2" t="s">
        <v>14289</v>
      </c>
      <c r="AG117" s="2" t="s">
        <v>14290</v>
      </c>
    </row>
    <row r="118" spans="1:33" x14ac:dyDescent="0.45">
      <c r="A118" s="2" t="s">
        <v>14971</v>
      </c>
      <c r="B118" s="2" t="s">
        <v>14972</v>
      </c>
      <c r="C118" s="2" t="s">
        <v>14973</v>
      </c>
      <c r="D118" s="2" t="s">
        <v>14974</v>
      </c>
      <c r="E118" s="2" t="s">
        <v>14975</v>
      </c>
      <c r="F118" s="2" t="s">
        <v>14976</v>
      </c>
      <c r="G118" s="2" t="s">
        <v>14976</v>
      </c>
      <c r="H118" s="2" t="s">
        <v>1148</v>
      </c>
      <c r="I118" s="2" t="s">
        <v>278</v>
      </c>
      <c r="J118" s="2" t="s">
        <v>1149</v>
      </c>
      <c r="K118" s="2" t="s">
        <v>14977</v>
      </c>
      <c r="L118" s="2"/>
      <c r="M118" s="2"/>
      <c r="N118" s="2"/>
      <c r="O118" s="2" t="s">
        <v>72</v>
      </c>
      <c r="P118" s="2" t="s">
        <v>73</v>
      </c>
      <c r="Q118" s="2" t="s">
        <v>98</v>
      </c>
      <c r="R118" s="2" t="s">
        <v>4821</v>
      </c>
      <c r="S118" s="2" t="s">
        <v>44</v>
      </c>
      <c r="T118" s="2"/>
      <c r="U118" s="2" t="s">
        <v>3527</v>
      </c>
      <c r="V118" s="2" t="s">
        <v>46</v>
      </c>
      <c r="W118" s="2" t="s">
        <v>3527</v>
      </c>
      <c r="X118" s="2" t="s">
        <v>1038</v>
      </c>
      <c r="Y118" s="2" t="s">
        <v>48</v>
      </c>
      <c r="Z118" s="2" t="s">
        <v>49</v>
      </c>
      <c r="AA118" s="2">
        <v>100</v>
      </c>
      <c r="AB118" s="2">
        <v>85</v>
      </c>
      <c r="AC118" s="2" t="s">
        <v>50</v>
      </c>
      <c r="AD118" s="2" t="s">
        <v>1039</v>
      </c>
      <c r="AE118" s="2"/>
      <c r="AF118" s="2" t="s">
        <v>14289</v>
      </c>
      <c r="AG118" s="2" t="s">
        <v>14290</v>
      </c>
    </row>
    <row r="119" spans="1:33" x14ac:dyDescent="0.45">
      <c r="A119" s="2" t="s">
        <v>1142</v>
      </c>
      <c r="B119" s="2" t="s">
        <v>14978</v>
      </c>
      <c r="C119" s="2" t="s">
        <v>14979</v>
      </c>
      <c r="D119" s="2" t="s">
        <v>14980</v>
      </c>
      <c r="E119" s="2" t="s">
        <v>14981</v>
      </c>
      <c r="F119" s="2" t="s">
        <v>14982</v>
      </c>
      <c r="G119" s="2" t="s">
        <v>14982</v>
      </c>
      <c r="H119" s="2" t="s">
        <v>1148</v>
      </c>
      <c r="I119" s="2" t="s">
        <v>278</v>
      </c>
      <c r="J119" s="2" t="s">
        <v>1149</v>
      </c>
      <c r="K119" s="2" t="s">
        <v>14980</v>
      </c>
      <c r="L119" s="2"/>
      <c r="M119" s="2"/>
      <c r="N119" s="2"/>
      <c r="O119" s="2" t="s">
        <v>1148</v>
      </c>
      <c r="P119" s="2" t="s">
        <v>278</v>
      </c>
      <c r="Q119" s="2" t="s">
        <v>1149</v>
      </c>
      <c r="R119" s="2" t="s">
        <v>3046</v>
      </c>
      <c r="S119" s="2" t="s">
        <v>44</v>
      </c>
      <c r="T119" s="2"/>
      <c r="U119" s="2" t="s">
        <v>3527</v>
      </c>
      <c r="V119" s="2" t="s">
        <v>199</v>
      </c>
      <c r="W119" s="2" t="s">
        <v>3527</v>
      </c>
      <c r="X119" s="2" t="s">
        <v>1153</v>
      </c>
      <c r="Y119" s="2" t="s">
        <v>48</v>
      </c>
      <c r="Z119" s="2" t="s">
        <v>49</v>
      </c>
      <c r="AA119" s="2">
        <v>100</v>
      </c>
      <c r="AB119" s="2">
        <v>85</v>
      </c>
      <c r="AC119" s="2" t="s">
        <v>50</v>
      </c>
      <c r="AD119" s="2" t="s">
        <v>1154</v>
      </c>
      <c r="AE119" s="2"/>
      <c r="AF119" s="2" t="s">
        <v>14289</v>
      </c>
      <c r="AG119" s="2" t="s">
        <v>14290</v>
      </c>
    </row>
    <row r="120" spans="1:33" x14ac:dyDescent="0.45">
      <c r="A120" s="2" t="s">
        <v>14983</v>
      </c>
      <c r="B120" s="2" t="s">
        <v>14984</v>
      </c>
      <c r="C120" s="2" t="s">
        <v>14985</v>
      </c>
      <c r="D120" s="2" t="s">
        <v>14986</v>
      </c>
      <c r="E120" s="2" t="s">
        <v>14987</v>
      </c>
      <c r="F120" s="2" t="s">
        <v>14988</v>
      </c>
      <c r="G120" s="2" t="s">
        <v>14988</v>
      </c>
      <c r="H120" s="2" t="s">
        <v>1115</v>
      </c>
      <c r="I120" s="2" t="s">
        <v>1112</v>
      </c>
      <c r="J120" s="2" t="s">
        <v>1113</v>
      </c>
      <c r="K120" s="2" t="s">
        <v>14986</v>
      </c>
      <c r="L120" s="2"/>
      <c r="M120" s="2"/>
      <c r="N120" s="2"/>
      <c r="O120" s="2" t="s">
        <v>1115</v>
      </c>
      <c r="P120" s="2" t="s">
        <v>1112</v>
      </c>
      <c r="Q120" s="2" t="s">
        <v>1113</v>
      </c>
      <c r="R120" s="2" t="s">
        <v>3055</v>
      </c>
      <c r="S120" s="2" t="s">
        <v>44</v>
      </c>
      <c r="T120" s="2"/>
      <c r="U120" s="2" t="s">
        <v>3527</v>
      </c>
      <c r="V120" s="2" t="s">
        <v>46</v>
      </c>
      <c r="W120" s="2" t="s">
        <v>3527</v>
      </c>
      <c r="X120" s="2" t="s">
        <v>1117</v>
      </c>
      <c r="Y120" s="2" t="s">
        <v>48</v>
      </c>
      <c r="Z120" s="2" t="s">
        <v>49</v>
      </c>
      <c r="AA120" s="2">
        <v>100</v>
      </c>
      <c r="AB120" s="2">
        <v>85</v>
      </c>
      <c r="AC120" s="2" t="s">
        <v>50</v>
      </c>
      <c r="AD120" s="2" t="s">
        <v>1118</v>
      </c>
      <c r="AE120" s="2"/>
      <c r="AF120" s="2" t="s">
        <v>14289</v>
      </c>
      <c r="AG120" s="2" t="s">
        <v>14290</v>
      </c>
    </row>
    <row r="121" spans="1:33" x14ac:dyDescent="0.45">
      <c r="A121" s="2" t="s">
        <v>1168</v>
      </c>
      <c r="B121" s="2" t="s">
        <v>14989</v>
      </c>
      <c r="C121" s="2" t="s">
        <v>14990</v>
      </c>
      <c r="D121" s="2" t="s">
        <v>14991</v>
      </c>
      <c r="E121" s="2" t="s">
        <v>14992</v>
      </c>
      <c r="F121" s="2" t="s">
        <v>14993</v>
      </c>
      <c r="G121" s="2" t="s">
        <v>14993</v>
      </c>
      <c r="H121" s="2" t="s">
        <v>1148</v>
      </c>
      <c r="I121" s="2" t="s">
        <v>278</v>
      </c>
      <c r="J121" s="2" t="s">
        <v>1149</v>
      </c>
      <c r="K121" s="2"/>
      <c r="L121" s="2"/>
      <c r="M121" s="2"/>
      <c r="N121" s="2"/>
      <c r="O121" s="2"/>
      <c r="P121" s="2"/>
      <c r="Q121" s="2"/>
      <c r="R121" s="2" t="s">
        <v>7581</v>
      </c>
      <c r="S121" s="2" t="s">
        <v>44</v>
      </c>
      <c r="T121" s="2"/>
      <c r="U121" s="2" t="s">
        <v>3527</v>
      </c>
      <c r="V121" s="2" t="s">
        <v>199</v>
      </c>
      <c r="W121" s="2" t="s">
        <v>3527</v>
      </c>
      <c r="X121" s="2" t="s">
        <v>1179</v>
      </c>
      <c r="Y121" s="2" t="s">
        <v>48</v>
      </c>
      <c r="Z121" s="2" t="s">
        <v>49</v>
      </c>
      <c r="AA121" s="2">
        <v>100</v>
      </c>
      <c r="AB121" s="2">
        <v>85</v>
      </c>
      <c r="AC121" s="2" t="s">
        <v>50</v>
      </c>
      <c r="AD121" s="2" t="s">
        <v>1180</v>
      </c>
      <c r="AE121" s="2"/>
      <c r="AF121" s="2" t="s">
        <v>14289</v>
      </c>
      <c r="AG121" s="2" t="s">
        <v>14290</v>
      </c>
    </row>
    <row r="122" spans="1:33" x14ac:dyDescent="0.45">
      <c r="A122" s="2" t="s">
        <v>1202</v>
      </c>
      <c r="B122" s="2" t="s">
        <v>14994</v>
      </c>
      <c r="C122" s="2" t="s">
        <v>14995</v>
      </c>
      <c r="D122" s="2" t="s">
        <v>14996</v>
      </c>
      <c r="E122" s="2" t="s">
        <v>14997</v>
      </c>
      <c r="F122" s="2" t="s">
        <v>14998</v>
      </c>
      <c r="G122" s="2" t="s">
        <v>14998</v>
      </c>
      <c r="H122" s="2" t="s">
        <v>1208</v>
      </c>
      <c r="I122" s="2" t="s">
        <v>1209</v>
      </c>
      <c r="J122" s="2" t="s">
        <v>1210</v>
      </c>
      <c r="K122" s="2" t="s">
        <v>14996</v>
      </c>
      <c r="L122" s="2"/>
      <c r="M122" s="2"/>
      <c r="N122" s="2"/>
      <c r="O122" s="2" t="s">
        <v>1208</v>
      </c>
      <c r="P122" s="2" t="s">
        <v>1209</v>
      </c>
      <c r="Q122" s="2" t="s">
        <v>1210</v>
      </c>
      <c r="R122" s="2" t="s">
        <v>14999</v>
      </c>
      <c r="S122" s="2" t="s">
        <v>44</v>
      </c>
      <c r="T122" s="2"/>
      <c r="U122" s="2" t="s">
        <v>3527</v>
      </c>
      <c r="V122" s="2" t="s">
        <v>199</v>
      </c>
      <c r="W122" s="2" t="s">
        <v>3527</v>
      </c>
      <c r="X122" s="2" t="s">
        <v>1212</v>
      </c>
      <c r="Y122" s="2" t="s">
        <v>48</v>
      </c>
      <c r="Z122" s="2" t="s">
        <v>49</v>
      </c>
      <c r="AA122" s="2">
        <v>100</v>
      </c>
      <c r="AB122" s="2">
        <v>85</v>
      </c>
      <c r="AC122" s="2" t="s">
        <v>50</v>
      </c>
      <c r="AD122" s="2" t="s">
        <v>1213</v>
      </c>
      <c r="AE122" s="2"/>
      <c r="AF122" s="2" t="s">
        <v>14289</v>
      </c>
      <c r="AG122" s="2" t="s">
        <v>14290</v>
      </c>
    </row>
    <row r="123" spans="1:33" x14ac:dyDescent="0.45">
      <c r="A123" s="2" t="s">
        <v>14613</v>
      </c>
      <c r="B123" s="2" t="s">
        <v>15000</v>
      </c>
      <c r="C123" s="2" t="s">
        <v>15001</v>
      </c>
      <c r="D123" s="2" t="s">
        <v>15002</v>
      </c>
      <c r="E123" s="2" t="s">
        <v>15003</v>
      </c>
      <c r="F123" s="2" t="s">
        <v>15004</v>
      </c>
      <c r="G123" s="2" t="s">
        <v>15004</v>
      </c>
      <c r="H123" s="2" t="s">
        <v>1148</v>
      </c>
      <c r="I123" s="2" t="s">
        <v>278</v>
      </c>
      <c r="J123" s="2" t="s">
        <v>1149</v>
      </c>
      <c r="K123" s="2"/>
      <c r="L123" s="2"/>
      <c r="M123" s="2"/>
      <c r="N123" s="2"/>
      <c r="O123" s="2"/>
      <c r="P123" s="2"/>
      <c r="Q123" s="2"/>
      <c r="R123" s="2" t="s">
        <v>1419</v>
      </c>
      <c r="S123" s="2" t="s">
        <v>44</v>
      </c>
      <c r="T123" s="2"/>
      <c r="U123" s="2" t="s">
        <v>3527</v>
      </c>
      <c r="V123" s="2" t="s">
        <v>199</v>
      </c>
      <c r="W123" s="2" t="s">
        <v>3527</v>
      </c>
      <c r="X123" s="2" t="s">
        <v>1200</v>
      </c>
      <c r="Y123" s="2" t="s">
        <v>48</v>
      </c>
      <c r="Z123" s="2" t="s">
        <v>49</v>
      </c>
      <c r="AA123" s="2">
        <v>100</v>
      </c>
      <c r="AB123" s="2">
        <v>85</v>
      </c>
      <c r="AC123" s="2" t="s">
        <v>50</v>
      </c>
      <c r="AD123" s="2" t="s">
        <v>1201</v>
      </c>
      <c r="AE123" s="2"/>
      <c r="AF123" s="2" t="s">
        <v>14289</v>
      </c>
      <c r="AG123" s="2" t="s">
        <v>14290</v>
      </c>
    </row>
    <row r="124" spans="1:33" x14ac:dyDescent="0.45">
      <c r="A124" s="2" t="s">
        <v>1254</v>
      </c>
      <c r="B124" s="2" t="s">
        <v>15005</v>
      </c>
      <c r="C124" s="2" t="s">
        <v>15006</v>
      </c>
      <c r="D124" s="2" t="s">
        <v>15007</v>
      </c>
      <c r="E124" s="2" t="s">
        <v>1258</v>
      </c>
      <c r="F124" s="2" t="s">
        <v>15008</v>
      </c>
      <c r="G124" s="2" t="s">
        <v>15008</v>
      </c>
      <c r="H124" s="2" t="s">
        <v>1208</v>
      </c>
      <c r="I124" s="2" t="s">
        <v>1209</v>
      </c>
      <c r="J124" s="2" t="s">
        <v>1210</v>
      </c>
      <c r="K124" s="2"/>
      <c r="L124" s="2"/>
      <c r="M124" s="2"/>
      <c r="N124" s="2"/>
      <c r="O124" s="2"/>
      <c r="P124" s="2"/>
      <c r="Q124" s="2"/>
      <c r="R124" s="2" t="s">
        <v>4876</v>
      </c>
      <c r="S124" s="2" t="s">
        <v>44</v>
      </c>
      <c r="T124" s="2"/>
      <c r="U124" s="2" t="s">
        <v>3527</v>
      </c>
      <c r="V124" s="2" t="s">
        <v>199</v>
      </c>
      <c r="W124" s="2" t="s">
        <v>3527</v>
      </c>
      <c r="X124" s="2" t="s">
        <v>1261</v>
      </c>
      <c r="Y124" s="2" t="s">
        <v>48</v>
      </c>
      <c r="Z124" s="2" t="s">
        <v>49</v>
      </c>
      <c r="AA124" s="2">
        <v>100</v>
      </c>
      <c r="AB124" s="2">
        <v>85</v>
      </c>
      <c r="AC124" s="2" t="s">
        <v>50</v>
      </c>
      <c r="AD124" s="2" t="s">
        <v>1262</v>
      </c>
      <c r="AE124" s="2"/>
      <c r="AF124" s="2" t="s">
        <v>14289</v>
      </c>
      <c r="AG124" s="2" t="s">
        <v>14290</v>
      </c>
    </row>
    <row r="125" spans="1:33" x14ac:dyDescent="0.45">
      <c r="A125" s="2" t="s">
        <v>15009</v>
      </c>
      <c r="B125" s="2" t="s">
        <v>15010</v>
      </c>
      <c r="C125" s="2"/>
      <c r="D125" s="2" t="s">
        <v>15011</v>
      </c>
      <c r="E125" s="2" t="s">
        <v>15012</v>
      </c>
      <c r="F125" s="2" t="s">
        <v>15013</v>
      </c>
      <c r="G125" s="2" t="s">
        <v>15013</v>
      </c>
      <c r="H125" s="2" t="s">
        <v>72</v>
      </c>
      <c r="I125" s="2" t="s">
        <v>73</v>
      </c>
      <c r="J125" s="2" t="s">
        <v>464</v>
      </c>
      <c r="K125" s="2" t="s">
        <v>15014</v>
      </c>
      <c r="L125" s="2"/>
      <c r="M125" s="2"/>
      <c r="N125" s="2"/>
      <c r="O125" s="2" t="s">
        <v>5984</v>
      </c>
      <c r="P125" s="2" t="s">
        <v>313</v>
      </c>
      <c r="Q125" s="2" t="s">
        <v>12574</v>
      </c>
      <c r="R125" s="2" t="s">
        <v>3787</v>
      </c>
      <c r="S125" s="2" t="s">
        <v>44</v>
      </c>
      <c r="T125" s="2"/>
      <c r="U125" s="2" t="s">
        <v>821</v>
      </c>
      <c r="V125" s="2" t="s">
        <v>46</v>
      </c>
      <c r="W125" s="2" t="s">
        <v>821</v>
      </c>
      <c r="X125" s="2" t="s">
        <v>15015</v>
      </c>
      <c r="Y125" s="2" t="s">
        <v>48</v>
      </c>
      <c r="Z125" s="2" t="s">
        <v>15016</v>
      </c>
      <c r="AA125" s="2">
        <v>85</v>
      </c>
      <c r="AB125" s="2">
        <v>85</v>
      </c>
      <c r="AC125" s="2" t="s">
        <v>50</v>
      </c>
      <c r="AD125" s="2" t="s">
        <v>15017</v>
      </c>
      <c r="AE125" s="2"/>
      <c r="AF125" s="2" t="s">
        <v>15018</v>
      </c>
      <c r="AG125" s="2" t="s">
        <v>14290</v>
      </c>
    </row>
    <row r="126" spans="1:33" x14ac:dyDescent="0.45">
      <c r="A126" s="2" t="s">
        <v>15019</v>
      </c>
      <c r="B126" s="2" t="s">
        <v>15020</v>
      </c>
      <c r="C126" s="2"/>
      <c r="D126" s="2" t="s">
        <v>15021</v>
      </c>
      <c r="E126" s="2" t="s">
        <v>15022</v>
      </c>
      <c r="F126" s="2" t="s">
        <v>15023</v>
      </c>
      <c r="G126" s="2" t="s">
        <v>15023</v>
      </c>
      <c r="H126" s="2" t="s">
        <v>85</v>
      </c>
      <c r="I126" s="2"/>
      <c r="J126" s="2" t="s">
        <v>336</v>
      </c>
      <c r="K126" s="2" t="s">
        <v>15024</v>
      </c>
      <c r="L126" s="2"/>
      <c r="M126" s="2"/>
      <c r="N126" s="2"/>
      <c r="O126" s="2" t="s">
        <v>85</v>
      </c>
      <c r="P126" s="2"/>
      <c r="Q126" s="2" t="s">
        <v>336</v>
      </c>
      <c r="R126" s="2" t="s">
        <v>76</v>
      </c>
      <c r="S126" s="2" t="s">
        <v>44</v>
      </c>
      <c r="T126" s="2"/>
      <c r="U126" s="2" t="s">
        <v>3527</v>
      </c>
      <c r="V126" s="2" t="s">
        <v>46</v>
      </c>
      <c r="W126" s="2" t="s">
        <v>3527</v>
      </c>
      <c r="X126" s="2" t="s">
        <v>338</v>
      </c>
      <c r="Y126" s="2" t="s">
        <v>48</v>
      </c>
      <c r="Z126" s="2" t="s">
        <v>49</v>
      </c>
      <c r="AA126" s="2">
        <v>70</v>
      </c>
      <c r="AB126" s="2">
        <v>85</v>
      </c>
      <c r="AC126" s="2" t="s">
        <v>50</v>
      </c>
      <c r="AD126" s="2" t="s">
        <v>339</v>
      </c>
      <c r="AE126" s="2"/>
      <c r="AF126" s="2" t="s">
        <v>14289</v>
      </c>
      <c r="AG126" s="2" t="s">
        <v>14290</v>
      </c>
    </row>
    <row r="127" spans="1:33" x14ac:dyDescent="0.45">
      <c r="A127" s="2" t="s">
        <v>1142</v>
      </c>
      <c r="B127" s="2" t="s">
        <v>15025</v>
      </c>
      <c r="C127" s="2" t="s">
        <v>15026</v>
      </c>
      <c r="D127" s="2" t="s">
        <v>15027</v>
      </c>
      <c r="E127" s="2" t="s">
        <v>15028</v>
      </c>
      <c r="F127" s="2"/>
      <c r="G127" s="2"/>
      <c r="H127" s="2" t="s">
        <v>1148</v>
      </c>
      <c r="I127" s="2" t="s">
        <v>278</v>
      </c>
      <c r="J127" s="2" t="s">
        <v>1149</v>
      </c>
      <c r="K127" s="2" t="s">
        <v>15029</v>
      </c>
      <c r="L127" s="2"/>
      <c r="M127" s="2"/>
      <c r="N127" s="2"/>
      <c r="O127" s="2" t="s">
        <v>1148</v>
      </c>
      <c r="P127" s="2" t="s">
        <v>278</v>
      </c>
      <c r="Q127" s="2" t="s">
        <v>1149</v>
      </c>
      <c r="R127" s="2" t="s">
        <v>15030</v>
      </c>
      <c r="S127" s="2" t="s">
        <v>44</v>
      </c>
      <c r="T127" s="2"/>
      <c r="U127" s="2" t="s">
        <v>821</v>
      </c>
      <c r="V127" s="2" t="s">
        <v>199</v>
      </c>
      <c r="W127" s="2" t="s">
        <v>821</v>
      </c>
      <c r="X127" s="2" t="s">
        <v>1153</v>
      </c>
      <c r="Y127" s="2" t="s">
        <v>48</v>
      </c>
      <c r="Z127" s="2" t="s">
        <v>49</v>
      </c>
      <c r="AA127" s="2">
        <v>90</v>
      </c>
      <c r="AB127" s="2">
        <v>82</v>
      </c>
      <c r="AC127" s="2" t="s">
        <v>50</v>
      </c>
      <c r="AD127" s="2" t="s">
        <v>1154</v>
      </c>
      <c r="AE127" s="2"/>
      <c r="AF127" s="2" t="s">
        <v>14289</v>
      </c>
      <c r="AG127" s="2" t="s">
        <v>14290</v>
      </c>
    </row>
    <row r="128" spans="1:33" x14ac:dyDescent="0.45">
      <c r="A128" s="2" t="s">
        <v>15031</v>
      </c>
      <c r="B128" s="2" t="s">
        <v>15032</v>
      </c>
      <c r="C128" s="2" t="s">
        <v>15033</v>
      </c>
      <c r="D128" s="2" t="s">
        <v>15034</v>
      </c>
      <c r="E128" s="2" t="s">
        <v>15035</v>
      </c>
      <c r="F128" s="2" t="s">
        <v>15036</v>
      </c>
      <c r="G128" s="2" t="s">
        <v>15036</v>
      </c>
      <c r="H128" s="2" t="s">
        <v>384</v>
      </c>
      <c r="I128" s="2" t="s">
        <v>73</v>
      </c>
      <c r="J128" s="2" t="s">
        <v>385</v>
      </c>
      <c r="K128" s="2" t="s">
        <v>15034</v>
      </c>
      <c r="L128" s="2"/>
      <c r="M128" s="2"/>
      <c r="N128" s="2"/>
      <c r="O128" s="2" t="s">
        <v>384</v>
      </c>
      <c r="P128" s="2" t="s">
        <v>73</v>
      </c>
      <c r="Q128" s="2" t="s">
        <v>385</v>
      </c>
      <c r="R128" s="2" t="s">
        <v>4659</v>
      </c>
      <c r="S128" s="2" t="s">
        <v>44</v>
      </c>
      <c r="T128" s="2"/>
      <c r="U128" s="2" t="s">
        <v>45</v>
      </c>
      <c r="V128" s="2" t="s">
        <v>199</v>
      </c>
      <c r="W128" s="2" t="s">
        <v>45</v>
      </c>
      <c r="X128" s="2" t="s">
        <v>10787</v>
      </c>
      <c r="Y128" s="2" t="s">
        <v>10801</v>
      </c>
      <c r="Z128" s="2" t="s">
        <v>49</v>
      </c>
      <c r="AA128" s="2">
        <v>100</v>
      </c>
      <c r="AB128" s="2">
        <v>80</v>
      </c>
      <c r="AC128" s="2" t="s">
        <v>50</v>
      </c>
      <c r="AD128" s="2" t="s">
        <v>15037</v>
      </c>
      <c r="AE128" s="2"/>
      <c r="AF128" s="2" t="s">
        <v>15038</v>
      </c>
      <c r="AG128" s="2" t="s">
        <v>14290</v>
      </c>
    </row>
    <row r="129" spans="1:33" x14ac:dyDescent="0.45">
      <c r="A129" s="2" t="s">
        <v>15039</v>
      </c>
      <c r="B129" s="2" t="s">
        <v>15040</v>
      </c>
      <c r="C129" s="2" t="s">
        <v>15041</v>
      </c>
      <c r="D129" s="2" t="s">
        <v>15042</v>
      </c>
      <c r="E129" s="2" t="s">
        <v>15043</v>
      </c>
      <c r="F129" s="2"/>
      <c r="G129" s="2"/>
      <c r="H129" s="2" t="s">
        <v>324</v>
      </c>
      <c r="I129" s="2" t="s">
        <v>73</v>
      </c>
      <c r="J129" s="2" t="s">
        <v>326</v>
      </c>
      <c r="K129" s="2" t="s">
        <v>15044</v>
      </c>
      <c r="L129" s="2"/>
      <c r="M129" s="2"/>
      <c r="N129" s="2"/>
      <c r="O129" s="2" t="s">
        <v>324</v>
      </c>
      <c r="P129" s="2" t="s">
        <v>73</v>
      </c>
      <c r="Q129" s="2" t="s">
        <v>326</v>
      </c>
      <c r="R129" s="2" t="s">
        <v>15045</v>
      </c>
      <c r="S129" s="2" t="s">
        <v>44</v>
      </c>
      <c r="T129" s="2"/>
      <c r="U129" s="2" t="s">
        <v>3527</v>
      </c>
      <c r="V129" s="2" t="s">
        <v>46</v>
      </c>
      <c r="W129" s="2" t="s">
        <v>3527</v>
      </c>
      <c r="X129" s="2" t="s">
        <v>328</v>
      </c>
      <c r="Y129" s="2" t="s">
        <v>48</v>
      </c>
      <c r="Z129" s="2" t="s">
        <v>49</v>
      </c>
      <c r="AA129" s="2">
        <v>90</v>
      </c>
      <c r="AB129" s="2">
        <v>80</v>
      </c>
      <c r="AC129" s="2" t="s">
        <v>50</v>
      </c>
      <c r="AD129" s="2" t="s">
        <v>329</v>
      </c>
      <c r="AE129" s="2"/>
      <c r="AF129" s="2" t="s">
        <v>14289</v>
      </c>
      <c r="AG129" s="2" t="s">
        <v>14290</v>
      </c>
    </row>
    <row r="130" spans="1:33" x14ac:dyDescent="0.45">
      <c r="A130" s="2" t="s">
        <v>15046</v>
      </c>
      <c r="B130" s="2" t="s">
        <v>15047</v>
      </c>
      <c r="C130" s="2" t="s">
        <v>15048</v>
      </c>
      <c r="D130" s="2" t="s">
        <v>15049</v>
      </c>
      <c r="E130" s="2" t="s">
        <v>15050</v>
      </c>
      <c r="F130" s="2"/>
      <c r="G130" s="2"/>
      <c r="H130" s="2" t="s">
        <v>72</v>
      </c>
      <c r="I130" s="2" t="s">
        <v>73</v>
      </c>
      <c r="J130" s="2" t="s">
        <v>1024</v>
      </c>
      <c r="K130" s="2" t="s">
        <v>15051</v>
      </c>
      <c r="L130" s="2"/>
      <c r="M130" s="2"/>
      <c r="N130" s="2"/>
      <c r="O130" s="2" t="s">
        <v>384</v>
      </c>
      <c r="P130" s="2" t="s">
        <v>73</v>
      </c>
      <c r="Q130" s="2" t="s">
        <v>832</v>
      </c>
      <c r="R130" s="2" t="s">
        <v>15052</v>
      </c>
      <c r="S130" s="2" t="s">
        <v>44</v>
      </c>
      <c r="T130" s="2"/>
      <c r="U130" s="2" t="s">
        <v>3527</v>
      </c>
      <c r="V130" s="2" t="s">
        <v>46</v>
      </c>
      <c r="W130" s="2" t="s">
        <v>3527</v>
      </c>
      <c r="X130" s="2" t="s">
        <v>1027</v>
      </c>
      <c r="Y130" s="2" t="s">
        <v>48</v>
      </c>
      <c r="Z130" s="2" t="s">
        <v>49</v>
      </c>
      <c r="AA130" s="2">
        <v>90</v>
      </c>
      <c r="AB130" s="2">
        <v>80</v>
      </c>
      <c r="AC130" s="2" t="s">
        <v>50</v>
      </c>
      <c r="AD130" s="2" t="s">
        <v>1028</v>
      </c>
      <c r="AE130" s="2"/>
      <c r="AF130" s="2" t="s">
        <v>14289</v>
      </c>
      <c r="AG130" s="2" t="s">
        <v>14290</v>
      </c>
    </row>
    <row r="131" spans="1:33" x14ac:dyDescent="0.45">
      <c r="A131" s="2" t="s">
        <v>824</v>
      </c>
      <c r="B131" s="2" t="s">
        <v>15053</v>
      </c>
      <c r="C131" s="2" t="s">
        <v>15054</v>
      </c>
      <c r="D131" s="2" t="s">
        <v>15055</v>
      </c>
      <c r="E131" s="2" t="s">
        <v>828</v>
      </c>
      <c r="F131" s="2"/>
      <c r="G131" s="2"/>
      <c r="H131" s="2" t="s">
        <v>72</v>
      </c>
      <c r="I131" s="2" t="s">
        <v>73</v>
      </c>
      <c r="J131" s="2" t="s">
        <v>830</v>
      </c>
      <c r="K131" s="2" t="s">
        <v>15056</v>
      </c>
      <c r="L131" s="2"/>
      <c r="M131" s="2"/>
      <c r="N131" s="2"/>
      <c r="O131" s="2" t="s">
        <v>384</v>
      </c>
      <c r="P131" s="2" t="s">
        <v>73</v>
      </c>
      <c r="Q131" s="2" t="s">
        <v>1837</v>
      </c>
      <c r="R131" s="2" t="s">
        <v>1683</v>
      </c>
      <c r="S131" s="2" t="s">
        <v>44</v>
      </c>
      <c r="T131" s="2"/>
      <c r="U131" s="2" t="s">
        <v>3527</v>
      </c>
      <c r="V131" s="2" t="s">
        <v>199</v>
      </c>
      <c r="W131" s="2" t="s">
        <v>3527</v>
      </c>
      <c r="X131" s="2" t="s">
        <v>834</v>
      </c>
      <c r="Y131" s="2" t="s">
        <v>48</v>
      </c>
      <c r="Z131" s="2" t="s">
        <v>49</v>
      </c>
      <c r="AA131" s="2">
        <v>90</v>
      </c>
      <c r="AB131" s="2">
        <v>80</v>
      </c>
      <c r="AC131" s="2" t="s">
        <v>50</v>
      </c>
      <c r="AD131" s="2" t="s">
        <v>835</v>
      </c>
      <c r="AE131" s="2"/>
      <c r="AF131" s="2" t="s">
        <v>14289</v>
      </c>
      <c r="AG131" s="2" t="s">
        <v>14290</v>
      </c>
    </row>
    <row r="132" spans="1:33" x14ac:dyDescent="0.45">
      <c r="A132" s="2" t="s">
        <v>349</v>
      </c>
      <c r="B132" s="2" t="s">
        <v>15057</v>
      </c>
      <c r="C132" s="2" t="s">
        <v>15058</v>
      </c>
      <c r="D132" s="2" t="s">
        <v>15059</v>
      </c>
      <c r="E132" s="2" t="s">
        <v>15060</v>
      </c>
      <c r="F132" s="2"/>
      <c r="G132" s="2"/>
      <c r="H132" s="2" t="s">
        <v>277</v>
      </c>
      <c r="I132" s="2" t="s">
        <v>278</v>
      </c>
      <c r="J132" s="2" t="s">
        <v>279</v>
      </c>
      <c r="K132" s="2" t="s">
        <v>15061</v>
      </c>
      <c r="L132" s="2"/>
      <c r="M132" s="2"/>
      <c r="N132" s="2"/>
      <c r="O132" s="2" t="s">
        <v>277</v>
      </c>
      <c r="P132" s="2" t="s">
        <v>278</v>
      </c>
      <c r="Q132" s="2" t="s">
        <v>279</v>
      </c>
      <c r="R132" s="2" t="s">
        <v>15062</v>
      </c>
      <c r="S132" s="2" t="s">
        <v>44</v>
      </c>
      <c r="T132" s="2"/>
      <c r="U132" s="2" t="s">
        <v>3527</v>
      </c>
      <c r="V132" s="2" t="s">
        <v>199</v>
      </c>
      <c r="W132" s="2" t="s">
        <v>3527</v>
      </c>
      <c r="X132" s="2" t="s">
        <v>357</v>
      </c>
      <c r="Y132" s="2" t="s">
        <v>48</v>
      </c>
      <c r="Z132" s="2" t="s">
        <v>49</v>
      </c>
      <c r="AA132" s="2">
        <v>90</v>
      </c>
      <c r="AB132" s="2">
        <v>80</v>
      </c>
      <c r="AC132" s="2" t="s">
        <v>50</v>
      </c>
      <c r="AD132" s="2" t="s">
        <v>358</v>
      </c>
      <c r="AE132" s="2"/>
      <c r="AF132" s="2" t="s">
        <v>14289</v>
      </c>
      <c r="AG132" s="2" t="s">
        <v>14290</v>
      </c>
    </row>
    <row r="133" spans="1:33" x14ac:dyDescent="0.45">
      <c r="A133" s="2" t="s">
        <v>210</v>
      </c>
      <c r="B133" s="2" t="s">
        <v>15063</v>
      </c>
      <c r="C133" s="2" t="s">
        <v>15064</v>
      </c>
      <c r="D133" s="2" t="s">
        <v>15065</v>
      </c>
      <c r="E133" s="2" t="s">
        <v>15066</v>
      </c>
      <c r="F133" s="2"/>
      <c r="G133" s="2"/>
      <c r="H133" s="2" t="s">
        <v>85</v>
      </c>
      <c r="I133" s="2" t="s">
        <v>86</v>
      </c>
      <c r="J133" s="2" t="s">
        <v>873</v>
      </c>
      <c r="K133" s="2" t="s">
        <v>15065</v>
      </c>
      <c r="L133" s="2"/>
      <c r="M133" s="2"/>
      <c r="N133" s="2"/>
      <c r="O133" s="2" t="s">
        <v>85</v>
      </c>
      <c r="P133" s="2" t="s">
        <v>86</v>
      </c>
      <c r="Q133" s="2" t="s">
        <v>873</v>
      </c>
      <c r="R133" s="2" t="s">
        <v>15067</v>
      </c>
      <c r="S133" s="2" t="s">
        <v>44</v>
      </c>
      <c r="T133" s="2"/>
      <c r="U133" s="2" t="s">
        <v>3527</v>
      </c>
      <c r="V133" s="2" t="s">
        <v>199</v>
      </c>
      <c r="W133" s="2" t="s">
        <v>3527</v>
      </c>
      <c r="X133" s="2" t="s">
        <v>224</v>
      </c>
      <c r="Y133" s="2" t="s">
        <v>48</v>
      </c>
      <c r="Z133" s="2" t="s">
        <v>49</v>
      </c>
      <c r="AA133" s="2">
        <v>90</v>
      </c>
      <c r="AB133" s="2">
        <v>80</v>
      </c>
      <c r="AC133" s="2" t="s">
        <v>50</v>
      </c>
      <c r="AD133" s="2" t="s">
        <v>225</v>
      </c>
      <c r="AE133" s="2"/>
      <c r="AF133" s="2" t="s">
        <v>14289</v>
      </c>
      <c r="AG133" s="2" t="s">
        <v>14290</v>
      </c>
    </row>
    <row r="134" spans="1:33" x14ac:dyDescent="0.45">
      <c r="A134" s="2" t="s">
        <v>726</v>
      </c>
      <c r="B134" s="2" t="s">
        <v>15068</v>
      </c>
      <c r="C134" s="2" t="s">
        <v>15069</v>
      </c>
      <c r="D134" s="2" t="s">
        <v>15070</v>
      </c>
      <c r="E134" s="2" t="s">
        <v>15071</v>
      </c>
      <c r="F134" s="2"/>
      <c r="G134" s="2"/>
      <c r="H134" s="2" t="s">
        <v>39</v>
      </c>
      <c r="I134" s="2" t="s">
        <v>40</v>
      </c>
      <c r="J134" s="2" t="s">
        <v>732</v>
      </c>
      <c r="K134" s="2" t="s">
        <v>15072</v>
      </c>
      <c r="L134" s="2"/>
      <c r="M134" s="2"/>
      <c r="N134" s="2"/>
      <c r="O134" s="2" t="s">
        <v>39</v>
      </c>
      <c r="P134" s="2" t="s">
        <v>40</v>
      </c>
      <c r="Q134" s="2" t="s">
        <v>732</v>
      </c>
      <c r="R134" s="2" t="s">
        <v>15073</v>
      </c>
      <c r="S134" s="2" t="s">
        <v>44</v>
      </c>
      <c r="T134" s="2"/>
      <c r="U134" s="2" t="s">
        <v>3527</v>
      </c>
      <c r="V134" s="2" t="s">
        <v>199</v>
      </c>
      <c r="W134" s="2" t="s">
        <v>3527</v>
      </c>
      <c r="X134" s="2" t="s">
        <v>734</v>
      </c>
      <c r="Y134" s="2" t="s">
        <v>48</v>
      </c>
      <c r="Z134" s="2" t="s">
        <v>49</v>
      </c>
      <c r="AA134" s="2">
        <v>90</v>
      </c>
      <c r="AB134" s="2">
        <v>80</v>
      </c>
      <c r="AC134" s="2" t="s">
        <v>50</v>
      </c>
      <c r="AD134" s="2" t="s">
        <v>735</v>
      </c>
      <c r="AE134" s="2"/>
      <c r="AF134" s="2" t="s">
        <v>14289</v>
      </c>
      <c r="AG134" s="2" t="s">
        <v>14290</v>
      </c>
    </row>
    <row r="135" spans="1:33" x14ac:dyDescent="0.45">
      <c r="A135" s="2" t="s">
        <v>15074</v>
      </c>
      <c r="B135" s="2" t="s">
        <v>15075</v>
      </c>
      <c r="C135" s="2" t="s">
        <v>15076</v>
      </c>
      <c r="D135" s="2" t="s">
        <v>15077</v>
      </c>
      <c r="E135" s="2" t="s">
        <v>15078</v>
      </c>
      <c r="F135" s="2"/>
      <c r="G135" s="2"/>
      <c r="H135" s="2" t="s">
        <v>59</v>
      </c>
      <c r="I135" s="2" t="s">
        <v>60</v>
      </c>
      <c r="J135" s="2" t="s">
        <v>151</v>
      </c>
      <c r="K135" s="2" t="s">
        <v>15079</v>
      </c>
      <c r="L135" s="2"/>
      <c r="M135" s="2"/>
      <c r="N135" s="2"/>
      <c r="O135" s="2" t="s">
        <v>72</v>
      </c>
      <c r="P135" s="2" t="s">
        <v>73</v>
      </c>
      <c r="Q135" s="2" t="s">
        <v>2665</v>
      </c>
      <c r="R135" s="2" t="s">
        <v>924</v>
      </c>
      <c r="S135" s="2" t="s">
        <v>44</v>
      </c>
      <c r="T135" s="2"/>
      <c r="U135" s="2" t="s">
        <v>3527</v>
      </c>
      <c r="V135" s="2" t="s">
        <v>46</v>
      </c>
      <c r="W135" s="2" t="s">
        <v>3527</v>
      </c>
      <c r="X135" s="2" t="s">
        <v>886</v>
      </c>
      <c r="Y135" s="2" t="s">
        <v>48</v>
      </c>
      <c r="Z135" s="2" t="s">
        <v>49</v>
      </c>
      <c r="AA135" s="2">
        <v>90</v>
      </c>
      <c r="AB135" s="2">
        <v>80</v>
      </c>
      <c r="AC135" s="2" t="s">
        <v>50</v>
      </c>
      <c r="AD135" s="2" t="s">
        <v>887</v>
      </c>
      <c r="AE135" s="2"/>
      <c r="AF135" s="2" t="s">
        <v>14289</v>
      </c>
      <c r="AG135" s="2" t="s">
        <v>14290</v>
      </c>
    </row>
    <row r="136" spans="1:33" x14ac:dyDescent="0.45">
      <c r="A136" s="2" t="s">
        <v>15080</v>
      </c>
      <c r="B136" s="2" t="s">
        <v>15081</v>
      </c>
      <c r="C136" s="2" t="s">
        <v>15082</v>
      </c>
      <c r="D136" s="2" t="s">
        <v>15083</v>
      </c>
      <c r="E136" s="2" t="s">
        <v>15084</v>
      </c>
      <c r="F136" s="2"/>
      <c r="G136" s="2"/>
      <c r="H136" s="2" t="s">
        <v>72</v>
      </c>
      <c r="I136" s="2" t="s">
        <v>73</v>
      </c>
      <c r="J136" s="2" t="s">
        <v>98</v>
      </c>
      <c r="K136" s="2" t="s">
        <v>15083</v>
      </c>
      <c r="L136" s="2"/>
      <c r="M136" s="2"/>
      <c r="N136" s="2"/>
      <c r="O136" s="2" t="s">
        <v>72</v>
      </c>
      <c r="P136" s="2" t="s">
        <v>73</v>
      </c>
      <c r="Q136" s="2" t="s">
        <v>98</v>
      </c>
      <c r="R136" s="2" t="s">
        <v>15085</v>
      </c>
      <c r="S136" s="2" t="s">
        <v>44</v>
      </c>
      <c r="T136" s="2"/>
      <c r="U136" s="2" t="s">
        <v>3527</v>
      </c>
      <c r="V136" s="2" t="s">
        <v>46</v>
      </c>
      <c r="W136" s="2" t="s">
        <v>3527</v>
      </c>
      <c r="X136" s="2" t="s">
        <v>208</v>
      </c>
      <c r="Y136" s="2" t="s">
        <v>48</v>
      </c>
      <c r="Z136" s="2" t="s">
        <v>49</v>
      </c>
      <c r="AA136" s="2">
        <v>90</v>
      </c>
      <c r="AB136" s="2">
        <v>80</v>
      </c>
      <c r="AC136" s="2" t="s">
        <v>50</v>
      </c>
      <c r="AD136" s="2" t="s">
        <v>209</v>
      </c>
      <c r="AE136" s="2"/>
      <c r="AF136" s="2" t="s">
        <v>14289</v>
      </c>
      <c r="AG136" s="2" t="s">
        <v>14290</v>
      </c>
    </row>
    <row r="137" spans="1:33" x14ac:dyDescent="0.45">
      <c r="A137" s="2" t="s">
        <v>976</v>
      </c>
      <c r="B137" s="2" t="s">
        <v>15086</v>
      </c>
      <c r="C137" s="2" t="s">
        <v>15087</v>
      </c>
      <c r="D137" s="2" t="s">
        <v>15088</v>
      </c>
      <c r="E137" s="2" t="s">
        <v>15089</v>
      </c>
      <c r="F137" s="2"/>
      <c r="G137" s="2"/>
      <c r="H137" s="2" t="s">
        <v>651</v>
      </c>
      <c r="I137" s="2" t="s">
        <v>86</v>
      </c>
      <c r="J137" s="2" t="s">
        <v>982</v>
      </c>
      <c r="K137" s="2" t="s">
        <v>15090</v>
      </c>
      <c r="L137" s="2"/>
      <c r="M137" s="2"/>
      <c r="N137" s="2"/>
      <c r="O137" s="2" t="s">
        <v>424</v>
      </c>
      <c r="P137" s="2" t="s">
        <v>217</v>
      </c>
      <c r="Q137" s="2" t="s">
        <v>875</v>
      </c>
      <c r="R137" s="2" t="s">
        <v>15091</v>
      </c>
      <c r="S137" s="2" t="s">
        <v>44</v>
      </c>
      <c r="T137" s="2"/>
      <c r="U137" s="2" t="s">
        <v>3527</v>
      </c>
      <c r="V137" s="2" t="s">
        <v>199</v>
      </c>
      <c r="W137" s="2" t="s">
        <v>3527</v>
      </c>
      <c r="X137" s="2" t="s">
        <v>984</v>
      </c>
      <c r="Y137" s="2" t="s">
        <v>48</v>
      </c>
      <c r="Z137" s="2" t="s">
        <v>49</v>
      </c>
      <c r="AA137" s="2">
        <v>90</v>
      </c>
      <c r="AB137" s="2">
        <v>80</v>
      </c>
      <c r="AC137" s="2" t="s">
        <v>50</v>
      </c>
      <c r="AD137" s="2" t="s">
        <v>985</v>
      </c>
      <c r="AE137" s="2"/>
      <c r="AF137" s="2" t="s">
        <v>14289</v>
      </c>
      <c r="AG137" s="2" t="s">
        <v>14290</v>
      </c>
    </row>
    <row r="138" spans="1:33" x14ac:dyDescent="0.45">
      <c r="A138" s="2" t="s">
        <v>15092</v>
      </c>
      <c r="B138" s="2" t="s">
        <v>15093</v>
      </c>
      <c r="C138" s="2" t="s">
        <v>15094</v>
      </c>
      <c r="D138" s="2" t="s">
        <v>15095</v>
      </c>
      <c r="E138" s="2" t="s">
        <v>15096</v>
      </c>
      <c r="F138" s="2"/>
      <c r="G138" s="2"/>
      <c r="H138" s="2" t="s">
        <v>536</v>
      </c>
      <c r="I138" s="2" t="s">
        <v>537</v>
      </c>
      <c r="J138" s="2" t="s">
        <v>641</v>
      </c>
      <c r="K138" s="2" t="s">
        <v>15095</v>
      </c>
      <c r="L138" s="2"/>
      <c r="M138" s="2"/>
      <c r="N138" s="2"/>
      <c r="O138" s="2" t="s">
        <v>536</v>
      </c>
      <c r="P138" s="2" t="s">
        <v>537</v>
      </c>
      <c r="Q138" s="2" t="s">
        <v>641</v>
      </c>
      <c r="R138" s="2" t="s">
        <v>580</v>
      </c>
      <c r="S138" s="2" t="s">
        <v>44</v>
      </c>
      <c r="T138" s="2"/>
      <c r="U138" s="2" t="s">
        <v>3527</v>
      </c>
      <c r="V138" s="2" t="s">
        <v>46</v>
      </c>
      <c r="W138" s="2" t="s">
        <v>3527</v>
      </c>
      <c r="X138" s="2" t="s">
        <v>643</v>
      </c>
      <c r="Y138" s="2" t="s">
        <v>48</v>
      </c>
      <c r="Z138" s="2" t="s">
        <v>49</v>
      </c>
      <c r="AA138" s="2">
        <v>90</v>
      </c>
      <c r="AB138" s="2">
        <v>80</v>
      </c>
      <c r="AC138" s="2" t="s">
        <v>50</v>
      </c>
      <c r="AD138" s="2" t="s">
        <v>644</v>
      </c>
      <c r="AE138" s="2"/>
      <c r="AF138" s="2" t="s">
        <v>14289</v>
      </c>
      <c r="AG138" s="2" t="s">
        <v>14290</v>
      </c>
    </row>
    <row r="139" spans="1:33" x14ac:dyDescent="0.45">
      <c r="A139" s="2" t="s">
        <v>14572</v>
      </c>
      <c r="B139" s="2" t="s">
        <v>15097</v>
      </c>
      <c r="C139" s="2" t="s">
        <v>431</v>
      </c>
      <c r="D139" s="2" t="s">
        <v>432</v>
      </c>
      <c r="E139" s="2" t="s">
        <v>15098</v>
      </c>
      <c r="F139" s="2"/>
      <c r="G139" s="2"/>
      <c r="H139" s="2" t="s">
        <v>72</v>
      </c>
      <c r="I139" s="2" t="s">
        <v>73</v>
      </c>
      <c r="J139" s="2" t="s">
        <v>74</v>
      </c>
      <c r="K139" s="2" t="s">
        <v>432</v>
      </c>
      <c r="L139" s="2"/>
      <c r="M139" s="2"/>
      <c r="N139" s="2"/>
      <c r="O139" s="2" t="s">
        <v>72</v>
      </c>
      <c r="P139" s="2" t="s">
        <v>73</v>
      </c>
      <c r="Q139" s="2" t="s">
        <v>74</v>
      </c>
      <c r="R139" s="2" t="s">
        <v>580</v>
      </c>
      <c r="S139" s="2" t="s">
        <v>44</v>
      </c>
      <c r="T139" s="2"/>
      <c r="U139" s="2" t="s">
        <v>3527</v>
      </c>
      <c r="V139" s="2" t="s">
        <v>199</v>
      </c>
      <c r="W139" s="2" t="s">
        <v>3527</v>
      </c>
      <c r="X139" s="2" t="s">
        <v>436</v>
      </c>
      <c r="Y139" s="2" t="s">
        <v>48</v>
      </c>
      <c r="Z139" s="2" t="s">
        <v>49</v>
      </c>
      <c r="AA139" s="2">
        <v>90</v>
      </c>
      <c r="AB139" s="2">
        <v>80</v>
      </c>
      <c r="AC139" s="2" t="s">
        <v>50</v>
      </c>
      <c r="AD139" s="2" t="s">
        <v>437</v>
      </c>
      <c r="AE139" s="2"/>
      <c r="AF139" s="2" t="s">
        <v>14289</v>
      </c>
      <c r="AG139" s="2" t="s">
        <v>14290</v>
      </c>
    </row>
    <row r="140" spans="1:33" x14ac:dyDescent="0.45">
      <c r="A140" s="2" t="s">
        <v>15099</v>
      </c>
      <c r="B140" s="2" t="s">
        <v>15100</v>
      </c>
      <c r="C140" s="2" t="s">
        <v>15101</v>
      </c>
      <c r="D140" s="2" t="s">
        <v>15102</v>
      </c>
      <c r="E140" s="2" t="s">
        <v>15103</v>
      </c>
      <c r="F140" s="2"/>
      <c r="G140" s="2"/>
      <c r="H140" s="2" t="s">
        <v>39</v>
      </c>
      <c r="I140" s="2" t="s">
        <v>40</v>
      </c>
      <c r="J140" s="2" t="s">
        <v>7278</v>
      </c>
      <c r="K140" s="2"/>
      <c r="L140" s="2"/>
      <c r="M140" s="2"/>
      <c r="N140" s="2"/>
      <c r="O140" s="2"/>
      <c r="P140" s="2"/>
      <c r="Q140" s="2"/>
      <c r="R140" s="2" t="s">
        <v>12608</v>
      </c>
      <c r="S140" s="2" t="s">
        <v>44</v>
      </c>
      <c r="T140" s="2"/>
      <c r="U140" s="2" t="s">
        <v>3527</v>
      </c>
      <c r="V140" s="2" t="s">
        <v>46</v>
      </c>
      <c r="W140" s="2" t="s">
        <v>3527</v>
      </c>
      <c r="X140" s="2" t="s">
        <v>683</v>
      </c>
      <c r="Y140" s="2" t="s">
        <v>48</v>
      </c>
      <c r="Z140" s="2" t="s">
        <v>49</v>
      </c>
      <c r="AA140" s="2">
        <v>90</v>
      </c>
      <c r="AB140" s="2">
        <v>80</v>
      </c>
      <c r="AC140" s="2" t="s">
        <v>50</v>
      </c>
      <c r="AD140" s="2" t="s">
        <v>684</v>
      </c>
      <c r="AE140" s="2"/>
      <c r="AF140" s="2" t="s">
        <v>14289</v>
      </c>
      <c r="AG140" s="2" t="s">
        <v>14290</v>
      </c>
    </row>
    <row r="141" spans="1:33" x14ac:dyDescent="0.45">
      <c r="A141" s="2" t="s">
        <v>15104</v>
      </c>
      <c r="B141" s="2" t="s">
        <v>15105</v>
      </c>
      <c r="C141" s="2" t="s">
        <v>14889</v>
      </c>
      <c r="D141" s="2" t="s">
        <v>15106</v>
      </c>
      <c r="E141" s="2" t="s">
        <v>14891</v>
      </c>
      <c r="F141" s="2"/>
      <c r="G141" s="2"/>
      <c r="H141" s="2" t="s">
        <v>277</v>
      </c>
      <c r="I141" s="2" t="s">
        <v>278</v>
      </c>
      <c r="J141" s="2" t="s">
        <v>279</v>
      </c>
      <c r="K141" s="2" t="s">
        <v>15106</v>
      </c>
      <c r="L141" s="2"/>
      <c r="M141" s="2"/>
      <c r="N141" s="2"/>
      <c r="O141" s="2" t="s">
        <v>277</v>
      </c>
      <c r="P141" s="2" t="s">
        <v>278</v>
      </c>
      <c r="Q141" s="2" t="s">
        <v>279</v>
      </c>
      <c r="R141" s="2" t="s">
        <v>9639</v>
      </c>
      <c r="S141" s="2" t="s">
        <v>44</v>
      </c>
      <c r="T141" s="2"/>
      <c r="U141" s="2" t="s">
        <v>3527</v>
      </c>
      <c r="V141" s="2" t="s">
        <v>46</v>
      </c>
      <c r="W141" s="2" t="s">
        <v>3527</v>
      </c>
      <c r="X141" s="2" t="s">
        <v>702</v>
      </c>
      <c r="Y141" s="2" t="s">
        <v>48</v>
      </c>
      <c r="Z141" s="2" t="s">
        <v>49</v>
      </c>
      <c r="AA141" s="2">
        <v>90</v>
      </c>
      <c r="AB141" s="2">
        <v>80</v>
      </c>
      <c r="AC141" s="2" t="s">
        <v>50</v>
      </c>
      <c r="AD141" s="2" t="s">
        <v>703</v>
      </c>
      <c r="AE141" s="2"/>
      <c r="AF141" s="2" t="s">
        <v>14289</v>
      </c>
      <c r="AG141" s="2" t="s">
        <v>14290</v>
      </c>
    </row>
    <row r="142" spans="1:33" x14ac:dyDescent="0.45">
      <c r="A142" s="2" t="s">
        <v>15107</v>
      </c>
      <c r="B142" s="2" t="s">
        <v>15108</v>
      </c>
      <c r="C142" s="2" t="s">
        <v>15109</v>
      </c>
      <c r="D142" s="2" t="s">
        <v>15110</v>
      </c>
      <c r="E142" s="2" t="s">
        <v>15111</v>
      </c>
      <c r="F142" s="2"/>
      <c r="G142" s="2"/>
      <c r="H142" s="2" t="s">
        <v>290</v>
      </c>
      <c r="I142" s="2" t="s">
        <v>278</v>
      </c>
      <c r="J142" s="2" t="s">
        <v>291</v>
      </c>
      <c r="K142" s="2" t="s">
        <v>15110</v>
      </c>
      <c r="L142" s="2"/>
      <c r="M142" s="2"/>
      <c r="N142" s="2"/>
      <c r="O142" s="2" t="s">
        <v>290</v>
      </c>
      <c r="P142" s="2" t="s">
        <v>278</v>
      </c>
      <c r="Q142" s="2" t="s">
        <v>291</v>
      </c>
      <c r="R142" s="2" t="s">
        <v>9649</v>
      </c>
      <c r="S142" s="2" t="s">
        <v>44</v>
      </c>
      <c r="T142" s="2"/>
      <c r="U142" s="2" t="s">
        <v>3527</v>
      </c>
      <c r="V142" s="2" t="s">
        <v>46</v>
      </c>
      <c r="W142" s="2" t="s">
        <v>3527</v>
      </c>
      <c r="X142" s="2" t="s">
        <v>896</v>
      </c>
      <c r="Y142" s="2" t="s">
        <v>48</v>
      </c>
      <c r="Z142" s="2" t="s">
        <v>49</v>
      </c>
      <c r="AA142" s="2">
        <v>90</v>
      </c>
      <c r="AB142" s="2">
        <v>80</v>
      </c>
      <c r="AC142" s="2" t="s">
        <v>50</v>
      </c>
      <c r="AD142" s="2" t="s">
        <v>897</v>
      </c>
      <c r="AE142" s="2"/>
      <c r="AF142" s="2" t="s">
        <v>14289</v>
      </c>
      <c r="AG142" s="2" t="s">
        <v>14290</v>
      </c>
    </row>
    <row r="143" spans="1:33" x14ac:dyDescent="0.45">
      <c r="A143" s="2" t="s">
        <v>15112</v>
      </c>
      <c r="B143" s="2" t="s">
        <v>15113</v>
      </c>
      <c r="C143" s="2" t="s">
        <v>15114</v>
      </c>
      <c r="D143" s="2" t="s">
        <v>15115</v>
      </c>
      <c r="E143" s="2" t="s">
        <v>5792</v>
      </c>
      <c r="F143" s="2"/>
      <c r="G143" s="2"/>
      <c r="H143" s="2" t="s">
        <v>72</v>
      </c>
      <c r="I143" s="2" t="s">
        <v>73</v>
      </c>
      <c r="J143" s="2" t="s">
        <v>484</v>
      </c>
      <c r="K143" s="2" t="s">
        <v>15115</v>
      </c>
      <c r="L143" s="2"/>
      <c r="M143" s="2"/>
      <c r="N143" s="2"/>
      <c r="O143" s="2" t="s">
        <v>72</v>
      </c>
      <c r="P143" s="2" t="s">
        <v>73</v>
      </c>
      <c r="Q143" s="2" t="s">
        <v>484</v>
      </c>
      <c r="R143" s="2" t="s">
        <v>7127</v>
      </c>
      <c r="S143" s="2" t="s">
        <v>44</v>
      </c>
      <c r="T143" s="2"/>
      <c r="U143" s="2" t="s">
        <v>3527</v>
      </c>
      <c r="V143" s="2" t="s">
        <v>46</v>
      </c>
      <c r="W143" s="2" t="s">
        <v>3527</v>
      </c>
      <c r="X143" s="2" t="s">
        <v>5794</v>
      </c>
      <c r="Y143" s="2" t="s">
        <v>48</v>
      </c>
      <c r="Z143" s="2" t="s">
        <v>49</v>
      </c>
      <c r="AA143" s="2">
        <v>90</v>
      </c>
      <c r="AB143" s="2">
        <v>80</v>
      </c>
      <c r="AC143" s="2" t="s">
        <v>50</v>
      </c>
      <c r="AD143" s="2" t="s">
        <v>5795</v>
      </c>
      <c r="AE143" s="2"/>
      <c r="AF143" s="2" t="s">
        <v>14289</v>
      </c>
      <c r="AG143" s="2" t="s">
        <v>14290</v>
      </c>
    </row>
    <row r="144" spans="1:33" x14ac:dyDescent="0.45">
      <c r="A144" s="2" t="s">
        <v>15116</v>
      </c>
      <c r="B144" s="2" t="s">
        <v>15117</v>
      </c>
      <c r="C144" s="2" t="s">
        <v>15118</v>
      </c>
      <c r="D144" s="2" t="s">
        <v>15119</v>
      </c>
      <c r="E144" s="2" t="s">
        <v>15120</v>
      </c>
      <c r="F144" s="2" t="s">
        <v>15121</v>
      </c>
      <c r="G144" s="2" t="s">
        <v>15121</v>
      </c>
      <c r="H144" s="2" t="s">
        <v>72</v>
      </c>
      <c r="I144" s="2" t="s">
        <v>73</v>
      </c>
      <c r="J144" s="2" t="s">
        <v>1568</v>
      </c>
      <c r="K144" s="2" t="s">
        <v>15119</v>
      </c>
      <c r="L144" s="2"/>
      <c r="M144" s="2"/>
      <c r="N144" s="2"/>
      <c r="O144" s="2" t="s">
        <v>72</v>
      </c>
      <c r="P144" s="2" t="s">
        <v>73</v>
      </c>
      <c r="Q144" s="2" t="s">
        <v>1568</v>
      </c>
      <c r="R144" s="2" t="s">
        <v>2993</v>
      </c>
      <c r="S144" s="2" t="s">
        <v>44</v>
      </c>
      <c r="T144" s="2"/>
      <c r="U144" s="2" t="s">
        <v>821</v>
      </c>
      <c r="V144" s="2" t="s">
        <v>46</v>
      </c>
      <c r="W144" s="2" t="s">
        <v>821</v>
      </c>
      <c r="X144" s="2" t="s">
        <v>10787</v>
      </c>
      <c r="Y144" s="2" t="s">
        <v>10801</v>
      </c>
      <c r="Z144" s="2" t="s">
        <v>49</v>
      </c>
      <c r="AA144" s="2">
        <v>100</v>
      </c>
      <c r="AB144" s="2">
        <v>77</v>
      </c>
      <c r="AC144" s="2" t="s">
        <v>7865</v>
      </c>
      <c r="AD144" s="2" t="s">
        <v>15122</v>
      </c>
      <c r="AE144" s="2"/>
      <c r="AF144" s="2" t="s">
        <v>15038</v>
      </c>
      <c r="AG144" s="2" t="s">
        <v>14290</v>
      </c>
    </row>
    <row r="145" spans="1:33" x14ac:dyDescent="0.45">
      <c r="A145" s="2" t="s">
        <v>15123</v>
      </c>
      <c r="B145" s="2" t="s">
        <v>15124</v>
      </c>
      <c r="C145" s="2" t="s">
        <v>15125</v>
      </c>
      <c r="D145" s="2" t="s">
        <v>15126</v>
      </c>
      <c r="E145" s="2" t="s">
        <v>15127</v>
      </c>
      <c r="F145" s="2" t="s">
        <v>15128</v>
      </c>
      <c r="G145" s="2" t="s">
        <v>15128</v>
      </c>
      <c r="H145" s="2" t="s">
        <v>72</v>
      </c>
      <c r="I145" s="2" t="s">
        <v>73</v>
      </c>
      <c r="J145" s="2" t="s">
        <v>1568</v>
      </c>
      <c r="K145" s="2" t="s">
        <v>15126</v>
      </c>
      <c r="L145" s="2"/>
      <c r="M145" s="2"/>
      <c r="N145" s="2"/>
      <c r="O145" s="2" t="s">
        <v>72</v>
      </c>
      <c r="P145" s="2" t="s">
        <v>73</v>
      </c>
      <c r="Q145" s="2" t="s">
        <v>1568</v>
      </c>
      <c r="R145" s="2" t="s">
        <v>14859</v>
      </c>
      <c r="S145" s="2" t="s">
        <v>44</v>
      </c>
      <c r="T145" s="2"/>
      <c r="U145" s="2" t="s">
        <v>821</v>
      </c>
      <c r="V145" s="2" t="s">
        <v>199</v>
      </c>
      <c r="W145" s="2" t="s">
        <v>821</v>
      </c>
      <c r="X145" s="2" t="s">
        <v>10787</v>
      </c>
      <c r="Y145" s="2" t="s">
        <v>10801</v>
      </c>
      <c r="Z145" s="2" t="s">
        <v>49</v>
      </c>
      <c r="AA145" s="2">
        <v>100</v>
      </c>
      <c r="AB145" s="2">
        <v>77</v>
      </c>
      <c r="AC145" s="2" t="s">
        <v>7865</v>
      </c>
      <c r="AD145" s="2" t="s">
        <v>15129</v>
      </c>
      <c r="AE145" s="2"/>
      <c r="AF145" s="2" t="s">
        <v>15038</v>
      </c>
      <c r="AG145" s="2" t="s">
        <v>14290</v>
      </c>
    </row>
    <row r="146" spans="1:33" x14ac:dyDescent="0.45">
      <c r="A146" s="2" t="s">
        <v>1242</v>
      </c>
      <c r="B146" s="2" t="s">
        <v>15130</v>
      </c>
      <c r="C146" s="2" t="s">
        <v>1244</v>
      </c>
      <c r="D146" s="2" t="s">
        <v>15131</v>
      </c>
      <c r="E146" s="2" t="s">
        <v>15132</v>
      </c>
      <c r="F146" s="2"/>
      <c r="G146" s="2"/>
      <c r="H146" s="2" t="s">
        <v>1248</v>
      </c>
      <c r="I146" s="2" t="s">
        <v>1137</v>
      </c>
      <c r="J146" s="2" t="s">
        <v>1249</v>
      </c>
      <c r="K146" s="2" t="s">
        <v>15133</v>
      </c>
      <c r="L146" s="2"/>
      <c r="M146" s="2"/>
      <c r="N146" s="2"/>
      <c r="O146" s="2" t="s">
        <v>1248</v>
      </c>
      <c r="P146" s="2" t="s">
        <v>1137</v>
      </c>
      <c r="Q146" s="2" t="s">
        <v>1249</v>
      </c>
      <c r="R146" s="2" t="s">
        <v>15134</v>
      </c>
      <c r="S146" s="2" t="s">
        <v>44</v>
      </c>
      <c r="T146" s="2"/>
      <c r="U146" s="2" t="s">
        <v>3527</v>
      </c>
      <c r="V146" s="2" t="s">
        <v>199</v>
      </c>
      <c r="W146" s="2" t="s">
        <v>3527</v>
      </c>
      <c r="X146" s="2" t="s">
        <v>1252</v>
      </c>
      <c r="Y146" s="2" t="s">
        <v>48</v>
      </c>
      <c r="Z146" s="2" t="s">
        <v>49</v>
      </c>
      <c r="AA146" s="2">
        <v>90</v>
      </c>
      <c r="AB146" s="2">
        <v>75</v>
      </c>
      <c r="AC146" s="2" t="s">
        <v>7865</v>
      </c>
      <c r="AD146" s="2" t="s">
        <v>1253</v>
      </c>
      <c r="AE146" s="2"/>
      <c r="AF146" s="2" t="s">
        <v>14289</v>
      </c>
      <c r="AG146" s="2" t="s">
        <v>14290</v>
      </c>
    </row>
    <row r="147" spans="1:33" x14ac:dyDescent="0.45">
      <c r="A147" s="2" t="s">
        <v>1155</v>
      </c>
      <c r="B147" s="2" t="s">
        <v>15135</v>
      </c>
      <c r="C147" s="2" t="s">
        <v>15136</v>
      </c>
      <c r="D147" s="2" t="s">
        <v>1158</v>
      </c>
      <c r="E147" s="2" t="s">
        <v>15137</v>
      </c>
      <c r="F147" s="2"/>
      <c r="G147" s="2"/>
      <c r="H147" s="2" t="s">
        <v>1161</v>
      </c>
      <c r="I147" s="2" t="s">
        <v>221</v>
      </c>
      <c r="J147" s="2" t="s">
        <v>1162</v>
      </c>
      <c r="K147" s="2" t="s">
        <v>15138</v>
      </c>
      <c r="L147" s="2"/>
      <c r="M147" s="2"/>
      <c r="N147" s="2"/>
      <c r="O147" s="2" t="s">
        <v>72</v>
      </c>
      <c r="P147" s="2" t="s">
        <v>73</v>
      </c>
      <c r="Q147" s="2" t="s">
        <v>74</v>
      </c>
      <c r="R147" s="2" t="s">
        <v>2820</v>
      </c>
      <c r="S147" s="2" t="s">
        <v>44</v>
      </c>
      <c r="T147" s="2"/>
      <c r="U147" s="2" t="s">
        <v>3527</v>
      </c>
      <c r="V147" s="2" t="s">
        <v>199</v>
      </c>
      <c r="W147" s="2" t="s">
        <v>3527</v>
      </c>
      <c r="X147" s="2" t="s">
        <v>1166</v>
      </c>
      <c r="Y147" s="2" t="s">
        <v>48</v>
      </c>
      <c r="Z147" s="2" t="s">
        <v>49</v>
      </c>
      <c r="AA147" s="2">
        <v>90</v>
      </c>
      <c r="AB147" s="2">
        <v>75</v>
      </c>
      <c r="AC147" s="2" t="s">
        <v>7865</v>
      </c>
      <c r="AD147" s="2" t="s">
        <v>1167</v>
      </c>
      <c r="AE147" s="2"/>
      <c r="AF147" s="2" t="s">
        <v>14289</v>
      </c>
      <c r="AG147" s="2" t="s">
        <v>14290</v>
      </c>
    </row>
    <row r="148" spans="1:33" x14ac:dyDescent="0.45">
      <c r="A148" s="2" t="s">
        <v>15139</v>
      </c>
      <c r="B148" s="2" t="s">
        <v>15140</v>
      </c>
      <c r="C148" s="2" t="s">
        <v>15141</v>
      </c>
      <c r="D148" s="2" t="s">
        <v>15142</v>
      </c>
      <c r="E148" s="2" t="s">
        <v>15143</v>
      </c>
      <c r="F148" s="2" t="s">
        <v>15144</v>
      </c>
      <c r="G148" s="2" t="s">
        <v>15144</v>
      </c>
      <c r="H148" s="2" t="s">
        <v>15145</v>
      </c>
      <c r="I148" s="2" t="s">
        <v>1176</v>
      </c>
      <c r="J148" s="2" t="s">
        <v>15146</v>
      </c>
      <c r="K148" s="2" t="s">
        <v>15142</v>
      </c>
      <c r="L148" s="2"/>
      <c r="M148" s="2"/>
      <c r="N148" s="2"/>
      <c r="O148" s="2" t="s">
        <v>15145</v>
      </c>
      <c r="P148" s="2" t="s">
        <v>1176</v>
      </c>
      <c r="Q148" s="2" t="s">
        <v>15146</v>
      </c>
      <c r="R148" s="2" t="s">
        <v>10728</v>
      </c>
      <c r="S148" s="2" t="s">
        <v>44</v>
      </c>
      <c r="T148" s="2"/>
      <c r="U148" s="2" t="s">
        <v>821</v>
      </c>
      <c r="V148" s="2" t="s">
        <v>46</v>
      </c>
      <c r="W148" s="2" t="s">
        <v>821</v>
      </c>
      <c r="X148" s="2" t="s">
        <v>11537</v>
      </c>
      <c r="Y148" s="2" t="s">
        <v>10801</v>
      </c>
      <c r="Z148" s="2" t="s">
        <v>49</v>
      </c>
      <c r="AA148" s="2">
        <v>100</v>
      </c>
      <c r="AB148" s="2">
        <v>72</v>
      </c>
      <c r="AC148" s="2" t="s">
        <v>7865</v>
      </c>
      <c r="AD148" s="2" t="s">
        <v>15147</v>
      </c>
      <c r="AE148" s="2"/>
      <c r="AF148" s="2" t="s">
        <v>15038</v>
      </c>
      <c r="AG148" s="2" t="s">
        <v>14290</v>
      </c>
    </row>
    <row r="149" spans="1:33" x14ac:dyDescent="0.45">
      <c r="A149" s="2" t="s">
        <v>15148</v>
      </c>
      <c r="B149" s="2" t="s">
        <v>15149</v>
      </c>
      <c r="C149" s="2" t="s">
        <v>15150</v>
      </c>
      <c r="D149" s="2" t="s">
        <v>15151</v>
      </c>
      <c r="E149" s="2" t="s">
        <v>15152</v>
      </c>
      <c r="F149" s="2" t="s">
        <v>15153</v>
      </c>
      <c r="G149" s="2" t="s">
        <v>15153</v>
      </c>
      <c r="H149" s="2" t="s">
        <v>2962</v>
      </c>
      <c r="I149" s="2" t="s">
        <v>73</v>
      </c>
      <c r="J149" s="2" t="s">
        <v>15154</v>
      </c>
      <c r="K149" s="2" t="s">
        <v>15151</v>
      </c>
      <c r="L149" s="2"/>
      <c r="M149" s="2"/>
      <c r="N149" s="2"/>
      <c r="O149" s="2" t="s">
        <v>2962</v>
      </c>
      <c r="P149" s="2" t="s">
        <v>73</v>
      </c>
      <c r="Q149" s="2" t="s">
        <v>15154</v>
      </c>
      <c r="R149" s="2" t="s">
        <v>10091</v>
      </c>
      <c r="S149" s="2" t="s">
        <v>44</v>
      </c>
      <c r="T149" s="2"/>
      <c r="U149" s="2" t="s">
        <v>821</v>
      </c>
      <c r="V149" s="2" t="s">
        <v>199</v>
      </c>
      <c r="W149" s="2" t="s">
        <v>821</v>
      </c>
      <c r="X149" s="2" t="s">
        <v>10787</v>
      </c>
      <c r="Y149" s="2" t="s">
        <v>10801</v>
      </c>
      <c r="Z149" s="2" t="s">
        <v>49</v>
      </c>
      <c r="AA149" s="2">
        <v>100</v>
      </c>
      <c r="AB149" s="2">
        <v>72</v>
      </c>
      <c r="AC149" s="2" t="s">
        <v>7865</v>
      </c>
      <c r="AD149" s="2" t="s">
        <v>15155</v>
      </c>
      <c r="AE149" s="2"/>
      <c r="AF149" s="2" t="s">
        <v>15038</v>
      </c>
      <c r="AG149" s="2" t="s">
        <v>14290</v>
      </c>
    </row>
    <row r="150" spans="1:33" x14ac:dyDescent="0.45">
      <c r="A150" s="2" t="s">
        <v>15156</v>
      </c>
      <c r="B150" s="2" t="s">
        <v>15157</v>
      </c>
      <c r="C150" s="2" t="s">
        <v>15158</v>
      </c>
      <c r="D150" s="2" t="s">
        <v>15159</v>
      </c>
      <c r="E150" s="2" t="s">
        <v>15160</v>
      </c>
      <c r="F150" s="2" t="s">
        <v>15161</v>
      </c>
      <c r="G150" s="2" t="s">
        <v>15161</v>
      </c>
      <c r="H150" s="2" t="s">
        <v>72</v>
      </c>
      <c r="I150" s="2" t="s">
        <v>73</v>
      </c>
      <c r="J150" s="2" t="s">
        <v>1610</v>
      </c>
      <c r="K150" s="2" t="s">
        <v>15162</v>
      </c>
      <c r="L150" s="2"/>
      <c r="M150" s="2"/>
      <c r="N150" s="2"/>
      <c r="O150" s="2" t="s">
        <v>72</v>
      </c>
      <c r="P150" s="2" t="s">
        <v>73</v>
      </c>
      <c r="Q150" s="2" t="s">
        <v>119</v>
      </c>
      <c r="R150" s="2" t="s">
        <v>3939</v>
      </c>
      <c r="S150" s="2" t="s">
        <v>44</v>
      </c>
      <c r="T150" s="2"/>
      <c r="U150" s="2" t="s">
        <v>45</v>
      </c>
      <c r="V150" s="2" t="s">
        <v>46</v>
      </c>
      <c r="W150" s="2" t="s">
        <v>45</v>
      </c>
      <c r="X150" s="2" t="s">
        <v>10787</v>
      </c>
      <c r="Y150" s="2" t="s">
        <v>10801</v>
      </c>
      <c r="Z150" s="2" t="s">
        <v>49</v>
      </c>
      <c r="AA150" s="2">
        <v>100</v>
      </c>
      <c r="AB150" s="2">
        <v>70</v>
      </c>
      <c r="AC150" s="2" t="s">
        <v>7865</v>
      </c>
      <c r="AD150" s="2" t="s">
        <v>15163</v>
      </c>
      <c r="AE150" s="2"/>
      <c r="AF150" s="2" t="s">
        <v>15038</v>
      </c>
      <c r="AG150" s="2" t="s">
        <v>14290</v>
      </c>
    </row>
    <row r="151" spans="1:33" x14ac:dyDescent="0.45">
      <c r="A151" s="2" t="s">
        <v>15164</v>
      </c>
      <c r="B151" s="2" t="s">
        <v>15165</v>
      </c>
      <c r="C151" s="2" t="s">
        <v>15166</v>
      </c>
      <c r="D151" s="2" t="s">
        <v>15167</v>
      </c>
      <c r="E151" s="2" t="s">
        <v>15168</v>
      </c>
      <c r="F151" s="2" t="s">
        <v>15169</v>
      </c>
      <c r="G151" s="2" t="s">
        <v>15169</v>
      </c>
      <c r="H151" s="2" t="s">
        <v>72</v>
      </c>
      <c r="I151" s="2" t="s">
        <v>73</v>
      </c>
      <c r="J151" s="2" t="s">
        <v>1430</v>
      </c>
      <c r="K151" s="2"/>
      <c r="L151" s="2"/>
      <c r="M151" s="2"/>
      <c r="N151" s="2"/>
      <c r="O151" s="2"/>
      <c r="P151" s="2"/>
      <c r="Q151" s="2"/>
      <c r="R151" s="2" t="s">
        <v>15170</v>
      </c>
      <c r="S151" s="2" t="s">
        <v>44</v>
      </c>
      <c r="T151" s="2"/>
      <c r="U151" s="2" t="s">
        <v>45</v>
      </c>
      <c r="V151" s="2" t="s">
        <v>46</v>
      </c>
      <c r="W151" s="2" t="s">
        <v>45</v>
      </c>
      <c r="X151" s="2" t="s">
        <v>12462</v>
      </c>
      <c r="Y151" s="2" t="s">
        <v>10801</v>
      </c>
      <c r="Z151" s="2" t="s">
        <v>49</v>
      </c>
      <c r="AA151" s="2">
        <v>100</v>
      </c>
      <c r="AB151" s="2">
        <v>70</v>
      </c>
      <c r="AC151" s="2" t="s">
        <v>7865</v>
      </c>
      <c r="AD151" s="2" t="s">
        <v>15171</v>
      </c>
      <c r="AE151" s="2"/>
      <c r="AF151" s="2" t="s">
        <v>15038</v>
      </c>
      <c r="AG151" s="2" t="s">
        <v>14290</v>
      </c>
    </row>
    <row r="152" spans="1:33" x14ac:dyDescent="0.45">
      <c r="A152" s="2" t="s">
        <v>917</v>
      </c>
      <c r="B152" s="2" t="s">
        <v>15172</v>
      </c>
      <c r="C152" s="2" t="s">
        <v>15173</v>
      </c>
      <c r="D152" s="2" t="s">
        <v>920</v>
      </c>
      <c r="E152" s="2" t="s">
        <v>15174</v>
      </c>
      <c r="F152" s="2" t="s">
        <v>15175</v>
      </c>
      <c r="G152" s="2" t="s">
        <v>15175</v>
      </c>
      <c r="H152" s="2" t="s">
        <v>72</v>
      </c>
      <c r="I152" s="2" t="s">
        <v>73</v>
      </c>
      <c r="J152" s="2" t="s">
        <v>464</v>
      </c>
      <c r="K152" s="2" t="s">
        <v>920</v>
      </c>
      <c r="L152" s="2"/>
      <c r="M152" s="2"/>
      <c r="N152" s="2"/>
      <c r="O152" s="2" t="s">
        <v>72</v>
      </c>
      <c r="P152" s="2" t="s">
        <v>73</v>
      </c>
      <c r="Q152" s="2" t="s">
        <v>464</v>
      </c>
      <c r="R152" s="2" t="s">
        <v>15176</v>
      </c>
      <c r="S152" s="2" t="s">
        <v>44</v>
      </c>
      <c r="T152" s="2"/>
      <c r="U152" s="2" t="s">
        <v>45</v>
      </c>
      <c r="V152" s="2" t="s">
        <v>199</v>
      </c>
      <c r="W152" s="2" t="s">
        <v>45</v>
      </c>
      <c r="X152" s="2" t="s">
        <v>11537</v>
      </c>
      <c r="Y152" s="2" t="s">
        <v>10801</v>
      </c>
      <c r="Z152" s="2" t="s">
        <v>49</v>
      </c>
      <c r="AA152" s="2">
        <v>100</v>
      </c>
      <c r="AB152" s="2">
        <v>70</v>
      </c>
      <c r="AC152" s="2" t="s">
        <v>7865</v>
      </c>
      <c r="AD152" s="2" t="s">
        <v>15177</v>
      </c>
      <c r="AE152" s="2"/>
      <c r="AF152" s="2" t="s">
        <v>15038</v>
      </c>
      <c r="AG152" s="2" t="s">
        <v>14290</v>
      </c>
    </row>
    <row r="153" spans="1:33" x14ac:dyDescent="0.45">
      <c r="A153" s="2" t="s">
        <v>15178</v>
      </c>
      <c r="B153" s="2" t="s">
        <v>15179</v>
      </c>
      <c r="C153" s="2" t="s">
        <v>15180</v>
      </c>
      <c r="D153" s="2" t="s">
        <v>15181</v>
      </c>
      <c r="E153" s="2" t="s">
        <v>15182</v>
      </c>
      <c r="F153" s="2" t="s">
        <v>15183</v>
      </c>
      <c r="G153" s="2" t="s">
        <v>15183</v>
      </c>
      <c r="H153" s="2" t="s">
        <v>39</v>
      </c>
      <c r="I153" s="2" t="s">
        <v>40</v>
      </c>
      <c r="J153" s="2" t="s">
        <v>15184</v>
      </c>
      <c r="K153" s="2" t="s">
        <v>15185</v>
      </c>
      <c r="L153" s="2"/>
      <c r="M153" s="2"/>
      <c r="N153" s="2"/>
      <c r="O153" s="2" t="s">
        <v>39</v>
      </c>
      <c r="P153" s="2" t="s">
        <v>40</v>
      </c>
      <c r="Q153" s="2" t="s">
        <v>41</v>
      </c>
      <c r="R153" s="2" t="s">
        <v>15186</v>
      </c>
      <c r="S153" s="2" t="s">
        <v>44</v>
      </c>
      <c r="T153" s="2"/>
      <c r="U153" s="2" t="s">
        <v>45</v>
      </c>
      <c r="V153" s="2" t="s">
        <v>46</v>
      </c>
      <c r="W153" s="2" t="s">
        <v>45</v>
      </c>
      <c r="X153" s="2" t="s">
        <v>10787</v>
      </c>
      <c r="Y153" s="2" t="s">
        <v>10801</v>
      </c>
      <c r="Z153" s="2" t="s">
        <v>49</v>
      </c>
      <c r="AA153" s="2">
        <v>100</v>
      </c>
      <c r="AB153" s="2">
        <v>70</v>
      </c>
      <c r="AC153" s="2" t="s">
        <v>7865</v>
      </c>
      <c r="AD153" s="2" t="s">
        <v>15187</v>
      </c>
      <c r="AE153" s="2"/>
      <c r="AF153" s="2" t="s">
        <v>15038</v>
      </c>
      <c r="AG153" s="2" t="s">
        <v>14290</v>
      </c>
    </row>
    <row r="154" spans="1:33" x14ac:dyDescent="0.45">
      <c r="A154" s="2" t="s">
        <v>15188</v>
      </c>
      <c r="B154" s="2" t="s">
        <v>15189</v>
      </c>
      <c r="C154" s="2" t="s">
        <v>15190</v>
      </c>
      <c r="D154" s="2" t="s">
        <v>15191</v>
      </c>
      <c r="E154" s="2" t="s">
        <v>15192</v>
      </c>
      <c r="F154" s="2" t="s">
        <v>15193</v>
      </c>
      <c r="G154" s="2" t="s">
        <v>15193</v>
      </c>
      <c r="H154" s="2" t="s">
        <v>59</v>
      </c>
      <c r="I154" s="2" t="s">
        <v>60</v>
      </c>
      <c r="J154" s="2" t="s">
        <v>15194</v>
      </c>
      <c r="K154" s="2" t="s">
        <v>15195</v>
      </c>
      <c r="L154" s="2"/>
      <c r="M154" s="2"/>
      <c r="N154" s="2"/>
      <c r="O154" s="2" t="s">
        <v>59</v>
      </c>
      <c r="P154" s="2" t="s">
        <v>60</v>
      </c>
      <c r="Q154" s="2" t="s">
        <v>15194</v>
      </c>
      <c r="R154" s="2" t="s">
        <v>1838</v>
      </c>
      <c r="S154" s="2" t="s">
        <v>44</v>
      </c>
      <c r="T154" s="2"/>
      <c r="U154" s="2" t="s">
        <v>45</v>
      </c>
      <c r="V154" s="2" t="s">
        <v>46</v>
      </c>
      <c r="W154" s="2" t="s">
        <v>45</v>
      </c>
      <c r="X154" s="2" t="s">
        <v>10787</v>
      </c>
      <c r="Y154" s="2" t="s">
        <v>10801</v>
      </c>
      <c r="Z154" s="2" t="s">
        <v>49</v>
      </c>
      <c r="AA154" s="2">
        <v>100</v>
      </c>
      <c r="AB154" s="2">
        <v>70</v>
      </c>
      <c r="AC154" s="2" t="s">
        <v>7865</v>
      </c>
      <c r="AD154" s="2" t="s">
        <v>15196</v>
      </c>
      <c r="AE154" s="2"/>
      <c r="AF154" s="2" t="s">
        <v>15038</v>
      </c>
      <c r="AG154" s="2" t="s">
        <v>14290</v>
      </c>
    </row>
    <row r="155" spans="1:33" x14ac:dyDescent="0.45">
      <c r="A155" s="2" t="s">
        <v>15197</v>
      </c>
      <c r="B155" s="2" t="s">
        <v>15198</v>
      </c>
      <c r="C155" s="2" t="s">
        <v>15199</v>
      </c>
      <c r="D155" s="2" t="s">
        <v>15200</v>
      </c>
      <c r="E155" s="2" t="s">
        <v>15201</v>
      </c>
      <c r="F155" s="2" t="s">
        <v>15202</v>
      </c>
      <c r="G155" s="2"/>
      <c r="H155" s="2" t="s">
        <v>174</v>
      </c>
      <c r="I155" s="2" t="s">
        <v>175</v>
      </c>
      <c r="J155" s="2" t="s">
        <v>176</v>
      </c>
      <c r="K155" s="2" t="s">
        <v>15200</v>
      </c>
      <c r="L155" s="2"/>
      <c r="M155" s="2"/>
      <c r="N155" s="2"/>
      <c r="O155" s="2" t="s">
        <v>174</v>
      </c>
      <c r="P155" s="2" t="s">
        <v>175</v>
      </c>
      <c r="Q155" s="2" t="s">
        <v>176</v>
      </c>
      <c r="R155" s="2" t="s">
        <v>15203</v>
      </c>
      <c r="S155" s="2" t="s">
        <v>44</v>
      </c>
      <c r="T155" s="2"/>
      <c r="U155" s="2" t="s">
        <v>45</v>
      </c>
      <c r="V155" s="2" t="s">
        <v>46</v>
      </c>
      <c r="W155" s="2" t="s">
        <v>45</v>
      </c>
      <c r="X155" s="2" t="s">
        <v>10787</v>
      </c>
      <c r="Y155" s="2" t="s">
        <v>10801</v>
      </c>
      <c r="Z155" s="2" t="s">
        <v>49</v>
      </c>
      <c r="AA155" s="2">
        <v>100</v>
      </c>
      <c r="AB155" s="2">
        <v>70</v>
      </c>
      <c r="AC155" s="2" t="s">
        <v>7865</v>
      </c>
      <c r="AD155" s="2" t="s">
        <v>15204</v>
      </c>
      <c r="AE155" s="2"/>
      <c r="AF155" s="2" t="s">
        <v>15038</v>
      </c>
      <c r="AG155" s="2" t="s">
        <v>14290</v>
      </c>
    </row>
    <row r="156" spans="1:33" x14ac:dyDescent="0.45">
      <c r="A156" s="2" t="s">
        <v>15205</v>
      </c>
      <c r="B156" s="2" t="s">
        <v>15206</v>
      </c>
      <c r="C156" s="2" t="s">
        <v>15207</v>
      </c>
      <c r="D156" s="2" t="s">
        <v>15208</v>
      </c>
      <c r="E156" s="2" t="s">
        <v>15209</v>
      </c>
      <c r="F156" s="2" t="s">
        <v>15210</v>
      </c>
      <c r="G156" s="2" t="s">
        <v>15210</v>
      </c>
      <c r="H156" s="2" t="s">
        <v>72</v>
      </c>
      <c r="I156" s="2" t="s">
        <v>73</v>
      </c>
      <c r="J156" s="2" t="s">
        <v>7033</v>
      </c>
      <c r="K156" s="2" t="s">
        <v>15208</v>
      </c>
      <c r="L156" s="2"/>
      <c r="M156" s="2"/>
      <c r="N156" s="2"/>
      <c r="O156" s="2" t="s">
        <v>72</v>
      </c>
      <c r="P156" s="2" t="s">
        <v>73</v>
      </c>
      <c r="Q156" s="2" t="s">
        <v>7033</v>
      </c>
      <c r="R156" s="2" t="s">
        <v>15211</v>
      </c>
      <c r="S156" s="2" t="s">
        <v>44</v>
      </c>
      <c r="T156" s="2"/>
      <c r="U156" s="2" t="s">
        <v>45</v>
      </c>
      <c r="V156" s="2" t="s">
        <v>46</v>
      </c>
      <c r="W156" s="2" t="s">
        <v>45</v>
      </c>
      <c r="X156" s="2" t="s">
        <v>10787</v>
      </c>
      <c r="Y156" s="2" t="s">
        <v>10801</v>
      </c>
      <c r="Z156" s="2" t="s">
        <v>49</v>
      </c>
      <c r="AA156" s="2">
        <v>100</v>
      </c>
      <c r="AB156" s="2">
        <v>70</v>
      </c>
      <c r="AC156" s="2" t="s">
        <v>7865</v>
      </c>
      <c r="AD156" s="2" t="s">
        <v>15212</v>
      </c>
      <c r="AE156" s="2"/>
      <c r="AF156" s="2" t="s">
        <v>15038</v>
      </c>
      <c r="AG156" s="2" t="s">
        <v>14290</v>
      </c>
    </row>
    <row r="157" spans="1:33" x14ac:dyDescent="0.45">
      <c r="A157" s="2" t="s">
        <v>15213</v>
      </c>
      <c r="B157" s="2" t="s">
        <v>15214</v>
      </c>
      <c r="C157" s="2" t="s">
        <v>15215</v>
      </c>
      <c r="D157" s="2" t="s">
        <v>15216</v>
      </c>
      <c r="E157" s="2" t="s">
        <v>15217</v>
      </c>
      <c r="F157" s="2" t="s">
        <v>15218</v>
      </c>
      <c r="G157" s="2" t="s">
        <v>15218</v>
      </c>
      <c r="H157" s="2" t="s">
        <v>72</v>
      </c>
      <c r="I157" s="2" t="s">
        <v>73</v>
      </c>
      <c r="J157" s="2" t="s">
        <v>1295</v>
      </c>
      <c r="K157" s="2" t="s">
        <v>15219</v>
      </c>
      <c r="L157" s="2"/>
      <c r="M157" s="2"/>
      <c r="N157" s="2"/>
      <c r="O157" s="2" t="s">
        <v>72</v>
      </c>
      <c r="P157" s="2" t="s">
        <v>73</v>
      </c>
      <c r="Q157" s="2" t="s">
        <v>464</v>
      </c>
      <c r="R157" s="2" t="s">
        <v>15220</v>
      </c>
      <c r="S157" s="2" t="s">
        <v>44</v>
      </c>
      <c r="T157" s="2"/>
      <c r="U157" s="2" t="s">
        <v>45</v>
      </c>
      <c r="V157" s="2" t="s">
        <v>46</v>
      </c>
      <c r="W157" s="2" t="s">
        <v>45</v>
      </c>
      <c r="X157" s="2" t="s">
        <v>10787</v>
      </c>
      <c r="Y157" s="2" t="s">
        <v>10801</v>
      </c>
      <c r="Z157" s="2" t="s">
        <v>49</v>
      </c>
      <c r="AA157" s="2">
        <v>100</v>
      </c>
      <c r="AB157" s="2">
        <v>70</v>
      </c>
      <c r="AC157" s="2" t="s">
        <v>7865</v>
      </c>
      <c r="AD157" s="2" t="s">
        <v>15221</v>
      </c>
      <c r="AE157" s="2"/>
      <c r="AF157" s="2" t="s">
        <v>15038</v>
      </c>
      <c r="AG157" s="2" t="s">
        <v>14290</v>
      </c>
    </row>
    <row r="158" spans="1:33" x14ac:dyDescent="0.45">
      <c r="A158" s="2" t="s">
        <v>15222</v>
      </c>
      <c r="B158" s="2" t="s">
        <v>15223</v>
      </c>
      <c r="C158" s="2" t="s">
        <v>15224</v>
      </c>
      <c r="D158" s="2" t="s">
        <v>15225</v>
      </c>
      <c r="E158" s="2" t="s">
        <v>15226</v>
      </c>
      <c r="F158" s="2" t="s">
        <v>15227</v>
      </c>
      <c r="G158" s="2" t="s">
        <v>15227</v>
      </c>
      <c r="H158" s="2" t="s">
        <v>72</v>
      </c>
      <c r="I158" s="2" t="s">
        <v>73</v>
      </c>
      <c r="J158" s="2" t="s">
        <v>1610</v>
      </c>
      <c r="K158" s="2" t="s">
        <v>15225</v>
      </c>
      <c r="L158" s="2"/>
      <c r="M158" s="2"/>
      <c r="N158" s="2"/>
      <c r="O158" s="2" t="s">
        <v>72</v>
      </c>
      <c r="P158" s="2" t="s">
        <v>73</v>
      </c>
      <c r="Q158" s="2" t="s">
        <v>1610</v>
      </c>
      <c r="R158" s="2" t="s">
        <v>5894</v>
      </c>
      <c r="S158" s="2" t="s">
        <v>44</v>
      </c>
      <c r="T158" s="2"/>
      <c r="U158" s="2" t="s">
        <v>45</v>
      </c>
      <c r="V158" s="2" t="s">
        <v>46</v>
      </c>
      <c r="W158" s="2" t="s">
        <v>45</v>
      </c>
      <c r="X158" s="2" t="s">
        <v>11537</v>
      </c>
      <c r="Y158" s="2" t="s">
        <v>10801</v>
      </c>
      <c r="Z158" s="2" t="s">
        <v>49</v>
      </c>
      <c r="AA158" s="2">
        <v>100</v>
      </c>
      <c r="AB158" s="2">
        <v>70</v>
      </c>
      <c r="AC158" s="2" t="s">
        <v>7865</v>
      </c>
      <c r="AD158" s="2" t="s">
        <v>15228</v>
      </c>
      <c r="AE158" s="2"/>
      <c r="AF158" s="2" t="s">
        <v>15038</v>
      </c>
      <c r="AG158" s="2" t="s">
        <v>14290</v>
      </c>
    </row>
    <row r="159" spans="1:33" x14ac:dyDescent="0.45">
      <c r="A159" s="2" t="s">
        <v>15229</v>
      </c>
      <c r="B159" s="2" t="s">
        <v>15230</v>
      </c>
      <c r="C159" s="2" t="s">
        <v>15231</v>
      </c>
      <c r="D159" s="2" t="s">
        <v>15232</v>
      </c>
      <c r="E159" s="2" t="s">
        <v>15233</v>
      </c>
      <c r="F159" s="2" t="s">
        <v>15234</v>
      </c>
      <c r="G159" s="2" t="s">
        <v>15234</v>
      </c>
      <c r="H159" s="2" t="s">
        <v>72</v>
      </c>
      <c r="I159" s="2" t="s">
        <v>73</v>
      </c>
      <c r="J159" s="2" t="s">
        <v>1670</v>
      </c>
      <c r="K159" s="2" t="s">
        <v>15235</v>
      </c>
      <c r="L159" s="2"/>
      <c r="M159" s="2"/>
      <c r="N159" s="2"/>
      <c r="O159" s="2" t="s">
        <v>72</v>
      </c>
      <c r="P159" s="2" t="s">
        <v>73</v>
      </c>
      <c r="Q159" s="2" t="s">
        <v>484</v>
      </c>
      <c r="R159" s="2" t="s">
        <v>15236</v>
      </c>
      <c r="S159" s="2" t="s">
        <v>44</v>
      </c>
      <c r="T159" s="2"/>
      <c r="U159" s="2" t="s">
        <v>45</v>
      </c>
      <c r="V159" s="2" t="s">
        <v>46</v>
      </c>
      <c r="W159" s="2" t="s">
        <v>45</v>
      </c>
      <c r="X159" s="2" t="s">
        <v>10787</v>
      </c>
      <c r="Y159" s="2" t="s">
        <v>10801</v>
      </c>
      <c r="Z159" s="2" t="s">
        <v>49</v>
      </c>
      <c r="AA159" s="2">
        <v>100</v>
      </c>
      <c r="AB159" s="2">
        <v>70</v>
      </c>
      <c r="AC159" s="2" t="s">
        <v>7865</v>
      </c>
      <c r="AD159" s="2" t="s">
        <v>15237</v>
      </c>
      <c r="AE159" s="2"/>
      <c r="AF159" s="2" t="s">
        <v>15038</v>
      </c>
      <c r="AG159" s="2" t="s">
        <v>14290</v>
      </c>
    </row>
    <row r="160" spans="1:33" x14ac:dyDescent="0.45">
      <c r="A160" s="2" t="s">
        <v>15238</v>
      </c>
      <c r="B160" s="2" t="s">
        <v>15239</v>
      </c>
      <c r="C160" s="2" t="s">
        <v>15240</v>
      </c>
      <c r="D160" s="2" t="s">
        <v>15241</v>
      </c>
      <c r="E160" s="2" t="s">
        <v>15242</v>
      </c>
      <c r="F160" s="2" t="s">
        <v>15243</v>
      </c>
      <c r="G160" s="2" t="s">
        <v>15243</v>
      </c>
      <c r="H160" s="2" t="s">
        <v>72</v>
      </c>
      <c r="I160" s="2" t="s">
        <v>73</v>
      </c>
      <c r="J160" s="2" t="s">
        <v>2372</v>
      </c>
      <c r="K160" s="2" t="s">
        <v>15241</v>
      </c>
      <c r="L160" s="2"/>
      <c r="M160" s="2"/>
      <c r="N160" s="2"/>
      <c r="O160" s="2" t="s">
        <v>72</v>
      </c>
      <c r="P160" s="2" t="s">
        <v>73</v>
      </c>
      <c r="Q160" s="2" t="s">
        <v>2372</v>
      </c>
      <c r="R160" s="2" t="s">
        <v>4551</v>
      </c>
      <c r="S160" s="2" t="s">
        <v>44</v>
      </c>
      <c r="T160" s="2"/>
      <c r="U160" s="2" t="s">
        <v>45</v>
      </c>
      <c r="V160" s="2" t="s">
        <v>46</v>
      </c>
      <c r="W160" s="2" t="s">
        <v>45</v>
      </c>
      <c r="X160" s="2" t="s">
        <v>12417</v>
      </c>
      <c r="Y160" s="2" t="s">
        <v>10801</v>
      </c>
      <c r="Z160" s="2" t="s">
        <v>49</v>
      </c>
      <c r="AA160" s="2">
        <v>100</v>
      </c>
      <c r="AB160" s="2">
        <v>70</v>
      </c>
      <c r="AC160" s="2" t="s">
        <v>7865</v>
      </c>
      <c r="AD160" s="2" t="s">
        <v>15244</v>
      </c>
      <c r="AE160" s="2"/>
      <c r="AF160" s="2" t="s">
        <v>15038</v>
      </c>
      <c r="AG160" s="2" t="s">
        <v>14290</v>
      </c>
    </row>
    <row r="161" spans="1:33" x14ac:dyDescent="0.45">
      <c r="A161" s="2" t="s">
        <v>15245</v>
      </c>
      <c r="B161" s="2" t="s">
        <v>15246</v>
      </c>
      <c r="C161" s="2" t="s">
        <v>15247</v>
      </c>
      <c r="D161" s="2" t="s">
        <v>15248</v>
      </c>
      <c r="E161" s="2" t="s">
        <v>15249</v>
      </c>
      <c r="F161" s="2" t="s">
        <v>15250</v>
      </c>
      <c r="G161" s="2" t="s">
        <v>15250</v>
      </c>
      <c r="H161" s="2" t="s">
        <v>1023</v>
      </c>
      <c r="I161" s="2" t="s">
        <v>73</v>
      </c>
      <c r="J161" s="2" t="s">
        <v>12204</v>
      </c>
      <c r="K161" s="2" t="s">
        <v>15251</v>
      </c>
      <c r="L161" s="2"/>
      <c r="M161" s="2"/>
      <c r="N161" s="2"/>
      <c r="O161" s="2" t="s">
        <v>1023</v>
      </c>
      <c r="P161" s="2" t="s">
        <v>73</v>
      </c>
      <c r="Q161" s="2" t="s">
        <v>12204</v>
      </c>
      <c r="R161" s="2" t="s">
        <v>2271</v>
      </c>
      <c r="S161" s="2" t="s">
        <v>44</v>
      </c>
      <c r="T161" s="2"/>
      <c r="U161" s="2" t="s">
        <v>45</v>
      </c>
      <c r="V161" s="2" t="s">
        <v>46</v>
      </c>
      <c r="W161" s="2" t="s">
        <v>45</v>
      </c>
      <c r="X161" s="2" t="s">
        <v>10787</v>
      </c>
      <c r="Y161" s="2" t="s">
        <v>10801</v>
      </c>
      <c r="Z161" s="2" t="s">
        <v>49</v>
      </c>
      <c r="AA161" s="2">
        <v>100</v>
      </c>
      <c r="AB161" s="2">
        <v>70</v>
      </c>
      <c r="AC161" s="2" t="s">
        <v>7865</v>
      </c>
      <c r="AD161" s="2" t="s">
        <v>15252</v>
      </c>
      <c r="AE161" s="2"/>
      <c r="AF161" s="2" t="s">
        <v>15038</v>
      </c>
      <c r="AG161" s="2" t="s">
        <v>14290</v>
      </c>
    </row>
    <row r="162" spans="1:33" x14ac:dyDescent="0.45">
      <c r="A162" s="2" t="s">
        <v>15253</v>
      </c>
      <c r="B162" s="2" t="s">
        <v>15254</v>
      </c>
      <c r="C162" s="2" t="s">
        <v>15255</v>
      </c>
      <c r="D162" s="2" t="s">
        <v>15256</v>
      </c>
      <c r="E162" s="2" t="s">
        <v>15257</v>
      </c>
      <c r="F162" s="2" t="s">
        <v>15258</v>
      </c>
      <c r="G162" s="2" t="s">
        <v>15258</v>
      </c>
      <c r="H162" s="2" t="s">
        <v>72</v>
      </c>
      <c r="I162" s="2" t="s">
        <v>73</v>
      </c>
      <c r="J162" s="2" t="s">
        <v>74</v>
      </c>
      <c r="K162" s="2"/>
      <c r="L162" s="2"/>
      <c r="M162" s="2"/>
      <c r="N162" s="2"/>
      <c r="O162" s="2"/>
      <c r="P162" s="2"/>
      <c r="Q162" s="2"/>
      <c r="R162" s="2" t="s">
        <v>15259</v>
      </c>
      <c r="S162" s="2" t="s">
        <v>44</v>
      </c>
      <c r="T162" s="2"/>
      <c r="U162" s="2" t="s">
        <v>45</v>
      </c>
      <c r="V162" s="2" t="s">
        <v>46</v>
      </c>
      <c r="W162" s="2" t="s">
        <v>45</v>
      </c>
      <c r="X162" s="2" t="s">
        <v>10787</v>
      </c>
      <c r="Y162" s="2" t="s">
        <v>10801</v>
      </c>
      <c r="Z162" s="2" t="s">
        <v>49</v>
      </c>
      <c r="AA162" s="2">
        <v>100</v>
      </c>
      <c r="AB162" s="2">
        <v>70</v>
      </c>
      <c r="AC162" s="2" t="s">
        <v>7865</v>
      </c>
      <c r="AD162" s="2" t="s">
        <v>15260</v>
      </c>
      <c r="AE162" s="2"/>
      <c r="AF162" s="2" t="s">
        <v>15038</v>
      </c>
      <c r="AG162" s="2" t="s">
        <v>14290</v>
      </c>
    </row>
    <row r="163" spans="1:33" x14ac:dyDescent="0.45">
      <c r="A163" s="2" t="s">
        <v>15261</v>
      </c>
      <c r="B163" s="2" t="s">
        <v>15262</v>
      </c>
      <c r="C163" s="2" t="s">
        <v>15263</v>
      </c>
      <c r="D163" s="2" t="s">
        <v>15264</v>
      </c>
      <c r="E163" s="2" t="s">
        <v>15265</v>
      </c>
      <c r="F163" s="2" t="s">
        <v>15266</v>
      </c>
      <c r="G163" s="2"/>
      <c r="H163" s="2" t="s">
        <v>59</v>
      </c>
      <c r="I163" s="2" t="s">
        <v>60</v>
      </c>
      <c r="J163" s="2" t="s">
        <v>4241</v>
      </c>
      <c r="K163" s="2" t="s">
        <v>15264</v>
      </c>
      <c r="L163" s="2"/>
      <c r="M163" s="2"/>
      <c r="N163" s="2"/>
      <c r="O163" s="2" t="s">
        <v>59</v>
      </c>
      <c r="P163" s="2" t="s">
        <v>60</v>
      </c>
      <c r="Q163" s="2" t="s">
        <v>4241</v>
      </c>
      <c r="R163" s="2" t="s">
        <v>15267</v>
      </c>
      <c r="S163" s="2" t="s">
        <v>44</v>
      </c>
      <c r="T163" s="2"/>
      <c r="U163" s="2" t="s">
        <v>45</v>
      </c>
      <c r="V163" s="2" t="s">
        <v>46</v>
      </c>
      <c r="W163" s="2" t="s">
        <v>45</v>
      </c>
      <c r="X163" s="2" t="s">
        <v>10787</v>
      </c>
      <c r="Y163" s="2" t="s">
        <v>10801</v>
      </c>
      <c r="Z163" s="2" t="s">
        <v>49</v>
      </c>
      <c r="AA163" s="2">
        <v>100</v>
      </c>
      <c r="AB163" s="2">
        <v>70</v>
      </c>
      <c r="AC163" s="2" t="s">
        <v>7865</v>
      </c>
      <c r="AD163" s="2" t="s">
        <v>15268</v>
      </c>
      <c r="AE163" s="2"/>
      <c r="AF163" s="2" t="s">
        <v>15038</v>
      </c>
      <c r="AG163" s="2" t="s">
        <v>14290</v>
      </c>
    </row>
    <row r="164" spans="1:33" x14ac:dyDescent="0.45">
      <c r="A164" s="2" t="s">
        <v>15269</v>
      </c>
      <c r="B164" s="2" t="s">
        <v>15270</v>
      </c>
      <c r="C164" s="2" t="s">
        <v>15271</v>
      </c>
      <c r="D164" s="2" t="s">
        <v>15272</v>
      </c>
      <c r="E164" s="2" t="s">
        <v>15273</v>
      </c>
      <c r="F164" s="2" t="s">
        <v>15274</v>
      </c>
      <c r="G164" s="2" t="s">
        <v>15274</v>
      </c>
      <c r="H164" s="2" t="s">
        <v>536</v>
      </c>
      <c r="I164" s="2" t="s">
        <v>537</v>
      </c>
      <c r="J164" s="2" t="s">
        <v>1091</v>
      </c>
      <c r="K164" s="2" t="s">
        <v>15275</v>
      </c>
      <c r="L164" s="2"/>
      <c r="M164" s="2"/>
      <c r="N164" s="2"/>
      <c r="O164" s="2" t="s">
        <v>536</v>
      </c>
      <c r="P164" s="2" t="s">
        <v>537</v>
      </c>
      <c r="Q164" s="2" t="s">
        <v>2431</v>
      </c>
      <c r="R164" s="2" t="s">
        <v>15276</v>
      </c>
      <c r="S164" s="2" t="s">
        <v>44</v>
      </c>
      <c r="T164" s="2"/>
      <c r="U164" s="2" t="s">
        <v>45</v>
      </c>
      <c r="V164" s="2" t="s">
        <v>46</v>
      </c>
      <c r="W164" s="2" t="s">
        <v>45</v>
      </c>
      <c r="X164" s="2" t="s">
        <v>10787</v>
      </c>
      <c r="Y164" s="2" t="s">
        <v>10801</v>
      </c>
      <c r="Z164" s="2" t="s">
        <v>49</v>
      </c>
      <c r="AA164" s="2">
        <v>100</v>
      </c>
      <c r="AB164" s="2">
        <v>70</v>
      </c>
      <c r="AC164" s="2" t="s">
        <v>7865</v>
      </c>
      <c r="AD164" s="2" t="s">
        <v>15277</v>
      </c>
      <c r="AE164" s="2"/>
      <c r="AF164" s="2" t="s">
        <v>15038</v>
      </c>
      <c r="AG164" s="2" t="s">
        <v>14290</v>
      </c>
    </row>
    <row r="165" spans="1:33" x14ac:dyDescent="0.45">
      <c r="A165" s="2" t="s">
        <v>15278</v>
      </c>
      <c r="B165" s="2" t="s">
        <v>15279</v>
      </c>
      <c r="C165" s="2" t="s">
        <v>15280</v>
      </c>
      <c r="D165" s="2" t="s">
        <v>15281</v>
      </c>
      <c r="E165" s="2" t="s">
        <v>15282</v>
      </c>
      <c r="F165" s="2" t="s">
        <v>15283</v>
      </c>
      <c r="G165" s="2" t="s">
        <v>15283</v>
      </c>
      <c r="H165" s="2" t="s">
        <v>174</v>
      </c>
      <c r="I165" s="2" t="s">
        <v>175</v>
      </c>
      <c r="J165" s="2" t="s">
        <v>2931</v>
      </c>
      <c r="K165" s="2" t="s">
        <v>15281</v>
      </c>
      <c r="L165" s="2"/>
      <c r="M165" s="2"/>
      <c r="N165" s="2"/>
      <c r="O165" s="2" t="s">
        <v>174</v>
      </c>
      <c r="P165" s="2" t="s">
        <v>175</v>
      </c>
      <c r="Q165" s="2" t="s">
        <v>2931</v>
      </c>
      <c r="R165" s="2" t="s">
        <v>11706</v>
      </c>
      <c r="S165" s="2" t="s">
        <v>44</v>
      </c>
      <c r="T165" s="2"/>
      <c r="U165" s="2" t="s">
        <v>45</v>
      </c>
      <c r="V165" s="2" t="s">
        <v>46</v>
      </c>
      <c r="W165" s="2" t="s">
        <v>45</v>
      </c>
      <c r="X165" s="2" t="s">
        <v>10787</v>
      </c>
      <c r="Y165" s="2" t="s">
        <v>10801</v>
      </c>
      <c r="Z165" s="2" t="s">
        <v>49</v>
      </c>
      <c r="AA165" s="2">
        <v>100</v>
      </c>
      <c r="AB165" s="2">
        <v>70</v>
      </c>
      <c r="AC165" s="2" t="s">
        <v>7865</v>
      </c>
      <c r="AD165" s="2" t="s">
        <v>15284</v>
      </c>
      <c r="AE165" s="2"/>
      <c r="AF165" s="2" t="s">
        <v>15038</v>
      </c>
      <c r="AG165" s="2" t="s">
        <v>14290</v>
      </c>
    </row>
    <row r="166" spans="1:33" x14ac:dyDescent="0.45">
      <c r="A166" s="2" t="s">
        <v>15285</v>
      </c>
      <c r="B166" s="2" t="s">
        <v>15286</v>
      </c>
      <c r="C166" s="2" t="s">
        <v>15287</v>
      </c>
      <c r="D166" s="2" t="s">
        <v>15288</v>
      </c>
      <c r="E166" s="2" t="s">
        <v>15289</v>
      </c>
      <c r="F166" s="2" t="s">
        <v>15290</v>
      </c>
      <c r="G166" s="2" t="s">
        <v>15290</v>
      </c>
      <c r="H166" s="2" t="s">
        <v>72</v>
      </c>
      <c r="I166" s="2" t="s">
        <v>73</v>
      </c>
      <c r="J166" s="2" t="s">
        <v>187</v>
      </c>
      <c r="K166" s="2" t="s">
        <v>15288</v>
      </c>
      <c r="L166" s="2"/>
      <c r="M166" s="2"/>
      <c r="N166" s="2"/>
      <c r="O166" s="2" t="s">
        <v>72</v>
      </c>
      <c r="P166" s="2" t="s">
        <v>73</v>
      </c>
      <c r="Q166" s="2" t="s">
        <v>187</v>
      </c>
      <c r="R166" s="2" t="s">
        <v>3246</v>
      </c>
      <c r="S166" s="2" t="s">
        <v>44</v>
      </c>
      <c r="T166" s="2"/>
      <c r="U166" s="2" t="s">
        <v>45</v>
      </c>
      <c r="V166" s="2" t="s">
        <v>46</v>
      </c>
      <c r="W166" s="2" t="s">
        <v>45</v>
      </c>
      <c r="X166" s="2" t="s">
        <v>11537</v>
      </c>
      <c r="Y166" s="2" t="s">
        <v>10801</v>
      </c>
      <c r="Z166" s="2" t="s">
        <v>49</v>
      </c>
      <c r="AA166" s="2">
        <v>100</v>
      </c>
      <c r="AB166" s="2">
        <v>70</v>
      </c>
      <c r="AC166" s="2" t="s">
        <v>7865</v>
      </c>
      <c r="AD166" s="2" t="s">
        <v>15291</v>
      </c>
      <c r="AE166" s="2"/>
      <c r="AF166" s="2" t="s">
        <v>15038</v>
      </c>
      <c r="AG166" s="2" t="s">
        <v>14290</v>
      </c>
    </row>
    <row r="167" spans="1:33" x14ac:dyDescent="0.45">
      <c r="A167" s="2" t="s">
        <v>15292</v>
      </c>
      <c r="B167" s="2" t="s">
        <v>15293</v>
      </c>
      <c r="C167" s="2" t="s">
        <v>15294</v>
      </c>
      <c r="D167" s="2" t="s">
        <v>15295</v>
      </c>
      <c r="E167" s="2" t="s">
        <v>15296</v>
      </c>
      <c r="F167" s="2" t="s">
        <v>15297</v>
      </c>
      <c r="G167" s="2"/>
      <c r="H167" s="2" t="s">
        <v>384</v>
      </c>
      <c r="I167" s="2" t="s">
        <v>73</v>
      </c>
      <c r="J167" s="2" t="s">
        <v>1837</v>
      </c>
      <c r="K167" s="2" t="s">
        <v>15298</v>
      </c>
      <c r="L167" s="2"/>
      <c r="M167" s="2"/>
      <c r="N167" s="2"/>
      <c r="O167" s="2" t="s">
        <v>384</v>
      </c>
      <c r="P167" s="2" t="s">
        <v>73</v>
      </c>
      <c r="Q167" s="2" t="s">
        <v>1837</v>
      </c>
      <c r="R167" s="2" t="s">
        <v>7648</v>
      </c>
      <c r="S167" s="2" t="s">
        <v>44</v>
      </c>
      <c r="T167" s="2"/>
      <c r="U167" s="2" t="s">
        <v>45</v>
      </c>
      <c r="V167" s="2" t="s">
        <v>46</v>
      </c>
      <c r="W167" s="2" t="s">
        <v>45</v>
      </c>
      <c r="X167" s="2" t="s">
        <v>10787</v>
      </c>
      <c r="Y167" s="2" t="s">
        <v>10801</v>
      </c>
      <c r="Z167" s="2" t="s">
        <v>49</v>
      </c>
      <c r="AA167" s="2">
        <v>100</v>
      </c>
      <c r="AB167" s="2">
        <v>70</v>
      </c>
      <c r="AC167" s="2" t="s">
        <v>7865</v>
      </c>
      <c r="AD167" s="2" t="s">
        <v>15299</v>
      </c>
      <c r="AE167" s="2"/>
      <c r="AF167" s="2" t="s">
        <v>15038</v>
      </c>
      <c r="AG167" s="2" t="s">
        <v>14290</v>
      </c>
    </row>
    <row r="168" spans="1:33" x14ac:dyDescent="0.45">
      <c r="A168" s="2" t="s">
        <v>15300</v>
      </c>
      <c r="B168" s="2" t="s">
        <v>15301</v>
      </c>
      <c r="C168" s="2" t="s">
        <v>15302</v>
      </c>
      <c r="D168" s="2" t="s">
        <v>15303</v>
      </c>
      <c r="E168" s="2" t="s">
        <v>15304</v>
      </c>
      <c r="F168" s="2" t="s">
        <v>15305</v>
      </c>
      <c r="G168" s="2" t="s">
        <v>15305</v>
      </c>
      <c r="H168" s="2" t="s">
        <v>536</v>
      </c>
      <c r="I168" s="2" t="s">
        <v>537</v>
      </c>
      <c r="J168" s="2" t="s">
        <v>15306</v>
      </c>
      <c r="K168" s="2" t="s">
        <v>15303</v>
      </c>
      <c r="L168" s="2"/>
      <c r="M168" s="2"/>
      <c r="N168" s="2"/>
      <c r="O168" s="2" t="s">
        <v>536</v>
      </c>
      <c r="P168" s="2" t="s">
        <v>537</v>
      </c>
      <c r="Q168" s="2" t="s">
        <v>15306</v>
      </c>
      <c r="R168" s="2" t="s">
        <v>8580</v>
      </c>
      <c r="S168" s="2" t="s">
        <v>44</v>
      </c>
      <c r="T168" s="2"/>
      <c r="U168" s="2" t="s">
        <v>45</v>
      </c>
      <c r="V168" s="2" t="s">
        <v>46</v>
      </c>
      <c r="W168" s="2" t="s">
        <v>45</v>
      </c>
      <c r="X168" s="2" t="s">
        <v>10787</v>
      </c>
      <c r="Y168" s="2" t="s">
        <v>10801</v>
      </c>
      <c r="Z168" s="2" t="s">
        <v>49</v>
      </c>
      <c r="AA168" s="2">
        <v>100</v>
      </c>
      <c r="AB168" s="2">
        <v>70</v>
      </c>
      <c r="AC168" s="2" t="s">
        <v>7865</v>
      </c>
      <c r="AD168" s="2" t="s">
        <v>15307</v>
      </c>
      <c r="AE168" s="2"/>
      <c r="AF168" s="2" t="s">
        <v>15038</v>
      </c>
      <c r="AG168" s="2" t="s">
        <v>14290</v>
      </c>
    </row>
    <row r="169" spans="1:33" x14ac:dyDescent="0.45">
      <c r="A169" s="2" t="s">
        <v>15308</v>
      </c>
      <c r="B169" s="2" t="s">
        <v>15309</v>
      </c>
      <c r="C169" s="2" t="s">
        <v>15310</v>
      </c>
      <c r="D169" s="2" t="s">
        <v>15311</v>
      </c>
      <c r="E169" s="2" t="s">
        <v>15312</v>
      </c>
      <c r="F169" s="2" t="s">
        <v>15313</v>
      </c>
      <c r="G169" s="2" t="s">
        <v>15313</v>
      </c>
      <c r="H169" s="2" t="s">
        <v>72</v>
      </c>
      <c r="I169" s="2" t="s">
        <v>73</v>
      </c>
      <c r="J169" s="2" t="s">
        <v>5765</v>
      </c>
      <c r="K169" s="2"/>
      <c r="L169" s="2"/>
      <c r="M169" s="2"/>
      <c r="N169" s="2"/>
      <c r="O169" s="2"/>
      <c r="P169" s="2"/>
      <c r="Q169" s="2"/>
      <c r="R169" s="2" t="s">
        <v>773</v>
      </c>
      <c r="S169" s="2" t="s">
        <v>44</v>
      </c>
      <c r="T169" s="2"/>
      <c r="U169" s="2" t="s">
        <v>45</v>
      </c>
      <c r="V169" s="2" t="s">
        <v>46</v>
      </c>
      <c r="W169" s="2" t="s">
        <v>45</v>
      </c>
      <c r="X169" s="2" t="s">
        <v>10787</v>
      </c>
      <c r="Y169" s="2" t="s">
        <v>10801</v>
      </c>
      <c r="Z169" s="2" t="s">
        <v>49</v>
      </c>
      <c r="AA169" s="2">
        <v>100</v>
      </c>
      <c r="AB169" s="2">
        <v>70</v>
      </c>
      <c r="AC169" s="2" t="s">
        <v>7865</v>
      </c>
      <c r="AD169" s="2" t="s">
        <v>15314</v>
      </c>
      <c r="AE169" s="2"/>
      <c r="AF169" s="2" t="s">
        <v>15038</v>
      </c>
      <c r="AG169" s="2" t="s">
        <v>14290</v>
      </c>
    </row>
    <row r="170" spans="1:33" x14ac:dyDescent="0.45">
      <c r="A170" s="2" t="s">
        <v>15315</v>
      </c>
      <c r="B170" s="2" t="s">
        <v>15316</v>
      </c>
      <c r="C170" s="2" t="s">
        <v>15317</v>
      </c>
      <c r="D170" s="2" t="s">
        <v>15318</v>
      </c>
      <c r="E170" s="2" t="s">
        <v>15319</v>
      </c>
      <c r="F170" s="2" t="s">
        <v>15320</v>
      </c>
      <c r="G170" s="2" t="s">
        <v>15320</v>
      </c>
      <c r="H170" s="2" t="s">
        <v>72</v>
      </c>
      <c r="I170" s="2" t="s">
        <v>73</v>
      </c>
      <c r="J170" s="2" t="s">
        <v>1430</v>
      </c>
      <c r="K170" s="2" t="s">
        <v>15318</v>
      </c>
      <c r="L170" s="2"/>
      <c r="M170" s="2"/>
      <c r="N170" s="2"/>
      <c r="O170" s="2" t="s">
        <v>72</v>
      </c>
      <c r="P170" s="2" t="s">
        <v>73</v>
      </c>
      <c r="Q170" s="2" t="s">
        <v>1430</v>
      </c>
      <c r="R170" s="2" t="s">
        <v>7816</v>
      </c>
      <c r="S170" s="2" t="s">
        <v>44</v>
      </c>
      <c r="T170" s="2"/>
      <c r="U170" s="2" t="s">
        <v>45</v>
      </c>
      <c r="V170" s="2" t="s">
        <v>46</v>
      </c>
      <c r="W170" s="2" t="s">
        <v>45</v>
      </c>
      <c r="X170" s="2" t="s">
        <v>10787</v>
      </c>
      <c r="Y170" s="2" t="s">
        <v>10801</v>
      </c>
      <c r="Z170" s="2" t="s">
        <v>49</v>
      </c>
      <c r="AA170" s="2">
        <v>100</v>
      </c>
      <c r="AB170" s="2">
        <v>70</v>
      </c>
      <c r="AC170" s="2" t="s">
        <v>7865</v>
      </c>
      <c r="AD170" s="2" t="s">
        <v>15321</v>
      </c>
      <c r="AE170" s="2"/>
      <c r="AF170" s="2" t="s">
        <v>15038</v>
      </c>
      <c r="AG170" s="2" t="s">
        <v>14290</v>
      </c>
    </row>
    <row r="171" spans="1:33" x14ac:dyDescent="0.45">
      <c r="A171" s="2" t="s">
        <v>15322</v>
      </c>
      <c r="B171" s="2" t="s">
        <v>15323</v>
      </c>
      <c r="C171" s="2" t="s">
        <v>15324</v>
      </c>
      <c r="D171" s="2" t="s">
        <v>15325</v>
      </c>
      <c r="E171" s="2" t="s">
        <v>15120</v>
      </c>
      <c r="F171" s="2" t="s">
        <v>15326</v>
      </c>
      <c r="G171" s="2" t="s">
        <v>15326</v>
      </c>
      <c r="H171" s="2" t="s">
        <v>72</v>
      </c>
      <c r="I171" s="2" t="s">
        <v>73</v>
      </c>
      <c r="J171" s="2" t="s">
        <v>1568</v>
      </c>
      <c r="K171" s="2" t="s">
        <v>15325</v>
      </c>
      <c r="L171" s="2"/>
      <c r="M171" s="2"/>
      <c r="N171" s="2"/>
      <c r="O171" s="2" t="s">
        <v>72</v>
      </c>
      <c r="P171" s="2" t="s">
        <v>73</v>
      </c>
      <c r="Q171" s="2" t="s">
        <v>1568</v>
      </c>
      <c r="R171" s="2" t="s">
        <v>5261</v>
      </c>
      <c r="S171" s="2" t="s">
        <v>44</v>
      </c>
      <c r="T171" s="2"/>
      <c r="U171" s="2" t="s">
        <v>3527</v>
      </c>
      <c r="V171" s="2" t="s">
        <v>46</v>
      </c>
      <c r="W171" s="2" t="s">
        <v>3527</v>
      </c>
      <c r="X171" s="2" t="s">
        <v>10787</v>
      </c>
      <c r="Y171" s="2" t="s">
        <v>10801</v>
      </c>
      <c r="Z171" s="2" t="s">
        <v>49</v>
      </c>
      <c r="AA171" s="2">
        <v>100</v>
      </c>
      <c r="AB171" s="2">
        <v>70</v>
      </c>
      <c r="AC171" s="2" t="s">
        <v>7865</v>
      </c>
      <c r="AD171" s="2" t="s">
        <v>15122</v>
      </c>
      <c r="AE171" s="2"/>
      <c r="AF171" s="2" t="s">
        <v>15327</v>
      </c>
      <c r="AG171" s="2" t="s">
        <v>14290</v>
      </c>
    </row>
    <row r="172" spans="1:33" x14ac:dyDescent="0.45">
      <c r="A172" s="2" t="s">
        <v>15328</v>
      </c>
      <c r="B172" s="2" t="s">
        <v>15329</v>
      </c>
      <c r="C172" s="2" t="s">
        <v>15330</v>
      </c>
      <c r="D172" s="2" t="s">
        <v>15331</v>
      </c>
      <c r="E172" s="2" t="s">
        <v>15332</v>
      </c>
      <c r="F172" s="2" t="s">
        <v>15333</v>
      </c>
      <c r="G172" s="2" t="s">
        <v>15333</v>
      </c>
      <c r="H172" s="2" t="s">
        <v>312</v>
      </c>
      <c r="I172" s="2" t="s">
        <v>313</v>
      </c>
      <c r="J172" s="2" t="s">
        <v>314</v>
      </c>
      <c r="K172" s="2" t="s">
        <v>15331</v>
      </c>
      <c r="L172" s="2"/>
      <c r="M172" s="2"/>
      <c r="N172" s="2"/>
      <c r="O172" s="2" t="s">
        <v>312</v>
      </c>
      <c r="P172" s="2" t="s">
        <v>313</v>
      </c>
      <c r="Q172" s="2" t="s">
        <v>314</v>
      </c>
      <c r="R172" s="2" t="s">
        <v>743</v>
      </c>
      <c r="S172" s="2" t="s">
        <v>44</v>
      </c>
      <c r="T172" s="2"/>
      <c r="U172" s="2" t="s">
        <v>3527</v>
      </c>
      <c r="V172" s="2" t="s">
        <v>46</v>
      </c>
      <c r="W172" s="2" t="s">
        <v>3527</v>
      </c>
      <c r="X172" s="2" t="s">
        <v>8621</v>
      </c>
      <c r="Y172" s="2" t="s">
        <v>48</v>
      </c>
      <c r="Z172" s="2" t="s">
        <v>7864</v>
      </c>
      <c r="AA172" s="2">
        <v>100</v>
      </c>
      <c r="AB172" s="2">
        <v>70</v>
      </c>
      <c r="AC172" s="2" t="s">
        <v>7865</v>
      </c>
      <c r="AD172" s="2" t="s">
        <v>8622</v>
      </c>
      <c r="AE172" s="2"/>
      <c r="AF172" s="2" t="s">
        <v>14289</v>
      </c>
      <c r="AG172" s="2" t="s">
        <v>14290</v>
      </c>
    </row>
    <row r="173" spans="1:33" x14ac:dyDescent="0.45">
      <c r="A173" s="2" t="s">
        <v>15123</v>
      </c>
      <c r="B173" s="2" t="s">
        <v>15334</v>
      </c>
      <c r="C173" s="2" t="s">
        <v>15335</v>
      </c>
      <c r="D173" s="2" t="s">
        <v>15336</v>
      </c>
      <c r="E173" s="2" t="s">
        <v>15127</v>
      </c>
      <c r="F173" s="2" t="s">
        <v>15337</v>
      </c>
      <c r="G173" s="2" t="s">
        <v>15337</v>
      </c>
      <c r="H173" s="2" t="s">
        <v>72</v>
      </c>
      <c r="I173" s="2" t="s">
        <v>73</v>
      </c>
      <c r="J173" s="2" t="s">
        <v>1568</v>
      </c>
      <c r="K173" s="2" t="s">
        <v>15336</v>
      </c>
      <c r="L173" s="2"/>
      <c r="M173" s="2"/>
      <c r="N173" s="2"/>
      <c r="O173" s="2" t="s">
        <v>72</v>
      </c>
      <c r="P173" s="2" t="s">
        <v>73</v>
      </c>
      <c r="Q173" s="2" t="s">
        <v>1568</v>
      </c>
      <c r="R173" s="2" t="s">
        <v>1419</v>
      </c>
      <c r="S173" s="2" t="s">
        <v>44</v>
      </c>
      <c r="T173" s="2"/>
      <c r="U173" s="2" t="s">
        <v>3527</v>
      </c>
      <c r="V173" s="2" t="s">
        <v>199</v>
      </c>
      <c r="W173" s="2" t="s">
        <v>3527</v>
      </c>
      <c r="X173" s="2" t="s">
        <v>10787</v>
      </c>
      <c r="Y173" s="2" t="s">
        <v>10801</v>
      </c>
      <c r="Z173" s="2" t="s">
        <v>49</v>
      </c>
      <c r="AA173" s="2">
        <v>100</v>
      </c>
      <c r="AB173" s="2">
        <v>70</v>
      </c>
      <c r="AC173" s="2" t="s">
        <v>7865</v>
      </c>
      <c r="AD173" s="2" t="s">
        <v>15129</v>
      </c>
      <c r="AE173" s="2"/>
      <c r="AF173" s="2" t="s">
        <v>15327</v>
      </c>
      <c r="AG173" s="2" t="s">
        <v>14290</v>
      </c>
    </row>
    <row r="174" spans="1:33" x14ac:dyDescent="0.45">
      <c r="A174" s="2" t="s">
        <v>15338</v>
      </c>
      <c r="B174" s="2" t="s">
        <v>15339</v>
      </c>
      <c r="C174" s="2" t="s">
        <v>15340</v>
      </c>
      <c r="D174" s="2" t="s">
        <v>15341</v>
      </c>
      <c r="E174" s="2" t="s">
        <v>15342</v>
      </c>
      <c r="F174" s="2" t="s">
        <v>3562</v>
      </c>
      <c r="G174" s="2" t="s">
        <v>3562</v>
      </c>
      <c r="H174" s="2" t="s">
        <v>312</v>
      </c>
      <c r="I174" s="2" t="s">
        <v>313</v>
      </c>
      <c r="J174" s="2" t="s">
        <v>7647</v>
      </c>
      <c r="K174" s="2"/>
      <c r="L174" s="2"/>
      <c r="M174" s="2"/>
      <c r="N174" s="2"/>
      <c r="O174" s="2"/>
      <c r="P174" s="2"/>
      <c r="Q174" s="2"/>
      <c r="R174" s="2" t="s">
        <v>3439</v>
      </c>
      <c r="S174" s="2" t="s">
        <v>44</v>
      </c>
      <c r="T174" s="2"/>
      <c r="U174" s="2" t="s">
        <v>3527</v>
      </c>
      <c r="V174" s="2" t="s">
        <v>46</v>
      </c>
      <c r="W174" s="2" t="s">
        <v>3527</v>
      </c>
      <c r="X174" s="2" t="s">
        <v>7874</v>
      </c>
      <c r="Y174" s="2" t="s">
        <v>48</v>
      </c>
      <c r="Z174" s="2" t="s">
        <v>7864</v>
      </c>
      <c r="AA174" s="2">
        <v>100</v>
      </c>
      <c r="AB174" s="2">
        <v>70</v>
      </c>
      <c r="AC174" s="2" t="s">
        <v>7865</v>
      </c>
      <c r="AD174" s="2" t="s">
        <v>7875</v>
      </c>
      <c r="AE174" s="2"/>
      <c r="AF174" s="2" t="s">
        <v>14289</v>
      </c>
      <c r="AG174" s="2" t="s">
        <v>14290</v>
      </c>
    </row>
    <row r="175" spans="1:33" x14ac:dyDescent="0.45">
      <c r="A175" s="2" t="s">
        <v>15343</v>
      </c>
      <c r="B175" s="2" t="s">
        <v>15344</v>
      </c>
      <c r="C175" s="2" t="s">
        <v>15345</v>
      </c>
      <c r="D175" s="2" t="s">
        <v>15346</v>
      </c>
      <c r="E175" s="2" t="s">
        <v>15347</v>
      </c>
      <c r="F175" s="2" t="s">
        <v>15348</v>
      </c>
      <c r="G175" s="2" t="s">
        <v>15348</v>
      </c>
      <c r="H175" s="2" t="s">
        <v>72</v>
      </c>
      <c r="I175" s="2" t="s">
        <v>73</v>
      </c>
      <c r="J175" s="2" t="s">
        <v>2982</v>
      </c>
      <c r="K175" s="2" t="s">
        <v>15349</v>
      </c>
      <c r="L175" s="2"/>
      <c r="M175" s="2"/>
      <c r="N175" s="2"/>
      <c r="O175" s="2" t="s">
        <v>72</v>
      </c>
      <c r="P175" s="2" t="s">
        <v>73</v>
      </c>
      <c r="Q175" s="2" t="s">
        <v>2982</v>
      </c>
      <c r="R175" s="2" t="s">
        <v>15350</v>
      </c>
      <c r="S175" s="2" t="s">
        <v>44</v>
      </c>
      <c r="T175" s="2"/>
      <c r="U175" s="2" t="s">
        <v>3527</v>
      </c>
      <c r="V175" s="2" t="s">
        <v>46</v>
      </c>
      <c r="W175" s="2" t="s">
        <v>3527</v>
      </c>
      <c r="X175" s="2" t="s">
        <v>15351</v>
      </c>
      <c r="Y175" s="2" t="s">
        <v>48</v>
      </c>
      <c r="Z175" s="2" t="s">
        <v>15016</v>
      </c>
      <c r="AA175" s="2">
        <v>100</v>
      </c>
      <c r="AB175" s="2">
        <v>68</v>
      </c>
      <c r="AC175" s="2" t="s">
        <v>7865</v>
      </c>
      <c r="AD175" s="2" t="s">
        <v>15352</v>
      </c>
      <c r="AE175" s="2"/>
      <c r="AF175" s="2" t="s">
        <v>15018</v>
      </c>
      <c r="AG175" s="2" t="s">
        <v>14290</v>
      </c>
    </row>
    <row r="176" spans="1:33" x14ac:dyDescent="0.45">
      <c r="A176" s="2" t="s">
        <v>15353</v>
      </c>
      <c r="B176" s="2" t="s">
        <v>15354</v>
      </c>
      <c r="C176" s="2" t="s">
        <v>15355</v>
      </c>
      <c r="D176" s="2" t="s">
        <v>15356</v>
      </c>
      <c r="E176" s="2" t="s">
        <v>15357</v>
      </c>
      <c r="F176" s="2" t="s">
        <v>15358</v>
      </c>
      <c r="G176" s="2" t="s">
        <v>15358</v>
      </c>
      <c r="H176" s="2" t="s">
        <v>72</v>
      </c>
      <c r="I176" s="2" t="s">
        <v>73</v>
      </c>
      <c r="J176" s="2" t="s">
        <v>187</v>
      </c>
      <c r="K176" s="2" t="s">
        <v>15359</v>
      </c>
      <c r="L176" s="2"/>
      <c r="M176" s="2"/>
      <c r="N176" s="2"/>
      <c r="O176" s="2" t="s">
        <v>72</v>
      </c>
      <c r="P176" s="2" t="s">
        <v>73</v>
      </c>
      <c r="Q176" s="2" t="s">
        <v>464</v>
      </c>
      <c r="R176" s="2" t="s">
        <v>15360</v>
      </c>
      <c r="S176" s="2" t="s">
        <v>44</v>
      </c>
      <c r="T176" s="2"/>
      <c r="U176" s="2" t="s">
        <v>821</v>
      </c>
      <c r="V176" s="2" t="s">
        <v>46</v>
      </c>
      <c r="W176" s="2" t="s">
        <v>821</v>
      </c>
      <c r="X176" s="2" t="s">
        <v>10787</v>
      </c>
      <c r="Y176" s="2" t="s">
        <v>10801</v>
      </c>
      <c r="Z176" s="2" t="s">
        <v>49</v>
      </c>
      <c r="AA176" s="2">
        <v>100</v>
      </c>
      <c r="AB176" s="2">
        <v>67</v>
      </c>
      <c r="AC176" s="2" t="s">
        <v>7865</v>
      </c>
      <c r="AD176" s="2" t="s">
        <v>15361</v>
      </c>
      <c r="AE176" s="2"/>
      <c r="AF176" s="2" t="s">
        <v>15038</v>
      </c>
      <c r="AG176" s="2" t="s">
        <v>14290</v>
      </c>
    </row>
    <row r="177" spans="1:33" x14ac:dyDescent="0.45">
      <c r="A177" s="2" t="s">
        <v>15362</v>
      </c>
      <c r="B177" s="2" t="s">
        <v>15363</v>
      </c>
      <c r="C177" s="2" t="s">
        <v>15364</v>
      </c>
      <c r="D177" s="2" t="s">
        <v>15365</v>
      </c>
      <c r="E177" s="2" t="s">
        <v>15366</v>
      </c>
      <c r="F177" s="2" t="s">
        <v>15367</v>
      </c>
      <c r="G177" s="2" t="s">
        <v>15367</v>
      </c>
      <c r="H177" s="2" t="s">
        <v>290</v>
      </c>
      <c r="I177" s="2" t="s">
        <v>278</v>
      </c>
      <c r="J177" s="2" t="s">
        <v>3634</v>
      </c>
      <c r="K177" s="2" t="s">
        <v>15368</v>
      </c>
      <c r="L177" s="2" t="s">
        <v>15369</v>
      </c>
      <c r="M177" s="2" t="s">
        <v>15370</v>
      </c>
      <c r="N177" s="2" t="s">
        <v>15370</v>
      </c>
      <c r="O177" s="2" t="s">
        <v>290</v>
      </c>
      <c r="P177" s="2" t="s">
        <v>278</v>
      </c>
      <c r="Q177" s="2" t="s">
        <v>852</v>
      </c>
      <c r="R177" s="2" t="s">
        <v>15371</v>
      </c>
      <c r="S177" s="2" t="s">
        <v>44</v>
      </c>
      <c r="T177" s="2"/>
      <c r="U177" s="2" t="s">
        <v>821</v>
      </c>
      <c r="V177" s="2" t="s">
        <v>46</v>
      </c>
      <c r="W177" s="2" t="s">
        <v>821</v>
      </c>
      <c r="X177" s="2" t="s">
        <v>10787</v>
      </c>
      <c r="Y177" s="2" t="s">
        <v>10801</v>
      </c>
      <c r="Z177" s="2" t="s">
        <v>49</v>
      </c>
      <c r="AA177" s="2">
        <v>100</v>
      </c>
      <c r="AB177" s="2">
        <v>67</v>
      </c>
      <c r="AC177" s="2" t="s">
        <v>7865</v>
      </c>
      <c r="AD177" s="2" t="s">
        <v>15372</v>
      </c>
      <c r="AE177" s="2"/>
      <c r="AF177" s="2" t="s">
        <v>15038</v>
      </c>
      <c r="AG177" s="2" t="s">
        <v>14290</v>
      </c>
    </row>
    <row r="178" spans="1:33" x14ac:dyDescent="0.45">
      <c r="A178" s="2" t="s">
        <v>15373</v>
      </c>
      <c r="B178" s="2" t="s">
        <v>15374</v>
      </c>
      <c r="C178" s="2" t="s">
        <v>15375</v>
      </c>
      <c r="D178" s="2" t="s">
        <v>15376</v>
      </c>
      <c r="E178" s="2" t="s">
        <v>11859</v>
      </c>
      <c r="F178" s="2" t="s">
        <v>11860</v>
      </c>
      <c r="G178" s="2"/>
      <c r="H178" s="2" t="s">
        <v>312</v>
      </c>
      <c r="I178" s="2" t="s">
        <v>313</v>
      </c>
      <c r="J178" s="2" t="s">
        <v>7647</v>
      </c>
      <c r="K178" s="2" t="s">
        <v>15376</v>
      </c>
      <c r="L178" s="2"/>
      <c r="M178" s="2"/>
      <c r="N178" s="2"/>
      <c r="O178" s="2" t="s">
        <v>312</v>
      </c>
      <c r="P178" s="2" t="s">
        <v>313</v>
      </c>
      <c r="Q178" s="2" t="s">
        <v>7647</v>
      </c>
      <c r="R178" s="2" t="s">
        <v>15377</v>
      </c>
      <c r="S178" s="2" t="s">
        <v>44</v>
      </c>
      <c r="T178" s="2"/>
      <c r="U178" s="2" t="s">
        <v>821</v>
      </c>
      <c r="V178" s="2" t="s">
        <v>46</v>
      </c>
      <c r="W178" s="2" t="s">
        <v>821</v>
      </c>
      <c r="X178" s="2" t="s">
        <v>10787</v>
      </c>
      <c r="Y178" s="2" t="s">
        <v>10801</v>
      </c>
      <c r="Z178" s="2" t="s">
        <v>49</v>
      </c>
      <c r="AA178" s="2">
        <v>100</v>
      </c>
      <c r="AB178" s="2">
        <v>67</v>
      </c>
      <c r="AC178" s="2" t="s">
        <v>7865</v>
      </c>
      <c r="AD178" s="2" t="s">
        <v>15378</v>
      </c>
      <c r="AE178" s="2"/>
      <c r="AF178" s="2" t="s">
        <v>15038</v>
      </c>
      <c r="AG178" s="2" t="s">
        <v>14290</v>
      </c>
    </row>
    <row r="179" spans="1:33" x14ac:dyDescent="0.45">
      <c r="A179" s="2" t="s">
        <v>15379</v>
      </c>
      <c r="B179" s="2" t="s">
        <v>15380</v>
      </c>
      <c r="C179" s="2" t="s">
        <v>15381</v>
      </c>
      <c r="D179" s="2" t="s">
        <v>15382</v>
      </c>
      <c r="E179" s="2" t="s">
        <v>15383</v>
      </c>
      <c r="F179" s="2" t="s">
        <v>15384</v>
      </c>
      <c r="G179" s="2" t="s">
        <v>15384</v>
      </c>
      <c r="H179" s="2" t="s">
        <v>216</v>
      </c>
      <c r="I179" s="2" t="s">
        <v>217</v>
      </c>
      <c r="J179" s="2" t="s">
        <v>1151</v>
      </c>
      <c r="K179" s="2" t="s">
        <v>15385</v>
      </c>
      <c r="L179" s="2"/>
      <c r="M179" s="2"/>
      <c r="N179" s="2"/>
      <c r="O179" s="2" t="s">
        <v>216</v>
      </c>
      <c r="P179" s="2" t="s">
        <v>217</v>
      </c>
      <c r="Q179" s="2" t="s">
        <v>1151</v>
      </c>
      <c r="R179" s="2" t="s">
        <v>15386</v>
      </c>
      <c r="S179" s="2" t="s">
        <v>44</v>
      </c>
      <c r="T179" s="2"/>
      <c r="U179" s="2" t="s">
        <v>821</v>
      </c>
      <c r="V179" s="2" t="s">
        <v>46</v>
      </c>
      <c r="W179" s="2" t="s">
        <v>821</v>
      </c>
      <c r="X179" s="2" t="s">
        <v>11225</v>
      </c>
      <c r="Y179" s="2" t="s">
        <v>10801</v>
      </c>
      <c r="Z179" s="2" t="s">
        <v>49</v>
      </c>
      <c r="AA179" s="2">
        <v>100</v>
      </c>
      <c r="AB179" s="2">
        <v>67</v>
      </c>
      <c r="AC179" s="2" t="s">
        <v>7865</v>
      </c>
      <c r="AD179" s="2" t="s">
        <v>15387</v>
      </c>
      <c r="AE179" s="2"/>
      <c r="AF179" s="2" t="s">
        <v>15038</v>
      </c>
      <c r="AG179" s="2" t="s">
        <v>14290</v>
      </c>
    </row>
    <row r="180" spans="1:33" x14ac:dyDescent="0.45">
      <c r="A180" s="2" t="s">
        <v>15388</v>
      </c>
      <c r="B180" s="2" t="s">
        <v>15389</v>
      </c>
      <c r="C180" s="2" t="s">
        <v>15390</v>
      </c>
      <c r="D180" s="2" t="s">
        <v>15391</v>
      </c>
      <c r="E180" s="2" t="s">
        <v>15392</v>
      </c>
      <c r="F180" s="2" t="s">
        <v>15393</v>
      </c>
      <c r="G180" s="2" t="s">
        <v>15393</v>
      </c>
      <c r="H180" s="2" t="s">
        <v>59</v>
      </c>
      <c r="I180" s="2" t="s">
        <v>60</v>
      </c>
      <c r="J180" s="2" t="s">
        <v>151</v>
      </c>
      <c r="K180" s="2" t="s">
        <v>15394</v>
      </c>
      <c r="L180" s="2"/>
      <c r="M180" s="2"/>
      <c r="N180" s="2"/>
      <c r="O180" s="2" t="s">
        <v>59</v>
      </c>
      <c r="P180" s="2" t="s">
        <v>60</v>
      </c>
      <c r="Q180" s="2" t="s">
        <v>151</v>
      </c>
      <c r="R180" s="2" t="s">
        <v>15395</v>
      </c>
      <c r="S180" s="2" t="s">
        <v>44</v>
      </c>
      <c r="T180" s="2"/>
      <c r="U180" s="2" t="s">
        <v>821</v>
      </c>
      <c r="V180" s="2" t="s">
        <v>46</v>
      </c>
      <c r="W180" s="2" t="s">
        <v>821</v>
      </c>
      <c r="X180" s="2" t="s">
        <v>10787</v>
      </c>
      <c r="Y180" s="2" t="s">
        <v>10801</v>
      </c>
      <c r="Z180" s="2" t="s">
        <v>49</v>
      </c>
      <c r="AA180" s="2">
        <v>100</v>
      </c>
      <c r="AB180" s="2">
        <v>67</v>
      </c>
      <c r="AC180" s="2" t="s">
        <v>7865</v>
      </c>
      <c r="AD180" s="2" t="s">
        <v>15396</v>
      </c>
      <c r="AE180" s="2"/>
      <c r="AF180" s="2" t="s">
        <v>15038</v>
      </c>
      <c r="AG180" s="2" t="s">
        <v>14290</v>
      </c>
    </row>
    <row r="181" spans="1:33" x14ac:dyDescent="0.45">
      <c r="A181" s="2" t="s">
        <v>15397</v>
      </c>
      <c r="B181" s="2" t="s">
        <v>15398</v>
      </c>
      <c r="C181" s="2" t="s">
        <v>15399</v>
      </c>
      <c r="D181" s="2" t="s">
        <v>15400</v>
      </c>
      <c r="E181" s="2" t="s">
        <v>15401</v>
      </c>
      <c r="F181" s="2" t="s">
        <v>15402</v>
      </c>
      <c r="G181" s="2" t="s">
        <v>15402</v>
      </c>
      <c r="H181" s="2" t="s">
        <v>72</v>
      </c>
      <c r="I181" s="2" t="s">
        <v>73</v>
      </c>
      <c r="J181" s="2" t="s">
        <v>1896</v>
      </c>
      <c r="K181" s="2" t="s">
        <v>15400</v>
      </c>
      <c r="L181" s="2"/>
      <c r="M181" s="2"/>
      <c r="N181" s="2"/>
      <c r="O181" s="2" t="s">
        <v>72</v>
      </c>
      <c r="P181" s="2" t="s">
        <v>73</v>
      </c>
      <c r="Q181" s="2" t="s">
        <v>1896</v>
      </c>
      <c r="R181" s="2" t="s">
        <v>13327</v>
      </c>
      <c r="S181" s="2" t="s">
        <v>44</v>
      </c>
      <c r="T181" s="2"/>
      <c r="U181" s="2" t="s">
        <v>821</v>
      </c>
      <c r="V181" s="2" t="s">
        <v>46</v>
      </c>
      <c r="W181" s="2" t="s">
        <v>821</v>
      </c>
      <c r="X181" s="2" t="s">
        <v>10787</v>
      </c>
      <c r="Y181" s="2" t="s">
        <v>10801</v>
      </c>
      <c r="Z181" s="2" t="s">
        <v>49</v>
      </c>
      <c r="AA181" s="2">
        <v>100</v>
      </c>
      <c r="AB181" s="2">
        <v>67</v>
      </c>
      <c r="AC181" s="2" t="s">
        <v>7865</v>
      </c>
      <c r="AD181" s="2" t="s">
        <v>15403</v>
      </c>
      <c r="AE181" s="2"/>
      <c r="AF181" s="2" t="s">
        <v>15038</v>
      </c>
      <c r="AG181" s="2" t="s">
        <v>14290</v>
      </c>
    </row>
    <row r="182" spans="1:33" x14ac:dyDescent="0.45">
      <c r="A182" s="2" t="s">
        <v>15404</v>
      </c>
      <c r="B182" s="2" t="s">
        <v>15405</v>
      </c>
      <c r="C182" s="2" t="s">
        <v>15406</v>
      </c>
      <c r="D182" s="2" t="s">
        <v>15407</v>
      </c>
      <c r="E182" s="2" t="s">
        <v>15408</v>
      </c>
      <c r="F182" s="2" t="s">
        <v>15409</v>
      </c>
      <c r="G182" s="2" t="s">
        <v>15409</v>
      </c>
      <c r="H182" s="2" t="s">
        <v>59</v>
      </c>
      <c r="I182" s="2" t="s">
        <v>60</v>
      </c>
      <c r="J182" s="2" t="s">
        <v>4241</v>
      </c>
      <c r="K182" s="2" t="s">
        <v>15407</v>
      </c>
      <c r="L182" s="2"/>
      <c r="M182" s="2"/>
      <c r="N182" s="2"/>
      <c r="O182" s="2" t="s">
        <v>59</v>
      </c>
      <c r="P182" s="2" t="s">
        <v>60</v>
      </c>
      <c r="Q182" s="2" t="s">
        <v>4241</v>
      </c>
      <c r="R182" s="2" t="s">
        <v>15410</v>
      </c>
      <c r="S182" s="2" t="s">
        <v>44</v>
      </c>
      <c r="T182" s="2"/>
      <c r="U182" s="2" t="s">
        <v>821</v>
      </c>
      <c r="V182" s="2" t="s">
        <v>46</v>
      </c>
      <c r="W182" s="2" t="s">
        <v>821</v>
      </c>
      <c r="X182" s="2" t="s">
        <v>10787</v>
      </c>
      <c r="Y182" s="2" t="s">
        <v>10801</v>
      </c>
      <c r="Z182" s="2" t="s">
        <v>49</v>
      </c>
      <c r="AA182" s="2">
        <v>100</v>
      </c>
      <c r="AB182" s="2">
        <v>67</v>
      </c>
      <c r="AC182" s="2" t="s">
        <v>7865</v>
      </c>
      <c r="AD182" s="2" t="s">
        <v>15411</v>
      </c>
      <c r="AE182" s="2"/>
      <c r="AF182" s="2" t="s">
        <v>15038</v>
      </c>
      <c r="AG182" s="2" t="s">
        <v>14290</v>
      </c>
    </row>
    <row r="183" spans="1:33" x14ac:dyDescent="0.45">
      <c r="A183" s="2" t="s">
        <v>15412</v>
      </c>
      <c r="B183" s="2" t="s">
        <v>15413</v>
      </c>
      <c r="C183" s="2" t="s">
        <v>15414</v>
      </c>
      <c r="D183" s="2" t="s">
        <v>15415</v>
      </c>
      <c r="E183" s="2" t="s">
        <v>15416</v>
      </c>
      <c r="F183" s="2" t="s">
        <v>15417</v>
      </c>
      <c r="G183" s="2"/>
      <c r="H183" s="2" t="s">
        <v>312</v>
      </c>
      <c r="I183" s="2" t="s">
        <v>313</v>
      </c>
      <c r="J183" s="2" t="s">
        <v>314</v>
      </c>
      <c r="K183" s="2" t="s">
        <v>15418</v>
      </c>
      <c r="L183" s="2"/>
      <c r="M183" s="2"/>
      <c r="N183" s="2"/>
      <c r="O183" s="2" t="s">
        <v>312</v>
      </c>
      <c r="P183" s="2" t="s">
        <v>313</v>
      </c>
      <c r="Q183" s="2" t="s">
        <v>314</v>
      </c>
      <c r="R183" s="2" t="s">
        <v>15419</v>
      </c>
      <c r="S183" s="2" t="s">
        <v>44</v>
      </c>
      <c r="T183" s="2"/>
      <c r="U183" s="2" t="s">
        <v>821</v>
      </c>
      <c r="V183" s="2" t="s">
        <v>46</v>
      </c>
      <c r="W183" s="2" t="s">
        <v>821</v>
      </c>
      <c r="X183" s="2" t="s">
        <v>10787</v>
      </c>
      <c r="Y183" s="2" t="s">
        <v>10801</v>
      </c>
      <c r="Z183" s="2" t="s">
        <v>49</v>
      </c>
      <c r="AA183" s="2">
        <v>100</v>
      </c>
      <c r="AB183" s="2">
        <v>67</v>
      </c>
      <c r="AC183" s="2" t="s">
        <v>7865</v>
      </c>
      <c r="AD183" s="2" t="s">
        <v>15420</v>
      </c>
      <c r="AE183" s="2"/>
      <c r="AF183" s="2" t="s">
        <v>15038</v>
      </c>
      <c r="AG183" s="2" t="s">
        <v>14290</v>
      </c>
    </row>
    <row r="184" spans="1:33" x14ac:dyDescent="0.45">
      <c r="A184" s="2" t="s">
        <v>15421</v>
      </c>
      <c r="B184" s="2" t="s">
        <v>15422</v>
      </c>
      <c r="C184" s="2" t="s">
        <v>15423</v>
      </c>
      <c r="D184" s="2" t="s">
        <v>15424</v>
      </c>
      <c r="E184" s="2" t="s">
        <v>15425</v>
      </c>
      <c r="F184" s="2" t="s">
        <v>15426</v>
      </c>
      <c r="G184" s="2" t="s">
        <v>15426</v>
      </c>
      <c r="H184" s="2" t="s">
        <v>85</v>
      </c>
      <c r="I184" s="2" t="s">
        <v>86</v>
      </c>
      <c r="J184" s="2" t="s">
        <v>87</v>
      </c>
      <c r="K184" s="2" t="s">
        <v>15424</v>
      </c>
      <c r="L184" s="2"/>
      <c r="M184" s="2"/>
      <c r="N184" s="2"/>
      <c r="O184" s="2" t="s">
        <v>85</v>
      </c>
      <c r="P184" s="2" t="s">
        <v>86</v>
      </c>
      <c r="Q184" s="2" t="s">
        <v>87</v>
      </c>
      <c r="R184" s="2" t="s">
        <v>4502</v>
      </c>
      <c r="S184" s="2" t="s">
        <v>44</v>
      </c>
      <c r="T184" s="2"/>
      <c r="U184" s="2" t="s">
        <v>821</v>
      </c>
      <c r="V184" s="2" t="s">
        <v>46</v>
      </c>
      <c r="W184" s="2" t="s">
        <v>821</v>
      </c>
      <c r="X184" s="2" t="s">
        <v>10787</v>
      </c>
      <c r="Y184" s="2" t="s">
        <v>10801</v>
      </c>
      <c r="Z184" s="2" t="s">
        <v>49</v>
      </c>
      <c r="AA184" s="2">
        <v>100</v>
      </c>
      <c r="AB184" s="2">
        <v>67</v>
      </c>
      <c r="AC184" s="2" t="s">
        <v>7865</v>
      </c>
      <c r="AD184" s="2" t="s">
        <v>15427</v>
      </c>
      <c r="AE184" s="2"/>
      <c r="AF184" s="2" t="s">
        <v>15038</v>
      </c>
      <c r="AG184" s="2" t="s">
        <v>14290</v>
      </c>
    </row>
    <row r="185" spans="1:33" x14ac:dyDescent="0.45">
      <c r="A185" s="2" t="s">
        <v>15428</v>
      </c>
      <c r="B185" s="2" t="s">
        <v>15429</v>
      </c>
      <c r="C185" s="2" t="s">
        <v>15430</v>
      </c>
      <c r="D185" s="2" t="s">
        <v>15431</v>
      </c>
      <c r="E185" s="2" t="s">
        <v>15432</v>
      </c>
      <c r="F185" s="2" t="s">
        <v>15433</v>
      </c>
      <c r="G185" s="2" t="s">
        <v>15433</v>
      </c>
      <c r="H185" s="2" t="s">
        <v>59</v>
      </c>
      <c r="I185" s="2" t="s">
        <v>60</v>
      </c>
      <c r="J185" s="2" t="s">
        <v>15434</v>
      </c>
      <c r="K185" s="2" t="s">
        <v>15435</v>
      </c>
      <c r="L185" s="2"/>
      <c r="M185" s="2"/>
      <c r="N185" s="2"/>
      <c r="O185" s="2" t="s">
        <v>59</v>
      </c>
      <c r="P185" s="2" t="s">
        <v>60</v>
      </c>
      <c r="Q185" s="2" t="s">
        <v>15434</v>
      </c>
      <c r="R185" s="2" t="s">
        <v>15436</v>
      </c>
      <c r="S185" s="2" t="s">
        <v>44</v>
      </c>
      <c r="T185" s="2"/>
      <c r="U185" s="2" t="s">
        <v>821</v>
      </c>
      <c r="V185" s="2" t="s">
        <v>46</v>
      </c>
      <c r="W185" s="2" t="s">
        <v>821</v>
      </c>
      <c r="X185" s="2" t="s">
        <v>10787</v>
      </c>
      <c r="Y185" s="2" t="s">
        <v>10801</v>
      </c>
      <c r="Z185" s="2" t="s">
        <v>49</v>
      </c>
      <c r="AA185" s="2">
        <v>100</v>
      </c>
      <c r="AB185" s="2">
        <v>67</v>
      </c>
      <c r="AC185" s="2" t="s">
        <v>7865</v>
      </c>
      <c r="AD185" s="2" t="s">
        <v>15437</v>
      </c>
      <c r="AE185" s="2"/>
      <c r="AF185" s="2" t="s">
        <v>15038</v>
      </c>
      <c r="AG185" s="2" t="s">
        <v>14290</v>
      </c>
    </row>
    <row r="186" spans="1:33" x14ac:dyDescent="0.45">
      <c r="A186" s="2" t="s">
        <v>15438</v>
      </c>
      <c r="B186" s="2" t="s">
        <v>15439</v>
      </c>
      <c r="C186" s="2" t="s">
        <v>15440</v>
      </c>
      <c r="D186" s="2" t="s">
        <v>15441</v>
      </c>
      <c r="E186" s="2" t="s">
        <v>15442</v>
      </c>
      <c r="F186" s="2" t="s">
        <v>15443</v>
      </c>
      <c r="G186" s="2" t="s">
        <v>15443</v>
      </c>
      <c r="H186" s="2" t="s">
        <v>384</v>
      </c>
      <c r="I186" s="2" t="s">
        <v>73</v>
      </c>
      <c r="J186" s="2" t="s">
        <v>1837</v>
      </c>
      <c r="K186" s="2" t="s">
        <v>15441</v>
      </c>
      <c r="L186" s="2"/>
      <c r="M186" s="2"/>
      <c r="N186" s="2"/>
      <c r="O186" s="2" t="s">
        <v>384</v>
      </c>
      <c r="P186" s="2" t="s">
        <v>73</v>
      </c>
      <c r="Q186" s="2" t="s">
        <v>1837</v>
      </c>
      <c r="R186" s="2" t="s">
        <v>954</v>
      </c>
      <c r="S186" s="2" t="s">
        <v>44</v>
      </c>
      <c r="T186" s="2"/>
      <c r="U186" s="2" t="s">
        <v>821</v>
      </c>
      <c r="V186" s="2" t="s">
        <v>46</v>
      </c>
      <c r="W186" s="2" t="s">
        <v>821</v>
      </c>
      <c r="X186" s="2" t="s">
        <v>10787</v>
      </c>
      <c r="Y186" s="2" t="s">
        <v>10801</v>
      </c>
      <c r="Z186" s="2" t="s">
        <v>49</v>
      </c>
      <c r="AA186" s="2">
        <v>100</v>
      </c>
      <c r="AB186" s="2">
        <v>67</v>
      </c>
      <c r="AC186" s="2" t="s">
        <v>7865</v>
      </c>
      <c r="AD186" s="2" t="s">
        <v>15444</v>
      </c>
      <c r="AE186" s="2"/>
      <c r="AF186" s="2" t="s">
        <v>15038</v>
      </c>
      <c r="AG186" s="2" t="s">
        <v>14290</v>
      </c>
    </row>
    <row r="187" spans="1:33" x14ac:dyDescent="0.45">
      <c r="A187" s="2" t="s">
        <v>15445</v>
      </c>
      <c r="B187" s="2" t="s">
        <v>15446</v>
      </c>
      <c r="C187" s="2" t="s">
        <v>15447</v>
      </c>
      <c r="D187" s="2" t="s">
        <v>15448</v>
      </c>
      <c r="E187" s="2" t="s">
        <v>15449</v>
      </c>
      <c r="F187" s="2" t="s">
        <v>15450</v>
      </c>
      <c r="G187" s="2" t="s">
        <v>15450</v>
      </c>
      <c r="H187" s="2" t="s">
        <v>59</v>
      </c>
      <c r="I187" s="2" t="s">
        <v>60</v>
      </c>
      <c r="J187" s="2" t="s">
        <v>992</v>
      </c>
      <c r="K187" s="2" t="s">
        <v>15448</v>
      </c>
      <c r="L187" s="2"/>
      <c r="M187" s="2"/>
      <c r="N187" s="2"/>
      <c r="O187" s="2" t="s">
        <v>59</v>
      </c>
      <c r="P187" s="2" t="s">
        <v>60</v>
      </c>
      <c r="Q187" s="2" t="s">
        <v>992</v>
      </c>
      <c r="R187" s="2" t="s">
        <v>15451</v>
      </c>
      <c r="S187" s="2" t="s">
        <v>44</v>
      </c>
      <c r="T187" s="2"/>
      <c r="U187" s="2" t="s">
        <v>821</v>
      </c>
      <c r="V187" s="2" t="s">
        <v>46</v>
      </c>
      <c r="W187" s="2" t="s">
        <v>821</v>
      </c>
      <c r="X187" s="2" t="s">
        <v>10787</v>
      </c>
      <c r="Y187" s="2" t="s">
        <v>10801</v>
      </c>
      <c r="Z187" s="2" t="s">
        <v>49</v>
      </c>
      <c r="AA187" s="2">
        <v>100</v>
      </c>
      <c r="AB187" s="2">
        <v>67</v>
      </c>
      <c r="AC187" s="2" t="s">
        <v>7865</v>
      </c>
      <c r="AD187" s="2" t="s">
        <v>15452</v>
      </c>
      <c r="AE187" s="2"/>
      <c r="AF187" s="2" t="s">
        <v>15038</v>
      </c>
      <c r="AG187" s="2" t="s">
        <v>14290</v>
      </c>
    </row>
    <row r="188" spans="1:33" x14ac:dyDescent="0.45">
      <c r="A188" s="2" t="s">
        <v>15453</v>
      </c>
      <c r="B188" s="2" t="s">
        <v>15454</v>
      </c>
      <c r="C188" s="2" t="s">
        <v>15455</v>
      </c>
      <c r="D188" s="2" t="s">
        <v>15456</v>
      </c>
      <c r="E188" s="2" t="s">
        <v>15457</v>
      </c>
      <c r="F188" s="2" t="s">
        <v>15458</v>
      </c>
      <c r="G188" s="2" t="s">
        <v>15458</v>
      </c>
      <c r="H188" s="2" t="s">
        <v>424</v>
      </c>
      <c r="I188" s="2" t="s">
        <v>217</v>
      </c>
      <c r="J188" s="2" t="s">
        <v>2410</v>
      </c>
      <c r="K188" s="2" t="s">
        <v>15456</v>
      </c>
      <c r="L188" s="2"/>
      <c r="M188" s="2"/>
      <c r="N188" s="2"/>
      <c r="O188" s="2" t="s">
        <v>424</v>
      </c>
      <c r="P188" s="2" t="s">
        <v>217</v>
      </c>
      <c r="Q188" s="2" t="s">
        <v>2410</v>
      </c>
      <c r="R188" s="2" t="s">
        <v>15459</v>
      </c>
      <c r="S188" s="2" t="s">
        <v>44</v>
      </c>
      <c r="T188" s="2"/>
      <c r="U188" s="2" t="s">
        <v>821</v>
      </c>
      <c r="V188" s="2" t="s">
        <v>46</v>
      </c>
      <c r="W188" s="2" t="s">
        <v>821</v>
      </c>
      <c r="X188" s="2" t="s">
        <v>10787</v>
      </c>
      <c r="Y188" s="2" t="s">
        <v>10801</v>
      </c>
      <c r="Z188" s="2" t="s">
        <v>49</v>
      </c>
      <c r="AA188" s="2">
        <v>100</v>
      </c>
      <c r="AB188" s="2">
        <v>67</v>
      </c>
      <c r="AC188" s="2" t="s">
        <v>7865</v>
      </c>
      <c r="AD188" s="2" t="s">
        <v>15460</v>
      </c>
      <c r="AE188" s="2"/>
      <c r="AF188" s="2" t="s">
        <v>15038</v>
      </c>
      <c r="AG188" s="2" t="s">
        <v>14290</v>
      </c>
    </row>
    <row r="189" spans="1:33" x14ac:dyDescent="0.45">
      <c r="A189" s="2" t="s">
        <v>15461</v>
      </c>
      <c r="B189" s="2" t="s">
        <v>15462</v>
      </c>
      <c r="C189" s="2" t="s">
        <v>15463</v>
      </c>
      <c r="D189" s="2" t="s">
        <v>15464</v>
      </c>
      <c r="E189" s="2" t="s">
        <v>15465</v>
      </c>
      <c r="F189" s="2" t="s">
        <v>15466</v>
      </c>
      <c r="G189" s="2" t="s">
        <v>15466</v>
      </c>
      <c r="H189" s="2" t="s">
        <v>651</v>
      </c>
      <c r="I189" s="2" t="s">
        <v>86</v>
      </c>
      <c r="J189" s="2" t="s">
        <v>3499</v>
      </c>
      <c r="K189" s="2" t="s">
        <v>15464</v>
      </c>
      <c r="L189" s="2"/>
      <c r="M189" s="2"/>
      <c r="N189" s="2"/>
      <c r="O189" s="2" t="s">
        <v>651</v>
      </c>
      <c r="P189" s="2" t="s">
        <v>86</v>
      </c>
      <c r="Q189" s="2" t="s">
        <v>3499</v>
      </c>
      <c r="R189" s="2" t="s">
        <v>3546</v>
      </c>
      <c r="S189" s="2" t="s">
        <v>44</v>
      </c>
      <c r="T189" s="2"/>
      <c r="U189" s="2" t="s">
        <v>821</v>
      </c>
      <c r="V189" s="2" t="s">
        <v>46</v>
      </c>
      <c r="W189" s="2" t="s">
        <v>821</v>
      </c>
      <c r="X189" s="2" t="s">
        <v>10787</v>
      </c>
      <c r="Y189" s="2" t="s">
        <v>10801</v>
      </c>
      <c r="Z189" s="2" t="s">
        <v>49</v>
      </c>
      <c r="AA189" s="2">
        <v>100</v>
      </c>
      <c r="AB189" s="2">
        <v>67</v>
      </c>
      <c r="AC189" s="2" t="s">
        <v>7865</v>
      </c>
      <c r="AD189" s="2" t="s">
        <v>15467</v>
      </c>
      <c r="AE189" s="2"/>
      <c r="AF189" s="2" t="s">
        <v>15038</v>
      </c>
      <c r="AG189" s="2" t="s">
        <v>14290</v>
      </c>
    </row>
    <row r="190" spans="1:33" x14ac:dyDescent="0.45">
      <c r="A190" s="2" t="s">
        <v>15468</v>
      </c>
      <c r="B190" s="2" t="s">
        <v>15469</v>
      </c>
      <c r="C190" s="2" t="s">
        <v>15470</v>
      </c>
      <c r="D190" s="2" t="s">
        <v>15471</v>
      </c>
      <c r="E190" s="2" t="s">
        <v>15472</v>
      </c>
      <c r="F190" s="2" t="s">
        <v>15473</v>
      </c>
      <c r="G190" s="2" t="s">
        <v>15473</v>
      </c>
      <c r="H190" s="2" t="s">
        <v>72</v>
      </c>
      <c r="I190" s="2" t="s">
        <v>73</v>
      </c>
      <c r="J190" s="2" t="s">
        <v>1599</v>
      </c>
      <c r="K190" s="2" t="s">
        <v>15474</v>
      </c>
      <c r="L190" s="2"/>
      <c r="M190" s="2"/>
      <c r="N190" s="2"/>
      <c r="O190" s="2" t="s">
        <v>72</v>
      </c>
      <c r="P190" s="2" t="s">
        <v>73</v>
      </c>
      <c r="Q190" s="2" t="s">
        <v>1599</v>
      </c>
      <c r="R190" s="2" t="s">
        <v>13739</v>
      </c>
      <c r="S190" s="2" t="s">
        <v>44</v>
      </c>
      <c r="T190" s="2"/>
      <c r="U190" s="2" t="s">
        <v>821</v>
      </c>
      <c r="V190" s="2" t="s">
        <v>46</v>
      </c>
      <c r="W190" s="2" t="s">
        <v>821</v>
      </c>
      <c r="X190" s="2" t="s">
        <v>10787</v>
      </c>
      <c r="Y190" s="2" t="s">
        <v>10801</v>
      </c>
      <c r="Z190" s="2" t="s">
        <v>49</v>
      </c>
      <c r="AA190" s="2">
        <v>100</v>
      </c>
      <c r="AB190" s="2">
        <v>67</v>
      </c>
      <c r="AC190" s="2" t="s">
        <v>7865</v>
      </c>
      <c r="AD190" s="2" t="s">
        <v>15475</v>
      </c>
      <c r="AE190" s="2"/>
      <c r="AF190" s="2" t="s">
        <v>15038</v>
      </c>
      <c r="AG190" s="2" t="s">
        <v>14290</v>
      </c>
    </row>
    <row r="191" spans="1:33" x14ac:dyDescent="0.45">
      <c r="A191" s="2" t="s">
        <v>15476</v>
      </c>
      <c r="B191" s="2" t="s">
        <v>15477</v>
      </c>
      <c r="C191" s="2" t="s">
        <v>15478</v>
      </c>
      <c r="D191" s="2" t="s">
        <v>15479</v>
      </c>
      <c r="E191" s="2" t="s">
        <v>15480</v>
      </c>
      <c r="F191" s="2" t="s">
        <v>15481</v>
      </c>
      <c r="G191" s="2" t="s">
        <v>15481</v>
      </c>
      <c r="H191" s="2" t="s">
        <v>277</v>
      </c>
      <c r="I191" s="2" t="s">
        <v>278</v>
      </c>
      <c r="J191" s="2" t="s">
        <v>15482</v>
      </c>
      <c r="K191" s="2" t="s">
        <v>15483</v>
      </c>
      <c r="L191" s="2"/>
      <c r="M191" s="2"/>
      <c r="N191" s="2"/>
      <c r="O191" s="2" t="s">
        <v>277</v>
      </c>
      <c r="P191" s="2" t="s">
        <v>278</v>
      </c>
      <c r="Q191" s="2" t="s">
        <v>15482</v>
      </c>
      <c r="R191" s="2" t="s">
        <v>15484</v>
      </c>
      <c r="S191" s="2" t="s">
        <v>44</v>
      </c>
      <c r="T191" s="2"/>
      <c r="U191" s="2" t="s">
        <v>821</v>
      </c>
      <c r="V191" s="2" t="s">
        <v>46</v>
      </c>
      <c r="W191" s="2" t="s">
        <v>821</v>
      </c>
      <c r="X191" s="2" t="s">
        <v>10787</v>
      </c>
      <c r="Y191" s="2" t="s">
        <v>10801</v>
      </c>
      <c r="Z191" s="2" t="s">
        <v>49</v>
      </c>
      <c r="AA191" s="2">
        <v>100</v>
      </c>
      <c r="AB191" s="2">
        <v>67</v>
      </c>
      <c r="AC191" s="2" t="s">
        <v>7865</v>
      </c>
      <c r="AD191" s="2" t="s">
        <v>15485</v>
      </c>
      <c r="AE191" s="2"/>
      <c r="AF191" s="2" t="s">
        <v>15038</v>
      </c>
      <c r="AG191" s="2" t="s">
        <v>14290</v>
      </c>
    </row>
    <row r="192" spans="1:33" x14ac:dyDescent="0.45">
      <c r="A192" s="2" t="s">
        <v>15486</v>
      </c>
      <c r="B192" s="2" t="s">
        <v>15487</v>
      </c>
      <c r="C192" s="2" t="s">
        <v>15488</v>
      </c>
      <c r="D192" s="2" t="s">
        <v>15489</v>
      </c>
      <c r="E192" s="2" t="s">
        <v>15490</v>
      </c>
      <c r="F192" s="2" t="s">
        <v>15491</v>
      </c>
      <c r="G192" s="2" t="s">
        <v>15491</v>
      </c>
      <c r="H192" s="2" t="s">
        <v>324</v>
      </c>
      <c r="I192" s="2" t="s">
        <v>73</v>
      </c>
      <c r="J192" s="2" t="s">
        <v>516</v>
      </c>
      <c r="K192" s="2" t="s">
        <v>15489</v>
      </c>
      <c r="L192" s="2"/>
      <c r="M192" s="2"/>
      <c r="N192" s="2"/>
      <c r="O192" s="2" t="s">
        <v>324</v>
      </c>
      <c r="P192" s="2" t="s">
        <v>73</v>
      </c>
      <c r="Q192" s="2" t="s">
        <v>516</v>
      </c>
      <c r="R192" s="2" t="s">
        <v>7034</v>
      </c>
      <c r="S192" s="2" t="s">
        <v>44</v>
      </c>
      <c r="T192" s="2"/>
      <c r="U192" s="2" t="s">
        <v>821</v>
      </c>
      <c r="V192" s="2" t="s">
        <v>46</v>
      </c>
      <c r="W192" s="2" t="s">
        <v>821</v>
      </c>
      <c r="X192" s="2" t="s">
        <v>10787</v>
      </c>
      <c r="Y192" s="2" t="s">
        <v>10801</v>
      </c>
      <c r="Z192" s="2" t="s">
        <v>49</v>
      </c>
      <c r="AA192" s="2">
        <v>100</v>
      </c>
      <c r="AB192" s="2">
        <v>67</v>
      </c>
      <c r="AC192" s="2" t="s">
        <v>7865</v>
      </c>
      <c r="AD192" s="2" t="s">
        <v>15492</v>
      </c>
      <c r="AE192" s="2"/>
      <c r="AF192" s="2" t="s">
        <v>15038</v>
      </c>
      <c r="AG192" s="2" t="s">
        <v>14290</v>
      </c>
    </row>
    <row r="193" spans="1:33" x14ac:dyDescent="0.45">
      <c r="A193" s="2" t="s">
        <v>15493</v>
      </c>
      <c r="B193" s="2" t="s">
        <v>15494</v>
      </c>
      <c r="C193" s="2" t="s">
        <v>15495</v>
      </c>
      <c r="D193" s="2" t="s">
        <v>15496</v>
      </c>
      <c r="E193" s="2" t="s">
        <v>15497</v>
      </c>
      <c r="F193" s="2" t="s">
        <v>15498</v>
      </c>
      <c r="G193" s="2" t="s">
        <v>15498</v>
      </c>
      <c r="H193" s="2" t="s">
        <v>59</v>
      </c>
      <c r="I193" s="2" t="s">
        <v>60</v>
      </c>
      <c r="J193" s="2" t="s">
        <v>15499</v>
      </c>
      <c r="K193" s="2" t="s">
        <v>15500</v>
      </c>
      <c r="L193" s="2"/>
      <c r="M193" s="2"/>
      <c r="N193" s="2"/>
      <c r="O193" s="2" t="s">
        <v>59</v>
      </c>
      <c r="P193" s="2" t="s">
        <v>60</v>
      </c>
      <c r="Q193" s="2" t="s">
        <v>15499</v>
      </c>
      <c r="R193" s="2" t="s">
        <v>15501</v>
      </c>
      <c r="S193" s="2" t="s">
        <v>44</v>
      </c>
      <c r="T193" s="2"/>
      <c r="U193" s="2" t="s">
        <v>821</v>
      </c>
      <c r="V193" s="2" t="s">
        <v>46</v>
      </c>
      <c r="W193" s="2" t="s">
        <v>821</v>
      </c>
      <c r="X193" s="2" t="s">
        <v>10787</v>
      </c>
      <c r="Y193" s="2" t="s">
        <v>10801</v>
      </c>
      <c r="Z193" s="2" t="s">
        <v>49</v>
      </c>
      <c r="AA193" s="2">
        <v>100</v>
      </c>
      <c r="AB193" s="2">
        <v>67</v>
      </c>
      <c r="AC193" s="2" t="s">
        <v>7865</v>
      </c>
      <c r="AD193" s="2" t="s">
        <v>15502</v>
      </c>
      <c r="AE193" s="2"/>
      <c r="AF193" s="2" t="s">
        <v>15038</v>
      </c>
      <c r="AG193" s="2" t="s">
        <v>14290</v>
      </c>
    </row>
    <row r="194" spans="1:33" x14ac:dyDescent="0.45">
      <c r="A194" s="2" t="s">
        <v>15503</v>
      </c>
      <c r="B194" s="2" t="s">
        <v>15504</v>
      </c>
      <c r="C194" s="2" t="s">
        <v>15505</v>
      </c>
      <c r="D194" s="2" t="s">
        <v>15506</v>
      </c>
      <c r="E194" s="2" t="s">
        <v>15507</v>
      </c>
      <c r="F194" s="2" t="s">
        <v>15508</v>
      </c>
      <c r="G194" s="2" t="s">
        <v>15508</v>
      </c>
      <c r="H194" s="2" t="s">
        <v>424</v>
      </c>
      <c r="I194" s="2" t="s">
        <v>217</v>
      </c>
      <c r="J194" s="2" t="s">
        <v>4569</v>
      </c>
      <c r="K194" s="2" t="s">
        <v>15506</v>
      </c>
      <c r="L194" s="2"/>
      <c r="M194" s="2"/>
      <c r="N194" s="2"/>
      <c r="O194" s="2" t="s">
        <v>424</v>
      </c>
      <c r="P194" s="2" t="s">
        <v>217</v>
      </c>
      <c r="Q194" s="2" t="s">
        <v>4569</v>
      </c>
      <c r="R194" s="2" t="s">
        <v>14072</v>
      </c>
      <c r="S194" s="2" t="s">
        <v>44</v>
      </c>
      <c r="T194" s="2"/>
      <c r="U194" s="2" t="s">
        <v>821</v>
      </c>
      <c r="V194" s="2" t="s">
        <v>46</v>
      </c>
      <c r="W194" s="2" t="s">
        <v>821</v>
      </c>
      <c r="X194" s="2" t="s">
        <v>10787</v>
      </c>
      <c r="Y194" s="2" t="s">
        <v>10801</v>
      </c>
      <c r="Z194" s="2" t="s">
        <v>49</v>
      </c>
      <c r="AA194" s="2">
        <v>100</v>
      </c>
      <c r="AB194" s="2">
        <v>67</v>
      </c>
      <c r="AC194" s="2" t="s">
        <v>7865</v>
      </c>
      <c r="AD194" s="2" t="s">
        <v>15509</v>
      </c>
      <c r="AE194" s="2"/>
      <c r="AF194" s="2" t="s">
        <v>15038</v>
      </c>
      <c r="AG194" s="2" t="s">
        <v>14290</v>
      </c>
    </row>
    <row r="195" spans="1:33" x14ac:dyDescent="0.45">
      <c r="A195" s="2" t="s">
        <v>15510</v>
      </c>
      <c r="B195" s="2" t="s">
        <v>15511</v>
      </c>
      <c r="C195" s="2" t="s">
        <v>15512</v>
      </c>
      <c r="D195" s="2" t="s">
        <v>15513</v>
      </c>
      <c r="E195" s="2" t="s">
        <v>15514</v>
      </c>
      <c r="F195" s="2" t="s">
        <v>15515</v>
      </c>
      <c r="G195" s="2" t="s">
        <v>15515</v>
      </c>
      <c r="H195" s="2" t="s">
        <v>85</v>
      </c>
      <c r="I195" s="2" t="s">
        <v>86</v>
      </c>
      <c r="J195" s="2" t="s">
        <v>15516</v>
      </c>
      <c r="K195" s="2" t="s">
        <v>15517</v>
      </c>
      <c r="L195" s="2"/>
      <c r="M195" s="2"/>
      <c r="N195" s="2"/>
      <c r="O195" s="2" t="s">
        <v>8495</v>
      </c>
      <c r="P195" s="2" t="s">
        <v>8496</v>
      </c>
      <c r="Q195" s="2" t="s">
        <v>15518</v>
      </c>
      <c r="R195" s="2" t="s">
        <v>14072</v>
      </c>
      <c r="S195" s="2" t="s">
        <v>44</v>
      </c>
      <c r="T195" s="2"/>
      <c r="U195" s="2" t="s">
        <v>821</v>
      </c>
      <c r="V195" s="2" t="s">
        <v>46</v>
      </c>
      <c r="W195" s="2" t="s">
        <v>821</v>
      </c>
      <c r="X195" s="2" t="s">
        <v>10787</v>
      </c>
      <c r="Y195" s="2" t="s">
        <v>10801</v>
      </c>
      <c r="Z195" s="2" t="s">
        <v>49</v>
      </c>
      <c r="AA195" s="2">
        <v>100</v>
      </c>
      <c r="AB195" s="2">
        <v>67</v>
      </c>
      <c r="AC195" s="2" t="s">
        <v>7865</v>
      </c>
      <c r="AD195" s="2" t="s">
        <v>15519</v>
      </c>
      <c r="AE195" s="2"/>
      <c r="AF195" s="2" t="s">
        <v>15038</v>
      </c>
      <c r="AG195" s="2" t="s">
        <v>14290</v>
      </c>
    </row>
    <row r="196" spans="1:33" x14ac:dyDescent="0.45">
      <c r="A196" s="2" t="s">
        <v>15520</v>
      </c>
      <c r="B196" s="2" t="s">
        <v>15521</v>
      </c>
      <c r="C196" s="2" t="s">
        <v>15522</v>
      </c>
      <c r="D196" s="2" t="s">
        <v>15523</v>
      </c>
      <c r="E196" s="2" t="s">
        <v>15524</v>
      </c>
      <c r="F196" s="2" t="s">
        <v>15525</v>
      </c>
      <c r="G196" s="2" t="s">
        <v>15525</v>
      </c>
      <c r="H196" s="2" t="s">
        <v>59</v>
      </c>
      <c r="I196" s="2" t="s">
        <v>60</v>
      </c>
      <c r="J196" s="2" t="s">
        <v>15526</v>
      </c>
      <c r="K196" s="2" t="s">
        <v>15523</v>
      </c>
      <c r="L196" s="2"/>
      <c r="M196" s="2"/>
      <c r="N196" s="2"/>
      <c r="O196" s="2" t="s">
        <v>59</v>
      </c>
      <c r="P196" s="2" t="s">
        <v>60</v>
      </c>
      <c r="Q196" s="2" t="s">
        <v>15526</v>
      </c>
      <c r="R196" s="2" t="s">
        <v>4974</v>
      </c>
      <c r="S196" s="2" t="s">
        <v>44</v>
      </c>
      <c r="T196" s="2"/>
      <c r="U196" s="2" t="s">
        <v>821</v>
      </c>
      <c r="V196" s="2" t="s">
        <v>46</v>
      </c>
      <c r="W196" s="2" t="s">
        <v>821</v>
      </c>
      <c r="X196" s="2" t="s">
        <v>10787</v>
      </c>
      <c r="Y196" s="2" t="s">
        <v>10801</v>
      </c>
      <c r="Z196" s="2" t="s">
        <v>49</v>
      </c>
      <c r="AA196" s="2">
        <v>100</v>
      </c>
      <c r="AB196" s="2">
        <v>67</v>
      </c>
      <c r="AC196" s="2" t="s">
        <v>7865</v>
      </c>
      <c r="AD196" s="2" t="s">
        <v>15527</v>
      </c>
      <c r="AE196" s="2"/>
      <c r="AF196" s="2" t="s">
        <v>15038</v>
      </c>
      <c r="AG196" s="2" t="s">
        <v>14290</v>
      </c>
    </row>
    <row r="197" spans="1:33" x14ac:dyDescent="0.45">
      <c r="A197" s="2" t="s">
        <v>15528</v>
      </c>
      <c r="B197" s="2" t="s">
        <v>15529</v>
      </c>
      <c r="C197" s="2" t="s">
        <v>15530</v>
      </c>
      <c r="D197" s="2" t="s">
        <v>15531</v>
      </c>
      <c r="E197" s="2" t="s">
        <v>15532</v>
      </c>
      <c r="F197" s="2" t="s">
        <v>15533</v>
      </c>
      <c r="G197" s="2" t="s">
        <v>15533</v>
      </c>
      <c r="H197" s="2" t="s">
        <v>39</v>
      </c>
      <c r="I197" s="2" t="s">
        <v>40</v>
      </c>
      <c r="J197" s="2" t="s">
        <v>8742</v>
      </c>
      <c r="K197" s="2" t="s">
        <v>15531</v>
      </c>
      <c r="L197" s="2"/>
      <c r="M197" s="2"/>
      <c r="N197" s="2"/>
      <c r="O197" s="2" t="s">
        <v>39</v>
      </c>
      <c r="P197" s="2" t="s">
        <v>40</v>
      </c>
      <c r="Q197" s="2" t="s">
        <v>8742</v>
      </c>
      <c r="R197" s="2" t="s">
        <v>4984</v>
      </c>
      <c r="S197" s="2" t="s">
        <v>44</v>
      </c>
      <c r="T197" s="2"/>
      <c r="U197" s="2" t="s">
        <v>821</v>
      </c>
      <c r="V197" s="2" t="s">
        <v>46</v>
      </c>
      <c r="W197" s="2" t="s">
        <v>821</v>
      </c>
      <c r="X197" s="2" t="s">
        <v>10787</v>
      </c>
      <c r="Y197" s="2" t="s">
        <v>10801</v>
      </c>
      <c r="Z197" s="2" t="s">
        <v>49</v>
      </c>
      <c r="AA197" s="2">
        <v>100</v>
      </c>
      <c r="AB197" s="2">
        <v>67</v>
      </c>
      <c r="AC197" s="2" t="s">
        <v>7865</v>
      </c>
      <c r="AD197" s="2" t="s">
        <v>15534</v>
      </c>
      <c r="AE197" s="2"/>
      <c r="AF197" s="2" t="s">
        <v>15038</v>
      </c>
      <c r="AG197" s="2" t="s">
        <v>14290</v>
      </c>
    </row>
    <row r="198" spans="1:33" x14ac:dyDescent="0.45">
      <c r="A198" s="2" t="s">
        <v>15535</v>
      </c>
      <c r="B198" s="2" t="s">
        <v>15536</v>
      </c>
      <c r="C198" s="2" t="s">
        <v>15537</v>
      </c>
      <c r="D198" s="2" t="s">
        <v>15538</v>
      </c>
      <c r="E198" s="2" t="s">
        <v>15539</v>
      </c>
      <c r="F198" s="2" t="s">
        <v>15540</v>
      </c>
      <c r="G198" s="2" t="s">
        <v>15540</v>
      </c>
      <c r="H198" s="2" t="s">
        <v>59</v>
      </c>
      <c r="I198" s="2" t="s">
        <v>60</v>
      </c>
      <c r="J198" s="2" t="s">
        <v>15541</v>
      </c>
      <c r="K198" s="2" t="s">
        <v>15538</v>
      </c>
      <c r="L198" s="2"/>
      <c r="M198" s="2"/>
      <c r="N198" s="2"/>
      <c r="O198" s="2" t="s">
        <v>59</v>
      </c>
      <c r="P198" s="2" t="s">
        <v>60</v>
      </c>
      <c r="Q198" s="2" t="s">
        <v>15541</v>
      </c>
      <c r="R198" s="2" t="s">
        <v>1014</v>
      </c>
      <c r="S198" s="2" t="s">
        <v>44</v>
      </c>
      <c r="T198" s="2"/>
      <c r="U198" s="2" t="s">
        <v>821</v>
      </c>
      <c r="V198" s="2" t="s">
        <v>46</v>
      </c>
      <c r="W198" s="2" t="s">
        <v>821</v>
      </c>
      <c r="X198" s="2" t="s">
        <v>10787</v>
      </c>
      <c r="Y198" s="2" t="s">
        <v>10801</v>
      </c>
      <c r="Z198" s="2" t="s">
        <v>49</v>
      </c>
      <c r="AA198" s="2">
        <v>100</v>
      </c>
      <c r="AB198" s="2">
        <v>67</v>
      </c>
      <c r="AC198" s="2" t="s">
        <v>7865</v>
      </c>
      <c r="AD198" s="2" t="s">
        <v>15542</v>
      </c>
      <c r="AE198" s="2"/>
      <c r="AF198" s="2" t="s">
        <v>15038</v>
      </c>
      <c r="AG198" s="2" t="s">
        <v>14290</v>
      </c>
    </row>
    <row r="199" spans="1:33" x14ac:dyDescent="0.45">
      <c r="A199" s="2" t="s">
        <v>15543</v>
      </c>
      <c r="B199" s="2" t="s">
        <v>15544</v>
      </c>
      <c r="C199" s="2" t="s">
        <v>15545</v>
      </c>
      <c r="D199" s="2" t="s">
        <v>15546</v>
      </c>
      <c r="E199" s="2" t="s">
        <v>15547</v>
      </c>
      <c r="F199" s="2" t="s">
        <v>15548</v>
      </c>
      <c r="G199" s="2" t="s">
        <v>15548</v>
      </c>
      <c r="H199" s="2" t="s">
        <v>312</v>
      </c>
      <c r="I199" s="2" t="s">
        <v>313</v>
      </c>
      <c r="J199" s="2" t="s">
        <v>7647</v>
      </c>
      <c r="K199" s="2" t="s">
        <v>15546</v>
      </c>
      <c r="L199" s="2"/>
      <c r="M199" s="2"/>
      <c r="N199" s="2"/>
      <c r="O199" s="2" t="s">
        <v>312</v>
      </c>
      <c r="P199" s="2" t="s">
        <v>313</v>
      </c>
      <c r="Q199" s="2" t="s">
        <v>7647</v>
      </c>
      <c r="R199" s="2" t="s">
        <v>14548</v>
      </c>
      <c r="S199" s="2" t="s">
        <v>44</v>
      </c>
      <c r="T199" s="2"/>
      <c r="U199" s="2" t="s">
        <v>821</v>
      </c>
      <c r="V199" s="2" t="s">
        <v>46</v>
      </c>
      <c r="W199" s="2" t="s">
        <v>821</v>
      </c>
      <c r="X199" s="2" t="s">
        <v>10787</v>
      </c>
      <c r="Y199" s="2" t="s">
        <v>10801</v>
      </c>
      <c r="Z199" s="2" t="s">
        <v>49</v>
      </c>
      <c r="AA199" s="2">
        <v>100</v>
      </c>
      <c r="AB199" s="2">
        <v>67</v>
      </c>
      <c r="AC199" s="2" t="s">
        <v>7865</v>
      </c>
      <c r="AD199" s="2" t="s">
        <v>15549</v>
      </c>
      <c r="AE199" s="2"/>
      <c r="AF199" s="2" t="s">
        <v>15038</v>
      </c>
      <c r="AG199" s="2" t="s">
        <v>14290</v>
      </c>
    </row>
    <row r="200" spans="1:33" x14ac:dyDescent="0.45">
      <c r="A200" s="2" t="s">
        <v>15550</v>
      </c>
      <c r="B200" s="2" t="s">
        <v>15551</v>
      </c>
      <c r="C200" s="2" t="s">
        <v>15552</v>
      </c>
      <c r="D200" s="2" t="s">
        <v>15553</v>
      </c>
      <c r="E200" s="2" t="s">
        <v>15554</v>
      </c>
      <c r="F200" s="2" t="s">
        <v>15555</v>
      </c>
      <c r="G200" s="2" t="s">
        <v>15555</v>
      </c>
      <c r="H200" s="2" t="s">
        <v>39</v>
      </c>
      <c r="I200" s="2" t="s">
        <v>40</v>
      </c>
      <c r="J200" s="2" t="s">
        <v>15556</v>
      </c>
      <c r="K200" s="2" t="s">
        <v>15553</v>
      </c>
      <c r="L200" s="2"/>
      <c r="M200" s="2"/>
      <c r="N200" s="2"/>
      <c r="O200" s="2" t="s">
        <v>39</v>
      </c>
      <c r="P200" s="2" t="s">
        <v>40</v>
      </c>
      <c r="Q200" s="2" t="s">
        <v>15556</v>
      </c>
      <c r="R200" s="2" t="s">
        <v>15557</v>
      </c>
      <c r="S200" s="2" t="s">
        <v>44</v>
      </c>
      <c r="T200" s="2"/>
      <c r="U200" s="2" t="s">
        <v>821</v>
      </c>
      <c r="V200" s="2" t="s">
        <v>46</v>
      </c>
      <c r="W200" s="2" t="s">
        <v>821</v>
      </c>
      <c r="X200" s="2" t="s">
        <v>10787</v>
      </c>
      <c r="Y200" s="2" t="s">
        <v>10801</v>
      </c>
      <c r="Z200" s="2" t="s">
        <v>49</v>
      </c>
      <c r="AA200" s="2">
        <v>100</v>
      </c>
      <c r="AB200" s="2">
        <v>67</v>
      </c>
      <c r="AC200" s="2" t="s">
        <v>7865</v>
      </c>
      <c r="AD200" s="2" t="s">
        <v>15558</v>
      </c>
      <c r="AE200" s="2"/>
      <c r="AF200" s="2" t="s">
        <v>15038</v>
      </c>
      <c r="AG200" s="2" t="s">
        <v>14290</v>
      </c>
    </row>
    <row r="201" spans="1:33" x14ac:dyDescent="0.45">
      <c r="A201" s="2" t="s">
        <v>15559</v>
      </c>
      <c r="B201" s="2" t="s">
        <v>15560</v>
      </c>
      <c r="C201" s="2" t="s">
        <v>15561</v>
      </c>
      <c r="D201" s="2" t="s">
        <v>15562</v>
      </c>
      <c r="E201" s="2" t="s">
        <v>15563</v>
      </c>
      <c r="F201" s="2" t="s">
        <v>15564</v>
      </c>
      <c r="G201" s="2" t="s">
        <v>15564</v>
      </c>
      <c r="H201" s="2" t="s">
        <v>59</v>
      </c>
      <c r="I201" s="2" t="s">
        <v>60</v>
      </c>
      <c r="J201" s="2" t="s">
        <v>12350</v>
      </c>
      <c r="K201" s="2" t="s">
        <v>15562</v>
      </c>
      <c r="L201" s="2"/>
      <c r="M201" s="2"/>
      <c r="N201" s="2"/>
      <c r="O201" s="2" t="s">
        <v>59</v>
      </c>
      <c r="P201" s="2" t="s">
        <v>60</v>
      </c>
      <c r="Q201" s="2" t="s">
        <v>12350</v>
      </c>
      <c r="R201" s="2" t="s">
        <v>10051</v>
      </c>
      <c r="S201" s="2" t="s">
        <v>44</v>
      </c>
      <c r="T201" s="2"/>
      <c r="U201" s="2" t="s">
        <v>821</v>
      </c>
      <c r="V201" s="2" t="s">
        <v>46</v>
      </c>
      <c r="W201" s="2" t="s">
        <v>821</v>
      </c>
      <c r="X201" s="2" t="s">
        <v>10787</v>
      </c>
      <c r="Y201" s="2" t="s">
        <v>10801</v>
      </c>
      <c r="Z201" s="2" t="s">
        <v>49</v>
      </c>
      <c r="AA201" s="2">
        <v>100</v>
      </c>
      <c r="AB201" s="2">
        <v>67</v>
      </c>
      <c r="AC201" s="2" t="s">
        <v>7865</v>
      </c>
      <c r="AD201" s="2" t="s">
        <v>15565</v>
      </c>
      <c r="AE201" s="2"/>
      <c r="AF201" s="2" t="s">
        <v>15038</v>
      </c>
      <c r="AG201" s="2" t="s">
        <v>14290</v>
      </c>
    </row>
    <row r="202" spans="1:33" x14ac:dyDescent="0.45">
      <c r="A202" s="2" t="s">
        <v>15566</v>
      </c>
      <c r="B202" s="2" t="s">
        <v>15567</v>
      </c>
      <c r="C202" s="2" t="s">
        <v>15568</v>
      </c>
      <c r="D202" s="2" t="s">
        <v>15569</v>
      </c>
      <c r="E202" s="2" t="s">
        <v>15570</v>
      </c>
      <c r="F202" s="2" t="s">
        <v>15571</v>
      </c>
      <c r="G202" s="2" t="s">
        <v>15571</v>
      </c>
      <c r="H202" s="2" t="s">
        <v>72</v>
      </c>
      <c r="I202" s="2" t="s">
        <v>73</v>
      </c>
      <c r="J202" s="2" t="s">
        <v>2372</v>
      </c>
      <c r="K202" s="2" t="s">
        <v>15569</v>
      </c>
      <c r="L202" s="2"/>
      <c r="M202" s="2"/>
      <c r="N202" s="2"/>
      <c r="O202" s="2" t="s">
        <v>72</v>
      </c>
      <c r="P202" s="2" t="s">
        <v>73</v>
      </c>
      <c r="Q202" s="2" t="s">
        <v>2372</v>
      </c>
      <c r="R202" s="2" t="s">
        <v>5261</v>
      </c>
      <c r="S202" s="2" t="s">
        <v>44</v>
      </c>
      <c r="T202" s="2"/>
      <c r="U202" s="2" t="s">
        <v>821</v>
      </c>
      <c r="V202" s="2" t="s">
        <v>46</v>
      </c>
      <c r="W202" s="2" t="s">
        <v>821</v>
      </c>
      <c r="X202" s="2" t="s">
        <v>10787</v>
      </c>
      <c r="Y202" s="2" t="s">
        <v>10801</v>
      </c>
      <c r="Z202" s="2" t="s">
        <v>49</v>
      </c>
      <c r="AA202" s="2">
        <v>100</v>
      </c>
      <c r="AB202" s="2">
        <v>67</v>
      </c>
      <c r="AC202" s="2" t="s">
        <v>7865</v>
      </c>
      <c r="AD202" s="2" t="s">
        <v>15572</v>
      </c>
      <c r="AE202" s="2"/>
      <c r="AF202" s="2" t="s">
        <v>15038</v>
      </c>
      <c r="AG202" s="2" t="s">
        <v>14290</v>
      </c>
    </row>
    <row r="203" spans="1:33" x14ac:dyDescent="0.45">
      <c r="A203" s="2" t="s">
        <v>15573</v>
      </c>
      <c r="B203" s="2" t="s">
        <v>15574</v>
      </c>
      <c r="C203" s="2" t="s">
        <v>15575</v>
      </c>
      <c r="D203" s="2" t="s">
        <v>15576</v>
      </c>
      <c r="E203" s="2" t="s">
        <v>15577</v>
      </c>
      <c r="F203" s="2" t="s">
        <v>15578</v>
      </c>
      <c r="G203" s="2" t="s">
        <v>15578</v>
      </c>
      <c r="H203" s="2" t="s">
        <v>85</v>
      </c>
      <c r="I203" s="2" t="s">
        <v>86</v>
      </c>
      <c r="J203" s="2" t="s">
        <v>579</v>
      </c>
      <c r="K203" s="2" t="s">
        <v>15579</v>
      </c>
      <c r="L203" s="2"/>
      <c r="M203" s="2"/>
      <c r="N203" s="2"/>
      <c r="O203" s="2" t="s">
        <v>85</v>
      </c>
      <c r="P203" s="2" t="s">
        <v>86</v>
      </c>
      <c r="Q203" s="2" t="s">
        <v>579</v>
      </c>
      <c r="R203" s="2" t="s">
        <v>5286</v>
      </c>
      <c r="S203" s="2" t="s">
        <v>44</v>
      </c>
      <c r="T203" s="2"/>
      <c r="U203" s="2" t="s">
        <v>821</v>
      </c>
      <c r="V203" s="2" t="s">
        <v>46</v>
      </c>
      <c r="W203" s="2" t="s">
        <v>821</v>
      </c>
      <c r="X203" s="2" t="s">
        <v>10787</v>
      </c>
      <c r="Y203" s="2" t="s">
        <v>10801</v>
      </c>
      <c r="Z203" s="2" t="s">
        <v>49</v>
      </c>
      <c r="AA203" s="2">
        <v>100</v>
      </c>
      <c r="AB203" s="2">
        <v>67</v>
      </c>
      <c r="AC203" s="2" t="s">
        <v>7865</v>
      </c>
      <c r="AD203" s="2" t="s">
        <v>15580</v>
      </c>
      <c r="AE203" s="2"/>
      <c r="AF203" s="2" t="s">
        <v>15038</v>
      </c>
      <c r="AG203" s="2" t="s">
        <v>14290</v>
      </c>
    </row>
    <row r="204" spans="1:33" x14ac:dyDescent="0.45">
      <c r="A204" s="2" t="s">
        <v>15581</v>
      </c>
      <c r="B204" s="2" t="s">
        <v>15582</v>
      </c>
      <c r="C204" s="2" t="s">
        <v>15583</v>
      </c>
      <c r="D204" s="2" t="s">
        <v>15584</v>
      </c>
      <c r="E204" s="2" t="s">
        <v>15585</v>
      </c>
      <c r="F204" s="2" t="s">
        <v>15586</v>
      </c>
      <c r="G204" s="2" t="s">
        <v>15586</v>
      </c>
      <c r="H204" s="2" t="s">
        <v>59</v>
      </c>
      <c r="I204" s="2" t="s">
        <v>60</v>
      </c>
      <c r="J204" s="2" t="s">
        <v>992</v>
      </c>
      <c r="K204" s="2" t="s">
        <v>15587</v>
      </c>
      <c r="L204" s="2"/>
      <c r="M204" s="2"/>
      <c r="N204" s="2"/>
      <c r="O204" s="2" t="s">
        <v>59</v>
      </c>
      <c r="P204" s="2" t="s">
        <v>60</v>
      </c>
      <c r="Q204" s="2" t="s">
        <v>992</v>
      </c>
      <c r="R204" s="2" t="s">
        <v>5286</v>
      </c>
      <c r="S204" s="2" t="s">
        <v>44</v>
      </c>
      <c r="T204" s="2"/>
      <c r="U204" s="2" t="s">
        <v>821</v>
      </c>
      <c r="V204" s="2" t="s">
        <v>46</v>
      </c>
      <c r="W204" s="2" t="s">
        <v>821</v>
      </c>
      <c r="X204" s="2" t="s">
        <v>10787</v>
      </c>
      <c r="Y204" s="2" t="s">
        <v>10801</v>
      </c>
      <c r="Z204" s="2" t="s">
        <v>49</v>
      </c>
      <c r="AA204" s="2">
        <v>100</v>
      </c>
      <c r="AB204" s="2">
        <v>67</v>
      </c>
      <c r="AC204" s="2" t="s">
        <v>7865</v>
      </c>
      <c r="AD204" s="2" t="s">
        <v>15588</v>
      </c>
      <c r="AE204" s="2"/>
      <c r="AF204" s="2" t="s">
        <v>15038</v>
      </c>
      <c r="AG204" s="2" t="s">
        <v>14290</v>
      </c>
    </row>
    <row r="205" spans="1:33" x14ac:dyDescent="0.45">
      <c r="A205" s="2" t="s">
        <v>15589</v>
      </c>
      <c r="B205" s="2" t="s">
        <v>15590</v>
      </c>
      <c r="C205" s="2" t="s">
        <v>15591</v>
      </c>
      <c r="D205" s="2" t="s">
        <v>15592</v>
      </c>
      <c r="E205" s="2" t="s">
        <v>15593</v>
      </c>
      <c r="F205" s="2" t="s">
        <v>15594</v>
      </c>
      <c r="G205" s="2" t="s">
        <v>15594</v>
      </c>
      <c r="H205" s="2" t="s">
        <v>290</v>
      </c>
      <c r="I205" s="2" t="s">
        <v>278</v>
      </c>
      <c r="J205" s="2" t="s">
        <v>291</v>
      </c>
      <c r="K205" s="2" t="s">
        <v>15592</v>
      </c>
      <c r="L205" s="2"/>
      <c r="M205" s="2"/>
      <c r="N205" s="2"/>
      <c r="O205" s="2" t="s">
        <v>290</v>
      </c>
      <c r="P205" s="2" t="s">
        <v>278</v>
      </c>
      <c r="Q205" s="2" t="s">
        <v>291</v>
      </c>
      <c r="R205" s="2" t="s">
        <v>15595</v>
      </c>
      <c r="S205" s="2" t="s">
        <v>44</v>
      </c>
      <c r="T205" s="2"/>
      <c r="U205" s="2" t="s">
        <v>821</v>
      </c>
      <c r="V205" s="2" t="s">
        <v>46</v>
      </c>
      <c r="W205" s="2" t="s">
        <v>821</v>
      </c>
      <c r="X205" s="2" t="s">
        <v>10787</v>
      </c>
      <c r="Y205" s="2" t="s">
        <v>10801</v>
      </c>
      <c r="Z205" s="2" t="s">
        <v>49</v>
      </c>
      <c r="AA205" s="2">
        <v>100</v>
      </c>
      <c r="AB205" s="2">
        <v>67</v>
      </c>
      <c r="AC205" s="2" t="s">
        <v>7865</v>
      </c>
      <c r="AD205" s="2" t="s">
        <v>15596</v>
      </c>
      <c r="AE205" s="2"/>
      <c r="AF205" s="2" t="s">
        <v>15038</v>
      </c>
      <c r="AG205" s="2" t="s">
        <v>14290</v>
      </c>
    </row>
    <row r="206" spans="1:33" x14ac:dyDescent="0.45">
      <c r="A206" s="2" t="s">
        <v>15597</v>
      </c>
      <c r="B206" s="2" t="s">
        <v>15598</v>
      </c>
      <c r="C206" s="2" t="s">
        <v>15599</v>
      </c>
      <c r="D206" s="2" t="s">
        <v>15600</v>
      </c>
      <c r="E206" s="2" t="s">
        <v>15601</v>
      </c>
      <c r="F206" s="2" t="s">
        <v>15602</v>
      </c>
      <c r="G206" s="2" t="s">
        <v>15602</v>
      </c>
      <c r="H206" s="2" t="s">
        <v>290</v>
      </c>
      <c r="I206" s="2" t="s">
        <v>278</v>
      </c>
      <c r="J206" s="2" t="s">
        <v>291</v>
      </c>
      <c r="K206" s="2" t="s">
        <v>15600</v>
      </c>
      <c r="L206" s="2"/>
      <c r="M206" s="2"/>
      <c r="N206" s="2"/>
      <c r="O206" s="2" t="s">
        <v>290</v>
      </c>
      <c r="P206" s="2" t="s">
        <v>278</v>
      </c>
      <c r="Q206" s="2" t="s">
        <v>291</v>
      </c>
      <c r="R206" s="2" t="s">
        <v>5356</v>
      </c>
      <c r="S206" s="2" t="s">
        <v>44</v>
      </c>
      <c r="T206" s="2"/>
      <c r="U206" s="2" t="s">
        <v>821</v>
      </c>
      <c r="V206" s="2" t="s">
        <v>46</v>
      </c>
      <c r="W206" s="2" t="s">
        <v>821</v>
      </c>
      <c r="X206" s="2" t="s">
        <v>10787</v>
      </c>
      <c r="Y206" s="2" t="s">
        <v>10801</v>
      </c>
      <c r="Z206" s="2" t="s">
        <v>49</v>
      </c>
      <c r="AA206" s="2">
        <v>100</v>
      </c>
      <c r="AB206" s="2">
        <v>67</v>
      </c>
      <c r="AC206" s="2" t="s">
        <v>7865</v>
      </c>
      <c r="AD206" s="2" t="s">
        <v>15603</v>
      </c>
      <c r="AE206" s="2"/>
      <c r="AF206" s="2" t="s">
        <v>15038</v>
      </c>
      <c r="AG206" s="2" t="s">
        <v>14290</v>
      </c>
    </row>
    <row r="207" spans="1:33" x14ac:dyDescent="0.45">
      <c r="A207" s="2" t="s">
        <v>15604</v>
      </c>
      <c r="B207" s="2" t="s">
        <v>15605</v>
      </c>
      <c r="C207" s="2" t="s">
        <v>15606</v>
      </c>
      <c r="D207" s="2" t="s">
        <v>15607</v>
      </c>
      <c r="E207" s="2" t="s">
        <v>15608</v>
      </c>
      <c r="F207" s="2" t="s">
        <v>15609</v>
      </c>
      <c r="G207" s="2" t="s">
        <v>15609</v>
      </c>
      <c r="H207" s="2" t="s">
        <v>1188</v>
      </c>
      <c r="I207" s="2" t="s">
        <v>221</v>
      </c>
      <c r="J207" s="2" t="s">
        <v>10349</v>
      </c>
      <c r="K207" s="2" t="s">
        <v>15607</v>
      </c>
      <c r="L207" s="2"/>
      <c r="M207" s="2"/>
      <c r="N207" s="2"/>
      <c r="O207" s="2" t="s">
        <v>1188</v>
      </c>
      <c r="P207" s="2" t="s">
        <v>221</v>
      </c>
      <c r="Q207" s="2" t="s">
        <v>10349</v>
      </c>
      <c r="R207" s="2" t="s">
        <v>7483</v>
      </c>
      <c r="S207" s="2" t="s">
        <v>44</v>
      </c>
      <c r="T207" s="2"/>
      <c r="U207" s="2" t="s">
        <v>821</v>
      </c>
      <c r="V207" s="2" t="s">
        <v>46</v>
      </c>
      <c r="W207" s="2" t="s">
        <v>821</v>
      </c>
      <c r="X207" s="2" t="s">
        <v>10787</v>
      </c>
      <c r="Y207" s="2" t="s">
        <v>10801</v>
      </c>
      <c r="Z207" s="2" t="s">
        <v>49</v>
      </c>
      <c r="AA207" s="2">
        <v>100</v>
      </c>
      <c r="AB207" s="2">
        <v>67</v>
      </c>
      <c r="AC207" s="2" t="s">
        <v>7865</v>
      </c>
      <c r="AD207" s="2" t="s">
        <v>15610</v>
      </c>
      <c r="AE207" s="2"/>
      <c r="AF207" s="2" t="s">
        <v>15038</v>
      </c>
      <c r="AG207" s="2" t="s">
        <v>14290</v>
      </c>
    </row>
    <row r="208" spans="1:33" x14ac:dyDescent="0.45">
      <c r="A208" s="2" t="s">
        <v>15611</v>
      </c>
      <c r="B208" s="2" t="s">
        <v>15612</v>
      </c>
      <c r="C208" s="2" t="s">
        <v>15613</v>
      </c>
      <c r="D208" s="2" t="s">
        <v>15614</v>
      </c>
      <c r="E208" s="2" t="s">
        <v>15615</v>
      </c>
      <c r="F208" s="2" t="s">
        <v>15616</v>
      </c>
      <c r="G208" s="2" t="s">
        <v>15616</v>
      </c>
      <c r="H208" s="2" t="s">
        <v>59</v>
      </c>
      <c r="I208" s="2" t="s">
        <v>60</v>
      </c>
      <c r="J208" s="2" t="s">
        <v>8056</v>
      </c>
      <c r="K208" s="2" t="s">
        <v>15614</v>
      </c>
      <c r="L208" s="2"/>
      <c r="M208" s="2"/>
      <c r="N208" s="2"/>
      <c r="O208" s="2" t="s">
        <v>59</v>
      </c>
      <c r="P208" s="2" t="s">
        <v>60</v>
      </c>
      <c r="Q208" s="2" t="s">
        <v>8056</v>
      </c>
      <c r="R208" s="2" t="s">
        <v>11071</v>
      </c>
      <c r="S208" s="2" t="s">
        <v>44</v>
      </c>
      <c r="T208" s="2"/>
      <c r="U208" s="2" t="s">
        <v>821</v>
      </c>
      <c r="V208" s="2" t="s">
        <v>46</v>
      </c>
      <c r="W208" s="2" t="s">
        <v>821</v>
      </c>
      <c r="X208" s="2" t="s">
        <v>10787</v>
      </c>
      <c r="Y208" s="2" t="s">
        <v>10801</v>
      </c>
      <c r="Z208" s="2" t="s">
        <v>49</v>
      </c>
      <c r="AA208" s="2">
        <v>100</v>
      </c>
      <c r="AB208" s="2">
        <v>67</v>
      </c>
      <c r="AC208" s="2" t="s">
        <v>7865</v>
      </c>
      <c r="AD208" s="2" t="s">
        <v>15617</v>
      </c>
      <c r="AE208" s="2"/>
      <c r="AF208" s="2" t="s">
        <v>15038</v>
      </c>
      <c r="AG208" s="2" t="s">
        <v>14290</v>
      </c>
    </row>
    <row r="209" spans="1:33" x14ac:dyDescent="0.45">
      <c r="A209" s="2" t="s">
        <v>15618</v>
      </c>
      <c r="B209" s="2" t="s">
        <v>15619</v>
      </c>
      <c r="C209" s="2" t="s">
        <v>15620</v>
      </c>
      <c r="D209" s="2" t="s">
        <v>15621</v>
      </c>
      <c r="E209" s="2" t="s">
        <v>15622</v>
      </c>
      <c r="F209" s="2" t="s">
        <v>15623</v>
      </c>
      <c r="G209" s="2" t="s">
        <v>15623</v>
      </c>
      <c r="H209" s="2" t="s">
        <v>384</v>
      </c>
      <c r="I209" s="2" t="s">
        <v>73</v>
      </c>
      <c r="J209" s="2" t="s">
        <v>15624</v>
      </c>
      <c r="K209" s="2" t="s">
        <v>15621</v>
      </c>
      <c r="L209" s="2"/>
      <c r="M209" s="2"/>
      <c r="N209" s="2"/>
      <c r="O209" s="2" t="s">
        <v>384</v>
      </c>
      <c r="P209" s="2" t="s">
        <v>73</v>
      </c>
      <c r="Q209" s="2" t="s">
        <v>15624</v>
      </c>
      <c r="R209" s="2" t="s">
        <v>733</v>
      </c>
      <c r="S209" s="2" t="s">
        <v>44</v>
      </c>
      <c r="T209" s="2"/>
      <c r="U209" s="2" t="s">
        <v>821</v>
      </c>
      <c r="V209" s="2" t="s">
        <v>46</v>
      </c>
      <c r="W209" s="2" t="s">
        <v>821</v>
      </c>
      <c r="X209" s="2" t="s">
        <v>10787</v>
      </c>
      <c r="Y209" s="2" t="s">
        <v>10801</v>
      </c>
      <c r="Z209" s="2" t="s">
        <v>49</v>
      </c>
      <c r="AA209" s="2">
        <v>100</v>
      </c>
      <c r="AB209" s="2">
        <v>67</v>
      </c>
      <c r="AC209" s="2" t="s">
        <v>7865</v>
      </c>
      <c r="AD209" s="2" t="s">
        <v>15625</v>
      </c>
      <c r="AE209" s="2"/>
      <c r="AF209" s="2" t="s">
        <v>15038</v>
      </c>
      <c r="AG209" s="2" t="s">
        <v>14290</v>
      </c>
    </row>
    <row r="210" spans="1:33" x14ac:dyDescent="0.45">
      <c r="A210" s="2" t="s">
        <v>15626</v>
      </c>
      <c r="B210" s="2" t="s">
        <v>15627</v>
      </c>
      <c r="C210" s="2" t="s">
        <v>15628</v>
      </c>
      <c r="D210" s="2" t="s">
        <v>15629</v>
      </c>
      <c r="E210" s="2" t="s">
        <v>15630</v>
      </c>
      <c r="F210" s="2" t="s">
        <v>15631</v>
      </c>
      <c r="G210" s="2" t="s">
        <v>15631</v>
      </c>
      <c r="H210" s="2" t="s">
        <v>72</v>
      </c>
      <c r="I210" s="2" t="s">
        <v>73</v>
      </c>
      <c r="J210" s="2" t="s">
        <v>6297</v>
      </c>
      <c r="K210" s="2" t="s">
        <v>15632</v>
      </c>
      <c r="L210" s="2"/>
      <c r="M210" s="2"/>
      <c r="N210" s="2"/>
      <c r="O210" s="2" t="s">
        <v>72</v>
      </c>
      <c r="P210" s="2" t="s">
        <v>73</v>
      </c>
      <c r="Q210" s="2" t="s">
        <v>1682</v>
      </c>
      <c r="R210" s="2" t="s">
        <v>15633</v>
      </c>
      <c r="S210" s="2" t="s">
        <v>44</v>
      </c>
      <c r="T210" s="2"/>
      <c r="U210" s="2" t="s">
        <v>821</v>
      </c>
      <c r="V210" s="2" t="s">
        <v>46</v>
      </c>
      <c r="W210" s="2" t="s">
        <v>821</v>
      </c>
      <c r="X210" s="2" t="s">
        <v>11537</v>
      </c>
      <c r="Y210" s="2" t="s">
        <v>10801</v>
      </c>
      <c r="Z210" s="2" t="s">
        <v>49</v>
      </c>
      <c r="AA210" s="2">
        <v>100</v>
      </c>
      <c r="AB210" s="2">
        <v>67</v>
      </c>
      <c r="AC210" s="2" t="s">
        <v>7865</v>
      </c>
      <c r="AD210" s="2" t="s">
        <v>15634</v>
      </c>
      <c r="AE210" s="2"/>
      <c r="AF210" s="2" t="s">
        <v>15038</v>
      </c>
      <c r="AG210" s="2" t="s">
        <v>14290</v>
      </c>
    </row>
    <row r="211" spans="1:33" x14ac:dyDescent="0.45">
      <c r="A211" s="2" t="s">
        <v>15635</v>
      </c>
      <c r="B211" s="2" t="s">
        <v>15636</v>
      </c>
      <c r="C211" s="2" t="s">
        <v>15637</v>
      </c>
      <c r="D211" s="2" t="s">
        <v>15638</v>
      </c>
      <c r="E211" s="2" t="s">
        <v>15639</v>
      </c>
      <c r="F211" s="2" t="s">
        <v>15640</v>
      </c>
      <c r="G211" s="2" t="s">
        <v>15640</v>
      </c>
      <c r="H211" s="2" t="s">
        <v>651</v>
      </c>
      <c r="I211" s="2" t="s">
        <v>86</v>
      </c>
      <c r="J211" s="2" t="s">
        <v>3948</v>
      </c>
      <c r="K211" s="2" t="s">
        <v>15638</v>
      </c>
      <c r="L211" s="2"/>
      <c r="M211" s="2"/>
      <c r="N211" s="2"/>
      <c r="O211" s="2" t="s">
        <v>651</v>
      </c>
      <c r="P211" s="2" t="s">
        <v>86</v>
      </c>
      <c r="Q211" s="2" t="s">
        <v>3948</v>
      </c>
      <c r="R211" s="2" t="s">
        <v>1049</v>
      </c>
      <c r="S211" s="2" t="s">
        <v>44</v>
      </c>
      <c r="T211" s="2"/>
      <c r="U211" s="2" t="s">
        <v>821</v>
      </c>
      <c r="V211" s="2" t="s">
        <v>46</v>
      </c>
      <c r="W211" s="2" t="s">
        <v>821</v>
      </c>
      <c r="X211" s="2" t="s">
        <v>10787</v>
      </c>
      <c r="Y211" s="2" t="s">
        <v>10801</v>
      </c>
      <c r="Z211" s="2" t="s">
        <v>49</v>
      </c>
      <c r="AA211" s="2">
        <v>100</v>
      </c>
      <c r="AB211" s="2">
        <v>67</v>
      </c>
      <c r="AC211" s="2" t="s">
        <v>7865</v>
      </c>
      <c r="AD211" s="2" t="s">
        <v>15641</v>
      </c>
      <c r="AE211" s="2"/>
      <c r="AF211" s="2" t="s">
        <v>15038</v>
      </c>
      <c r="AG211" s="2" t="s">
        <v>14290</v>
      </c>
    </row>
    <row r="212" spans="1:33" x14ac:dyDescent="0.45">
      <c r="A212" s="2" t="s">
        <v>15642</v>
      </c>
      <c r="B212" s="2" t="s">
        <v>15643</v>
      </c>
      <c r="C212" s="2" t="s">
        <v>15644</v>
      </c>
      <c r="D212" s="2" t="s">
        <v>15645</v>
      </c>
      <c r="E212" s="2" t="s">
        <v>15646</v>
      </c>
      <c r="F212" s="2" t="s">
        <v>15647</v>
      </c>
      <c r="G212" s="2" t="s">
        <v>15647</v>
      </c>
      <c r="H212" s="2" t="s">
        <v>384</v>
      </c>
      <c r="I212" s="2" t="s">
        <v>73</v>
      </c>
      <c r="J212" s="2" t="s">
        <v>7107</v>
      </c>
      <c r="K212" s="2" t="s">
        <v>15645</v>
      </c>
      <c r="L212" s="2"/>
      <c r="M212" s="2"/>
      <c r="N212" s="2"/>
      <c r="O212" s="2" t="s">
        <v>384</v>
      </c>
      <c r="P212" s="2" t="s">
        <v>73</v>
      </c>
      <c r="Q212" s="2" t="s">
        <v>7107</v>
      </c>
      <c r="R212" s="2" t="s">
        <v>1061</v>
      </c>
      <c r="S212" s="2" t="s">
        <v>44</v>
      </c>
      <c r="T212" s="2"/>
      <c r="U212" s="2" t="s">
        <v>821</v>
      </c>
      <c r="V212" s="2" t="s">
        <v>46</v>
      </c>
      <c r="W212" s="2" t="s">
        <v>821</v>
      </c>
      <c r="X212" s="2" t="s">
        <v>10787</v>
      </c>
      <c r="Y212" s="2" t="s">
        <v>10801</v>
      </c>
      <c r="Z212" s="2" t="s">
        <v>49</v>
      </c>
      <c r="AA212" s="2">
        <v>100</v>
      </c>
      <c r="AB212" s="2">
        <v>67</v>
      </c>
      <c r="AC212" s="2" t="s">
        <v>7865</v>
      </c>
      <c r="AD212" s="2" t="s">
        <v>15648</v>
      </c>
      <c r="AE212" s="2"/>
      <c r="AF212" s="2" t="s">
        <v>15038</v>
      </c>
      <c r="AG212" s="2" t="s">
        <v>14290</v>
      </c>
    </row>
    <row r="213" spans="1:33" x14ac:dyDescent="0.45">
      <c r="A213" s="2" t="s">
        <v>15649</v>
      </c>
      <c r="B213" s="2" t="s">
        <v>15650</v>
      </c>
      <c r="C213" s="2" t="s">
        <v>15651</v>
      </c>
      <c r="D213" s="2" t="s">
        <v>15652</v>
      </c>
      <c r="E213" s="2" t="s">
        <v>15653</v>
      </c>
      <c r="F213" s="2" t="s">
        <v>15654</v>
      </c>
      <c r="G213" s="2" t="s">
        <v>15654</v>
      </c>
      <c r="H213" s="2" t="s">
        <v>72</v>
      </c>
      <c r="I213" s="2" t="s">
        <v>73</v>
      </c>
      <c r="J213" s="2" t="s">
        <v>2982</v>
      </c>
      <c r="K213" s="2" t="s">
        <v>15652</v>
      </c>
      <c r="L213" s="2"/>
      <c r="M213" s="2"/>
      <c r="N213" s="2"/>
      <c r="O213" s="2" t="s">
        <v>72</v>
      </c>
      <c r="P213" s="2" t="s">
        <v>73</v>
      </c>
      <c r="Q213" s="2" t="s">
        <v>2982</v>
      </c>
      <c r="R213" s="2" t="s">
        <v>7581</v>
      </c>
      <c r="S213" s="2" t="s">
        <v>44</v>
      </c>
      <c r="T213" s="2"/>
      <c r="U213" s="2" t="s">
        <v>821</v>
      </c>
      <c r="V213" s="2" t="s">
        <v>46</v>
      </c>
      <c r="W213" s="2" t="s">
        <v>821</v>
      </c>
      <c r="X213" s="2" t="s">
        <v>10787</v>
      </c>
      <c r="Y213" s="2" t="s">
        <v>10801</v>
      </c>
      <c r="Z213" s="2" t="s">
        <v>49</v>
      </c>
      <c r="AA213" s="2">
        <v>100</v>
      </c>
      <c r="AB213" s="2">
        <v>67</v>
      </c>
      <c r="AC213" s="2" t="s">
        <v>7865</v>
      </c>
      <c r="AD213" s="2" t="s">
        <v>15655</v>
      </c>
      <c r="AE213" s="2"/>
      <c r="AF213" s="2" t="s">
        <v>15038</v>
      </c>
      <c r="AG213" s="2" t="s">
        <v>14290</v>
      </c>
    </row>
    <row r="214" spans="1:33" x14ac:dyDescent="0.45">
      <c r="A214" s="2" t="s">
        <v>15656</v>
      </c>
      <c r="B214" s="2" t="s">
        <v>15657</v>
      </c>
      <c r="C214" s="2" t="s">
        <v>15658</v>
      </c>
      <c r="D214" s="2" t="s">
        <v>15659</v>
      </c>
      <c r="E214" s="2" t="s">
        <v>15660</v>
      </c>
      <c r="F214" s="2" t="s">
        <v>15661</v>
      </c>
      <c r="G214" s="2" t="s">
        <v>15661</v>
      </c>
      <c r="H214" s="2" t="s">
        <v>59</v>
      </c>
      <c r="I214" s="2" t="s">
        <v>60</v>
      </c>
      <c r="J214" s="2" t="s">
        <v>2323</v>
      </c>
      <c r="K214" s="2" t="s">
        <v>15659</v>
      </c>
      <c r="L214" s="2"/>
      <c r="M214" s="2"/>
      <c r="N214" s="2"/>
      <c r="O214" s="2" t="s">
        <v>59</v>
      </c>
      <c r="P214" s="2" t="s">
        <v>60</v>
      </c>
      <c r="Q214" s="2" t="s">
        <v>2323</v>
      </c>
      <c r="R214" s="2" t="s">
        <v>4876</v>
      </c>
      <c r="S214" s="2" t="s">
        <v>44</v>
      </c>
      <c r="T214" s="2"/>
      <c r="U214" s="2" t="s">
        <v>821</v>
      </c>
      <c r="V214" s="2" t="s">
        <v>46</v>
      </c>
      <c r="W214" s="2" t="s">
        <v>821</v>
      </c>
      <c r="X214" s="2" t="s">
        <v>10787</v>
      </c>
      <c r="Y214" s="2" t="s">
        <v>10801</v>
      </c>
      <c r="Z214" s="2" t="s">
        <v>49</v>
      </c>
      <c r="AA214" s="2">
        <v>100</v>
      </c>
      <c r="AB214" s="2">
        <v>67</v>
      </c>
      <c r="AC214" s="2" t="s">
        <v>7865</v>
      </c>
      <c r="AD214" s="2" t="s">
        <v>15662</v>
      </c>
      <c r="AE214" s="2"/>
      <c r="AF214" s="2" t="s">
        <v>15038</v>
      </c>
      <c r="AG214" s="2" t="s">
        <v>14290</v>
      </c>
    </row>
    <row r="215" spans="1:33" x14ac:dyDescent="0.45">
      <c r="A215" s="2" t="s">
        <v>15663</v>
      </c>
      <c r="B215" s="2" t="s">
        <v>15664</v>
      </c>
      <c r="C215" s="2" t="s">
        <v>15665</v>
      </c>
      <c r="D215" s="2" t="s">
        <v>15666</v>
      </c>
      <c r="E215" s="2" t="s">
        <v>15667</v>
      </c>
      <c r="F215" s="2" t="s">
        <v>15668</v>
      </c>
      <c r="G215" s="2" t="s">
        <v>15668</v>
      </c>
      <c r="H215" s="2" t="s">
        <v>290</v>
      </c>
      <c r="I215" s="2" t="s">
        <v>278</v>
      </c>
      <c r="J215" s="2" t="s">
        <v>291</v>
      </c>
      <c r="K215" s="2" t="s">
        <v>15666</v>
      </c>
      <c r="L215" s="2"/>
      <c r="M215" s="2"/>
      <c r="N215" s="2"/>
      <c r="O215" s="2" t="s">
        <v>290</v>
      </c>
      <c r="P215" s="2" t="s">
        <v>278</v>
      </c>
      <c r="Q215" s="2" t="s">
        <v>291</v>
      </c>
      <c r="R215" s="2" t="s">
        <v>3392</v>
      </c>
      <c r="S215" s="2" t="s">
        <v>44</v>
      </c>
      <c r="T215" s="2"/>
      <c r="U215" s="2" t="s">
        <v>821</v>
      </c>
      <c r="V215" s="2" t="s">
        <v>46</v>
      </c>
      <c r="W215" s="2" t="s">
        <v>821</v>
      </c>
      <c r="X215" s="2" t="s">
        <v>10787</v>
      </c>
      <c r="Y215" s="2" t="s">
        <v>10801</v>
      </c>
      <c r="Z215" s="2" t="s">
        <v>49</v>
      </c>
      <c r="AA215" s="2">
        <v>100</v>
      </c>
      <c r="AB215" s="2">
        <v>67</v>
      </c>
      <c r="AC215" s="2" t="s">
        <v>7865</v>
      </c>
      <c r="AD215" s="2" t="s">
        <v>15669</v>
      </c>
      <c r="AE215" s="2"/>
      <c r="AF215" s="2" t="s">
        <v>15038</v>
      </c>
      <c r="AG215" s="2" t="s">
        <v>14290</v>
      </c>
    </row>
    <row r="216" spans="1:33" x14ac:dyDescent="0.45">
      <c r="A216" s="2" t="s">
        <v>15670</v>
      </c>
      <c r="B216" s="2" t="s">
        <v>15671</v>
      </c>
      <c r="C216" s="2" t="s">
        <v>15672</v>
      </c>
      <c r="D216" s="2" t="s">
        <v>15673</v>
      </c>
      <c r="E216" s="2" t="s">
        <v>15674</v>
      </c>
      <c r="F216" s="2" t="s">
        <v>15675</v>
      </c>
      <c r="G216" s="2" t="s">
        <v>15675</v>
      </c>
      <c r="H216" s="2" t="s">
        <v>216</v>
      </c>
      <c r="I216" s="2" t="s">
        <v>217</v>
      </c>
      <c r="J216" s="2" t="s">
        <v>1151</v>
      </c>
      <c r="K216" s="2"/>
      <c r="L216" s="2"/>
      <c r="M216" s="2"/>
      <c r="N216" s="2"/>
      <c r="O216" s="2"/>
      <c r="P216" s="2"/>
      <c r="Q216" s="2"/>
      <c r="R216" s="2" t="s">
        <v>11131</v>
      </c>
      <c r="S216" s="2" t="s">
        <v>44</v>
      </c>
      <c r="T216" s="2"/>
      <c r="U216" s="2" t="s">
        <v>821</v>
      </c>
      <c r="V216" s="2" t="s">
        <v>46</v>
      </c>
      <c r="W216" s="2" t="s">
        <v>821</v>
      </c>
      <c r="X216" s="2" t="s">
        <v>10787</v>
      </c>
      <c r="Y216" s="2" t="s">
        <v>10801</v>
      </c>
      <c r="Z216" s="2" t="s">
        <v>49</v>
      </c>
      <c r="AA216" s="2">
        <v>100</v>
      </c>
      <c r="AB216" s="2">
        <v>67</v>
      </c>
      <c r="AC216" s="2" t="s">
        <v>7865</v>
      </c>
      <c r="AD216" s="2" t="s">
        <v>15676</v>
      </c>
      <c r="AE216" s="2"/>
      <c r="AF216" s="2" t="s">
        <v>15038</v>
      </c>
      <c r="AG216" s="2" t="s">
        <v>14290</v>
      </c>
    </row>
    <row r="217" spans="1:33" x14ac:dyDescent="0.45">
      <c r="A217" s="2" t="s">
        <v>15677</v>
      </c>
      <c r="B217" s="2" t="s">
        <v>15678</v>
      </c>
      <c r="C217" s="2" t="s">
        <v>15679</v>
      </c>
      <c r="D217" s="2" t="s">
        <v>15680</v>
      </c>
      <c r="E217" s="2" t="s">
        <v>15681</v>
      </c>
      <c r="F217" s="2" t="s">
        <v>15682</v>
      </c>
      <c r="G217" s="2" t="s">
        <v>15682</v>
      </c>
      <c r="H217" s="2" t="s">
        <v>1023</v>
      </c>
      <c r="I217" s="2" t="s">
        <v>73</v>
      </c>
      <c r="J217" s="2" t="s">
        <v>12204</v>
      </c>
      <c r="K217" s="2" t="s">
        <v>15683</v>
      </c>
      <c r="L217" s="2"/>
      <c r="M217" s="2"/>
      <c r="N217" s="2"/>
      <c r="O217" s="2" t="s">
        <v>1023</v>
      </c>
      <c r="P217" s="2" t="s">
        <v>73</v>
      </c>
      <c r="Q217" s="2" t="s">
        <v>12204</v>
      </c>
      <c r="R217" s="2" t="s">
        <v>1092</v>
      </c>
      <c r="S217" s="2" t="s">
        <v>44</v>
      </c>
      <c r="T217" s="2"/>
      <c r="U217" s="2" t="s">
        <v>821</v>
      </c>
      <c r="V217" s="2" t="s">
        <v>46</v>
      </c>
      <c r="W217" s="2" t="s">
        <v>821</v>
      </c>
      <c r="X217" s="2" t="s">
        <v>10787</v>
      </c>
      <c r="Y217" s="2" t="s">
        <v>10801</v>
      </c>
      <c r="Z217" s="2" t="s">
        <v>49</v>
      </c>
      <c r="AA217" s="2">
        <v>100</v>
      </c>
      <c r="AB217" s="2">
        <v>67</v>
      </c>
      <c r="AC217" s="2" t="s">
        <v>7865</v>
      </c>
      <c r="AD217" s="2" t="s">
        <v>15684</v>
      </c>
      <c r="AE217" s="2"/>
      <c r="AF217" s="2" t="s">
        <v>15038</v>
      </c>
      <c r="AG217" s="2" t="s">
        <v>14290</v>
      </c>
    </row>
    <row r="218" spans="1:33" x14ac:dyDescent="0.45">
      <c r="A218" s="2" t="s">
        <v>15685</v>
      </c>
      <c r="B218" s="2" t="s">
        <v>15686</v>
      </c>
      <c r="C218" s="2" t="s">
        <v>15687</v>
      </c>
      <c r="D218" s="2" t="s">
        <v>15688</v>
      </c>
      <c r="E218" s="2" t="s">
        <v>15689</v>
      </c>
      <c r="F218" s="2" t="s">
        <v>15690</v>
      </c>
      <c r="G218" s="2" t="s">
        <v>15690</v>
      </c>
      <c r="H218" s="2" t="s">
        <v>39</v>
      </c>
      <c r="I218" s="2" t="s">
        <v>40</v>
      </c>
      <c r="J218" s="2" t="s">
        <v>254</v>
      </c>
      <c r="K218" s="2"/>
      <c r="L218" s="2"/>
      <c r="M218" s="2"/>
      <c r="N218" s="2"/>
      <c r="O218" s="2"/>
      <c r="P218" s="2"/>
      <c r="Q218" s="2"/>
      <c r="R218" s="2" t="s">
        <v>3777</v>
      </c>
      <c r="S218" s="2" t="s">
        <v>44</v>
      </c>
      <c r="T218" s="2"/>
      <c r="U218" s="2" t="s">
        <v>821</v>
      </c>
      <c r="V218" s="2" t="s">
        <v>46</v>
      </c>
      <c r="W218" s="2" t="s">
        <v>821</v>
      </c>
      <c r="X218" s="2" t="s">
        <v>10787</v>
      </c>
      <c r="Y218" s="2" t="s">
        <v>10801</v>
      </c>
      <c r="Z218" s="2" t="s">
        <v>49</v>
      </c>
      <c r="AA218" s="2">
        <v>100</v>
      </c>
      <c r="AB218" s="2">
        <v>67</v>
      </c>
      <c r="AC218" s="2" t="s">
        <v>7865</v>
      </c>
      <c r="AD218" s="2" t="s">
        <v>15691</v>
      </c>
      <c r="AE218" s="2"/>
      <c r="AF218" s="2" t="s">
        <v>15038</v>
      </c>
      <c r="AG218" s="2" t="s">
        <v>14290</v>
      </c>
    </row>
    <row r="219" spans="1:33" x14ac:dyDescent="0.45">
      <c r="A219" s="2" t="s">
        <v>15692</v>
      </c>
      <c r="B219" s="2" t="s">
        <v>15693</v>
      </c>
      <c r="C219" s="2" t="s">
        <v>15694</v>
      </c>
      <c r="D219" s="2" t="s">
        <v>15695</v>
      </c>
      <c r="E219" s="2" t="s">
        <v>15696</v>
      </c>
      <c r="F219" s="2" t="s">
        <v>15697</v>
      </c>
      <c r="G219" s="2" t="s">
        <v>15697</v>
      </c>
      <c r="H219" s="2" t="s">
        <v>72</v>
      </c>
      <c r="I219" s="2" t="s">
        <v>73</v>
      </c>
      <c r="J219" s="2" t="s">
        <v>484</v>
      </c>
      <c r="K219" s="2" t="s">
        <v>15698</v>
      </c>
      <c r="L219" s="2"/>
      <c r="M219" s="2"/>
      <c r="N219" s="2"/>
      <c r="O219" s="2" t="s">
        <v>72</v>
      </c>
      <c r="P219" s="2" t="s">
        <v>73</v>
      </c>
      <c r="Q219" s="2" t="s">
        <v>1568</v>
      </c>
      <c r="R219" s="2" t="s">
        <v>5651</v>
      </c>
      <c r="S219" s="2" t="s">
        <v>44</v>
      </c>
      <c r="T219" s="2"/>
      <c r="U219" s="2" t="s">
        <v>821</v>
      </c>
      <c r="V219" s="2" t="s">
        <v>46</v>
      </c>
      <c r="W219" s="2" t="s">
        <v>821</v>
      </c>
      <c r="X219" s="2" t="s">
        <v>10787</v>
      </c>
      <c r="Y219" s="2" t="s">
        <v>10801</v>
      </c>
      <c r="Z219" s="2" t="s">
        <v>49</v>
      </c>
      <c r="AA219" s="2">
        <v>100</v>
      </c>
      <c r="AB219" s="2">
        <v>67</v>
      </c>
      <c r="AC219" s="2" t="s">
        <v>7865</v>
      </c>
      <c r="AD219" s="2" t="s">
        <v>15699</v>
      </c>
      <c r="AE219" s="2"/>
      <c r="AF219" s="2" t="s">
        <v>15038</v>
      </c>
      <c r="AG219" s="2" t="s">
        <v>14290</v>
      </c>
    </row>
    <row r="220" spans="1:33" x14ac:dyDescent="0.45">
      <c r="A220" s="2" t="s">
        <v>15700</v>
      </c>
      <c r="B220" s="2" t="s">
        <v>15701</v>
      </c>
      <c r="C220" s="2" t="s">
        <v>15702</v>
      </c>
      <c r="D220" s="2" t="s">
        <v>15703</v>
      </c>
      <c r="E220" s="2" t="s">
        <v>15704</v>
      </c>
      <c r="F220" s="2" t="s">
        <v>15705</v>
      </c>
      <c r="G220" s="2" t="s">
        <v>15705</v>
      </c>
      <c r="H220" s="2" t="s">
        <v>72</v>
      </c>
      <c r="I220" s="2" t="s">
        <v>73</v>
      </c>
      <c r="J220" s="2" t="s">
        <v>1568</v>
      </c>
      <c r="K220" s="2" t="s">
        <v>15706</v>
      </c>
      <c r="L220" s="2"/>
      <c r="M220" s="2"/>
      <c r="N220" s="2"/>
      <c r="O220" s="2" t="s">
        <v>72</v>
      </c>
      <c r="P220" s="2" t="s">
        <v>73</v>
      </c>
      <c r="Q220" s="2" t="s">
        <v>607</v>
      </c>
      <c r="R220" s="2" t="s">
        <v>763</v>
      </c>
      <c r="S220" s="2" t="s">
        <v>44</v>
      </c>
      <c r="T220" s="2"/>
      <c r="U220" s="2" t="s">
        <v>821</v>
      </c>
      <c r="V220" s="2" t="s">
        <v>46</v>
      </c>
      <c r="W220" s="2" t="s">
        <v>821</v>
      </c>
      <c r="X220" s="2" t="s">
        <v>10787</v>
      </c>
      <c r="Y220" s="2" t="s">
        <v>10801</v>
      </c>
      <c r="Z220" s="2" t="s">
        <v>49</v>
      </c>
      <c r="AA220" s="2">
        <v>100</v>
      </c>
      <c r="AB220" s="2">
        <v>67</v>
      </c>
      <c r="AC220" s="2" t="s">
        <v>7865</v>
      </c>
      <c r="AD220" s="2" t="s">
        <v>15707</v>
      </c>
      <c r="AE220" s="2"/>
      <c r="AF220" s="2" t="s">
        <v>15038</v>
      </c>
      <c r="AG220" s="2" t="s">
        <v>14290</v>
      </c>
    </row>
    <row r="221" spans="1:33" x14ac:dyDescent="0.45">
      <c r="A221" s="2" t="s">
        <v>15708</v>
      </c>
      <c r="B221" s="2" t="s">
        <v>15709</v>
      </c>
      <c r="C221" s="2" t="s">
        <v>15710</v>
      </c>
      <c r="D221" s="2" t="s">
        <v>15711</v>
      </c>
      <c r="E221" s="2" t="s">
        <v>15712</v>
      </c>
      <c r="F221" s="2" t="s">
        <v>15713</v>
      </c>
      <c r="G221" s="2" t="s">
        <v>15713</v>
      </c>
      <c r="H221" s="2" t="s">
        <v>72</v>
      </c>
      <c r="I221" s="2" t="s">
        <v>73</v>
      </c>
      <c r="J221" s="2" t="s">
        <v>7033</v>
      </c>
      <c r="K221" s="2" t="s">
        <v>15714</v>
      </c>
      <c r="L221" s="2"/>
      <c r="M221" s="2"/>
      <c r="N221" s="2"/>
      <c r="O221" s="2" t="s">
        <v>72</v>
      </c>
      <c r="P221" s="2" t="s">
        <v>73</v>
      </c>
      <c r="Q221" s="2" t="s">
        <v>7033</v>
      </c>
      <c r="R221" s="2" t="s">
        <v>3889</v>
      </c>
      <c r="S221" s="2" t="s">
        <v>44</v>
      </c>
      <c r="T221" s="2"/>
      <c r="U221" s="2" t="s">
        <v>821</v>
      </c>
      <c r="V221" s="2" t="s">
        <v>46</v>
      </c>
      <c r="W221" s="2" t="s">
        <v>821</v>
      </c>
      <c r="X221" s="2" t="s">
        <v>10787</v>
      </c>
      <c r="Y221" s="2" t="s">
        <v>10801</v>
      </c>
      <c r="Z221" s="2" t="s">
        <v>49</v>
      </c>
      <c r="AA221" s="2">
        <v>100</v>
      </c>
      <c r="AB221" s="2">
        <v>67</v>
      </c>
      <c r="AC221" s="2" t="s">
        <v>7865</v>
      </c>
      <c r="AD221" s="2" t="s">
        <v>15715</v>
      </c>
      <c r="AE221" s="2"/>
      <c r="AF221" s="2" t="s">
        <v>15038</v>
      </c>
      <c r="AG221" s="2" t="s">
        <v>14290</v>
      </c>
    </row>
    <row r="222" spans="1:33" x14ac:dyDescent="0.45">
      <c r="A222" s="2" t="s">
        <v>15716</v>
      </c>
      <c r="B222" s="2" t="s">
        <v>15717</v>
      </c>
      <c r="C222" s="2" t="s">
        <v>15718</v>
      </c>
      <c r="D222" s="2" t="s">
        <v>15719</v>
      </c>
      <c r="E222" s="2" t="s">
        <v>15720</v>
      </c>
      <c r="F222" s="2" t="s">
        <v>15721</v>
      </c>
      <c r="G222" s="2" t="s">
        <v>15721</v>
      </c>
      <c r="H222" s="2" t="s">
        <v>1188</v>
      </c>
      <c r="I222" s="2" t="s">
        <v>221</v>
      </c>
      <c r="J222" s="2" t="s">
        <v>1189</v>
      </c>
      <c r="K222" s="2"/>
      <c r="L222" s="2"/>
      <c r="M222" s="2"/>
      <c r="N222" s="2"/>
      <c r="O222" s="2"/>
      <c r="P222" s="2"/>
      <c r="Q222" s="2"/>
      <c r="R222" s="2" t="s">
        <v>6214</v>
      </c>
      <c r="S222" s="2" t="s">
        <v>44</v>
      </c>
      <c r="T222" s="2"/>
      <c r="U222" s="2" t="s">
        <v>821</v>
      </c>
      <c r="V222" s="2" t="s">
        <v>46</v>
      </c>
      <c r="W222" s="2" t="s">
        <v>821</v>
      </c>
      <c r="X222" s="2" t="s">
        <v>10787</v>
      </c>
      <c r="Y222" s="2" t="s">
        <v>10801</v>
      </c>
      <c r="Z222" s="2" t="s">
        <v>49</v>
      </c>
      <c r="AA222" s="2">
        <v>100</v>
      </c>
      <c r="AB222" s="2">
        <v>67</v>
      </c>
      <c r="AC222" s="2" t="s">
        <v>7865</v>
      </c>
      <c r="AD222" s="2" t="s">
        <v>15722</v>
      </c>
      <c r="AE222" s="2"/>
      <c r="AF222" s="2" t="s">
        <v>15038</v>
      </c>
      <c r="AG222" s="2" t="s">
        <v>14290</v>
      </c>
    </row>
    <row r="223" spans="1:33" x14ac:dyDescent="0.45">
      <c r="A223" s="2" t="s">
        <v>15723</v>
      </c>
      <c r="B223" s="2" t="s">
        <v>15724</v>
      </c>
      <c r="C223" s="2" t="s">
        <v>15725</v>
      </c>
      <c r="D223" s="2" t="s">
        <v>15726</v>
      </c>
      <c r="E223" s="2" t="s">
        <v>15727</v>
      </c>
      <c r="F223" s="2"/>
      <c r="G223" s="2"/>
      <c r="H223" s="2" t="s">
        <v>72</v>
      </c>
      <c r="I223" s="2" t="s">
        <v>73</v>
      </c>
      <c r="J223" s="2" t="s">
        <v>373</v>
      </c>
      <c r="K223" s="2" t="s">
        <v>15728</v>
      </c>
      <c r="L223" s="2"/>
      <c r="M223" s="2"/>
      <c r="N223" s="2"/>
      <c r="O223" s="2" t="s">
        <v>72</v>
      </c>
      <c r="P223" s="2" t="s">
        <v>73</v>
      </c>
      <c r="Q223" s="2" t="s">
        <v>373</v>
      </c>
      <c r="R223" s="2" t="s">
        <v>346</v>
      </c>
      <c r="S223" s="2" t="s">
        <v>44</v>
      </c>
      <c r="T223" s="2"/>
      <c r="U223" s="2" t="s">
        <v>821</v>
      </c>
      <c r="V223" s="2" t="s">
        <v>199</v>
      </c>
      <c r="W223" s="2" t="s">
        <v>821</v>
      </c>
      <c r="X223" s="2" t="s">
        <v>10787</v>
      </c>
      <c r="Y223" s="2" t="s">
        <v>10801</v>
      </c>
      <c r="Z223" s="2" t="s">
        <v>49</v>
      </c>
      <c r="AA223" s="2">
        <v>90</v>
      </c>
      <c r="AB223" s="2">
        <v>67</v>
      </c>
      <c r="AC223" s="2" t="s">
        <v>7865</v>
      </c>
      <c r="AD223" s="2" t="s">
        <v>15729</v>
      </c>
      <c r="AE223" s="2"/>
      <c r="AF223" s="2" t="s">
        <v>15038</v>
      </c>
      <c r="AG223" s="2" t="s">
        <v>14290</v>
      </c>
    </row>
    <row r="224" spans="1:33" x14ac:dyDescent="0.45">
      <c r="A224" s="2" t="s">
        <v>15031</v>
      </c>
      <c r="B224" s="2" t="s">
        <v>15730</v>
      </c>
      <c r="C224" s="2" t="s">
        <v>15731</v>
      </c>
      <c r="D224" s="2" t="s">
        <v>15732</v>
      </c>
      <c r="E224" s="2" t="s">
        <v>15733</v>
      </c>
      <c r="F224" s="2"/>
      <c r="G224" s="2"/>
      <c r="H224" s="2" t="s">
        <v>384</v>
      </c>
      <c r="I224" s="2" t="s">
        <v>73</v>
      </c>
      <c r="J224" s="2" t="s">
        <v>385</v>
      </c>
      <c r="K224" s="2" t="s">
        <v>15732</v>
      </c>
      <c r="L224" s="2"/>
      <c r="M224" s="2"/>
      <c r="N224" s="2"/>
      <c r="O224" s="2" t="s">
        <v>384</v>
      </c>
      <c r="P224" s="2" t="s">
        <v>73</v>
      </c>
      <c r="Q224" s="2" t="s">
        <v>385</v>
      </c>
      <c r="R224" s="2" t="s">
        <v>8140</v>
      </c>
      <c r="S224" s="2" t="s">
        <v>44</v>
      </c>
      <c r="T224" s="2"/>
      <c r="U224" s="2" t="s">
        <v>821</v>
      </c>
      <c r="V224" s="2" t="s">
        <v>199</v>
      </c>
      <c r="W224" s="2" t="s">
        <v>821</v>
      </c>
      <c r="X224" s="2" t="s">
        <v>10787</v>
      </c>
      <c r="Y224" s="2" t="s">
        <v>10801</v>
      </c>
      <c r="Z224" s="2" t="s">
        <v>49</v>
      </c>
      <c r="AA224" s="2">
        <v>90</v>
      </c>
      <c r="AB224" s="2">
        <v>67</v>
      </c>
      <c r="AC224" s="2" t="s">
        <v>7865</v>
      </c>
      <c r="AD224" s="2" t="s">
        <v>15037</v>
      </c>
      <c r="AE224" s="2"/>
      <c r="AF224" s="2" t="s">
        <v>15327</v>
      </c>
      <c r="AG224" s="2" t="s">
        <v>14290</v>
      </c>
    </row>
    <row r="225" spans="1:33" x14ac:dyDescent="0.45">
      <c r="A225" s="2" t="s">
        <v>15734</v>
      </c>
      <c r="B225" s="2" t="s">
        <v>15735</v>
      </c>
      <c r="C225" s="2" t="s">
        <v>15736</v>
      </c>
      <c r="D225" s="2" t="s">
        <v>15737</v>
      </c>
      <c r="E225" s="2" t="s">
        <v>15738</v>
      </c>
      <c r="F225" s="2"/>
      <c r="G225" s="2"/>
      <c r="H225" s="2" t="s">
        <v>384</v>
      </c>
      <c r="I225" s="2" t="s">
        <v>73</v>
      </c>
      <c r="J225" s="2" t="s">
        <v>15739</v>
      </c>
      <c r="K225" s="2" t="s">
        <v>15740</v>
      </c>
      <c r="L225" s="2"/>
      <c r="M225" s="2"/>
      <c r="N225" s="2"/>
      <c r="O225" s="2" t="s">
        <v>384</v>
      </c>
      <c r="P225" s="2" t="s">
        <v>73</v>
      </c>
      <c r="Q225" s="2" t="s">
        <v>5329</v>
      </c>
      <c r="R225" s="2" t="s">
        <v>13417</v>
      </c>
      <c r="S225" s="2" t="s">
        <v>44</v>
      </c>
      <c r="T225" s="2"/>
      <c r="U225" s="2" t="s">
        <v>821</v>
      </c>
      <c r="V225" s="2" t="s">
        <v>199</v>
      </c>
      <c r="W225" s="2" t="s">
        <v>821</v>
      </c>
      <c r="X225" s="2" t="s">
        <v>10787</v>
      </c>
      <c r="Y225" s="2" t="s">
        <v>10801</v>
      </c>
      <c r="Z225" s="2" t="s">
        <v>49</v>
      </c>
      <c r="AA225" s="2">
        <v>90</v>
      </c>
      <c r="AB225" s="2">
        <v>67</v>
      </c>
      <c r="AC225" s="2" t="s">
        <v>7865</v>
      </c>
      <c r="AD225" s="2" t="s">
        <v>15741</v>
      </c>
      <c r="AE225" s="2"/>
      <c r="AF225" s="2" t="s">
        <v>15038</v>
      </c>
      <c r="AG225" s="2" t="s">
        <v>14290</v>
      </c>
    </row>
    <row r="226" spans="1:33" x14ac:dyDescent="0.45">
      <c r="A226" s="2" t="s">
        <v>15742</v>
      </c>
      <c r="B226" s="2" t="s">
        <v>15743</v>
      </c>
      <c r="C226" s="2" t="s">
        <v>15744</v>
      </c>
      <c r="D226" s="2" t="s">
        <v>15745</v>
      </c>
      <c r="E226" s="2" t="s">
        <v>15746</v>
      </c>
      <c r="F226" s="2" t="s">
        <v>15747</v>
      </c>
      <c r="G226" s="2" t="s">
        <v>15747</v>
      </c>
      <c r="H226" s="2" t="s">
        <v>6051</v>
      </c>
      <c r="I226" s="2" t="s">
        <v>6051</v>
      </c>
      <c r="J226" s="2" t="s">
        <v>6052</v>
      </c>
      <c r="K226" s="2" t="s">
        <v>15748</v>
      </c>
      <c r="L226" s="2"/>
      <c r="M226" s="2"/>
      <c r="N226" s="2"/>
      <c r="O226" s="2" t="s">
        <v>59</v>
      </c>
      <c r="P226" s="2" t="s">
        <v>60</v>
      </c>
      <c r="Q226" s="2" t="s">
        <v>15434</v>
      </c>
      <c r="R226" s="2" t="s">
        <v>11398</v>
      </c>
      <c r="S226" s="2" t="s">
        <v>44</v>
      </c>
      <c r="T226" s="2"/>
      <c r="U226" s="2" t="s">
        <v>45</v>
      </c>
      <c r="V226" s="2" t="s">
        <v>46</v>
      </c>
      <c r="W226" s="2" t="s">
        <v>45</v>
      </c>
      <c r="X226" s="2" t="s">
        <v>10787</v>
      </c>
      <c r="Y226" s="2" t="s">
        <v>10801</v>
      </c>
      <c r="Z226" s="2" t="s">
        <v>49</v>
      </c>
      <c r="AA226" s="2">
        <v>100</v>
      </c>
      <c r="AB226" s="2">
        <v>65</v>
      </c>
      <c r="AC226" s="2" t="s">
        <v>7865</v>
      </c>
      <c r="AD226" s="2" t="s">
        <v>15749</v>
      </c>
      <c r="AE226" s="2"/>
      <c r="AF226" s="2" t="s">
        <v>15038</v>
      </c>
      <c r="AG226" s="2" t="s">
        <v>14290</v>
      </c>
    </row>
    <row r="227" spans="1:33" x14ac:dyDescent="0.45">
      <c r="A227" s="2" t="s">
        <v>15750</v>
      </c>
      <c r="B227" s="2" t="s">
        <v>15751</v>
      </c>
      <c r="C227" s="2" t="s">
        <v>15752</v>
      </c>
      <c r="D227" s="2" t="s">
        <v>15753</v>
      </c>
      <c r="E227" s="2" t="s">
        <v>15754</v>
      </c>
      <c r="F227" s="2" t="s">
        <v>15755</v>
      </c>
      <c r="G227" s="2" t="s">
        <v>15755</v>
      </c>
      <c r="H227" s="2" t="s">
        <v>2962</v>
      </c>
      <c r="I227" s="2" t="s">
        <v>73</v>
      </c>
      <c r="J227" s="2" t="s">
        <v>15756</v>
      </c>
      <c r="K227" s="2" t="s">
        <v>15757</v>
      </c>
      <c r="L227" s="2"/>
      <c r="M227" s="2"/>
      <c r="N227" s="2"/>
      <c r="O227" s="2" t="s">
        <v>2962</v>
      </c>
      <c r="P227" s="2" t="s">
        <v>73</v>
      </c>
      <c r="Q227" s="2" t="s">
        <v>15756</v>
      </c>
      <c r="R227" s="2" t="s">
        <v>15451</v>
      </c>
      <c r="S227" s="2" t="s">
        <v>44</v>
      </c>
      <c r="T227" s="2"/>
      <c r="U227" s="2" t="s">
        <v>45</v>
      </c>
      <c r="V227" s="2" t="s">
        <v>46</v>
      </c>
      <c r="W227" s="2" t="s">
        <v>45</v>
      </c>
      <c r="X227" s="2" t="s">
        <v>10787</v>
      </c>
      <c r="Y227" s="2" t="s">
        <v>10801</v>
      </c>
      <c r="Z227" s="2" t="s">
        <v>49</v>
      </c>
      <c r="AA227" s="2">
        <v>100</v>
      </c>
      <c r="AB227" s="2">
        <v>65</v>
      </c>
      <c r="AC227" s="2" t="s">
        <v>7865</v>
      </c>
      <c r="AD227" s="2" t="s">
        <v>15758</v>
      </c>
      <c r="AE227" s="2"/>
      <c r="AF227" s="2" t="s">
        <v>15038</v>
      </c>
      <c r="AG227" s="2" t="s">
        <v>14290</v>
      </c>
    </row>
    <row r="228" spans="1:33" x14ac:dyDescent="0.45">
      <c r="A228" s="2" t="s">
        <v>15759</v>
      </c>
      <c r="B228" s="2" t="s">
        <v>15760</v>
      </c>
      <c r="C228" s="2" t="s">
        <v>273</v>
      </c>
      <c r="D228" s="2" t="s">
        <v>15761</v>
      </c>
      <c r="E228" s="2" t="s">
        <v>15762</v>
      </c>
      <c r="F228" s="2" t="s">
        <v>15763</v>
      </c>
      <c r="G228" s="2" t="s">
        <v>15763</v>
      </c>
      <c r="H228" s="2" t="s">
        <v>1148</v>
      </c>
      <c r="I228" s="2" t="s">
        <v>278</v>
      </c>
      <c r="J228" s="2" t="s">
        <v>1149</v>
      </c>
      <c r="K228" s="2" t="s">
        <v>15764</v>
      </c>
      <c r="L228" s="2"/>
      <c r="M228" s="2"/>
      <c r="N228" s="2"/>
      <c r="O228" s="2" t="s">
        <v>277</v>
      </c>
      <c r="P228" s="2" t="s">
        <v>278</v>
      </c>
      <c r="Q228" s="2" t="s">
        <v>1546</v>
      </c>
      <c r="R228" s="2" t="s">
        <v>2857</v>
      </c>
      <c r="S228" s="2" t="s">
        <v>44</v>
      </c>
      <c r="T228" s="2"/>
      <c r="U228" s="2" t="s">
        <v>45</v>
      </c>
      <c r="V228" s="2" t="s">
        <v>46</v>
      </c>
      <c r="W228" s="2" t="s">
        <v>45</v>
      </c>
      <c r="X228" s="2" t="s">
        <v>10787</v>
      </c>
      <c r="Y228" s="2" t="s">
        <v>10801</v>
      </c>
      <c r="Z228" s="2" t="s">
        <v>49</v>
      </c>
      <c r="AA228" s="2">
        <v>100</v>
      </c>
      <c r="AB228" s="2">
        <v>65</v>
      </c>
      <c r="AC228" s="2" t="s">
        <v>7865</v>
      </c>
      <c r="AD228" s="2" t="s">
        <v>15765</v>
      </c>
      <c r="AE228" s="2"/>
      <c r="AF228" s="2" t="s">
        <v>15038</v>
      </c>
      <c r="AG228" s="2" t="s">
        <v>14290</v>
      </c>
    </row>
    <row r="229" spans="1:33" x14ac:dyDescent="0.45">
      <c r="A229" s="2" t="s">
        <v>15766</v>
      </c>
      <c r="B229" s="2" t="s">
        <v>15767</v>
      </c>
      <c r="C229" s="2" t="s">
        <v>15768</v>
      </c>
      <c r="D229" s="2" t="s">
        <v>15769</v>
      </c>
      <c r="E229" s="2" t="s">
        <v>15770</v>
      </c>
      <c r="F229" s="2" t="s">
        <v>15771</v>
      </c>
      <c r="G229" s="2" t="s">
        <v>15771</v>
      </c>
      <c r="H229" s="2" t="s">
        <v>1136</v>
      </c>
      <c r="I229" s="2" t="s">
        <v>1137</v>
      </c>
      <c r="J229" s="2" t="s">
        <v>15772</v>
      </c>
      <c r="K229" s="2" t="s">
        <v>15773</v>
      </c>
      <c r="L229" s="2"/>
      <c r="M229" s="2"/>
      <c r="N229" s="2"/>
      <c r="O229" s="2" t="s">
        <v>1136</v>
      </c>
      <c r="P229" s="2" t="s">
        <v>1137</v>
      </c>
      <c r="Q229" s="2" t="s">
        <v>15772</v>
      </c>
      <c r="R229" s="2" t="s">
        <v>711</v>
      </c>
      <c r="S229" s="2" t="s">
        <v>44</v>
      </c>
      <c r="T229" s="2"/>
      <c r="U229" s="2" t="s">
        <v>45</v>
      </c>
      <c r="V229" s="2" t="s">
        <v>46</v>
      </c>
      <c r="W229" s="2" t="s">
        <v>45</v>
      </c>
      <c r="X229" s="2" t="s">
        <v>10787</v>
      </c>
      <c r="Y229" s="2" t="s">
        <v>10801</v>
      </c>
      <c r="Z229" s="2" t="s">
        <v>49</v>
      </c>
      <c r="AA229" s="2">
        <v>100</v>
      </c>
      <c r="AB229" s="2">
        <v>65</v>
      </c>
      <c r="AC229" s="2" t="s">
        <v>7865</v>
      </c>
      <c r="AD229" s="2" t="s">
        <v>15774</v>
      </c>
      <c r="AE229" s="2"/>
      <c r="AF229" s="2" t="s">
        <v>15038</v>
      </c>
      <c r="AG229" s="2" t="s">
        <v>14290</v>
      </c>
    </row>
    <row r="230" spans="1:33" x14ac:dyDescent="0.45">
      <c r="A230" s="2" t="s">
        <v>15775</v>
      </c>
      <c r="B230" s="2" t="s">
        <v>15776</v>
      </c>
      <c r="C230" s="2" t="s">
        <v>15775</v>
      </c>
      <c r="D230" s="2" t="s">
        <v>15777</v>
      </c>
      <c r="E230" s="2" t="s">
        <v>15778</v>
      </c>
      <c r="F230" s="2" t="s">
        <v>15779</v>
      </c>
      <c r="G230" s="2" t="s">
        <v>15779</v>
      </c>
      <c r="H230" s="2" t="s">
        <v>8495</v>
      </c>
      <c r="I230" s="2" t="s">
        <v>8496</v>
      </c>
      <c r="J230" s="2" t="s">
        <v>14128</v>
      </c>
      <c r="K230" s="2" t="s">
        <v>15777</v>
      </c>
      <c r="L230" s="2"/>
      <c r="M230" s="2"/>
      <c r="N230" s="2"/>
      <c r="O230" s="2" t="s">
        <v>8495</v>
      </c>
      <c r="P230" s="2" t="s">
        <v>8496</v>
      </c>
      <c r="Q230" s="2" t="s">
        <v>14128</v>
      </c>
      <c r="R230" s="2" t="s">
        <v>4810</v>
      </c>
      <c r="S230" s="2" t="s">
        <v>44</v>
      </c>
      <c r="T230" s="2"/>
      <c r="U230" s="2" t="s">
        <v>3527</v>
      </c>
      <c r="V230" s="2" t="s">
        <v>46</v>
      </c>
      <c r="W230" s="2" t="s">
        <v>3527</v>
      </c>
      <c r="X230" s="2" t="s">
        <v>15015</v>
      </c>
      <c r="Y230" s="2" t="s">
        <v>48</v>
      </c>
      <c r="Z230" s="2" t="s">
        <v>7864</v>
      </c>
      <c r="AA230" s="2">
        <v>100</v>
      </c>
      <c r="AB230" s="2">
        <v>65</v>
      </c>
      <c r="AC230" s="2" t="s">
        <v>7865</v>
      </c>
      <c r="AD230" s="2" t="s">
        <v>15017</v>
      </c>
      <c r="AE230" s="2"/>
      <c r="AF230" s="2" t="s">
        <v>14289</v>
      </c>
      <c r="AG230" s="2" t="s">
        <v>14290</v>
      </c>
    </row>
    <row r="231" spans="1:33" x14ac:dyDescent="0.45">
      <c r="A231" s="2" t="s">
        <v>15780</v>
      </c>
      <c r="B231" s="2" t="s">
        <v>15781</v>
      </c>
      <c r="C231" s="2" t="s">
        <v>8625</v>
      </c>
      <c r="D231" s="2" t="s">
        <v>15782</v>
      </c>
      <c r="E231" s="2" t="s">
        <v>8627</v>
      </c>
      <c r="F231" s="2" t="s">
        <v>709</v>
      </c>
      <c r="G231" s="2" t="s">
        <v>709</v>
      </c>
      <c r="H231" s="2" t="s">
        <v>1115</v>
      </c>
      <c r="I231" s="2" t="s">
        <v>1112</v>
      </c>
      <c r="J231" s="2" t="s">
        <v>1113</v>
      </c>
      <c r="K231" s="2"/>
      <c r="L231" s="2"/>
      <c r="M231" s="2"/>
      <c r="N231" s="2"/>
      <c r="O231" s="2"/>
      <c r="P231" s="2"/>
      <c r="Q231" s="2"/>
      <c r="R231" s="2" t="s">
        <v>1082</v>
      </c>
      <c r="S231" s="2" t="s">
        <v>44</v>
      </c>
      <c r="T231" s="2"/>
      <c r="U231" s="2" t="s">
        <v>3527</v>
      </c>
      <c r="V231" s="2" t="s">
        <v>46</v>
      </c>
      <c r="W231" s="2" t="s">
        <v>3527</v>
      </c>
      <c r="X231" s="2" t="s">
        <v>8630</v>
      </c>
      <c r="Y231" s="2" t="s">
        <v>48</v>
      </c>
      <c r="Z231" s="2" t="s">
        <v>7864</v>
      </c>
      <c r="AA231" s="2">
        <v>100</v>
      </c>
      <c r="AB231" s="2">
        <v>65</v>
      </c>
      <c r="AC231" s="2" t="s">
        <v>7865</v>
      </c>
      <c r="AD231" s="2" t="s">
        <v>8631</v>
      </c>
      <c r="AE231" s="2"/>
      <c r="AF231" s="2" t="s">
        <v>14289</v>
      </c>
      <c r="AG231" s="2" t="s">
        <v>14290</v>
      </c>
    </row>
    <row r="232" spans="1:33" x14ac:dyDescent="0.45">
      <c r="A232" s="2" t="s">
        <v>15148</v>
      </c>
      <c r="B232" s="2" t="s">
        <v>15783</v>
      </c>
      <c r="C232" s="2" t="s">
        <v>15784</v>
      </c>
      <c r="D232" s="2" t="s">
        <v>15785</v>
      </c>
      <c r="E232" s="2" t="s">
        <v>15786</v>
      </c>
      <c r="F232" s="2" t="s">
        <v>3562</v>
      </c>
      <c r="G232" s="2" t="s">
        <v>3562</v>
      </c>
      <c r="H232" s="2" t="s">
        <v>2962</v>
      </c>
      <c r="I232" s="2" t="s">
        <v>73</v>
      </c>
      <c r="J232" s="2" t="s">
        <v>15154</v>
      </c>
      <c r="K232" s="2" t="s">
        <v>15785</v>
      </c>
      <c r="L232" s="2"/>
      <c r="M232" s="2"/>
      <c r="N232" s="2"/>
      <c r="O232" s="2" t="s">
        <v>2962</v>
      </c>
      <c r="P232" s="2" t="s">
        <v>73</v>
      </c>
      <c r="Q232" s="2" t="s">
        <v>15154</v>
      </c>
      <c r="R232" s="2" t="s">
        <v>5594</v>
      </c>
      <c r="S232" s="2" t="s">
        <v>44</v>
      </c>
      <c r="T232" s="2"/>
      <c r="U232" s="2" t="s">
        <v>3527</v>
      </c>
      <c r="V232" s="2" t="s">
        <v>199</v>
      </c>
      <c r="W232" s="2" t="s">
        <v>3527</v>
      </c>
      <c r="X232" s="2" t="s">
        <v>10787</v>
      </c>
      <c r="Y232" s="2" t="s">
        <v>10801</v>
      </c>
      <c r="Z232" s="2" t="s">
        <v>49</v>
      </c>
      <c r="AA232" s="2">
        <v>100</v>
      </c>
      <c r="AB232" s="2">
        <v>65</v>
      </c>
      <c r="AC232" s="2" t="s">
        <v>7865</v>
      </c>
      <c r="AD232" s="2" t="s">
        <v>15155</v>
      </c>
      <c r="AE232" s="2"/>
      <c r="AF232" s="2" t="s">
        <v>15327</v>
      </c>
      <c r="AG232" s="2" t="s">
        <v>14290</v>
      </c>
    </row>
    <row r="233" spans="1:33" x14ac:dyDescent="0.45">
      <c r="A233" s="2" t="s">
        <v>15787</v>
      </c>
      <c r="B233" s="2" t="s">
        <v>15788</v>
      </c>
      <c r="C233" s="2" t="s">
        <v>15789</v>
      </c>
      <c r="D233" s="2" t="s">
        <v>15790</v>
      </c>
      <c r="E233" s="2" t="s">
        <v>15791</v>
      </c>
      <c r="F233" s="2" t="s">
        <v>15792</v>
      </c>
      <c r="G233" s="2" t="s">
        <v>15792</v>
      </c>
      <c r="H233" s="2" t="s">
        <v>8544</v>
      </c>
      <c r="I233" s="2" t="s">
        <v>73</v>
      </c>
      <c r="J233" s="2" t="s">
        <v>15793</v>
      </c>
      <c r="K233" s="2" t="s">
        <v>15794</v>
      </c>
      <c r="L233" s="2"/>
      <c r="M233" s="2"/>
      <c r="N233" s="2"/>
      <c r="O233" s="2" t="s">
        <v>8544</v>
      </c>
      <c r="P233" s="2" t="s">
        <v>73</v>
      </c>
      <c r="Q233" s="2" t="s">
        <v>15793</v>
      </c>
      <c r="R233" s="2" t="s">
        <v>1199</v>
      </c>
      <c r="S233" s="2" t="s">
        <v>44</v>
      </c>
      <c r="T233" s="2"/>
      <c r="U233" s="2" t="s">
        <v>3527</v>
      </c>
      <c r="V233" s="2" t="s">
        <v>46</v>
      </c>
      <c r="W233" s="2" t="s">
        <v>3527</v>
      </c>
      <c r="X233" s="2" t="s">
        <v>15795</v>
      </c>
      <c r="Y233" s="2" t="s">
        <v>48</v>
      </c>
      <c r="Z233" s="2" t="s">
        <v>15016</v>
      </c>
      <c r="AA233" s="2">
        <v>100</v>
      </c>
      <c r="AB233" s="2">
        <v>63</v>
      </c>
      <c r="AC233" s="2" t="s">
        <v>9685</v>
      </c>
      <c r="AD233" s="2" t="s">
        <v>15796</v>
      </c>
      <c r="AE233" s="2"/>
      <c r="AF233" s="2" t="s">
        <v>15018</v>
      </c>
      <c r="AG233" s="2" t="s">
        <v>14290</v>
      </c>
    </row>
    <row r="234" spans="1:33" x14ac:dyDescent="0.45">
      <c r="A234" s="2" t="s">
        <v>15797</v>
      </c>
      <c r="B234" s="2" t="s">
        <v>15798</v>
      </c>
      <c r="C234" s="2" t="s">
        <v>15799</v>
      </c>
      <c r="D234" s="2" t="s">
        <v>15800</v>
      </c>
      <c r="E234" s="2" t="s">
        <v>15801</v>
      </c>
      <c r="F234" s="2" t="s">
        <v>15802</v>
      </c>
      <c r="G234" s="2" t="s">
        <v>15802</v>
      </c>
      <c r="H234" s="2" t="s">
        <v>1161</v>
      </c>
      <c r="I234" s="2" t="s">
        <v>221</v>
      </c>
      <c r="J234" s="2" t="s">
        <v>1162</v>
      </c>
      <c r="K234" s="2"/>
      <c r="L234" s="2"/>
      <c r="M234" s="2"/>
      <c r="N234" s="2"/>
      <c r="O234" s="2"/>
      <c r="P234" s="2"/>
      <c r="Q234" s="2"/>
      <c r="R234" s="2" t="s">
        <v>9551</v>
      </c>
      <c r="S234" s="2" t="s">
        <v>44</v>
      </c>
      <c r="T234" s="2"/>
      <c r="U234" s="2" t="s">
        <v>3527</v>
      </c>
      <c r="V234" s="2" t="s">
        <v>46</v>
      </c>
      <c r="W234" s="2" t="s">
        <v>3527</v>
      </c>
      <c r="X234" s="2" t="s">
        <v>15803</v>
      </c>
      <c r="Y234" s="2" t="s">
        <v>48</v>
      </c>
      <c r="Z234" s="2" t="s">
        <v>15016</v>
      </c>
      <c r="AA234" s="2">
        <v>100</v>
      </c>
      <c r="AB234" s="2">
        <v>63</v>
      </c>
      <c r="AC234" s="2" t="s">
        <v>9685</v>
      </c>
      <c r="AD234" s="2" t="s">
        <v>15804</v>
      </c>
      <c r="AE234" s="2"/>
      <c r="AF234" s="2" t="s">
        <v>15018</v>
      </c>
      <c r="AG234" s="2" t="s">
        <v>14290</v>
      </c>
    </row>
    <row r="235" spans="1:33" x14ac:dyDescent="0.45">
      <c r="A235" s="2" t="s">
        <v>15805</v>
      </c>
      <c r="B235" s="2" t="s">
        <v>15806</v>
      </c>
      <c r="C235" s="2" t="s">
        <v>15807</v>
      </c>
      <c r="D235" s="2" t="s">
        <v>15808</v>
      </c>
      <c r="E235" s="2" t="s">
        <v>15809</v>
      </c>
      <c r="F235" s="2" t="s">
        <v>15810</v>
      </c>
      <c r="G235" s="2" t="s">
        <v>15810</v>
      </c>
      <c r="H235" s="2" t="s">
        <v>6051</v>
      </c>
      <c r="I235" s="2" t="s">
        <v>6051</v>
      </c>
      <c r="J235" s="2" t="s">
        <v>15811</v>
      </c>
      <c r="K235" s="2" t="s">
        <v>15808</v>
      </c>
      <c r="L235" s="2"/>
      <c r="M235" s="2"/>
      <c r="N235" s="2"/>
      <c r="O235" s="2" t="s">
        <v>6051</v>
      </c>
      <c r="P235" s="2" t="s">
        <v>6051</v>
      </c>
      <c r="Q235" s="2" t="s">
        <v>15811</v>
      </c>
      <c r="R235" s="2" t="s">
        <v>580</v>
      </c>
      <c r="S235" s="2" t="s">
        <v>44</v>
      </c>
      <c r="T235" s="2"/>
      <c r="U235" s="2" t="s">
        <v>821</v>
      </c>
      <c r="V235" s="2" t="s">
        <v>46</v>
      </c>
      <c r="W235" s="2" t="s">
        <v>821</v>
      </c>
      <c r="X235" s="2" t="s">
        <v>10787</v>
      </c>
      <c r="Y235" s="2" t="s">
        <v>10801</v>
      </c>
      <c r="Z235" s="2" t="s">
        <v>49</v>
      </c>
      <c r="AA235" s="2">
        <v>100</v>
      </c>
      <c r="AB235" s="2">
        <v>62</v>
      </c>
      <c r="AC235" s="2" t="s">
        <v>9685</v>
      </c>
      <c r="AD235" s="2" t="s">
        <v>15812</v>
      </c>
      <c r="AE235" s="2"/>
      <c r="AF235" s="2" t="s">
        <v>15038</v>
      </c>
      <c r="AG235" s="2" t="s">
        <v>14290</v>
      </c>
    </row>
    <row r="236" spans="1:33" x14ac:dyDescent="0.45">
      <c r="A236" s="2" t="s">
        <v>15813</v>
      </c>
      <c r="B236" s="2" t="s">
        <v>15814</v>
      </c>
      <c r="C236" s="2" t="s">
        <v>15815</v>
      </c>
      <c r="D236" s="2" t="s">
        <v>15816</v>
      </c>
      <c r="E236" s="2" t="s">
        <v>15817</v>
      </c>
      <c r="F236" s="2" t="s">
        <v>15818</v>
      </c>
      <c r="G236" s="2" t="s">
        <v>15818</v>
      </c>
      <c r="H236" s="2" t="s">
        <v>8506</v>
      </c>
      <c r="I236" s="2" t="s">
        <v>221</v>
      </c>
      <c r="J236" s="2" t="s">
        <v>8507</v>
      </c>
      <c r="K236" s="2" t="s">
        <v>15816</v>
      </c>
      <c r="L236" s="2"/>
      <c r="M236" s="2"/>
      <c r="N236" s="2"/>
      <c r="O236" s="2" t="s">
        <v>8506</v>
      </c>
      <c r="P236" s="2" t="s">
        <v>221</v>
      </c>
      <c r="Q236" s="2" t="s">
        <v>8507</v>
      </c>
      <c r="R236" s="2" t="s">
        <v>15819</v>
      </c>
      <c r="S236" s="2" t="s">
        <v>44</v>
      </c>
      <c r="T236" s="2"/>
      <c r="U236" s="2" t="s">
        <v>821</v>
      </c>
      <c r="V236" s="2" t="s">
        <v>46</v>
      </c>
      <c r="W236" s="2" t="s">
        <v>821</v>
      </c>
      <c r="X236" s="2" t="s">
        <v>10787</v>
      </c>
      <c r="Y236" s="2" t="s">
        <v>10801</v>
      </c>
      <c r="Z236" s="2" t="s">
        <v>49</v>
      </c>
      <c r="AA236" s="2">
        <v>100</v>
      </c>
      <c r="AB236" s="2">
        <v>62</v>
      </c>
      <c r="AC236" s="2" t="s">
        <v>9685</v>
      </c>
      <c r="AD236" s="2" t="s">
        <v>15820</v>
      </c>
      <c r="AE236" s="2"/>
      <c r="AF236" s="2" t="s">
        <v>15038</v>
      </c>
      <c r="AG236" s="2" t="s">
        <v>14290</v>
      </c>
    </row>
    <row r="237" spans="1:33" x14ac:dyDescent="0.45">
      <c r="A237" s="2" t="s">
        <v>15821</v>
      </c>
      <c r="B237" s="2" t="s">
        <v>15822</v>
      </c>
      <c r="C237" s="2" t="s">
        <v>15823</v>
      </c>
      <c r="D237" s="2" t="s">
        <v>15824</v>
      </c>
      <c r="E237" s="2" t="s">
        <v>15825</v>
      </c>
      <c r="F237" s="2" t="s">
        <v>15826</v>
      </c>
      <c r="G237" s="2" t="s">
        <v>15826</v>
      </c>
      <c r="H237" s="2" t="s">
        <v>1208</v>
      </c>
      <c r="I237" s="2" t="s">
        <v>1209</v>
      </c>
      <c r="J237" s="2" t="s">
        <v>1210</v>
      </c>
      <c r="K237" s="2" t="s">
        <v>15827</v>
      </c>
      <c r="L237" s="2"/>
      <c r="M237" s="2"/>
      <c r="N237" s="2"/>
      <c r="O237" s="2" t="s">
        <v>1208</v>
      </c>
      <c r="P237" s="2" t="s">
        <v>1209</v>
      </c>
      <c r="Q237" s="2" t="s">
        <v>1210</v>
      </c>
      <c r="R237" s="2" t="s">
        <v>4956</v>
      </c>
      <c r="S237" s="2" t="s">
        <v>44</v>
      </c>
      <c r="T237" s="2"/>
      <c r="U237" s="2" t="s">
        <v>821</v>
      </c>
      <c r="V237" s="2" t="s">
        <v>46</v>
      </c>
      <c r="W237" s="2" t="s">
        <v>821</v>
      </c>
      <c r="X237" s="2" t="s">
        <v>10787</v>
      </c>
      <c r="Y237" s="2" t="s">
        <v>10801</v>
      </c>
      <c r="Z237" s="2" t="s">
        <v>49</v>
      </c>
      <c r="AA237" s="2">
        <v>100</v>
      </c>
      <c r="AB237" s="2">
        <v>62</v>
      </c>
      <c r="AC237" s="2" t="s">
        <v>9685</v>
      </c>
      <c r="AD237" s="2" t="s">
        <v>15828</v>
      </c>
      <c r="AE237" s="2"/>
      <c r="AF237" s="2" t="s">
        <v>15038</v>
      </c>
      <c r="AG237" s="2" t="s">
        <v>14290</v>
      </c>
    </row>
    <row r="238" spans="1:33" x14ac:dyDescent="0.45">
      <c r="A238" s="2" t="s">
        <v>15829</v>
      </c>
      <c r="B238" s="2" t="s">
        <v>15830</v>
      </c>
      <c r="C238" s="2" t="s">
        <v>15831</v>
      </c>
      <c r="D238" s="2" t="s">
        <v>15832</v>
      </c>
      <c r="E238" s="2" t="s">
        <v>15833</v>
      </c>
      <c r="F238" s="2" t="s">
        <v>15834</v>
      </c>
      <c r="G238" s="2" t="s">
        <v>15834</v>
      </c>
      <c r="H238" s="2" t="s">
        <v>9647</v>
      </c>
      <c r="I238" s="2" t="s">
        <v>73</v>
      </c>
      <c r="J238" s="2" t="s">
        <v>15835</v>
      </c>
      <c r="K238" s="2" t="s">
        <v>15832</v>
      </c>
      <c r="L238" s="2"/>
      <c r="M238" s="2"/>
      <c r="N238" s="2"/>
      <c r="O238" s="2" t="s">
        <v>9647</v>
      </c>
      <c r="P238" s="2" t="s">
        <v>73</v>
      </c>
      <c r="Q238" s="2" t="s">
        <v>15835</v>
      </c>
      <c r="R238" s="2" t="s">
        <v>589</v>
      </c>
      <c r="S238" s="2" t="s">
        <v>44</v>
      </c>
      <c r="T238" s="2"/>
      <c r="U238" s="2" t="s">
        <v>821</v>
      </c>
      <c r="V238" s="2" t="s">
        <v>46</v>
      </c>
      <c r="W238" s="2" t="s">
        <v>821</v>
      </c>
      <c r="X238" s="2" t="s">
        <v>10787</v>
      </c>
      <c r="Y238" s="2" t="s">
        <v>10801</v>
      </c>
      <c r="Z238" s="2" t="s">
        <v>49</v>
      </c>
      <c r="AA238" s="2">
        <v>100</v>
      </c>
      <c r="AB238" s="2">
        <v>62</v>
      </c>
      <c r="AC238" s="2" t="s">
        <v>9685</v>
      </c>
      <c r="AD238" s="2" t="s">
        <v>15836</v>
      </c>
      <c r="AE238" s="2"/>
      <c r="AF238" s="2" t="s">
        <v>15038</v>
      </c>
      <c r="AG238" s="2" t="s">
        <v>14290</v>
      </c>
    </row>
    <row r="239" spans="1:33" x14ac:dyDescent="0.45">
      <c r="A239" s="2" t="s">
        <v>15837</v>
      </c>
      <c r="B239" s="2" t="s">
        <v>15838</v>
      </c>
      <c r="C239" s="2" t="s">
        <v>15839</v>
      </c>
      <c r="D239" s="2" t="s">
        <v>15840</v>
      </c>
      <c r="E239" s="2" t="s">
        <v>15841</v>
      </c>
      <c r="F239" s="2" t="s">
        <v>15842</v>
      </c>
      <c r="G239" s="2" t="s">
        <v>15842</v>
      </c>
      <c r="H239" s="2" t="s">
        <v>10397</v>
      </c>
      <c r="I239" s="2" t="s">
        <v>221</v>
      </c>
      <c r="J239" s="2" t="s">
        <v>12971</v>
      </c>
      <c r="K239" s="2" t="s">
        <v>15840</v>
      </c>
      <c r="L239" s="2"/>
      <c r="M239" s="2"/>
      <c r="N239" s="2"/>
      <c r="O239" s="2" t="s">
        <v>10397</v>
      </c>
      <c r="P239" s="2" t="s">
        <v>221</v>
      </c>
      <c r="Q239" s="2" t="s">
        <v>12971</v>
      </c>
      <c r="R239" s="2" t="s">
        <v>10493</v>
      </c>
      <c r="S239" s="2" t="s">
        <v>44</v>
      </c>
      <c r="T239" s="2"/>
      <c r="U239" s="2" t="s">
        <v>821</v>
      </c>
      <c r="V239" s="2" t="s">
        <v>46</v>
      </c>
      <c r="W239" s="2" t="s">
        <v>821</v>
      </c>
      <c r="X239" s="2" t="s">
        <v>10787</v>
      </c>
      <c r="Y239" s="2" t="s">
        <v>10801</v>
      </c>
      <c r="Z239" s="2" t="s">
        <v>49</v>
      </c>
      <c r="AA239" s="2">
        <v>100</v>
      </c>
      <c r="AB239" s="2">
        <v>62</v>
      </c>
      <c r="AC239" s="2" t="s">
        <v>9685</v>
      </c>
      <c r="AD239" s="2" t="s">
        <v>15843</v>
      </c>
      <c r="AE239" s="2"/>
      <c r="AF239" s="2" t="s">
        <v>15038</v>
      </c>
      <c r="AG239" s="2" t="s">
        <v>14290</v>
      </c>
    </row>
    <row r="240" spans="1:33" x14ac:dyDescent="0.45">
      <c r="A240" s="2" t="s">
        <v>15844</v>
      </c>
      <c r="B240" s="2" t="s">
        <v>15845</v>
      </c>
      <c r="C240" s="2" t="s">
        <v>15846</v>
      </c>
      <c r="D240" s="2" t="s">
        <v>15847</v>
      </c>
      <c r="E240" s="2" t="s">
        <v>15848</v>
      </c>
      <c r="F240" s="2" t="s">
        <v>15849</v>
      </c>
      <c r="G240" s="2" t="s">
        <v>15849</v>
      </c>
      <c r="H240" s="2" t="s">
        <v>5931</v>
      </c>
      <c r="I240" s="2" t="s">
        <v>1112</v>
      </c>
      <c r="J240" s="2" t="s">
        <v>15850</v>
      </c>
      <c r="K240" s="2" t="s">
        <v>15847</v>
      </c>
      <c r="L240" s="2"/>
      <c r="M240" s="2"/>
      <c r="N240" s="2"/>
      <c r="O240" s="2" t="s">
        <v>5931</v>
      </c>
      <c r="P240" s="2" t="s">
        <v>1112</v>
      </c>
      <c r="Q240" s="2" t="s">
        <v>15850</v>
      </c>
      <c r="R240" s="2" t="s">
        <v>7581</v>
      </c>
      <c r="S240" s="2" t="s">
        <v>44</v>
      </c>
      <c r="T240" s="2"/>
      <c r="U240" s="2" t="s">
        <v>821</v>
      </c>
      <c r="V240" s="2" t="s">
        <v>46</v>
      </c>
      <c r="W240" s="2" t="s">
        <v>821</v>
      </c>
      <c r="X240" s="2" t="s">
        <v>10787</v>
      </c>
      <c r="Y240" s="2" t="s">
        <v>10801</v>
      </c>
      <c r="Z240" s="2" t="s">
        <v>49</v>
      </c>
      <c r="AA240" s="2">
        <v>100</v>
      </c>
      <c r="AB240" s="2">
        <v>62</v>
      </c>
      <c r="AC240" s="2" t="s">
        <v>9685</v>
      </c>
      <c r="AD240" s="2" t="s">
        <v>15851</v>
      </c>
      <c r="AE240" s="2"/>
      <c r="AF240" s="2" t="s">
        <v>15038</v>
      </c>
      <c r="AG240" s="2" t="s">
        <v>14290</v>
      </c>
    </row>
    <row r="241" spans="1:33" x14ac:dyDescent="0.45">
      <c r="A241" s="2" t="s">
        <v>15852</v>
      </c>
      <c r="B241" s="2" t="s">
        <v>15853</v>
      </c>
      <c r="C241" s="2" t="s">
        <v>15854</v>
      </c>
      <c r="D241" s="2" t="s">
        <v>15855</v>
      </c>
      <c r="E241" s="2" t="s">
        <v>15856</v>
      </c>
      <c r="F241" s="2" t="s">
        <v>15857</v>
      </c>
      <c r="G241" s="2" t="s">
        <v>15857</v>
      </c>
      <c r="H241" s="2" t="s">
        <v>5821</v>
      </c>
      <c r="I241" s="2" t="s">
        <v>278</v>
      </c>
      <c r="J241" s="2" t="s">
        <v>15858</v>
      </c>
      <c r="K241" s="2" t="s">
        <v>15855</v>
      </c>
      <c r="L241" s="2"/>
      <c r="M241" s="2"/>
      <c r="N241" s="2"/>
      <c r="O241" s="2" t="s">
        <v>5821</v>
      </c>
      <c r="P241" s="2" t="s">
        <v>278</v>
      </c>
      <c r="Q241" s="2" t="s">
        <v>15858</v>
      </c>
      <c r="R241" s="2" t="s">
        <v>14859</v>
      </c>
      <c r="S241" s="2" t="s">
        <v>44</v>
      </c>
      <c r="T241" s="2"/>
      <c r="U241" s="2" t="s">
        <v>821</v>
      </c>
      <c r="V241" s="2" t="s">
        <v>46</v>
      </c>
      <c r="W241" s="2" t="s">
        <v>821</v>
      </c>
      <c r="X241" s="2" t="s">
        <v>10787</v>
      </c>
      <c r="Y241" s="2" t="s">
        <v>10801</v>
      </c>
      <c r="Z241" s="2" t="s">
        <v>49</v>
      </c>
      <c r="AA241" s="2">
        <v>100</v>
      </c>
      <c r="AB241" s="2">
        <v>62</v>
      </c>
      <c r="AC241" s="2" t="s">
        <v>9685</v>
      </c>
      <c r="AD241" s="2" t="s">
        <v>15859</v>
      </c>
      <c r="AE241" s="2"/>
      <c r="AF241" s="2" t="s">
        <v>15038</v>
      </c>
      <c r="AG241" s="2" t="s">
        <v>14290</v>
      </c>
    </row>
    <row r="242" spans="1:33" x14ac:dyDescent="0.45">
      <c r="A242" s="2" t="s">
        <v>15860</v>
      </c>
      <c r="B242" s="2" t="s">
        <v>15861</v>
      </c>
      <c r="C242" s="2" t="s">
        <v>15862</v>
      </c>
      <c r="D242" s="2" t="s">
        <v>15863</v>
      </c>
      <c r="E242" s="2" t="s">
        <v>15864</v>
      </c>
      <c r="F242" s="2" t="s">
        <v>15865</v>
      </c>
      <c r="G242" s="2" t="s">
        <v>15865</v>
      </c>
      <c r="H242" s="2" t="s">
        <v>9679</v>
      </c>
      <c r="I242" s="2" t="s">
        <v>9680</v>
      </c>
      <c r="J242" s="2" t="s">
        <v>15866</v>
      </c>
      <c r="K242" s="2"/>
      <c r="L242" s="2"/>
      <c r="M242" s="2"/>
      <c r="N242" s="2"/>
      <c r="O242" s="2"/>
      <c r="P242" s="2"/>
      <c r="Q242" s="2"/>
      <c r="R242" s="2" t="s">
        <v>3777</v>
      </c>
      <c r="S242" s="2" t="s">
        <v>44</v>
      </c>
      <c r="T242" s="2"/>
      <c r="U242" s="2" t="s">
        <v>821</v>
      </c>
      <c r="V242" s="2" t="s">
        <v>46</v>
      </c>
      <c r="W242" s="2" t="s">
        <v>821</v>
      </c>
      <c r="X242" s="2" t="s">
        <v>10787</v>
      </c>
      <c r="Y242" s="2" t="s">
        <v>10801</v>
      </c>
      <c r="Z242" s="2" t="s">
        <v>49</v>
      </c>
      <c r="AA242" s="2">
        <v>100</v>
      </c>
      <c r="AB242" s="2">
        <v>62</v>
      </c>
      <c r="AC242" s="2" t="s">
        <v>9685</v>
      </c>
      <c r="AD242" s="2" t="s">
        <v>15867</v>
      </c>
      <c r="AE242" s="2"/>
      <c r="AF242" s="2" t="s">
        <v>15038</v>
      </c>
      <c r="AG242" s="2" t="s">
        <v>14290</v>
      </c>
    </row>
    <row r="243" spans="1:33" x14ac:dyDescent="0.45">
      <c r="A243" s="2" t="s">
        <v>15868</v>
      </c>
      <c r="B243" s="2" t="s">
        <v>15869</v>
      </c>
      <c r="C243" s="2" t="s">
        <v>15870</v>
      </c>
      <c r="D243" s="2" t="s">
        <v>15871</v>
      </c>
      <c r="E243" s="2" t="s">
        <v>15872</v>
      </c>
      <c r="F243" s="2" t="s">
        <v>15873</v>
      </c>
      <c r="G243" s="2" t="s">
        <v>15873</v>
      </c>
      <c r="H243" s="2" t="s">
        <v>2962</v>
      </c>
      <c r="I243" s="2" t="s">
        <v>73</v>
      </c>
      <c r="J243" s="2" t="s">
        <v>2963</v>
      </c>
      <c r="K243" s="2"/>
      <c r="L243" s="2"/>
      <c r="M243" s="2"/>
      <c r="N243" s="2"/>
      <c r="O243" s="2"/>
      <c r="P243" s="2"/>
      <c r="Q243" s="2"/>
      <c r="R243" s="2" t="s">
        <v>6685</v>
      </c>
      <c r="S243" s="2" t="s">
        <v>44</v>
      </c>
      <c r="T243" s="2"/>
      <c r="U243" s="2" t="s">
        <v>821</v>
      </c>
      <c r="V243" s="2" t="s">
        <v>46</v>
      </c>
      <c r="W243" s="2" t="s">
        <v>821</v>
      </c>
      <c r="X243" s="2" t="s">
        <v>10787</v>
      </c>
      <c r="Y243" s="2" t="s">
        <v>10801</v>
      </c>
      <c r="Z243" s="2" t="s">
        <v>49</v>
      </c>
      <c r="AA243" s="2">
        <v>100</v>
      </c>
      <c r="AB243" s="2">
        <v>62</v>
      </c>
      <c r="AC243" s="2" t="s">
        <v>9685</v>
      </c>
      <c r="AD243" s="2" t="s">
        <v>15874</v>
      </c>
      <c r="AE243" s="2"/>
      <c r="AF243" s="2" t="s">
        <v>15038</v>
      </c>
      <c r="AG243" s="2" t="s">
        <v>14290</v>
      </c>
    </row>
    <row r="244" spans="1:33" x14ac:dyDescent="0.45">
      <c r="A244" s="2" t="s">
        <v>15875</v>
      </c>
      <c r="B244" s="2" t="s">
        <v>15876</v>
      </c>
      <c r="C244" s="2" t="s">
        <v>15877</v>
      </c>
      <c r="D244" s="2" t="s">
        <v>15878</v>
      </c>
      <c r="E244" s="2" t="s">
        <v>15879</v>
      </c>
      <c r="F244" s="2" t="s">
        <v>15880</v>
      </c>
      <c r="G244" s="2" t="s">
        <v>15880</v>
      </c>
      <c r="H244" s="2" t="s">
        <v>15881</v>
      </c>
      <c r="I244" s="2" t="s">
        <v>313</v>
      </c>
      <c r="J244" s="2" t="s">
        <v>15882</v>
      </c>
      <c r="K244" s="2"/>
      <c r="L244" s="2"/>
      <c r="M244" s="2"/>
      <c r="N244" s="2"/>
      <c r="O244" s="2"/>
      <c r="P244" s="2"/>
      <c r="Q244" s="2"/>
      <c r="R244" s="2" t="s">
        <v>5678</v>
      </c>
      <c r="S244" s="2" t="s">
        <v>44</v>
      </c>
      <c r="T244" s="2"/>
      <c r="U244" s="2" t="s">
        <v>821</v>
      </c>
      <c r="V244" s="2" t="s">
        <v>46</v>
      </c>
      <c r="W244" s="2" t="s">
        <v>821</v>
      </c>
      <c r="X244" s="2" t="s">
        <v>10787</v>
      </c>
      <c r="Y244" s="2" t="s">
        <v>10801</v>
      </c>
      <c r="Z244" s="2" t="s">
        <v>49</v>
      </c>
      <c r="AA244" s="2">
        <v>100</v>
      </c>
      <c r="AB244" s="2">
        <v>62</v>
      </c>
      <c r="AC244" s="2" t="s">
        <v>9685</v>
      </c>
      <c r="AD244" s="2" t="s">
        <v>15883</v>
      </c>
      <c r="AE244" s="2"/>
      <c r="AF244" s="2" t="s">
        <v>15038</v>
      </c>
      <c r="AG244" s="2" t="s">
        <v>14290</v>
      </c>
    </row>
    <row r="245" spans="1:33" x14ac:dyDescent="0.45">
      <c r="A245" s="2" t="s">
        <v>15884</v>
      </c>
      <c r="B245" s="2" t="s">
        <v>15885</v>
      </c>
      <c r="C245" s="2" t="s">
        <v>15886</v>
      </c>
      <c r="D245" s="2" t="s">
        <v>15887</v>
      </c>
      <c r="E245" s="2" t="s">
        <v>15888</v>
      </c>
      <c r="F245" s="2" t="s">
        <v>15889</v>
      </c>
      <c r="G245" s="2" t="s">
        <v>15889</v>
      </c>
      <c r="H245" s="2" t="s">
        <v>2962</v>
      </c>
      <c r="I245" s="2" t="s">
        <v>73</v>
      </c>
      <c r="J245" s="2" t="s">
        <v>2963</v>
      </c>
      <c r="K245" s="2"/>
      <c r="L245" s="2"/>
      <c r="M245" s="2"/>
      <c r="N245" s="2"/>
      <c r="O245" s="2"/>
      <c r="P245" s="2"/>
      <c r="Q245" s="2"/>
      <c r="R245" s="2" t="s">
        <v>15890</v>
      </c>
      <c r="S245" s="2" t="s">
        <v>44</v>
      </c>
      <c r="T245" s="2"/>
      <c r="U245" s="2" t="s">
        <v>821</v>
      </c>
      <c r="V245" s="2" t="s">
        <v>46</v>
      </c>
      <c r="W245" s="2" t="s">
        <v>821</v>
      </c>
      <c r="X245" s="2" t="s">
        <v>10787</v>
      </c>
      <c r="Y245" s="2" t="s">
        <v>10801</v>
      </c>
      <c r="Z245" s="2" t="s">
        <v>49</v>
      </c>
      <c r="AA245" s="2">
        <v>100</v>
      </c>
      <c r="AB245" s="2">
        <v>62</v>
      </c>
      <c r="AC245" s="2" t="s">
        <v>9685</v>
      </c>
      <c r="AD245" s="2" t="s">
        <v>15891</v>
      </c>
      <c r="AE245" s="2"/>
      <c r="AF245" s="2" t="s">
        <v>15038</v>
      </c>
      <c r="AG245" s="2" t="s">
        <v>14290</v>
      </c>
    </row>
    <row r="246" spans="1:33" x14ac:dyDescent="0.45">
      <c r="A246" s="2" t="s">
        <v>15892</v>
      </c>
      <c r="B246" s="2" t="s">
        <v>15893</v>
      </c>
      <c r="C246" s="2" t="s">
        <v>15894</v>
      </c>
      <c r="D246" s="2" t="s">
        <v>15895</v>
      </c>
      <c r="E246" s="2" t="s">
        <v>15896</v>
      </c>
      <c r="F246" s="2" t="s">
        <v>15897</v>
      </c>
      <c r="G246" s="2" t="s">
        <v>15897</v>
      </c>
      <c r="H246" s="2" t="s">
        <v>72</v>
      </c>
      <c r="I246" s="2" t="s">
        <v>73</v>
      </c>
      <c r="J246" s="2" t="s">
        <v>1164</v>
      </c>
      <c r="K246" s="2" t="s">
        <v>15898</v>
      </c>
      <c r="L246" s="2"/>
      <c r="M246" s="2"/>
      <c r="N246" s="2"/>
      <c r="O246" s="2" t="s">
        <v>72</v>
      </c>
      <c r="P246" s="2" t="s">
        <v>73</v>
      </c>
      <c r="Q246" s="2" t="s">
        <v>1164</v>
      </c>
      <c r="R246" s="2" t="s">
        <v>15899</v>
      </c>
      <c r="S246" s="2" t="s">
        <v>44</v>
      </c>
      <c r="T246" s="2"/>
      <c r="U246" s="2" t="s">
        <v>3527</v>
      </c>
      <c r="V246" s="2" t="s">
        <v>46</v>
      </c>
      <c r="W246" s="2" t="s">
        <v>3527</v>
      </c>
      <c r="X246" s="2" t="s">
        <v>10787</v>
      </c>
      <c r="Y246" s="2" t="s">
        <v>10801</v>
      </c>
      <c r="Z246" s="2" t="s">
        <v>49</v>
      </c>
      <c r="AA246" s="2">
        <v>100</v>
      </c>
      <c r="AB246" s="2">
        <v>60</v>
      </c>
      <c r="AC246" s="2" t="s">
        <v>9685</v>
      </c>
      <c r="AD246" s="2" t="s">
        <v>15900</v>
      </c>
      <c r="AE246" s="2"/>
      <c r="AF246" s="2" t="s">
        <v>15038</v>
      </c>
      <c r="AG246" s="2" t="s">
        <v>14290</v>
      </c>
    </row>
    <row r="247" spans="1:33" x14ac:dyDescent="0.45">
      <c r="A247" s="2" t="s">
        <v>15901</v>
      </c>
      <c r="B247" s="2" t="s">
        <v>15902</v>
      </c>
      <c r="C247" s="2" t="s">
        <v>15903</v>
      </c>
      <c r="D247" s="2" t="s">
        <v>15904</v>
      </c>
      <c r="E247" s="2" t="s">
        <v>15905</v>
      </c>
      <c r="F247" s="2" t="s">
        <v>15906</v>
      </c>
      <c r="G247" s="2" t="s">
        <v>15906</v>
      </c>
      <c r="H247" s="2" t="s">
        <v>384</v>
      </c>
      <c r="I247" s="2" t="s">
        <v>73</v>
      </c>
      <c r="J247" s="2" t="s">
        <v>3727</v>
      </c>
      <c r="K247" s="2" t="s">
        <v>15907</v>
      </c>
      <c r="L247" s="2"/>
      <c r="M247" s="2"/>
      <c r="N247" s="2"/>
      <c r="O247" s="2" t="s">
        <v>384</v>
      </c>
      <c r="P247" s="2" t="s">
        <v>73</v>
      </c>
      <c r="Q247" s="2" t="s">
        <v>559</v>
      </c>
      <c r="R247" s="2" t="s">
        <v>15908</v>
      </c>
      <c r="S247" s="2" t="s">
        <v>44</v>
      </c>
      <c r="T247" s="2"/>
      <c r="U247" s="2" t="s">
        <v>3527</v>
      </c>
      <c r="V247" s="2" t="s">
        <v>46</v>
      </c>
      <c r="W247" s="2" t="s">
        <v>3527</v>
      </c>
      <c r="X247" s="2" t="s">
        <v>10787</v>
      </c>
      <c r="Y247" s="2" t="s">
        <v>10801</v>
      </c>
      <c r="Z247" s="2" t="s">
        <v>49</v>
      </c>
      <c r="AA247" s="2">
        <v>100</v>
      </c>
      <c r="AB247" s="2">
        <v>60</v>
      </c>
      <c r="AC247" s="2" t="s">
        <v>9685</v>
      </c>
      <c r="AD247" s="2" t="s">
        <v>15909</v>
      </c>
      <c r="AE247" s="2"/>
      <c r="AF247" s="2" t="s">
        <v>15038</v>
      </c>
      <c r="AG247" s="2" t="s">
        <v>14290</v>
      </c>
    </row>
    <row r="248" spans="1:33" x14ac:dyDescent="0.45">
      <c r="A248" s="2" t="s">
        <v>15910</v>
      </c>
      <c r="B248" s="2" t="s">
        <v>15911</v>
      </c>
      <c r="C248" s="2" t="s">
        <v>15912</v>
      </c>
      <c r="D248" s="2" t="s">
        <v>15913</v>
      </c>
      <c r="E248" s="2" t="s">
        <v>15914</v>
      </c>
      <c r="F248" s="2" t="s">
        <v>15915</v>
      </c>
      <c r="G248" s="2" t="s">
        <v>15915</v>
      </c>
      <c r="H248" s="2" t="s">
        <v>277</v>
      </c>
      <c r="I248" s="2" t="s">
        <v>278</v>
      </c>
      <c r="J248" s="2" t="s">
        <v>12269</v>
      </c>
      <c r="K248" s="2" t="s">
        <v>15916</v>
      </c>
      <c r="L248" s="2"/>
      <c r="M248" s="2"/>
      <c r="N248" s="2"/>
      <c r="O248" s="2" t="s">
        <v>277</v>
      </c>
      <c r="P248" s="2" t="s">
        <v>278</v>
      </c>
      <c r="Q248" s="2" t="s">
        <v>12269</v>
      </c>
      <c r="R248" s="2" t="s">
        <v>15917</v>
      </c>
      <c r="S248" s="2" t="s">
        <v>44</v>
      </c>
      <c r="T248" s="2"/>
      <c r="U248" s="2" t="s">
        <v>3527</v>
      </c>
      <c r="V248" s="2" t="s">
        <v>46</v>
      </c>
      <c r="W248" s="2" t="s">
        <v>3527</v>
      </c>
      <c r="X248" s="2" t="s">
        <v>12462</v>
      </c>
      <c r="Y248" s="2" t="s">
        <v>10801</v>
      </c>
      <c r="Z248" s="2" t="s">
        <v>49</v>
      </c>
      <c r="AA248" s="2">
        <v>100</v>
      </c>
      <c r="AB248" s="2">
        <v>60</v>
      </c>
      <c r="AC248" s="2" t="s">
        <v>9685</v>
      </c>
      <c r="AD248" s="2" t="s">
        <v>15918</v>
      </c>
      <c r="AE248" s="2"/>
      <c r="AF248" s="2" t="s">
        <v>15038</v>
      </c>
      <c r="AG248" s="2" t="s">
        <v>14290</v>
      </c>
    </row>
    <row r="249" spans="1:33" x14ac:dyDescent="0.45">
      <c r="A249" s="2" t="s">
        <v>15919</v>
      </c>
      <c r="B249" s="2" t="s">
        <v>15920</v>
      </c>
      <c r="C249" s="2" t="s">
        <v>7937</v>
      </c>
      <c r="D249" s="2" t="s">
        <v>15921</v>
      </c>
      <c r="E249" s="2" t="s">
        <v>15922</v>
      </c>
      <c r="F249" s="2" t="s">
        <v>15923</v>
      </c>
      <c r="G249" s="2" t="s">
        <v>15923</v>
      </c>
      <c r="H249" s="2" t="s">
        <v>72</v>
      </c>
      <c r="I249" s="2" t="s">
        <v>73</v>
      </c>
      <c r="J249" s="2" t="s">
        <v>187</v>
      </c>
      <c r="K249" s="2" t="s">
        <v>15921</v>
      </c>
      <c r="L249" s="2"/>
      <c r="M249" s="2"/>
      <c r="N249" s="2"/>
      <c r="O249" s="2" t="s">
        <v>72</v>
      </c>
      <c r="P249" s="2" t="s">
        <v>73</v>
      </c>
      <c r="Q249" s="2" t="s">
        <v>187</v>
      </c>
      <c r="R249" s="2" t="s">
        <v>15924</v>
      </c>
      <c r="S249" s="2" t="s">
        <v>44</v>
      </c>
      <c r="T249" s="2"/>
      <c r="U249" s="2" t="s">
        <v>3527</v>
      </c>
      <c r="V249" s="2" t="s">
        <v>46</v>
      </c>
      <c r="W249" s="2" t="s">
        <v>3527</v>
      </c>
      <c r="X249" s="2" t="s">
        <v>10787</v>
      </c>
      <c r="Y249" s="2" t="s">
        <v>10801</v>
      </c>
      <c r="Z249" s="2" t="s">
        <v>49</v>
      </c>
      <c r="AA249" s="2">
        <v>100</v>
      </c>
      <c r="AB249" s="2">
        <v>60</v>
      </c>
      <c r="AC249" s="2" t="s">
        <v>9685</v>
      </c>
      <c r="AD249" s="2" t="s">
        <v>15925</v>
      </c>
      <c r="AE249" s="2"/>
      <c r="AF249" s="2" t="s">
        <v>15038</v>
      </c>
      <c r="AG249" s="2" t="s">
        <v>14290</v>
      </c>
    </row>
    <row r="250" spans="1:33" x14ac:dyDescent="0.45">
      <c r="A250" s="2" t="s">
        <v>15926</v>
      </c>
      <c r="B250" s="2" t="s">
        <v>15927</v>
      </c>
      <c r="C250" s="2" t="s">
        <v>15928</v>
      </c>
      <c r="D250" s="2" t="s">
        <v>15929</v>
      </c>
      <c r="E250" s="2" t="s">
        <v>15930</v>
      </c>
      <c r="F250" s="2" t="s">
        <v>15931</v>
      </c>
      <c r="G250" s="2" t="s">
        <v>15931</v>
      </c>
      <c r="H250" s="2" t="s">
        <v>72</v>
      </c>
      <c r="I250" s="2" t="s">
        <v>73</v>
      </c>
      <c r="J250" s="2" t="s">
        <v>1295</v>
      </c>
      <c r="K250" s="2" t="s">
        <v>15929</v>
      </c>
      <c r="L250" s="2"/>
      <c r="M250" s="2"/>
      <c r="N250" s="2"/>
      <c r="O250" s="2" t="s">
        <v>72</v>
      </c>
      <c r="P250" s="2" t="s">
        <v>73</v>
      </c>
      <c r="Q250" s="2" t="s">
        <v>1295</v>
      </c>
      <c r="R250" s="2" t="s">
        <v>15932</v>
      </c>
      <c r="S250" s="2" t="s">
        <v>44</v>
      </c>
      <c r="T250" s="2"/>
      <c r="U250" s="2" t="s">
        <v>3527</v>
      </c>
      <c r="V250" s="2" t="s">
        <v>46</v>
      </c>
      <c r="W250" s="2" t="s">
        <v>3527</v>
      </c>
      <c r="X250" s="2" t="s">
        <v>12462</v>
      </c>
      <c r="Y250" s="2" t="s">
        <v>10801</v>
      </c>
      <c r="Z250" s="2" t="s">
        <v>49</v>
      </c>
      <c r="AA250" s="2">
        <v>100</v>
      </c>
      <c r="AB250" s="2">
        <v>60</v>
      </c>
      <c r="AC250" s="2" t="s">
        <v>9685</v>
      </c>
      <c r="AD250" s="2" t="s">
        <v>15933</v>
      </c>
      <c r="AE250" s="2"/>
      <c r="AF250" s="2" t="s">
        <v>15038</v>
      </c>
      <c r="AG250" s="2" t="s">
        <v>14290</v>
      </c>
    </row>
    <row r="251" spans="1:33" x14ac:dyDescent="0.45">
      <c r="A251" s="2" t="s">
        <v>15934</v>
      </c>
      <c r="B251" s="2" t="s">
        <v>15935</v>
      </c>
      <c r="C251" s="2" t="s">
        <v>15936</v>
      </c>
      <c r="D251" s="2" t="s">
        <v>15937</v>
      </c>
      <c r="E251" s="2" t="s">
        <v>15938</v>
      </c>
      <c r="F251" s="2" t="s">
        <v>15939</v>
      </c>
      <c r="G251" s="2" t="s">
        <v>15939</v>
      </c>
      <c r="H251" s="2" t="s">
        <v>290</v>
      </c>
      <c r="I251" s="2" t="s">
        <v>278</v>
      </c>
      <c r="J251" s="2" t="s">
        <v>291</v>
      </c>
      <c r="K251" s="2" t="s">
        <v>15940</v>
      </c>
      <c r="L251" s="2"/>
      <c r="M251" s="2"/>
      <c r="N251" s="2"/>
      <c r="O251" s="2" t="s">
        <v>290</v>
      </c>
      <c r="P251" s="2" t="s">
        <v>278</v>
      </c>
      <c r="Q251" s="2" t="s">
        <v>291</v>
      </c>
      <c r="R251" s="2" t="s">
        <v>15941</v>
      </c>
      <c r="S251" s="2" t="s">
        <v>44</v>
      </c>
      <c r="T251" s="2"/>
      <c r="U251" s="2" t="s">
        <v>3527</v>
      </c>
      <c r="V251" s="2" t="s">
        <v>46</v>
      </c>
      <c r="W251" s="2" t="s">
        <v>3527</v>
      </c>
      <c r="X251" s="2" t="s">
        <v>10787</v>
      </c>
      <c r="Y251" s="2" t="s">
        <v>10801</v>
      </c>
      <c r="Z251" s="2" t="s">
        <v>49</v>
      </c>
      <c r="AA251" s="2">
        <v>100</v>
      </c>
      <c r="AB251" s="2">
        <v>60</v>
      </c>
      <c r="AC251" s="2" t="s">
        <v>9685</v>
      </c>
      <c r="AD251" s="2" t="s">
        <v>15942</v>
      </c>
      <c r="AE251" s="2"/>
      <c r="AF251" s="2" t="s">
        <v>15038</v>
      </c>
      <c r="AG251" s="2" t="s">
        <v>14290</v>
      </c>
    </row>
    <row r="252" spans="1:33" x14ac:dyDescent="0.45">
      <c r="A252" s="2" t="s">
        <v>15943</v>
      </c>
      <c r="B252" s="2" t="s">
        <v>15944</v>
      </c>
      <c r="C252" s="2" t="s">
        <v>2209</v>
      </c>
      <c r="D252" s="2" t="s">
        <v>15945</v>
      </c>
      <c r="E252" s="2" t="s">
        <v>15946</v>
      </c>
      <c r="F252" s="2" t="s">
        <v>15947</v>
      </c>
      <c r="G252" s="2" t="s">
        <v>15947</v>
      </c>
      <c r="H252" s="2" t="s">
        <v>651</v>
      </c>
      <c r="I252" s="2" t="s">
        <v>86</v>
      </c>
      <c r="J252" s="2" t="s">
        <v>1945</v>
      </c>
      <c r="K252" s="2" t="s">
        <v>15948</v>
      </c>
      <c r="L252" s="2"/>
      <c r="M252" s="2"/>
      <c r="N252" s="2"/>
      <c r="O252" s="2" t="s">
        <v>424</v>
      </c>
      <c r="P252" s="2" t="s">
        <v>217</v>
      </c>
      <c r="Q252" s="2" t="s">
        <v>218</v>
      </c>
      <c r="R252" s="2" t="s">
        <v>15949</v>
      </c>
      <c r="S252" s="2" t="s">
        <v>44</v>
      </c>
      <c r="T252" s="2"/>
      <c r="U252" s="2" t="s">
        <v>3527</v>
      </c>
      <c r="V252" s="2" t="s">
        <v>46</v>
      </c>
      <c r="W252" s="2" t="s">
        <v>3527</v>
      </c>
      <c r="X252" s="2" t="s">
        <v>10787</v>
      </c>
      <c r="Y252" s="2" t="s">
        <v>10801</v>
      </c>
      <c r="Z252" s="2" t="s">
        <v>49</v>
      </c>
      <c r="AA252" s="2">
        <v>100</v>
      </c>
      <c r="AB252" s="2">
        <v>60</v>
      </c>
      <c r="AC252" s="2" t="s">
        <v>9685</v>
      </c>
      <c r="AD252" s="2" t="s">
        <v>15950</v>
      </c>
      <c r="AE252" s="2"/>
      <c r="AF252" s="2" t="s">
        <v>15038</v>
      </c>
      <c r="AG252" s="2" t="s">
        <v>14290</v>
      </c>
    </row>
    <row r="253" spans="1:33" x14ac:dyDescent="0.45">
      <c r="A253" s="2" t="s">
        <v>15951</v>
      </c>
      <c r="B253" s="2" t="s">
        <v>15952</v>
      </c>
      <c r="C253" s="2" t="s">
        <v>15953</v>
      </c>
      <c r="D253" s="2" t="s">
        <v>15954</v>
      </c>
      <c r="E253" s="2" t="s">
        <v>15955</v>
      </c>
      <c r="F253" s="2" t="s">
        <v>15956</v>
      </c>
      <c r="G253" s="2" t="s">
        <v>15956</v>
      </c>
      <c r="H253" s="2" t="s">
        <v>59</v>
      </c>
      <c r="I253" s="2" t="s">
        <v>60</v>
      </c>
      <c r="J253" s="2" t="s">
        <v>151</v>
      </c>
      <c r="K253" s="2" t="s">
        <v>15954</v>
      </c>
      <c r="L253" s="2"/>
      <c r="M253" s="2"/>
      <c r="N253" s="2"/>
      <c r="O253" s="2" t="s">
        <v>59</v>
      </c>
      <c r="P253" s="2" t="s">
        <v>60</v>
      </c>
      <c r="Q253" s="2" t="s">
        <v>151</v>
      </c>
      <c r="R253" s="2" t="s">
        <v>15957</v>
      </c>
      <c r="S253" s="2" t="s">
        <v>44</v>
      </c>
      <c r="T253" s="2"/>
      <c r="U253" s="2" t="s">
        <v>3527</v>
      </c>
      <c r="V253" s="2" t="s">
        <v>46</v>
      </c>
      <c r="W253" s="2" t="s">
        <v>3527</v>
      </c>
      <c r="X253" s="2" t="s">
        <v>10787</v>
      </c>
      <c r="Y253" s="2" t="s">
        <v>10801</v>
      </c>
      <c r="Z253" s="2" t="s">
        <v>49</v>
      </c>
      <c r="AA253" s="2">
        <v>100</v>
      </c>
      <c r="AB253" s="2">
        <v>60</v>
      </c>
      <c r="AC253" s="2" t="s">
        <v>9685</v>
      </c>
      <c r="AD253" s="2" t="s">
        <v>15958</v>
      </c>
      <c r="AE253" s="2"/>
      <c r="AF253" s="2" t="s">
        <v>15038</v>
      </c>
      <c r="AG253" s="2" t="s">
        <v>14290</v>
      </c>
    </row>
    <row r="254" spans="1:33" x14ac:dyDescent="0.45">
      <c r="A254" s="2" t="s">
        <v>15959</v>
      </c>
      <c r="B254" s="2" t="s">
        <v>15960</v>
      </c>
      <c r="C254" s="2" t="s">
        <v>15961</v>
      </c>
      <c r="D254" s="2" t="s">
        <v>15962</v>
      </c>
      <c r="E254" s="2" t="s">
        <v>15963</v>
      </c>
      <c r="F254" s="2" t="s">
        <v>15964</v>
      </c>
      <c r="G254" s="2"/>
      <c r="H254" s="2" t="s">
        <v>312</v>
      </c>
      <c r="I254" s="2" t="s">
        <v>313</v>
      </c>
      <c r="J254" s="2" t="s">
        <v>1798</v>
      </c>
      <c r="K254" s="2" t="s">
        <v>15962</v>
      </c>
      <c r="L254" s="2"/>
      <c r="M254" s="2"/>
      <c r="N254" s="2"/>
      <c r="O254" s="2" t="s">
        <v>312</v>
      </c>
      <c r="P254" s="2" t="s">
        <v>313</v>
      </c>
      <c r="Q254" s="2" t="s">
        <v>1798</v>
      </c>
      <c r="R254" s="2" t="s">
        <v>13105</v>
      </c>
      <c r="S254" s="2" t="s">
        <v>15965</v>
      </c>
      <c r="T254" s="2"/>
      <c r="U254" s="2" t="s">
        <v>3527</v>
      </c>
      <c r="V254" s="2" t="s">
        <v>46</v>
      </c>
      <c r="W254" s="2" t="s">
        <v>3527</v>
      </c>
      <c r="X254" s="2" t="s">
        <v>10787</v>
      </c>
      <c r="Y254" s="2" t="s">
        <v>10801</v>
      </c>
      <c r="Z254" s="2" t="s">
        <v>49</v>
      </c>
      <c r="AA254" s="2">
        <v>100</v>
      </c>
      <c r="AB254" s="2">
        <v>60</v>
      </c>
      <c r="AC254" s="2" t="s">
        <v>9685</v>
      </c>
      <c r="AD254" s="2" t="s">
        <v>15966</v>
      </c>
      <c r="AE254" s="2"/>
      <c r="AF254" s="2" t="s">
        <v>15038</v>
      </c>
      <c r="AG254" s="2" t="s">
        <v>14290</v>
      </c>
    </row>
    <row r="255" spans="1:33" x14ac:dyDescent="0.45">
      <c r="A255" s="2" t="s">
        <v>15967</v>
      </c>
      <c r="B255" s="2" t="s">
        <v>15968</v>
      </c>
      <c r="C255" s="2" t="s">
        <v>15969</v>
      </c>
      <c r="D255" s="2" t="s">
        <v>15970</v>
      </c>
      <c r="E255" s="2" t="s">
        <v>15971</v>
      </c>
      <c r="F255" s="2" t="s">
        <v>15972</v>
      </c>
      <c r="G255" s="2" t="s">
        <v>15972</v>
      </c>
      <c r="H255" s="2" t="s">
        <v>174</v>
      </c>
      <c r="I255" s="2" t="s">
        <v>175</v>
      </c>
      <c r="J255" s="2" t="s">
        <v>4531</v>
      </c>
      <c r="K255" s="2" t="s">
        <v>15970</v>
      </c>
      <c r="L255" s="2"/>
      <c r="M255" s="2"/>
      <c r="N255" s="2"/>
      <c r="O255" s="2" t="s">
        <v>174</v>
      </c>
      <c r="P255" s="2" t="s">
        <v>175</v>
      </c>
      <c r="Q255" s="2" t="s">
        <v>4531</v>
      </c>
      <c r="R255" s="2" t="s">
        <v>15973</v>
      </c>
      <c r="S255" s="2" t="s">
        <v>44</v>
      </c>
      <c r="T255" s="2"/>
      <c r="U255" s="2" t="s">
        <v>3527</v>
      </c>
      <c r="V255" s="2" t="s">
        <v>46</v>
      </c>
      <c r="W255" s="2" t="s">
        <v>3527</v>
      </c>
      <c r="X255" s="2" t="s">
        <v>10787</v>
      </c>
      <c r="Y255" s="2" t="s">
        <v>10801</v>
      </c>
      <c r="Z255" s="2" t="s">
        <v>49</v>
      </c>
      <c r="AA255" s="2">
        <v>100</v>
      </c>
      <c r="AB255" s="2">
        <v>60</v>
      </c>
      <c r="AC255" s="2" t="s">
        <v>9685</v>
      </c>
      <c r="AD255" s="2" t="s">
        <v>15974</v>
      </c>
      <c r="AE255" s="2"/>
      <c r="AF255" s="2" t="s">
        <v>15038</v>
      </c>
      <c r="AG255" s="2" t="s">
        <v>14290</v>
      </c>
    </row>
    <row r="256" spans="1:33" x14ac:dyDescent="0.45">
      <c r="A256" s="2" t="s">
        <v>15975</v>
      </c>
      <c r="B256" s="2" t="s">
        <v>15976</v>
      </c>
      <c r="C256" s="2" t="s">
        <v>15977</v>
      </c>
      <c r="D256" s="2" t="s">
        <v>15978</v>
      </c>
      <c r="E256" s="2" t="s">
        <v>15979</v>
      </c>
      <c r="F256" s="2" t="s">
        <v>15980</v>
      </c>
      <c r="G256" s="2" t="s">
        <v>15980</v>
      </c>
      <c r="H256" s="2" t="s">
        <v>72</v>
      </c>
      <c r="I256" s="2" t="s">
        <v>73</v>
      </c>
      <c r="J256" s="2" t="s">
        <v>484</v>
      </c>
      <c r="K256" s="2" t="s">
        <v>15981</v>
      </c>
      <c r="L256" s="2"/>
      <c r="M256" s="2"/>
      <c r="N256" s="2"/>
      <c r="O256" s="2" t="s">
        <v>312</v>
      </c>
      <c r="P256" s="2" t="s">
        <v>313</v>
      </c>
      <c r="Q256" s="2" t="s">
        <v>7647</v>
      </c>
      <c r="R256" s="2" t="s">
        <v>6846</v>
      </c>
      <c r="S256" s="2" t="s">
        <v>44</v>
      </c>
      <c r="T256" s="2"/>
      <c r="U256" s="2" t="s">
        <v>3527</v>
      </c>
      <c r="V256" s="2" t="s">
        <v>46</v>
      </c>
      <c r="W256" s="2" t="s">
        <v>3527</v>
      </c>
      <c r="X256" s="2" t="s">
        <v>10787</v>
      </c>
      <c r="Y256" s="2" t="s">
        <v>10801</v>
      </c>
      <c r="Z256" s="2" t="s">
        <v>49</v>
      </c>
      <c r="AA256" s="2">
        <v>100</v>
      </c>
      <c r="AB256" s="2">
        <v>60</v>
      </c>
      <c r="AC256" s="2" t="s">
        <v>9685</v>
      </c>
      <c r="AD256" s="2" t="s">
        <v>15982</v>
      </c>
      <c r="AE256" s="2"/>
      <c r="AF256" s="2" t="s">
        <v>15038</v>
      </c>
      <c r="AG256" s="2" t="s">
        <v>14290</v>
      </c>
    </row>
    <row r="257" spans="1:33" x14ac:dyDescent="0.45">
      <c r="A257" s="2" t="s">
        <v>15983</v>
      </c>
      <c r="B257" s="2" t="s">
        <v>15984</v>
      </c>
      <c r="C257" s="2" t="s">
        <v>15985</v>
      </c>
      <c r="D257" s="2" t="s">
        <v>15986</v>
      </c>
      <c r="E257" s="2" t="s">
        <v>15987</v>
      </c>
      <c r="F257" s="2" t="s">
        <v>15988</v>
      </c>
      <c r="G257" s="2" t="s">
        <v>15988</v>
      </c>
      <c r="H257" s="2" t="s">
        <v>72</v>
      </c>
      <c r="I257" s="2" t="s">
        <v>73</v>
      </c>
      <c r="J257" s="2" t="s">
        <v>98</v>
      </c>
      <c r="K257" s="2" t="s">
        <v>15986</v>
      </c>
      <c r="L257" s="2"/>
      <c r="M257" s="2"/>
      <c r="N257" s="2"/>
      <c r="O257" s="2" t="s">
        <v>72</v>
      </c>
      <c r="P257" s="2" t="s">
        <v>73</v>
      </c>
      <c r="Q257" s="2" t="s">
        <v>98</v>
      </c>
      <c r="R257" s="2" t="s">
        <v>924</v>
      </c>
      <c r="S257" s="2" t="s">
        <v>44</v>
      </c>
      <c r="T257" s="2"/>
      <c r="U257" s="2" t="s">
        <v>3527</v>
      </c>
      <c r="V257" s="2" t="s">
        <v>46</v>
      </c>
      <c r="W257" s="2" t="s">
        <v>3527</v>
      </c>
      <c r="X257" s="2" t="s">
        <v>10787</v>
      </c>
      <c r="Y257" s="2" t="s">
        <v>10801</v>
      </c>
      <c r="Z257" s="2" t="s">
        <v>49</v>
      </c>
      <c r="AA257" s="2">
        <v>100</v>
      </c>
      <c r="AB257" s="2">
        <v>60</v>
      </c>
      <c r="AC257" s="2" t="s">
        <v>9685</v>
      </c>
      <c r="AD257" s="2" t="s">
        <v>15989</v>
      </c>
      <c r="AE257" s="2"/>
      <c r="AF257" s="2" t="s">
        <v>15038</v>
      </c>
      <c r="AG257" s="2" t="s">
        <v>14290</v>
      </c>
    </row>
    <row r="258" spans="1:33" x14ac:dyDescent="0.45">
      <c r="A258" s="2" t="s">
        <v>15990</v>
      </c>
      <c r="B258" s="2" t="s">
        <v>15991</v>
      </c>
      <c r="C258" s="2" t="s">
        <v>15992</v>
      </c>
      <c r="D258" s="2" t="s">
        <v>15993</v>
      </c>
      <c r="E258" s="2" t="s">
        <v>15994</v>
      </c>
      <c r="F258" s="2" t="s">
        <v>15995</v>
      </c>
      <c r="G258" s="2" t="s">
        <v>15995</v>
      </c>
      <c r="H258" s="2" t="s">
        <v>72</v>
      </c>
      <c r="I258" s="2" t="s">
        <v>73</v>
      </c>
      <c r="J258" s="2" t="s">
        <v>7023</v>
      </c>
      <c r="K258" s="2" t="s">
        <v>15996</v>
      </c>
      <c r="L258" s="2"/>
      <c r="M258" s="2"/>
      <c r="N258" s="2"/>
      <c r="O258" s="2" t="s">
        <v>72</v>
      </c>
      <c r="P258" s="2" t="s">
        <v>73</v>
      </c>
      <c r="Q258" s="2" t="s">
        <v>187</v>
      </c>
      <c r="R258" s="2" t="s">
        <v>9955</v>
      </c>
      <c r="S258" s="2" t="s">
        <v>44</v>
      </c>
      <c r="T258" s="2"/>
      <c r="U258" s="2" t="s">
        <v>3527</v>
      </c>
      <c r="V258" s="2" t="s">
        <v>46</v>
      </c>
      <c r="W258" s="2" t="s">
        <v>3527</v>
      </c>
      <c r="X258" s="2" t="s">
        <v>10787</v>
      </c>
      <c r="Y258" s="2" t="s">
        <v>10801</v>
      </c>
      <c r="Z258" s="2" t="s">
        <v>49</v>
      </c>
      <c r="AA258" s="2">
        <v>100</v>
      </c>
      <c r="AB258" s="2">
        <v>60</v>
      </c>
      <c r="AC258" s="2" t="s">
        <v>9685</v>
      </c>
      <c r="AD258" s="2" t="s">
        <v>15997</v>
      </c>
      <c r="AE258" s="2"/>
      <c r="AF258" s="2" t="s">
        <v>15038</v>
      </c>
      <c r="AG258" s="2" t="s">
        <v>14290</v>
      </c>
    </row>
    <row r="259" spans="1:33" x14ac:dyDescent="0.45">
      <c r="A259" s="2" t="s">
        <v>15998</v>
      </c>
      <c r="B259" s="2" t="s">
        <v>15999</v>
      </c>
      <c r="C259" s="2" t="s">
        <v>16000</v>
      </c>
      <c r="D259" s="2" t="s">
        <v>16001</v>
      </c>
      <c r="E259" s="2" t="s">
        <v>16002</v>
      </c>
      <c r="F259" s="2" t="s">
        <v>16003</v>
      </c>
      <c r="G259" s="2" t="s">
        <v>16003</v>
      </c>
      <c r="H259" s="2" t="s">
        <v>651</v>
      </c>
      <c r="I259" s="2" t="s">
        <v>86</v>
      </c>
      <c r="J259" s="2" t="s">
        <v>16004</v>
      </c>
      <c r="K259" s="2" t="s">
        <v>16001</v>
      </c>
      <c r="L259" s="2"/>
      <c r="M259" s="2"/>
      <c r="N259" s="2"/>
      <c r="O259" s="2" t="s">
        <v>651</v>
      </c>
      <c r="P259" s="2" t="s">
        <v>86</v>
      </c>
      <c r="Q259" s="2" t="s">
        <v>16004</v>
      </c>
      <c r="R259" s="2" t="s">
        <v>9387</v>
      </c>
      <c r="S259" s="2" t="s">
        <v>44</v>
      </c>
      <c r="T259" s="2"/>
      <c r="U259" s="2" t="s">
        <v>3527</v>
      </c>
      <c r="V259" s="2" t="s">
        <v>46</v>
      </c>
      <c r="W259" s="2" t="s">
        <v>3527</v>
      </c>
      <c r="X259" s="2" t="s">
        <v>10787</v>
      </c>
      <c r="Y259" s="2" t="s">
        <v>10801</v>
      </c>
      <c r="Z259" s="2" t="s">
        <v>49</v>
      </c>
      <c r="AA259" s="2">
        <v>100</v>
      </c>
      <c r="AB259" s="2">
        <v>60</v>
      </c>
      <c r="AC259" s="2" t="s">
        <v>9685</v>
      </c>
      <c r="AD259" s="2" t="s">
        <v>16005</v>
      </c>
      <c r="AE259" s="2"/>
      <c r="AF259" s="2" t="s">
        <v>15038</v>
      </c>
      <c r="AG259" s="2" t="s">
        <v>14290</v>
      </c>
    </row>
    <row r="260" spans="1:33" x14ac:dyDescent="0.45">
      <c r="A260" s="2" t="s">
        <v>16006</v>
      </c>
      <c r="B260" s="2" t="s">
        <v>16007</v>
      </c>
      <c r="C260" s="2" t="s">
        <v>16008</v>
      </c>
      <c r="D260" s="2" t="s">
        <v>16009</v>
      </c>
      <c r="E260" s="2" t="s">
        <v>16010</v>
      </c>
      <c r="F260" s="2" t="s">
        <v>16011</v>
      </c>
      <c r="G260" s="2" t="s">
        <v>16011</v>
      </c>
      <c r="H260" s="2" t="s">
        <v>312</v>
      </c>
      <c r="I260" s="2" t="s">
        <v>313</v>
      </c>
      <c r="J260" s="2" t="s">
        <v>7647</v>
      </c>
      <c r="K260" s="2" t="s">
        <v>16009</v>
      </c>
      <c r="L260" s="2"/>
      <c r="M260" s="2"/>
      <c r="N260" s="2"/>
      <c r="O260" s="2" t="s">
        <v>312</v>
      </c>
      <c r="P260" s="2" t="s">
        <v>313</v>
      </c>
      <c r="Q260" s="2" t="s">
        <v>7647</v>
      </c>
      <c r="R260" s="2" t="s">
        <v>16012</v>
      </c>
      <c r="S260" s="2" t="s">
        <v>44</v>
      </c>
      <c r="T260" s="2"/>
      <c r="U260" s="2" t="s">
        <v>3527</v>
      </c>
      <c r="V260" s="2" t="s">
        <v>46</v>
      </c>
      <c r="W260" s="2" t="s">
        <v>3527</v>
      </c>
      <c r="X260" s="2" t="s">
        <v>10787</v>
      </c>
      <c r="Y260" s="2" t="s">
        <v>10801</v>
      </c>
      <c r="Z260" s="2" t="s">
        <v>49</v>
      </c>
      <c r="AA260" s="2">
        <v>100</v>
      </c>
      <c r="AB260" s="2">
        <v>60</v>
      </c>
      <c r="AC260" s="2" t="s">
        <v>9685</v>
      </c>
      <c r="AD260" s="2" t="s">
        <v>16013</v>
      </c>
      <c r="AE260" s="2"/>
      <c r="AF260" s="2" t="s">
        <v>15038</v>
      </c>
      <c r="AG260" s="2" t="s">
        <v>14290</v>
      </c>
    </row>
    <row r="261" spans="1:33" x14ac:dyDescent="0.45">
      <c r="A261" s="2" t="s">
        <v>16014</v>
      </c>
      <c r="B261" s="2" t="s">
        <v>16015</v>
      </c>
      <c r="C261" s="2" t="s">
        <v>16016</v>
      </c>
      <c r="D261" s="2" t="s">
        <v>16017</v>
      </c>
      <c r="E261" s="2" t="s">
        <v>16018</v>
      </c>
      <c r="F261" s="2" t="s">
        <v>16019</v>
      </c>
      <c r="G261" s="2" t="s">
        <v>16019</v>
      </c>
      <c r="H261" s="2" t="s">
        <v>651</v>
      </c>
      <c r="I261" s="2" t="s">
        <v>86</v>
      </c>
      <c r="J261" s="2" t="s">
        <v>14044</v>
      </c>
      <c r="K261" s="2" t="s">
        <v>16020</v>
      </c>
      <c r="L261" s="2"/>
      <c r="M261" s="2"/>
      <c r="N261" s="2"/>
      <c r="O261" s="2" t="s">
        <v>1188</v>
      </c>
      <c r="P261" s="2" t="s">
        <v>221</v>
      </c>
      <c r="Q261" s="2" t="s">
        <v>1189</v>
      </c>
      <c r="R261" s="2" t="s">
        <v>16021</v>
      </c>
      <c r="S261" s="2" t="s">
        <v>44</v>
      </c>
      <c r="T261" s="2"/>
      <c r="U261" s="2" t="s">
        <v>3527</v>
      </c>
      <c r="V261" s="2" t="s">
        <v>46</v>
      </c>
      <c r="W261" s="2" t="s">
        <v>3527</v>
      </c>
      <c r="X261" s="2" t="s">
        <v>12417</v>
      </c>
      <c r="Y261" s="2" t="s">
        <v>10801</v>
      </c>
      <c r="Z261" s="2" t="s">
        <v>49</v>
      </c>
      <c r="AA261" s="2">
        <v>100</v>
      </c>
      <c r="AB261" s="2">
        <v>60</v>
      </c>
      <c r="AC261" s="2" t="s">
        <v>9685</v>
      </c>
      <c r="AD261" s="2" t="s">
        <v>16022</v>
      </c>
      <c r="AE261" s="2"/>
      <c r="AF261" s="2" t="s">
        <v>15038</v>
      </c>
      <c r="AG261" s="2" t="s">
        <v>14290</v>
      </c>
    </row>
    <row r="262" spans="1:33" x14ac:dyDescent="0.45">
      <c r="A262" s="2" t="s">
        <v>16023</v>
      </c>
      <c r="B262" s="2" t="s">
        <v>16024</v>
      </c>
      <c r="C262" s="2" t="s">
        <v>16025</v>
      </c>
      <c r="D262" s="2" t="s">
        <v>16026</v>
      </c>
      <c r="E262" s="2" t="s">
        <v>16027</v>
      </c>
      <c r="F262" s="2" t="s">
        <v>16028</v>
      </c>
      <c r="G262" s="2" t="s">
        <v>16028</v>
      </c>
      <c r="H262" s="2" t="s">
        <v>1188</v>
      </c>
      <c r="I262" s="2" t="s">
        <v>221</v>
      </c>
      <c r="J262" s="2" t="s">
        <v>1189</v>
      </c>
      <c r="K262" s="2" t="s">
        <v>16029</v>
      </c>
      <c r="L262" s="2"/>
      <c r="M262" s="2"/>
      <c r="N262" s="2"/>
      <c r="O262" s="2" t="s">
        <v>216</v>
      </c>
      <c r="P262" s="2" t="s">
        <v>217</v>
      </c>
      <c r="Q262" s="2" t="s">
        <v>218</v>
      </c>
      <c r="R262" s="2" t="s">
        <v>16030</v>
      </c>
      <c r="S262" s="2" t="s">
        <v>44</v>
      </c>
      <c r="T262" s="2"/>
      <c r="U262" s="2" t="s">
        <v>3527</v>
      </c>
      <c r="V262" s="2" t="s">
        <v>46</v>
      </c>
      <c r="W262" s="2" t="s">
        <v>3527</v>
      </c>
      <c r="X262" s="2" t="s">
        <v>10787</v>
      </c>
      <c r="Y262" s="2" t="s">
        <v>10801</v>
      </c>
      <c r="Z262" s="2" t="s">
        <v>49</v>
      </c>
      <c r="AA262" s="2">
        <v>100</v>
      </c>
      <c r="AB262" s="2">
        <v>60</v>
      </c>
      <c r="AC262" s="2" t="s">
        <v>9685</v>
      </c>
      <c r="AD262" s="2" t="s">
        <v>16031</v>
      </c>
      <c r="AE262" s="2"/>
      <c r="AF262" s="2" t="s">
        <v>15038</v>
      </c>
      <c r="AG262" s="2" t="s">
        <v>14290</v>
      </c>
    </row>
    <row r="263" spans="1:33" x14ac:dyDescent="0.45">
      <c r="A263" s="2" t="s">
        <v>16032</v>
      </c>
      <c r="B263" s="2" t="s">
        <v>16033</v>
      </c>
      <c r="C263" s="2" t="s">
        <v>16034</v>
      </c>
      <c r="D263" s="2" t="s">
        <v>16035</v>
      </c>
      <c r="E263" s="2" t="s">
        <v>16036</v>
      </c>
      <c r="F263" s="2" t="s">
        <v>16037</v>
      </c>
      <c r="G263" s="2" t="s">
        <v>16037</v>
      </c>
      <c r="H263" s="2" t="s">
        <v>59</v>
      </c>
      <c r="I263" s="2" t="s">
        <v>60</v>
      </c>
      <c r="J263" s="2" t="s">
        <v>5513</v>
      </c>
      <c r="K263" s="2" t="s">
        <v>16038</v>
      </c>
      <c r="L263" s="2"/>
      <c r="M263" s="2"/>
      <c r="N263" s="2"/>
      <c r="O263" s="2" t="s">
        <v>59</v>
      </c>
      <c r="P263" s="2" t="s">
        <v>60</v>
      </c>
      <c r="Q263" s="2" t="s">
        <v>5513</v>
      </c>
      <c r="R263" s="2" t="s">
        <v>4791</v>
      </c>
      <c r="S263" s="2" t="s">
        <v>44</v>
      </c>
      <c r="T263" s="2"/>
      <c r="U263" s="2" t="s">
        <v>3527</v>
      </c>
      <c r="V263" s="2" t="s">
        <v>46</v>
      </c>
      <c r="W263" s="2" t="s">
        <v>3527</v>
      </c>
      <c r="X263" s="2" t="s">
        <v>10787</v>
      </c>
      <c r="Y263" s="2" t="s">
        <v>10801</v>
      </c>
      <c r="Z263" s="2" t="s">
        <v>49</v>
      </c>
      <c r="AA263" s="2">
        <v>100</v>
      </c>
      <c r="AB263" s="2">
        <v>60</v>
      </c>
      <c r="AC263" s="2" t="s">
        <v>9685</v>
      </c>
      <c r="AD263" s="2" t="s">
        <v>16039</v>
      </c>
      <c r="AE263" s="2"/>
      <c r="AF263" s="2" t="s">
        <v>15038</v>
      </c>
      <c r="AG263" s="2" t="s">
        <v>14290</v>
      </c>
    </row>
    <row r="264" spans="1:33" x14ac:dyDescent="0.45">
      <c r="A264" s="2" t="s">
        <v>16040</v>
      </c>
      <c r="B264" s="2" t="s">
        <v>16041</v>
      </c>
      <c r="C264" s="2" t="s">
        <v>16042</v>
      </c>
      <c r="D264" s="2" t="s">
        <v>16043</v>
      </c>
      <c r="E264" s="2" t="s">
        <v>16044</v>
      </c>
      <c r="F264" s="2" t="s">
        <v>16045</v>
      </c>
      <c r="G264" s="2" t="s">
        <v>16045</v>
      </c>
      <c r="H264" s="2" t="s">
        <v>277</v>
      </c>
      <c r="I264" s="2" t="s">
        <v>278</v>
      </c>
      <c r="J264" s="2" t="s">
        <v>7002</v>
      </c>
      <c r="K264" s="2" t="s">
        <v>16046</v>
      </c>
      <c r="L264" s="2"/>
      <c r="M264" s="2"/>
      <c r="N264" s="2"/>
      <c r="O264" s="2" t="s">
        <v>59</v>
      </c>
      <c r="P264" s="2" t="s">
        <v>60</v>
      </c>
      <c r="Q264" s="2" t="s">
        <v>5251</v>
      </c>
      <c r="R264" s="2" t="s">
        <v>13838</v>
      </c>
      <c r="S264" s="2" t="s">
        <v>44</v>
      </c>
      <c r="T264" s="2"/>
      <c r="U264" s="2" t="s">
        <v>3527</v>
      </c>
      <c r="V264" s="2" t="s">
        <v>46</v>
      </c>
      <c r="W264" s="2" t="s">
        <v>3527</v>
      </c>
      <c r="X264" s="2" t="s">
        <v>10787</v>
      </c>
      <c r="Y264" s="2" t="s">
        <v>10801</v>
      </c>
      <c r="Z264" s="2" t="s">
        <v>49</v>
      </c>
      <c r="AA264" s="2">
        <v>100</v>
      </c>
      <c r="AB264" s="2">
        <v>60</v>
      </c>
      <c r="AC264" s="2" t="s">
        <v>9685</v>
      </c>
      <c r="AD264" s="2" t="s">
        <v>16047</v>
      </c>
      <c r="AE264" s="2"/>
      <c r="AF264" s="2" t="s">
        <v>15038</v>
      </c>
      <c r="AG264" s="2" t="s">
        <v>14290</v>
      </c>
    </row>
    <row r="265" spans="1:33" x14ac:dyDescent="0.45">
      <c r="A265" s="2" t="s">
        <v>16048</v>
      </c>
      <c r="B265" s="2" t="s">
        <v>16049</v>
      </c>
      <c r="C265" s="2" t="s">
        <v>16050</v>
      </c>
      <c r="D265" s="2" t="s">
        <v>16051</v>
      </c>
      <c r="E265" s="2" t="s">
        <v>16052</v>
      </c>
      <c r="F265" s="2" t="s">
        <v>16053</v>
      </c>
      <c r="G265" s="2" t="s">
        <v>16053</v>
      </c>
      <c r="H265" s="2" t="s">
        <v>277</v>
      </c>
      <c r="I265" s="2" t="s">
        <v>278</v>
      </c>
      <c r="J265" s="2" t="s">
        <v>279</v>
      </c>
      <c r="K265" s="2" t="s">
        <v>16051</v>
      </c>
      <c r="L265" s="2"/>
      <c r="M265" s="2"/>
      <c r="N265" s="2"/>
      <c r="O265" s="2" t="s">
        <v>277</v>
      </c>
      <c r="P265" s="2" t="s">
        <v>278</v>
      </c>
      <c r="Q265" s="2" t="s">
        <v>279</v>
      </c>
      <c r="R265" s="2" t="s">
        <v>16054</v>
      </c>
      <c r="S265" s="2" t="s">
        <v>44</v>
      </c>
      <c r="T265" s="2"/>
      <c r="U265" s="2" t="s">
        <v>3527</v>
      </c>
      <c r="V265" s="2" t="s">
        <v>46</v>
      </c>
      <c r="W265" s="2" t="s">
        <v>3527</v>
      </c>
      <c r="X265" s="2" t="s">
        <v>10787</v>
      </c>
      <c r="Y265" s="2" t="s">
        <v>10801</v>
      </c>
      <c r="Z265" s="2" t="s">
        <v>49</v>
      </c>
      <c r="AA265" s="2">
        <v>100</v>
      </c>
      <c r="AB265" s="2">
        <v>60</v>
      </c>
      <c r="AC265" s="2" t="s">
        <v>9685</v>
      </c>
      <c r="AD265" s="2" t="s">
        <v>16055</v>
      </c>
      <c r="AE265" s="2"/>
      <c r="AF265" s="2" t="s">
        <v>15038</v>
      </c>
      <c r="AG265" s="2" t="s">
        <v>14290</v>
      </c>
    </row>
    <row r="266" spans="1:33" x14ac:dyDescent="0.45">
      <c r="A266" s="2" t="s">
        <v>16056</v>
      </c>
      <c r="B266" s="2" t="s">
        <v>16057</v>
      </c>
      <c r="C266" s="2" t="s">
        <v>16058</v>
      </c>
      <c r="D266" s="2" t="s">
        <v>16059</v>
      </c>
      <c r="E266" s="2" t="s">
        <v>16060</v>
      </c>
      <c r="F266" s="2" t="s">
        <v>16061</v>
      </c>
      <c r="G266" s="2" t="s">
        <v>16061</v>
      </c>
      <c r="H266" s="2" t="s">
        <v>277</v>
      </c>
      <c r="I266" s="2" t="s">
        <v>278</v>
      </c>
      <c r="J266" s="2" t="s">
        <v>1058</v>
      </c>
      <c r="K266" s="2" t="s">
        <v>16062</v>
      </c>
      <c r="L266" s="2"/>
      <c r="M266" s="2"/>
      <c r="N266" s="2"/>
      <c r="O266" s="2" t="s">
        <v>277</v>
      </c>
      <c r="P266" s="2" t="s">
        <v>278</v>
      </c>
      <c r="Q266" s="2" t="s">
        <v>1058</v>
      </c>
      <c r="R266" s="2" t="s">
        <v>4928</v>
      </c>
      <c r="S266" s="2" t="s">
        <v>44</v>
      </c>
      <c r="T266" s="2"/>
      <c r="U266" s="2" t="s">
        <v>3527</v>
      </c>
      <c r="V266" s="2" t="s">
        <v>46</v>
      </c>
      <c r="W266" s="2" t="s">
        <v>3527</v>
      </c>
      <c r="X266" s="2" t="s">
        <v>10787</v>
      </c>
      <c r="Y266" s="2" t="s">
        <v>10801</v>
      </c>
      <c r="Z266" s="2" t="s">
        <v>49</v>
      </c>
      <c r="AA266" s="2">
        <v>100</v>
      </c>
      <c r="AB266" s="2">
        <v>60</v>
      </c>
      <c r="AC266" s="2" t="s">
        <v>9685</v>
      </c>
      <c r="AD266" s="2" t="s">
        <v>16063</v>
      </c>
      <c r="AE266" s="2"/>
      <c r="AF266" s="2" t="s">
        <v>15038</v>
      </c>
      <c r="AG266" s="2" t="s">
        <v>14290</v>
      </c>
    </row>
    <row r="267" spans="1:33" x14ac:dyDescent="0.45">
      <c r="A267" s="2" t="s">
        <v>16064</v>
      </c>
      <c r="B267" s="2" t="s">
        <v>16065</v>
      </c>
      <c r="C267" s="2" t="s">
        <v>16066</v>
      </c>
      <c r="D267" s="2" t="s">
        <v>16067</v>
      </c>
      <c r="E267" s="2" t="s">
        <v>16068</v>
      </c>
      <c r="F267" s="2" t="s">
        <v>16069</v>
      </c>
      <c r="G267" s="2"/>
      <c r="H267" s="2" t="s">
        <v>536</v>
      </c>
      <c r="I267" s="2" t="s">
        <v>537</v>
      </c>
      <c r="J267" s="2" t="s">
        <v>2429</v>
      </c>
      <c r="K267" s="2" t="s">
        <v>16070</v>
      </c>
      <c r="L267" s="2"/>
      <c r="M267" s="2"/>
      <c r="N267" s="2"/>
      <c r="O267" s="2" t="s">
        <v>536</v>
      </c>
      <c r="P267" s="2" t="s">
        <v>537</v>
      </c>
      <c r="Q267" s="2" t="s">
        <v>2429</v>
      </c>
      <c r="R267" s="2" t="s">
        <v>4965</v>
      </c>
      <c r="S267" s="2" t="s">
        <v>44</v>
      </c>
      <c r="T267" s="2"/>
      <c r="U267" s="2" t="s">
        <v>3527</v>
      </c>
      <c r="V267" s="2" t="s">
        <v>46</v>
      </c>
      <c r="W267" s="2" t="s">
        <v>3527</v>
      </c>
      <c r="X267" s="2" t="s">
        <v>10787</v>
      </c>
      <c r="Y267" s="2" t="s">
        <v>10801</v>
      </c>
      <c r="Z267" s="2" t="s">
        <v>49</v>
      </c>
      <c r="AA267" s="2">
        <v>100</v>
      </c>
      <c r="AB267" s="2">
        <v>60</v>
      </c>
      <c r="AC267" s="2" t="s">
        <v>9685</v>
      </c>
      <c r="AD267" s="2" t="s">
        <v>16071</v>
      </c>
      <c r="AE267" s="2"/>
      <c r="AF267" s="2" t="s">
        <v>15038</v>
      </c>
      <c r="AG267" s="2" t="s">
        <v>14290</v>
      </c>
    </row>
    <row r="268" spans="1:33" x14ac:dyDescent="0.45">
      <c r="A268" s="2" t="s">
        <v>16072</v>
      </c>
      <c r="B268" s="2" t="s">
        <v>16073</v>
      </c>
      <c r="C268" s="2" t="s">
        <v>16074</v>
      </c>
      <c r="D268" s="2" t="s">
        <v>16075</v>
      </c>
      <c r="E268" s="2" t="s">
        <v>16076</v>
      </c>
      <c r="F268" s="2" t="s">
        <v>16077</v>
      </c>
      <c r="G268" s="2" t="s">
        <v>16077</v>
      </c>
      <c r="H268" s="2" t="s">
        <v>536</v>
      </c>
      <c r="I268" s="2" t="s">
        <v>537</v>
      </c>
      <c r="J268" s="2" t="s">
        <v>1428</v>
      </c>
      <c r="K268" s="2" t="s">
        <v>16078</v>
      </c>
      <c r="L268" s="2"/>
      <c r="M268" s="2"/>
      <c r="N268" s="2"/>
      <c r="O268" s="2" t="s">
        <v>536</v>
      </c>
      <c r="P268" s="2" t="s">
        <v>537</v>
      </c>
      <c r="Q268" s="2" t="s">
        <v>538</v>
      </c>
      <c r="R268" s="2" t="s">
        <v>7071</v>
      </c>
      <c r="S268" s="2" t="s">
        <v>44</v>
      </c>
      <c r="T268" s="2"/>
      <c r="U268" s="2" t="s">
        <v>3527</v>
      </c>
      <c r="V268" s="2" t="s">
        <v>46</v>
      </c>
      <c r="W268" s="2" t="s">
        <v>3527</v>
      </c>
      <c r="X268" s="2" t="s">
        <v>10787</v>
      </c>
      <c r="Y268" s="2" t="s">
        <v>10801</v>
      </c>
      <c r="Z268" s="2" t="s">
        <v>49</v>
      </c>
      <c r="AA268" s="2">
        <v>100</v>
      </c>
      <c r="AB268" s="2">
        <v>60</v>
      </c>
      <c r="AC268" s="2" t="s">
        <v>9685</v>
      </c>
      <c r="AD268" s="2" t="s">
        <v>16079</v>
      </c>
      <c r="AE268" s="2"/>
      <c r="AF268" s="2" t="s">
        <v>15038</v>
      </c>
      <c r="AG268" s="2" t="s">
        <v>14290</v>
      </c>
    </row>
    <row r="269" spans="1:33" x14ac:dyDescent="0.45">
      <c r="A269" s="2" t="s">
        <v>16080</v>
      </c>
      <c r="B269" s="2" t="s">
        <v>16081</v>
      </c>
      <c r="C269" s="2" t="s">
        <v>16082</v>
      </c>
      <c r="D269" s="2" t="s">
        <v>16083</v>
      </c>
      <c r="E269" s="2" t="s">
        <v>16084</v>
      </c>
      <c r="F269" s="2" t="s">
        <v>16085</v>
      </c>
      <c r="G269" s="2" t="s">
        <v>16085</v>
      </c>
      <c r="H269" s="2" t="s">
        <v>72</v>
      </c>
      <c r="I269" s="2" t="s">
        <v>73</v>
      </c>
      <c r="J269" s="2" t="s">
        <v>16086</v>
      </c>
      <c r="K269" s="2" t="s">
        <v>16087</v>
      </c>
      <c r="L269" s="2"/>
      <c r="M269" s="2"/>
      <c r="N269" s="2"/>
      <c r="O269" s="2" t="s">
        <v>72</v>
      </c>
      <c r="P269" s="2" t="s">
        <v>73</v>
      </c>
      <c r="Q269" s="2" t="s">
        <v>16086</v>
      </c>
      <c r="R269" s="2" t="s">
        <v>7071</v>
      </c>
      <c r="S269" s="2" t="s">
        <v>44</v>
      </c>
      <c r="T269" s="2"/>
      <c r="U269" s="2" t="s">
        <v>3527</v>
      </c>
      <c r="V269" s="2" t="s">
        <v>46</v>
      </c>
      <c r="W269" s="2" t="s">
        <v>3527</v>
      </c>
      <c r="X269" s="2" t="s">
        <v>10787</v>
      </c>
      <c r="Y269" s="2" t="s">
        <v>10801</v>
      </c>
      <c r="Z269" s="2" t="s">
        <v>49</v>
      </c>
      <c r="AA269" s="2">
        <v>100</v>
      </c>
      <c r="AB269" s="2">
        <v>60</v>
      </c>
      <c r="AC269" s="2" t="s">
        <v>9685</v>
      </c>
      <c r="AD269" s="2" t="s">
        <v>16088</v>
      </c>
      <c r="AE269" s="2"/>
      <c r="AF269" s="2" t="s">
        <v>15038</v>
      </c>
      <c r="AG269" s="2" t="s">
        <v>14290</v>
      </c>
    </row>
    <row r="270" spans="1:33" x14ac:dyDescent="0.45">
      <c r="A270" s="2" t="s">
        <v>16089</v>
      </c>
      <c r="B270" s="2" t="s">
        <v>16090</v>
      </c>
      <c r="C270" s="2" t="s">
        <v>16091</v>
      </c>
      <c r="D270" s="2" t="s">
        <v>16092</v>
      </c>
      <c r="E270" s="2" t="s">
        <v>16093</v>
      </c>
      <c r="F270" s="2" t="s">
        <v>3562</v>
      </c>
      <c r="G270" s="2" t="s">
        <v>3562</v>
      </c>
      <c r="H270" s="2" t="s">
        <v>277</v>
      </c>
      <c r="I270" s="2" t="s">
        <v>278</v>
      </c>
      <c r="J270" s="2" t="s">
        <v>1060</v>
      </c>
      <c r="K270" s="2" t="s">
        <v>16092</v>
      </c>
      <c r="L270" s="2"/>
      <c r="M270" s="2"/>
      <c r="N270" s="2"/>
      <c r="O270" s="2" t="s">
        <v>277</v>
      </c>
      <c r="P270" s="2" t="s">
        <v>278</v>
      </c>
      <c r="Q270" s="2" t="s">
        <v>1060</v>
      </c>
      <c r="R270" s="2" t="s">
        <v>10017</v>
      </c>
      <c r="S270" s="2" t="s">
        <v>44</v>
      </c>
      <c r="T270" s="2"/>
      <c r="U270" s="2" t="s">
        <v>3527</v>
      </c>
      <c r="V270" s="2" t="s">
        <v>46</v>
      </c>
      <c r="W270" s="2" t="s">
        <v>3527</v>
      </c>
      <c r="X270" s="2" t="s">
        <v>10787</v>
      </c>
      <c r="Y270" s="2" t="s">
        <v>10801</v>
      </c>
      <c r="Z270" s="2" t="s">
        <v>49</v>
      </c>
      <c r="AA270" s="2">
        <v>100</v>
      </c>
      <c r="AB270" s="2">
        <v>60</v>
      </c>
      <c r="AC270" s="2" t="s">
        <v>9685</v>
      </c>
      <c r="AD270" s="2" t="s">
        <v>16094</v>
      </c>
      <c r="AE270" s="2"/>
      <c r="AF270" s="2" t="s">
        <v>15038</v>
      </c>
      <c r="AG270" s="2" t="s">
        <v>14290</v>
      </c>
    </row>
    <row r="271" spans="1:33" x14ac:dyDescent="0.45">
      <c r="A271" s="2" t="s">
        <v>16095</v>
      </c>
      <c r="B271" s="2" t="s">
        <v>16096</v>
      </c>
      <c r="C271" s="2" t="s">
        <v>16097</v>
      </c>
      <c r="D271" s="2" t="s">
        <v>16098</v>
      </c>
      <c r="E271" s="2" t="s">
        <v>16099</v>
      </c>
      <c r="F271" s="2" t="s">
        <v>16100</v>
      </c>
      <c r="G271" s="2" t="s">
        <v>16100</v>
      </c>
      <c r="H271" s="2" t="s">
        <v>72</v>
      </c>
      <c r="I271" s="2" t="s">
        <v>73</v>
      </c>
      <c r="J271" s="2" t="s">
        <v>791</v>
      </c>
      <c r="K271" s="2" t="s">
        <v>16098</v>
      </c>
      <c r="L271" s="2"/>
      <c r="M271" s="2"/>
      <c r="N271" s="2"/>
      <c r="O271" s="2" t="s">
        <v>72</v>
      </c>
      <c r="P271" s="2" t="s">
        <v>73</v>
      </c>
      <c r="Q271" s="2" t="s">
        <v>791</v>
      </c>
      <c r="R271" s="2" t="s">
        <v>589</v>
      </c>
      <c r="S271" s="2" t="s">
        <v>44</v>
      </c>
      <c r="T271" s="2"/>
      <c r="U271" s="2" t="s">
        <v>3527</v>
      </c>
      <c r="V271" s="2" t="s">
        <v>46</v>
      </c>
      <c r="W271" s="2" t="s">
        <v>3527</v>
      </c>
      <c r="X271" s="2" t="s">
        <v>10787</v>
      </c>
      <c r="Y271" s="2" t="s">
        <v>10801</v>
      </c>
      <c r="Z271" s="2" t="s">
        <v>49</v>
      </c>
      <c r="AA271" s="2">
        <v>100</v>
      </c>
      <c r="AB271" s="2">
        <v>60</v>
      </c>
      <c r="AC271" s="2" t="s">
        <v>9685</v>
      </c>
      <c r="AD271" s="2" t="s">
        <v>16101</v>
      </c>
      <c r="AE271" s="2"/>
      <c r="AF271" s="2" t="s">
        <v>15038</v>
      </c>
      <c r="AG271" s="2" t="s">
        <v>14290</v>
      </c>
    </row>
    <row r="272" spans="1:33" x14ac:dyDescent="0.45">
      <c r="A272" s="2" t="s">
        <v>16102</v>
      </c>
      <c r="B272" s="2" t="s">
        <v>16103</v>
      </c>
      <c r="C272" s="2" t="s">
        <v>16104</v>
      </c>
      <c r="D272" s="2" t="s">
        <v>16105</v>
      </c>
      <c r="E272" s="2" t="s">
        <v>16106</v>
      </c>
      <c r="F272" s="2" t="s">
        <v>16107</v>
      </c>
      <c r="G272" s="2" t="s">
        <v>16107</v>
      </c>
      <c r="H272" s="2" t="s">
        <v>290</v>
      </c>
      <c r="I272" s="2" t="s">
        <v>278</v>
      </c>
      <c r="J272" s="2" t="s">
        <v>7622</v>
      </c>
      <c r="K272" s="2" t="s">
        <v>16105</v>
      </c>
      <c r="L272" s="2"/>
      <c r="M272" s="2"/>
      <c r="N272" s="2"/>
      <c r="O272" s="2" t="s">
        <v>290</v>
      </c>
      <c r="P272" s="2" t="s">
        <v>278</v>
      </c>
      <c r="Q272" s="2" t="s">
        <v>7622</v>
      </c>
      <c r="R272" s="2" t="s">
        <v>7080</v>
      </c>
      <c r="S272" s="2" t="s">
        <v>44</v>
      </c>
      <c r="T272" s="2"/>
      <c r="U272" s="2" t="s">
        <v>3527</v>
      </c>
      <c r="V272" s="2" t="s">
        <v>46</v>
      </c>
      <c r="W272" s="2" t="s">
        <v>3527</v>
      </c>
      <c r="X272" s="2" t="s">
        <v>10787</v>
      </c>
      <c r="Y272" s="2" t="s">
        <v>10801</v>
      </c>
      <c r="Z272" s="2" t="s">
        <v>49</v>
      </c>
      <c r="AA272" s="2">
        <v>100</v>
      </c>
      <c r="AB272" s="2">
        <v>60</v>
      </c>
      <c r="AC272" s="2" t="s">
        <v>9685</v>
      </c>
      <c r="AD272" s="2" t="s">
        <v>16108</v>
      </c>
      <c r="AE272" s="2"/>
      <c r="AF272" s="2" t="s">
        <v>15038</v>
      </c>
      <c r="AG272" s="2" t="s">
        <v>14290</v>
      </c>
    </row>
    <row r="273" spans="1:33" x14ac:dyDescent="0.45">
      <c r="A273" s="2" t="s">
        <v>16109</v>
      </c>
      <c r="B273" s="2" t="s">
        <v>16110</v>
      </c>
      <c r="C273" s="2" t="s">
        <v>16111</v>
      </c>
      <c r="D273" s="2" t="s">
        <v>16112</v>
      </c>
      <c r="E273" s="2" t="s">
        <v>16113</v>
      </c>
      <c r="F273" s="2" t="s">
        <v>16114</v>
      </c>
      <c r="G273" s="2" t="s">
        <v>16114</v>
      </c>
      <c r="H273" s="2" t="s">
        <v>72</v>
      </c>
      <c r="I273" s="2" t="s">
        <v>73</v>
      </c>
      <c r="J273" s="2" t="s">
        <v>8038</v>
      </c>
      <c r="K273" s="2" t="s">
        <v>16112</v>
      </c>
      <c r="L273" s="2"/>
      <c r="M273" s="2"/>
      <c r="N273" s="2"/>
      <c r="O273" s="2" t="s">
        <v>72</v>
      </c>
      <c r="P273" s="2" t="s">
        <v>73</v>
      </c>
      <c r="Q273" s="2" t="s">
        <v>8038</v>
      </c>
      <c r="R273" s="2" t="s">
        <v>8456</v>
      </c>
      <c r="S273" s="2" t="s">
        <v>44</v>
      </c>
      <c r="T273" s="2"/>
      <c r="U273" s="2" t="s">
        <v>3527</v>
      </c>
      <c r="V273" s="2" t="s">
        <v>46</v>
      </c>
      <c r="W273" s="2" t="s">
        <v>3527</v>
      </c>
      <c r="X273" s="2" t="s">
        <v>10787</v>
      </c>
      <c r="Y273" s="2" t="s">
        <v>10801</v>
      </c>
      <c r="Z273" s="2" t="s">
        <v>49</v>
      </c>
      <c r="AA273" s="2">
        <v>100</v>
      </c>
      <c r="AB273" s="2">
        <v>60</v>
      </c>
      <c r="AC273" s="2" t="s">
        <v>9685</v>
      </c>
      <c r="AD273" s="2" t="s">
        <v>16115</v>
      </c>
      <c r="AE273" s="2"/>
      <c r="AF273" s="2" t="s">
        <v>15038</v>
      </c>
      <c r="AG273" s="2" t="s">
        <v>14290</v>
      </c>
    </row>
    <row r="274" spans="1:33" x14ac:dyDescent="0.45">
      <c r="A274" s="2" t="s">
        <v>16116</v>
      </c>
      <c r="B274" s="2" t="s">
        <v>16117</v>
      </c>
      <c r="C274" s="2" t="s">
        <v>16118</v>
      </c>
      <c r="D274" s="2" t="s">
        <v>16119</v>
      </c>
      <c r="E274" s="2" t="s">
        <v>16120</v>
      </c>
      <c r="F274" s="2" t="s">
        <v>16121</v>
      </c>
      <c r="G274" s="2" t="s">
        <v>16121</v>
      </c>
      <c r="H274" s="2" t="s">
        <v>384</v>
      </c>
      <c r="I274" s="2" t="s">
        <v>73</v>
      </c>
      <c r="J274" s="2" t="s">
        <v>7107</v>
      </c>
      <c r="K274" s="2" t="s">
        <v>16119</v>
      </c>
      <c r="L274" s="2"/>
      <c r="M274" s="2"/>
      <c r="N274" s="2"/>
      <c r="O274" s="2" t="s">
        <v>384</v>
      </c>
      <c r="P274" s="2" t="s">
        <v>73</v>
      </c>
      <c r="Q274" s="2" t="s">
        <v>7107</v>
      </c>
      <c r="R274" s="2" t="s">
        <v>6090</v>
      </c>
      <c r="S274" s="2" t="s">
        <v>44</v>
      </c>
      <c r="T274" s="2"/>
      <c r="U274" s="2" t="s">
        <v>3527</v>
      </c>
      <c r="V274" s="2" t="s">
        <v>46</v>
      </c>
      <c r="W274" s="2" t="s">
        <v>3527</v>
      </c>
      <c r="X274" s="2" t="s">
        <v>10787</v>
      </c>
      <c r="Y274" s="2" t="s">
        <v>10801</v>
      </c>
      <c r="Z274" s="2" t="s">
        <v>49</v>
      </c>
      <c r="AA274" s="2">
        <v>100</v>
      </c>
      <c r="AB274" s="2">
        <v>60</v>
      </c>
      <c r="AC274" s="2" t="s">
        <v>9685</v>
      </c>
      <c r="AD274" s="2" t="s">
        <v>16122</v>
      </c>
      <c r="AE274" s="2"/>
      <c r="AF274" s="2" t="s">
        <v>15038</v>
      </c>
      <c r="AG274" s="2" t="s">
        <v>14290</v>
      </c>
    </row>
    <row r="275" spans="1:33" x14ac:dyDescent="0.45">
      <c r="A275" s="2" t="s">
        <v>16123</v>
      </c>
      <c r="B275" s="2" t="s">
        <v>16124</v>
      </c>
      <c r="C275" s="2" t="s">
        <v>16125</v>
      </c>
      <c r="D275" s="2" t="s">
        <v>16126</v>
      </c>
      <c r="E275" s="2" t="s">
        <v>16127</v>
      </c>
      <c r="F275" s="2" t="s">
        <v>16128</v>
      </c>
      <c r="G275" s="2" t="s">
        <v>16128</v>
      </c>
      <c r="H275" s="2" t="s">
        <v>85</v>
      </c>
      <c r="I275" s="2" t="s">
        <v>86</v>
      </c>
      <c r="J275" s="2" t="s">
        <v>3948</v>
      </c>
      <c r="K275" s="2" t="s">
        <v>16129</v>
      </c>
      <c r="L275" s="2"/>
      <c r="M275" s="2"/>
      <c r="N275" s="2"/>
      <c r="O275" s="2" t="s">
        <v>85</v>
      </c>
      <c r="P275" s="2" t="s">
        <v>86</v>
      </c>
      <c r="Q275" s="2" t="s">
        <v>314</v>
      </c>
      <c r="R275" s="2" t="s">
        <v>6090</v>
      </c>
      <c r="S275" s="2" t="s">
        <v>44</v>
      </c>
      <c r="T275" s="2"/>
      <c r="U275" s="2" t="s">
        <v>3527</v>
      </c>
      <c r="V275" s="2" t="s">
        <v>46</v>
      </c>
      <c r="W275" s="2" t="s">
        <v>3527</v>
      </c>
      <c r="X275" s="2" t="s">
        <v>10787</v>
      </c>
      <c r="Y275" s="2" t="s">
        <v>10801</v>
      </c>
      <c r="Z275" s="2" t="s">
        <v>49</v>
      </c>
      <c r="AA275" s="2">
        <v>100</v>
      </c>
      <c r="AB275" s="2">
        <v>60</v>
      </c>
      <c r="AC275" s="2" t="s">
        <v>9685</v>
      </c>
      <c r="AD275" s="2" t="s">
        <v>16130</v>
      </c>
      <c r="AE275" s="2"/>
      <c r="AF275" s="2" t="s">
        <v>15038</v>
      </c>
      <c r="AG275" s="2" t="s">
        <v>14290</v>
      </c>
    </row>
    <row r="276" spans="1:33" x14ac:dyDescent="0.45">
      <c r="A276" s="2" t="s">
        <v>16131</v>
      </c>
      <c r="B276" s="2" t="s">
        <v>16132</v>
      </c>
      <c r="C276" s="2" t="s">
        <v>16133</v>
      </c>
      <c r="D276" s="2" t="s">
        <v>16134</v>
      </c>
      <c r="E276" s="2" t="s">
        <v>16135</v>
      </c>
      <c r="F276" s="2" t="s">
        <v>16136</v>
      </c>
      <c r="G276" s="2" t="s">
        <v>16136</v>
      </c>
      <c r="H276" s="2" t="s">
        <v>1023</v>
      </c>
      <c r="I276" s="2" t="s">
        <v>73</v>
      </c>
      <c r="J276" s="2" t="s">
        <v>5695</v>
      </c>
      <c r="K276" s="2" t="s">
        <v>16134</v>
      </c>
      <c r="L276" s="2"/>
      <c r="M276" s="2"/>
      <c r="N276" s="2"/>
      <c r="O276" s="2" t="s">
        <v>1023</v>
      </c>
      <c r="P276" s="2" t="s">
        <v>73</v>
      </c>
      <c r="Q276" s="2" t="s">
        <v>5695</v>
      </c>
      <c r="R276" s="2" t="s">
        <v>5115</v>
      </c>
      <c r="S276" s="2" t="s">
        <v>44</v>
      </c>
      <c r="T276" s="2"/>
      <c r="U276" s="2" t="s">
        <v>3527</v>
      </c>
      <c r="V276" s="2" t="s">
        <v>46</v>
      </c>
      <c r="W276" s="2" t="s">
        <v>3527</v>
      </c>
      <c r="X276" s="2" t="s">
        <v>10787</v>
      </c>
      <c r="Y276" s="2" t="s">
        <v>10801</v>
      </c>
      <c r="Z276" s="2" t="s">
        <v>49</v>
      </c>
      <c r="AA276" s="2">
        <v>100</v>
      </c>
      <c r="AB276" s="2">
        <v>60</v>
      </c>
      <c r="AC276" s="2" t="s">
        <v>9685</v>
      </c>
      <c r="AD276" s="2" t="s">
        <v>16137</v>
      </c>
      <c r="AE276" s="2"/>
      <c r="AF276" s="2" t="s">
        <v>15038</v>
      </c>
      <c r="AG276" s="2" t="s">
        <v>14290</v>
      </c>
    </row>
    <row r="277" spans="1:33" x14ac:dyDescent="0.45">
      <c r="A277" s="2" t="s">
        <v>16138</v>
      </c>
      <c r="B277" s="2" t="s">
        <v>16139</v>
      </c>
      <c r="C277" s="2" t="s">
        <v>16140</v>
      </c>
      <c r="D277" s="2" t="s">
        <v>16141</v>
      </c>
      <c r="E277" s="2" t="s">
        <v>16142</v>
      </c>
      <c r="F277" s="2" t="s">
        <v>16143</v>
      </c>
      <c r="G277" s="2" t="s">
        <v>16143</v>
      </c>
      <c r="H277" s="2" t="s">
        <v>72</v>
      </c>
      <c r="I277" s="2" t="s">
        <v>73</v>
      </c>
      <c r="J277" s="2" t="s">
        <v>1568</v>
      </c>
      <c r="K277" s="2" t="s">
        <v>16144</v>
      </c>
      <c r="L277" s="2"/>
      <c r="M277" s="2"/>
      <c r="N277" s="2"/>
      <c r="O277" s="2" t="s">
        <v>5842</v>
      </c>
      <c r="P277" s="2" t="s">
        <v>221</v>
      </c>
      <c r="Q277" s="2" t="s">
        <v>16145</v>
      </c>
      <c r="R277" s="2" t="s">
        <v>7259</v>
      </c>
      <c r="S277" s="2" t="s">
        <v>44</v>
      </c>
      <c r="T277" s="2"/>
      <c r="U277" s="2" t="s">
        <v>3527</v>
      </c>
      <c r="V277" s="2" t="s">
        <v>46</v>
      </c>
      <c r="W277" s="2" t="s">
        <v>3527</v>
      </c>
      <c r="X277" s="2" t="s">
        <v>10787</v>
      </c>
      <c r="Y277" s="2" t="s">
        <v>10801</v>
      </c>
      <c r="Z277" s="2" t="s">
        <v>49</v>
      </c>
      <c r="AA277" s="2">
        <v>100</v>
      </c>
      <c r="AB277" s="2">
        <v>60</v>
      </c>
      <c r="AC277" s="2" t="s">
        <v>9685</v>
      </c>
      <c r="AD277" s="2" t="s">
        <v>16146</v>
      </c>
      <c r="AE277" s="2"/>
      <c r="AF277" s="2" t="s">
        <v>15038</v>
      </c>
      <c r="AG277" s="2" t="s">
        <v>14290</v>
      </c>
    </row>
    <row r="278" spans="1:33" x14ac:dyDescent="0.45">
      <c r="A278" s="2" t="s">
        <v>16147</v>
      </c>
      <c r="B278" s="2" t="s">
        <v>16148</v>
      </c>
      <c r="C278" s="2" t="s">
        <v>16149</v>
      </c>
      <c r="D278" s="2" t="s">
        <v>16150</v>
      </c>
      <c r="E278" s="2" t="s">
        <v>16151</v>
      </c>
      <c r="F278" s="2" t="s">
        <v>16152</v>
      </c>
      <c r="G278" s="2" t="s">
        <v>16152</v>
      </c>
      <c r="H278" s="2" t="s">
        <v>277</v>
      </c>
      <c r="I278" s="2" t="s">
        <v>278</v>
      </c>
      <c r="J278" s="2" t="s">
        <v>7002</v>
      </c>
      <c r="K278" s="2" t="s">
        <v>16153</v>
      </c>
      <c r="L278" s="2"/>
      <c r="M278" s="2"/>
      <c r="N278" s="2"/>
      <c r="O278" s="2" t="s">
        <v>1161</v>
      </c>
      <c r="P278" s="2" t="s">
        <v>221</v>
      </c>
      <c r="Q278" s="2" t="s">
        <v>16154</v>
      </c>
      <c r="R278" s="2" t="s">
        <v>6118</v>
      </c>
      <c r="S278" s="2" t="s">
        <v>44</v>
      </c>
      <c r="T278" s="2"/>
      <c r="U278" s="2" t="s">
        <v>3527</v>
      </c>
      <c r="V278" s="2" t="s">
        <v>46</v>
      </c>
      <c r="W278" s="2" t="s">
        <v>3527</v>
      </c>
      <c r="X278" s="2" t="s">
        <v>10787</v>
      </c>
      <c r="Y278" s="2" t="s">
        <v>10801</v>
      </c>
      <c r="Z278" s="2" t="s">
        <v>49</v>
      </c>
      <c r="AA278" s="2">
        <v>100</v>
      </c>
      <c r="AB278" s="2">
        <v>60</v>
      </c>
      <c r="AC278" s="2" t="s">
        <v>9685</v>
      </c>
      <c r="AD278" s="2" t="s">
        <v>16155</v>
      </c>
      <c r="AE278" s="2"/>
      <c r="AF278" s="2" t="s">
        <v>15038</v>
      </c>
      <c r="AG278" s="2" t="s">
        <v>14290</v>
      </c>
    </row>
    <row r="279" spans="1:33" x14ac:dyDescent="0.45">
      <c r="A279" s="2" t="s">
        <v>16156</v>
      </c>
      <c r="B279" s="2" t="s">
        <v>16157</v>
      </c>
      <c r="C279" s="2" t="s">
        <v>16158</v>
      </c>
      <c r="D279" s="2" t="s">
        <v>16159</v>
      </c>
      <c r="E279" s="2" t="s">
        <v>16160</v>
      </c>
      <c r="F279" s="2" t="s">
        <v>16161</v>
      </c>
      <c r="G279" s="2" t="s">
        <v>16161</v>
      </c>
      <c r="H279" s="2" t="s">
        <v>277</v>
      </c>
      <c r="I279" s="2" t="s">
        <v>278</v>
      </c>
      <c r="J279" s="2" t="s">
        <v>16162</v>
      </c>
      <c r="K279" s="2" t="s">
        <v>16159</v>
      </c>
      <c r="L279" s="2"/>
      <c r="M279" s="2"/>
      <c r="N279" s="2"/>
      <c r="O279" s="2" t="s">
        <v>277</v>
      </c>
      <c r="P279" s="2" t="s">
        <v>278</v>
      </c>
      <c r="Q279" s="2" t="s">
        <v>16162</v>
      </c>
      <c r="R279" s="2" t="s">
        <v>16163</v>
      </c>
      <c r="S279" s="2" t="s">
        <v>44</v>
      </c>
      <c r="T279" s="2"/>
      <c r="U279" s="2" t="s">
        <v>3527</v>
      </c>
      <c r="V279" s="2" t="s">
        <v>46</v>
      </c>
      <c r="W279" s="2" t="s">
        <v>3527</v>
      </c>
      <c r="X279" s="2" t="s">
        <v>10787</v>
      </c>
      <c r="Y279" s="2" t="s">
        <v>10801</v>
      </c>
      <c r="Z279" s="2" t="s">
        <v>49</v>
      </c>
      <c r="AA279" s="2">
        <v>100</v>
      </c>
      <c r="AB279" s="2">
        <v>60</v>
      </c>
      <c r="AC279" s="2" t="s">
        <v>9685</v>
      </c>
      <c r="AD279" s="2" t="s">
        <v>16164</v>
      </c>
      <c r="AE279" s="2"/>
      <c r="AF279" s="2" t="s">
        <v>15038</v>
      </c>
      <c r="AG279" s="2" t="s">
        <v>14290</v>
      </c>
    </row>
    <row r="280" spans="1:33" x14ac:dyDescent="0.45">
      <c r="A280" s="2" t="s">
        <v>16165</v>
      </c>
      <c r="B280" s="2" t="s">
        <v>16166</v>
      </c>
      <c r="C280" s="2" t="s">
        <v>16167</v>
      </c>
      <c r="D280" s="2" t="s">
        <v>16168</v>
      </c>
      <c r="E280" s="2" t="s">
        <v>16169</v>
      </c>
      <c r="F280" s="2" t="s">
        <v>16170</v>
      </c>
      <c r="G280" s="2" t="s">
        <v>16170</v>
      </c>
      <c r="H280" s="2" t="s">
        <v>72</v>
      </c>
      <c r="I280" s="2" t="s">
        <v>73</v>
      </c>
      <c r="J280" s="2" t="s">
        <v>2982</v>
      </c>
      <c r="K280" s="2" t="s">
        <v>16168</v>
      </c>
      <c r="L280" s="2"/>
      <c r="M280" s="2"/>
      <c r="N280" s="2"/>
      <c r="O280" s="2" t="s">
        <v>72</v>
      </c>
      <c r="P280" s="2" t="s">
        <v>73</v>
      </c>
      <c r="Q280" s="2" t="s">
        <v>2982</v>
      </c>
      <c r="R280" s="2" t="s">
        <v>5178</v>
      </c>
      <c r="S280" s="2" t="s">
        <v>44</v>
      </c>
      <c r="T280" s="2"/>
      <c r="U280" s="2" t="s">
        <v>3527</v>
      </c>
      <c r="V280" s="2" t="s">
        <v>46</v>
      </c>
      <c r="W280" s="2" t="s">
        <v>3527</v>
      </c>
      <c r="X280" s="2" t="s">
        <v>10787</v>
      </c>
      <c r="Y280" s="2" t="s">
        <v>10801</v>
      </c>
      <c r="Z280" s="2" t="s">
        <v>49</v>
      </c>
      <c r="AA280" s="2">
        <v>100</v>
      </c>
      <c r="AB280" s="2">
        <v>60</v>
      </c>
      <c r="AC280" s="2" t="s">
        <v>9685</v>
      </c>
      <c r="AD280" s="2" t="s">
        <v>16171</v>
      </c>
      <c r="AE280" s="2"/>
      <c r="AF280" s="2" t="s">
        <v>15038</v>
      </c>
      <c r="AG280" s="2" t="s">
        <v>14290</v>
      </c>
    </row>
    <row r="281" spans="1:33" x14ac:dyDescent="0.45">
      <c r="A281" s="2" t="s">
        <v>16172</v>
      </c>
      <c r="B281" s="2" t="s">
        <v>16173</v>
      </c>
      <c r="C281" s="2" t="s">
        <v>16174</v>
      </c>
      <c r="D281" s="2" t="s">
        <v>16175</v>
      </c>
      <c r="E281" s="2" t="s">
        <v>16176</v>
      </c>
      <c r="F281" s="2" t="s">
        <v>16177</v>
      </c>
      <c r="G281" s="2" t="s">
        <v>16177</v>
      </c>
      <c r="H281" s="2" t="s">
        <v>536</v>
      </c>
      <c r="I281" s="2" t="s">
        <v>537</v>
      </c>
      <c r="J281" s="2" t="s">
        <v>16178</v>
      </c>
      <c r="K281" s="2" t="s">
        <v>16175</v>
      </c>
      <c r="L281" s="2"/>
      <c r="M281" s="2"/>
      <c r="N281" s="2"/>
      <c r="O281" s="2" t="s">
        <v>536</v>
      </c>
      <c r="P281" s="2" t="s">
        <v>537</v>
      </c>
      <c r="Q281" s="2" t="s">
        <v>16178</v>
      </c>
      <c r="R281" s="2" t="s">
        <v>5178</v>
      </c>
      <c r="S281" s="2" t="s">
        <v>44</v>
      </c>
      <c r="T281" s="2"/>
      <c r="U281" s="2" t="s">
        <v>3527</v>
      </c>
      <c r="V281" s="2" t="s">
        <v>46</v>
      </c>
      <c r="W281" s="2" t="s">
        <v>3527</v>
      </c>
      <c r="X281" s="2" t="s">
        <v>10787</v>
      </c>
      <c r="Y281" s="2" t="s">
        <v>10801</v>
      </c>
      <c r="Z281" s="2" t="s">
        <v>49</v>
      </c>
      <c r="AA281" s="2">
        <v>100</v>
      </c>
      <c r="AB281" s="2">
        <v>60</v>
      </c>
      <c r="AC281" s="2" t="s">
        <v>9685</v>
      </c>
      <c r="AD281" s="2" t="s">
        <v>16179</v>
      </c>
      <c r="AE281" s="2"/>
      <c r="AF281" s="2" t="s">
        <v>15038</v>
      </c>
      <c r="AG281" s="2" t="s">
        <v>14290</v>
      </c>
    </row>
    <row r="282" spans="1:33" x14ac:dyDescent="0.45">
      <c r="A282" s="2" t="s">
        <v>16180</v>
      </c>
      <c r="B282" s="2" t="s">
        <v>16181</v>
      </c>
      <c r="C282" s="2" t="s">
        <v>16182</v>
      </c>
      <c r="D282" s="2" t="s">
        <v>16183</v>
      </c>
      <c r="E282" s="2" t="s">
        <v>16184</v>
      </c>
      <c r="F282" s="2" t="s">
        <v>16185</v>
      </c>
      <c r="G282" s="2" t="s">
        <v>16185</v>
      </c>
      <c r="H282" s="2" t="s">
        <v>85</v>
      </c>
      <c r="I282" s="2" t="s">
        <v>86</v>
      </c>
      <c r="J282" s="2" t="s">
        <v>87</v>
      </c>
      <c r="K282" s="2" t="s">
        <v>16186</v>
      </c>
      <c r="L282" s="2"/>
      <c r="M282" s="2"/>
      <c r="N282" s="2"/>
      <c r="O282" s="2" t="s">
        <v>216</v>
      </c>
      <c r="P282" s="2" t="s">
        <v>217</v>
      </c>
      <c r="Q282" s="2" t="s">
        <v>3767</v>
      </c>
      <c r="R282" s="2" t="s">
        <v>5178</v>
      </c>
      <c r="S282" s="2" t="s">
        <v>44</v>
      </c>
      <c r="T282" s="2"/>
      <c r="U282" s="2" t="s">
        <v>3527</v>
      </c>
      <c r="V282" s="2" t="s">
        <v>46</v>
      </c>
      <c r="W282" s="2" t="s">
        <v>3527</v>
      </c>
      <c r="X282" s="2" t="s">
        <v>10787</v>
      </c>
      <c r="Y282" s="2" t="s">
        <v>10801</v>
      </c>
      <c r="Z282" s="2" t="s">
        <v>49</v>
      </c>
      <c r="AA282" s="2">
        <v>100</v>
      </c>
      <c r="AB282" s="2">
        <v>60</v>
      </c>
      <c r="AC282" s="2" t="s">
        <v>9685</v>
      </c>
      <c r="AD282" s="2" t="s">
        <v>16187</v>
      </c>
      <c r="AE282" s="2"/>
      <c r="AF282" s="2" t="s">
        <v>15038</v>
      </c>
      <c r="AG282" s="2" t="s">
        <v>14290</v>
      </c>
    </row>
    <row r="283" spans="1:33" x14ac:dyDescent="0.45">
      <c r="A283" s="2" t="s">
        <v>16188</v>
      </c>
      <c r="B283" s="2" t="s">
        <v>16189</v>
      </c>
      <c r="C283" s="2" t="s">
        <v>16190</v>
      </c>
      <c r="D283" s="2" t="s">
        <v>16191</v>
      </c>
      <c r="E283" s="2" t="s">
        <v>16192</v>
      </c>
      <c r="F283" s="2" t="s">
        <v>16193</v>
      </c>
      <c r="G283" s="2" t="s">
        <v>16193</v>
      </c>
      <c r="H283" s="2" t="s">
        <v>536</v>
      </c>
      <c r="I283" s="2" t="s">
        <v>537</v>
      </c>
      <c r="J283" s="2" t="s">
        <v>2431</v>
      </c>
      <c r="K283" s="2" t="s">
        <v>16191</v>
      </c>
      <c r="L283" s="2"/>
      <c r="M283" s="2"/>
      <c r="N283" s="2"/>
      <c r="O283" s="2" t="s">
        <v>536</v>
      </c>
      <c r="P283" s="2" t="s">
        <v>537</v>
      </c>
      <c r="Q283" s="2" t="s">
        <v>2431</v>
      </c>
      <c r="R283" s="2" t="s">
        <v>10800</v>
      </c>
      <c r="S283" s="2" t="s">
        <v>44</v>
      </c>
      <c r="T283" s="2"/>
      <c r="U283" s="2" t="s">
        <v>3527</v>
      </c>
      <c r="V283" s="2" t="s">
        <v>46</v>
      </c>
      <c r="W283" s="2" t="s">
        <v>3527</v>
      </c>
      <c r="X283" s="2" t="s">
        <v>10787</v>
      </c>
      <c r="Y283" s="2" t="s">
        <v>10801</v>
      </c>
      <c r="Z283" s="2" t="s">
        <v>49</v>
      </c>
      <c r="AA283" s="2">
        <v>100</v>
      </c>
      <c r="AB283" s="2">
        <v>60</v>
      </c>
      <c r="AC283" s="2" t="s">
        <v>9685</v>
      </c>
      <c r="AD283" s="2" t="s">
        <v>16194</v>
      </c>
      <c r="AE283" s="2"/>
      <c r="AF283" s="2" t="s">
        <v>15038</v>
      </c>
      <c r="AG283" s="2" t="s">
        <v>14290</v>
      </c>
    </row>
    <row r="284" spans="1:33" x14ac:dyDescent="0.45">
      <c r="A284" s="2" t="s">
        <v>16195</v>
      </c>
      <c r="B284" s="2" t="s">
        <v>16196</v>
      </c>
      <c r="C284" s="2" t="s">
        <v>16197</v>
      </c>
      <c r="D284" s="2" t="s">
        <v>16198</v>
      </c>
      <c r="E284" s="2" t="s">
        <v>16199</v>
      </c>
      <c r="F284" s="2" t="s">
        <v>16200</v>
      </c>
      <c r="G284" s="2" t="s">
        <v>16200</v>
      </c>
      <c r="H284" s="2" t="s">
        <v>216</v>
      </c>
      <c r="I284" s="2" t="s">
        <v>217</v>
      </c>
      <c r="J284" s="2" t="s">
        <v>11045</v>
      </c>
      <c r="K284" s="2" t="s">
        <v>16198</v>
      </c>
      <c r="L284" s="2"/>
      <c r="M284" s="2"/>
      <c r="N284" s="2"/>
      <c r="O284" s="2" t="s">
        <v>216</v>
      </c>
      <c r="P284" s="2" t="s">
        <v>217</v>
      </c>
      <c r="Q284" s="2" t="s">
        <v>11045</v>
      </c>
      <c r="R284" s="2" t="s">
        <v>10041</v>
      </c>
      <c r="S284" s="2" t="s">
        <v>44</v>
      </c>
      <c r="T284" s="2"/>
      <c r="U284" s="2" t="s">
        <v>3527</v>
      </c>
      <c r="V284" s="2" t="s">
        <v>46</v>
      </c>
      <c r="W284" s="2" t="s">
        <v>3527</v>
      </c>
      <c r="X284" s="2" t="s">
        <v>10787</v>
      </c>
      <c r="Y284" s="2" t="s">
        <v>10801</v>
      </c>
      <c r="Z284" s="2" t="s">
        <v>49</v>
      </c>
      <c r="AA284" s="2">
        <v>100</v>
      </c>
      <c r="AB284" s="2">
        <v>60</v>
      </c>
      <c r="AC284" s="2" t="s">
        <v>9685</v>
      </c>
      <c r="AD284" s="2" t="s">
        <v>16201</v>
      </c>
      <c r="AE284" s="2"/>
      <c r="AF284" s="2" t="s">
        <v>15038</v>
      </c>
      <c r="AG284" s="2" t="s">
        <v>14290</v>
      </c>
    </row>
    <row r="285" spans="1:33" x14ac:dyDescent="0.45">
      <c r="A285" s="2" t="s">
        <v>16202</v>
      </c>
      <c r="B285" s="2" t="s">
        <v>16203</v>
      </c>
      <c r="C285" s="2" t="s">
        <v>16204</v>
      </c>
      <c r="D285" s="2" t="s">
        <v>16205</v>
      </c>
      <c r="E285" s="2" t="s">
        <v>16206</v>
      </c>
      <c r="F285" s="2" t="s">
        <v>16207</v>
      </c>
      <c r="G285" s="2" t="s">
        <v>16207</v>
      </c>
      <c r="H285" s="2" t="s">
        <v>174</v>
      </c>
      <c r="I285" s="2" t="s">
        <v>175</v>
      </c>
      <c r="J285" s="2" t="s">
        <v>1318</v>
      </c>
      <c r="K285" s="2" t="s">
        <v>16205</v>
      </c>
      <c r="L285" s="2"/>
      <c r="M285" s="2"/>
      <c r="N285" s="2"/>
      <c r="O285" s="2" t="s">
        <v>174</v>
      </c>
      <c r="P285" s="2" t="s">
        <v>175</v>
      </c>
      <c r="Q285" s="2" t="s">
        <v>1318</v>
      </c>
      <c r="R285" s="2" t="s">
        <v>10051</v>
      </c>
      <c r="S285" s="2" t="s">
        <v>44</v>
      </c>
      <c r="T285" s="2"/>
      <c r="U285" s="2" t="s">
        <v>3527</v>
      </c>
      <c r="V285" s="2" t="s">
        <v>46</v>
      </c>
      <c r="W285" s="2" t="s">
        <v>3527</v>
      </c>
      <c r="X285" s="2" t="s">
        <v>10787</v>
      </c>
      <c r="Y285" s="2" t="s">
        <v>10801</v>
      </c>
      <c r="Z285" s="2" t="s">
        <v>49</v>
      </c>
      <c r="AA285" s="2">
        <v>100</v>
      </c>
      <c r="AB285" s="2">
        <v>60</v>
      </c>
      <c r="AC285" s="2" t="s">
        <v>9685</v>
      </c>
      <c r="AD285" s="2" t="s">
        <v>16208</v>
      </c>
      <c r="AE285" s="2"/>
      <c r="AF285" s="2" t="s">
        <v>15038</v>
      </c>
      <c r="AG285" s="2" t="s">
        <v>14290</v>
      </c>
    </row>
    <row r="286" spans="1:33" x14ac:dyDescent="0.45">
      <c r="A286" s="2" t="s">
        <v>16209</v>
      </c>
      <c r="B286" s="2" t="s">
        <v>16210</v>
      </c>
      <c r="C286" s="2" t="s">
        <v>16211</v>
      </c>
      <c r="D286" s="2" t="s">
        <v>16212</v>
      </c>
      <c r="E286" s="2" t="s">
        <v>16213</v>
      </c>
      <c r="F286" s="2" t="s">
        <v>16214</v>
      </c>
      <c r="G286" s="2" t="s">
        <v>16214</v>
      </c>
      <c r="H286" s="2" t="s">
        <v>277</v>
      </c>
      <c r="I286" s="2" t="s">
        <v>278</v>
      </c>
      <c r="J286" s="2" t="s">
        <v>1058</v>
      </c>
      <c r="K286" s="2" t="s">
        <v>16212</v>
      </c>
      <c r="L286" s="2"/>
      <c r="M286" s="2"/>
      <c r="N286" s="2"/>
      <c r="O286" s="2" t="s">
        <v>277</v>
      </c>
      <c r="P286" s="2" t="s">
        <v>278</v>
      </c>
      <c r="Q286" s="2" t="s">
        <v>1058</v>
      </c>
      <c r="R286" s="2" t="s">
        <v>5224</v>
      </c>
      <c r="S286" s="2" t="s">
        <v>44</v>
      </c>
      <c r="T286" s="2"/>
      <c r="U286" s="2" t="s">
        <v>3527</v>
      </c>
      <c r="V286" s="2" t="s">
        <v>46</v>
      </c>
      <c r="W286" s="2" t="s">
        <v>3527</v>
      </c>
      <c r="X286" s="2" t="s">
        <v>10787</v>
      </c>
      <c r="Y286" s="2" t="s">
        <v>10801</v>
      </c>
      <c r="Z286" s="2" t="s">
        <v>49</v>
      </c>
      <c r="AA286" s="2">
        <v>100</v>
      </c>
      <c r="AB286" s="2">
        <v>60</v>
      </c>
      <c r="AC286" s="2" t="s">
        <v>9685</v>
      </c>
      <c r="AD286" s="2" t="s">
        <v>16215</v>
      </c>
      <c r="AE286" s="2"/>
      <c r="AF286" s="2" t="s">
        <v>15038</v>
      </c>
      <c r="AG286" s="2" t="s">
        <v>14290</v>
      </c>
    </row>
    <row r="287" spans="1:33" x14ac:dyDescent="0.45">
      <c r="A287" s="2" t="s">
        <v>16216</v>
      </c>
      <c r="B287" s="2" t="s">
        <v>16217</v>
      </c>
      <c r="C287" s="2" t="s">
        <v>16218</v>
      </c>
      <c r="D287" s="2" t="s">
        <v>16219</v>
      </c>
      <c r="E287" s="2" t="s">
        <v>16220</v>
      </c>
      <c r="F287" s="2" t="s">
        <v>16221</v>
      </c>
      <c r="G287" s="2" t="s">
        <v>16221</v>
      </c>
      <c r="H287" s="2" t="s">
        <v>384</v>
      </c>
      <c r="I287" s="2" t="s">
        <v>73</v>
      </c>
      <c r="J287" s="2" t="s">
        <v>3645</v>
      </c>
      <c r="K287" s="2" t="s">
        <v>16219</v>
      </c>
      <c r="L287" s="2"/>
      <c r="M287" s="2"/>
      <c r="N287" s="2"/>
      <c r="O287" s="2" t="s">
        <v>384</v>
      </c>
      <c r="P287" s="2" t="s">
        <v>73</v>
      </c>
      <c r="Q287" s="2" t="s">
        <v>3645</v>
      </c>
      <c r="R287" s="2" t="s">
        <v>5224</v>
      </c>
      <c r="S287" s="2" t="s">
        <v>44</v>
      </c>
      <c r="T287" s="2"/>
      <c r="U287" s="2" t="s">
        <v>3527</v>
      </c>
      <c r="V287" s="2" t="s">
        <v>46</v>
      </c>
      <c r="W287" s="2" t="s">
        <v>3527</v>
      </c>
      <c r="X287" s="2" t="s">
        <v>10787</v>
      </c>
      <c r="Y287" s="2" t="s">
        <v>10801</v>
      </c>
      <c r="Z287" s="2" t="s">
        <v>49</v>
      </c>
      <c r="AA287" s="2">
        <v>100</v>
      </c>
      <c r="AB287" s="2">
        <v>60</v>
      </c>
      <c r="AC287" s="2" t="s">
        <v>9685</v>
      </c>
      <c r="AD287" s="2" t="s">
        <v>16222</v>
      </c>
      <c r="AE287" s="2"/>
      <c r="AF287" s="2" t="s">
        <v>15038</v>
      </c>
      <c r="AG287" s="2" t="s">
        <v>14290</v>
      </c>
    </row>
    <row r="288" spans="1:33" x14ac:dyDescent="0.45">
      <c r="A288" s="2" t="s">
        <v>16223</v>
      </c>
      <c r="B288" s="2" t="s">
        <v>16224</v>
      </c>
      <c r="C288" s="2" t="s">
        <v>16225</v>
      </c>
      <c r="D288" s="2" t="s">
        <v>16226</v>
      </c>
      <c r="E288" s="2" t="s">
        <v>16227</v>
      </c>
      <c r="F288" s="2" t="s">
        <v>16228</v>
      </c>
      <c r="G288" s="2" t="s">
        <v>16228</v>
      </c>
      <c r="H288" s="2" t="s">
        <v>85</v>
      </c>
      <c r="I288" s="2" t="s">
        <v>86</v>
      </c>
      <c r="J288" s="2" t="s">
        <v>16004</v>
      </c>
      <c r="K288" s="2" t="s">
        <v>16226</v>
      </c>
      <c r="L288" s="2"/>
      <c r="M288" s="2"/>
      <c r="N288" s="2"/>
      <c r="O288" s="2" t="s">
        <v>85</v>
      </c>
      <c r="P288" s="2" t="s">
        <v>86</v>
      </c>
      <c r="Q288" s="2" t="s">
        <v>16004</v>
      </c>
      <c r="R288" s="2" t="s">
        <v>5224</v>
      </c>
      <c r="S288" s="2" t="s">
        <v>44</v>
      </c>
      <c r="T288" s="2"/>
      <c r="U288" s="2" t="s">
        <v>3527</v>
      </c>
      <c r="V288" s="2" t="s">
        <v>46</v>
      </c>
      <c r="W288" s="2" t="s">
        <v>3527</v>
      </c>
      <c r="X288" s="2" t="s">
        <v>10787</v>
      </c>
      <c r="Y288" s="2" t="s">
        <v>10801</v>
      </c>
      <c r="Z288" s="2" t="s">
        <v>49</v>
      </c>
      <c r="AA288" s="2">
        <v>100</v>
      </c>
      <c r="AB288" s="2">
        <v>60</v>
      </c>
      <c r="AC288" s="2" t="s">
        <v>9685</v>
      </c>
      <c r="AD288" s="2" t="s">
        <v>16229</v>
      </c>
      <c r="AE288" s="2"/>
      <c r="AF288" s="2" t="s">
        <v>15038</v>
      </c>
      <c r="AG288" s="2" t="s">
        <v>14290</v>
      </c>
    </row>
    <row r="289" spans="1:33" x14ac:dyDescent="0.45">
      <c r="A289" s="2" t="s">
        <v>16230</v>
      </c>
      <c r="B289" s="2" t="s">
        <v>16231</v>
      </c>
      <c r="C289" s="2" t="s">
        <v>16232</v>
      </c>
      <c r="D289" s="2" t="s">
        <v>16233</v>
      </c>
      <c r="E289" s="2" t="s">
        <v>16234</v>
      </c>
      <c r="F289" s="2" t="s">
        <v>16235</v>
      </c>
      <c r="G289" s="2" t="s">
        <v>16235</v>
      </c>
      <c r="H289" s="2" t="s">
        <v>59</v>
      </c>
      <c r="I289" s="2" t="s">
        <v>60</v>
      </c>
      <c r="J289" s="2" t="s">
        <v>4338</v>
      </c>
      <c r="K289" s="2"/>
      <c r="L289" s="2"/>
      <c r="M289" s="2"/>
      <c r="N289" s="2"/>
      <c r="O289" s="2"/>
      <c r="P289" s="2"/>
      <c r="Q289" s="2"/>
      <c r="R289" s="2" t="s">
        <v>5224</v>
      </c>
      <c r="S289" s="2" t="s">
        <v>44</v>
      </c>
      <c r="T289" s="2"/>
      <c r="U289" s="2" t="s">
        <v>3527</v>
      </c>
      <c r="V289" s="2" t="s">
        <v>46</v>
      </c>
      <c r="W289" s="2" t="s">
        <v>3527</v>
      </c>
      <c r="X289" s="2" t="s">
        <v>10787</v>
      </c>
      <c r="Y289" s="2" t="s">
        <v>10801</v>
      </c>
      <c r="Z289" s="2" t="s">
        <v>49</v>
      </c>
      <c r="AA289" s="2">
        <v>100</v>
      </c>
      <c r="AB289" s="2">
        <v>60</v>
      </c>
      <c r="AC289" s="2" t="s">
        <v>9685</v>
      </c>
      <c r="AD289" s="2" t="s">
        <v>16236</v>
      </c>
      <c r="AE289" s="2"/>
      <c r="AF289" s="2" t="s">
        <v>15038</v>
      </c>
      <c r="AG289" s="2" t="s">
        <v>14290</v>
      </c>
    </row>
    <row r="290" spans="1:33" x14ac:dyDescent="0.45">
      <c r="A290" s="2" t="s">
        <v>16237</v>
      </c>
      <c r="B290" s="2" t="s">
        <v>16238</v>
      </c>
      <c r="C290" s="2" t="s">
        <v>16239</v>
      </c>
      <c r="D290" s="2" t="s">
        <v>16240</v>
      </c>
      <c r="E290" s="2" t="s">
        <v>16241</v>
      </c>
      <c r="F290" s="2" t="s">
        <v>16242</v>
      </c>
      <c r="G290" s="2" t="s">
        <v>16242</v>
      </c>
      <c r="H290" s="2" t="s">
        <v>1023</v>
      </c>
      <c r="I290" s="2" t="s">
        <v>73</v>
      </c>
      <c r="J290" s="2" t="s">
        <v>5695</v>
      </c>
      <c r="K290" s="2" t="s">
        <v>16240</v>
      </c>
      <c r="L290" s="2"/>
      <c r="M290" s="2"/>
      <c r="N290" s="2"/>
      <c r="O290" s="2" t="s">
        <v>1023</v>
      </c>
      <c r="P290" s="2" t="s">
        <v>73</v>
      </c>
      <c r="Q290" s="2" t="s">
        <v>5695</v>
      </c>
      <c r="R290" s="2" t="s">
        <v>701</v>
      </c>
      <c r="S290" s="2" t="s">
        <v>44</v>
      </c>
      <c r="T290" s="2"/>
      <c r="U290" s="2" t="s">
        <v>3527</v>
      </c>
      <c r="V290" s="2" t="s">
        <v>46</v>
      </c>
      <c r="W290" s="2" t="s">
        <v>3527</v>
      </c>
      <c r="X290" s="2" t="s">
        <v>10787</v>
      </c>
      <c r="Y290" s="2" t="s">
        <v>10801</v>
      </c>
      <c r="Z290" s="2" t="s">
        <v>49</v>
      </c>
      <c r="AA290" s="2">
        <v>100</v>
      </c>
      <c r="AB290" s="2">
        <v>60</v>
      </c>
      <c r="AC290" s="2" t="s">
        <v>9685</v>
      </c>
      <c r="AD290" s="2" t="s">
        <v>16243</v>
      </c>
      <c r="AE290" s="2"/>
      <c r="AF290" s="2" t="s">
        <v>15038</v>
      </c>
      <c r="AG290" s="2" t="s">
        <v>14290</v>
      </c>
    </row>
    <row r="291" spans="1:33" x14ac:dyDescent="0.45">
      <c r="A291" s="2" t="s">
        <v>16244</v>
      </c>
      <c r="B291" s="2" t="s">
        <v>16245</v>
      </c>
      <c r="C291" s="2" t="s">
        <v>16246</v>
      </c>
      <c r="D291" s="2" t="s">
        <v>16247</v>
      </c>
      <c r="E291" s="2" t="s">
        <v>16248</v>
      </c>
      <c r="F291" s="2" t="s">
        <v>16249</v>
      </c>
      <c r="G291" s="2" t="s">
        <v>16249</v>
      </c>
      <c r="H291" s="2" t="s">
        <v>72</v>
      </c>
      <c r="I291" s="2" t="s">
        <v>73</v>
      </c>
      <c r="J291" s="2" t="s">
        <v>74</v>
      </c>
      <c r="K291" s="2" t="s">
        <v>16247</v>
      </c>
      <c r="L291" s="2"/>
      <c r="M291" s="2"/>
      <c r="N291" s="2"/>
      <c r="O291" s="2" t="s">
        <v>72</v>
      </c>
      <c r="P291" s="2" t="s">
        <v>73</v>
      </c>
      <c r="Q291" s="2" t="s">
        <v>74</v>
      </c>
      <c r="R291" s="2" t="s">
        <v>16250</v>
      </c>
      <c r="S291" s="2" t="s">
        <v>44</v>
      </c>
      <c r="T291" s="2"/>
      <c r="U291" s="2" t="s">
        <v>3527</v>
      </c>
      <c r="V291" s="2" t="s">
        <v>46</v>
      </c>
      <c r="W291" s="2" t="s">
        <v>3527</v>
      </c>
      <c r="X291" s="2" t="s">
        <v>10787</v>
      </c>
      <c r="Y291" s="2" t="s">
        <v>10801</v>
      </c>
      <c r="Z291" s="2" t="s">
        <v>49</v>
      </c>
      <c r="AA291" s="2">
        <v>100</v>
      </c>
      <c r="AB291" s="2">
        <v>60</v>
      </c>
      <c r="AC291" s="2" t="s">
        <v>9685</v>
      </c>
      <c r="AD291" s="2" t="s">
        <v>16251</v>
      </c>
      <c r="AE291" s="2"/>
      <c r="AF291" s="2" t="s">
        <v>15038</v>
      </c>
      <c r="AG291" s="2" t="s">
        <v>14290</v>
      </c>
    </row>
    <row r="292" spans="1:33" x14ac:dyDescent="0.45">
      <c r="A292" s="2" t="s">
        <v>16252</v>
      </c>
      <c r="B292" s="2" t="s">
        <v>16253</v>
      </c>
      <c r="C292" s="2" t="s">
        <v>16254</v>
      </c>
      <c r="D292" s="2" t="s">
        <v>16255</v>
      </c>
      <c r="E292" s="2" t="s">
        <v>16256</v>
      </c>
      <c r="F292" s="2" t="s">
        <v>16257</v>
      </c>
      <c r="G292" s="2" t="s">
        <v>16257</v>
      </c>
      <c r="H292" s="2" t="s">
        <v>59</v>
      </c>
      <c r="I292" s="2" t="s">
        <v>60</v>
      </c>
      <c r="J292" s="2" t="s">
        <v>5251</v>
      </c>
      <c r="K292" s="2" t="s">
        <v>16255</v>
      </c>
      <c r="L292" s="2"/>
      <c r="M292" s="2"/>
      <c r="N292" s="2"/>
      <c r="O292" s="2" t="s">
        <v>59</v>
      </c>
      <c r="P292" s="2" t="s">
        <v>60</v>
      </c>
      <c r="Q292" s="2" t="s">
        <v>5251</v>
      </c>
      <c r="R292" s="2" t="s">
        <v>3226</v>
      </c>
      <c r="S292" s="2" t="s">
        <v>44</v>
      </c>
      <c r="T292" s="2"/>
      <c r="U292" s="2" t="s">
        <v>3527</v>
      </c>
      <c r="V292" s="2" t="s">
        <v>46</v>
      </c>
      <c r="W292" s="2" t="s">
        <v>3527</v>
      </c>
      <c r="X292" s="2" t="s">
        <v>10787</v>
      </c>
      <c r="Y292" s="2" t="s">
        <v>10801</v>
      </c>
      <c r="Z292" s="2" t="s">
        <v>49</v>
      </c>
      <c r="AA292" s="2">
        <v>100</v>
      </c>
      <c r="AB292" s="2">
        <v>60</v>
      </c>
      <c r="AC292" s="2" t="s">
        <v>9685</v>
      </c>
      <c r="AD292" s="2" t="s">
        <v>16258</v>
      </c>
      <c r="AE292" s="2"/>
      <c r="AF292" s="2" t="s">
        <v>15038</v>
      </c>
      <c r="AG292" s="2" t="s">
        <v>14290</v>
      </c>
    </row>
    <row r="293" spans="1:33" x14ac:dyDescent="0.45">
      <c r="A293" s="2" t="s">
        <v>16259</v>
      </c>
      <c r="B293" s="2" t="s">
        <v>16260</v>
      </c>
      <c r="C293" s="2" t="s">
        <v>16261</v>
      </c>
      <c r="D293" s="2" t="s">
        <v>16262</v>
      </c>
      <c r="E293" s="2" t="s">
        <v>16263</v>
      </c>
      <c r="F293" s="2" t="s">
        <v>16264</v>
      </c>
      <c r="G293" s="2" t="s">
        <v>16264</v>
      </c>
      <c r="H293" s="2" t="s">
        <v>174</v>
      </c>
      <c r="I293" s="2" t="s">
        <v>175</v>
      </c>
      <c r="J293" s="2" t="s">
        <v>1318</v>
      </c>
      <c r="K293" s="2" t="s">
        <v>16262</v>
      </c>
      <c r="L293" s="2"/>
      <c r="M293" s="2"/>
      <c r="N293" s="2"/>
      <c r="O293" s="2" t="s">
        <v>174</v>
      </c>
      <c r="P293" s="2" t="s">
        <v>175</v>
      </c>
      <c r="Q293" s="2" t="s">
        <v>1318</v>
      </c>
      <c r="R293" s="2" t="s">
        <v>16265</v>
      </c>
      <c r="S293" s="2" t="s">
        <v>44</v>
      </c>
      <c r="T293" s="2"/>
      <c r="U293" s="2" t="s">
        <v>3527</v>
      </c>
      <c r="V293" s="2" t="s">
        <v>46</v>
      </c>
      <c r="W293" s="2" t="s">
        <v>3527</v>
      </c>
      <c r="X293" s="2" t="s">
        <v>11005</v>
      </c>
      <c r="Y293" s="2" t="s">
        <v>10801</v>
      </c>
      <c r="Z293" s="2" t="s">
        <v>49</v>
      </c>
      <c r="AA293" s="2">
        <v>100</v>
      </c>
      <c r="AB293" s="2">
        <v>60</v>
      </c>
      <c r="AC293" s="2" t="s">
        <v>9685</v>
      </c>
      <c r="AD293" s="2" t="s">
        <v>16266</v>
      </c>
      <c r="AE293" s="2"/>
      <c r="AF293" s="2" t="s">
        <v>15038</v>
      </c>
      <c r="AG293" s="2" t="s">
        <v>14290</v>
      </c>
    </row>
    <row r="294" spans="1:33" x14ac:dyDescent="0.45">
      <c r="A294" s="2" t="s">
        <v>16267</v>
      </c>
      <c r="B294" s="2" t="s">
        <v>16268</v>
      </c>
      <c r="C294" s="2" t="s">
        <v>16269</v>
      </c>
      <c r="D294" s="2" t="s">
        <v>16270</v>
      </c>
      <c r="E294" s="2" t="s">
        <v>16271</v>
      </c>
      <c r="F294" s="2" t="s">
        <v>16272</v>
      </c>
      <c r="G294" s="2" t="s">
        <v>16272</v>
      </c>
      <c r="H294" s="2" t="s">
        <v>312</v>
      </c>
      <c r="I294" s="2" t="s">
        <v>313</v>
      </c>
      <c r="J294" s="2" t="s">
        <v>11535</v>
      </c>
      <c r="K294" s="2" t="s">
        <v>16273</v>
      </c>
      <c r="L294" s="2"/>
      <c r="M294" s="2"/>
      <c r="N294" s="2"/>
      <c r="O294" s="2" t="s">
        <v>312</v>
      </c>
      <c r="P294" s="2" t="s">
        <v>313</v>
      </c>
      <c r="Q294" s="2" t="s">
        <v>7647</v>
      </c>
      <c r="R294" s="2" t="s">
        <v>16274</v>
      </c>
      <c r="S294" s="2" t="s">
        <v>44</v>
      </c>
      <c r="T294" s="2"/>
      <c r="U294" s="2" t="s">
        <v>3527</v>
      </c>
      <c r="V294" s="2" t="s">
        <v>46</v>
      </c>
      <c r="W294" s="2" t="s">
        <v>3527</v>
      </c>
      <c r="X294" s="2" t="s">
        <v>11537</v>
      </c>
      <c r="Y294" s="2" t="s">
        <v>10801</v>
      </c>
      <c r="Z294" s="2" t="s">
        <v>49</v>
      </c>
      <c r="AA294" s="2">
        <v>100</v>
      </c>
      <c r="AB294" s="2">
        <v>60</v>
      </c>
      <c r="AC294" s="2" t="s">
        <v>9685</v>
      </c>
      <c r="AD294" s="2" t="s">
        <v>16275</v>
      </c>
      <c r="AE294" s="2"/>
      <c r="AF294" s="2" t="s">
        <v>15038</v>
      </c>
      <c r="AG294" s="2" t="s">
        <v>14290</v>
      </c>
    </row>
    <row r="295" spans="1:33" x14ac:dyDescent="0.45">
      <c r="A295" s="2" t="s">
        <v>16276</v>
      </c>
      <c r="B295" s="2" t="s">
        <v>16277</v>
      </c>
      <c r="C295" s="2" t="s">
        <v>16278</v>
      </c>
      <c r="D295" s="2" t="s">
        <v>16279</v>
      </c>
      <c r="E295" s="2" t="s">
        <v>16280</v>
      </c>
      <c r="F295" s="2" t="s">
        <v>3562</v>
      </c>
      <c r="G295" s="2" t="s">
        <v>3562</v>
      </c>
      <c r="H295" s="2" t="s">
        <v>59</v>
      </c>
      <c r="I295" s="2" t="s">
        <v>60</v>
      </c>
      <c r="J295" s="2" t="s">
        <v>7339</v>
      </c>
      <c r="K295" s="2" t="s">
        <v>16279</v>
      </c>
      <c r="L295" s="2"/>
      <c r="M295" s="2"/>
      <c r="N295" s="2"/>
      <c r="O295" s="2" t="s">
        <v>59</v>
      </c>
      <c r="P295" s="2" t="s">
        <v>60</v>
      </c>
      <c r="Q295" s="2" t="s">
        <v>7339</v>
      </c>
      <c r="R295" s="2" t="s">
        <v>7404</v>
      </c>
      <c r="S295" s="2" t="s">
        <v>44</v>
      </c>
      <c r="T295" s="2"/>
      <c r="U295" s="2" t="s">
        <v>3527</v>
      </c>
      <c r="V295" s="2" t="s">
        <v>46</v>
      </c>
      <c r="W295" s="2" t="s">
        <v>3527</v>
      </c>
      <c r="X295" s="2" t="s">
        <v>10787</v>
      </c>
      <c r="Y295" s="2" t="s">
        <v>10801</v>
      </c>
      <c r="Z295" s="2" t="s">
        <v>49</v>
      </c>
      <c r="AA295" s="2">
        <v>100</v>
      </c>
      <c r="AB295" s="2">
        <v>60</v>
      </c>
      <c r="AC295" s="2" t="s">
        <v>9685</v>
      </c>
      <c r="AD295" s="2" t="s">
        <v>16281</v>
      </c>
      <c r="AE295" s="2"/>
      <c r="AF295" s="2" t="s">
        <v>15038</v>
      </c>
      <c r="AG295" s="2" t="s">
        <v>14290</v>
      </c>
    </row>
    <row r="296" spans="1:33" x14ac:dyDescent="0.45">
      <c r="A296" s="2" t="s">
        <v>16282</v>
      </c>
      <c r="B296" s="2" t="s">
        <v>16283</v>
      </c>
      <c r="C296" s="2" t="s">
        <v>16284</v>
      </c>
      <c r="D296" s="2" t="s">
        <v>16285</v>
      </c>
      <c r="E296" s="2" t="s">
        <v>16286</v>
      </c>
      <c r="F296" s="2" t="s">
        <v>16287</v>
      </c>
      <c r="G296" s="2" t="s">
        <v>16287</v>
      </c>
      <c r="H296" s="2" t="s">
        <v>384</v>
      </c>
      <c r="I296" s="2" t="s">
        <v>73</v>
      </c>
      <c r="J296" s="2" t="s">
        <v>559</v>
      </c>
      <c r="K296" s="2" t="s">
        <v>16288</v>
      </c>
      <c r="L296" s="2"/>
      <c r="M296" s="2"/>
      <c r="N296" s="2"/>
      <c r="O296" s="2" t="s">
        <v>384</v>
      </c>
      <c r="P296" s="2" t="s">
        <v>73</v>
      </c>
      <c r="Q296" s="2" t="s">
        <v>559</v>
      </c>
      <c r="R296" s="2" t="s">
        <v>5913</v>
      </c>
      <c r="S296" s="2" t="s">
        <v>44</v>
      </c>
      <c r="T296" s="2"/>
      <c r="U296" s="2" t="s">
        <v>3527</v>
      </c>
      <c r="V296" s="2" t="s">
        <v>46</v>
      </c>
      <c r="W296" s="2" t="s">
        <v>3527</v>
      </c>
      <c r="X296" s="2" t="s">
        <v>11537</v>
      </c>
      <c r="Y296" s="2" t="s">
        <v>10801</v>
      </c>
      <c r="Z296" s="2" t="s">
        <v>49</v>
      </c>
      <c r="AA296" s="2">
        <v>100</v>
      </c>
      <c r="AB296" s="2">
        <v>60</v>
      </c>
      <c r="AC296" s="2" t="s">
        <v>9685</v>
      </c>
      <c r="AD296" s="2" t="s">
        <v>16289</v>
      </c>
      <c r="AE296" s="2"/>
      <c r="AF296" s="2" t="s">
        <v>15038</v>
      </c>
      <c r="AG296" s="2" t="s">
        <v>14290</v>
      </c>
    </row>
    <row r="297" spans="1:33" x14ac:dyDescent="0.45">
      <c r="A297" s="2" t="s">
        <v>16290</v>
      </c>
      <c r="B297" s="2" t="s">
        <v>16291</v>
      </c>
      <c r="C297" s="2" t="s">
        <v>16292</v>
      </c>
      <c r="D297" s="2" t="s">
        <v>16293</v>
      </c>
      <c r="E297" s="2" t="s">
        <v>16294</v>
      </c>
      <c r="F297" s="2" t="s">
        <v>16295</v>
      </c>
      <c r="G297" s="2" t="s">
        <v>16295</v>
      </c>
      <c r="H297" s="2" t="s">
        <v>1023</v>
      </c>
      <c r="I297" s="2" t="s">
        <v>73</v>
      </c>
      <c r="J297" s="2" t="s">
        <v>6817</v>
      </c>
      <c r="K297" s="2" t="s">
        <v>16293</v>
      </c>
      <c r="L297" s="2"/>
      <c r="M297" s="2"/>
      <c r="N297" s="2"/>
      <c r="O297" s="2" t="s">
        <v>1023</v>
      </c>
      <c r="P297" s="2" t="s">
        <v>73</v>
      </c>
      <c r="Q297" s="2" t="s">
        <v>6817</v>
      </c>
      <c r="R297" s="2" t="s">
        <v>4659</v>
      </c>
      <c r="S297" s="2" t="s">
        <v>44</v>
      </c>
      <c r="T297" s="2"/>
      <c r="U297" s="2" t="s">
        <v>3527</v>
      </c>
      <c r="V297" s="2" t="s">
        <v>46</v>
      </c>
      <c r="W297" s="2" t="s">
        <v>3527</v>
      </c>
      <c r="X297" s="2" t="s">
        <v>10787</v>
      </c>
      <c r="Y297" s="2" t="s">
        <v>10801</v>
      </c>
      <c r="Z297" s="2" t="s">
        <v>49</v>
      </c>
      <c r="AA297" s="2">
        <v>100</v>
      </c>
      <c r="AB297" s="2">
        <v>60</v>
      </c>
      <c r="AC297" s="2" t="s">
        <v>9685</v>
      </c>
      <c r="AD297" s="2" t="s">
        <v>16296</v>
      </c>
      <c r="AE297" s="2"/>
      <c r="AF297" s="2" t="s">
        <v>15038</v>
      </c>
      <c r="AG297" s="2" t="s">
        <v>14290</v>
      </c>
    </row>
    <row r="298" spans="1:33" x14ac:dyDescent="0.45">
      <c r="A298" s="2" t="s">
        <v>16297</v>
      </c>
      <c r="B298" s="2" t="s">
        <v>16298</v>
      </c>
      <c r="C298" s="2" t="s">
        <v>16299</v>
      </c>
      <c r="D298" s="2" t="s">
        <v>16300</v>
      </c>
      <c r="E298" s="2" t="s">
        <v>16301</v>
      </c>
      <c r="F298" s="2" t="s">
        <v>3562</v>
      </c>
      <c r="G298" s="2" t="s">
        <v>3562</v>
      </c>
      <c r="H298" s="2" t="s">
        <v>1188</v>
      </c>
      <c r="I298" s="2" t="s">
        <v>221</v>
      </c>
      <c r="J298" s="2" t="s">
        <v>1189</v>
      </c>
      <c r="K298" s="2" t="s">
        <v>16300</v>
      </c>
      <c r="L298" s="2"/>
      <c r="M298" s="2"/>
      <c r="N298" s="2"/>
      <c r="O298" s="2" t="s">
        <v>1188</v>
      </c>
      <c r="P298" s="2" t="s">
        <v>221</v>
      </c>
      <c r="Q298" s="2" t="s">
        <v>1189</v>
      </c>
      <c r="R298" s="2" t="s">
        <v>4659</v>
      </c>
      <c r="S298" s="2" t="s">
        <v>44</v>
      </c>
      <c r="T298" s="2"/>
      <c r="U298" s="2" t="s">
        <v>3527</v>
      </c>
      <c r="V298" s="2" t="s">
        <v>46</v>
      </c>
      <c r="W298" s="2" t="s">
        <v>3527</v>
      </c>
      <c r="X298" s="2" t="s">
        <v>10787</v>
      </c>
      <c r="Y298" s="2" t="s">
        <v>10801</v>
      </c>
      <c r="Z298" s="2" t="s">
        <v>49</v>
      </c>
      <c r="AA298" s="2">
        <v>100</v>
      </c>
      <c r="AB298" s="2">
        <v>60</v>
      </c>
      <c r="AC298" s="2" t="s">
        <v>9685</v>
      </c>
      <c r="AD298" s="2" t="s">
        <v>16302</v>
      </c>
      <c r="AE298" s="2"/>
      <c r="AF298" s="2" t="s">
        <v>15038</v>
      </c>
      <c r="AG298" s="2" t="s">
        <v>14290</v>
      </c>
    </row>
    <row r="299" spans="1:33" x14ac:dyDescent="0.45">
      <c r="A299" s="2" t="s">
        <v>16303</v>
      </c>
      <c r="B299" s="2" t="s">
        <v>16304</v>
      </c>
      <c r="C299" s="2" t="s">
        <v>16305</v>
      </c>
      <c r="D299" s="2" t="s">
        <v>16306</v>
      </c>
      <c r="E299" s="2" t="s">
        <v>16307</v>
      </c>
      <c r="F299" s="2" t="s">
        <v>16308</v>
      </c>
      <c r="G299" s="2" t="s">
        <v>16308</v>
      </c>
      <c r="H299" s="2" t="s">
        <v>384</v>
      </c>
      <c r="I299" s="2" t="s">
        <v>73</v>
      </c>
      <c r="J299" s="2" t="s">
        <v>953</v>
      </c>
      <c r="K299" s="2" t="s">
        <v>16306</v>
      </c>
      <c r="L299" s="2"/>
      <c r="M299" s="2"/>
      <c r="N299" s="2"/>
      <c r="O299" s="2" t="s">
        <v>384</v>
      </c>
      <c r="P299" s="2" t="s">
        <v>73</v>
      </c>
      <c r="Q299" s="2" t="s">
        <v>953</v>
      </c>
      <c r="R299" s="2" t="s">
        <v>4659</v>
      </c>
      <c r="S299" s="2" t="s">
        <v>44</v>
      </c>
      <c r="T299" s="2"/>
      <c r="U299" s="2" t="s">
        <v>3527</v>
      </c>
      <c r="V299" s="2" t="s">
        <v>46</v>
      </c>
      <c r="W299" s="2" t="s">
        <v>3527</v>
      </c>
      <c r="X299" s="2" t="s">
        <v>10787</v>
      </c>
      <c r="Y299" s="2" t="s">
        <v>10801</v>
      </c>
      <c r="Z299" s="2" t="s">
        <v>49</v>
      </c>
      <c r="AA299" s="2">
        <v>100</v>
      </c>
      <c r="AB299" s="2">
        <v>60</v>
      </c>
      <c r="AC299" s="2" t="s">
        <v>9685</v>
      </c>
      <c r="AD299" s="2" t="s">
        <v>16309</v>
      </c>
      <c r="AE299" s="2"/>
      <c r="AF299" s="2" t="s">
        <v>15038</v>
      </c>
      <c r="AG299" s="2" t="s">
        <v>14290</v>
      </c>
    </row>
    <row r="300" spans="1:33" x14ac:dyDescent="0.45">
      <c r="A300" s="2" t="s">
        <v>16310</v>
      </c>
      <c r="B300" s="2" t="s">
        <v>16311</v>
      </c>
      <c r="C300" s="2" t="s">
        <v>16312</v>
      </c>
      <c r="D300" s="2" t="s">
        <v>16313</v>
      </c>
      <c r="E300" s="2" t="s">
        <v>16314</v>
      </c>
      <c r="F300" s="2" t="s">
        <v>3562</v>
      </c>
      <c r="G300" s="2" t="s">
        <v>3562</v>
      </c>
      <c r="H300" s="2" t="s">
        <v>72</v>
      </c>
      <c r="I300" s="2" t="s">
        <v>73</v>
      </c>
      <c r="J300" s="2" t="s">
        <v>243</v>
      </c>
      <c r="K300" s="2" t="s">
        <v>16313</v>
      </c>
      <c r="L300" s="2"/>
      <c r="M300" s="2"/>
      <c r="N300" s="2"/>
      <c r="O300" s="2" t="s">
        <v>72</v>
      </c>
      <c r="P300" s="2" t="s">
        <v>73</v>
      </c>
      <c r="Q300" s="2" t="s">
        <v>243</v>
      </c>
      <c r="R300" s="2" t="s">
        <v>7438</v>
      </c>
      <c r="S300" s="2" t="s">
        <v>44</v>
      </c>
      <c r="T300" s="2"/>
      <c r="U300" s="2" t="s">
        <v>3527</v>
      </c>
      <c r="V300" s="2" t="s">
        <v>46</v>
      </c>
      <c r="W300" s="2" t="s">
        <v>3527</v>
      </c>
      <c r="X300" s="2" t="s">
        <v>10787</v>
      </c>
      <c r="Y300" s="2" t="s">
        <v>10801</v>
      </c>
      <c r="Z300" s="2" t="s">
        <v>49</v>
      </c>
      <c r="AA300" s="2">
        <v>100</v>
      </c>
      <c r="AB300" s="2">
        <v>60</v>
      </c>
      <c r="AC300" s="2" t="s">
        <v>9685</v>
      </c>
      <c r="AD300" s="2" t="s">
        <v>16315</v>
      </c>
      <c r="AE300" s="2"/>
      <c r="AF300" s="2" t="s">
        <v>15038</v>
      </c>
      <c r="AG300" s="2" t="s">
        <v>14290</v>
      </c>
    </row>
    <row r="301" spans="1:33" x14ac:dyDescent="0.45">
      <c r="A301" s="2" t="s">
        <v>16316</v>
      </c>
      <c r="B301" s="2" t="s">
        <v>16317</v>
      </c>
      <c r="C301" s="2" t="s">
        <v>16318</v>
      </c>
      <c r="D301" s="2" t="s">
        <v>16319</v>
      </c>
      <c r="E301" s="2" t="s">
        <v>16320</v>
      </c>
      <c r="F301" s="2" t="s">
        <v>16321</v>
      </c>
      <c r="G301" s="2" t="s">
        <v>16321</v>
      </c>
      <c r="H301" s="2" t="s">
        <v>72</v>
      </c>
      <c r="I301" s="2" t="s">
        <v>73</v>
      </c>
      <c r="J301" s="2" t="s">
        <v>464</v>
      </c>
      <c r="K301" s="2" t="s">
        <v>16319</v>
      </c>
      <c r="L301" s="2"/>
      <c r="M301" s="2"/>
      <c r="N301" s="2"/>
      <c r="O301" s="2" t="s">
        <v>72</v>
      </c>
      <c r="P301" s="2" t="s">
        <v>73</v>
      </c>
      <c r="Q301" s="2" t="s">
        <v>464</v>
      </c>
      <c r="R301" s="2" t="s">
        <v>11949</v>
      </c>
      <c r="S301" s="2" t="s">
        <v>44</v>
      </c>
      <c r="T301" s="2"/>
      <c r="U301" s="2" t="s">
        <v>3527</v>
      </c>
      <c r="V301" s="2" t="s">
        <v>46</v>
      </c>
      <c r="W301" s="2" t="s">
        <v>3527</v>
      </c>
      <c r="X301" s="2" t="s">
        <v>11225</v>
      </c>
      <c r="Y301" s="2" t="s">
        <v>10801</v>
      </c>
      <c r="Z301" s="2" t="s">
        <v>49</v>
      </c>
      <c r="AA301" s="2">
        <v>100</v>
      </c>
      <c r="AB301" s="2">
        <v>60</v>
      </c>
      <c r="AC301" s="2" t="s">
        <v>9685</v>
      </c>
      <c r="AD301" s="2" t="s">
        <v>16322</v>
      </c>
      <c r="AE301" s="2"/>
      <c r="AF301" s="2" t="s">
        <v>15038</v>
      </c>
      <c r="AG301" s="2" t="s">
        <v>14290</v>
      </c>
    </row>
    <row r="302" spans="1:33" x14ac:dyDescent="0.45">
      <c r="A302" s="2" t="s">
        <v>16323</v>
      </c>
      <c r="B302" s="2" t="s">
        <v>16324</v>
      </c>
      <c r="C302" s="2" t="s">
        <v>16325</v>
      </c>
      <c r="D302" s="2" t="s">
        <v>16326</v>
      </c>
      <c r="E302" s="2" t="s">
        <v>16327</v>
      </c>
      <c r="F302" s="2" t="s">
        <v>16328</v>
      </c>
      <c r="G302" s="2" t="s">
        <v>16328</v>
      </c>
      <c r="H302" s="2" t="s">
        <v>312</v>
      </c>
      <c r="I302" s="2" t="s">
        <v>313</v>
      </c>
      <c r="J302" s="2" t="s">
        <v>7647</v>
      </c>
      <c r="K302" s="2" t="s">
        <v>16326</v>
      </c>
      <c r="L302" s="2"/>
      <c r="M302" s="2"/>
      <c r="N302" s="2"/>
      <c r="O302" s="2" t="s">
        <v>312</v>
      </c>
      <c r="P302" s="2" t="s">
        <v>313</v>
      </c>
      <c r="Q302" s="2" t="s">
        <v>7647</v>
      </c>
      <c r="R302" s="2" t="s">
        <v>7494</v>
      </c>
      <c r="S302" s="2" t="s">
        <v>44</v>
      </c>
      <c r="T302" s="2"/>
      <c r="U302" s="2" t="s">
        <v>3527</v>
      </c>
      <c r="V302" s="2" t="s">
        <v>46</v>
      </c>
      <c r="W302" s="2" t="s">
        <v>3527</v>
      </c>
      <c r="X302" s="2" t="s">
        <v>10787</v>
      </c>
      <c r="Y302" s="2" t="s">
        <v>10801</v>
      </c>
      <c r="Z302" s="2" t="s">
        <v>49</v>
      </c>
      <c r="AA302" s="2">
        <v>100</v>
      </c>
      <c r="AB302" s="2">
        <v>60</v>
      </c>
      <c r="AC302" s="2" t="s">
        <v>9685</v>
      </c>
      <c r="AD302" s="2" t="s">
        <v>16329</v>
      </c>
      <c r="AE302" s="2"/>
      <c r="AF302" s="2" t="s">
        <v>15038</v>
      </c>
      <c r="AG302" s="2" t="s">
        <v>14290</v>
      </c>
    </row>
    <row r="303" spans="1:33" x14ac:dyDescent="0.45">
      <c r="A303" s="2" t="s">
        <v>16330</v>
      </c>
      <c r="B303" s="2" t="s">
        <v>16331</v>
      </c>
      <c r="C303" s="2" t="s">
        <v>16332</v>
      </c>
      <c r="D303" s="2" t="s">
        <v>16333</v>
      </c>
      <c r="E303" s="2" t="s">
        <v>16334</v>
      </c>
      <c r="F303" s="2" t="s">
        <v>3562</v>
      </c>
      <c r="G303" s="2" t="s">
        <v>3562</v>
      </c>
      <c r="H303" s="2" t="s">
        <v>277</v>
      </c>
      <c r="I303" s="2" t="s">
        <v>278</v>
      </c>
      <c r="J303" s="2" t="s">
        <v>279</v>
      </c>
      <c r="K303" s="2" t="s">
        <v>16333</v>
      </c>
      <c r="L303" s="2"/>
      <c r="M303" s="2"/>
      <c r="N303" s="2"/>
      <c r="O303" s="2" t="s">
        <v>277</v>
      </c>
      <c r="P303" s="2" t="s">
        <v>278</v>
      </c>
      <c r="Q303" s="2" t="s">
        <v>279</v>
      </c>
      <c r="R303" s="2" t="s">
        <v>8526</v>
      </c>
      <c r="S303" s="2" t="s">
        <v>44</v>
      </c>
      <c r="T303" s="2"/>
      <c r="U303" s="2" t="s">
        <v>3527</v>
      </c>
      <c r="V303" s="2" t="s">
        <v>46</v>
      </c>
      <c r="W303" s="2" t="s">
        <v>3527</v>
      </c>
      <c r="X303" s="2" t="s">
        <v>10787</v>
      </c>
      <c r="Y303" s="2" t="s">
        <v>10801</v>
      </c>
      <c r="Z303" s="2" t="s">
        <v>49</v>
      </c>
      <c r="AA303" s="2">
        <v>100</v>
      </c>
      <c r="AB303" s="2">
        <v>60</v>
      </c>
      <c r="AC303" s="2" t="s">
        <v>9685</v>
      </c>
      <c r="AD303" s="2" t="s">
        <v>16335</v>
      </c>
      <c r="AE303" s="2"/>
      <c r="AF303" s="2" t="s">
        <v>15038</v>
      </c>
      <c r="AG303" s="2" t="s">
        <v>14290</v>
      </c>
    </row>
    <row r="304" spans="1:33" x14ac:dyDescent="0.45">
      <c r="A304" s="2" t="s">
        <v>16336</v>
      </c>
      <c r="B304" s="2" t="s">
        <v>16337</v>
      </c>
      <c r="C304" s="2" t="s">
        <v>16338</v>
      </c>
      <c r="D304" s="2" t="s">
        <v>16339</v>
      </c>
      <c r="E304" s="2" t="s">
        <v>16340</v>
      </c>
      <c r="F304" s="2" t="s">
        <v>16341</v>
      </c>
      <c r="G304" s="2" t="s">
        <v>16341</v>
      </c>
      <c r="H304" s="2" t="s">
        <v>59</v>
      </c>
      <c r="I304" s="2" t="s">
        <v>60</v>
      </c>
      <c r="J304" s="2" t="s">
        <v>3102</v>
      </c>
      <c r="K304" s="2" t="s">
        <v>16342</v>
      </c>
      <c r="L304" s="2"/>
      <c r="M304" s="2"/>
      <c r="N304" s="2"/>
      <c r="O304" s="2" t="s">
        <v>324</v>
      </c>
      <c r="P304" s="2" t="s">
        <v>73</v>
      </c>
      <c r="Q304" s="2" t="s">
        <v>326</v>
      </c>
      <c r="R304" s="2" t="s">
        <v>16343</v>
      </c>
      <c r="S304" s="2" t="s">
        <v>44</v>
      </c>
      <c r="T304" s="2"/>
      <c r="U304" s="2" t="s">
        <v>3527</v>
      </c>
      <c r="V304" s="2" t="s">
        <v>46</v>
      </c>
      <c r="W304" s="2" t="s">
        <v>3527</v>
      </c>
      <c r="X304" s="2" t="s">
        <v>10787</v>
      </c>
      <c r="Y304" s="2" t="s">
        <v>10801</v>
      </c>
      <c r="Z304" s="2" t="s">
        <v>49</v>
      </c>
      <c r="AA304" s="2">
        <v>100</v>
      </c>
      <c r="AB304" s="2">
        <v>60</v>
      </c>
      <c r="AC304" s="2" t="s">
        <v>9685</v>
      </c>
      <c r="AD304" s="2" t="s">
        <v>16344</v>
      </c>
      <c r="AE304" s="2"/>
      <c r="AF304" s="2" t="s">
        <v>15038</v>
      </c>
      <c r="AG304" s="2" t="s">
        <v>14290</v>
      </c>
    </row>
    <row r="305" spans="1:33" x14ac:dyDescent="0.45">
      <c r="A305" s="2" t="s">
        <v>16345</v>
      </c>
      <c r="B305" s="2" t="s">
        <v>16346</v>
      </c>
      <c r="C305" s="2" t="s">
        <v>16347</v>
      </c>
      <c r="D305" s="2" t="s">
        <v>16348</v>
      </c>
      <c r="E305" s="2" t="s">
        <v>16349</v>
      </c>
      <c r="F305" s="2" t="s">
        <v>16350</v>
      </c>
      <c r="G305" s="2" t="s">
        <v>16350</v>
      </c>
      <c r="H305" s="2" t="s">
        <v>312</v>
      </c>
      <c r="I305" s="2" t="s">
        <v>313</v>
      </c>
      <c r="J305" s="2" t="s">
        <v>1048</v>
      </c>
      <c r="K305" s="2" t="s">
        <v>16351</v>
      </c>
      <c r="L305" s="2"/>
      <c r="M305" s="2"/>
      <c r="N305" s="2"/>
      <c r="O305" s="2" t="s">
        <v>312</v>
      </c>
      <c r="P305" s="2" t="s">
        <v>313</v>
      </c>
      <c r="Q305" s="2" t="s">
        <v>1048</v>
      </c>
      <c r="R305" s="2" t="s">
        <v>1199</v>
      </c>
      <c r="S305" s="2" t="s">
        <v>44</v>
      </c>
      <c r="T305" s="2"/>
      <c r="U305" s="2" t="s">
        <v>3527</v>
      </c>
      <c r="V305" s="2" t="s">
        <v>46</v>
      </c>
      <c r="W305" s="2" t="s">
        <v>3527</v>
      </c>
      <c r="X305" s="2" t="s">
        <v>10787</v>
      </c>
      <c r="Y305" s="2" t="s">
        <v>10801</v>
      </c>
      <c r="Z305" s="2" t="s">
        <v>49</v>
      </c>
      <c r="AA305" s="2">
        <v>100</v>
      </c>
      <c r="AB305" s="2">
        <v>60</v>
      </c>
      <c r="AC305" s="2" t="s">
        <v>9685</v>
      </c>
      <c r="AD305" s="2" t="s">
        <v>16352</v>
      </c>
      <c r="AE305" s="2"/>
      <c r="AF305" s="2" t="s">
        <v>15038</v>
      </c>
      <c r="AG305" s="2" t="s">
        <v>14290</v>
      </c>
    </row>
    <row r="306" spans="1:33" x14ac:dyDescent="0.45">
      <c r="A306" s="2" t="s">
        <v>16353</v>
      </c>
      <c r="B306" s="2" t="s">
        <v>16354</v>
      </c>
      <c r="C306" s="2" t="s">
        <v>16355</v>
      </c>
      <c r="D306" s="2" t="s">
        <v>16356</v>
      </c>
      <c r="E306" s="2" t="s">
        <v>16357</v>
      </c>
      <c r="F306" s="2" t="s">
        <v>16358</v>
      </c>
      <c r="G306" s="2" t="s">
        <v>16358</v>
      </c>
      <c r="H306" s="2" t="s">
        <v>72</v>
      </c>
      <c r="I306" s="2" t="s">
        <v>73</v>
      </c>
      <c r="J306" s="2" t="s">
        <v>16359</v>
      </c>
      <c r="K306" s="2"/>
      <c r="L306" s="2"/>
      <c r="M306" s="2"/>
      <c r="N306" s="2"/>
      <c r="O306" s="2"/>
      <c r="P306" s="2"/>
      <c r="Q306" s="2"/>
      <c r="R306" s="2" t="s">
        <v>3273</v>
      </c>
      <c r="S306" s="2" t="s">
        <v>44</v>
      </c>
      <c r="T306" s="2"/>
      <c r="U306" s="2" t="s">
        <v>3527</v>
      </c>
      <c r="V306" s="2" t="s">
        <v>46</v>
      </c>
      <c r="W306" s="2" t="s">
        <v>3527</v>
      </c>
      <c r="X306" s="2" t="s">
        <v>10787</v>
      </c>
      <c r="Y306" s="2" t="s">
        <v>10801</v>
      </c>
      <c r="Z306" s="2" t="s">
        <v>49</v>
      </c>
      <c r="AA306" s="2">
        <v>100</v>
      </c>
      <c r="AB306" s="2">
        <v>60</v>
      </c>
      <c r="AC306" s="2" t="s">
        <v>9685</v>
      </c>
      <c r="AD306" s="2" t="s">
        <v>16360</v>
      </c>
      <c r="AE306" s="2"/>
      <c r="AF306" s="2" t="s">
        <v>15038</v>
      </c>
      <c r="AG306" s="2" t="s">
        <v>14290</v>
      </c>
    </row>
    <row r="307" spans="1:33" x14ac:dyDescent="0.45">
      <c r="A307" s="2" t="s">
        <v>16361</v>
      </c>
      <c r="B307" s="2" t="s">
        <v>16362</v>
      </c>
      <c r="C307" s="2" t="s">
        <v>16363</v>
      </c>
      <c r="D307" s="2" t="s">
        <v>16364</v>
      </c>
      <c r="E307" s="2" t="s">
        <v>16365</v>
      </c>
      <c r="F307" s="2" t="s">
        <v>16366</v>
      </c>
      <c r="G307" s="2" t="s">
        <v>16366</v>
      </c>
      <c r="H307" s="2" t="s">
        <v>72</v>
      </c>
      <c r="I307" s="2" t="s">
        <v>73</v>
      </c>
      <c r="J307" s="2" t="s">
        <v>1430</v>
      </c>
      <c r="K307" s="2"/>
      <c r="L307" s="2"/>
      <c r="M307" s="2"/>
      <c r="N307" s="2"/>
      <c r="O307" s="2"/>
      <c r="P307" s="2"/>
      <c r="Q307" s="2"/>
      <c r="R307" s="2" t="s">
        <v>733</v>
      </c>
      <c r="S307" s="2" t="s">
        <v>44</v>
      </c>
      <c r="T307" s="2"/>
      <c r="U307" s="2" t="s">
        <v>3527</v>
      </c>
      <c r="V307" s="2" t="s">
        <v>46</v>
      </c>
      <c r="W307" s="2" t="s">
        <v>3527</v>
      </c>
      <c r="X307" s="2" t="s">
        <v>10787</v>
      </c>
      <c r="Y307" s="2" t="s">
        <v>10801</v>
      </c>
      <c r="Z307" s="2" t="s">
        <v>49</v>
      </c>
      <c r="AA307" s="2">
        <v>100</v>
      </c>
      <c r="AB307" s="2">
        <v>60</v>
      </c>
      <c r="AC307" s="2" t="s">
        <v>9685</v>
      </c>
      <c r="AD307" s="2" t="s">
        <v>16367</v>
      </c>
      <c r="AE307" s="2"/>
      <c r="AF307" s="2" t="s">
        <v>15038</v>
      </c>
      <c r="AG307" s="2" t="s">
        <v>14290</v>
      </c>
    </row>
    <row r="308" spans="1:33" x14ac:dyDescent="0.45">
      <c r="A308" s="2" t="s">
        <v>16368</v>
      </c>
      <c r="B308" s="2" t="s">
        <v>16369</v>
      </c>
      <c r="C308" s="2" t="s">
        <v>16370</v>
      </c>
      <c r="D308" s="2" t="s">
        <v>16371</v>
      </c>
      <c r="E308" s="2" t="s">
        <v>16372</v>
      </c>
      <c r="F308" s="2" t="s">
        <v>16373</v>
      </c>
      <c r="G308" s="2" t="s">
        <v>16373</v>
      </c>
      <c r="H308" s="2" t="s">
        <v>216</v>
      </c>
      <c r="I308" s="2" t="s">
        <v>217</v>
      </c>
      <c r="J308" s="2" t="s">
        <v>11069</v>
      </c>
      <c r="K308" s="2" t="s">
        <v>16371</v>
      </c>
      <c r="L308" s="2"/>
      <c r="M308" s="2"/>
      <c r="N308" s="2"/>
      <c r="O308" s="2" t="s">
        <v>216</v>
      </c>
      <c r="P308" s="2" t="s">
        <v>217</v>
      </c>
      <c r="Q308" s="2" t="s">
        <v>11069</v>
      </c>
      <c r="R308" s="2" t="s">
        <v>15633</v>
      </c>
      <c r="S308" s="2" t="s">
        <v>44</v>
      </c>
      <c r="T308" s="2"/>
      <c r="U308" s="2" t="s">
        <v>3527</v>
      </c>
      <c r="V308" s="2" t="s">
        <v>46</v>
      </c>
      <c r="W308" s="2" t="s">
        <v>3527</v>
      </c>
      <c r="X308" s="2" t="s">
        <v>10787</v>
      </c>
      <c r="Y308" s="2" t="s">
        <v>10801</v>
      </c>
      <c r="Z308" s="2" t="s">
        <v>49</v>
      </c>
      <c r="AA308" s="2">
        <v>100</v>
      </c>
      <c r="AB308" s="2">
        <v>60</v>
      </c>
      <c r="AC308" s="2" t="s">
        <v>9685</v>
      </c>
      <c r="AD308" s="2" t="s">
        <v>16374</v>
      </c>
      <c r="AE308" s="2"/>
      <c r="AF308" s="2" t="s">
        <v>15038</v>
      </c>
      <c r="AG308" s="2" t="s">
        <v>14290</v>
      </c>
    </row>
    <row r="309" spans="1:33" x14ac:dyDescent="0.45">
      <c r="A309" s="2" t="s">
        <v>16375</v>
      </c>
      <c r="B309" s="2" t="s">
        <v>16376</v>
      </c>
      <c r="C309" s="2" t="s">
        <v>16377</v>
      </c>
      <c r="D309" s="2" t="s">
        <v>16378</v>
      </c>
      <c r="E309" s="2" t="s">
        <v>16379</v>
      </c>
      <c r="F309" s="2" t="s">
        <v>16380</v>
      </c>
      <c r="G309" s="2" t="s">
        <v>16380</v>
      </c>
      <c r="H309" s="2" t="s">
        <v>324</v>
      </c>
      <c r="I309" s="2" t="s">
        <v>73</v>
      </c>
      <c r="J309" s="2" t="s">
        <v>6817</v>
      </c>
      <c r="K309" s="2"/>
      <c r="L309" s="2"/>
      <c r="M309" s="2"/>
      <c r="N309" s="2"/>
      <c r="O309" s="2"/>
      <c r="P309" s="2"/>
      <c r="Q309" s="2"/>
      <c r="R309" s="2" t="s">
        <v>9804</v>
      </c>
      <c r="S309" s="2" t="s">
        <v>44</v>
      </c>
      <c r="T309" s="2"/>
      <c r="U309" s="2" t="s">
        <v>3527</v>
      </c>
      <c r="V309" s="2" t="s">
        <v>46</v>
      </c>
      <c r="W309" s="2" t="s">
        <v>3527</v>
      </c>
      <c r="X309" s="2" t="s">
        <v>10787</v>
      </c>
      <c r="Y309" s="2" t="s">
        <v>10801</v>
      </c>
      <c r="Z309" s="2" t="s">
        <v>49</v>
      </c>
      <c r="AA309" s="2">
        <v>100</v>
      </c>
      <c r="AB309" s="2">
        <v>60</v>
      </c>
      <c r="AC309" s="2" t="s">
        <v>9685</v>
      </c>
      <c r="AD309" s="2" t="s">
        <v>16381</v>
      </c>
      <c r="AE309" s="2"/>
      <c r="AF309" s="2" t="s">
        <v>15038</v>
      </c>
      <c r="AG309" s="2" t="s">
        <v>14290</v>
      </c>
    </row>
    <row r="310" spans="1:33" x14ac:dyDescent="0.45">
      <c r="A310" s="2" t="s">
        <v>16382</v>
      </c>
      <c r="B310" s="2" t="s">
        <v>16383</v>
      </c>
      <c r="C310" s="2" t="s">
        <v>16384</v>
      </c>
      <c r="D310" s="2" t="s">
        <v>16385</v>
      </c>
      <c r="E310" s="2" t="s">
        <v>16386</v>
      </c>
      <c r="F310" s="2" t="s">
        <v>16387</v>
      </c>
      <c r="G310" s="2" t="s">
        <v>16387</v>
      </c>
      <c r="H310" s="2" t="s">
        <v>72</v>
      </c>
      <c r="I310" s="2" t="s">
        <v>73</v>
      </c>
      <c r="J310" s="2" t="s">
        <v>3419</v>
      </c>
      <c r="K310" s="2"/>
      <c r="L310" s="2"/>
      <c r="M310" s="2"/>
      <c r="N310" s="2"/>
      <c r="O310" s="2"/>
      <c r="P310" s="2"/>
      <c r="Q310" s="2"/>
      <c r="R310" s="2" t="s">
        <v>9804</v>
      </c>
      <c r="S310" s="2" t="s">
        <v>44</v>
      </c>
      <c r="T310" s="2"/>
      <c r="U310" s="2" t="s">
        <v>3527</v>
      </c>
      <c r="V310" s="2" t="s">
        <v>46</v>
      </c>
      <c r="W310" s="2" t="s">
        <v>3527</v>
      </c>
      <c r="X310" s="2" t="s">
        <v>10787</v>
      </c>
      <c r="Y310" s="2" t="s">
        <v>10801</v>
      </c>
      <c r="Z310" s="2" t="s">
        <v>49</v>
      </c>
      <c r="AA310" s="2">
        <v>100</v>
      </c>
      <c r="AB310" s="2">
        <v>60</v>
      </c>
      <c r="AC310" s="2" t="s">
        <v>9685</v>
      </c>
      <c r="AD310" s="2" t="s">
        <v>16388</v>
      </c>
      <c r="AE310" s="2"/>
      <c r="AF310" s="2" t="s">
        <v>15038</v>
      </c>
      <c r="AG310" s="2" t="s">
        <v>14290</v>
      </c>
    </row>
    <row r="311" spans="1:33" x14ac:dyDescent="0.45">
      <c r="A311" s="2" t="s">
        <v>16389</v>
      </c>
      <c r="B311" s="2" t="s">
        <v>16390</v>
      </c>
      <c r="C311" s="2" t="s">
        <v>16391</v>
      </c>
      <c r="D311" s="2" t="s">
        <v>16392</v>
      </c>
      <c r="E311" s="2" t="s">
        <v>16393</v>
      </c>
      <c r="F311" s="2" t="s">
        <v>16394</v>
      </c>
      <c r="G311" s="2" t="s">
        <v>16394</v>
      </c>
      <c r="H311" s="2" t="s">
        <v>59</v>
      </c>
      <c r="I311" s="2" t="s">
        <v>60</v>
      </c>
      <c r="J311" s="2" t="s">
        <v>8113</v>
      </c>
      <c r="K311" s="2"/>
      <c r="L311" s="2"/>
      <c r="M311" s="2"/>
      <c r="N311" s="2"/>
      <c r="O311" s="2"/>
      <c r="P311" s="2"/>
      <c r="Q311" s="2"/>
      <c r="R311" s="2" t="s">
        <v>9804</v>
      </c>
      <c r="S311" s="2" t="s">
        <v>44</v>
      </c>
      <c r="T311" s="2"/>
      <c r="U311" s="2" t="s">
        <v>3527</v>
      </c>
      <c r="V311" s="2" t="s">
        <v>46</v>
      </c>
      <c r="W311" s="2" t="s">
        <v>3527</v>
      </c>
      <c r="X311" s="2" t="s">
        <v>10787</v>
      </c>
      <c r="Y311" s="2" t="s">
        <v>10801</v>
      </c>
      <c r="Z311" s="2" t="s">
        <v>49</v>
      </c>
      <c r="AA311" s="2">
        <v>100</v>
      </c>
      <c r="AB311" s="2">
        <v>60</v>
      </c>
      <c r="AC311" s="2" t="s">
        <v>9685</v>
      </c>
      <c r="AD311" s="2" t="s">
        <v>16395</v>
      </c>
      <c r="AE311" s="2"/>
      <c r="AF311" s="2" t="s">
        <v>15038</v>
      </c>
      <c r="AG311" s="2" t="s">
        <v>14290</v>
      </c>
    </row>
    <row r="312" spans="1:33" x14ac:dyDescent="0.45">
      <c r="A312" s="2" t="s">
        <v>16396</v>
      </c>
      <c r="B312" s="2" t="s">
        <v>16397</v>
      </c>
      <c r="C312" s="2" t="s">
        <v>16398</v>
      </c>
      <c r="D312" s="2" t="s">
        <v>16399</v>
      </c>
      <c r="E312" s="2" t="s">
        <v>16400</v>
      </c>
      <c r="F312" s="2" t="s">
        <v>16401</v>
      </c>
      <c r="G312" s="2"/>
      <c r="H312" s="2" t="s">
        <v>290</v>
      </c>
      <c r="I312" s="2" t="s">
        <v>278</v>
      </c>
      <c r="J312" s="2" t="s">
        <v>396</v>
      </c>
      <c r="K312" s="2"/>
      <c r="L312" s="2"/>
      <c r="M312" s="2"/>
      <c r="N312" s="2"/>
      <c r="O312" s="2"/>
      <c r="P312" s="2"/>
      <c r="Q312" s="2"/>
      <c r="R312" s="2" t="s">
        <v>743</v>
      </c>
      <c r="S312" s="2" t="s">
        <v>44</v>
      </c>
      <c r="T312" s="2"/>
      <c r="U312" s="2" t="s">
        <v>3527</v>
      </c>
      <c r="V312" s="2" t="s">
        <v>46</v>
      </c>
      <c r="W312" s="2" t="s">
        <v>3527</v>
      </c>
      <c r="X312" s="2" t="s">
        <v>10787</v>
      </c>
      <c r="Y312" s="2" t="s">
        <v>10801</v>
      </c>
      <c r="Z312" s="2" t="s">
        <v>49</v>
      </c>
      <c r="AA312" s="2">
        <v>100</v>
      </c>
      <c r="AB312" s="2">
        <v>60</v>
      </c>
      <c r="AC312" s="2" t="s">
        <v>9685</v>
      </c>
      <c r="AD312" s="2" t="s">
        <v>16402</v>
      </c>
      <c r="AE312" s="2"/>
      <c r="AF312" s="2" t="s">
        <v>15038</v>
      </c>
      <c r="AG312" s="2" t="s">
        <v>14290</v>
      </c>
    </row>
    <row r="313" spans="1:33" x14ac:dyDescent="0.45">
      <c r="A313" s="2" t="s">
        <v>16403</v>
      </c>
      <c r="B313" s="2" t="s">
        <v>16404</v>
      </c>
      <c r="C313" s="2" t="s">
        <v>16405</v>
      </c>
      <c r="D313" s="2" t="s">
        <v>16406</v>
      </c>
      <c r="E313" s="2" t="s">
        <v>16407</v>
      </c>
      <c r="F313" s="2" t="s">
        <v>16408</v>
      </c>
      <c r="G313" s="2" t="s">
        <v>16408</v>
      </c>
      <c r="H313" s="2" t="s">
        <v>59</v>
      </c>
      <c r="I313" s="2" t="s">
        <v>60</v>
      </c>
      <c r="J313" s="2" t="s">
        <v>2323</v>
      </c>
      <c r="K313" s="2"/>
      <c r="L313" s="2"/>
      <c r="M313" s="2"/>
      <c r="N313" s="2"/>
      <c r="O313" s="2"/>
      <c r="P313" s="2"/>
      <c r="Q313" s="2"/>
      <c r="R313" s="2" t="s">
        <v>5479</v>
      </c>
      <c r="S313" s="2" t="s">
        <v>44</v>
      </c>
      <c r="T313" s="2"/>
      <c r="U313" s="2" t="s">
        <v>3527</v>
      </c>
      <c r="V313" s="2" t="s">
        <v>46</v>
      </c>
      <c r="W313" s="2" t="s">
        <v>3527</v>
      </c>
      <c r="X313" s="2" t="s">
        <v>10787</v>
      </c>
      <c r="Y313" s="2" t="s">
        <v>10801</v>
      </c>
      <c r="Z313" s="2" t="s">
        <v>49</v>
      </c>
      <c r="AA313" s="2">
        <v>100</v>
      </c>
      <c r="AB313" s="2">
        <v>60</v>
      </c>
      <c r="AC313" s="2" t="s">
        <v>9685</v>
      </c>
      <c r="AD313" s="2" t="s">
        <v>16409</v>
      </c>
      <c r="AE313" s="2"/>
      <c r="AF313" s="2" t="s">
        <v>15038</v>
      </c>
      <c r="AG313" s="2" t="s">
        <v>14290</v>
      </c>
    </row>
    <row r="314" spans="1:33" x14ac:dyDescent="0.45">
      <c r="A314" s="2" t="s">
        <v>16410</v>
      </c>
      <c r="B314" s="2" t="s">
        <v>16411</v>
      </c>
      <c r="C314" s="2" t="s">
        <v>16412</v>
      </c>
      <c r="D314" s="2" t="s">
        <v>16413</v>
      </c>
      <c r="E314" s="2" t="s">
        <v>16414</v>
      </c>
      <c r="F314" s="2" t="s">
        <v>3562</v>
      </c>
      <c r="G314" s="2" t="s">
        <v>3562</v>
      </c>
      <c r="H314" s="2" t="s">
        <v>59</v>
      </c>
      <c r="I314" s="2" t="s">
        <v>60</v>
      </c>
      <c r="J314" s="2" t="s">
        <v>15434</v>
      </c>
      <c r="K314" s="2" t="s">
        <v>16415</v>
      </c>
      <c r="L314" s="2"/>
      <c r="M314" s="2"/>
      <c r="N314" s="2"/>
      <c r="O314" s="2" t="s">
        <v>59</v>
      </c>
      <c r="P314" s="2" t="s">
        <v>60</v>
      </c>
      <c r="Q314" s="2" t="s">
        <v>15434</v>
      </c>
      <c r="R314" s="2" t="s">
        <v>5479</v>
      </c>
      <c r="S314" s="2" t="s">
        <v>44</v>
      </c>
      <c r="T314" s="2"/>
      <c r="U314" s="2" t="s">
        <v>3527</v>
      </c>
      <c r="V314" s="2" t="s">
        <v>46</v>
      </c>
      <c r="W314" s="2" t="s">
        <v>3527</v>
      </c>
      <c r="X314" s="2" t="s">
        <v>12028</v>
      </c>
      <c r="Y314" s="2" t="s">
        <v>10801</v>
      </c>
      <c r="Z314" s="2" t="s">
        <v>49</v>
      </c>
      <c r="AA314" s="2">
        <v>100</v>
      </c>
      <c r="AB314" s="2">
        <v>60</v>
      </c>
      <c r="AC314" s="2" t="s">
        <v>9685</v>
      </c>
      <c r="AD314" s="2" t="s">
        <v>16416</v>
      </c>
      <c r="AE314" s="2"/>
      <c r="AF314" s="2" t="s">
        <v>15038</v>
      </c>
      <c r="AG314" s="2" t="s">
        <v>14290</v>
      </c>
    </row>
    <row r="315" spans="1:33" x14ac:dyDescent="0.45">
      <c r="A315" s="2" t="s">
        <v>16417</v>
      </c>
      <c r="B315" s="2" t="s">
        <v>16418</v>
      </c>
      <c r="C315" s="2" t="s">
        <v>16419</v>
      </c>
      <c r="D315" s="2" t="s">
        <v>16420</v>
      </c>
      <c r="E315" s="2" t="s">
        <v>16421</v>
      </c>
      <c r="F315" s="2" t="s">
        <v>16422</v>
      </c>
      <c r="G315" s="2" t="s">
        <v>16422</v>
      </c>
      <c r="H315" s="2" t="s">
        <v>277</v>
      </c>
      <c r="I315" s="2" t="s">
        <v>278</v>
      </c>
      <c r="J315" s="2" t="s">
        <v>11414</v>
      </c>
      <c r="K315" s="2"/>
      <c r="L315" s="2"/>
      <c r="M315" s="2"/>
      <c r="N315" s="2"/>
      <c r="O315" s="2"/>
      <c r="P315" s="2"/>
      <c r="Q315" s="2"/>
      <c r="R315" s="2" t="s">
        <v>1072</v>
      </c>
      <c r="S315" s="2" t="s">
        <v>44</v>
      </c>
      <c r="T315" s="2"/>
      <c r="U315" s="2" t="s">
        <v>3527</v>
      </c>
      <c r="V315" s="2" t="s">
        <v>46</v>
      </c>
      <c r="W315" s="2" t="s">
        <v>3527</v>
      </c>
      <c r="X315" s="2" t="s">
        <v>10787</v>
      </c>
      <c r="Y315" s="2" t="s">
        <v>10801</v>
      </c>
      <c r="Z315" s="2" t="s">
        <v>49</v>
      </c>
      <c r="AA315" s="2">
        <v>100</v>
      </c>
      <c r="AB315" s="2">
        <v>60</v>
      </c>
      <c r="AC315" s="2" t="s">
        <v>9685</v>
      </c>
      <c r="AD315" s="2" t="s">
        <v>16423</v>
      </c>
      <c r="AE315" s="2"/>
      <c r="AF315" s="2" t="s">
        <v>15038</v>
      </c>
      <c r="AG315" s="2" t="s">
        <v>14290</v>
      </c>
    </row>
    <row r="316" spans="1:33" x14ac:dyDescent="0.45">
      <c r="A316" s="2" t="s">
        <v>16424</v>
      </c>
      <c r="B316" s="2" t="s">
        <v>16425</v>
      </c>
      <c r="C316" s="2" t="s">
        <v>16426</v>
      </c>
      <c r="D316" s="2" t="s">
        <v>16427</v>
      </c>
      <c r="E316" s="2" t="s">
        <v>16428</v>
      </c>
      <c r="F316" s="2" t="s">
        <v>16429</v>
      </c>
      <c r="G316" s="2" t="s">
        <v>16429</v>
      </c>
      <c r="H316" s="2" t="s">
        <v>277</v>
      </c>
      <c r="I316" s="2" t="s">
        <v>278</v>
      </c>
      <c r="J316" s="2" t="s">
        <v>11414</v>
      </c>
      <c r="K316" s="2"/>
      <c r="L316" s="2"/>
      <c r="M316" s="2"/>
      <c r="N316" s="2"/>
      <c r="O316" s="2"/>
      <c r="P316" s="2"/>
      <c r="Q316" s="2"/>
      <c r="R316" s="2" t="s">
        <v>1072</v>
      </c>
      <c r="S316" s="2" t="s">
        <v>44</v>
      </c>
      <c r="T316" s="2"/>
      <c r="U316" s="2" t="s">
        <v>3527</v>
      </c>
      <c r="V316" s="2" t="s">
        <v>46</v>
      </c>
      <c r="W316" s="2" t="s">
        <v>3527</v>
      </c>
      <c r="X316" s="2" t="s">
        <v>10787</v>
      </c>
      <c r="Y316" s="2" t="s">
        <v>10801</v>
      </c>
      <c r="Z316" s="2" t="s">
        <v>49</v>
      </c>
      <c r="AA316" s="2">
        <v>100</v>
      </c>
      <c r="AB316" s="2">
        <v>60</v>
      </c>
      <c r="AC316" s="2" t="s">
        <v>9685</v>
      </c>
      <c r="AD316" s="2" t="s">
        <v>16430</v>
      </c>
      <c r="AE316" s="2"/>
      <c r="AF316" s="2" t="s">
        <v>15038</v>
      </c>
      <c r="AG316" s="2" t="s">
        <v>14290</v>
      </c>
    </row>
    <row r="317" spans="1:33" x14ac:dyDescent="0.45">
      <c r="A317" s="2" t="s">
        <v>16431</v>
      </c>
      <c r="B317" s="2" t="s">
        <v>16432</v>
      </c>
      <c r="C317" s="2" t="s">
        <v>16433</v>
      </c>
      <c r="D317" s="2" t="s">
        <v>16434</v>
      </c>
      <c r="E317" s="2" t="s">
        <v>16435</v>
      </c>
      <c r="F317" s="2" t="s">
        <v>3562</v>
      </c>
      <c r="G317" s="2" t="s">
        <v>3562</v>
      </c>
      <c r="H317" s="2" t="s">
        <v>290</v>
      </c>
      <c r="I317" s="2" t="s">
        <v>278</v>
      </c>
      <c r="J317" s="2" t="s">
        <v>291</v>
      </c>
      <c r="K317" s="2"/>
      <c r="L317" s="2"/>
      <c r="M317" s="2"/>
      <c r="N317" s="2"/>
      <c r="O317" s="2"/>
      <c r="P317" s="2"/>
      <c r="Q317" s="2"/>
      <c r="R317" s="2" t="s">
        <v>1419</v>
      </c>
      <c r="S317" s="2" t="s">
        <v>44</v>
      </c>
      <c r="T317" s="2"/>
      <c r="U317" s="2" t="s">
        <v>3527</v>
      </c>
      <c r="V317" s="2" t="s">
        <v>46</v>
      </c>
      <c r="W317" s="2" t="s">
        <v>3527</v>
      </c>
      <c r="X317" s="2" t="s">
        <v>10787</v>
      </c>
      <c r="Y317" s="2" t="s">
        <v>10801</v>
      </c>
      <c r="Z317" s="2" t="s">
        <v>49</v>
      </c>
      <c r="AA317" s="2">
        <v>100</v>
      </c>
      <c r="AB317" s="2">
        <v>60</v>
      </c>
      <c r="AC317" s="2" t="s">
        <v>9685</v>
      </c>
      <c r="AD317" s="2" t="s">
        <v>16436</v>
      </c>
      <c r="AE317" s="2"/>
      <c r="AF317" s="2" t="s">
        <v>15038</v>
      </c>
      <c r="AG317" s="2" t="s">
        <v>14290</v>
      </c>
    </row>
    <row r="318" spans="1:33" x14ac:dyDescent="0.45">
      <c r="A318" s="2" t="s">
        <v>16437</v>
      </c>
      <c r="B318" s="2" t="s">
        <v>16438</v>
      </c>
      <c r="C318" s="2" t="s">
        <v>16439</v>
      </c>
      <c r="D318" s="2" t="s">
        <v>16440</v>
      </c>
      <c r="E318" s="2" t="s">
        <v>16441</v>
      </c>
      <c r="F318" s="2" t="s">
        <v>16442</v>
      </c>
      <c r="G318" s="2" t="s">
        <v>16442</v>
      </c>
      <c r="H318" s="2" t="s">
        <v>59</v>
      </c>
      <c r="I318" s="2" t="s">
        <v>60</v>
      </c>
      <c r="J318" s="2" t="s">
        <v>8056</v>
      </c>
      <c r="K318" s="2" t="s">
        <v>16440</v>
      </c>
      <c r="L318" s="2"/>
      <c r="M318" s="2"/>
      <c r="N318" s="2"/>
      <c r="O318" s="2" t="s">
        <v>59</v>
      </c>
      <c r="P318" s="2" t="s">
        <v>60</v>
      </c>
      <c r="Q318" s="2" t="s">
        <v>8056</v>
      </c>
      <c r="R318" s="2" t="s">
        <v>1419</v>
      </c>
      <c r="S318" s="2" t="s">
        <v>44</v>
      </c>
      <c r="T318" s="2"/>
      <c r="U318" s="2" t="s">
        <v>3527</v>
      </c>
      <c r="V318" s="2" t="s">
        <v>46</v>
      </c>
      <c r="W318" s="2" t="s">
        <v>3527</v>
      </c>
      <c r="X318" s="2" t="s">
        <v>10787</v>
      </c>
      <c r="Y318" s="2" t="s">
        <v>10801</v>
      </c>
      <c r="Z318" s="2" t="s">
        <v>49</v>
      </c>
      <c r="AA318" s="2">
        <v>100</v>
      </c>
      <c r="AB318" s="2">
        <v>60</v>
      </c>
      <c r="AC318" s="2" t="s">
        <v>9685</v>
      </c>
      <c r="AD318" s="2" t="s">
        <v>16443</v>
      </c>
      <c r="AE318" s="2"/>
      <c r="AF318" s="2" t="s">
        <v>15038</v>
      </c>
      <c r="AG318" s="2" t="s">
        <v>14290</v>
      </c>
    </row>
    <row r="319" spans="1:33" x14ac:dyDescent="0.45">
      <c r="A319" s="2" t="s">
        <v>16444</v>
      </c>
      <c r="B319" s="2" t="s">
        <v>16445</v>
      </c>
      <c r="C319" s="2" t="s">
        <v>16446</v>
      </c>
      <c r="D319" s="2" t="s">
        <v>16447</v>
      </c>
      <c r="E319" s="2" t="s">
        <v>16448</v>
      </c>
      <c r="F319" s="2" t="s">
        <v>16449</v>
      </c>
      <c r="G319" s="2" t="s">
        <v>16449</v>
      </c>
      <c r="H319" s="2" t="s">
        <v>72</v>
      </c>
      <c r="I319" s="2" t="s">
        <v>73</v>
      </c>
      <c r="J319" s="2" t="s">
        <v>7553</v>
      </c>
      <c r="K319" s="2"/>
      <c r="L319" s="2"/>
      <c r="M319" s="2"/>
      <c r="N319" s="2"/>
      <c r="O319" s="2"/>
      <c r="P319" s="2"/>
      <c r="Q319" s="2"/>
      <c r="R319" s="2" t="s">
        <v>6193</v>
      </c>
      <c r="S319" s="2" t="s">
        <v>44</v>
      </c>
      <c r="T319" s="2"/>
      <c r="U319" s="2" t="s">
        <v>3527</v>
      </c>
      <c r="V319" s="2" t="s">
        <v>46</v>
      </c>
      <c r="W319" s="2" t="s">
        <v>3527</v>
      </c>
      <c r="X319" s="2" t="s">
        <v>10787</v>
      </c>
      <c r="Y319" s="2" t="s">
        <v>10801</v>
      </c>
      <c r="Z319" s="2" t="s">
        <v>49</v>
      </c>
      <c r="AA319" s="2">
        <v>100</v>
      </c>
      <c r="AB319" s="2">
        <v>60</v>
      </c>
      <c r="AC319" s="2" t="s">
        <v>9685</v>
      </c>
      <c r="AD319" s="2" t="s">
        <v>16450</v>
      </c>
      <c r="AE319" s="2"/>
      <c r="AF319" s="2" t="s">
        <v>15038</v>
      </c>
      <c r="AG319" s="2" t="s">
        <v>14290</v>
      </c>
    </row>
    <row r="320" spans="1:33" x14ac:dyDescent="0.45">
      <c r="A320" s="2" t="s">
        <v>16451</v>
      </c>
      <c r="B320" s="2" t="s">
        <v>16452</v>
      </c>
      <c r="C320" s="2" t="s">
        <v>16453</v>
      </c>
      <c r="D320" s="2" t="s">
        <v>16454</v>
      </c>
      <c r="E320" s="2" t="s">
        <v>16455</v>
      </c>
      <c r="F320" s="2" t="s">
        <v>16456</v>
      </c>
      <c r="G320" s="2" t="s">
        <v>16456</v>
      </c>
      <c r="H320" s="2" t="s">
        <v>384</v>
      </c>
      <c r="I320" s="2" t="s">
        <v>73</v>
      </c>
      <c r="J320" s="2" t="s">
        <v>559</v>
      </c>
      <c r="K320" s="2" t="s">
        <v>16454</v>
      </c>
      <c r="L320" s="2"/>
      <c r="M320" s="2"/>
      <c r="N320" s="2"/>
      <c r="O320" s="2" t="s">
        <v>384</v>
      </c>
      <c r="P320" s="2" t="s">
        <v>73</v>
      </c>
      <c r="Q320" s="2" t="s">
        <v>559</v>
      </c>
      <c r="R320" s="2" t="s">
        <v>1082</v>
      </c>
      <c r="S320" s="2" t="s">
        <v>44</v>
      </c>
      <c r="T320" s="2"/>
      <c r="U320" s="2" t="s">
        <v>3527</v>
      </c>
      <c r="V320" s="2" t="s">
        <v>46</v>
      </c>
      <c r="W320" s="2" t="s">
        <v>3527</v>
      </c>
      <c r="X320" s="2" t="s">
        <v>10787</v>
      </c>
      <c r="Y320" s="2" t="s">
        <v>10801</v>
      </c>
      <c r="Z320" s="2" t="s">
        <v>49</v>
      </c>
      <c r="AA320" s="2">
        <v>100</v>
      </c>
      <c r="AB320" s="2">
        <v>60</v>
      </c>
      <c r="AC320" s="2" t="s">
        <v>9685</v>
      </c>
      <c r="AD320" s="2" t="s">
        <v>16457</v>
      </c>
      <c r="AE320" s="2"/>
      <c r="AF320" s="2" t="s">
        <v>15038</v>
      </c>
      <c r="AG320" s="2" t="s">
        <v>14290</v>
      </c>
    </row>
    <row r="321" spans="1:33" x14ac:dyDescent="0.45">
      <c r="A321" s="2" t="s">
        <v>16458</v>
      </c>
      <c r="B321" s="2" t="s">
        <v>16459</v>
      </c>
      <c r="C321" s="2" t="s">
        <v>16460</v>
      </c>
      <c r="D321" s="2" t="s">
        <v>16461</v>
      </c>
      <c r="E321" s="2" t="s">
        <v>16462</v>
      </c>
      <c r="F321" s="2" t="s">
        <v>16463</v>
      </c>
      <c r="G321" s="2" t="s">
        <v>16463</v>
      </c>
      <c r="H321" s="2" t="s">
        <v>312</v>
      </c>
      <c r="I321" s="2" t="s">
        <v>313</v>
      </c>
      <c r="J321" s="2" t="s">
        <v>10100</v>
      </c>
      <c r="K321" s="2" t="s">
        <v>16461</v>
      </c>
      <c r="L321" s="2"/>
      <c r="M321" s="2"/>
      <c r="N321" s="2"/>
      <c r="O321" s="2" t="s">
        <v>312</v>
      </c>
      <c r="P321" s="2" t="s">
        <v>313</v>
      </c>
      <c r="Q321" s="2" t="s">
        <v>10100</v>
      </c>
      <c r="R321" s="2" t="s">
        <v>11131</v>
      </c>
      <c r="S321" s="2" t="s">
        <v>44</v>
      </c>
      <c r="T321" s="2"/>
      <c r="U321" s="2" t="s">
        <v>3527</v>
      </c>
      <c r="V321" s="2" t="s">
        <v>46</v>
      </c>
      <c r="W321" s="2" t="s">
        <v>3527</v>
      </c>
      <c r="X321" s="2" t="s">
        <v>10787</v>
      </c>
      <c r="Y321" s="2" t="s">
        <v>10801</v>
      </c>
      <c r="Z321" s="2" t="s">
        <v>49</v>
      </c>
      <c r="AA321" s="2">
        <v>100</v>
      </c>
      <c r="AB321" s="2">
        <v>60</v>
      </c>
      <c r="AC321" s="2" t="s">
        <v>9685</v>
      </c>
      <c r="AD321" s="2" t="s">
        <v>16464</v>
      </c>
      <c r="AE321" s="2"/>
      <c r="AF321" s="2" t="s">
        <v>15038</v>
      </c>
      <c r="AG321" s="2" t="s">
        <v>14290</v>
      </c>
    </row>
    <row r="322" spans="1:33" x14ac:dyDescent="0.45">
      <c r="A322" s="2" t="s">
        <v>16465</v>
      </c>
      <c r="B322" s="2" t="s">
        <v>16466</v>
      </c>
      <c r="C322" s="2" t="s">
        <v>16467</v>
      </c>
      <c r="D322" s="2" t="s">
        <v>16468</v>
      </c>
      <c r="E322" s="2" t="s">
        <v>16469</v>
      </c>
      <c r="F322" s="2" t="s">
        <v>3562</v>
      </c>
      <c r="G322" s="2" t="s">
        <v>3562</v>
      </c>
      <c r="H322" s="2" t="s">
        <v>72</v>
      </c>
      <c r="I322" s="2" t="s">
        <v>73</v>
      </c>
      <c r="J322" s="2" t="s">
        <v>2061</v>
      </c>
      <c r="K322" s="2" t="s">
        <v>16468</v>
      </c>
      <c r="L322" s="2"/>
      <c r="M322" s="2"/>
      <c r="N322" s="2"/>
      <c r="O322" s="2" t="s">
        <v>72</v>
      </c>
      <c r="P322" s="2" t="s">
        <v>73</v>
      </c>
      <c r="Q322" s="2" t="s">
        <v>2061</v>
      </c>
      <c r="R322" s="2" t="s">
        <v>5566</v>
      </c>
      <c r="S322" s="2" t="s">
        <v>44</v>
      </c>
      <c r="T322" s="2"/>
      <c r="U322" s="2" t="s">
        <v>3527</v>
      </c>
      <c r="V322" s="2" t="s">
        <v>46</v>
      </c>
      <c r="W322" s="2" t="s">
        <v>3527</v>
      </c>
      <c r="X322" s="2" t="s">
        <v>10787</v>
      </c>
      <c r="Y322" s="2" t="s">
        <v>10801</v>
      </c>
      <c r="Z322" s="2" t="s">
        <v>49</v>
      </c>
      <c r="AA322" s="2">
        <v>100</v>
      </c>
      <c r="AB322" s="2">
        <v>60</v>
      </c>
      <c r="AC322" s="2" t="s">
        <v>9685</v>
      </c>
      <c r="AD322" s="2" t="s">
        <v>16470</v>
      </c>
      <c r="AE322" s="2"/>
      <c r="AF322" s="2" t="s">
        <v>15038</v>
      </c>
      <c r="AG322" s="2" t="s">
        <v>14290</v>
      </c>
    </row>
    <row r="323" spans="1:33" x14ac:dyDescent="0.45">
      <c r="A323" s="2" t="s">
        <v>16471</v>
      </c>
      <c r="B323" s="2" t="s">
        <v>16472</v>
      </c>
      <c r="C323" s="2" t="s">
        <v>16473</v>
      </c>
      <c r="D323" s="2" t="s">
        <v>16474</v>
      </c>
      <c r="E323" s="2" t="s">
        <v>16475</v>
      </c>
      <c r="F323" s="2" t="s">
        <v>16476</v>
      </c>
      <c r="G323" s="2" t="s">
        <v>16476</v>
      </c>
      <c r="H323" s="2" t="s">
        <v>216</v>
      </c>
      <c r="I323" s="2" t="s">
        <v>217</v>
      </c>
      <c r="J323" s="2" t="s">
        <v>2410</v>
      </c>
      <c r="K323" s="2"/>
      <c r="L323" s="2"/>
      <c r="M323" s="2"/>
      <c r="N323" s="2"/>
      <c r="O323" s="2"/>
      <c r="P323" s="2"/>
      <c r="Q323" s="2"/>
      <c r="R323" s="2" t="s">
        <v>13105</v>
      </c>
      <c r="S323" s="2" t="s">
        <v>44</v>
      </c>
      <c r="T323" s="2"/>
      <c r="U323" s="2" t="s">
        <v>3527</v>
      </c>
      <c r="V323" s="2" t="s">
        <v>46</v>
      </c>
      <c r="W323" s="2" t="s">
        <v>3527</v>
      </c>
      <c r="X323" s="2" t="s">
        <v>10787</v>
      </c>
      <c r="Y323" s="2" t="s">
        <v>10801</v>
      </c>
      <c r="Z323" s="2" t="s">
        <v>49</v>
      </c>
      <c r="AA323" s="2">
        <v>100</v>
      </c>
      <c r="AB323" s="2">
        <v>60</v>
      </c>
      <c r="AC323" s="2" t="s">
        <v>9685</v>
      </c>
      <c r="AD323" s="2" t="s">
        <v>16477</v>
      </c>
      <c r="AE323" s="2"/>
      <c r="AF323" s="2" t="s">
        <v>15038</v>
      </c>
      <c r="AG323" s="2" t="s">
        <v>14290</v>
      </c>
    </row>
    <row r="324" spans="1:33" x14ac:dyDescent="0.45">
      <c r="A324" s="2" t="s">
        <v>16478</v>
      </c>
      <c r="B324" s="2" t="s">
        <v>16479</v>
      </c>
      <c r="C324" s="2" t="s">
        <v>16480</v>
      </c>
      <c r="D324" s="2" t="s">
        <v>16481</v>
      </c>
      <c r="E324" s="2" t="s">
        <v>16482</v>
      </c>
      <c r="F324" s="2" t="s">
        <v>16483</v>
      </c>
      <c r="G324" s="2" t="s">
        <v>16483</v>
      </c>
      <c r="H324" s="2" t="s">
        <v>72</v>
      </c>
      <c r="I324" s="2" t="s">
        <v>73</v>
      </c>
      <c r="J324" s="2" t="s">
        <v>2090</v>
      </c>
      <c r="K324" s="2" t="s">
        <v>16484</v>
      </c>
      <c r="L324" s="2"/>
      <c r="M324" s="2"/>
      <c r="N324" s="2"/>
      <c r="O324" s="2" t="s">
        <v>72</v>
      </c>
      <c r="P324" s="2" t="s">
        <v>73</v>
      </c>
      <c r="Q324" s="2" t="s">
        <v>2090</v>
      </c>
      <c r="R324" s="2" t="s">
        <v>16485</v>
      </c>
      <c r="S324" s="2" t="s">
        <v>44</v>
      </c>
      <c r="T324" s="2"/>
      <c r="U324" s="2" t="s">
        <v>3527</v>
      </c>
      <c r="V324" s="2" t="s">
        <v>46</v>
      </c>
      <c r="W324" s="2" t="s">
        <v>3527</v>
      </c>
      <c r="X324" s="2" t="s">
        <v>10787</v>
      </c>
      <c r="Y324" s="2" t="s">
        <v>10801</v>
      </c>
      <c r="Z324" s="2" t="s">
        <v>49</v>
      </c>
      <c r="AA324" s="2">
        <v>100</v>
      </c>
      <c r="AB324" s="2">
        <v>60</v>
      </c>
      <c r="AC324" s="2" t="s">
        <v>9685</v>
      </c>
      <c r="AD324" s="2" t="s">
        <v>16486</v>
      </c>
      <c r="AE324" s="2"/>
      <c r="AF324" s="2" t="s">
        <v>15038</v>
      </c>
      <c r="AG324" s="2" t="s">
        <v>14290</v>
      </c>
    </row>
    <row r="325" spans="1:33" x14ac:dyDescent="0.45">
      <c r="A325" s="2" t="s">
        <v>16487</v>
      </c>
      <c r="B325" s="2" t="s">
        <v>16488</v>
      </c>
      <c r="C325" s="2" t="s">
        <v>16489</v>
      </c>
      <c r="D325" s="2" t="s">
        <v>16490</v>
      </c>
      <c r="E325" s="2" t="s">
        <v>16491</v>
      </c>
      <c r="F325" s="2" t="s">
        <v>16492</v>
      </c>
      <c r="G325" s="2"/>
      <c r="H325" s="2" t="s">
        <v>72</v>
      </c>
      <c r="I325" s="2" t="s">
        <v>73</v>
      </c>
      <c r="J325" s="2" t="s">
        <v>9857</v>
      </c>
      <c r="K325" s="2"/>
      <c r="L325" s="2"/>
      <c r="M325" s="2"/>
      <c r="N325" s="2"/>
      <c r="O325" s="2"/>
      <c r="P325" s="2"/>
      <c r="Q325" s="2"/>
      <c r="R325" s="2" t="s">
        <v>3458</v>
      </c>
      <c r="S325" s="2" t="s">
        <v>44</v>
      </c>
      <c r="T325" s="2"/>
      <c r="U325" s="2" t="s">
        <v>3527</v>
      </c>
      <c r="V325" s="2" t="s">
        <v>46</v>
      </c>
      <c r="W325" s="2" t="s">
        <v>3527</v>
      </c>
      <c r="X325" s="2" t="s">
        <v>10787</v>
      </c>
      <c r="Y325" s="2" t="s">
        <v>10801</v>
      </c>
      <c r="Z325" s="2" t="s">
        <v>49</v>
      </c>
      <c r="AA325" s="2">
        <v>100</v>
      </c>
      <c r="AB325" s="2">
        <v>60</v>
      </c>
      <c r="AC325" s="2" t="s">
        <v>9685</v>
      </c>
      <c r="AD325" s="2" t="s">
        <v>16493</v>
      </c>
      <c r="AE325" s="2"/>
      <c r="AF325" s="2" t="s">
        <v>15038</v>
      </c>
      <c r="AG325" s="2" t="s">
        <v>14290</v>
      </c>
    </row>
    <row r="326" spans="1:33" x14ac:dyDescent="0.45">
      <c r="A326" s="2" t="s">
        <v>16494</v>
      </c>
      <c r="B326" s="2" t="s">
        <v>16495</v>
      </c>
      <c r="C326" s="2" t="s">
        <v>16496</v>
      </c>
      <c r="D326" s="2" t="s">
        <v>16497</v>
      </c>
      <c r="E326" s="2" t="s">
        <v>16498</v>
      </c>
      <c r="F326" s="2" t="s">
        <v>16499</v>
      </c>
      <c r="G326" s="2" t="s">
        <v>16499</v>
      </c>
      <c r="H326" s="2" t="s">
        <v>72</v>
      </c>
      <c r="I326" s="2" t="s">
        <v>73</v>
      </c>
      <c r="J326" s="2" t="s">
        <v>2061</v>
      </c>
      <c r="K326" s="2"/>
      <c r="L326" s="2"/>
      <c r="M326" s="2"/>
      <c r="N326" s="2"/>
      <c r="O326" s="2"/>
      <c r="P326" s="2"/>
      <c r="Q326" s="2"/>
      <c r="R326" s="2" t="s">
        <v>8580</v>
      </c>
      <c r="S326" s="2" t="s">
        <v>44</v>
      </c>
      <c r="T326" s="2"/>
      <c r="U326" s="2" t="s">
        <v>3527</v>
      </c>
      <c r="V326" s="2" t="s">
        <v>46</v>
      </c>
      <c r="W326" s="2" t="s">
        <v>3527</v>
      </c>
      <c r="X326" s="2" t="s">
        <v>10787</v>
      </c>
      <c r="Y326" s="2" t="s">
        <v>10801</v>
      </c>
      <c r="Z326" s="2" t="s">
        <v>49</v>
      </c>
      <c r="AA326" s="2">
        <v>100</v>
      </c>
      <c r="AB326" s="2">
        <v>60</v>
      </c>
      <c r="AC326" s="2" t="s">
        <v>9685</v>
      </c>
      <c r="AD326" s="2" t="s">
        <v>16500</v>
      </c>
      <c r="AE326" s="2"/>
      <c r="AF326" s="2" t="s">
        <v>15038</v>
      </c>
      <c r="AG326" s="2" t="s">
        <v>14290</v>
      </c>
    </row>
    <row r="327" spans="1:33" x14ac:dyDescent="0.45">
      <c r="A327" s="2" t="s">
        <v>16501</v>
      </c>
      <c r="B327" s="2" t="s">
        <v>16502</v>
      </c>
      <c r="C327" s="2" t="s">
        <v>16503</v>
      </c>
      <c r="D327" s="2" t="s">
        <v>16504</v>
      </c>
      <c r="E327" s="2" t="s">
        <v>16505</v>
      </c>
      <c r="F327" s="2" t="s">
        <v>3562</v>
      </c>
      <c r="G327" s="2" t="s">
        <v>3562</v>
      </c>
      <c r="H327" s="2" t="s">
        <v>1023</v>
      </c>
      <c r="I327" s="2" t="s">
        <v>73</v>
      </c>
      <c r="J327" s="2" t="s">
        <v>13703</v>
      </c>
      <c r="K327" s="2"/>
      <c r="L327" s="2"/>
      <c r="M327" s="2"/>
      <c r="N327" s="2"/>
      <c r="O327" s="2"/>
      <c r="P327" s="2"/>
      <c r="Q327" s="2"/>
      <c r="R327" s="2" t="s">
        <v>7730</v>
      </c>
      <c r="S327" s="2" t="s">
        <v>44</v>
      </c>
      <c r="T327" s="2"/>
      <c r="U327" s="2" t="s">
        <v>3527</v>
      </c>
      <c r="V327" s="2" t="s">
        <v>46</v>
      </c>
      <c r="W327" s="2" t="s">
        <v>3527</v>
      </c>
      <c r="X327" s="2" t="s">
        <v>10787</v>
      </c>
      <c r="Y327" s="2" t="s">
        <v>10801</v>
      </c>
      <c r="Z327" s="2" t="s">
        <v>49</v>
      </c>
      <c r="AA327" s="2">
        <v>100</v>
      </c>
      <c r="AB327" s="2">
        <v>60</v>
      </c>
      <c r="AC327" s="2" t="s">
        <v>9685</v>
      </c>
      <c r="AD327" s="2" t="s">
        <v>16506</v>
      </c>
      <c r="AE327" s="2"/>
      <c r="AF327" s="2" t="s">
        <v>15038</v>
      </c>
      <c r="AG327" s="2" t="s">
        <v>14290</v>
      </c>
    </row>
    <row r="328" spans="1:33" x14ac:dyDescent="0.45">
      <c r="A328" s="2" t="s">
        <v>16507</v>
      </c>
      <c r="B328" s="2" t="s">
        <v>16508</v>
      </c>
      <c r="C328" s="2" t="s">
        <v>16509</v>
      </c>
      <c r="D328" s="2" t="s">
        <v>16510</v>
      </c>
      <c r="E328" s="2" t="s">
        <v>16511</v>
      </c>
      <c r="F328" s="2" t="s">
        <v>16512</v>
      </c>
      <c r="G328" s="2"/>
      <c r="H328" s="2" t="s">
        <v>216</v>
      </c>
      <c r="I328" s="2" t="s">
        <v>217</v>
      </c>
      <c r="J328" s="2" t="s">
        <v>875</v>
      </c>
      <c r="K328" s="2" t="s">
        <v>16513</v>
      </c>
      <c r="L328" s="2"/>
      <c r="M328" s="2"/>
      <c r="N328" s="2"/>
      <c r="O328" s="2" t="s">
        <v>216</v>
      </c>
      <c r="P328" s="2" t="s">
        <v>217</v>
      </c>
      <c r="Q328" s="2" t="s">
        <v>875</v>
      </c>
      <c r="R328" s="2" t="s">
        <v>3777</v>
      </c>
      <c r="S328" s="2" t="s">
        <v>44</v>
      </c>
      <c r="T328" s="2"/>
      <c r="U328" s="2" t="s">
        <v>3527</v>
      </c>
      <c r="V328" s="2" t="s">
        <v>46</v>
      </c>
      <c r="W328" s="2" t="s">
        <v>3527</v>
      </c>
      <c r="X328" s="2" t="s">
        <v>10787</v>
      </c>
      <c r="Y328" s="2" t="s">
        <v>10801</v>
      </c>
      <c r="Z328" s="2" t="s">
        <v>49</v>
      </c>
      <c r="AA328" s="2">
        <v>100</v>
      </c>
      <c r="AB328" s="2">
        <v>60</v>
      </c>
      <c r="AC328" s="2" t="s">
        <v>9685</v>
      </c>
      <c r="AD328" s="2" t="s">
        <v>16514</v>
      </c>
      <c r="AE328" s="2"/>
      <c r="AF328" s="2" t="s">
        <v>15038</v>
      </c>
      <c r="AG328" s="2" t="s">
        <v>14290</v>
      </c>
    </row>
    <row r="329" spans="1:33" x14ac:dyDescent="0.45">
      <c r="A329" s="2" t="s">
        <v>16515</v>
      </c>
      <c r="B329" s="2" t="s">
        <v>16516</v>
      </c>
      <c r="C329" s="2" t="s">
        <v>16517</v>
      </c>
      <c r="D329" s="2" t="s">
        <v>16518</v>
      </c>
      <c r="E329" s="2" t="s">
        <v>16519</v>
      </c>
      <c r="F329" s="2" t="s">
        <v>16520</v>
      </c>
      <c r="G329" s="2" t="s">
        <v>16520</v>
      </c>
      <c r="H329" s="2" t="s">
        <v>174</v>
      </c>
      <c r="I329" s="2" t="s">
        <v>175</v>
      </c>
      <c r="J329" s="2" t="s">
        <v>16521</v>
      </c>
      <c r="K329" s="2"/>
      <c r="L329" s="2"/>
      <c r="M329" s="2"/>
      <c r="N329" s="2"/>
      <c r="O329" s="2"/>
      <c r="P329" s="2"/>
      <c r="Q329" s="2"/>
      <c r="R329" s="2" t="s">
        <v>3777</v>
      </c>
      <c r="S329" s="2" t="s">
        <v>44</v>
      </c>
      <c r="T329" s="2"/>
      <c r="U329" s="2" t="s">
        <v>3527</v>
      </c>
      <c r="V329" s="2" t="s">
        <v>46</v>
      </c>
      <c r="W329" s="2" t="s">
        <v>3527</v>
      </c>
      <c r="X329" s="2" t="s">
        <v>10787</v>
      </c>
      <c r="Y329" s="2" t="s">
        <v>10801</v>
      </c>
      <c r="Z329" s="2" t="s">
        <v>49</v>
      </c>
      <c r="AA329" s="2">
        <v>100</v>
      </c>
      <c r="AB329" s="2">
        <v>60</v>
      </c>
      <c r="AC329" s="2" t="s">
        <v>9685</v>
      </c>
      <c r="AD329" s="2" t="s">
        <v>16522</v>
      </c>
      <c r="AE329" s="2"/>
      <c r="AF329" s="2" t="s">
        <v>15038</v>
      </c>
      <c r="AG329" s="2" t="s">
        <v>14290</v>
      </c>
    </row>
    <row r="330" spans="1:33" x14ac:dyDescent="0.45">
      <c r="A330" s="2" t="s">
        <v>16523</v>
      </c>
      <c r="B330" s="2" t="s">
        <v>16524</v>
      </c>
      <c r="C330" s="2" t="s">
        <v>16525</v>
      </c>
      <c r="D330" s="2" t="s">
        <v>16526</v>
      </c>
      <c r="E330" s="2" t="s">
        <v>16527</v>
      </c>
      <c r="F330" s="2" t="s">
        <v>16528</v>
      </c>
      <c r="G330" s="2" t="s">
        <v>16528</v>
      </c>
      <c r="H330" s="2" t="s">
        <v>72</v>
      </c>
      <c r="I330" s="2" t="s">
        <v>73</v>
      </c>
      <c r="J330" s="2" t="s">
        <v>1568</v>
      </c>
      <c r="K330" s="2" t="s">
        <v>16526</v>
      </c>
      <c r="L330" s="2"/>
      <c r="M330" s="2"/>
      <c r="N330" s="2"/>
      <c r="O330" s="2" t="s">
        <v>72</v>
      </c>
      <c r="P330" s="2" t="s">
        <v>73</v>
      </c>
      <c r="Q330" s="2" t="s">
        <v>1568</v>
      </c>
      <c r="R330" s="2" t="s">
        <v>16529</v>
      </c>
      <c r="S330" s="2" t="s">
        <v>44</v>
      </c>
      <c r="T330" s="2"/>
      <c r="U330" s="2" t="s">
        <v>3527</v>
      </c>
      <c r="V330" s="2" t="s">
        <v>46</v>
      </c>
      <c r="W330" s="2" t="s">
        <v>3527</v>
      </c>
      <c r="X330" s="2" t="s">
        <v>10787</v>
      </c>
      <c r="Y330" s="2" t="s">
        <v>10801</v>
      </c>
      <c r="Z330" s="2" t="s">
        <v>49</v>
      </c>
      <c r="AA330" s="2">
        <v>100</v>
      </c>
      <c r="AB330" s="2">
        <v>60</v>
      </c>
      <c r="AC330" s="2" t="s">
        <v>9685</v>
      </c>
      <c r="AD330" s="2" t="s">
        <v>16530</v>
      </c>
      <c r="AE330" s="2"/>
      <c r="AF330" s="2" t="s">
        <v>15038</v>
      </c>
      <c r="AG330" s="2" t="s">
        <v>14290</v>
      </c>
    </row>
    <row r="331" spans="1:33" x14ac:dyDescent="0.45">
      <c r="A331" s="2" t="s">
        <v>16531</v>
      </c>
      <c r="B331" s="2" t="s">
        <v>16532</v>
      </c>
      <c r="C331" s="2" t="s">
        <v>16533</v>
      </c>
      <c r="D331" s="2" t="s">
        <v>16534</v>
      </c>
      <c r="E331" s="2" t="s">
        <v>16535</v>
      </c>
      <c r="F331" s="2" t="s">
        <v>16536</v>
      </c>
      <c r="G331" s="2" t="s">
        <v>16536</v>
      </c>
      <c r="H331" s="2" t="s">
        <v>59</v>
      </c>
      <c r="I331" s="2" t="s">
        <v>60</v>
      </c>
      <c r="J331" s="2" t="s">
        <v>16537</v>
      </c>
      <c r="K331" s="2"/>
      <c r="L331" s="2"/>
      <c r="M331" s="2"/>
      <c r="N331" s="2"/>
      <c r="O331" s="2"/>
      <c r="P331" s="2"/>
      <c r="Q331" s="2"/>
      <c r="R331" s="2" t="s">
        <v>5651</v>
      </c>
      <c r="S331" s="2" t="s">
        <v>44</v>
      </c>
      <c r="T331" s="2"/>
      <c r="U331" s="2" t="s">
        <v>3527</v>
      </c>
      <c r="V331" s="2" t="s">
        <v>46</v>
      </c>
      <c r="W331" s="2" t="s">
        <v>3527</v>
      </c>
      <c r="X331" s="2" t="s">
        <v>10787</v>
      </c>
      <c r="Y331" s="2" t="s">
        <v>10801</v>
      </c>
      <c r="Z331" s="2" t="s">
        <v>49</v>
      </c>
      <c r="AA331" s="2">
        <v>100</v>
      </c>
      <c r="AB331" s="2">
        <v>60</v>
      </c>
      <c r="AC331" s="2" t="s">
        <v>9685</v>
      </c>
      <c r="AD331" s="2" t="s">
        <v>16538</v>
      </c>
      <c r="AE331" s="2"/>
      <c r="AF331" s="2" t="s">
        <v>15038</v>
      </c>
      <c r="AG331" s="2" t="s">
        <v>14290</v>
      </c>
    </row>
    <row r="332" spans="1:33" x14ac:dyDescent="0.45">
      <c r="A332" s="2" t="s">
        <v>16539</v>
      </c>
      <c r="B332" s="2" t="s">
        <v>16540</v>
      </c>
      <c r="C332" s="2" t="s">
        <v>16541</v>
      </c>
      <c r="D332" s="2" t="s">
        <v>16542</v>
      </c>
      <c r="E332" s="2" t="s">
        <v>16543</v>
      </c>
      <c r="F332" s="2" t="s">
        <v>16544</v>
      </c>
      <c r="G332" s="2" t="s">
        <v>16544</v>
      </c>
      <c r="H332" s="2" t="s">
        <v>59</v>
      </c>
      <c r="I332" s="2" t="s">
        <v>60</v>
      </c>
      <c r="J332" s="2" t="s">
        <v>4050</v>
      </c>
      <c r="K332" s="2" t="s">
        <v>16545</v>
      </c>
      <c r="L332" s="2"/>
      <c r="M332" s="2"/>
      <c r="N332" s="2"/>
      <c r="O332" s="2" t="s">
        <v>59</v>
      </c>
      <c r="P332" s="2" t="s">
        <v>60</v>
      </c>
      <c r="Q332" s="2" t="s">
        <v>4050</v>
      </c>
      <c r="R332" s="2" t="s">
        <v>3889</v>
      </c>
      <c r="S332" s="2" t="s">
        <v>44</v>
      </c>
      <c r="T332" s="2"/>
      <c r="U332" s="2" t="s">
        <v>3527</v>
      </c>
      <c r="V332" s="2" t="s">
        <v>46</v>
      </c>
      <c r="W332" s="2" t="s">
        <v>3527</v>
      </c>
      <c r="X332" s="2" t="s">
        <v>10787</v>
      </c>
      <c r="Y332" s="2" t="s">
        <v>10801</v>
      </c>
      <c r="Z332" s="2" t="s">
        <v>49</v>
      </c>
      <c r="AA332" s="2">
        <v>100</v>
      </c>
      <c r="AB332" s="2">
        <v>60</v>
      </c>
      <c r="AC332" s="2" t="s">
        <v>9685</v>
      </c>
      <c r="AD332" s="2" t="s">
        <v>16546</v>
      </c>
      <c r="AE332" s="2"/>
      <c r="AF332" s="2" t="s">
        <v>15038</v>
      </c>
      <c r="AG332" s="2" t="s">
        <v>14290</v>
      </c>
    </row>
    <row r="333" spans="1:33" x14ac:dyDescent="0.45">
      <c r="A333" s="2" t="s">
        <v>16547</v>
      </c>
      <c r="B333" s="2" t="s">
        <v>16548</v>
      </c>
      <c r="C333" s="2" t="s">
        <v>16549</v>
      </c>
      <c r="D333" s="2" t="s">
        <v>16550</v>
      </c>
      <c r="E333" s="2" t="s">
        <v>16551</v>
      </c>
      <c r="F333" s="2" t="s">
        <v>3562</v>
      </c>
      <c r="G333" s="2" t="s">
        <v>3562</v>
      </c>
      <c r="H333" s="2" t="s">
        <v>384</v>
      </c>
      <c r="I333" s="2" t="s">
        <v>73</v>
      </c>
      <c r="J333" s="2" t="s">
        <v>16552</v>
      </c>
      <c r="K333" s="2"/>
      <c r="L333" s="2"/>
      <c r="M333" s="2"/>
      <c r="N333" s="2"/>
      <c r="O333" s="2"/>
      <c r="P333" s="2"/>
      <c r="Q333" s="2"/>
      <c r="R333" s="2" t="s">
        <v>5678</v>
      </c>
      <c r="S333" s="2" t="s">
        <v>44</v>
      </c>
      <c r="T333" s="2"/>
      <c r="U333" s="2" t="s">
        <v>3527</v>
      </c>
      <c r="V333" s="2" t="s">
        <v>46</v>
      </c>
      <c r="W333" s="2" t="s">
        <v>3527</v>
      </c>
      <c r="X333" s="2" t="s">
        <v>10787</v>
      </c>
      <c r="Y333" s="2" t="s">
        <v>10801</v>
      </c>
      <c r="Z333" s="2" t="s">
        <v>49</v>
      </c>
      <c r="AA333" s="2">
        <v>100</v>
      </c>
      <c r="AB333" s="2">
        <v>60</v>
      </c>
      <c r="AC333" s="2" t="s">
        <v>9685</v>
      </c>
      <c r="AD333" s="2" t="s">
        <v>16553</v>
      </c>
      <c r="AE333" s="2"/>
      <c r="AF333" s="2" t="s">
        <v>15038</v>
      </c>
      <c r="AG333" s="2" t="s">
        <v>14290</v>
      </c>
    </row>
    <row r="334" spans="1:33" x14ac:dyDescent="0.45">
      <c r="A334" s="2" t="s">
        <v>16554</v>
      </c>
      <c r="B334" s="2" t="s">
        <v>16555</v>
      </c>
      <c r="C334" s="2" t="s">
        <v>16556</v>
      </c>
      <c r="D334" s="2" t="s">
        <v>16557</v>
      </c>
      <c r="E334" s="2" t="s">
        <v>16558</v>
      </c>
      <c r="F334" s="2" t="s">
        <v>16559</v>
      </c>
      <c r="G334" s="2" t="s">
        <v>16559</v>
      </c>
      <c r="H334" s="2" t="s">
        <v>324</v>
      </c>
      <c r="I334" s="2" t="s">
        <v>73</v>
      </c>
      <c r="J334" s="2" t="s">
        <v>6817</v>
      </c>
      <c r="K334" s="2"/>
      <c r="L334" s="2"/>
      <c r="M334" s="2"/>
      <c r="N334" s="2"/>
      <c r="O334" s="2"/>
      <c r="P334" s="2"/>
      <c r="Q334" s="2"/>
      <c r="R334" s="2" t="s">
        <v>5678</v>
      </c>
      <c r="S334" s="2" t="s">
        <v>44</v>
      </c>
      <c r="T334" s="2"/>
      <c r="U334" s="2" t="s">
        <v>3527</v>
      </c>
      <c r="V334" s="2" t="s">
        <v>46</v>
      </c>
      <c r="W334" s="2" t="s">
        <v>3527</v>
      </c>
      <c r="X334" s="2" t="s">
        <v>11225</v>
      </c>
      <c r="Y334" s="2" t="s">
        <v>10801</v>
      </c>
      <c r="Z334" s="2" t="s">
        <v>49</v>
      </c>
      <c r="AA334" s="2">
        <v>100</v>
      </c>
      <c r="AB334" s="2">
        <v>60</v>
      </c>
      <c r="AC334" s="2" t="s">
        <v>9685</v>
      </c>
      <c r="AD334" s="2" t="s">
        <v>16560</v>
      </c>
      <c r="AE334" s="2"/>
      <c r="AF334" s="2" t="s">
        <v>15038</v>
      </c>
      <c r="AG334" s="2" t="s">
        <v>14290</v>
      </c>
    </row>
    <row r="335" spans="1:33" x14ac:dyDescent="0.45">
      <c r="A335" s="2" t="s">
        <v>16561</v>
      </c>
      <c r="B335" s="2" t="s">
        <v>16562</v>
      </c>
      <c r="C335" s="2" t="s">
        <v>16563</v>
      </c>
      <c r="D335" s="2" t="s">
        <v>16564</v>
      </c>
      <c r="E335" s="2" t="s">
        <v>16565</v>
      </c>
      <c r="F335" s="2" t="s">
        <v>16566</v>
      </c>
      <c r="G335" s="2" t="s">
        <v>16566</v>
      </c>
      <c r="H335" s="2" t="s">
        <v>651</v>
      </c>
      <c r="I335" s="2" t="s">
        <v>86</v>
      </c>
      <c r="J335" s="2" t="s">
        <v>16567</v>
      </c>
      <c r="K335" s="2" t="s">
        <v>16564</v>
      </c>
      <c r="L335" s="2"/>
      <c r="M335" s="2"/>
      <c r="N335" s="2"/>
      <c r="O335" s="2" t="s">
        <v>651</v>
      </c>
      <c r="P335" s="2" t="s">
        <v>86</v>
      </c>
      <c r="Q335" s="2" t="s">
        <v>16567</v>
      </c>
      <c r="R335" s="2" t="s">
        <v>773</v>
      </c>
      <c r="S335" s="2" t="s">
        <v>44</v>
      </c>
      <c r="T335" s="2"/>
      <c r="U335" s="2" t="s">
        <v>3527</v>
      </c>
      <c r="V335" s="2" t="s">
        <v>46</v>
      </c>
      <c r="W335" s="2" t="s">
        <v>3527</v>
      </c>
      <c r="X335" s="2" t="s">
        <v>10787</v>
      </c>
      <c r="Y335" s="2" t="s">
        <v>10801</v>
      </c>
      <c r="Z335" s="2" t="s">
        <v>49</v>
      </c>
      <c r="AA335" s="2">
        <v>100</v>
      </c>
      <c r="AB335" s="2">
        <v>60</v>
      </c>
      <c r="AC335" s="2" t="s">
        <v>9685</v>
      </c>
      <c r="AD335" s="2" t="s">
        <v>16568</v>
      </c>
      <c r="AE335" s="2"/>
      <c r="AF335" s="2" t="s">
        <v>15038</v>
      </c>
      <c r="AG335" s="2" t="s">
        <v>14290</v>
      </c>
    </row>
    <row r="336" spans="1:33" x14ac:dyDescent="0.45">
      <c r="A336" s="2" t="s">
        <v>16569</v>
      </c>
      <c r="B336" s="2" t="s">
        <v>16570</v>
      </c>
      <c r="C336" s="2" t="s">
        <v>16571</v>
      </c>
      <c r="D336" s="2" t="s">
        <v>16572</v>
      </c>
      <c r="E336" s="2" t="s">
        <v>16573</v>
      </c>
      <c r="F336" s="2" t="s">
        <v>16574</v>
      </c>
      <c r="G336" s="2" t="s">
        <v>16574</v>
      </c>
      <c r="H336" s="2" t="s">
        <v>277</v>
      </c>
      <c r="I336" s="2" t="s">
        <v>278</v>
      </c>
      <c r="J336" s="2" t="s">
        <v>279</v>
      </c>
      <c r="K336" s="2" t="s">
        <v>16572</v>
      </c>
      <c r="L336" s="2"/>
      <c r="M336" s="2"/>
      <c r="N336" s="2"/>
      <c r="O336" s="2" t="s">
        <v>277</v>
      </c>
      <c r="P336" s="2" t="s">
        <v>278</v>
      </c>
      <c r="Q336" s="2" t="s">
        <v>279</v>
      </c>
      <c r="R336" s="2" t="s">
        <v>16575</v>
      </c>
      <c r="S336" s="2" t="s">
        <v>44</v>
      </c>
      <c r="T336" s="2"/>
      <c r="U336" s="2" t="s">
        <v>3527</v>
      </c>
      <c r="V336" s="2" t="s">
        <v>46</v>
      </c>
      <c r="W336" s="2" t="s">
        <v>3527</v>
      </c>
      <c r="X336" s="2" t="s">
        <v>10787</v>
      </c>
      <c r="Y336" s="2" t="s">
        <v>10801</v>
      </c>
      <c r="Z336" s="2" t="s">
        <v>49</v>
      </c>
      <c r="AA336" s="2">
        <v>100</v>
      </c>
      <c r="AB336" s="2">
        <v>60</v>
      </c>
      <c r="AC336" s="2" t="s">
        <v>9685</v>
      </c>
      <c r="AD336" s="2" t="s">
        <v>16576</v>
      </c>
      <c r="AE336" s="2"/>
      <c r="AF336" s="2" t="s">
        <v>15038</v>
      </c>
      <c r="AG336" s="2" t="s">
        <v>14290</v>
      </c>
    </row>
    <row r="337" spans="1:33" x14ac:dyDescent="0.45">
      <c r="A337" s="2" t="s">
        <v>16577</v>
      </c>
      <c r="B337" s="2" t="s">
        <v>16578</v>
      </c>
      <c r="C337" s="2" t="s">
        <v>16579</v>
      </c>
      <c r="D337" s="2" t="s">
        <v>16580</v>
      </c>
      <c r="E337" s="2" t="s">
        <v>16581</v>
      </c>
      <c r="F337" s="2" t="s">
        <v>16582</v>
      </c>
      <c r="G337" s="2" t="s">
        <v>16582</v>
      </c>
      <c r="H337" s="2" t="s">
        <v>384</v>
      </c>
      <c r="I337" s="2" t="s">
        <v>73</v>
      </c>
      <c r="J337" s="2" t="s">
        <v>10159</v>
      </c>
      <c r="K337" s="2" t="s">
        <v>16580</v>
      </c>
      <c r="L337" s="2"/>
      <c r="M337" s="2"/>
      <c r="N337" s="2"/>
      <c r="O337" s="2" t="s">
        <v>384</v>
      </c>
      <c r="P337" s="2" t="s">
        <v>73</v>
      </c>
      <c r="Q337" s="2" t="s">
        <v>10159</v>
      </c>
      <c r="R337" s="2" t="s">
        <v>7774</v>
      </c>
      <c r="S337" s="2" t="s">
        <v>44</v>
      </c>
      <c r="T337" s="2"/>
      <c r="U337" s="2" t="s">
        <v>3527</v>
      </c>
      <c r="V337" s="2" t="s">
        <v>46</v>
      </c>
      <c r="W337" s="2" t="s">
        <v>3527</v>
      </c>
      <c r="X337" s="2" t="s">
        <v>11225</v>
      </c>
      <c r="Y337" s="2" t="s">
        <v>10801</v>
      </c>
      <c r="Z337" s="2" t="s">
        <v>49</v>
      </c>
      <c r="AA337" s="2">
        <v>100</v>
      </c>
      <c r="AB337" s="2">
        <v>60</v>
      </c>
      <c r="AC337" s="2" t="s">
        <v>9685</v>
      </c>
      <c r="AD337" s="2" t="s">
        <v>16583</v>
      </c>
      <c r="AE337" s="2"/>
      <c r="AF337" s="2" t="s">
        <v>15038</v>
      </c>
      <c r="AG337" s="2" t="s">
        <v>14290</v>
      </c>
    </row>
    <row r="338" spans="1:33" x14ac:dyDescent="0.45">
      <c r="A338" s="2" t="s">
        <v>16584</v>
      </c>
      <c r="B338" s="2" t="s">
        <v>16585</v>
      </c>
      <c r="C338" s="2" t="s">
        <v>16586</v>
      </c>
      <c r="D338" s="2" t="s">
        <v>16587</v>
      </c>
      <c r="E338" s="2" t="s">
        <v>16588</v>
      </c>
      <c r="F338" s="2" t="s">
        <v>16589</v>
      </c>
      <c r="G338" s="2" t="s">
        <v>16589</v>
      </c>
      <c r="H338" s="2" t="s">
        <v>536</v>
      </c>
      <c r="I338" s="2" t="s">
        <v>537</v>
      </c>
      <c r="J338" s="2" t="s">
        <v>641</v>
      </c>
      <c r="K338" s="2"/>
      <c r="L338" s="2"/>
      <c r="M338" s="2"/>
      <c r="N338" s="2"/>
      <c r="O338" s="2"/>
      <c r="P338" s="2"/>
      <c r="Q338" s="2"/>
      <c r="R338" s="2" t="s">
        <v>3485</v>
      </c>
      <c r="S338" s="2" t="s">
        <v>44</v>
      </c>
      <c r="T338" s="2"/>
      <c r="U338" s="2" t="s">
        <v>3527</v>
      </c>
      <c r="V338" s="2" t="s">
        <v>46</v>
      </c>
      <c r="W338" s="2" t="s">
        <v>3527</v>
      </c>
      <c r="X338" s="2" t="s">
        <v>10787</v>
      </c>
      <c r="Y338" s="2" t="s">
        <v>10801</v>
      </c>
      <c r="Z338" s="2" t="s">
        <v>49</v>
      </c>
      <c r="AA338" s="2">
        <v>100</v>
      </c>
      <c r="AB338" s="2">
        <v>60</v>
      </c>
      <c r="AC338" s="2" t="s">
        <v>9685</v>
      </c>
      <c r="AD338" s="2" t="s">
        <v>16590</v>
      </c>
      <c r="AE338" s="2"/>
      <c r="AF338" s="2" t="s">
        <v>15038</v>
      </c>
      <c r="AG338" s="2" t="s">
        <v>14290</v>
      </c>
    </row>
    <row r="339" spans="1:33" x14ac:dyDescent="0.45">
      <c r="A339" s="2" t="s">
        <v>16591</v>
      </c>
      <c r="B339" s="2" t="s">
        <v>16592</v>
      </c>
      <c r="C339" s="2" t="s">
        <v>16593</v>
      </c>
      <c r="D339" s="2" t="s">
        <v>16594</v>
      </c>
      <c r="E339" s="2" t="s">
        <v>16595</v>
      </c>
      <c r="F339" s="2" t="s">
        <v>16596</v>
      </c>
      <c r="G339" s="2" t="s">
        <v>16596</v>
      </c>
      <c r="H339" s="2" t="s">
        <v>72</v>
      </c>
      <c r="I339" s="2" t="s">
        <v>73</v>
      </c>
      <c r="J339" s="2" t="s">
        <v>2270</v>
      </c>
      <c r="K339" s="2" t="s">
        <v>16594</v>
      </c>
      <c r="L339" s="2"/>
      <c r="M339" s="2"/>
      <c r="N339" s="2"/>
      <c r="O339" s="2" t="s">
        <v>72</v>
      </c>
      <c r="P339" s="2" t="s">
        <v>73</v>
      </c>
      <c r="Q339" s="2" t="s">
        <v>2270</v>
      </c>
      <c r="R339" s="2" t="s">
        <v>10182</v>
      </c>
      <c r="S339" s="2" t="s">
        <v>44</v>
      </c>
      <c r="T339" s="2"/>
      <c r="U339" s="2" t="s">
        <v>3527</v>
      </c>
      <c r="V339" s="2" t="s">
        <v>46</v>
      </c>
      <c r="W339" s="2" t="s">
        <v>3527</v>
      </c>
      <c r="X339" s="2" t="s">
        <v>10787</v>
      </c>
      <c r="Y339" s="2" t="s">
        <v>10801</v>
      </c>
      <c r="Z339" s="2" t="s">
        <v>49</v>
      </c>
      <c r="AA339" s="2">
        <v>100</v>
      </c>
      <c r="AB339" s="2">
        <v>60</v>
      </c>
      <c r="AC339" s="2" t="s">
        <v>9685</v>
      </c>
      <c r="AD339" s="2" t="s">
        <v>16597</v>
      </c>
      <c r="AE339" s="2"/>
      <c r="AF339" s="2" t="s">
        <v>15038</v>
      </c>
      <c r="AG339" s="2" t="s">
        <v>14290</v>
      </c>
    </row>
    <row r="340" spans="1:33" x14ac:dyDescent="0.45">
      <c r="A340" s="2" t="s">
        <v>16598</v>
      </c>
      <c r="B340" s="2" t="s">
        <v>16599</v>
      </c>
      <c r="C340" s="2" t="s">
        <v>16600</v>
      </c>
      <c r="D340" s="2" t="s">
        <v>16601</v>
      </c>
      <c r="E340" s="2" t="s">
        <v>16602</v>
      </c>
      <c r="F340" s="2" t="s">
        <v>16603</v>
      </c>
      <c r="G340" s="2" t="s">
        <v>16603</v>
      </c>
      <c r="H340" s="2" t="s">
        <v>536</v>
      </c>
      <c r="I340" s="2" t="s">
        <v>537</v>
      </c>
      <c r="J340" s="2" t="s">
        <v>2431</v>
      </c>
      <c r="K340" s="2" t="s">
        <v>16604</v>
      </c>
      <c r="L340" s="2"/>
      <c r="M340" s="2"/>
      <c r="N340" s="2"/>
      <c r="O340" s="2" t="s">
        <v>536</v>
      </c>
      <c r="P340" s="2" t="s">
        <v>537</v>
      </c>
      <c r="Q340" s="2" t="s">
        <v>2431</v>
      </c>
      <c r="R340" s="2" t="s">
        <v>11138</v>
      </c>
      <c r="S340" s="2" t="s">
        <v>44</v>
      </c>
      <c r="T340" s="2"/>
      <c r="U340" s="2" t="s">
        <v>3527</v>
      </c>
      <c r="V340" s="2" t="s">
        <v>46</v>
      </c>
      <c r="W340" s="2" t="s">
        <v>3527</v>
      </c>
      <c r="X340" s="2" t="s">
        <v>10787</v>
      </c>
      <c r="Y340" s="2" t="s">
        <v>10801</v>
      </c>
      <c r="Z340" s="2" t="s">
        <v>49</v>
      </c>
      <c r="AA340" s="2">
        <v>100</v>
      </c>
      <c r="AB340" s="2">
        <v>60</v>
      </c>
      <c r="AC340" s="2" t="s">
        <v>9685</v>
      </c>
      <c r="AD340" s="2" t="s">
        <v>16605</v>
      </c>
      <c r="AE340" s="2"/>
      <c r="AF340" s="2" t="s">
        <v>15038</v>
      </c>
      <c r="AG340" s="2" t="s">
        <v>14290</v>
      </c>
    </row>
    <row r="341" spans="1:33" x14ac:dyDescent="0.45">
      <c r="A341" s="2" t="s">
        <v>16606</v>
      </c>
      <c r="B341" s="2" t="s">
        <v>16607</v>
      </c>
      <c r="C341" s="2" t="s">
        <v>16608</v>
      </c>
      <c r="D341" s="2" t="s">
        <v>16609</v>
      </c>
      <c r="E341" s="2" t="s">
        <v>16610</v>
      </c>
      <c r="F341" s="2" t="s">
        <v>16611</v>
      </c>
      <c r="G341" s="2" t="s">
        <v>16611</v>
      </c>
      <c r="H341" s="2" t="s">
        <v>72</v>
      </c>
      <c r="I341" s="2" t="s">
        <v>73</v>
      </c>
      <c r="J341" s="2" t="s">
        <v>3571</v>
      </c>
      <c r="K341" s="2" t="s">
        <v>16612</v>
      </c>
      <c r="L341" s="2"/>
      <c r="M341" s="2"/>
      <c r="N341" s="2"/>
      <c r="O341" s="2" t="s">
        <v>72</v>
      </c>
      <c r="P341" s="2" t="s">
        <v>73</v>
      </c>
      <c r="Q341" s="2" t="s">
        <v>3571</v>
      </c>
      <c r="R341" s="2" t="s">
        <v>12351</v>
      </c>
      <c r="S341" s="2" t="s">
        <v>44</v>
      </c>
      <c r="T341" s="2"/>
      <c r="U341" s="2" t="s">
        <v>3527</v>
      </c>
      <c r="V341" s="2" t="s">
        <v>46</v>
      </c>
      <c r="W341" s="2" t="s">
        <v>3527</v>
      </c>
      <c r="X341" s="2" t="s">
        <v>10787</v>
      </c>
      <c r="Y341" s="2" t="s">
        <v>10801</v>
      </c>
      <c r="Z341" s="2" t="s">
        <v>49</v>
      </c>
      <c r="AA341" s="2">
        <v>100</v>
      </c>
      <c r="AB341" s="2">
        <v>60</v>
      </c>
      <c r="AC341" s="2" t="s">
        <v>9685</v>
      </c>
      <c r="AD341" s="2" t="s">
        <v>16613</v>
      </c>
      <c r="AE341" s="2"/>
      <c r="AF341" s="2" t="s">
        <v>15038</v>
      </c>
      <c r="AG341" s="2" t="s">
        <v>14290</v>
      </c>
    </row>
    <row r="342" spans="1:33" x14ac:dyDescent="0.45">
      <c r="A342" s="2" t="s">
        <v>16614</v>
      </c>
      <c r="B342" s="2" t="s">
        <v>16615</v>
      </c>
      <c r="C342" s="2" t="s">
        <v>16616</v>
      </c>
      <c r="D342" s="2" t="s">
        <v>16617</v>
      </c>
      <c r="E342" s="2" t="s">
        <v>16618</v>
      </c>
      <c r="F342" s="2" t="s">
        <v>16619</v>
      </c>
      <c r="G342" s="2" t="s">
        <v>16619</v>
      </c>
      <c r="H342" s="2" t="s">
        <v>290</v>
      </c>
      <c r="I342" s="2" t="s">
        <v>278</v>
      </c>
      <c r="J342" s="2" t="s">
        <v>12036</v>
      </c>
      <c r="K342" s="2"/>
      <c r="L342" s="2"/>
      <c r="M342" s="2"/>
      <c r="N342" s="2"/>
      <c r="O342" s="2"/>
      <c r="P342" s="2"/>
      <c r="Q342" s="2"/>
      <c r="R342" s="2" t="s">
        <v>5776</v>
      </c>
      <c r="S342" s="2" t="s">
        <v>44</v>
      </c>
      <c r="T342" s="2"/>
      <c r="U342" s="2" t="s">
        <v>3527</v>
      </c>
      <c r="V342" s="2" t="s">
        <v>46</v>
      </c>
      <c r="W342" s="2" t="s">
        <v>3527</v>
      </c>
      <c r="X342" s="2" t="s">
        <v>10787</v>
      </c>
      <c r="Y342" s="2" t="s">
        <v>10801</v>
      </c>
      <c r="Z342" s="2" t="s">
        <v>49</v>
      </c>
      <c r="AA342" s="2">
        <v>100</v>
      </c>
      <c r="AB342" s="2">
        <v>60</v>
      </c>
      <c r="AC342" s="2" t="s">
        <v>9685</v>
      </c>
      <c r="AD342" s="2" t="s">
        <v>16620</v>
      </c>
      <c r="AE342" s="2"/>
      <c r="AF342" s="2" t="s">
        <v>15038</v>
      </c>
      <c r="AG342" s="2" t="s">
        <v>14290</v>
      </c>
    </row>
    <row r="343" spans="1:33" x14ac:dyDescent="0.45">
      <c r="A343" s="2" t="s">
        <v>16621</v>
      </c>
      <c r="B343" s="2" t="s">
        <v>16622</v>
      </c>
      <c r="C343" s="2" t="s">
        <v>16623</v>
      </c>
      <c r="D343" s="2" t="s">
        <v>16624</v>
      </c>
      <c r="E343" s="2" t="s">
        <v>16625</v>
      </c>
      <c r="F343" s="2" t="s">
        <v>16626</v>
      </c>
      <c r="G343" s="2" t="s">
        <v>16626</v>
      </c>
      <c r="H343" s="2" t="s">
        <v>59</v>
      </c>
      <c r="I343" s="2" t="s">
        <v>60</v>
      </c>
      <c r="J343" s="2" t="s">
        <v>4000</v>
      </c>
      <c r="K343" s="2" t="s">
        <v>16624</v>
      </c>
      <c r="L343" s="2"/>
      <c r="M343" s="2"/>
      <c r="N343" s="2"/>
      <c r="O343" s="2" t="s">
        <v>59</v>
      </c>
      <c r="P343" s="2" t="s">
        <v>60</v>
      </c>
      <c r="Q343" s="2" t="s">
        <v>4000</v>
      </c>
      <c r="R343" s="2" t="s">
        <v>12387</v>
      </c>
      <c r="S343" s="2" t="s">
        <v>44</v>
      </c>
      <c r="T343" s="2"/>
      <c r="U343" s="2" t="s">
        <v>3527</v>
      </c>
      <c r="V343" s="2" t="s">
        <v>46</v>
      </c>
      <c r="W343" s="2" t="s">
        <v>3527</v>
      </c>
      <c r="X343" s="2" t="s">
        <v>10787</v>
      </c>
      <c r="Y343" s="2" t="s">
        <v>10801</v>
      </c>
      <c r="Z343" s="2" t="s">
        <v>49</v>
      </c>
      <c r="AA343" s="2">
        <v>100</v>
      </c>
      <c r="AB343" s="2">
        <v>60</v>
      </c>
      <c r="AC343" s="2" t="s">
        <v>9685</v>
      </c>
      <c r="AD343" s="2" t="s">
        <v>16627</v>
      </c>
      <c r="AE343" s="2"/>
      <c r="AF343" s="2" t="s">
        <v>15038</v>
      </c>
      <c r="AG343" s="2" t="s">
        <v>14290</v>
      </c>
    </row>
    <row r="344" spans="1:33" x14ac:dyDescent="0.45">
      <c r="A344" s="2" t="s">
        <v>16628</v>
      </c>
      <c r="B344" s="2" t="s">
        <v>16629</v>
      </c>
      <c r="C344" s="2" t="s">
        <v>16630</v>
      </c>
      <c r="D344" s="2" t="s">
        <v>16631</v>
      </c>
      <c r="E344" s="2" t="s">
        <v>16632</v>
      </c>
      <c r="F344" s="2" t="s">
        <v>3562</v>
      </c>
      <c r="G344" s="2" t="s">
        <v>3562</v>
      </c>
      <c r="H344" s="2" t="s">
        <v>59</v>
      </c>
      <c r="I344" s="2" t="s">
        <v>60</v>
      </c>
      <c r="J344" s="2" t="s">
        <v>12350</v>
      </c>
      <c r="K344" s="2"/>
      <c r="L344" s="2"/>
      <c r="M344" s="2"/>
      <c r="N344" s="2"/>
      <c r="O344" s="2"/>
      <c r="P344" s="2"/>
      <c r="Q344" s="2"/>
      <c r="R344" s="2" t="s">
        <v>9560</v>
      </c>
      <c r="S344" s="2" t="s">
        <v>44</v>
      </c>
      <c r="T344" s="2"/>
      <c r="U344" s="2" t="s">
        <v>3527</v>
      </c>
      <c r="V344" s="2" t="s">
        <v>46</v>
      </c>
      <c r="W344" s="2" t="s">
        <v>3527</v>
      </c>
      <c r="X344" s="2" t="s">
        <v>10787</v>
      </c>
      <c r="Y344" s="2" t="s">
        <v>10801</v>
      </c>
      <c r="Z344" s="2" t="s">
        <v>49</v>
      </c>
      <c r="AA344" s="2">
        <v>100</v>
      </c>
      <c r="AB344" s="2">
        <v>60</v>
      </c>
      <c r="AC344" s="2" t="s">
        <v>9685</v>
      </c>
      <c r="AD344" s="2" t="s">
        <v>16633</v>
      </c>
      <c r="AE344" s="2"/>
      <c r="AF344" s="2" t="s">
        <v>15038</v>
      </c>
      <c r="AG344" s="2" t="s">
        <v>14290</v>
      </c>
    </row>
    <row r="345" spans="1:33" x14ac:dyDescent="0.45">
      <c r="A345" s="2" t="s">
        <v>16634</v>
      </c>
      <c r="B345" s="2" t="s">
        <v>16635</v>
      </c>
      <c r="C345" s="2" t="s">
        <v>16636</v>
      </c>
      <c r="D345" s="2" t="s">
        <v>16637</v>
      </c>
      <c r="E345" s="2" t="s">
        <v>16638</v>
      </c>
      <c r="F345" s="2"/>
      <c r="G345" s="2"/>
      <c r="H345" s="2" t="s">
        <v>536</v>
      </c>
      <c r="I345" s="2" t="s">
        <v>537</v>
      </c>
      <c r="J345" s="2" t="s">
        <v>1284</v>
      </c>
      <c r="K345" s="2" t="s">
        <v>16637</v>
      </c>
      <c r="L345" s="2"/>
      <c r="M345" s="2"/>
      <c r="N345" s="2"/>
      <c r="O345" s="2" t="s">
        <v>536</v>
      </c>
      <c r="P345" s="2" t="s">
        <v>537</v>
      </c>
      <c r="Q345" s="2" t="s">
        <v>1284</v>
      </c>
      <c r="R345" s="2" t="s">
        <v>16639</v>
      </c>
      <c r="S345" s="2" t="s">
        <v>44</v>
      </c>
      <c r="T345" s="2"/>
      <c r="U345" s="2" t="s">
        <v>3527</v>
      </c>
      <c r="V345" s="2" t="s">
        <v>46</v>
      </c>
      <c r="W345" s="2" t="s">
        <v>3527</v>
      </c>
      <c r="X345" s="2" t="s">
        <v>1286</v>
      </c>
      <c r="Y345" s="2" t="s">
        <v>48</v>
      </c>
      <c r="Z345" s="2" t="s">
        <v>7864</v>
      </c>
      <c r="AA345" s="2">
        <v>90</v>
      </c>
      <c r="AB345" s="2">
        <v>60</v>
      </c>
      <c r="AC345" s="2" t="s">
        <v>9685</v>
      </c>
      <c r="AD345" s="2" t="s">
        <v>1287</v>
      </c>
      <c r="AE345" s="2"/>
      <c r="AF345" s="2" t="s">
        <v>14289</v>
      </c>
      <c r="AG345" s="2" t="s">
        <v>14290</v>
      </c>
    </row>
    <row r="346" spans="1:33" x14ac:dyDescent="0.45">
      <c r="A346" s="2" t="s">
        <v>15734</v>
      </c>
      <c r="B346" s="2" t="s">
        <v>16640</v>
      </c>
      <c r="C346" s="2" t="s">
        <v>16641</v>
      </c>
      <c r="D346" s="2" t="s">
        <v>16642</v>
      </c>
      <c r="E346" s="2" t="s">
        <v>16643</v>
      </c>
      <c r="F346" s="2"/>
      <c r="G346" s="2"/>
      <c r="H346" s="2" t="s">
        <v>384</v>
      </c>
      <c r="I346" s="2" t="s">
        <v>73</v>
      </c>
      <c r="J346" s="2" t="s">
        <v>15739</v>
      </c>
      <c r="K346" s="2" t="s">
        <v>16644</v>
      </c>
      <c r="L346" s="2"/>
      <c r="M346" s="2"/>
      <c r="N346" s="2"/>
      <c r="O346" s="2" t="s">
        <v>384</v>
      </c>
      <c r="P346" s="2" t="s">
        <v>73</v>
      </c>
      <c r="Q346" s="2" t="s">
        <v>5329</v>
      </c>
      <c r="R346" s="2" t="s">
        <v>4464</v>
      </c>
      <c r="S346" s="2" t="s">
        <v>44</v>
      </c>
      <c r="T346" s="2"/>
      <c r="U346" s="2" t="s">
        <v>3527</v>
      </c>
      <c r="V346" s="2" t="s">
        <v>199</v>
      </c>
      <c r="W346" s="2" t="s">
        <v>3527</v>
      </c>
      <c r="X346" s="2" t="s">
        <v>10787</v>
      </c>
      <c r="Y346" s="2" t="s">
        <v>10801</v>
      </c>
      <c r="Z346" s="2" t="s">
        <v>49</v>
      </c>
      <c r="AA346" s="2">
        <v>90</v>
      </c>
      <c r="AB346" s="2">
        <v>60</v>
      </c>
      <c r="AC346" s="2" t="s">
        <v>9685</v>
      </c>
      <c r="AD346" s="2" t="s">
        <v>15741</v>
      </c>
      <c r="AE346" s="2"/>
      <c r="AF346" s="2" t="s">
        <v>15327</v>
      </c>
      <c r="AG346" s="2" t="s">
        <v>14290</v>
      </c>
    </row>
    <row r="347" spans="1:33" x14ac:dyDescent="0.45">
      <c r="A347" s="2" t="s">
        <v>16645</v>
      </c>
      <c r="B347" s="2" t="s">
        <v>16646</v>
      </c>
      <c r="C347" s="2"/>
      <c r="D347" s="2" t="s">
        <v>16647</v>
      </c>
      <c r="E347" s="2" t="s">
        <v>16648</v>
      </c>
      <c r="F347" s="2" t="s">
        <v>16649</v>
      </c>
      <c r="G347" s="2" t="s">
        <v>16649</v>
      </c>
      <c r="H347" s="2" t="s">
        <v>324</v>
      </c>
      <c r="I347" s="2" t="s">
        <v>73</v>
      </c>
      <c r="J347" s="2" t="s">
        <v>516</v>
      </c>
      <c r="K347" s="2" t="s">
        <v>16650</v>
      </c>
      <c r="L347" s="2"/>
      <c r="M347" s="2"/>
      <c r="N347" s="2"/>
      <c r="O347" s="2" t="s">
        <v>11291</v>
      </c>
      <c r="P347" s="2" t="s">
        <v>73</v>
      </c>
      <c r="Q347" s="2" t="s">
        <v>14267</v>
      </c>
      <c r="R347" s="2" t="s">
        <v>16651</v>
      </c>
      <c r="S347" s="2" t="s">
        <v>44</v>
      </c>
      <c r="T347" s="2"/>
      <c r="U347" s="2" t="s">
        <v>3527</v>
      </c>
      <c r="V347" s="2" t="s">
        <v>46</v>
      </c>
      <c r="W347" s="2" t="s">
        <v>3527</v>
      </c>
      <c r="X347" s="2" t="s">
        <v>10787</v>
      </c>
      <c r="Y347" s="2" t="s">
        <v>10801</v>
      </c>
      <c r="Z347" s="2" t="s">
        <v>49</v>
      </c>
      <c r="AA347" s="2">
        <v>85</v>
      </c>
      <c r="AB347" s="2">
        <v>60</v>
      </c>
      <c r="AC347" s="2" t="s">
        <v>9685</v>
      </c>
      <c r="AD347" s="2" t="s">
        <v>16652</v>
      </c>
      <c r="AE347" s="2"/>
      <c r="AF347" s="2" t="s">
        <v>15038</v>
      </c>
      <c r="AG347" s="2" t="s">
        <v>14290</v>
      </c>
    </row>
    <row r="348" spans="1:33" x14ac:dyDescent="0.45">
      <c r="A348" s="2" t="s">
        <v>16653</v>
      </c>
      <c r="B348" s="2" t="s">
        <v>16654</v>
      </c>
      <c r="C348" s="2"/>
      <c r="D348" s="2" t="s">
        <v>16655</v>
      </c>
      <c r="E348" s="2" t="s">
        <v>16656</v>
      </c>
      <c r="F348" s="2" t="s">
        <v>16657</v>
      </c>
      <c r="G348" s="2" t="s">
        <v>16657</v>
      </c>
      <c r="H348" s="2" t="s">
        <v>59</v>
      </c>
      <c r="I348" s="2" t="s">
        <v>60</v>
      </c>
      <c r="J348" s="2" t="s">
        <v>9052</v>
      </c>
      <c r="K348" s="2"/>
      <c r="L348" s="2"/>
      <c r="M348" s="2"/>
      <c r="N348" s="2"/>
      <c r="O348" s="2"/>
      <c r="P348" s="2"/>
      <c r="Q348" s="2"/>
      <c r="R348" s="2" t="s">
        <v>1481</v>
      </c>
      <c r="S348" s="2" t="s">
        <v>44</v>
      </c>
      <c r="T348" s="2"/>
      <c r="U348" s="2" t="s">
        <v>3527</v>
      </c>
      <c r="V348" s="2" t="s">
        <v>46</v>
      </c>
      <c r="W348" s="2" t="s">
        <v>3527</v>
      </c>
      <c r="X348" s="2" t="s">
        <v>10787</v>
      </c>
      <c r="Y348" s="2" t="s">
        <v>10801</v>
      </c>
      <c r="Z348" s="2" t="s">
        <v>49</v>
      </c>
      <c r="AA348" s="2">
        <v>85</v>
      </c>
      <c r="AB348" s="2">
        <v>60</v>
      </c>
      <c r="AC348" s="2" t="s">
        <v>9685</v>
      </c>
      <c r="AD348" s="2" t="s">
        <v>16658</v>
      </c>
      <c r="AE348" s="2"/>
      <c r="AF348" s="2" t="s">
        <v>15038</v>
      </c>
      <c r="AG348" s="2" t="s">
        <v>14290</v>
      </c>
    </row>
    <row r="349" spans="1:33" x14ac:dyDescent="0.45">
      <c r="A349" s="2" t="s">
        <v>16659</v>
      </c>
      <c r="B349" s="2" t="s">
        <v>16660</v>
      </c>
      <c r="C349" s="2" t="s">
        <v>12231</v>
      </c>
      <c r="D349" s="2" t="s">
        <v>16661</v>
      </c>
      <c r="E349" s="2" t="s">
        <v>12233</v>
      </c>
      <c r="F349" s="2"/>
      <c r="G349" s="2"/>
      <c r="H349" s="2" t="s">
        <v>312</v>
      </c>
      <c r="I349" s="2" t="s">
        <v>313</v>
      </c>
      <c r="J349" s="2" t="s">
        <v>314</v>
      </c>
      <c r="K349" s="2" t="s">
        <v>16661</v>
      </c>
      <c r="L349" s="2"/>
      <c r="M349" s="2"/>
      <c r="N349" s="2"/>
      <c r="O349" s="2" t="s">
        <v>312</v>
      </c>
      <c r="P349" s="2" t="s">
        <v>313</v>
      </c>
      <c r="Q349" s="2" t="s">
        <v>314</v>
      </c>
      <c r="R349" s="2" t="s">
        <v>10632</v>
      </c>
      <c r="S349" s="2" t="s">
        <v>44</v>
      </c>
      <c r="T349" s="2"/>
      <c r="U349" s="2" t="s">
        <v>821</v>
      </c>
      <c r="V349" s="2" t="s">
        <v>46</v>
      </c>
      <c r="W349" s="2" t="s">
        <v>821</v>
      </c>
      <c r="X349" s="2" t="s">
        <v>10787</v>
      </c>
      <c r="Y349" s="2" t="s">
        <v>10801</v>
      </c>
      <c r="Z349" s="2" t="s">
        <v>49</v>
      </c>
      <c r="AA349" s="2">
        <v>90</v>
      </c>
      <c r="AB349" s="2">
        <v>57</v>
      </c>
      <c r="AC349" s="2" t="s">
        <v>9685</v>
      </c>
      <c r="AD349" s="2" t="s">
        <v>16662</v>
      </c>
      <c r="AE349" s="2"/>
      <c r="AF349" s="2" t="s">
        <v>15038</v>
      </c>
      <c r="AG349" s="2" t="s">
        <v>14290</v>
      </c>
    </row>
    <row r="350" spans="1:33" x14ac:dyDescent="0.45">
      <c r="A350" s="2" t="s">
        <v>16663</v>
      </c>
      <c r="B350" s="2" t="s">
        <v>16664</v>
      </c>
      <c r="C350" s="2" t="s">
        <v>16665</v>
      </c>
      <c r="D350" s="2" t="s">
        <v>16666</v>
      </c>
      <c r="E350" s="2" t="s">
        <v>16667</v>
      </c>
      <c r="F350" s="2"/>
      <c r="G350" s="2"/>
      <c r="H350" s="2" t="s">
        <v>72</v>
      </c>
      <c r="I350" s="2" t="s">
        <v>73</v>
      </c>
      <c r="J350" s="2" t="s">
        <v>197</v>
      </c>
      <c r="K350" s="2" t="s">
        <v>16666</v>
      </c>
      <c r="L350" s="2"/>
      <c r="M350" s="2"/>
      <c r="N350" s="2"/>
      <c r="O350" s="2" t="s">
        <v>72</v>
      </c>
      <c r="P350" s="2" t="s">
        <v>73</v>
      </c>
      <c r="Q350" s="2" t="s">
        <v>197</v>
      </c>
      <c r="R350" s="2" t="s">
        <v>16668</v>
      </c>
      <c r="S350" s="2" t="s">
        <v>44</v>
      </c>
      <c r="T350" s="2"/>
      <c r="U350" s="2" t="s">
        <v>821</v>
      </c>
      <c r="V350" s="2" t="s">
        <v>46</v>
      </c>
      <c r="W350" s="2" t="s">
        <v>821</v>
      </c>
      <c r="X350" s="2" t="s">
        <v>11225</v>
      </c>
      <c r="Y350" s="2" t="s">
        <v>10801</v>
      </c>
      <c r="Z350" s="2" t="s">
        <v>49</v>
      </c>
      <c r="AA350" s="2">
        <v>90</v>
      </c>
      <c r="AB350" s="2">
        <v>57</v>
      </c>
      <c r="AC350" s="2" t="s">
        <v>9685</v>
      </c>
      <c r="AD350" s="2" t="s">
        <v>16669</v>
      </c>
      <c r="AE350" s="2"/>
      <c r="AF350" s="2" t="s">
        <v>15038</v>
      </c>
      <c r="AG350" s="2" t="s">
        <v>14290</v>
      </c>
    </row>
    <row r="351" spans="1:33" x14ac:dyDescent="0.45">
      <c r="A351" s="2" t="s">
        <v>16670</v>
      </c>
      <c r="B351" s="2" t="s">
        <v>16671</v>
      </c>
      <c r="C351" s="2" t="s">
        <v>16672</v>
      </c>
      <c r="D351" s="2" t="s">
        <v>16673</v>
      </c>
      <c r="E351" s="2" t="s">
        <v>16674</v>
      </c>
      <c r="F351" s="2"/>
      <c r="G351" s="2"/>
      <c r="H351" s="2" t="s">
        <v>312</v>
      </c>
      <c r="I351" s="2" t="s">
        <v>313</v>
      </c>
      <c r="J351" s="2" t="s">
        <v>314</v>
      </c>
      <c r="K351" s="2" t="s">
        <v>16673</v>
      </c>
      <c r="L351" s="2"/>
      <c r="M351" s="2"/>
      <c r="N351" s="2"/>
      <c r="O351" s="2" t="s">
        <v>312</v>
      </c>
      <c r="P351" s="2" t="s">
        <v>313</v>
      </c>
      <c r="Q351" s="2" t="s">
        <v>314</v>
      </c>
      <c r="R351" s="2" t="s">
        <v>10743</v>
      </c>
      <c r="S351" s="2" t="s">
        <v>44</v>
      </c>
      <c r="T351" s="2"/>
      <c r="U351" s="2" t="s">
        <v>821</v>
      </c>
      <c r="V351" s="2" t="s">
        <v>46</v>
      </c>
      <c r="W351" s="2" t="s">
        <v>821</v>
      </c>
      <c r="X351" s="2" t="s">
        <v>10787</v>
      </c>
      <c r="Y351" s="2" t="s">
        <v>10801</v>
      </c>
      <c r="Z351" s="2" t="s">
        <v>49</v>
      </c>
      <c r="AA351" s="2">
        <v>90</v>
      </c>
      <c r="AB351" s="2">
        <v>57</v>
      </c>
      <c r="AC351" s="2" t="s">
        <v>9685</v>
      </c>
      <c r="AD351" s="2" t="s">
        <v>16675</v>
      </c>
      <c r="AE351" s="2"/>
      <c r="AF351" s="2" t="s">
        <v>15038</v>
      </c>
      <c r="AG351" s="2" t="s">
        <v>14290</v>
      </c>
    </row>
    <row r="352" spans="1:33" x14ac:dyDescent="0.45">
      <c r="A352" s="2" t="s">
        <v>7253</v>
      </c>
      <c r="B352" s="2" t="s">
        <v>16676</v>
      </c>
      <c r="C352" s="2" t="s">
        <v>16677</v>
      </c>
      <c r="D352" s="2" t="s">
        <v>16678</v>
      </c>
      <c r="E352" s="2" t="s">
        <v>16679</v>
      </c>
      <c r="F352" s="2"/>
      <c r="G352" s="2"/>
      <c r="H352" s="2" t="s">
        <v>72</v>
      </c>
      <c r="I352" s="2" t="s">
        <v>73</v>
      </c>
      <c r="J352" s="2" t="s">
        <v>607</v>
      </c>
      <c r="K352" s="2" t="s">
        <v>16680</v>
      </c>
      <c r="L352" s="2"/>
      <c r="M352" s="2"/>
      <c r="N352" s="2"/>
      <c r="O352" s="2" t="s">
        <v>72</v>
      </c>
      <c r="P352" s="2" t="s">
        <v>73</v>
      </c>
      <c r="Q352" s="2" t="s">
        <v>607</v>
      </c>
      <c r="R352" s="2" t="s">
        <v>1642</v>
      </c>
      <c r="S352" s="2" t="s">
        <v>44</v>
      </c>
      <c r="T352" s="2"/>
      <c r="U352" s="2" t="s">
        <v>821</v>
      </c>
      <c r="V352" s="2" t="s">
        <v>199</v>
      </c>
      <c r="W352" s="2" t="s">
        <v>821</v>
      </c>
      <c r="X352" s="2" t="s">
        <v>10787</v>
      </c>
      <c r="Y352" s="2" t="s">
        <v>10801</v>
      </c>
      <c r="Z352" s="2" t="s">
        <v>49</v>
      </c>
      <c r="AA352" s="2">
        <v>90</v>
      </c>
      <c r="AB352" s="2">
        <v>57</v>
      </c>
      <c r="AC352" s="2" t="s">
        <v>9685</v>
      </c>
      <c r="AD352" s="2" t="s">
        <v>16681</v>
      </c>
      <c r="AE352" s="2"/>
      <c r="AF352" s="2" t="s">
        <v>15038</v>
      </c>
      <c r="AG352" s="2" t="s">
        <v>14290</v>
      </c>
    </row>
    <row r="353" spans="1:33" x14ac:dyDescent="0.45">
      <c r="A353" s="2" t="s">
        <v>16682</v>
      </c>
      <c r="B353" s="2" t="s">
        <v>16683</v>
      </c>
      <c r="C353" s="2" t="s">
        <v>16684</v>
      </c>
      <c r="D353" s="2" t="s">
        <v>16685</v>
      </c>
      <c r="E353" s="2" t="s">
        <v>16686</v>
      </c>
      <c r="F353" s="2"/>
      <c r="G353" s="2"/>
      <c r="H353" s="2" t="s">
        <v>85</v>
      </c>
      <c r="I353" s="2" t="s">
        <v>86</v>
      </c>
      <c r="J353" s="2" t="s">
        <v>2353</v>
      </c>
      <c r="K353" s="2" t="s">
        <v>16685</v>
      </c>
      <c r="L353" s="2"/>
      <c r="M353" s="2"/>
      <c r="N353" s="2"/>
      <c r="O353" s="2" t="s">
        <v>85</v>
      </c>
      <c r="P353" s="2" t="s">
        <v>86</v>
      </c>
      <c r="Q353" s="2" t="s">
        <v>2353</v>
      </c>
      <c r="R353" s="2" t="s">
        <v>12408</v>
      </c>
      <c r="S353" s="2" t="s">
        <v>44</v>
      </c>
      <c r="T353" s="2"/>
      <c r="U353" s="2" t="s">
        <v>821</v>
      </c>
      <c r="V353" s="2" t="s">
        <v>46</v>
      </c>
      <c r="W353" s="2" t="s">
        <v>821</v>
      </c>
      <c r="X353" s="2" t="s">
        <v>11537</v>
      </c>
      <c r="Y353" s="2" t="s">
        <v>10801</v>
      </c>
      <c r="Z353" s="2" t="s">
        <v>49</v>
      </c>
      <c r="AA353" s="2">
        <v>90</v>
      </c>
      <c r="AB353" s="2">
        <v>57</v>
      </c>
      <c r="AC353" s="2" t="s">
        <v>9685</v>
      </c>
      <c r="AD353" s="2" t="s">
        <v>16687</v>
      </c>
      <c r="AE353" s="2"/>
      <c r="AF353" s="2" t="s">
        <v>15038</v>
      </c>
      <c r="AG353" s="2" t="s">
        <v>14290</v>
      </c>
    </row>
    <row r="354" spans="1:33" x14ac:dyDescent="0.45">
      <c r="A354" s="2" t="s">
        <v>16688</v>
      </c>
      <c r="B354" s="2" t="s">
        <v>16689</v>
      </c>
      <c r="C354" s="2" t="s">
        <v>16690</v>
      </c>
      <c r="D354" s="2" t="s">
        <v>16691</v>
      </c>
      <c r="E354" s="2" t="s">
        <v>16692</v>
      </c>
      <c r="F354" s="2"/>
      <c r="G354" s="2"/>
      <c r="H354" s="2" t="s">
        <v>39</v>
      </c>
      <c r="I354" s="2" t="s">
        <v>40</v>
      </c>
      <c r="J354" s="2" t="s">
        <v>453</v>
      </c>
      <c r="K354" s="2" t="s">
        <v>16691</v>
      </c>
      <c r="L354" s="2"/>
      <c r="M354" s="2"/>
      <c r="N354" s="2"/>
      <c r="O354" s="2" t="s">
        <v>39</v>
      </c>
      <c r="P354" s="2" t="s">
        <v>40</v>
      </c>
      <c r="Q354" s="2" t="s">
        <v>453</v>
      </c>
      <c r="R354" s="2" t="s">
        <v>16693</v>
      </c>
      <c r="S354" s="2" t="s">
        <v>44</v>
      </c>
      <c r="T354" s="2"/>
      <c r="U354" s="2" t="s">
        <v>821</v>
      </c>
      <c r="V354" s="2" t="s">
        <v>46</v>
      </c>
      <c r="W354" s="2" t="s">
        <v>821</v>
      </c>
      <c r="X354" s="2" t="s">
        <v>10787</v>
      </c>
      <c r="Y354" s="2" t="s">
        <v>10801</v>
      </c>
      <c r="Z354" s="2" t="s">
        <v>49</v>
      </c>
      <c r="AA354" s="2">
        <v>90</v>
      </c>
      <c r="AB354" s="2">
        <v>57</v>
      </c>
      <c r="AC354" s="2" t="s">
        <v>9685</v>
      </c>
      <c r="AD354" s="2" t="s">
        <v>16694</v>
      </c>
      <c r="AE354" s="2"/>
      <c r="AF354" s="2" t="s">
        <v>15038</v>
      </c>
      <c r="AG354" s="2" t="s">
        <v>14290</v>
      </c>
    </row>
    <row r="355" spans="1:33" x14ac:dyDescent="0.45">
      <c r="A355" s="2" t="s">
        <v>16695</v>
      </c>
      <c r="B355" s="2" t="s">
        <v>16696</v>
      </c>
      <c r="C355" s="2" t="s">
        <v>16697</v>
      </c>
      <c r="D355" s="2" t="s">
        <v>16698</v>
      </c>
      <c r="E355" s="2" t="s">
        <v>16699</v>
      </c>
      <c r="F355" s="2"/>
      <c r="G355" s="2"/>
      <c r="H355" s="2" t="s">
        <v>59</v>
      </c>
      <c r="I355" s="2" t="s">
        <v>60</v>
      </c>
      <c r="J355" s="2" t="s">
        <v>5584</v>
      </c>
      <c r="K355" s="2" t="s">
        <v>16698</v>
      </c>
      <c r="L355" s="2"/>
      <c r="M355" s="2"/>
      <c r="N355" s="2"/>
      <c r="O355" s="2" t="s">
        <v>59</v>
      </c>
      <c r="P355" s="2" t="s">
        <v>60</v>
      </c>
      <c r="Q355" s="2" t="s">
        <v>5584</v>
      </c>
      <c r="R355" s="2" t="s">
        <v>16700</v>
      </c>
      <c r="S355" s="2" t="s">
        <v>44</v>
      </c>
      <c r="T355" s="2"/>
      <c r="U355" s="2" t="s">
        <v>821</v>
      </c>
      <c r="V355" s="2" t="s">
        <v>46</v>
      </c>
      <c r="W355" s="2" t="s">
        <v>821</v>
      </c>
      <c r="X355" s="2" t="s">
        <v>10787</v>
      </c>
      <c r="Y355" s="2" t="s">
        <v>10801</v>
      </c>
      <c r="Z355" s="2" t="s">
        <v>49</v>
      </c>
      <c r="AA355" s="2">
        <v>90</v>
      </c>
      <c r="AB355" s="2">
        <v>57</v>
      </c>
      <c r="AC355" s="2" t="s">
        <v>9685</v>
      </c>
      <c r="AD355" s="2" t="s">
        <v>16701</v>
      </c>
      <c r="AE355" s="2"/>
      <c r="AF355" s="2" t="s">
        <v>15038</v>
      </c>
      <c r="AG355" s="2" t="s">
        <v>14290</v>
      </c>
    </row>
    <row r="356" spans="1:33" x14ac:dyDescent="0.45">
      <c r="A356" s="2" t="s">
        <v>16702</v>
      </c>
      <c r="B356" s="2" t="s">
        <v>16703</v>
      </c>
      <c r="C356" s="2" t="s">
        <v>16704</v>
      </c>
      <c r="D356" s="2" t="s">
        <v>16705</v>
      </c>
      <c r="E356" s="2" t="s">
        <v>16706</v>
      </c>
      <c r="F356" s="2"/>
      <c r="G356" s="2"/>
      <c r="H356" s="2" t="s">
        <v>59</v>
      </c>
      <c r="I356" s="2" t="s">
        <v>60</v>
      </c>
      <c r="J356" s="2" t="s">
        <v>8056</v>
      </c>
      <c r="K356" s="2" t="s">
        <v>16705</v>
      </c>
      <c r="L356" s="2"/>
      <c r="M356" s="2"/>
      <c r="N356" s="2"/>
      <c r="O356" s="2" t="s">
        <v>59</v>
      </c>
      <c r="P356" s="2" t="s">
        <v>60</v>
      </c>
      <c r="Q356" s="2" t="s">
        <v>8056</v>
      </c>
      <c r="R356" s="2" t="s">
        <v>12425</v>
      </c>
      <c r="S356" s="2" t="s">
        <v>44</v>
      </c>
      <c r="T356" s="2"/>
      <c r="U356" s="2" t="s">
        <v>821</v>
      </c>
      <c r="V356" s="2" t="s">
        <v>46</v>
      </c>
      <c r="W356" s="2" t="s">
        <v>821</v>
      </c>
      <c r="X356" s="2" t="s">
        <v>10787</v>
      </c>
      <c r="Y356" s="2" t="s">
        <v>10801</v>
      </c>
      <c r="Z356" s="2" t="s">
        <v>49</v>
      </c>
      <c r="AA356" s="2">
        <v>90</v>
      </c>
      <c r="AB356" s="2">
        <v>57</v>
      </c>
      <c r="AC356" s="2" t="s">
        <v>9685</v>
      </c>
      <c r="AD356" s="2" t="s">
        <v>16707</v>
      </c>
      <c r="AE356" s="2"/>
      <c r="AF356" s="2" t="s">
        <v>15038</v>
      </c>
      <c r="AG356" s="2" t="s">
        <v>14290</v>
      </c>
    </row>
    <row r="357" spans="1:33" x14ac:dyDescent="0.45">
      <c r="A357" s="2" t="s">
        <v>16708</v>
      </c>
      <c r="B357" s="2" t="s">
        <v>16709</v>
      </c>
      <c r="C357" s="2" t="s">
        <v>16710</v>
      </c>
      <c r="D357" s="2" t="s">
        <v>16711</v>
      </c>
      <c r="E357" s="2" t="s">
        <v>16712</v>
      </c>
      <c r="F357" s="2"/>
      <c r="G357" s="2"/>
      <c r="H357" s="2" t="s">
        <v>290</v>
      </c>
      <c r="I357" s="2" t="s">
        <v>278</v>
      </c>
      <c r="J357" s="2" t="s">
        <v>16713</v>
      </c>
      <c r="K357" s="2" t="s">
        <v>16714</v>
      </c>
      <c r="L357" s="2"/>
      <c r="M357" s="2"/>
      <c r="N357" s="2"/>
      <c r="O357" s="2" t="s">
        <v>290</v>
      </c>
      <c r="P357" s="2" t="s">
        <v>278</v>
      </c>
      <c r="Q357" s="2" t="s">
        <v>16713</v>
      </c>
      <c r="R357" s="2" t="s">
        <v>8079</v>
      </c>
      <c r="S357" s="2" t="s">
        <v>44</v>
      </c>
      <c r="T357" s="2"/>
      <c r="U357" s="2" t="s">
        <v>821</v>
      </c>
      <c r="V357" s="2" t="s">
        <v>46</v>
      </c>
      <c r="W357" s="2" t="s">
        <v>821</v>
      </c>
      <c r="X357" s="2" t="s">
        <v>10787</v>
      </c>
      <c r="Y357" s="2" t="s">
        <v>10801</v>
      </c>
      <c r="Z357" s="2" t="s">
        <v>49</v>
      </c>
      <c r="AA357" s="2">
        <v>90</v>
      </c>
      <c r="AB357" s="2">
        <v>57</v>
      </c>
      <c r="AC357" s="2" t="s">
        <v>9685</v>
      </c>
      <c r="AD357" s="2" t="s">
        <v>16715</v>
      </c>
      <c r="AE357" s="2"/>
      <c r="AF357" s="2" t="s">
        <v>15038</v>
      </c>
      <c r="AG357" s="2" t="s">
        <v>14290</v>
      </c>
    </row>
    <row r="358" spans="1:33" x14ac:dyDescent="0.45">
      <c r="A358" s="2" t="s">
        <v>16716</v>
      </c>
      <c r="B358" s="2" t="s">
        <v>16717</v>
      </c>
      <c r="C358" s="2" t="s">
        <v>16718</v>
      </c>
      <c r="D358" s="2" t="s">
        <v>16719</v>
      </c>
      <c r="E358" s="2" t="s">
        <v>16720</v>
      </c>
      <c r="F358" s="2"/>
      <c r="G358" s="2"/>
      <c r="H358" s="2" t="s">
        <v>59</v>
      </c>
      <c r="I358" s="2" t="s">
        <v>60</v>
      </c>
      <c r="J358" s="2" t="s">
        <v>15434</v>
      </c>
      <c r="K358" s="2" t="s">
        <v>16719</v>
      </c>
      <c r="L358" s="2"/>
      <c r="M358" s="2"/>
      <c r="N358" s="2"/>
      <c r="O358" s="2" t="s">
        <v>59</v>
      </c>
      <c r="P358" s="2" t="s">
        <v>60</v>
      </c>
      <c r="Q358" s="2" t="s">
        <v>15434</v>
      </c>
      <c r="R358" s="2" t="s">
        <v>16721</v>
      </c>
      <c r="S358" s="2" t="s">
        <v>44</v>
      </c>
      <c r="T358" s="2"/>
      <c r="U358" s="2" t="s">
        <v>821</v>
      </c>
      <c r="V358" s="2" t="s">
        <v>46</v>
      </c>
      <c r="W358" s="2" t="s">
        <v>821</v>
      </c>
      <c r="X358" s="2" t="s">
        <v>10787</v>
      </c>
      <c r="Y358" s="2" t="s">
        <v>10801</v>
      </c>
      <c r="Z358" s="2" t="s">
        <v>49</v>
      </c>
      <c r="AA358" s="2">
        <v>90</v>
      </c>
      <c r="AB358" s="2">
        <v>57</v>
      </c>
      <c r="AC358" s="2" t="s">
        <v>9685</v>
      </c>
      <c r="AD358" s="2" t="s">
        <v>16722</v>
      </c>
      <c r="AE358" s="2"/>
      <c r="AF358" s="2" t="s">
        <v>15038</v>
      </c>
      <c r="AG358" s="2" t="s">
        <v>14290</v>
      </c>
    </row>
    <row r="359" spans="1:33" x14ac:dyDescent="0.45">
      <c r="A359" s="2" t="s">
        <v>16723</v>
      </c>
      <c r="B359" s="2" t="s">
        <v>16724</v>
      </c>
      <c r="C359" s="2" t="s">
        <v>16725</v>
      </c>
      <c r="D359" s="2" t="s">
        <v>16726</v>
      </c>
      <c r="E359" s="2" t="s">
        <v>16727</v>
      </c>
      <c r="F359" s="2"/>
      <c r="G359" s="2"/>
      <c r="H359" s="2" t="s">
        <v>59</v>
      </c>
      <c r="I359" s="2" t="s">
        <v>60</v>
      </c>
      <c r="J359" s="2" t="s">
        <v>8113</v>
      </c>
      <c r="K359" s="2" t="s">
        <v>16726</v>
      </c>
      <c r="L359" s="2"/>
      <c r="M359" s="2"/>
      <c r="N359" s="2"/>
      <c r="O359" s="2" t="s">
        <v>59</v>
      </c>
      <c r="P359" s="2" t="s">
        <v>60</v>
      </c>
      <c r="Q359" s="2" t="s">
        <v>8113</v>
      </c>
      <c r="R359" s="2" t="s">
        <v>16728</v>
      </c>
      <c r="S359" s="2" t="s">
        <v>44</v>
      </c>
      <c r="T359" s="2"/>
      <c r="U359" s="2" t="s">
        <v>821</v>
      </c>
      <c r="V359" s="2" t="s">
        <v>46</v>
      </c>
      <c r="W359" s="2" t="s">
        <v>821</v>
      </c>
      <c r="X359" s="2" t="s">
        <v>10787</v>
      </c>
      <c r="Y359" s="2" t="s">
        <v>10801</v>
      </c>
      <c r="Z359" s="2" t="s">
        <v>49</v>
      </c>
      <c r="AA359" s="2">
        <v>90</v>
      </c>
      <c r="AB359" s="2">
        <v>57</v>
      </c>
      <c r="AC359" s="2" t="s">
        <v>9685</v>
      </c>
      <c r="AD359" s="2" t="s">
        <v>16729</v>
      </c>
      <c r="AE359" s="2"/>
      <c r="AF359" s="2" t="s">
        <v>15038</v>
      </c>
      <c r="AG359" s="2" t="s">
        <v>14290</v>
      </c>
    </row>
    <row r="360" spans="1:33" x14ac:dyDescent="0.45">
      <c r="A360" s="2" t="s">
        <v>16730</v>
      </c>
      <c r="B360" s="2" t="s">
        <v>16731</v>
      </c>
      <c r="C360" s="2" t="s">
        <v>16732</v>
      </c>
      <c r="D360" s="2" t="s">
        <v>16733</v>
      </c>
      <c r="E360" s="2" t="s">
        <v>16734</v>
      </c>
      <c r="F360" s="2"/>
      <c r="G360" s="2"/>
      <c r="H360" s="2" t="s">
        <v>39</v>
      </c>
      <c r="I360" s="2" t="s">
        <v>40</v>
      </c>
      <c r="J360" s="2" t="s">
        <v>254</v>
      </c>
      <c r="K360" s="2" t="s">
        <v>16733</v>
      </c>
      <c r="L360" s="2"/>
      <c r="M360" s="2"/>
      <c r="N360" s="2"/>
      <c r="O360" s="2" t="s">
        <v>39</v>
      </c>
      <c r="P360" s="2" t="s">
        <v>40</v>
      </c>
      <c r="Q360" s="2" t="s">
        <v>254</v>
      </c>
      <c r="R360" s="2" t="s">
        <v>16735</v>
      </c>
      <c r="S360" s="2" t="s">
        <v>44</v>
      </c>
      <c r="T360" s="2"/>
      <c r="U360" s="2" t="s">
        <v>821</v>
      </c>
      <c r="V360" s="2" t="s">
        <v>46</v>
      </c>
      <c r="W360" s="2" t="s">
        <v>821</v>
      </c>
      <c r="X360" s="2" t="s">
        <v>10787</v>
      </c>
      <c r="Y360" s="2" t="s">
        <v>10801</v>
      </c>
      <c r="Z360" s="2" t="s">
        <v>49</v>
      </c>
      <c r="AA360" s="2">
        <v>90</v>
      </c>
      <c r="AB360" s="2">
        <v>57</v>
      </c>
      <c r="AC360" s="2" t="s">
        <v>9685</v>
      </c>
      <c r="AD360" s="2" t="s">
        <v>16736</v>
      </c>
      <c r="AE360" s="2"/>
      <c r="AF360" s="2" t="s">
        <v>15038</v>
      </c>
      <c r="AG360" s="2" t="s">
        <v>14290</v>
      </c>
    </row>
    <row r="361" spans="1:33" x14ac:dyDescent="0.45">
      <c r="A361" s="2" t="s">
        <v>16737</v>
      </c>
      <c r="B361" s="2" t="s">
        <v>16738</v>
      </c>
      <c r="C361" s="2" t="s">
        <v>16739</v>
      </c>
      <c r="D361" s="2" t="s">
        <v>16740</v>
      </c>
      <c r="E361" s="2" t="s">
        <v>16741</v>
      </c>
      <c r="F361" s="2"/>
      <c r="G361" s="2"/>
      <c r="H361" s="2" t="s">
        <v>59</v>
      </c>
      <c r="I361" s="2" t="s">
        <v>60</v>
      </c>
      <c r="J361" s="2" t="s">
        <v>8999</v>
      </c>
      <c r="K361" s="2" t="s">
        <v>16740</v>
      </c>
      <c r="L361" s="2"/>
      <c r="M361" s="2"/>
      <c r="N361" s="2"/>
      <c r="O361" s="2" t="s">
        <v>59</v>
      </c>
      <c r="P361" s="2" t="s">
        <v>60</v>
      </c>
      <c r="Q361" s="2" t="s">
        <v>8999</v>
      </c>
      <c r="R361" s="2" t="s">
        <v>16742</v>
      </c>
      <c r="S361" s="2" t="s">
        <v>44</v>
      </c>
      <c r="T361" s="2"/>
      <c r="U361" s="2" t="s">
        <v>821</v>
      </c>
      <c r="V361" s="2" t="s">
        <v>46</v>
      </c>
      <c r="W361" s="2" t="s">
        <v>821</v>
      </c>
      <c r="X361" s="2" t="s">
        <v>12462</v>
      </c>
      <c r="Y361" s="2" t="s">
        <v>10801</v>
      </c>
      <c r="Z361" s="2" t="s">
        <v>49</v>
      </c>
      <c r="AA361" s="2">
        <v>90</v>
      </c>
      <c r="AB361" s="2">
        <v>57</v>
      </c>
      <c r="AC361" s="2" t="s">
        <v>9685</v>
      </c>
      <c r="AD361" s="2" t="s">
        <v>16743</v>
      </c>
      <c r="AE361" s="2"/>
      <c r="AF361" s="2" t="s">
        <v>15038</v>
      </c>
      <c r="AG361" s="2" t="s">
        <v>14290</v>
      </c>
    </row>
    <row r="362" spans="1:33" x14ac:dyDescent="0.45">
      <c r="A362" s="2" t="s">
        <v>16744</v>
      </c>
      <c r="B362" s="2" t="s">
        <v>16745</v>
      </c>
      <c r="C362" s="2" t="s">
        <v>16746</v>
      </c>
      <c r="D362" s="2" t="s">
        <v>16747</v>
      </c>
      <c r="E362" s="2" t="s">
        <v>16748</v>
      </c>
      <c r="F362" s="2"/>
      <c r="G362" s="2"/>
      <c r="H362" s="2" t="s">
        <v>1023</v>
      </c>
      <c r="I362" s="2" t="s">
        <v>73</v>
      </c>
      <c r="J362" s="2" t="s">
        <v>12204</v>
      </c>
      <c r="K362" s="2" t="s">
        <v>16749</v>
      </c>
      <c r="L362" s="2"/>
      <c r="M362" s="2"/>
      <c r="N362" s="2"/>
      <c r="O362" s="2" t="s">
        <v>1023</v>
      </c>
      <c r="P362" s="2" t="s">
        <v>73</v>
      </c>
      <c r="Q362" s="2" t="s">
        <v>1024</v>
      </c>
      <c r="R362" s="2" t="s">
        <v>16750</v>
      </c>
      <c r="S362" s="2" t="s">
        <v>44</v>
      </c>
      <c r="T362" s="2"/>
      <c r="U362" s="2" t="s">
        <v>821</v>
      </c>
      <c r="V362" s="2" t="s">
        <v>46</v>
      </c>
      <c r="W362" s="2" t="s">
        <v>821</v>
      </c>
      <c r="X362" s="2" t="s">
        <v>10787</v>
      </c>
      <c r="Y362" s="2" t="s">
        <v>10801</v>
      </c>
      <c r="Z362" s="2" t="s">
        <v>49</v>
      </c>
      <c r="AA362" s="2">
        <v>90</v>
      </c>
      <c r="AB362" s="2">
        <v>57</v>
      </c>
      <c r="AC362" s="2" t="s">
        <v>9685</v>
      </c>
      <c r="AD362" s="2" t="s">
        <v>16751</v>
      </c>
      <c r="AE362" s="2"/>
      <c r="AF362" s="2" t="s">
        <v>15038</v>
      </c>
      <c r="AG362" s="2" t="s">
        <v>14290</v>
      </c>
    </row>
    <row r="363" spans="1:33" x14ac:dyDescent="0.45">
      <c r="A363" s="2" t="s">
        <v>16752</v>
      </c>
      <c r="B363" s="2" t="s">
        <v>16753</v>
      </c>
      <c r="C363" s="2" t="s">
        <v>16754</v>
      </c>
      <c r="D363" s="2" t="s">
        <v>16755</v>
      </c>
      <c r="E363" s="2" t="s">
        <v>16756</v>
      </c>
      <c r="F363" s="2"/>
      <c r="G363" s="2"/>
      <c r="H363" s="2" t="s">
        <v>72</v>
      </c>
      <c r="I363" s="2" t="s">
        <v>73</v>
      </c>
      <c r="J363" s="2" t="s">
        <v>2800</v>
      </c>
      <c r="K363" s="2" t="s">
        <v>16755</v>
      </c>
      <c r="L363" s="2"/>
      <c r="M363" s="2"/>
      <c r="N363" s="2"/>
      <c r="O363" s="2" t="s">
        <v>72</v>
      </c>
      <c r="P363" s="2" t="s">
        <v>73</v>
      </c>
      <c r="Q363" s="2" t="s">
        <v>2800</v>
      </c>
      <c r="R363" s="2" t="s">
        <v>16757</v>
      </c>
      <c r="S363" s="2" t="s">
        <v>44</v>
      </c>
      <c r="T363" s="2"/>
      <c r="U363" s="2" t="s">
        <v>821</v>
      </c>
      <c r="V363" s="2" t="s">
        <v>46</v>
      </c>
      <c r="W363" s="2" t="s">
        <v>821</v>
      </c>
      <c r="X363" s="2" t="s">
        <v>10787</v>
      </c>
      <c r="Y363" s="2" t="s">
        <v>10801</v>
      </c>
      <c r="Z363" s="2" t="s">
        <v>49</v>
      </c>
      <c r="AA363" s="2">
        <v>90</v>
      </c>
      <c r="AB363" s="2">
        <v>57</v>
      </c>
      <c r="AC363" s="2" t="s">
        <v>9685</v>
      </c>
      <c r="AD363" s="2" t="s">
        <v>16758</v>
      </c>
      <c r="AE363" s="2"/>
      <c r="AF363" s="2" t="s">
        <v>15038</v>
      </c>
      <c r="AG363" s="2" t="s">
        <v>14290</v>
      </c>
    </row>
    <row r="364" spans="1:33" x14ac:dyDescent="0.45">
      <c r="A364" s="2" t="s">
        <v>16759</v>
      </c>
      <c r="B364" s="2" t="s">
        <v>16760</v>
      </c>
      <c r="C364" s="2" t="s">
        <v>16761</v>
      </c>
      <c r="D364" s="2" t="s">
        <v>16762</v>
      </c>
      <c r="E364" s="2" t="s">
        <v>16763</v>
      </c>
      <c r="F364" s="2"/>
      <c r="G364" s="2"/>
      <c r="H364" s="2" t="s">
        <v>72</v>
      </c>
      <c r="I364" s="2" t="s">
        <v>73</v>
      </c>
      <c r="J364" s="2" t="s">
        <v>1430</v>
      </c>
      <c r="K364" s="2" t="s">
        <v>16764</v>
      </c>
      <c r="L364" s="2"/>
      <c r="M364" s="2"/>
      <c r="N364" s="2"/>
      <c r="O364" s="2" t="s">
        <v>72</v>
      </c>
      <c r="P364" s="2" t="s">
        <v>73</v>
      </c>
      <c r="Q364" s="2" t="s">
        <v>1430</v>
      </c>
      <c r="R364" s="2" t="s">
        <v>10295</v>
      </c>
      <c r="S364" s="2" t="s">
        <v>44</v>
      </c>
      <c r="T364" s="2"/>
      <c r="U364" s="2" t="s">
        <v>821</v>
      </c>
      <c r="V364" s="2" t="s">
        <v>46</v>
      </c>
      <c r="W364" s="2" t="s">
        <v>821</v>
      </c>
      <c r="X364" s="2" t="s">
        <v>10787</v>
      </c>
      <c r="Y364" s="2" t="s">
        <v>10801</v>
      </c>
      <c r="Z364" s="2" t="s">
        <v>49</v>
      </c>
      <c r="AA364" s="2">
        <v>90</v>
      </c>
      <c r="AB364" s="2">
        <v>57</v>
      </c>
      <c r="AC364" s="2" t="s">
        <v>9685</v>
      </c>
      <c r="AD364" s="2" t="s">
        <v>16765</v>
      </c>
      <c r="AE364" s="2"/>
      <c r="AF364" s="2" t="s">
        <v>15038</v>
      </c>
      <c r="AG364" s="2" t="s">
        <v>14290</v>
      </c>
    </row>
    <row r="365" spans="1:33" x14ac:dyDescent="0.45">
      <c r="A365" s="2" t="s">
        <v>16766</v>
      </c>
      <c r="B365" s="2" t="s">
        <v>16767</v>
      </c>
      <c r="C365" s="2" t="s">
        <v>16768</v>
      </c>
      <c r="D365" s="2" t="s">
        <v>16769</v>
      </c>
      <c r="E365" s="2" t="s">
        <v>16770</v>
      </c>
      <c r="F365" s="2"/>
      <c r="G365" s="2"/>
      <c r="H365" s="2" t="s">
        <v>384</v>
      </c>
      <c r="I365" s="2" t="s">
        <v>73</v>
      </c>
      <c r="J365" s="2" t="s">
        <v>14742</v>
      </c>
      <c r="K365" s="2" t="s">
        <v>16769</v>
      </c>
      <c r="L365" s="2"/>
      <c r="M365" s="2"/>
      <c r="N365" s="2"/>
      <c r="O365" s="2" t="s">
        <v>384</v>
      </c>
      <c r="P365" s="2" t="s">
        <v>73</v>
      </c>
      <c r="Q365" s="2" t="s">
        <v>14742</v>
      </c>
      <c r="R365" s="2" t="s">
        <v>16771</v>
      </c>
      <c r="S365" s="2" t="s">
        <v>44</v>
      </c>
      <c r="T365" s="2"/>
      <c r="U365" s="2" t="s">
        <v>821</v>
      </c>
      <c r="V365" s="2" t="s">
        <v>46</v>
      </c>
      <c r="W365" s="2" t="s">
        <v>821</v>
      </c>
      <c r="X365" s="2" t="s">
        <v>10787</v>
      </c>
      <c r="Y365" s="2" t="s">
        <v>10801</v>
      </c>
      <c r="Z365" s="2" t="s">
        <v>49</v>
      </c>
      <c r="AA365" s="2">
        <v>90</v>
      </c>
      <c r="AB365" s="2">
        <v>57</v>
      </c>
      <c r="AC365" s="2" t="s">
        <v>9685</v>
      </c>
      <c r="AD365" s="2" t="s">
        <v>16772</v>
      </c>
      <c r="AE365" s="2"/>
      <c r="AF365" s="2" t="s">
        <v>15038</v>
      </c>
      <c r="AG365" s="2" t="s">
        <v>14290</v>
      </c>
    </row>
    <row r="366" spans="1:33" x14ac:dyDescent="0.45">
      <c r="A366" s="2" t="s">
        <v>16773</v>
      </c>
      <c r="B366" s="2" t="s">
        <v>16774</v>
      </c>
      <c r="C366" s="2" t="s">
        <v>16775</v>
      </c>
      <c r="D366" s="2" t="s">
        <v>16776</v>
      </c>
      <c r="E366" s="2" t="s">
        <v>16777</v>
      </c>
      <c r="F366" s="2"/>
      <c r="G366" s="2"/>
      <c r="H366" s="2" t="s">
        <v>384</v>
      </c>
      <c r="I366" s="2" t="s">
        <v>73</v>
      </c>
      <c r="J366" s="2" t="s">
        <v>15739</v>
      </c>
      <c r="K366" s="2" t="s">
        <v>16776</v>
      </c>
      <c r="L366" s="2"/>
      <c r="M366" s="2"/>
      <c r="N366" s="2"/>
      <c r="O366" s="2" t="s">
        <v>384</v>
      </c>
      <c r="P366" s="2" t="s">
        <v>73</v>
      </c>
      <c r="Q366" s="2" t="s">
        <v>15739</v>
      </c>
      <c r="R366" s="2" t="s">
        <v>16778</v>
      </c>
      <c r="S366" s="2" t="s">
        <v>44</v>
      </c>
      <c r="T366" s="2"/>
      <c r="U366" s="2" t="s">
        <v>821</v>
      </c>
      <c r="V366" s="2" t="s">
        <v>46</v>
      </c>
      <c r="W366" s="2" t="s">
        <v>821</v>
      </c>
      <c r="X366" s="2" t="s">
        <v>10787</v>
      </c>
      <c r="Y366" s="2" t="s">
        <v>10801</v>
      </c>
      <c r="Z366" s="2" t="s">
        <v>49</v>
      </c>
      <c r="AA366" s="2">
        <v>90</v>
      </c>
      <c r="AB366" s="2">
        <v>57</v>
      </c>
      <c r="AC366" s="2" t="s">
        <v>9685</v>
      </c>
      <c r="AD366" s="2" t="s">
        <v>16779</v>
      </c>
      <c r="AE366" s="2"/>
      <c r="AF366" s="2" t="s">
        <v>15038</v>
      </c>
      <c r="AG366" s="2" t="s">
        <v>14290</v>
      </c>
    </row>
    <row r="367" spans="1:33" x14ac:dyDescent="0.45">
      <c r="A367" s="2" t="s">
        <v>16780</v>
      </c>
      <c r="B367" s="2" t="s">
        <v>16781</v>
      </c>
      <c r="C367" s="2" t="s">
        <v>16782</v>
      </c>
      <c r="D367" s="2" t="s">
        <v>16783</v>
      </c>
      <c r="E367" s="2" t="s">
        <v>16784</v>
      </c>
      <c r="F367" s="2"/>
      <c r="G367" s="2"/>
      <c r="H367" s="2" t="s">
        <v>651</v>
      </c>
      <c r="I367" s="2" t="s">
        <v>86</v>
      </c>
      <c r="J367" s="2" t="s">
        <v>3948</v>
      </c>
      <c r="K367" s="2" t="s">
        <v>16785</v>
      </c>
      <c r="L367" s="2"/>
      <c r="M367" s="2"/>
      <c r="N367" s="2"/>
      <c r="O367" s="2" t="s">
        <v>1188</v>
      </c>
      <c r="P367" s="2" t="s">
        <v>221</v>
      </c>
      <c r="Q367" s="2" t="s">
        <v>10349</v>
      </c>
      <c r="R367" s="2" t="s">
        <v>16786</v>
      </c>
      <c r="S367" s="2" t="s">
        <v>44</v>
      </c>
      <c r="T367" s="2"/>
      <c r="U367" s="2" t="s">
        <v>821</v>
      </c>
      <c r="V367" s="2" t="s">
        <v>46</v>
      </c>
      <c r="W367" s="2" t="s">
        <v>821</v>
      </c>
      <c r="X367" s="2" t="s">
        <v>10787</v>
      </c>
      <c r="Y367" s="2" t="s">
        <v>10801</v>
      </c>
      <c r="Z367" s="2" t="s">
        <v>49</v>
      </c>
      <c r="AA367" s="2">
        <v>90</v>
      </c>
      <c r="AB367" s="2">
        <v>57</v>
      </c>
      <c r="AC367" s="2" t="s">
        <v>9685</v>
      </c>
      <c r="AD367" s="2" t="s">
        <v>16787</v>
      </c>
      <c r="AE367" s="2"/>
      <c r="AF367" s="2" t="s">
        <v>15038</v>
      </c>
      <c r="AG367" s="2" t="s">
        <v>14290</v>
      </c>
    </row>
    <row r="368" spans="1:33" x14ac:dyDescent="0.45">
      <c r="A368" s="2" t="s">
        <v>16788</v>
      </c>
      <c r="B368" s="2" t="s">
        <v>16789</v>
      </c>
      <c r="C368" s="2" t="s">
        <v>16790</v>
      </c>
      <c r="D368" s="2" t="s">
        <v>16791</v>
      </c>
      <c r="E368" s="2" t="s">
        <v>16792</v>
      </c>
      <c r="F368" s="2"/>
      <c r="G368" s="2"/>
      <c r="H368" s="2" t="s">
        <v>290</v>
      </c>
      <c r="I368" s="2" t="s">
        <v>278</v>
      </c>
      <c r="J368" s="2" t="s">
        <v>291</v>
      </c>
      <c r="K368" s="2" t="s">
        <v>16791</v>
      </c>
      <c r="L368" s="2"/>
      <c r="M368" s="2"/>
      <c r="N368" s="2"/>
      <c r="O368" s="2" t="s">
        <v>290</v>
      </c>
      <c r="P368" s="2" t="s">
        <v>278</v>
      </c>
      <c r="Q368" s="2" t="s">
        <v>291</v>
      </c>
      <c r="R368" s="2" t="s">
        <v>16793</v>
      </c>
      <c r="S368" s="2" t="s">
        <v>44</v>
      </c>
      <c r="T368" s="2"/>
      <c r="U368" s="2" t="s">
        <v>821</v>
      </c>
      <c r="V368" s="2" t="s">
        <v>46</v>
      </c>
      <c r="W368" s="2" t="s">
        <v>821</v>
      </c>
      <c r="X368" s="2" t="s">
        <v>10787</v>
      </c>
      <c r="Y368" s="2" t="s">
        <v>10801</v>
      </c>
      <c r="Z368" s="2" t="s">
        <v>49</v>
      </c>
      <c r="AA368" s="2">
        <v>90</v>
      </c>
      <c r="AB368" s="2">
        <v>57</v>
      </c>
      <c r="AC368" s="2" t="s">
        <v>9685</v>
      </c>
      <c r="AD368" s="2" t="s">
        <v>16794</v>
      </c>
      <c r="AE368" s="2"/>
      <c r="AF368" s="2" t="s">
        <v>15038</v>
      </c>
      <c r="AG368" s="2" t="s">
        <v>14290</v>
      </c>
    </row>
    <row r="369" spans="1:33" x14ac:dyDescent="0.45">
      <c r="A369" s="2" t="s">
        <v>16795</v>
      </c>
      <c r="B369" s="2" t="s">
        <v>16796</v>
      </c>
      <c r="C369" s="2" t="s">
        <v>16797</v>
      </c>
      <c r="D369" s="2" t="s">
        <v>16798</v>
      </c>
      <c r="E369" s="2" t="s">
        <v>16799</v>
      </c>
      <c r="F369" s="2"/>
      <c r="G369" s="2"/>
      <c r="H369" s="2" t="s">
        <v>324</v>
      </c>
      <c r="I369" s="2" t="s">
        <v>73</v>
      </c>
      <c r="J369" s="2" t="s">
        <v>4463</v>
      </c>
      <c r="K369" s="2" t="s">
        <v>16800</v>
      </c>
      <c r="L369" s="2"/>
      <c r="M369" s="2"/>
      <c r="N369" s="2"/>
      <c r="O369" s="2" t="s">
        <v>72</v>
      </c>
      <c r="P369" s="2" t="s">
        <v>73</v>
      </c>
      <c r="Q369" s="2" t="s">
        <v>326</v>
      </c>
      <c r="R369" s="2" t="s">
        <v>4454</v>
      </c>
      <c r="S369" s="2" t="s">
        <v>44</v>
      </c>
      <c r="T369" s="2"/>
      <c r="U369" s="2" t="s">
        <v>821</v>
      </c>
      <c r="V369" s="2" t="s">
        <v>46</v>
      </c>
      <c r="W369" s="2" t="s">
        <v>821</v>
      </c>
      <c r="X369" s="2" t="s">
        <v>10787</v>
      </c>
      <c r="Y369" s="2" t="s">
        <v>10801</v>
      </c>
      <c r="Z369" s="2" t="s">
        <v>49</v>
      </c>
      <c r="AA369" s="2">
        <v>90</v>
      </c>
      <c r="AB369" s="2">
        <v>57</v>
      </c>
      <c r="AC369" s="2" t="s">
        <v>9685</v>
      </c>
      <c r="AD369" s="2" t="s">
        <v>16801</v>
      </c>
      <c r="AE369" s="2"/>
      <c r="AF369" s="2" t="s">
        <v>15038</v>
      </c>
      <c r="AG369" s="2" t="s">
        <v>14290</v>
      </c>
    </row>
    <row r="370" spans="1:33" x14ac:dyDescent="0.45">
      <c r="A370" s="2" t="s">
        <v>16802</v>
      </c>
      <c r="B370" s="2" t="s">
        <v>16803</v>
      </c>
      <c r="C370" s="2" t="s">
        <v>16804</v>
      </c>
      <c r="D370" s="2" t="s">
        <v>16805</v>
      </c>
      <c r="E370" s="2" t="s">
        <v>16806</v>
      </c>
      <c r="F370" s="2"/>
      <c r="G370" s="2"/>
      <c r="H370" s="2" t="s">
        <v>39</v>
      </c>
      <c r="I370" s="2" t="s">
        <v>40</v>
      </c>
      <c r="J370" s="2" t="s">
        <v>15556</v>
      </c>
      <c r="K370" s="2" t="s">
        <v>16805</v>
      </c>
      <c r="L370" s="2"/>
      <c r="M370" s="2"/>
      <c r="N370" s="2"/>
      <c r="O370" s="2" t="s">
        <v>39</v>
      </c>
      <c r="P370" s="2" t="s">
        <v>40</v>
      </c>
      <c r="Q370" s="2" t="s">
        <v>15556</v>
      </c>
      <c r="R370" s="2" t="s">
        <v>16807</v>
      </c>
      <c r="S370" s="2" t="s">
        <v>44</v>
      </c>
      <c r="T370" s="2"/>
      <c r="U370" s="2" t="s">
        <v>821</v>
      </c>
      <c r="V370" s="2" t="s">
        <v>46</v>
      </c>
      <c r="W370" s="2" t="s">
        <v>821</v>
      </c>
      <c r="X370" s="2" t="s">
        <v>10787</v>
      </c>
      <c r="Y370" s="2" t="s">
        <v>10801</v>
      </c>
      <c r="Z370" s="2" t="s">
        <v>49</v>
      </c>
      <c r="AA370" s="2">
        <v>90</v>
      </c>
      <c r="AB370" s="2">
        <v>57</v>
      </c>
      <c r="AC370" s="2" t="s">
        <v>9685</v>
      </c>
      <c r="AD370" s="2" t="s">
        <v>16808</v>
      </c>
      <c r="AE370" s="2"/>
      <c r="AF370" s="2" t="s">
        <v>15038</v>
      </c>
      <c r="AG370" s="2" t="s">
        <v>14290</v>
      </c>
    </row>
    <row r="371" spans="1:33" x14ac:dyDescent="0.45">
      <c r="A371" s="2" t="s">
        <v>16809</v>
      </c>
      <c r="B371" s="2" t="s">
        <v>16810</v>
      </c>
      <c r="C371" s="2" t="s">
        <v>11953</v>
      </c>
      <c r="D371" s="2" t="s">
        <v>16811</v>
      </c>
      <c r="E371" s="2" t="s">
        <v>16812</v>
      </c>
      <c r="F371" s="2"/>
      <c r="G371" s="2"/>
      <c r="H371" s="2" t="s">
        <v>72</v>
      </c>
      <c r="I371" s="2" t="s">
        <v>73</v>
      </c>
      <c r="J371" s="2" t="s">
        <v>722</v>
      </c>
      <c r="K371" s="2" t="s">
        <v>16811</v>
      </c>
      <c r="L371" s="2"/>
      <c r="M371" s="2"/>
      <c r="N371" s="2"/>
      <c r="O371" s="2" t="s">
        <v>72</v>
      </c>
      <c r="P371" s="2" t="s">
        <v>73</v>
      </c>
      <c r="Q371" s="2" t="s">
        <v>722</v>
      </c>
      <c r="R371" s="2" t="s">
        <v>6902</v>
      </c>
      <c r="S371" s="2" t="s">
        <v>44</v>
      </c>
      <c r="T371" s="2"/>
      <c r="U371" s="2" t="s">
        <v>821</v>
      </c>
      <c r="V371" s="2" t="s">
        <v>46</v>
      </c>
      <c r="W371" s="2" t="s">
        <v>821</v>
      </c>
      <c r="X371" s="2" t="s">
        <v>10787</v>
      </c>
      <c r="Y371" s="2" t="s">
        <v>10801</v>
      </c>
      <c r="Z371" s="2" t="s">
        <v>49</v>
      </c>
      <c r="AA371" s="2">
        <v>90</v>
      </c>
      <c r="AB371" s="2">
        <v>57</v>
      </c>
      <c r="AC371" s="2" t="s">
        <v>9685</v>
      </c>
      <c r="AD371" s="2" t="s">
        <v>16813</v>
      </c>
      <c r="AE371" s="2"/>
      <c r="AF371" s="2" t="s">
        <v>15038</v>
      </c>
      <c r="AG371" s="2" t="s">
        <v>14290</v>
      </c>
    </row>
    <row r="372" spans="1:33" x14ac:dyDescent="0.45">
      <c r="A372" s="2" t="s">
        <v>16814</v>
      </c>
      <c r="B372" s="2" t="s">
        <v>16815</v>
      </c>
      <c r="C372" s="2" t="s">
        <v>16816</v>
      </c>
      <c r="D372" s="2" t="s">
        <v>16817</v>
      </c>
      <c r="E372" s="2" t="s">
        <v>16818</v>
      </c>
      <c r="F372" s="2"/>
      <c r="G372" s="2"/>
      <c r="H372" s="2" t="s">
        <v>536</v>
      </c>
      <c r="I372" s="2" t="s">
        <v>537</v>
      </c>
      <c r="J372" s="2" t="s">
        <v>16819</v>
      </c>
      <c r="K372" s="2" t="s">
        <v>16817</v>
      </c>
      <c r="L372" s="2"/>
      <c r="M372" s="2"/>
      <c r="N372" s="2"/>
      <c r="O372" s="2" t="s">
        <v>536</v>
      </c>
      <c r="P372" s="2" t="s">
        <v>537</v>
      </c>
      <c r="Q372" s="2" t="s">
        <v>16819</v>
      </c>
      <c r="R372" s="2" t="s">
        <v>2316</v>
      </c>
      <c r="S372" s="2" t="s">
        <v>44</v>
      </c>
      <c r="T372" s="2"/>
      <c r="U372" s="2" t="s">
        <v>821</v>
      </c>
      <c r="V372" s="2" t="s">
        <v>46</v>
      </c>
      <c r="W372" s="2" t="s">
        <v>821</v>
      </c>
      <c r="X372" s="2" t="s">
        <v>10787</v>
      </c>
      <c r="Y372" s="2" t="s">
        <v>10801</v>
      </c>
      <c r="Z372" s="2" t="s">
        <v>49</v>
      </c>
      <c r="AA372" s="2">
        <v>90</v>
      </c>
      <c r="AB372" s="2">
        <v>57</v>
      </c>
      <c r="AC372" s="2" t="s">
        <v>9685</v>
      </c>
      <c r="AD372" s="2" t="s">
        <v>16820</v>
      </c>
      <c r="AE372" s="2"/>
      <c r="AF372" s="2" t="s">
        <v>15038</v>
      </c>
      <c r="AG372" s="2" t="s">
        <v>14290</v>
      </c>
    </row>
    <row r="373" spans="1:33" x14ac:dyDescent="0.45">
      <c r="A373" s="2" t="s">
        <v>16821</v>
      </c>
      <c r="B373" s="2" t="s">
        <v>16822</v>
      </c>
      <c r="C373" s="2" t="s">
        <v>16823</v>
      </c>
      <c r="D373" s="2" t="s">
        <v>16824</v>
      </c>
      <c r="E373" s="2" t="s">
        <v>16825</v>
      </c>
      <c r="F373" s="2"/>
      <c r="G373" s="2"/>
      <c r="H373" s="2" t="s">
        <v>59</v>
      </c>
      <c r="I373" s="2" t="s">
        <v>60</v>
      </c>
      <c r="J373" s="2" t="s">
        <v>4608</v>
      </c>
      <c r="K373" s="2" t="s">
        <v>16824</v>
      </c>
      <c r="L373" s="2"/>
      <c r="M373" s="2"/>
      <c r="N373" s="2"/>
      <c r="O373" s="2" t="s">
        <v>59</v>
      </c>
      <c r="P373" s="2" t="s">
        <v>60</v>
      </c>
      <c r="Q373" s="2" t="s">
        <v>4608</v>
      </c>
      <c r="R373" s="2" t="s">
        <v>6912</v>
      </c>
      <c r="S373" s="2" t="s">
        <v>44</v>
      </c>
      <c r="T373" s="2"/>
      <c r="U373" s="2" t="s">
        <v>821</v>
      </c>
      <c r="V373" s="2" t="s">
        <v>46</v>
      </c>
      <c r="W373" s="2" t="s">
        <v>821</v>
      </c>
      <c r="X373" s="2" t="s">
        <v>10787</v>
      </c>
      <c r="Y373" s="2" t="s">
        <v>10801</v>
      </c>
      <c r="Z373" s="2" t="s">
        <v>49</v>
      </c>
      <c r="AA373" s="2">
        <v>90</v>
      </c>
      <c r="AB373" s="2">
        <v>57</v>
      </c>
      <c r="AC373" s="2" t="s">
        <v>9685</v>
      </c>
      <c r="AD373" s="2" t="s">
        <v>16826</v>
      </c>
      <c r="AE373" s="2"/>
      <c r="AF373" s="2" t="s">
        <v>15038</v>
      </c>
      <c r="AG373" s="2" t="s">
        <v>14290</v>
      </c>
    </row>
    <row r="374" spans="1:33" x14ac:dyDescent="0.45">
      <c r="A374" s="2" t="s">
        <v>16827</v>
      </c>
      <c r="B374" s="2" t="s">
        <v>16828</v>
      </c>
      <c r="C374" s="2" t="s">
        <v>16829</v>
      </c>
      <c r="D374" s="2" t="s">
        <v>16830</v>
      </c>
      <c r="E374" s="2" t="s">
        <v>16831</v>
      </c>
      <c r="F374" s="2"/>
      <c r="G374" s="2"/>
      <c r="H374" s="2" t="s">
        <v>277</v>
      </c>
      <c r="I374" s="2" t="s">
        <v>278</v>
      </c>
      <c r="J374" s="2" t="s">
        <v>279</v>
      </c>
      <c r="K374" s="2" t="s">
        <v>16832</v>
      </c>
      <c r="L374" s="2"/>
      <c r="M374" s="2"/>
      <c r="N374" s="2"/>
      <c r="O374" s="2" t="s">
        <v>277</v>
      </c>
      <c r="P374" s="2" t="s">
        <v>278</v>
      </c>
      <c r="Q374" s="2" t="s">
        <v>279</v>
      </c>
      <c r="R374" s="2" t="s">
        <v>16833</v>
      </c>
      <c r="S374" s="2" t="s">
        <v>44</v>
      </c>
      <c r="T374" s="2"/>
      <c r="U374" s="2" t="s">
        <v>821</v>
      </c>
      <c r="V374" s="2" t="s">
        <v>46</v>
      </c>
      <c r="W374" s="2" t="s">
        <v>821</v>
      </c>
      <c r="X374" s="2" t="s">
        <v>10787</v>
      </c>
      <c r="Y374" s="2" t="s">
        <v>10801</v>
      </c>
      <c r="Z374" s="2" t="s">
        <v>49</v>
      </c>
      <c r="AA374" s="2">
        <v>90</v>
      </c>
      <c r="AB374" s="2">
        <v>57</v>
      </c>
      <c r="AC374" s="2" t="s">
        <v>9685</v>
      </c>
      <c r="AD374" s="2" t="s">
        <v>16834</v>
      </c>
      <c r="AE374" s="2"/>
      <c r="AF374" s="2" t="s">
        <v>15038</v>
      </c>
      <c r="AG374" s="2" t="s">
        <v>14290</v>
      </c>
    </row>
    <row r="375" spans="1:33" x14ac:dyDescent="0.45">
      <c r="A375" s="2" t="s">
        <v>16835</v>
      </c>
      <c r="B375" s="2" t="s">
        <v>16836</v>
      </c>
      <c r="C375" s="2" t="s">
        <v>16837</v>
      </c>
      <c r="D375" s="2" t="s">
        <v>16838</v>
      </c>
      <c r="E375" s="2" t="s">
        <v>16839</v>
      </c>
      <c r="F375" s="2"/>
      <c r="G375" s="2"/>
      <c r="H375" s="2" t="s">
        <v>384</v>
      </c>
      <c r="I375" s="2" t="s">
        <v>73</v>
      </c>
      <c r="J375" s="2" t="s">
        <v>14742</v>
      </c>
      <c r="K375" s="2" t="s">
        <v>16840</v>
      </c>
      <c r="L375" s="2"/>
      <c r="M375" s="2"/>
      <c r="N375" s="2"/>
      <c r="O375" s="2" t="s">
        <v>384</v>
      </c>
      <c r="P375" s="2" t="s">
        <v>73</v>
      </c>
      <c r="Q375" s="2" t="s">
        <v>2129</v>
      </c>
      <c r="R375" s="2" t="s">
        <v>1239</v>
      </c>
      <c r="S375" s="2" t="s">
        <v>44</v>
      </c>
      <c r="T375" s="2"/>
      <c r="U375" s="2" t="s">
        <v>821</v>
      </c>
      <c r="V375" s="2" t="s">
        <v>46</v>
      </c>
      <c r="W375" s="2" t="s">
        <v>821</v>
      </c>
      <c r="X375" s="2" t="s">
        <v>10787</v>
      </c>
      <c r="Y375" s="2" t="s">
        <v>10801</v>
      </c>
      <c r="Z375" s="2" t="s">
        <v>49</v>
      </c>
      <c r="AA375" s="2">
        <v>90</v>
      </c>
      <c r="AB375" s="2">
        <v>57</v>
      </c>
      <c r="AC375" s="2" t="s">
        <v>9685</v>
      </c>
      <c r="AD375" s="2" t="s">
        <v>16841</v>
      </c>
      <c r="AE375" s="2"/>
      <c r="AF375" s="2" t="s">
        <v>15038</v>
      </c>
      <c r="AG375" s="2" t="s">
        <v>14290</v>
      </c>
    </row>
    <row r="376" spans="1:33" x14ac:dyDescent="0.45">
      <c r="A376" s="2" t="s">
        <v>16842</v>
      </c>
      <c r="B376" s="2" t="s">
        <v>16843</v>
      </c>
      <c r="C376" s="2" t="s">
        <v>16844</v>
      </c>
      <c r="D376" s="2"/>
      <c r="E376" s="2" t="s">
        <v>16845</v>
      </c>
      <c r="F376" s="2" t="s">
        <v>16846</v>
      </c>
      <c r="G376" s="2" t="s">
        <v>16846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 t="s">
        <v>548</v>
      </c>
      <c r="S376" s="2" t="s">
        <v>44</v>
      </c>
      <c r="T376" s="2"/>
      <c r="U376" s="2" t="s">
        <v>821</v>
      </c>
      <c r="V376" s="2" t="s">
        <v>46</v>
      </c>
      <c r="W376" s="2" t="s">
        <v>821</v>
      </c>
      <c r="X376" s="2" t="s">
        <v>10787</v>
      </c>
      <c r="Y376" s="2" t="s">
        <v>10801</v>
      </c>
      <c r="Z376" s="2" t="s">
        <v>49</v>
      </c>
      <c r="AA376" s="2">
        <v>70</v>
      </c>
      <c r="AB376" s="2">
        <v>57</v>
      </c>
      <c r="AC376" s="2" t="s">
        <v>9685</v>
      </c>
      <c r="AD376" s="2" t="s">
        <v>16847</v>
      </c>
      <c r="AE376" s="2"/>
      <c r="AF376" s="2" t="s">
        <v>15038</v>
      </c>
      <c r="AG376" s="2" t="s">
        <v>14290</v>
      </c>
    </row>
    <row r="377" spans="1:33" x14ac:dyDescent="0.45">
      <c r="A377" s="2" t="s">
        <v>16848</v>
      </c>
      <c r="B377" s="2" t="s">
        <v>16849</v>
      </c>
      <c r="C377" s="2" t="s">
        <v>16850</v>
      </c>
      <c r="D377" s="2" t="s">
        <v>16851</v>
      </c>
      <c r="E377" s="2" t="s">
        <v>16852</v>
      </c>
      <c r="F377" s="2" t="s">
        <v>16853</v>
      </c>
      <c r="G377" s="2" t="s">
        <v>16853</v>
      </c>
      <c r="H377" s="2" t="s">
        <v>16854</v>
      </c>
      <c r="I377" s="2" t="s">
        <v>1112</v>
      </c>
      <c r="J377" s="2" t="s">
        <v>16855</v>
      </c>
      <c r="K377" s="2" t="s">
        <v>16856</v>
      </c>
      <c r="L377" s="2"/>
      <c r="M377" s="2"/>
      <c r="N377" s="2"/>
      <c r="O377" s="2" t="s">
        <v>16854</v>
      </c>
      <c r="P377" s="2" t="s">
        <v>1112</v>
      </c>
      <c r="Q377" s="2" t="s">
        <v>16855</v>
      </c>
      <c r="R377" s="2" t="s">
        <v>16857</v>
      </c>
      <c r="S377" s="2" t="s">
        <v>44</v>
      </c>
      <c r="T377" s="2"/>
      <c r="U377" s="2" t="s">
        <v>3527</v>
      </c>
      <c r="V377" s="2" t="s">
        <v>46</v>
      </c>
      <c r="W377" s="2" t="s">
        <v>3527</v>
      </c>
      <c r="X377" s="2" t="s">
        <v>10787</v>
      </c>
      <c r="Y377" s="2" t="s">
        <v>10801</v>
      </c>
      <c r="Z377" s="2" t="s">
        <v>49</v>
      </c>
      <c r="AA377" s="2">
        <v>100</v>
      </c>
      <c r="AB377" s="2">
        <v>55</v>
      </c>
      <c r="AC377" s="2" t="s">
        <v>9685</v>
      </c>
      <c r="AD377" s="2" t="s">
        <v>16858</v>
      </c>
      <c r="AE377" s="2"/>
      <c r="AF377" s="2" t="s">
        <v>15038</v>
      </c>
      <c r="AG377" s="2" t="s">
        <v>14290</v>
      </c>
    </row>
    <row r="378" spans="1:33" x14ac:dyDescent="0.45">
      <c r="A378" s="2" t="s">
        <v>16859</v>
      </c>
      <c r="B378" s="2" t="s">
        <v>16860</v>
      </c>
      <c r="C378" s="2" t="s">
        <v>16861</v>
      </c>
      <c r="D378" s="2" t="s">
        <v>16862</v>
      </c>
      <c r="E378" s="2" t="s">
        <v>16863</v>
      </c>
      <c r="F378" s="2" t="s">
        <v>16864</v>
      </c>
      <c r="G378" s="2" t="s">
        <v>16864</v>
      </c>
      <c r="H378" s="2" t="s">
        <v>2962</v>
      </c>
      <c r="I378" s="2" t="s">
        <v>73</v>
      </c>
      <c r="J378" s="2" t="s">
        <v>16865</v>
      </c>
      <c r="K378" s="2" t="s">
        <v>16862</v>
      </c>
      <c r="L378" s="2"/>
      <c r="M378" s="2"/>
      <c r="N378" s="2"/>
      <c r="O378" s="2" t="s">
        <v>2962</v>
      </c>
      <c r="P378" s="2" t="s">
        <v>73</v>
      </c>
      <c r="Q378" s="2" t="s">
        <v>16865</v>
      </c>
      <c r="R378" s="2" t="s">
        <v>4491</v>
      </c>
      <c r="S378" s="2" t="s">
        <v>44</v>
      </c>
      <c r="T378" s="2"/>
      <c r="U378" s="2" t="s">
        <v>3527</v>
      </c>
      <c r="V378" s="2" t="s">
        <v>46</v>
      </c>
      <c r="W378" s="2" t="s">
        <v>3527</v>
      </c>
      <c r="X378" s="2" t="s">
        <v>10787</v>
      </c>
      <c r="Y378" s="2" t="s">
        <v>10801</v>
      </c>
      <c r="Z378" s="2" t="s">
        <v>49</v>
      </c>
      <c r="AA378" s="2">
        <v>100</v>
      </c>
      <c r="AB378" s="2">
        <v>55</v>
      </c>
      <c r="AC378" s="2" t="s">
        <v>9685</v>
      </c>
      <c r="AD378" s="2" t="s">
        <v>16866</v>
      </c>
      <c r="AE378" s="2"/>
      <c r="AF378" s="2" t="s">
        <v>15038</v>
      </c>
      <c r="AG378" s="2" t="s">
        <v>14290</v>
      </c>
    </row>
    <row r="379" spans="1:33" x14ac:dyDescent="0.45">
      <c r="A379" s="2" t="s">
        <v>16867</v>
      </c>
      <c r="B379" s="2" t="s">
        <v>16868</v>
      </c>
      <c r="C379" s="2" t="s">
        <v>16869</v>
      </c>
      <c r="D379" s="2" t="s">
        <v>16870</v>
      </c>
      <c r="E379" s="2" t="s">
        <v>16871</v>
      </c>
      <c r="F379" s="2" t="s">
        <v>16872</v>
      </c>
      <c r="G379" s="2" t="s">
        <v>16872</v>
      </c>
      <c r="H379" s="2" t="s">
        <v>2962</v>
      </c>
      <c r="I379" s="2" t="s">
        <v>73</v>
      </c>
      <c r="J379" s="2" t="s">
        <v>2963</v>
      </c>
      <c r="K379" s="2" t="s">
        <v>16873</v>
      </c>
      <c r="L379" s="2"/>
      <c r="M379" s="2"/>
      <c r="N379" s="2"/>
      <c r="O379" s="2" t="s">
        <v>312</v>
      </c>
      <c r="P379" s="2" t="s">
        <v>313</v>
      </c>
      <c r="Q379" s="2" t="s">
        <v>314</v>
      </c>
      <c r="R379" s="2" t="s">
        <v>13448</v>
      </c>
      <c r="S379" s="2" t="s">
        <v>44</v>
      </c>
      <c r="T379" s="2"/>
      <c r="U379" s="2" t="s">
        <v>3527</v>
      </c>
      <c r="V379" s="2" t="s">
        <v>46</v>
      </c>
      <c r="W379" s="2" t="s">
        <v>3527</v>
      </c>
      <c r="X379" s="2" t="s">
        <v>10787</v>
      </c>
      <c r="Y379" s="2" t="s">
        <v>10801</v>
      </c>
      <c r="Z379" s="2" t="s">
        <v>49</v>
      </c>
      <c r="AA379" s="2">
        <v>100</v>
      </c>
      <c r="AB379" s="2">
        <v>55</v>
      </c>
      <c r="AC379" s="2" t="s">
        <v>9685</v>
      </c>
      <c r="AD379" s="2" t="s">
        <v>16874</v>
      </c>
      <c r="AE379" s="2"/>
      <c r="AF379" s="2" t="s">
        <v>15038</v>
      </c>
      <c r="AG379" s="2" t="s">
        <v>14290</v>
      </c>
    </row>
    <row r="380" spans="1:33" x14ac:dyDescent="0.45">
      <c r="A380" s="2" t="s">
        <v>16875</v>
      </c>
      <c r="B380" s="2" t="s">
        <v>16876</v>
      </c>
      <c r="C380" s="2" t="s">
        <v>11923</v>
      </c>
      <c r="D380" s="2" t="s">
        <v>16877</v>
      </c>
      <c r="E380" s="2" t="s">
        <v>16878</v>
      </c>
      <c r="F380" s="2" t="s">
        <v>16879</v>
      </c>
      <c r="G380" s="2"/>
      <c r="H380" s="2" t="s">
        <v>12898</v>
      </c>
      <c r="I380" s="2" t="s">
        <v>73</v>
      </c>
      <c r="J380" s="2" t="s">
        <v>12899</v>
      </c>
      <c r="K380" s="2" t="s">
        <v>16877</v>
      </c>
      <c r="L380" s="2"/>
      <c r="M380" s="2"/>
      <c r="N380" s="2"/>
      <c r="O380" s="2" t="s">
        <v>12898</v>
      </c>
      <c r="P380" s="2" t="s">
        <v>73</v>
      </c>
      <c r="Q380" s="2" t="s">
        <v>12899</v>
      </c>
      <c r="R380" s="2" t="s">
        <v>924</v>
      </c>
      <c r="S380" s="2" t="s">
        <v>44</v>
      </c>
      <c r="T380" s="2"/>
      <c r="U380" s="2" t="s">
        <v>3527</v>
      </c>
      <c r="V380" s="2" t="s">
        <v>46</v>
      </c>
      <c r="W380" s="2" t="s">
        <v>3527</v>
      </c>
      <c r="X380" s="2" t="s">
        <v>10787</v>
      </c>
      <c r="Y380" s="2" t="s">
        <v>10801</v>
      </c>
      <c r="Z380" s="2" t="s">
        <v>49</v>
      </c>
      <c r="AA380" s="2">
        <v>100</v>
      </c>
      <c r="AB380" s="2">
        <v>55</v>
      </c>
      <c r="AC380" s="2" t="s">
        <v>9685</v>
      </c>
      <c r="AD380" s="2" t="s">
        <v>16880</v>
      </c>
      <c r="AE380" s="2"/>
      <c r="AF380" s="2" t="s">
        <v>15038</v>
      </c>
      <c r="AG380" s="2" t="s">
        <v>14290</v>
      </c>
    </row>
    <row r="381" spans="1:33" x14ac:dyDescent="0.45">
      <c r="A381" s="2" t="s">
        <v>16881</v>
      </c>
      <c r="B381" s="2" t="s">
        <v>16882</v>
      </c>
      <c r="C381" s="2" t="s">
        <v>16883</v>
      </c>
      <c r="D381" s="2" t="s">
        <v>16884</v>
      </c>
      <c r="E381" s="2" t="s">
        <v>16885</v>
      </c>
      <c r="F381" s="2" t="s">
        <v>16886</v>
      </c>
      <c r="G381" s="2" t="s">
        <v>16886</v>
      </c>
      <c r="H381" s="2" t="s">
        <v>10376</v>
      </c>
      <c r="I381" s="2" t="s">
        <v>1137</v>
      </c>
      <c r="J381" s="2" t="s">
        <v>16887</v>
      </c>
      <c r="K381" s="2" t="s">
        <v>16884</v>
      </c>
      <c r="L381" s="2"/>
      <c r="M381" s="2"/>
      <c r="N381" s="2"/>
      <c r="O381" s="2" t="s">
        <v>10376</v>
      </c>
      <c r="P381" s="2" t="s">
        <v>1137</v>
      </c>
      <c r="Q381" s="2" t="s">
        <v>16887</v>
      </c>
      <c r="R381" s="2" t="s">
        <v>16888</v>
      </c>
      <c r="S381" s="2" t="s">
        <v>44</v>
      </c>
      <c r="T381" s="2"/>
      <c r="U381" s="2" t="s">
        <v>3527</v>
      </c>
      <c r="V381" s="2" t="s">
        <v>46</v>
      </c>
      <c r="W381" s="2" t="s">
        <v>3527</v>
      </c>
      <c r="X381" s="2" t="s">
        <v>10787</v>
      </c>
      <c r="Y381" s="2" t="s">
        <v>10801</v>
      </c>
      <c r="Z381" s="2" t="s">
        <v>49</v>
      </c>
      <c r="AA381" s="2">
        <v>100</v>
      </c>
      <c r="AB381" s="2">
        <v>55</v>
      </c>
      <c r="AC381" s="2" t="s">
        <v>9685</v>
      </c>
      <c r="AD381" s="2" t="s">
        <v>16889</v>
      </c>
      <c r="AE381" s="2"/>
      <c r="AF381" s="2" t="s">
        <v>15038</v>
      </c>
      <c r="AG381" s="2" t="s">
        <v>14290</v>
      </c>
    </row>
    <row r="382" spans="1:33" x14ac:dyDescent="0.45">
      <c r="A382" s="2" t="s">
        <v>16890</v>
      </c>
      <c r="B382" s="2" t="s">
        <v>16891</v>
      </c>
      <c r="C382" s="2" t="s">
        <v>16892</v>
      </c>
      <c r="D382" s="2" t="s">
        <v>16893</v>
      </c>
      <c r="E382" s="2" t="s">
        <v>16894</v>
      </c>
      <c r="F382" s="2" t="s">
        <v>16895</v>
      </c>
      <c r="G382" s="2"/>
      <c r="H382" s="2" t="s">
        <v>9679</v>
      </c>
      <c r="I382" s="2" t="s">
        <v>9680</v>
      </c>
      <c r="J382" s="2" t="s">
        <v>16896</v>
      </c>
      <c r="K382" s="2" t="s">
        <v>16893</v>
      </c>
      <c r="L382" s="2"/>
      <c r="M382" s="2"/>
      <c r="N382" s="2"/>
      <c r="O382" s="2" t="s">
        <v>9679</v>
      </c>
      <c r="P382" s="2" t="s">
        <v>9680</v>
      </c>
      <c r="Q382" s="2" t="s">
        <v>16896</v>
      </c>
      <c r="R382" s="2" t="s">
        <v>14765</v>
      </c>
      <c r="S382" s="2" t="s">
        <v>44</v>
      </c>
      <c r="T382" s="2"/>
      <c r="U382" s="2" t="s">
        <v>3527</v>
      </c>
      <c r="V382" s="2" t="s">
        <v>46</v>
      </c>
      <c r="W382" s="2" t="s">
        <v>3527</v>
      </c>
      <c r="X382" s="2" t="s">
        <v>10787</v>
      </c>
      <c r="Y382" s="2" t="s">
        <v>10801</v>
      </c>
      <c r="Z382" s="2" t="s">
        <v>49</v>
      </c>
      <c r="AA382" s="2">
        <v>100</v>
      </c>
      <c r="AB382" s="2">
        <v>55</v>
      </c>
      <c r="AC382" s="2" t="s">
        <v>9685</v>
      </c>
      <c r="AD382" s="2" t="s">
        <v>16897</v>
      </c>
      <c r="AE382" s="2"/>
      <c r="AF382" s="2" t="s">
        <v>15038</v>
      </c>
      <c r="AG382" s="2" t="s">
        <v>14290</v>
      </c>
    </row>
    <row r="383" spans="1:33" x14ac:dyDescent="0.45">
      <c r="A383" s="2" t="s">
        <v>16898</v>
      </c>
      <c r="B383" s="2" t="s">
        <v>16899</v>
      </c>
      <c r="C383" s="2" t="s">
        <v>16900</v>
      </c>
      <c r="D383" s="2" t="s">
        <v>16901</v>
      </c>
      <c r="E383" s="2" t="s">
        <v>16902</v>
      </c>
      <c r="F383" s="2" t="s">
        <v>16903</v>
      </c>
      <c r="G383" s="2" t="s">
        <v>16903</v>
      </c>
      <c r="H383" s="2" t="s">
        <v>2962</v>
      </c>
      <c r="I383" s="2" t="s">
        <v>73</v>
      </c>
      <c r="J383" s="2" t="s">
        <v>13484</v>
      </c>
      <c r="K383" s="2" t="s">
        <v>16901</v>
      </c>
      <c r="L383" s="2"/>
      <c r="M383" s="2"/>
      <c r="N383" s="2"/>
      <c r="O383" s="2" t="s">
        <v>2962</v>
      </c>
      <c r="P383" s="2" t="s">
        <v>73</v>
      </c>
      <c r="Q383" s="2" t="s">
        <v>13484</v>
      </c>
      <c r="R383" s="2" t="s">
        <v>7062</v>
      </c>
      <c r="S383" s="2" t="s">
        <v>44</v>
      </c>
      <c r="T383" s="2"/>
      <c r="U383" s="2" t="s">
        <v>3527</v>
      </c>
      <c r="V383" s="2" t="s">
        <v>46</v>
      </c>
      <c r="W383" s="2" t="s">
        <v>3527</v>
      </c>
      <c r="X383" s="2" t="s">
        <v>10787</v>
      </c>
      <c r="Y383" s="2" t="s">
        <v>10801</v>
      </c>
      <c r="Z383" s="2" t="s">
        <v>49</v>
      </c>
      <c r="AA383" s="2">
        <v>100</v>
      </c>
      <c r="AB383" s="2">
        <v>55</v>
      </c>
      <c r="AC383" s="2" t="s">
        <v>9685</v>
      </c>
      <c r="AD383" s="2" t="s">
        <v>16904</v>
      </c>
      <c r="AE383" s="2"/>
      <c r="AF383" s="2" t="s">
        <v>15038</v>
      </c>
      <c r="AG383" s="2" t="s">
        <v>14290</v>
      </c>
    </row>
    <row r="384" spans="1:33" x14ac:dyDescent="0.45">
      <c r="A384" s="2" t="s">
        <v>16905</v>
      </c>
      <c r="B384" s="2" t="s">
        <v>16906</v>
      </c>
      <c r="C384" s="2" t="s">
        <v>16907</v>
      </c>
      <c r="D384" s="2" t="s">
        <v>16908</v>
      </c>
      <c r="E384" s="2" t="s">
        <v>16909</v>
      </c>
      <c r="F384" s="2" t="s">
        <v>16910</v>
      </c>
      <c r="G384" s="2" t="s">
        <v>16910</v>
      </c>
      <c r="H384" s="2" t="s">
        <v>1280</v>
      </c>
      <c r="I384" s="2" t="s">
        <v>1281</v>
      </c>
      <c r="J384" s="2" t="s">
        <v>16911</v>
      </c>
      <c r="K384" s="2" t="s">
        <v>16908</v>
      </c>
      <c r="L384" s="2"/>
      <c r="M384" s="2"/>
      <c r="N384" s="2"/>
      <c r="O384" s="2" t="s">
        <v>1280</v>
      </c>
      <c r="P384" s="2" t="s">
        <v>1281</v>
      </c>
      <c r="Q384" s="2" t="s">
        <v>16911</v>
      </c>
      <c r="R384" s="2" t="s">
        <v>153</v>
      </c>
      <c r="S384" s="2" t="s">
        <v>44</v>
      </c>
      <c r="T384" s="2"/>
      <c r="U384" s="2" t="s">
        <v>3527</v>
      </c>
      <c r="V384" s="2" t="s">
        <v>46</v>
      </c>
      <c r="W384" s="2" t="s">
        <v>3527</v>
      </c>
      <c r="X384" s="2" t="s">
        <v>10787</v>
      </c>
      <c r="Y384" s="2" t="s">
        <v>10801</v>
      </c>
      <c r="Z384" s="2" t="s">
        <v>49</v>
      </c>
      <c r="AA384" s="2">
        <v>100</v>
      </c>
      <c r="AB384" s="2">
        <v>55</v>
      </c>
      <c r="AC384" s="2" t="s">
        <v>9685</v>
      </c>
      <c r="AD384" s="2" t="s">
        <v>16912</v>
      </c>
      <c r="AE384" s="2"/>
      <c r="AF384" s="2" t="s">
        <v>15038</v>
      </c>
      <c r="AG384" s="2" t="s">
        <v>14290</v>
      </c>
    </row>
    <row r="385" spans="1:33" x14ac:dyDescent="0.45">
      <c r="A385" s="2" t="s">
        <v>16913</v>
      </c>
      <c r="B385" s="2" t="s">
        <v>16914</v>
      </c>
      <c r="C385" s="2" t="s">
        <v>16915</v>
      </c>
      <c r="D385" s="2" t="s">
        <v>16916</v>
      </c>
      <c r="E385" s="2" t="s">
        <v>16917</v>
      </c>
      <c r="F385" s="2" t="s">
        <v>16918</v>
      </c>
      <c r="G385" s="2" t="s">
        <v>16918</v>
      </c>
      <c r="H385" s="2" t="s">
        <v>1136</v>
      </c>
      <c r="I385" s="2" t="s">
        <v>1137</v>
      </c>
      <c r="J385" s="2" t="s">
        <v>6117</v>
      </c>
      <c r="K385" s="2" t="s">
        <v>16919</v>
      </c>
      <c r="L385" s="2"/>
      <c r="M385" s="2"/>
      <c r="N385" s="2"/>
      <c r="O385" s="2" t="s">
        <v>1136</v>
      </c>
      <c r="P385" s="2" t="s">
        <v>1137</v>
      </c>
      <c r="Q385" s="2" t="s">
        <v>6117</v>
      </c>
      <c r="R385" s="2" t="s">
        <v>2952</v>
      </c>
      <c r="S385" s="2" t="s">
        <v>44</v>
      </c>
      <c r="T385" s="2"/>
      <c r="U385" s="2" t="s">
        <v>3527</v>
      </c>
      <c r="V385" s="2" t="s">
        <v>46</v>
      </c>
      <c r="W385" s="2" t="s">
        <v>3527</v>
      </c>
      <c r="X385" s="2" t="s">
        <v>10787</v>
      </c>
      <c r="Y385" s="2" t="s">
        <v>10801</v>
      </c>
      <c r="Z385" s="2" t="s">
        <v>49</v>
      </c>
      <c r="AA385" s="2">
        <v>100</v>
      </c>
      <c r="AB385" s="2">
        <v>55</v>
      </c>
      <c r="AC385" s="2" t="s">
        <v>9685</v>
      </c>
      <c r="AD385" s="2" t="s">
        <v>16920</v>
      </c>
      <c r="AE385" s="2"/>
      <c r="AF385" s="2" t="s">
        <v>15038</v>
      </c>
      <c r="AG385" s="2" t="s">
        <v>14290</v>
      </c>
    </row>
    <row r="386" spans="1:33" x14ac:dyDescent="0.45">
      <c r="A386" s="2" t="s">
        <v>16921</v>
      </c>
      <c r="B386" s="2" t="s">
        <v>16922</v>
      </c>
      <c r="C386" s="2" t="s">
        <v>16923</v>
      </c>
      <c r="D386" s="2" t="s">
        <v>16924</v>
      </c>
      <c r="E386" s="2" t="s">
        <v>16925</v>
      </c>
      <c r="F386" s="2" t="s">
        <v>16926</v>
      </c>
      <c r="G386" s="2"/>
      <c r="H386" s="2" t="s">
        <v>220</v>
      </c>
      <c r="I386" s="2" t="s">
        <v>221</v>
      </c>
      <c r="J386" s="2" t="s">
        <v>16927</v>
      </c>
      <c r="K386" s="2" t="s">
        <v>16924</v>
      </c>
      <c r="L386" s="2"/>
      <c r="M386" s="2"/>
      <c r="N386" s="2"/>
      <c r="O386" s="2" t="s">
        <v>220</v>
      </c>
      <c r="P386" s="2" t="s">
        <v>221</v>
      </c>
      <c r="Q386" s="2" t="s">
        <v>16927</v>
      </c>
      <c r="R386" s="2" t="s">
        <v>16928</v>
      </c>
      <c r="S386" s="2" t="s">
        <v>44</v>
      </c>
      <c r="T386" s="2"/>
      <c r="U386" s="2" t="s">
        <v>3527</v>
      </c>
      <c r="V386" s="2" t="s">
        <v>46</v>
      </c>
      <c r="W386" s="2" t="s">
        <v>3527</v>
      </c>
      <c r="X386" s="2" t="s">
        <v>10787</v>
      </c>
      <c r="Y386" s="2" t="s">
        <v>10801</v>
      </c>
      <c r="Z386" s="2" t="s">
        <v>49</v>
      </c>
      <c r="AA386" s="2">
        <v>100</v>
      </c>
      <c r="AB386" s="2">
        <v>55</v>
      </c>
      <c r="AC386" s="2" t="s">
        <v>9685</v>
      </c>
      <c r="AD386" s="2" t="s">
        <v>16929</v>
      </c>
      <c r="AE386" s="2"/>
      <c r="AF386" s="2" t="s">
        <v>15038</v>
      </c>
      <c r="AG386" s="2" t="s">
        <v>14290</v>
      </c>
    </row>
    <row r="387" spans="1:33" x14ac:dyDescent="0.45">
      <c r="A387" s="2" t="s">
        <v>16930</v>
      </c>
      <c r="B387" s="2" t="s">
        <v>16931</v>
      </c>
      <c r="C387" s="2" t="s">
        <v>16932</v>
      </c>
      <c r="D387" s="2" t="s">
        <v>16933</v>
      </c>
      <c r="E387" s="2" t="s">
        <v>16934</v>
      </c>
      <c r="F387" s="2" t="s">
        <v>16935</v>
      </c>
      <c r="G387" s="2" t="s">
        <v>16935</v>
      </c>
      <c r="H387" s="2" t="s">
        <v>8544</v>
      </c>
      <c r="I387" s="2" t="s">
        <v>73</v>
      </c>
      <c r="J387" s="2" t="s">
        <v>12565</v>
      </c>
      <c r="K387" s="2" t="s">
        <v>16933</v>
      </c>
      <c r="L387" s="2"/>
      <c r="M387" s="2"/>
      <c r="N387" s="2"/>
      <c r="O387" s="2" t="s">
        <v>8544</v>
      </c>
      <c r="P387" s="2" t="s">
        <v>73</v>
      </c>
      <c r="Q387" s="2" t="s">
        <v>12565</v>
      </c>
      <c r="R387" s="2" t="s">
        <v>2964</v>
      </c>
      <c r="S387" s="2" t="s">
        <v>44</v>
      </c>
      <c r="T387" s="2"/>
      <c r="U387" s="2" t="s">
        <v>3527</v>
      </c>
      <c r="V387" s="2" t="s">
        <v>46</v>
      </c>
      <c r="W387" s="2" t="s">
        <v>3527</v>
      </c>
      <c r="X387" s="2" t="s">
        <v>10787</v>
      </c>
      <c r="Y387" s="2" t="s">
        <v>10801</v>
      </c>
      <c r="Z387" s="2" t="s">
        <v>49</v>
      </c>
      <c r="AA387" s="2">
        <v>100</v>
      </c>
      <c r="AB387" s="2">
        <v>55</v>
      </c>
      <c r="AC387" s="2" t="s">
        <v>9685</v>
      </c>
      <c r="AD387" s="2" t="s">
        <v>16936</v>
      </c>
      <c r="AE387" s="2"/>
      <c r="AF387" s="2" t="s">
        <v>15038</v>
      </c>
      <c r="AG387" s="2" t="s">
        <v>14290</v>
      </c>
    </row>
    <row r="388" spans="1:33" x14ac:dyDescent="0.45">
      <c r="A388" s="2" t="s">
        <v>16937</v>
      </c>
      <c r="B388" s="2" t="s">
        <v>16938</v>
      </c>
      <c r="C388" s="2" t="s">
        <v>16939</v>
      </c>
      <c r="D388" s="2" t="s">
        <v>16940</v>
      </c>
      <c r="E388" s="2" t="s">
        <v>16941</v>
      </c>
      <c r="F388" s="2" t="s">
        <v>16942</v>
      </c>
      <c r="G388" s="2" t="s">
        <v>16942</v>
      </c>
      <c r="H388" s="2" t="s">
        <v>5821</v>
      </c>
      <c r="I388" s="2" t="s">
        <v>278</v>
      </c>
      <c r="J388" s="2" t="s">
        <v>16943</v>
      </c>
      <c r="K388" s="2" t="s">
        <v>16940</v>
      </c>
      <c r="L388" s="2"/>
      <c r="M388" s="2"/>
      <c r="N388" s="2"/>
      <c r="O388" s="2" t="s">
        <v>5821</v>
      </c>
      <c r="P388" s="2" t="s">
        <v>278</v>
      </c>
      <c r="Q388" s="2" t="s">
        <v>16943</v>
      </c>
      <c r="R388" s="2" t="s">
        <v>15557</v>
      </c>
      <c r="S388" s="2" t="s">
        <v>44</v>
      </c>
      <c r="T388" s="2"/>
      <c r="U388" s="2" t="s">
        <v>3527</v>
      </c>
      <c r="V388" s="2" t="s">
        <v>46</v>
      </c>
      <c r="W388" s="2" t="s">
        <v>3527</v>
      </c>
      <c r="X388" s="2" t="s">
        <v>10787</v>
      </c>
      <c r="Y388" s="2" t="s">
        <v>10801</v>
      </c>
      <c r="Z388" s="2" t="s">
        <v>49</v>
      </c>
      <c r="AA388" s="2">
        <v>100</v>
      </c>
      <c r="AB388" s="2">
        <v>55</v>
      </c>
      <c r="AC388" s="2" t="s">
        <v>9685</v>
      </c>
      <c r="AD388" s="2" t="s">
        <v>16944</v>
      </c>
      <c r="AE388" s="2"/>
      <c r="AF388" s="2" t="s">
        <v>15038</v>
      </c>
      <c r="AG388" s="2" t="s">
        <v>14290</v>
      </c>
    </row>
    <row r="389" spans="1:33" x14ac:dyDescent="0.45">
      <c r="A389" s="2" t="s">
        <v>16945</v>
      </c>
      <c r="B389" s="2" t="s">
        <v>16946</v>
      </c>
      <c r="C389" s="2" t="s">
        <v>16947</v>
      </c>
      <c r="D389" s="2" t="s">
        <v>16948</v>
      </c>
      <c r="E389" s="2" t="s">
        <v>16949</v>
      </c>
      <c r="F389" s="2" t="s">
        <v>16950</v>
      </c>
      <c r="G389" s="2" t="s">
        <v>16950</v>
      </c>
      <c r="H389" s="2" t="s">
        <v>16951</v>
      </c>
      <c r="I389" s="2" t="s">
        <v>175</v>
      </c>
      <c r="J389" s="2" t="s">
        <v>16952</v>
      </c>
      <c r="K389" s="2" t="s">
        <v>16948</v>
      </c>
      <c r="L389" s="2"/>
      <c r="M389" s="2"/>
      <c r="N389" s="2"/>
      <c r="O389" s="2" t="s">
        <v>16951</v>
      </c>
      <c r="P389" s="2" t="s">
        <v>175</v>
      </c>
      <c r="Q389" s="2" t="s">
        <v>16952</v>
      </c>
      <c r="R389" s="2" t="s">
        <v>3226</v>
      </c>
      <c r="S389" s="2" t="s">
        <v>44</v>
      </c>
      <c r="T389" s="2"/>
      <c r="U389" s="2" t="s">
        <v>3527</v>
      </c>
      <c r="V389" s="2" t="s">
        <v>46</v>
      </c>
      <c r="W389" s="2" t="s">
        <v>3527</v>
      </c>
      <c r="X389" s="2" t="s">
        <v>10787</v>
      </c>
      <c r="Y389" s="2" t="s">
        <v>10801</v>
      </c>
      <c r="Z389" s="2" t="s">
        <v>49</v>
      </c>
      <c r="AA389" s="2">
        <v>100</v>
      </c>
      <c r="AB389" s="2">
        <v>55</v>
      </c>
      <c r="AC389" s="2" t="s">
        <v>9685</v>
      </c>
      <c r="AD389" s="2" t="s">
        <v>16953</v>
      </c>
      <c r="AE389" s="2"/>
      <c r="AF389" s="2" t="s">
        <v>15038</v>
      </c>
      <c r="AG389" s="2" t="s">
        <v>14290</v>
      </c>
    </row>
    <row r="390" spans="1:33" x14ac:dyDescent="0.45">
      <c r="A390" s="2" t="s">
        <v>16954</v>
      </c>
      <c r="B390" s="2" t="s">
        <v>16955</v>
      </c>
      <c r="C390" s="2" t="s">
        <v>16956</v>
      </c>
      <c r="D390" s="2" t="s">
        <v>16957</v>
      </c>
      <c r="E390" s="2" t="s">
        <v>16958</v>
      </c>
      <c r="F390" s="2" t="s">
        <v>16959</v>
      </c>
      <c r="G390" s="2" t="s">
        <v>16959</v>
      </c>
      <c r="H390" s="2" t="s">
        <v>10567</v>
      </c>
      <c r="I390" s="2" t="s">
        <v>1209</v>
      </c>
      <c r="J390" s="2" t="s">
        <v>9627</v>
      </c>
      <c r="K390" s="2" t="s">
        <v>16957</v>
      </c>
      <c r="L390" s="2"/>
      <c r="M390" s="2"/>
      <c r="N390" s="2"/>
      <c r="O390" s="2" t="s">
        <v>10567</v>
      </c>
      <c r="P390" s="2" t="s">
        <v>1209</v>
      </c>
      <c r="Q390" s="2" t="s">
        <v>9627</v>
      </c>
      <c r="R390" s="2" t="s">
        <v>11047</v>
      </c>
      <c r="S390" s="2" t="s">
        <v>44</v>
      </c>
      <c r="T390" s="2"/>
      <c r="U390" s="2" t="s">
        <v>3527</v>
      </c>
      <c r="V390" s="2" t="s">
        <v>46</v>
      </c>
      <c r="W390" s="2" t="s">
        <v>3527</v>
      </c>
      <c r="X390" s="2" t="s">
        <v>10787</v>
      </c>
      <c r="Y390" s="2" t="s">
        <v>10801</v>
      </c>
      <c r="Z390" s="2" t="s">
        <v>49</v>
      </c>
      <c r="AA390" s="2">
        <v>100</v>
      </c>
      <c r="AB390" s="2">
        <v>55</v>
      </c>
      <c r="AC390" s="2" t="s">
        <v>9685</v>
      </c>
      <c r="AD390" s="2" t="s">
        <v>16960</v>
      </c>
      <c r="AE390" s="2"/>
      <c r="AF390" s="2" t="s">
        <v>15038</v>
      </c>
      <c r="AG390" s="2" t="s">
        <v>14290</v>
      </c>
    </row>
    <row r="391" spans="1:33" x14ac:dyDescent="0.45">
      <c r="A391" s="2" t="s">
        <v>16961</v>
      </c>
      <c r="B391" s="2" t="s">
        <v>16962</v>
      </c>
      <c r="C391" s="2" t="s">
        <v>16963</v>
      </c>
      <c r="D391" s="2" t="s">
        <v>16964</v>
      </c>
      <c r="E391" s="2" t="s">
        <v>16965</v>
      </c>
      <c r="F391" s="2" t="s">
        <v>3562</v>
      </c>
      <c r="G391" s="2" t="s">
        <v>3562</v>
      </c>
      <c r="H391" s="2" t="s">
        <v>16966</v>
      </c>
      <c r="I391" s="2" t="s">
        <v>221</v>
      </c>
      <c r="J391" s="2" t="s">
        <v>16967</v>
      </c>
      <c r="K391" s="2" t="s">
        <v>16964</v>
      </c>
      <c r="L391" s="2"/>
      <c r="M391" s="2"/>
      <c r="N391" s="2"/>
      <c r="O391" s="2" t="s">
        <v>16966</v>
      </c>
      <c r="P391" s="2" t="s">
        <v>221</v>
      </c>
      <c r="Q391" s="2" t="s">
        <v>16967</v>
      </c>
      <c r="R391" s="2" t="s">
        <v>5286</v>
      </c>
      <c r="S391" s="2" t="s">
        <v>44</v>
      </c>
      <c r="T391" s="2"/>
      <c r="U391" s="2" t="s">
        <v>3527</v>
      </c>
      <c r="V391" s="2" t="s">
        <v>46</v>
      </c>
      <c r="W391" s="2" t="s">
        <v>3527</v>
      </c>
      <c r="X391" s="2" t="s">
        <v>10787</v>
      </c>
      <c r="Y391" s="2" t="s">
        <v>10801</v>
      </c>
      <c r="Z391" s="2" t="s">
        <v>49</v>
      </c>
      <c r="AA391" s="2">
        <v>100</v>
      </c>
      <c r="AB391" s="2">
        <v>55</v>
      </c>
      <c r="AC391" s="2" t="s">
        <v>9685</v>
      </c>
      <c r="AD391" s="2" t="s">
        <v>16968</v>
      </c>
      <c r="AE391" s="2"/>
      <c r="AF391" s="2" t="s">
        <v>15038</v>
      </c>
      <c r="AG391" s="2" t="s">
        <v>14290</v>
      </c>
    </row>
    <row r="392" spans="1:33" x14ac:dyDescent="0.45">
      <c r="A392" s="2" t="s">
        <v>16969</v>
      </c>
      <c r="B392" s="2" t="s">
        <v>16970</v>
      </c>
      <c r="C392" s="2" t="s">
        <v>16971</v>
      </c>
      <c r="D392" s="2" t="s">
        <v>16972</v>
      </c>
      <c r="E392" s="2" t="s">
        <v>16973</v>
      </c>
      <c r="F392" s="2" t="s">
        <v>16974</v>
      </c>
      <c r="G392" s="2"/>
      <c r="H392" s="2" t="s">
        <v>8495</v>
      </c>
      <c r="I392" s="2" t="s">
        <v>8496</v>
      </c>
      <c r="J392" s="2" t="s">
        <v>9616</v>
      </c>
      <c r="K392" s="2" t="s">
        <v>16972</v>
      </c>
      <c r="L392" s="2"/>
      <c r="M392" s="2"/>
      <c r="N392" s="2"/>
      <c r="O392" s="2" t="s">
        <v>8495</v>
      </c>
      <c r="P392" s="2" t="s">
        <v>8496</v>
      </c>
      <c r="Q392" s="2" t="s">
        <v>9616</v>
      </c>
      <c r="R392" s="2" t="s">
        <v>5913</v>
      </c>
      <c r="S392" s="2" t="s">
        <v>44</v>
      </c>
      <c r="T392" s="2"/>
      <c r="U392" s="2" t="s">
        <v>3527</v>
      </c>
      <c r="V392" s="2" t="s">
        <v>46</v>
      </c>
      <c r="W392" s="2" t="s">
        <v>3527</v>
      </c>
      <c r="X392" s="2" t="s">
        <v>10787</v>
      </c>
      <c r="Y392" s="2" t="s">
        <v>10801</v>
      </c>
      <c r="Z392" s="2" t="s">
        <v>49</v>
      </c>
      <c r="AA392" s="2">
        <v>100</v>
      </c>
      <c r="AB392" s="2">
        <v>55</v>
      </c>
      <c r="AC392" s="2" t="s">
        <v>9685</v>
      </c>
      <c r="AD392" s="2" t="s">
        <v>16975</v>
      </c>
      <c r="AE392" s="2"/>
      <c r="AF392" s="2" t="s">
        <v>15038</v>
      </c>
      <c r="AG392" s="2" t="s">
        <v>14290</v>
      </c>
    </row>
    <row r="393" spans="1:33" x14ac:dyDescent="0.45">
      <c r="A393" s="2" t="s">
        <v>16976</v>
      </c>
      <c r="B393" s="2" t="s">
        <v>16977</v>
      </c>
      <c r="C393" s="2" t="s">
        <v>16978</v>
      </c>
      <c r="D393" s="2" t="s">
        <v>16979</v>
      </c>
      <c r="E393" s="2" t="s">
        <v>16980</v>
      </c>
      <c r="F393" s="2" t="s">
        <v>16981</v>
      </c>
      <c r="G393" s="2" t="s">
        <v>16981</v>
      </c>
      <c r="H393" s="2" t="s">
        <v>1280</v>
      </c>
      <c r="I393" s="2" t="s">
        <v>1281</v>
      </c>
      <c r="J393" s="2" t="s">
        <v>6007</v>
      </c>
      <c r="K393" s="2" t="s">
        <v>16979</v>
      </c>
      <c r="L393" s="2"/>
      <c r="M393" s="2"/>
      <c r="N393" s="2"/>
      <c r="O393" s="2" t="s">
        <v>1280</v>
      </c>
      <c r="P393" s="2" t="s">
        <v>1281</v>
      </c>
      <c r="Q393" s="2" t="s">
        <v>6007</v>
      </c>
      <c r="R393" s="2" t="s">
        <v>10493</v>
      </c>
      <c r="S393" s="2" t="s">
        <v>44</v>
      </c>
      <c r="T393" s="2"/>
      <c r="U393" s="2" t="s">
        <v>3527</v>
      </c>
      <c r="V393" s="2" t="s">
        <v>46</v>
      </c>
      <c r="W393" s="2" t="s">
        <v>3527</v>
      </c>
      <c r="X393" s="2" t="s">
        <v>10787</v>
      </c>
      <c r="Y393" s="2" t="s">
        <v>10801</v>
      </c>
      <c r="Z393" s="2" t="s">
        <v>49</v>
      </c>
      <c r="AA393" s="2">
        <v>100</v>
      </c>
      <c r="AB393" s="2">
        <v>55</v>
      </c>
      <c r="AC393" s="2" t="s">
        <v>9685</v>
      </c>
      <c r="AD393" s="2" t="s">
        <v>16982</v>
      </c>
      <c r="AE393" s="2"/>
      <c r="AF393" s="2" t="s">
        <v>15038</v>
      </c>
      <c r="AG393" s="2" t="s">
        <v>14290</v>
      </c>
    </row>
    <row r="394" spans="1:33" x14ac:dyDescent="0.45">
      <c r="A394" s="2" t="s">
        <v>16983</v>
      </c>
      <c r="B394" s="2" t="s">
        <v>16984</v>
      </c>
      <c r="C394" s="2" t="s">
        <v>16985</v>
      </c>
      <c r="D394" s="2" t="s">
        <v>16986</v>
      </c>
      <c r="E394" s="2" t="s">
        <v>16987</v>
      </c>
      <c r="F394" s="2" t="s">
        <v>16988</v>
      </c>
      <c r="G394" s="2" t="s">
        <v>16988</v>
      </c>
      <c r="H394" s="2" t="s">
        <v>16989</v>
      </c>
      <c r="I394" s="2" t="s">
        <v>8496</v>
      </c>
      <c r="J394" s="2" t="s">
        <v>16990</v>
      </c>
      <c r="K394" s="2" t="s">
        <v>16986</v>
      </c>
      <c r="L394" s="2"/>
      <c r="M394" s="2"/>
      <c r="N394" s="2"/>
      <c r="O394" s="2" t="s">
        <v>16989</v>
      </c>
      <c r="P394" s="2" t="s">
        <v>8496</v>
      </c>
      <c r="Q394" s="2" t="s">
        <v>16990</v>
      </c>
      <c r="R394" s="2" t="s">
        <v>7438</v>
      </c>
      <c r="S394" s="2" t="s">
        <v>44</v>
      </c>
      <c r="T394" s="2"/>
      <c r="U394" s="2" t="s">
        <v>3527</v>
      </c>
      <c r="V394" s="2" t="s">
        <v>46</v>
      </c>
      <c r="W394" s="2" t="s">
        <v>3527</v>
      </c>
      <c r="X394" s="2" t="s">
        <v>10787</v>
      </c>
      <c r="Y394" s="2" t="s">
        <v>10801</v>
      </c>
      <c r="Z394" s="2" t="s">
        <v>49</v>
      </c>
      <c r="AA394" s="2">
        <v>100</v>
      </c>
      <c r="AB394" s="2">
        <v>55</v>
      </c>
      <c r="AC394" s="2" t="s">
        <v>9685</v>
      </c>
      <c r="AD394" s="2" t="s">
        <v>16991</v>
      </c>
      <c r="AE394" s="2"/>
      <c r="AF394" s="2" t="s">
        <v>15038</v>
      </c>
      <c r="AG394" s="2" t="s">
        <v>14290</v>
      </c>
    </row>
    <row r="395" spans="1:33" x14ac:dyDescent="0.45">
      <c r="A395" s="2" t="s">
        <v>16992</v>
      </c>
      <c r="B395" s="2" t="s">
        <v>16993</v>
      </c>
      <c r="C395" s="2" t="s">
        <v>16994</v>
      </c>
      <c r="D395" s="2" t="s">
        <v>16995</v>
      </c>
      <c r="E395" s="2" t="s">
        <v>16996</v>
      </c>
      <c r="F395" s="2" t="s">
        <v>16997</v>
      </c>
      <c r="G395" s="2" t="s">
        <v>16997</v>
      </c>
      <c r="H395" s="2" t="s">
        <v>16998</v>
      </c>
      <c r="I395" s="2" t="s">
        <v>175</v>
      </c>
      <c r="J395" s="2" t="s">
        <v>16999</v>
      </c>
      <c r="K395" s="2" t="s">
        <v>17000</v>
      </c>
      <c r="L395" s="2"/>
      <c r="M395" s="2"/>
      <c r="N395" s="2"/>
      <c r="O395" s="2" t="s">
        <v>16998</v>
      </c>
      <c r="P395" s="2" t="s">
        <v>175</v>
      </c>
      <c r="Q395" s="2" t="s">
        <v>16999</v>
      </c>
      <c r="R395" s="2" t="s">
        <v>7438</v>
      </c>
      <c r="S395" s="2" t="s">
        <v>44</v>
      </c>
      <c r="T395" s="2"/>
      <c r="U395" s="2" t="s">
        <v>3527</v>
      </c>
      <c r="V395" s="2" t="s">
        <v>46</v>
      </c>
      <c r="W395" s="2" t="s">
        <v>3527</v>
      </c>
      <c r="X395" s="2" t="s">
        <v>10787</v>
      </c>
      <c r="Y395" s="2" t="s">
        <v>10801</v>
      </c>
      <c r="Z395" s="2" t="s">
        <v>49</v>
      </c>
      <c r="AA395" s="2">
        <v>100</v>
      </c>
      <c r="AB395" s="2">
        <v>55</v>
      </c>
      <c r="AC395" s="2" t="s">
        <v>9685</v>
      </c>
      <c r="AD395" s="2" t="s">
        <v>17001</v>
      </c>
      <c r="AE395" s="2"/>
      <c r="AF395" s="2" t="s">
        <v>15038</v>
      </c>
      <c r="AG395" s="2" t="s">
        <v>14290</v>
      </c>
    </row>
    <row r="396" spans="1:33" x14ac:dyDescent="0.45">
      <c r="A396" s="2" t="s">
        <v>17002</v>
      </c>
      <c r="B396" s="2" t="s">
        <v>17003</v>
      </c>
      <c r="C396" s="2" t="s">
        <v>17004</v>
      </c>
      <c r="D396" s="2" t="s">
        <v>17005</v>
      </c>
      <c r="E396" s="2" t="s">
        <v>17006</v>
      </c>
      <c r="F396" s="2" t="s">
        <v>17007</v>
      </c>
      <c r="G396" s="2" t="s">
        <v>17007</v>
      </c>
      <c r="H396" s="2" t="s">
        <v>12930</v>
      </c>
      <c r="I396" s="2" t="s">
        <v>73</v>
      </c>
      <c r="J396" s="2" t="s">
        <v>17008</v>
      </c>
      <c r="K396" s="2" t="s">
        <v>17005</v>
      </c>
      <c r="L396" s="2"/>
      <c r="M396" s="2"/>
      <c r="N396" s="2"/>
      <c r="O396" s="2" t="s">
        <v>12930</v>
      </c>
      <c r="P396" s="2" t="s">
        <v>73</v>
      </c>
      <c r="Q396" s="2" t="s">
        <v>17008</v>
      </c>
      <c r="R396" s="2" t="s">
        <v>17009</v>
      </c>
      <c r="S396" s="2" t="s">
        <v>44</v>
      </c>
      <c r="T396" s="2"/>
      <c r="U396" s="2" t="s">
        <v>3527</v>
      </c>
      <c r="V396" s="2" t="s">
        <v>46</v>
      </c>
      <c r="W396" s="2" t="s">
        <v>3527</v>
      </c>
      <c r="X396" s="2" t="s">
        <v>10787</v>
      </c>
      <c r="Y396" s="2" t="s">
        <v>10801</v>
      </c>
      <c r="Z396" s="2" t="s">
        <v>49</v>
      </c>
      <c r="AA396" s="2">
        <v>100</v>
      </c>
      <c r="AB396" s="2">
        <v>55</v>
      </c>
      <c r="AC396" s="2" t="s">
        <v>9685</v>
      </c>
      <c r="AD396" s="2" t="s">
        <v>17010</v>
      </c>
      <c r="AE396" s="2"/>
      <c r="AF396" s="2" t="s">
        <v>15038</v>
      </c>
      <c r="AG396" s="2" t="s">
        <v>14290</v>
      </c>
    </row>
    <row r="397" spans="1:33" x14ac:dyDescent="0.45">
      <c r="A397" s="2" t="s">
        <v>17011</v>
      </c>
      <c r="B397" s="2" t="s">
        <v>17012</v>
      </c>
      <c r="C397" s="2" t="s">
        <v>17013</v>
      </c>
      <c r="D397" s="2" t="s">
        <v>17014</v>
      </c>
      <c r="E397" s="2" t="s">
        <v>17015</v>
      </c>
      <c r="F397" s="2" t="s">
        <v>17016</v>
      </c>
      <c r="G397" s="2" t="s">
        <v>17016</v>
      </c>
      <c r="H397" s="2" t="s">
        <v>12582</v>
      </c>
      <c r="I397" s="2" t="s">
        <v>313</v>
      </c>
      <c r="J397" s="2" t="s">
        <v>13261</v>
      </c>
      <c r="K397" s="2" t="s">
        <v>17014</v>
      </c>
      <c r="L397" s="2"/>
      <c r="M397" s="2"/>
      <c r="N397" s="2"/>
      <c r="O397" s="2" t="s">
        <v>12582</v>
      </c>
      <c r="P397" s="2" t="s">
        <v>313</v>
      </c>
      <c r="Q397" s="2" t="s">
        <v>13261</v>
      </c>
      <c r="R397" s="2" t="s">
        <v>711</v>
      </c>
      <c r="S397" s="2" t="s">
        <v>44</v>
      </c>
      <c r="T397" s="2"/>
      <c r="U397" s="2" t="s">
        <v>3527</v>
      </c>
      <c r="V397" s="2" t="s">
        <v>46</v>
      </c>
      <c r="W397" s="2" t="s">
        <v>3527</v>
      </c>
      <c r="X397" s="2" t="s">
        <v>10787</v>
      </c>
      <c r="Y397" s="2" t="s">
        <v>10801</v>
      </c>
      <c r="Z397" s="2" t="s">
        <v>49</v>
      </c>
      <c r="AA397" s="2">
        <v>100</v>
      </c>
      <c r="AB397" s="2">
        <v>55</v>
      </c>
      <c r="AC397" s="2" t="s">
        <v>9685</v>
      </c>
      <c r="AD397" s="2" t="s">
        <v>17017</v>
      </c>
      <c r="AE397" s="2"/>
      <c r="AF397" s="2" t="s">
        <v>15038</v>
      </c>
      <c r="AG397" s="2" t="s">
        <v>14290</v>
      </c>
    </row>
    <row r="398" spans="1:33" x14ac:dyDescent="0.45">
      <c r="A398" s="2" t="s">
        <v>17018</v>
      </c>
      <c r="B398" s="2" t="s">
        <v>17019</v>
      </c>
      <c r="C398" s="2" t="s">
        <v>17020</v>
      </c>
      <c r="D398" s="2" t="s">
        <v>17021</v>
      </c>
      <c r="E398" s="2" t="s">
        <v>17022</v>
      </c>
      <c r="F398" s="2" t="s">
        <v>17023</v>
      </c>
      <c r="G398" s="2" t="s">
        <v>17023</v>
      </c>
      <c r="H398" s="2" t="s">
        <v>8495</v>
      </c>
      <c r="I398" s="2" t="s">
        <v>8496</v>
      </c>
      <c r="J398" s="2" t="s">
        <v>8497</v>
      </c>
      <c r="K398" s="2" t="s">
        <v>17021</v>
      </c>
      <c r="L398" s="2"/>
      <c r="M398" s="2"/>
      <c r="N398" s="2"/>
      <c r="O398" s="2" t="s">
        <v>8495</v>
      </c>
      <c r="P398" s="2" t="s">
        <v>8496</v>
      </c>
      <c r="Q398" s="2" t="s">
        <v>8497</v>
      </c>
      <c r="R398" s="2" t="s">
        <v>1199</v>
      </c>
      <c r="S398" s="2" t="s">
        <v>44</v>
      </c>
      <c r="T398" s="2"/>
      <c r="U398" s="2" t="s">
        <v>3527</v>
      </c>
      <c r="V398" s="2" t="s">
        <v>46</v>
      </c>
      <c r="W398" s="2" t="s">
        <v>3527</v>
      </c>
      <c r="X398" s="2" t="s">
        <v>10787</v>
      </c>
      <c r="Y398" s="2" t="s">
        <v>10801</v>
      </c>
      <c r="Z398" s="2" t="s">
        <v>49</v>
      </c>
      <c r="AA398" s="2">
        <v>100</v>
      </c>
      <c r="AB398" s="2">
        <v>55</v>
      </c>
      <c r="AC398" s="2" t="s">
        <v>9685</v>
      </c>
      <c r="AD398" s="2" t="s">
        <v>17024</v>
      </c>
      <c r="AE398" s="2"/>
      <c r="AF398" s="2" t="s">
        <v>15038</v>
      </c>
      <c r="AG398" s="2" t="s">
        <v>14290</v>
      </c>
    </row>
    <row r="399" spans="1:33" x14ac:dyDescent="0.45">
      <c r="A399" s="2" t="s">
        <v>17025</v>
      </c>
      <c r="B399" s="2" t="s">
        <v>17026</v>
      </c>
      <c r="C399" s="2" t="s">
        <v>17027</v>
      </c>
      <c r="D399" s="2" t="s">
        <v>17028</v>
      </c>
      <c r="E399" s="2" t="s">
        <v>17029</v>
      </c>
      <c r="F399" s="2" t="s">
        <v>17030</v>
      </c>
      <c r="G399" s="2" t="s">
        <v>17030</v>
      </c>
      <c r="H399" s="2" t="s">
        <v>17031</v>
      </c>
      <c r="I399" s="2" t="s">
        <v>60</v>
      </c>
      <c r="J399" s="2" t="s">
        <v>17032</v>
      </c>
      <c r="K399" s="2" t="s">
        <v>17028</v>
      </c>
      <c r="L399" s="2"/>
      <c r="M399" s="2"/>
      <c r="N399" s="2"/>
      <c r="O399" s="2" t="s">
        <v>17031</v>
      </c>
      <c r="P399" s="2" t="s">
        <v>60</v>
      </c>
      <c r="Q399" s="2" t="s">
        <v>17032</v>
      </c>
      <c r="R399" s="2" t="s">
        <v>7519</v>
      </c>
      <c r="S399" s="2" t="s">
        <v>44</v>
      </c>
      <c r="T399" s="2"/>
      <c r="U399" s="2" t="s">
        <v>3527</v>
      </c>
      <c r="V399" s="2" t="s">
        <v>46</v>
      </c>
      <c r="W399" s="2" t="s">
        <v>3527</v>
      </c>
      <c r="X399" s="2" t="s">
        <v>10787</v>
      </c>
      <c r="Y399" s="2" t="s">
        <v>10801</v>
      </c>
      <c r="Z399" s="2" t="s">
        <v>49</v>
      </c>
      <c r="AA399" s="2">
        <v>100</v>
      </c>
      <c r="AB399" s="2">
        <v>55</v>
      </c>
      <c r="AC399" s="2" t="s">
        <v>9685</v>
      </c>
      <c r="AD399" s="2" t="s">
        <v>17033</v>
      </c>
      <c r="AE399" s="2"/>
      <c r="AF399" s="2" t="s">
        <v>15038</v>
      </c>
      <c r="AG399" s="2" t="s">
        <v>14290</v>
      </c>
    </row>
    <row r="400" spans="1:33" x14ac:dyDescent="0.45">
      <c r="A400" s="2" t="s">
        <v>17034</v>
      </c>
      <c r="B400" s="2" t="s">
        <v>17035</v>
      </c>
      <c r="C400" s="2" t="s">
        <v>17036</v>
      </c>
      <c r="D400" s="2" t="s">
        <v>17037</v>
      </c>
      <c r="E400" s="2" t="s">
        <v>17038</v>
      </c>
      <c r="F400" s="2" t="s">
        <v>17039</v>
      </c>
      <c r="G400" s="2" t="s">
        <v>17039</v>
      </c>
      <c r="H400" s="2" t="s">
        <v>11280</v>
      </c>
      <c r="I400" s="2" t="s">
        <v>313</v>
      </c>
      <c r="J400" s="2" t="s">
        <v>11281</v>
      </c>
      <c r="K400" s="2"/>
      <c r="L400" s="2"/>
      <c r="M400" s="2"/>
      <c r="N400" s="2"/>
      <c r="O400" s="2"/>
      <c r="P400" s="2"/>
      <c r="Q400" s="2"/>
      <c r="R400" s="2" t="s">
        <v>12981</v>
      </c>
      <c r="S400" s="2" t="s">
        <v>44</v>
      </c>
      <c r="T400" s="2"/>
      <c r="U400" s="2" t="s">
        <v>3527</v>
      </c>
      <c r="V400" s="2" t="s">
        <v>46</v>
      </c>
      <c r="W400" s="2" t="s">
        <v>3527</v>
      </c>
      <c r="X400" s="2" t="s">
        <v>10787</v>
      </c>
      <c r="Y400" s="2" t="s">
        <v>10801</v>
      </c>
      <c r="Z400" s="2" t="s">
        <v>49</v>
      </c>
      <c r="AA400" s="2">
        <v>100</v>
      </c>
      <c r="AB400" s="2">
        <v>55</v>
      </c>
      <c r="AC400" s="2" t="s">
        <v>9685</v>
      </c>
      <c r="AD400" s="2" t="s">
        <v>17040</v>
      </c>
      <c r="AE400" s="2"/>
      <c r="AF400" s="2" t="s">
        <v>15038</v>
      </c>
      <c r="AG400" s="2" t="s">
        <v>14290</v>
      </c>
    </row>
    <row r="401" spans="1:33" x14ac:dyDescent="0.45">
      <c r="A401" s="2" t="s">
        <v>17041</v>
      </c>
      <c r="B401" s="2" t="s">
        <v>17042</v>
      </c>
      <c r="C401" s="2" t="s">
        <v>17043</v>
      </c>
      <c r="D401" s="2" t="s">
        <v>17044</v>
      </c>
      <c r="E401" s="2" t="s">
        <v>17045</v>
      </c>
      <c r="F401" s="2" t="s">
        <v>17046</v>
      </c>
      <c r="G401" s="2" t="s">
        <v>17046</v>
      </c>
      <c r="H401" s="2" t="s">
        <v>5842</v>
      </c>
      <c r="I401" s="2" t="s">
        <v>221</v>
      </c>
      <c r="J401" s="2" t="s">
        <v>17047</v>
      </c>
      <c r="K401" s="2" t="s">
        <v>17044</v>
      </c>
      <c r="L401" s="2"/>
      <c r="M401" s="2"/>
      <c r="N401" s="2"/>
      <c r="O401" s="2" t="s">
        <v>5842</v>
      </c>
      <c r="P401" s="2" t="s">
        <v>221</v>
      </c>
      <c r="Q401" s="2" t="s">
        <v>17047</v>
      </c>
      <c r="R401" s="2" t="s">
        <v>876</v>
      </c>
      <c r="S401" s="2" t="s">
        <v>44</v>
      </c>
      <c r="T401" s="2"/>
      <c r="U401" s="2" t="s">
        <v>3527</v>
      </c>
      <c r="V401" s="2" t="s">
        <v>46</v>
      </c>
      <c r="W401" s="2" t="s">
        <v>3527</v>
      </c>
      <c r="X401" s="2" t="s">
        <v>10787</v>
      </c>
      <c r="Y401" s="2" t="s">
        <v>10801</v>
      </c>
      <c r="Z401" s="2" t="s">
        <v>49</v>
      </c>
      <c r="AA401" s="2">
        <v>100</v>
      </c>
      <c r="AB401" s="2">
        <v>55</v>
      </c>
      <c r="AC401" s="2" t="s">
        <v>9685</v>
      </c>
      <c r="AD401" s="2" t="s">
        <v>17048</v>
      </c>
      <c r="AE401" s="2"/>
      <c r="AF401" s="2" t="s">
        <v>15038</v>
      </c>
      <c r="AG401" s="2" t="s">
        <v>14290</v>
      </c>
    </row>
    <row r="402" spans="1:33" x14ac:dyDescent="0.45">
      <c r="A402" s="2" t="s">
        <v>17049</v>
      </c>
      <c r="B402" s="2" t="s">
        <v>17050</v>
      </c>
      <c r="C402" s="2" t="s">
        <v>17051</v>
      </c>
      <c r="D402" s="2" t="s">
        <v>17052</v>
      </c>
      <c r="E402" s="2" t="s">
        <v>17053</v>
      </c>
      <c r="F402" s="2" t="s">
        <v>17054</v>
      </c>
      <c r="G402" s="2" t="s">
        <v>17054</v>
      </c>
      <c r="H402" s="2" t="s">
        <v>5931</v>
      </c>
      <c r="I402" s="2" t="s">
        <v>1112</v>
      </c>
      <c r="J402" s="2" t="s">
        <v>17055</v>
      </c>
      <c r="K402" s="2" t="s">
        <v>17052</v>
      </c>
      <c r="L402" s="2"/>
      <c r="M402" s="2"/>
      <c r="N402" s="2"/>
      <c r="O402" s="2" t="s">
        <v>5931</v>
      </c>
      <c r="P402" s="2" t="s">
        <v>1112</v>
      </c>
      <c r="Q402" s="2" t="s">
        <v>17055</v>
      </c>
      <c r="R402" s="2" t="s">
        <v>17056</v>
      </c>
      <c r="S402" s="2" t="s">
        <v>44</v>
      </c>
      <c r="T402" s="2"/>
      <c r="U402" s="2" t="s">
        <v>3527</v>
      </c>
      <c r="V402" s="2" t="s">
        <v>46</v>
      </c>
      <c r="W402" s="2" t="s">
        <v>3527</v>
      </c>
      <c r="X402" s="2" t="s">
        <v>10787</v>
      </c>
      <c r="Y402" s="2" t="s">
        <v>10801</v>
      </c>
      <c r="Z402" s="2" t="s">
        <v>49</v>
      </c>
      <c r="AA402" s="2">
        <v>100</v>
      </c>
      <c r="AB402" s="2">
        <v>55</v>
      </c>
      <c r="AC402" s="2" t="s">
        <v>9685</v>
      </c>
      <c r="AD402" s="2" t="s">
        <v>17057</v>
      </c>
      <c r="AE402" s="2"/>
      <c r="AF402" s="2" t="s">
        <v>15038</v>
      </c>
      <c r="AG402" s="2" t="s">
        <v>14290</v>
      </c>
    </row>
    <row r="403" spans="1:33" x14ac:dyDescent="0.45">
      <c r="A403" s="2" t="s">
        <v>17058</v>
      </c>
      <c r="B403" s="2" t="s">
        <v>17059</v>
      </c>
      <c r="C403" s="2" t="s">
        <v>17060</v>
      </c>
      <c r="D403" s="2" t="s">
        <v>17061</v>
      </c>
      <c r="E403" s="2" t="s">
        <v>17062</v>
      </c>
      <c r="F403" s="2" t="s">
        <v>17063</v>
      </c>
      <c r="G403" s="2" t="s">
        <v>17063</v>
      </c>
      <c r="H403" s="2" t="s">
        <v>1136</v>
      </c>
      <c r="I403" s="2" t="s">
        <v>1137</v>
      </c>
      <c r="J403" s="2" t="s">
        <v>12962</v>
      </c>
      <c r="K403" s="2"/>
      <c r="L403" s="2"/>
      <c r="M403" s="2"/>
      <c r="N403" s="2"/>
      <c r="O403" s="2"/>
      <c r="P403" s="2"/>
      <c r="Q403" s="2"/>
      <c r="R403" s="2" t="s">
        <v>5479</v>
      </c>
      <c r="S403" s="2" t="s">
        <v>44</v>
      </c>
      <c r="T403" s="2"/>
      <c r="U403" s="2" t="s">
        <v>3527</v>
      </c>
      <c r="V403" s="2" t="s">
        <v>46</v>
      </c>
      <c r="W403" s="2" t="s">
        <v>3527</v>
      </c>
      <c r="X403" s="2" t="s">
        <v>10787</v>
      </c>
      <c r="Y403" s="2" t="s">
        <v>10801</v>
      </c>
      <c r="Z403" s="2" t="s">
        <v>49</v>
      </c>
      <c r="AA403" s="2">
        <v>100</v>
      </c>
      <c r="AB403" s="2">
        <v>55</v>
      </c>
      <c r="AC403" s="2" t="s">
        <v>9685</v>
      </c>
      <c r="AD403" s="2" t="s">
        <v>17064</v>
      </c>
      <c r="AE403" s="2"/>
      <c r="AF403" s="2" t="s">
        <v>15038</v>
      </c>
      <c r="AG403" s="2" t="s">
        <v>14290</v>
      </c>
    </row>
    <row r="404" spans="1:33" x14ac:dyDescent="0.45">
      <c r="A404" s="2" t="s">
        <v>17065</v>
      </c>
      <c r="B404" s="2" t="s">
        <v>17066</v>
      </c>
      <c r="C404" s="2" t="s">
        <v>17067</v>
      </c>
      <c r="D404" s="2" t="s">
        <v>17068</v>
      </c>
      <c r="E404" s="2" t="s">
        <v>17069</v>
      </c>
      <c r="F404" s="2" t="s">
        <v>17070</v>
      </c>
      <c r="G404" s="2" t="s">
        <v>17070</v>
      </c>
      <c r="H404" s="2" t="s">
        <v>1136</v>
      </c>
      <c r="I404" s="2" t="s">
        <v>1137</v>
      </c>
      <c r="J404" s="2" t="s">
        <v>6117</v>
      </c>
      <c r="K404" s="2" t="s">
        <v>17071</v>
      </c>
      <c r="L404" s="2"/>
      <c r="M404" s="2"/>
      <c r="N404" s="2"/>
      <c r="O404" s="2" t="s">
        <v>1136</v>
      </c>
      <c r="P404" s="2" t="s">
        <v>1137</v>
      </c>
      <c r="Q404" s="2" t="s">
        <v>6117</v>
      </c>
      <c r="R404" s="2" t="s">
        <v>3341</v>
      </c>
      <c r="S404" s="2" t="s">
        <v>44</v>
      </c>
      <c r="T404" s="2"/>
      <c r="U404" s="2" t="s">
        <v>3527</v>
      </c>
      <c r="V404" s="2" t="s">
        <v>46</v>
      </c>
      <c r="W404" s="2" t="s">
        <v>3527</v>
      </c>
      <c r="X404" s="2" t="s">
        <v>10787</v>
      </c>
      <c r="Y404" s="2" t="s">
        <v>10801</v>
      </c>
      <c r="Z404" s="2" t="s">
        <v>49</v>
      </c>
      <c r="AA404" s="2">
        <v>100</v>
      </c>
      <c r="AB404" s="2">
        <v>55</v>
      </c>
      <c r="AC404" s="2" t="s">
        <v>9685</v>
      </c>
      <c r="AD404" s="2" t="s">
        <v>17072</v>
      </c>
      <c r="AE404" s="2"/>
      <c r="AF404" s="2" t="s">
        <v>15038</v>
      </c>
      <c r="AG404" s="2" t="s">
        <v>14290</v>
      </c>
    </row>
    <row r="405" spans="1:33" x14ac:dyDescent="0.45">
      <c r="A405" s="2" t="s">
        <v>17073</v>
      </c>
      <c r="B405" s="2" t="s">
        <v>17074</v>
      </c>
      <c r="C405" s="2" t="s">
        <v>17075</v>
      </c>
      <c r="D405" s="2" t="s">
        <v>17076</v>
      </c>
      <c r="E405" s="2" t="s">
        <v>17077</v>
      </c>
      <c r="F405" s="2" t="s">
        <v>3562</v>
      </c>
      <c r="G405" s="2" t="s">
        <v>3562</v>
      </c>
      <c r="H405" s="2" t="s">
        <v>2962</v>
      </c>
      <c r="I405" s="2" t="s">
        <v>73</v>
      </c>
      <c r="J405" s="2" t="s">
        <v>17078</v>
      </c>
      <c r="K405" s="2"/>
      <c r="L405" s="2"/>
      <c r="M405" s="2"/>
      <c r="N405" s="2"/>
      <c r="O405" s="2"/>
      <c r="P405" s="2"/>
      <c r="Q405" s="2"/>
      <c r="R405" s="2" t="s">
        <v>5538</v>
      </c>
      <c r="S405" s="2" t="s">
        <v>44</v>
      </c>
      <c r="T405" s="2"/>
      <c r="U405" s="2" t="s">
        <v>3527</v>
      </c>
      <c r="V405" s="2" t="s">
        <v>46</v>
      </c>
      <c r="W405" s="2" t="s">
        <v>3527</v>
      </c>
      <c r="X405" s="2" t="s">
        <v>10787</v>
      </c>
      <c r="Y405" s="2" t="s">
        <v>10801</v>
      </c>
      <c r="Z405" s="2" t="s">
        <v>49</v>
      </c>
      <c r="AA405" s="2">
        <v>100</v>
      </c>
      <c r="AB405" s="2">
        <v>55</v>
      </c>
      <c r="AC405" s="2" t="s">
        <v>9685</v>
      </c>
      <c r="AD405" s="2" t="s">
        <v>17079</v>
      </c>
      <c r="AE405" s="2"/>
      <c r="AF405" s="2" t="s">
        <v>15038</v>
      </c>
      <c r="AG405" s="2" t="s">
        <v>14290</v>
      </c>
    </row>
    <row r="406" spans="1:33" x14ac:dyDescent="0.45">
      <c r="A406" s="2" t="s">
        <v>17080</v>
      </c>
      <c r="B406" s="2" t="s">
        <v>17081</v>
      </c>
      <c r="C406" s="2" t="s">
        <v>17082</v>
      </c>
      <c r="D406" s="2" t="s">
        <v>17083</v>
      </c>
      <c r="E406" s="2" t="s">
        <v>17084</v>
      </c>
      <c r="F406" s="2" t="s">
        <v>709</v>
      </c>
      <c r="G406" s="2" t="s">
        <v>709</v>
      </c>
      <c r="H406" s="2" t="s">
        <v>2962</v>
      </c>
      <c r="I406" s="2" t="s">
        <v>73</v>
      </c>
      <c r="J406" s="2" t="s">
        <v>5861</v>
      </c>
      <c r="K406" s="2" t="s">
        <v>17083</v>
      </c>
      <c r="L406" s="2"/>
      <c r="M406" s="2"/>
      <c r="N406" s="2"/>
      <c r="O406" s="2" t="s">
        <v>2962</v>
      </c>
      <c r="P406" s="2" t="s">
        <v>73</v>
      </c>
      <c r="Q406" s="2" t="s">
        <v>5861</v>
      </c>
      <c r="R406" s="2" t="s">
        <v>5575</v>
      </c>
      <c r="S406" s="2" t="s">
        <v>44</v>
      </c>
      <c r="T406" s="2"/>
      <c r="U406" s="2" t="s">
        <v>3527</v>
      </c>
      <c r="V406" s="2" t="s">
        <v>46</v>
      </c>
      <c r="W406" s="2" t="s">
        <v>3527</v>
      </c>
      <c r="X406" s="2" t="s">
        <v>10787</v>
      </c>
      <c r="Y406" s="2" t="s">
        <v>10801</v>
      </c>
      <c r="Z406" s="2" t="s">
        <v>49</v>
      </c>
      <c r="AA406" s="2">
        <v>100</v>
      </c>
      <c r="AB406" s="2">
        <v>55</v>
      </c>
      <c r="AC406" s="2" t="s">
        <v>9685</v>
      </c>
      <c r="AD406" s="2" t="s">
        <v>17085</v>
      </c>
      <c r="AE406" s="2"/>
      <c r="AF406" s="2" t="s">
        <v>15038</v>
      </c>
      <c r="AG406" s="2" t="s">
        <v>14290</v>
      </c>
    </row>
    <row r="407" spans="1:33" x14ac:dyDescent="0.45">
      <c r="A407" s="2" t="s">
        <v>17086</v>
      </c>
      <c r="B407" s="2" t="s">
        <v>17087</v>
      </c>
      <c r="C407" s="2" t="s">
        <v>17088</v>
      </c>
      <c r="D407" s="2" t="s">
        <v>17089</v>
      </c>
      <c r="E407" s="2" t="s">
        <v>17090</v>
      </c>
      <c r="F407" s="2" t="s">
        <v>3562</v>
      </c>
      <c r="G407" s="2" t="s">
        <v>3562</v>
      </c>
      <c r="H407" s="2" t="s">
        <v>8506</v>
      </c>
      <c r="I407" s="2" t="s">
        <v>221</v>
      </c>
      <c r="J407" s="2" t="s">
        <v>8507</v>
      </c>
      <c r="K407" s="2"/>
      <c r="L407" s="2"/>
      <c r="M407" s="2"/>
      <c r="N407" s="2"/>
      <c r="O407" s="2"/>
      <c r="P407" s="2"/>
      <c r="Q407" s="2"/>
      <c r="R407" s="2" t="s">
        <v>17091</v>
      </c>
      <c r="S407" s="2" t="s">
        <v>44</v>
      </c>
      <c r="T407" s="2"/>
      <c r="U407" s="2" t="s">
        <v>3527</v>
      </c>
      <c r="V407" s="2" t="s">
        <v>46</v>
      </c>
      <c r="W407" s="2" t="s">
        <v>3527</v>
      </c>
      <c r="X407" s="2" t="s">
        <v>10787</v>
      </c>
      <c r="Y407" s="2" t="s">
        <v>10801</v>
      </c>
      <c r="Z407" s="2" t="s">
        <v>49</v>
      </c>
      <c r="AA407" s="2">
        <v>100</v>
      </c>
      <c r="AB407" s="2">
        <v>55</v>
      </c>
      <c r="AC407" s="2" t="s">
        <v>9685</v>
      </c>
      <c r="AD407" s="2" t="s">
        <v>17092</v>
      </c>
      <c r="AE407" s="2"/>
      <c r="AF407" s="2" t="s">
        <v>15038</v>
      </c>
      <c r="AG407" s="2" t="s">
        <v>14290</v>
      </c>
    </row>
    <row r="408" spans="1:33" x14ac:dyDescent="0.45">
      <c r="A408" s="2" t="s">
        <v>17093</v>
      </c>
      <c r="B408" s="2" t="s">
        <v>17094</v>
      </c>
      <c r="C408" s="2" t="s">
        <v>17095</v>
      </c>
      <c r="D408" s="2" t="s">
        <v>17096</v>
      </c>
      <c r="E408" s="2" t="s">
        <v>17097</v>
      </c>
      <c r="F408" s="2" t="s">
        <v>709</v>
      </c>
      <c r="G408" s="2" t="s">
        <v>709</v>
      </c>
      <c r="H408" s="2" t="s">
        <v>8431</v>
      </c>
      <c r="I408" s="2" t="s">
        <v>175</v>
      </c>
      <c r="J408" s="2" t="s">
        <v>17098</v>
      </c>
      <c r="K408" s="2" t="s">
        <v>17099</v>
      </c>
      <c r="L408" s="2"/>
      <c r="M408" s="2"/>
      <c r="N408" s="2"/>
      <c r="O408" s="2" t="s">
        <v>8431</v>
      </c>
      <c r="P408" s="2" t="s">
        <v>175</v>
      </c>
      <c r="Q408" s="2" t="s">
        <v>17098</v>
      </c>
      <c r="R408" s="2" t="s">
        <v>5097</v>
      </c>
      <c r="S408" s="2" t="s">
        <v>44</v>
      </c>
      <c r="T408" s="2"/>
      <c r="U408" s="2" t="s">
        <v>3527</v>
      </c>
      <c r="V408" s="2" t="s">
        <v>46</v>
      </c>
      <c r="W408" s="2" t="s">
        <v>3527</v>
      </c>
      <c r="X408" s="2" t="s">
        <v>10787</v>
      </c>
      <c r="Y408" s="2" t="s">
        <v>10801</v>
      </c>
      <c r="Z408" s="2" t="s">
        <v>49</v>
      </c>
      <c r="AA408" s="2">
        <v>100</v>
      </c>
      <c r="AB408" s="2">
        <v>55</v>
      </c>
      <c r="AC408" s="2" t="s">
        <v>9685</v>
      </c>
      <c r="AD408" s="2" t="s">
        <v>17100</v>
      </c>
      <c r="AE408" s="2"/>
      <c r="AF408" s="2" t="s">
        <v>15038</v>
      </c>
      <c r="AG408" s="2" t="s">
        <v>14290</v>
      </c>
    </row>
    <row r="409" spans="1:33" x14ac:dyDescent="0.45">
      <c r="A409" s="2" t="s">
        <v>17101</v>
      </c>
      <c r="B409" s="2" t="s">
        <v>17102</v>
      </c>
      <c r="C409" s="2" t="s">
        <v>17103</v>
      </c>
      <c r="D409" s="2" t="s">
        <v>17104</v>
      </c>
      <c r="E409" s="2" t="s">
        <v>17105</v>
      </c>
      <c r="F409" s="2" t="s">
        <v>17106</v>
      </c>
      <c r="G409" s="2" t="s">
        <v>17106</v>
      </c>
      <c r="H409" s="2" t="s">
        <v>9679</v>
      </c>
      <c r="I409" s="2" t="s">
        <v>9680</v>
      </c>
      <c r="J409" s="2" t="s">
        <v>16896</v>
      </c>
      <c r="K409" s="2" t="s">
        <v>17104</v>
      </c>
      <c r="L409" s="2"/>
      <c r="M409" s="2"/>
      <c r="N409" s="2"/>
      <c r="O409" s="2" t="s">
        <v>9679</v>
      </c>
      <c r="P409" s="2" t="s">
        <v>9680</v>
      </c>
      <c r="Q409" s="2" t="s">
        <v>16896</v>
      </c>
      <c r="R409" s="2" t="s">
        <v>12219</v>
      </c>
      <c r="S409" s="2" t="s">
        <v>44</v>
      </c>
      <c r="T409" s="2"/>
      <c r="U409" s="2" t="s">
        <v>3527</v>
      </c>
      <c r="V409" s="2" t="s">
        <v>46</v>
      </c>
      <c r="W409" s="2" t="s">
        <v>3527</v>
      </c>
      <c r="X409" s="2" t="s">
        <v>10787</v>
      </c>
      <c r="Y409" s="2" t="s">
        <v>10801</v>
      </c>
      <c r="Z409" s="2" t="s">
        <v>49</v>
      </c>
      <c r="AA409" s="2">
        <v>100</v>
      </c>
      <c r="AB409" s="2">
        <v>55</v>
      </c>
      <c r="AC409" s="2" t="s">
        <v>9685</v>
      </c>
      <c r="AD409" s="2" t="s">
        <v>17107</v>
      </c>
      <c r="AE409" s="2"/>
      <c r="AF409" s="2" t="s">
        <v>15038</v>
      </c>
      <c r="AG409" s="2" t="s">
        <v>14290</v>
      </c>
    </row>
    <row r="410" spans="1:33" x14ac:dyDescent="0.45">
      <c r="A410" s="2" t="s">
        <v>17108</v>
      </c>
      <c r="B410" s="2" t="s">
        <v>17109</v>
      </c>
      <c r="C410" s="2" t="s">
        <v>17110</v>
      </c>
      <c r="D410" s="2" t="s">
        <v>17111</v>
      </c>
      <c r="E410" s="2" t="s">
        <v>17112</v>
      </c>
      <c r="F410" s="2" t="s">
        <v>17113</v>
      </c>
      <c r="G410" s="2" t="s">
        <v>17113</v>
      </c>
      <c r="H410" s="2" t="s">
        <v>9647</v>
      </c>
      <c r="I410" s="2" t="s">
        <v>73</v>
      </c>
      <c r="J410" s="2" t="s">
        <v>17114</v>
      </c>
      <c r="K410" s="2"/>
      <c r="L410" s="2"/>
      <c r="M410" s="2"/>
      <c r="N410" s="2"/>
      <c r="O410" s="2"/>
      <c r="P410" s="2"/>
      <c r="Q410" s="2"/>
      <c r="R410" s="2" t="s">
        <v>13150</v>
      </c>
      <c r="S410" s="2" t="s">
        <v>44</v>
      </c>
      <c r="T410" s="2"/>
      <c r="U410" s="2" t="s">
        <v>3527</v>
      </c>
      <c r="V410" s="2" t="s">
        <v>46</v>
      </c>
      <c r="W410" s="2" t="s">
        <v>3527</v>
      </c>
      <c r="X410" s="2" t="s">
        <v>10787</v>
      </c>
      <c r="Y410" s="2" t="s">
        <v>10801</v>
      </c>
      <c r="Z410" s="2" t="s">
        <v>49</v>
      </c>
      <c r="AA410" s="2">
        <v>100</v>
      </c>
      <c r="AB410" s="2">
        <v>55</v>
      </c>
      <c r="AC410" s="2" t="s">
        <v>9685</v>
      </c>
      <c r="AD410" s="2" t="s">
        <v>17115</v>
      </c>
      <c r="AE410" s="2"/>
      <c r="AF410" s="2" t="s">
        <v>15038</v>
      </c>
      <c r="AG410" s="2" t="s">
        <v>14290</v>
      </c>
    </row>
    <row r="411" spans="1:33" x14ac:dyDescent="0.45">
      <c r="A411" s="2" t="s">
        <v>17116</v>
      </c>
      <c r="B411" s="2" t="s">
        <v>17117</v>
      </c>
      <c r="C411" s="2" t="s">
        <v>17118</v>
      </c>
      <c r="D411" s="2" t="s">
        <v>17119</v>
      </c>
      <c r="E411" s="2" t="s">
        <v>17120</v>
      </c>
      <c r="F411" s="2" t="s">
        <v>17121</v>
      </c>
      <c r="G411" s="2" t="s">
        <v>17121</v>
      </c>
      <c r="H411" s="2" t="s">
        <v>1136</v>
      </c>
      <c r="I411" s="2" t="s">
        <v>1137</v>
      </c>
      <c r="J411" s="2" t="s">
        <v>17122</v>
      </c>
      <c r="K411" s="2" t="s">
        <v>17123</v>
      </c>
      <c r="L411" s="2"/>
      <c r="M411" s="2"/>
      <c r="N411" s="2"/>
      <c r="O411" s="2" t="s">
        <v>1136</v>
      </c>
      <c r="P411" s="2" t="s">
        <v>1137</v>
      </c>
      <c r="Q411" s="2" t="s">
        <v>17122</v>
      </c>
      <c r="R411" s="2" t="s">
        <v>782</v>
      </c>
      <c r="S411" s="2" t="s">
        <v>44</v>
      </c>
      <c r="T411" s="2"/>
      <c r="U411" s="2" t="s">
        <v>3527</v>
      </c>
      <c r="V411" s="2" t="s">
        <v>46</v>
      </c>
      <c r="W411" s="2" t="s">
        <v>3527</v>
      </c>
      <c r="X411" s="2" t="s">
        <v>10787</v>
      </c>
      <c r="Y411" s="2" t="s">
        <v>10801</v>
      </c>
      <c r="Z411" s="2" t="s">
        <v>49</v>
      </c>
      <c r="AA411" s="2">
        <v>100</v>
      </c>
      <c r="AB411" s="2">
        <v>55</v>
      </c>
      <c r="AC411" s="2" t="s">
        <v>9685</v>
      </c>
      <c r="AD411" s="2" t="s">
        <v>17124</v>
      </c>
      <c r="AE411" s="2"/>
      <c r="AF411" s="2" t="s">
        <v>15038</v>
      </c>
      <c r="AG411" s="2" t="s">
        <v>14290</v>
      </c>
    </row>
    <row r="412" spans="1:33" x14ac:dyDescent="0.45">
      <c r="A412" s="2" t="s">
        <v>17125</v>
      </c>
      <c r="B412" s="2" t="s">
        <v>17126</v>
      </c>
      <c r="C412" s="2" t="s">
        <v>17127</v>
      </c>
      <c r="D412" s="2" t="s">
        <v>17128</v>
      </c>
      <c r="E412" s="2" t="s">
        <v>17129</v>
      </c>
      <c r="F412" s="2" t="s">
        <v>17130</v>
      </c>
      <c r="G412" s="2" t="s">
        <v>17130</v>
      </c>
      <c r="H412" s="2" t="s">
        <v>12804</v>
      </c>
      <c r="I412" s="2" t="s">
        <v>221</v>
      </c>
      <c r="J412" s="2" t="s">
        <v>17131</v>
      </c>
      <c r="K412" s="2" t="s">
        <v>17128</v>
      </c>
      <c r="L412" s="2"/>
      <c r="M412" s="2"/>
      <c r="N412" s="2"/>
      <c r="O412" s="2" t="s">
        <v>12804</v>
      </c>
      <c r="P412" s="2" t="s">
        <v>221</v>
      </c>
      <c r="Q412" s="2" t="s">
        <v>17131</v>
      </c>
      <c r="R412" s="2" t="s">
        <v>3467</v>
      </c>
      <c r="S412" s="2" t="s">
        <v>44</v>
      </c>
      <c r="T412" s="2"/>
      <c r="U412" s="2" t="s">
        <v>3527</v>
      </c>
      <c r="V412" s="2" t="s">
        <v>46</v>
      </c>
      <c r="W412" s="2" t="s">
        <v>3527</v>
      </c>
      <c r="X412" s="2" t="s">
        <v>10787</v>
      </c>
      <c r="Y412" s="2" t="s">
        <v>10801</v>
      </c>
      <c r="Z412" s="2" t="s">
        <v>49</v>
      </c>
      <c r="AA412" s="2">
        <v>100</v>
      </c>
      <c r="AB412" s="2">
        <v>55</v>
      </c>
      <c r="AC412" s="2" t="s">
        <v>9685</v>
      </c>
      <c r="AD412" s="2" t="s">
        <v>17132</v>
      </c>
      <c r="AE412" s="2"/>
      <c r="AF412" s="2" t="s">
        <v>15038</v>
      </c>
      <c r="AG412" s="2" t="s">
        <v>14290</v>
      </c>
    </row>
    <row r="413" spans="1:33" x14ac:dyDescent="0.45">
      <c r="A413" s="2" t="s">
        <v>17133</v>
      </c>
      <c r="B413" s="2" t="s">
        <v>17134</v>
      </c>
      <c r="C413" s="2" t="s">
        <v>17135</v>
      </c>
      <c r="D413" s="2" t="s">
        <v>17136</v>
      </c>
      <c r="E413" s="2" t="s">
        <v>17137</v>
      </c>
      <c r="F413" s="2" t="s">
        <v>17138</v>
      </c>
      <c r="G413" s="2"/>
      <c r="H413" s="2" t="s">
        <v>1136</v>
      </c>
      <c r="I413" s="2" t="s">
        <v>1137</v>
      </c>
      <c r="J413" s="2" t="s">
        <v>17139</v>
      </c>
      <c r="K413" s="2" t="s">
        <v>17136</v>
      </c>
      <c r="L413" s="2"/>
      <c r="M413" s="2"/>
      <c r="N413" s="2"/>
      <c r="O413" s="2" t="s">
        <v>1136</v>
      </c>
      <c r="P413" s="2" t="s">
        <v>1137</v>
      </c>
      <c r="Q413" s="2" t="s">
        <v>17139</v>
      </c>
      <c r="R413" s="2" t="s">
        <v>792</v>
      </c>
      <c r="S413" s="2" t="s">
        <v>44</v>
      </c>
      <c r="T413" s="2"/>
      <c r="U413" s="2" t="s">
        <v>3527</v>
      </c>
      <c r="V413" s="2" t="s">
        <v>46</v>
      </c>
      <c r="W413" s="2" t="s">
        <v>3527</v>
      </c>
      <c r="X413" s="2" t="s">
        <v>10787</v>
      </c>
      <c r="Y413" s="2" t="s">
        <v>10801</v>
      </c>
      <c r="Z413" s="2" t="s">
        <v>49</v>
      </c>
      <c r="AA413" s="2">
        <v>100</v>
      </c>
      <c r="AB413" s="2">
        <v>55</v>
      </c>
      <c r="AC413" s="2" t="s">
        <v>9685</v>
      </c>
      <c r="AD413" s="2" t="s">
        <v>17140</v>
      </c>
      <c r="AE413" s="2"/>
      <c r="AF413" s="2" t="s">
        <v>15038</v>
      </c>
      <c r="AG413" s="2" t="s">
        <v>14290</v>
      </c>
    </row>
    <row r="414" spans="1:33" x14ac:dyDescent="0.45">
      <c r="A414" s="2" t="s">
        <v>17141</v>
      </c>
      <c r="B414" s="2" t="s">
        <v>17142</v>
      </c>
      <c r="C414" s="2" t="s">
        <v>17143</v>
      </c>
      <c r="D414" s="2" t="s">
        <v>17144</v>
      </c>
      <c r="E414" s="2" t="s">
        <v>17145</v>
      </c>
      <c r="F414" s="2" t="s">
        <v>17146</v>
      </c>
      <c r="G414" s="2" t="s">
        <v>17146</v>
      </c>
      <c r="H414" s="2" t="s">
        <v>17147</v>
      </c>
      <c r="I414" s="2" t="s">
        <v>73</v>
      </c>
      <c r="J414" s="2" t="s">
        <v>17148</v>
      </c>
      <c r="K414" s="2"/>
      <c r="L414" s="2"/>
      <c r="M414" s="2"/>
      <c r="N414" s="2"/>
      <c r="O414" s="2"/>
      <c r="P414" s="2"/>
      <c r="Q414" s="2"/>
      <c r="R414" s="2" t="s">
        <v>7774</v>
      </c>
      <c r="S414" s="2" t="s">
        <v>44</v>
      </c>
      <c r="T414" s="2"/>
      <c r="U414" s="2" t="s">
        <v>3527</v>
      </c>
      <c r="V414" s="2" t="s">
        <v>46</v>
      </c>
      <c r="W414" s="2" t="s">
        <v>3527</v>
      </c>
      <c r="X414" s="2" t="s">
        <v>10787</v>
      </c>
      <c r="Y414" s="2" t="s">
        <v>10801</v>
      </c>
      <c r="Z414" s="2" t="s">
        <v>49</v>
      </c>
      <c r="AA414" s="2">
        <v>100</v>
      </c>
      <c r="AB414" s="2">
        <v>55</v>
      </c>
      <c r="AC414" s="2" t="s">
        <v>9685</v>
      </c>
      <c r="AD414" s="2" t="s">
        <v>17149</v>
      </c>
      <c r="AE414" s="2"/>
      <c r="AF414" s="2" t="s">
        <v>15038</v>
      </c>
      <c r="AG414" s="2" t="s">
        <v>14290</v>
      </c>
    </row>
    <row r="415" spans="1:33" x14ac:dyDescent="0.45">
      <c r="A415" s="2" t="s">
        <v>17150</v>
      </c>
      <c r="B415" s="2" t="s">
        <v>17151</v>
      </c>
      <c r="C415" s="2" t="s">
        <v>17152</v>
      </c>
      <c r="D415" s="2" t="s">
        <v>17153</v>
      </c>
      <c r="E415" s="2" t="s">
        <v>17154</v>
      </c>
      <c r="F415" s="2" t="s">
        <v>17155</v>
      </c>
      <c r="G415" s="2" t="s">
        <v>17155</v>
      </c>
      <c r="H415" s="2" t="s">
        <v>13126</v>
      </c>
      <c r="I415" s="2" t="s">
        <v>1176</v>
      </c>
      <c r="J415" s="2" t="s">
        <v>17156</v>
      </c>
      <c r="K415" s="2" t="s">
        <v>17157</v>
      </c>
      <c r="L415" s="2"/>
      <c r="M415" s="2"/>
      <c r="N415" s="2"/>
      <c r="O415" s="2" t="s">
        <v>13126</v>
      </c>
      <c r="P415" s="2" t="s">
        <v>1176</v>
      </c>
      <c r="Q415" s="2" t="s">
        <v>17158</v>
      </c>
      <c r="R415" s="2" t="s">
        <v>1285</v>
      </c>
      <c r="S415" s="2" t="s">
        <v>44</v>
      </c>
      <c r="T415" s="2"/>
      <c r="U415" s="2" t="s">
        <v>3527</v>
      </c>
      <c r="V415" s="2" t="s">
        <v>46</v>
      </c>
      <c r="W415" s="2" t="s">
        <v>3527</v>
      </c>
      <c r="X415" s="2" t="s">
        <v>10787</v>
      </c>
      <c r="Y415" s="2" t="s">
        <v>10801</v>
      </c>
      <c r="Z415" s="2" t="s">
        <v>49</v>
      </c>
      <c r="AA415" s="2">
        <v>100</v>
      </c>
      <c r="AB415" s="2">
        <v>55</v>
      </c>
      <c r="AC415" s="2" t="s">
        <v>9685</v>
      </c>
      <c r="AD415" s="2" t="s">
        <v>17159</v>
      </c>
      <c r="AE415" s="2"/>
      <c r="AF415" s="2" t="s">
        <v>15038</v>
      </c>
      <c r="AG415" s="2" t="s">
        <v>14290</v>
      </c>
    </row>
    <row r="416" spans="1:33" x14ac:dyDescent="0.45">
      <c r="A416" s="2" t="s">
        <v>17160</v>
      </c>
      <c r="B416" s="2" t="s">
        <v>17161</v>
      </c>
      <c r="C416" s="2" t="s">
        <v>17162</v>
      </c>
      <c r="D416" s="2" t="s">
        <v>17163</v>
      </c>
      <c r="E416" s="2" t="s">
        <v>17164</v>
      </c>
      <c r="F416" s="2" t="s">
        <v>3562</v>
      </c>
      <c r="G416" s="2" t="s">
        <v>3562</v>
      </c>
      <c r="H416" s="2" t="s">
        <v>17165</v>
      </c>
      <c r="I416" s="2" t="s">
        <v>17166</v>
      </c>
      <c r="J416" s="2" t="s">
        <v>17167</v>
      </c>
      <c r="K416" s="2" t="s">
        <v>17163</v>
      </c>
      <c r="L416" s="2"/>
      <c r="M416" s="2"/>
      <c r="N416" s="2"/>
      <c r="O416" s="2" t="s">
        <v>17165</v>
      </c>
      <c r="P416" s="2" t="s">
        <v>17166</v>
      </c>
      <c r="Q416" s="2" t="s">
        <v>17167</v>
      </c>
      <c r="R416" s="2" t="s">
        <v>5766</v>
      </c>
      <c r="S416" s="2" t="s">
        <v>44</v>
      </c>
      <c r="T416" s="2"/>
      <c r="U416" s="2" t="s">
        <v>3527</v>
      </c>
      <c r="V416" s="2" t="s">
        <v>46</v>
      </c>
      <c r="W416" s="2" t="s">
        <v>3527</v>
      </c>
      <c r="X416" s="2" t="s">
        <v>10787</v>
      </c>
      <c r="Y416" s="2" t="s">
        <v>10801</v>
      </c>
      <c r="Z416" s="2" t="s">
        <v>49</v>
      </c>
      <c r="AA416" s="2">
        <v>100</v>
      </c>
      <c r="AB416" s="2">
        <v>55</v>
      </c>
      <c r="AC416" s="2" t="s">
        <v>9685</v>
      </c>
      <c r="AD416" s="2" t="s">
        <v>17168</v>
      </c>
      <c r="AE416" s="2"/>
      <c r="AF416" s="2" t="s">
        <v>15038</v>
      </c>
      <c r="AG416" s="2" t="s">
        <v>14290</v>
      </c>
    </row>
    <row r="417" spans="1:33" x14ac:dyDescent="0.45">
      <c r="A417" s="2" t="s">
        <v>17169</v>
      </c>
      <c r="B417" s="2" t="s">
        <v>17170</v>
      </c>
      <c r="C417" s="2" t="s">
        <v>17171</v>
      </c>
      <c r="D417" s="2" t="s">
        <v>17172</v>
      </c>
      <c r="E417" s="2" t="s">
        <v>17173</v>
      </c>
      <c r="F417" s="2" t="s">
        <v>17174</v>
      </c>
      <c r="G417" s="2" t="s">
        <v>17174</v>
      </c>
      <c r="H417" s="2" t="s">
        <v>8495</v>
      </c>
      <c r="I417" s="2" t="s">
        <v>8496</v>
      </c>
      <c r="J417" s="2" t="s">
        <v>17175</v>
      </c>
      <c r="K417" s="2" t="s">
        <v>17172</v>
      </c>
      <c r="L417" s="2"/>
      <c r="M417" s="2"/>
      <c r="N417" s="2"/>
      <c r="O417" s="2" t="s">
        <v>8495</v>
      </c>
      <c r="P417" s="2" t="s">
        <v>8496</v>
      </c>
      <c r="Q417" s="2" t="s">
        <v>17175</v>
      </c>
      <c r="R417" s="2" t="s">
        <v>5776</v>
      </c>
      <c r="S417" s="2" t="s">
        <v>44</v>
      </c>
      <c r="T417" s="2"/>
      <c r="U417" s="2" t="s">
        <v>3527</v>
      </c>
      <c r="V417" s="2" t="s">
        <v>46</v>
      </c>
      <c r="W417" s="2" t="s">
        <v>3527</v>
      </c>
      <c r="X417" s="2" t="s">
        <v>10787</v>
      </c>
      <c r="Y417" s="2" t="s">
        <v>10801</v>
      </c>
      <c r="Z417" s="2" t="s">
        <v>49</v>
      </c>
      <c r="AA417" s="2">
        <v>100</v>
      </c>
      <c r="AB417" s="2">
        <v>55</v>
      </c>
      <c r="AC417" s="2" t="s">
        <v>9685</v>
      </c>
      <c r="AD417" s="2" t="s">
        <v>17176</v>
      </c>
      <c r="AE417" s="2"/>
      <c r="AF417" s="2" t="s">
        <v>15038</v>
      </c>
      <c r="AG417" s="2" t="s">
        <v>14290</v>
      </c>
    </row>
    <row r="418" spans="1:33" x14ac:dyDescent="0.45">
      <c r="A418" s="2" t="s">
        <v>17177</v>
      </c>
      <c r="B418" s="2" t="s">
        <v>17178</v>
      </c>
      <c r="C418" s="2" t="s">
        <v>17179</v>
      </c>
      <c r="D418" s="2" t="s">
        <v>17180</v>
      </c>
      <c r="E418" s="2" t="s">
        <v>17181</v>
      </c>
      <c r="F418" s="2" t="s">
        <v>17182</v>
      </c>
      <c r="G418" s="2" t="s">
        <v>17182</v>
      </c>
      <c r="H418" s="2" t="s">
        <v>2962</v>
      </c>
      <c r="I418" s="2" t="s">
        <v>73</v>
      </c>
      <c r="J418" s="2" t="s">
        <v>17183</v>
      </c>
      <c r="K418" s="2" t="s">
        <v>17180</v>
      </c>
      <c r="L418" s="2"/>
      <c r="M418" s="2"/>
      <c r="N418" s="2"/>
      <c r="O418" s="2" t="s">
        <v>2962</v>
      </c>
      <c r="P418" s="2" t="s">
        <v>73</v>
      </c>
      <c r="Q418" s="2" t="s">
        <v>17183</v>
      </c>
      <c r="R418" s="2" t="s">
        <v>10224</v>
      </c>
      <c r="S418" s="2" t="s">
        <v>44</v>
      </c>
      <c r="T418" s="2"/>
      <c r="U418" s="2" t="s">
        <v>3527</v>
      </c>
      <c r="V418" s="2" t="s">
        <v>46</v>
      </c>
      <c r="W418" s="2" t="s">
        <v>3527</v>
      </c>
      <c r="X418" s="2" t="s">
        <v>10787</v>
      </c>
      <c r="Y418" s="2" t="s">
        <v>10801</v>
      </c>
      <c r="Z418" s="2" t="s">
        <v>49</v>
      </c>
      <c r="AA418" s="2">
        <v>100</v>
      </c>
      <c r="AB418" s="2">
        <v>55</v>
      </c>
      <c r="AC418" s="2" t="s">
        <v>9685</v>
      </c>
      <c r="AD418" s="2" t="s">
        <v>17184</v>
      </c>
      <c r="AE418" s="2"/>
      <c r="AF418" s="2" t="s">
        <v>15038</v>
      </c>
      <c r="AG418" s="2" t="s">
        <v>14290</v>
      </c>
    </row>
    <row r="419" spans="1:33" x14ac:dyDescent="0.45">
      <c r="A419" s="2" t="s">
        <v>17185</v>
      </c>
      <c r="B419" s="2" t="s">
        <v>17186</v>
      </c>
      <c r="C419" s="2" t="s">
        <v>17185</v>
      </c>
      <c r="D419" s="2" t="s">
        <v>17187</v>
      </c>
      <c r="E419" s="2" t="s">
        <v>17188</v>
      </c>
      <c r="F419" s="2"/>
      <c r="G419" s="2"/>
      <c r="H419" s="2" t="s">
        <v>12556</v>
      </c>
      <c r="I419" s="2" t="s">
        <v>278</v>
      </c>
      <c r="J419" s="2" t="s">
        <v>17189</v>
      </c>
      <c r="K419" s="2" t="s">
        <v>17187</v>
      </c>
      <c r="L419" s="2"/>
      <c r="M419" s="2"/>
      <c r="N419" s="2"/>
      <c r="O419" s="2" t="s">
        <v>12556</v>
      </c>
      <c r="P419" s="2" t="s">
        <v>278</v>
      </c>
      <c r="Q419" s="2" t="s">
        <v>17189</v>
      </c>
      <c r="R419" s="2" t="s">
        <v>2432</v>
      </c>
      <c r="S419" s="2" t="s">
        <v>44</v>
      </c>
      <c r="T419" s="2"/>
      <c r="U419" s="2" t="s">
        <v>3527</v>
      </c>
      <c r="V419" s="2" t="s">
        <v>46</v>
      </c>
      <c r="W419" s="2" t="s">
        <v>3527</v>
      </c>
      <c r="X419" s="2" t="s">
        <v>7863</v>
      </c>
      <c r="Y419" s="2" t="s">
        <v>48</v>
      </c>
      <c r="Z419" s="2" t="s">
        <v>7864</v>
      </c>
      <c r="AA419" s="2">
        <v>90</v>
      </c>
      <c r="AB419" s="2">
        <v>55</v>
      </c>
      <c r="AC419" s="2" t="s">
        <v>9685</v>
      </c>
      <c r="AD419" s="2" t="s">
        <v>7866</v>
      </c>
      <c r="AE419" s="2"/>
      <c r="AF419" s="2" t="s">
        <v>14289</v>
      </c>
      <c r="AG419" s="2" t="s">
        <v>14290</v>
      </c>
    </row>
    <row r="420" spans="1:33" x14ac:dyDescent="0.45">
      <c r="A420" s="2" t="s">
        <v>17190</v>
      </c>
      <c r="B420" s="2" t="s">
        <v>17191</v>
      </c>
      <c r="C420" s="2" t="s">
        <v>17192</v>
      </c>
      <c r="D420" s="2" t="s">
        <v>17193</v>
      </c>
      <c r="E420" s="2" t="s">
        <v>17194</v>
      </c>
      <c r="F420" s="2"/>
      <c r="G420" s="2"/>
      <c r="H420" s="2" t="s">
        <v>15145</v>
      </c>
      <c r="I420" s="2" t="s">
        <v>1176</v>
      </c>
      <c r="J420" s="2" t="s">
        <v>15146</v>
      </c>
      <c r="K420" s="2" t="s">
        <v>17193</v>
      </c>
      <c r="L420" s="2"/>
      <c r="M420" s="2"/>
      <c r="N420" s="2"/>
      <c r="O420" s="2" t="s">
        <v>15145</v>
      </c>
      <c r="P420" s="2" t="s">
        <v>1176</v>
      </c>
      <c r="Q420" s="2" t="s">
        <v>15146</v>
      </c>
      <c r="R420" s="2" t="s">
        <v>9649</v>
      </c>
      <c r="S420" s="2" t="s">
        <v>44</v>
      </c>
      <c r="T420" s="2"/>
      <c r="U420" s="2" t="s">
        <v>3527</v>
      </c>
      <c r="V420" s="2" t="s">
        <v>46</v>
      </c>
      <c r="W420" s="2" t="s">
        <v>3527</v>
      </c>
      <c r="X420" s="2" t="s">
        <v>10787</v>
      </c>
      <c r="Y420" s="2" t="s">
        <v>10801</v>
      </c>
      <c r="Z420" s="2" t="s">
        <v>49</v>
      </c>
      <c r="AA420" s="2">
        <v>90</v>
      </c>
      <c r="AB420" s="2">
        <v>55</v>
      </c>
      <c r="AC420" s="2" t="s">
        <v>9685</v>
      </c>
      <c r="AD420" s="2" t="s">
        <v>15147</v>
      </c>
      <c r="AE420" s="2"/>
      <c r="AF420" s="2" t="s">
        <v>15327</v>
      </c>
      <c r="AG420" s="2" t="s">
        <v>14290</v>
      </c>
    </row>
    <row r="421" spans="1:33" x14ac:dyDescent="0.45">
      <c r="A421" s="2" t="s">
        <v>17195</v>
      </c>
      <c r="B421" s="2" t="s">
        <v>17196</v>
      </c>
      <c r="C421" s="2" t="s">
        <v>17197</v>
      </c>
      <c r="D421" s="2" t="s">
        <v>17198</v>
      </c>
      <c r="E421" s="2" t="s">
        <v>17199</v>
      </c>
      <c r="F421" s="2"/>
      <c r="G421" s="2"/>
      <c r="H421" s="2" t="s">
        <v>12582</v>
      </c>
      <c r="I421" s="2" t="s">
        <v>313</v>
      </c>
      <c r="J421" s="2" t="s">
        <v>17200</v>
      </c>
      <c r="K421" s="2" t="s">
        <v>17198</v>
      </c>
      <c r="L421" s="2"/>
      <c r="M421" s="2"/>
      <c r="N421" s="2"/>
      <c r="O421" s="2" t="s">
        <v>12582</v>
      </c>
      <c r="P421" s="2" t="s">
        <v>313</v>
      </c>
      <c r="Q421" s="2" t="s">
        <v>17200</v>
      </c>
      <c r="R421" s="2" t="s">
        <v>17201</v>
      </c>
      <c r="S421" s="2" t="s">
        <v>44</v>
      </c>
      <c r="T421" s="2"/>
      <c r="U421" s="2" t="s">
        <v>821</v>
      </c>
      <c r="V421" s="2" t="s">
        <v>46</v>
      </c>
      <c r="W421" s="2" t="s">
        <v>821</v>
      </c>
      <c r="X421" s="2" t="s">
        <v>10787</v>
      </c>
      <c r="Y421" s="2" t="s">
        <v>10801</v>
      </c>
      <c r="Z421" s="2" t="s">
        <v>49</v>
      </c>
      <c r="AA421" s="2">
        <v>90</v>
      </c>
      <c r="AB421" s="2">
        <v>52</v>
      </c>
      <c r="AC421" s="2" t="s">
        <v>9685</v>
      </c>
      <c r="AD421" s="2" t="s">
        <v>17202</v>
      </c>
      <c r="AE421" s="2"/>
      <c r="AF421" s="2" t="s">
        <v>15038</v>
      </c>
      <c r="AG421" s="2" t="s">
        <v>14290</v>
      </c>
    </row>
    <row r="422" spans="1:33" x14ac:dyDescent="0.45">
      <c r="A422" s="2" t="s">
        <v>17203</v>
      </c>
      <c r="B422" s="2" t="s">
        <v>17204</v>
      </c>
      <c r="C422" s="2" t="s">
        <v>17205</v>
      </c>
      <c r="D422" s="2" t="s">
        <v>17206</v>
      </c>
      <c r="E422" s="2" t="s">
        <v>17207</v>
      </c>
      <c r="F422" s="2"/>
      <c r="G422" s="2"/>
      <c r="H422" s="2" t="s">
        <v>17208</v>
      </c>
      <c r="I422" s="2" t="s">
        <v>1137</v>
      </c>
      <c r="J422" s="2" t="s">
        <v>17209</v>
      </c>
      <c r="K422" s="2" t="s">
        <v>17206</v>
      </c>
      <c r="L422" s="2"/>
      <c r="M422" s="2"/>
      <c r="N422" s="2"/>
      <c r="O422" s="2" t="s">
        <v>17208</v>
      </c>
      <c r="P422" s="2" t="s">
        <v>1137</v>
      </c>
      <c r="Q422" s="2" t="s">
        <v>17209</v>
      </c>
      <c r="R422" s="2" t="s">
        <v>17210</v>
      </c>
      <c r="S422" s="2" t="s">
        <v>44</v>
      </c>
      <c r="T422" s="2"/>
      <c r="U422" s="2" t="s">
        <v>821</v>
      </c>
      <c r="V422" s="2" t="s">
        <v>46</v>
      </c>
      <c r="W422" s="2" t="s">
        <v>821</v>
      </c>
      <c r="X422" s="2" t="s">
        <v>11537</v>
      </c>
      <c r="Y422" s="2" t="s">
        <v>10801</v>
      </c>
      <c r="Z422" s="2" t="s">
        <v>49</v>
      </c>
      <c r="AA422" s="2">
        <v>90</v>
      </c>
      <c r="AB422" s="2">
        <v>52</v>
      </c>
      <c r="AC422" s="2" t="s">
        <v>9685</v>
      </c>
      <c r="AD422" s="2" t="s">
        <v>17211</v>
      </c>
      <c r="AE422" s="2"/>
      <c r="AF422" s="2" t="s">
        <v>15038</v>
      </c>
      <c r="AG422" s="2" t="s">
        <v>14290</v>
      </c>
    </row>
    <row r="423" spans="1:33" x14ac:dyDescent="0.45">
      <c r="A423" s="2" t="s">
        <v>17212</v>
      </c>
      <c r="B423" s="2" t="s">
        <v>17213</v>
      </c>
      <c r="C423" s="2" t="s">
        <v>17214</v>
      </c>
      <c r="D423" s="2" t="s">
        <v>17215</v>
      </c>
      <c r="E423" s="2" t="s">
        <v>17216</v>
      </c>
      <c r="F423" s="2"/>
      <c r="G423" s="2"/>
      <c r="H423" s="2" t="s">
        <v>9679</v>
      </c>
      <c r="I423" s="2" t="s">
        <v>9680</v>
      </c>
      <c r="J423" s="2" t="s">
        <v>17217</v>
      </c>
      <c r="K423" s="2" t="s">
        <v>17215</v>
      </c>
      <c r="L423" s="2"/>
      <c r="M423" s="2"/>
      <c r="N423" s="2"/>
      <c r="O423" s="2" t="s">
        <v>9679</v>
      </c>
      <c r="P423" s="2" t="s">
        <v>9680</v>
      </c>
      <c r="Q423" s="2" t="s">
        <v>17217</v>
      </c>
      <c r="R423" s="2" t="s">
        <v>17218</v>
      </c>
      <c r="S423" s="2" t="s">
        <v>44</v>
      </c>
      <c r="T423" s="2"/>
      <c r="U423" s="2" t="s">
        <v>821</v>
      </c>
      <c r="V423" s="2" t="s">
        <v>46</v>
      </c>
      <c r="W423" s="2" t="s">
        <v>821</v>
      </c>
      <c r="X423" s="2" t="s">
        <v>10787</v>
      </c>
      <c r="Y423" s="2" t="s">
        <v>10801</v>
      </c>
      <c r="Z423" s="2" t="s">
        <v>49</v>
      </c>
      <c r="AA423" s="2">
        <v>90</v>
      </c>
      <c r="AB423" s="2">
        <v>52</v>
      </c>
      <c r="AC423" s="2" t="s">
        <v>9685</v>
      </c>
      <c r="AD423" s="2" t="s">
        <v>17219</v>
      </c>
      <c r="AE423" s="2"/>
      <c r="AF423" s="2" t="s">
        <v>15038</v>
      </c>
      <c r="AG423" s="2" t="s">
        <v>14290</v>
      </c>
    </row>
    <row r="424" spans="1:33" x14ac:dyDescent="0.45">
      <c r="A424" s="2" t="s">
        <v>17220</v>
      </c>
      <c r="B424" s="2" t="s">
        <v>17221</v>
      </c>
      <c r="C424" s="2" t="s">
        <v>17222</v>
      </c>
      <c r="D424" s="2" t="s">
        <v>17223</v>
      </c>
      <c r="E424" s="2" t="s">
        <v>17224</v>
      </c>
      <c r="F424" s="2"/>
      <c r="G424" s="2"/>
      <c r="H424" s="2" t="s">
        <v>9838</v>
      </c>
      <c r="I424" s="2" t="s">
        <v>278</v>
      </c>
      <c r="J424" s="2" t="s">
        <v>13952</v>
      </c>
      <c r="K424" s="2" t="s">
        <v>17223</v>
      </c>
      <c r="L424" s="2"/>
      <c r="M424" s="2"/>
      <c r="N424" s="2"/>
      <c r="O424" s="2" t="s">
        <v>9838</v>
      </c>
      <c r="P424" s="2" t="s">
        <v>278</v>
      </c>
      <c r="Q424" s="2" t="s">
        <v>13952</v>
      </c>
      <c r="R424" s="2" t="s">
        <v>6032</v>
      </c>
      <c r="S424" s="2" t="s">
        <v>44</v>
      </c>
      <c r="T424" s="2"/>
      <c r="U424" s="2" t="s">
        <v>821</v>
      </c>
      <c r="V424" s="2" t="s">
        <v>46</v>
      </c>
      <c r="W424" s="2" t="s">
        <v>821</v>
      </c>
      <c r="X424" s="2" t="s">
        <v>10787</v>
      </c>
      <c r="Y424" s="2" t="s">
        <v>10801</v>
      </c>
      <c r="Z424" s="2" t="s">
        <v>49</v>
      </c>
      <c r="AA424" s="2">
        <v>90</v>
      </c>
      <c r="AB424" s="2">
        <v>52</v>
      </c>
      <c r="AC424" s="2" t="s">
        <v>9685</v>
      </c>
      <c r="AD424" s="2" t="s">
        <v>17225</v>
      </c>
      <c r="AE424" s="2"/>
      <c r="AF424" s="2" t="s">
        <v>15038</v>
      </c>
      <c r="AG424" s="2" t="s">
        <v>14290</v>
      </c>
    </row>
    <row r="425" spans="1:33" x14ac:dyDescent="0.45">
      <c r="A425" s="2" t="s">
        <v>17226</v>
      </c>
      <c r="B425" s="2" t="s">
        <v>17227</v>
      </c>
      <c r="C425" s="2"/>
      <c r="D425" s="2" t="s">
        <v>17228</v>
      </c>
      <c r="E425" s="2" t="s">
        <v>17229</v>
      </c>
      <c r="F425" s="2"/>
      <c r="G425" s="2"/>
      <c r="H425" s="2" t="s">
        <v>1188</v>
      </c>
      <c r="I425" s="2" t="s">
        <v>221</v>
      </c>
      <c r="J425" s="2" t="s">
        <v>1189</v>
      </c>
      <c r="K425" s="2" t="s">
        <v>17230</v>
      </c>
      <c r="L425" s="2"/>
      <c r="M425" s="2"/>
      <c r="N425" s="2"/>
      <c r="O425" s="2" t="s">
        <v>1188</v>
      </c>
      <c r="P425" s="2" t="s">
        <v>221</v>
      </c>
      <c r="Q425" s="2" t="s">
        <v>1189</v>
      </c>
      <c r="R425" s="2" t="s">
        <v>8371</v>
      </c>
      <c r="S425" s="2" t="s">
        <v>44</v>
      </c>
      <c r="T425" s="2"/>
      <c r="U425" s="2" t="s">
        <v>821</v>
      </c>
      <c r="V425" s="2" t="s">
        <v>46</v>
      </c>
      <c r="W425" s="2" t="s">
        <v>821</v>
      </c>
      <c r="X425" s="2" t="s">
        <v>10787</v>
      </c>
      <c r="Y425" s="2" t="s">
        <v>10801</v>
      </c>
      <c r="Z425" s="2" t="s">
        <v>49</v>
      </c>
      <c r="AA425" s="2">
        <v>75</v>
      </c>
      <c r="AB425" s="2">
        <v>52</v>
      </c>
      <c r="AC425" s="2" t="s">
        <v>9685</v>
      </c>
      <c r="AD425" s="2" t="s">
        <v>17231</v>
      </c>
      <c r="AE425" s="2"/>
      <c r="AF425" s="2" t="s">
        <v>15038</v>
      </c>
      <c r="AG425" s="2" t="s">
        <v>14290</v>
      </c>
    </row>
    <row r="426" spans="1:33" x14ac:dyDescent="0.45">
      <c r="A426" s="2" t="s">
        <v>17232</v>
      </c>
      <c r="B426" s="2" t="s">
        <v>17233</v>
      </c>
      <c r="C426" s="2" t="s">
        <v>17234</v>
      </c>
      <c r="D426" s="2" t="s">
        <v>17235</v>
      </c>
      <c r="E426" s="2" t="s">
        <v>17236</v>
      </c>
      <c r="F426" s="2" t="s">
        <v>17237</v>
      </c>
      <c r="G426" s="2" t="s">
        <v>17237</v>
      </c>
      <c r="H426" s="2" t="s">
        <v>8475</v>
      </c>
      <c r="I426" s="2" t="s">
        <v>221</v>
      </c>
      <c r="J426" s="2" t="s">
        <v>17238</v>
      </c>
      <c r="K426" s="2" t="s">
        <v>17235</v>
      </c>
      <c r="L426" s="2"/>
      <c r="M426" s="2"/>
      <c r="N426" s="2"/>
      <c r="O426" s="2" t="s">
        <v>8475</v>
      </c>
      <c r="P426" s="2" t="s">
        <v>221</v>
      </c>
      <c r="Q426" s="2" t="s">
        <v>17238</v>
      </c>
      <c r="R426" s="2" t="s">
        <v>5913</v>
      </c>
      <c r="S426" s="2" t="s">
        <v>44</v>
      </c>
      <c r="T426" s="2"/>
      <c r="U426" s="2" t="s">
        <v>821</v>
      </c>
      <c r="V426" s="2" t="s">
        <v>46</v>
      </c>
      <c r="W426" s="2" t="s">
        <v>821</v>
      </c>
      <c r="X426" s="2" t="s">
        <v>10787</v>
      </c>
      <c r="Y426" s="2" t="s">
        <v>10801</v>
      </c>
      <c r="Z426" s="2" t="s">
        <v>15016</v>
      </c>
      <c r="AA426" s="2">
        <v>100</v>
      </c>
      <c r="AB426" s="2">
        <v>50</v>
      </c>
      <c r="AC426" s="2" t="s">
        <v>9685</v>
      </c>
      <c r="AD426" s="2" t="s">
        <v>17239</v>
      </c>
      <c r="AE426" s="2"/>
      <c r="AF426" s="2" t="s">
        <v>15018</v>
      </c>
      <c r="AG426" s="2" t="s">
        <v>14290</v>
      </c>
    </row>
    <row r="427" spans="1:33" x14ac:dyDescent="0.45">
      <c r="A427" s="2" t="s">
        <v>17240</v>
      </c>
      <c r="B427" s="2" t="s">
        <v>17241</v>
      </c>
      <c r="C427" s="2" t="s">
        <v>17242</v>
      </c>
      <c r="D427" s="2" t="s">
        <v>17243</v>
      </c>
      <c r="E427" s="2" t="s">
        <v>17244</v>
      </c>
      <c r="F427" s="2"/>
      <c r="G427" s="2"/>
      <c r="H427" s="2" t="s">
        <v>174</v>
      </c>
      <c r="I427" s="2" t="s">
        <v>175</v>
      </c>
      <c r="J427" s="2" t="s">
        <v>772</v>
      </c>
      <c r="K427" s="2" t="s">
        <v>17243</v>
      </c>
      <c r="L427" s="2"/>
      <c r="M427" s="2"/>
      <c r="N427" s="2"/>
      <c r="O427" s="2" t="s">
        <v>174</v>
      </c>
      <c r="P427" s="2" t="s">
        <v>175</v>
      </c>
      <c r="Q427" s="2" t="s">
        <v>772</v>
      </c>
      <c r="R427" s="2" t="s">
        <v>17245</v>
      </c>
      <c r="S427" s="2" t="s">
        <v>44</v>
      </c>
      <c r="T427" s="2"/>
      <c r="U427" s="2" t="s">
        <v>3527</v>
      </c>
      <c r="V427" s="2" t="s">
        <v>46</v>
      </c>
      <c r="W427" s="2" t="s">
        <v>3527</v>
      </c>
      <c r="X427" s="2" t="s">
        <v>12462</v>
      </c>
      <c r="Y427" s="2" t="s">
        <v>10801</v>
      </c>
      <c r="Z427" s="2" t="s">
        <v>49</v>
      </c>
      <c r="AA427" s="2">
        <v>90</v>
      </c>
      <c r="AB427" s="2">
        <v>50</v>
      </c>
      <c r="AC427" s="2" t="s">
        <v>9685</v>
      </c>
      <c r="AD427" s="2" t="s">
        <v>17246</v>
      </c>
      <c r="AE427" s="2"/>
      <c r="AF427" s="2" t="s">
        <v>15038</v>
      </c>
      <c r="AG427" s="2" t="s">
        <v>14290</v>
      </c>
    </row>
    <row r="428" spans="1:33" x14ac:dyDescent="0.45">
      <c r="A428" s="2" t="s">
        <v>17247</v>
      </c>
      <c r="B428" s="2" t="s">
        <v>17248</v>
      </c>
      <c r="C428" s="2" t="s">
        <v>17249</v>
      </c>
      <c r="D428" s="2" t="s">
        <v>17250</v>
      </c>
      <c r="E428" s="2" t="s">
        <v>17251</v>
      </c>
      <c r="F428" s="2"/>
      <c r="G428" s="2"/>
      <c r="H428" s="2" t="s">
        <v>59</v>
      </c>
      <c r="I428" s="2" t="s">
        <v>60</v>
      </c>
      <c r="J428" s="2" t="s">
        <v>5251</v>
      </c>
      <c r="K428" s="2" t="s">
        <v>17250</v>
      </c>
      <c r="L428" s="2"/>
      <c r="M428" s="2"/>
      <c r="N428" s="2"/>
      <c r="O428" s="2" t="s">
        <v>59</v>
      </c>
      <c r="P428" s="2" t="s">
        <v>60</v>
      </c>
      <c r="Q428" s="2" t="s">
        <v>5251</v>
      </c>
      <c r="R428" s="2" t="s">
        <v>13358</v>
      </c>
      <c r="S428" s="2" t="s">
        <v>44</v>
      </c>
      <c r="T428" s="2"/>
      <c r="U428" s="2" t="s">
        <v>3527</v>
      </c>
      <c r="V428" s="2" t="s">
        <v>46</v>
      </c>
      <c r="W428" s="2" t="s">
        <v>3527</v>
      </c>
      <c r="X428" s="2" t="s">
        <v>10787</v>
      </c>
      <c r="Y428" s="2" t="s">
        <v>10801</v>
      </c>
      <c r="Z428" s="2" t="s">
        <v>49</v>
      </c>
      <c r="AA428" s="2">
        <v>90</v>
      </c>
      <c r="AB428" s="2">
        <v>50</v>
      </c>
      <c r="AC428" s="2" t="s">
        <v>9685</v>
      </c>
      <c r="AD428" s="2" t="s">
        <v>17252</v>
      </c>
      <c r="AE428" s="2"/>
      <c r="AF428" s="2" t="s">
        <v>15038</v>
      </c>
      <c r="AG428" s="2" t="s">
        <v>14290</v>
      </c>
    </row>
    <row r="429" spans="1:33" x14ac:dyDescent="0.45">
      <c r="A429" s="2" t="s">
        <v>17253</v>
      </c>
      <c r="B429" s="2" t="s">
        <v>17254</v>
      </c>
      <c r="C429" s="2" t="s">
        <v>17255</v>
      </c>
      <c r="D429" s="2" t="s">
        <v>17256</v>
      </c>
      <c r="E429" s="2" t="s">
        <v>17257</v>
      </c>
      <c r="F429" s="2"/>
      <c r="G429" s="2"/>
      <c r="H429" s="2" t="s">
        <v>59</v>
      </c>
      <c r="I429" s="2" t="s">
        <v>60</v>
      </c>
      <c r="J429" s="2" t="s">
        <v>8113</v>
      </c>
      <c r="K429" s="2" t="s">
        <v>17256</v>
      </c>
      <c r="L429" s="2"/>
      <c r="M429" s="2"/>
      <c r="N429" s="2"/>
      <c r="O429" s="2" t="s">
        <v>59</v>
      </c>
      <c r="P429" s="2" t="s">
        <v>60</v>
      </c>
      <c r="Q429" s="2" t="s">
        <v>8113</v>
      </c>
      <c r="R429" s="2" t="s">
        <v>17258</v>
      </c>
      <c r="S429" s="2" t="s">
        <v>44</v>
      </c>
      <c r="T429" s="2"/>
      <c r="U429" s="2" t="s">
        <v>3527</v>
      </c>
      <c r="V429" s="2" t="s">
        <v>46</v>
      </c>
      <c r="W429" s="2" t="s">
        <v>3527</v>
      </c>
      <c r="X429" s="2" t="s">
        <v>10787</v>
      </c>
      <c r="Y429" s="2" t="s">
        <v>10801</v>
      </c>
      <c r="Z429" s="2" t="s">
        <v>49</v>
      </c>
      <c r="AA429" s="2">
        <v>90</v>
      </c>
      <c r="AB429" s="2">
        <v>50</v>
      </c>
      <c r="AC429" s="2" t="s">
        <v>9685</v>
      </c>
      <c r="AD429" s="2" t="s">
        <v>17259</v>
      </c>
      <c r="AE429" s="2"/>
      <c r="AF429" s="2" t="s">
        <v>15038</v>
      </c>
      <c r="AG429" s="2" t="s">
        <v>14290</v>
      </c>
    </row>
    <row r="430" spans="1:33" x14ac:dyDescent="0.45">
      <c r="A430" s="2" t="s">
        <v>17260</v>
      </c>
      <c r="B430" s="2" t="s">
        <v>17261</v>
      </c>
      <c r="C430" s="2" t="s">
        <v>17262</v>
      </c>
      <c r="D430" s="2" t="s">
        <v>17263</v>
      </c>
      <c r="E430" s="2" t="s">
        <v>17264</v>
      </c>
      <c r="F430" s="2"/>
      <c r="G430" s="2"/>
      <c r="H430" s="2" t="s">
        <v>72</v>
      </c>
      <c r="I430" s="2" t="s">
        <v>73</v>
      </c>
      <c r="J430" s="2" t="s">
        <v>2090</v>
      </c>
      <c r="K430" s="2" t="s">
        <v>17265</v>
      </c>
      <c r="L430" s="2"/>
      <c r="M430" s="2"/>
      <c r="N430" s="2"/>
      <c r="O430" s="2" t="s">
        <v>312</v>
      </c>
      <c r="P430" s="2" t="s">
        <v>313</v>
      </c>
      <c r="Q430" s="2" t="s">
        <v>314</v>
      </c>
      <c r="R430" s="2" t="s">
        <v>17266</v>
      </c>
      <c r="S430" s="2" t="s">
        <v>44</v>
      </c>
      <c r="T430" s="2"/>
      <c r="U430" s="2" t="s">
        <v>3527</v>
      </c>
      <c r="V430" s="2" t="s">
        <v>46</v>
      </c>
      <c r="W430" s="2" t="s">
        <v>3527</v>
      </c>
      <c r="X430" s="2" t="s">
        <v>10787</v>
      </c>
      <c r="Y430" s="2" t="s">
        <v>10801</v>
      </c>
      <c r="Z430" s="2" t="s">
        <v>49</v>
      </c>
      <c r="AA430" s="2">
        <v>90</v>
      </c>
      <c r="AB430" s="2">
        <v>50</v>
      </c>
      <c r="AC430" s="2" t="s">
        <v>9685</v>
      </c>
      <c r="AD430" s="2" t="s">
        <v>17267</v>
      </c>
      <c r="AE430" s="2"/>
      <c r="AF430" s="2" t="s">
        <v>15038</v>
      </c>
      <c r="AG430" s="2" t="s">
        <v>14290</v>
      </c>
    </row>
    <row r="431" spans="1:33" x14ac:dyDescent="0.45">
      <c r="A431" s="2" t="s">
        <v>17268</v>
      </c>
      <c r="B431" s="2" t="s">
        <v>17269</v>
      </c>
      <c r="C431" s="2" t="s">
        <v>17270</v>
      </c>
      <c r="D431" s="2" t="s">
        <v>17271</v>
      </c>
      <c r="E431" s="2" t="s">
        <v>17272</v>
      </c>
      <c r="F431" s="2"/>
      <c r="G431" s="2"/>
      <c r="H431" s="2" t="s">
        <v>384</v>
      </c>
      <c r="I431" s="2" t="s">
        <v>73</v>
      </c>
      <c r="J431" s="2" t="s">
        <v>559</v>
      </c>
      <c r="K431" s="2" t="s">
        <v>17271</v>
      </c>
      <c r="L431" s="2"/>
      <c r="M431" s="2"/>
      <c r="N431" s="2"/>
      <c r="O431" s="2" t="s">
        <v>384</v>
      </c>
      <c r="P431" s="2" t="s">
        <v>73</v>
      </c>
      <c r="Q431" s="2" t="s">
        <v>559</v>
      </c>
      <c r="R431" s="2" t="s">
        <v>15973</v>
      </c>
      <c r="S431" s="2" t="s">
        <v>44</v>
      </c>
      <c r="T431" s="2"/>
      <c r="U431" s="2" t="s">
        <v>3527</v>
      </c>
      <c r="V431" s="2" t="s">
        <v>46</v>
      </c>
      <c r="W431" s="2" t="s">
        <v>3527</v>
      </c>
      <c r="X431" s="2" t="s">
        <v>10787</v>
      </c>
      <c r="Y431" s="2" t="s">
        <v>10801</v>
      </c>
      <c r="Z431" s="2" t="s">
        <v>49</v>
      </c>
      <c r="AA431" s="2">
        <v>90</v>
      </c>
      <c r="AB431" s="2">
        <v>50</v>
      </c>
      <c r="AC431" s="2" t="s">
        <v>9685</v>
      </c>
      <c r="AD431" s="2" t="s">
        <v>17273</v>
      </c>
      <c r="AE431" s="2"/>
      <c r="AF431" s="2" t="s">
        <v>15038</v>
      </c>
      <c r="AG431" s="2" t="s">
        <v>14290</v>
      </c>
    </row>
    <row r="432" spans="1:33" x14ac:dyDescent="0.45">
      <c r="A432" s="2" t="s">
        <v>17274</v>
      </c>
      <c r="B432" s="2" t="s">
        <v>17275</v>
      </c>
      <c r="C432" s="2" t="s">
        <v>17276</v>
      </c>
      <c r="D432" s="2" t="s">
        <v>17277</v>
      </c>
      <c r="E432" s="2" t="s">
        <v>17278</v>
      </c>
      <c r="F432" s="2"/>
      <c r="G432" s="2"/>
      <c r="H432" s="2" t="s">
        <v>384</v>
      </c>
      <c r="I432" s="2" t="s">
        <v>73</v>
      </c>
      <c r="J432" s="2" t="s">
        <v>557</v>
      </c>
      <c r="K432" s="2" t="s">
        <v>17277</v>
      </c>
      <c r="L432" s="2"/>
      <c r="M432" s="2"/>
      <c r="N432" s="2"/>
      <c r="O432" s="2" t="s">
        <v>384</v>
      </c>
      <c r="P432" s="2" t="s">
        <v>73</v>
      </c>
      <c r="Q432" s="2" t="s">
        <v>557</v>
      </c>
      <c r="R432" s="2" t="s">
        <v>17279</v>
      </c>
      <c r="S432" s="2" t="s">
        <v>44</v>
      </c>
      <c r="T432" s="2"/>
      <c r="U432" s="2" t="s">
        <v>3527</v>
      </c>
      <c r="V432" s="2" t="s">
        <v>46</v>
      </c>
      <c r="W432" s="2" t="s">
        <v>3527</v>
      </c>
      <c r="X432" s="2" t="s">
        <v>10787</v>
      </c>
      <c r="Y432" s="2" t="s">
        <v>10801</v>
      </c>
      <c r="Z432" s="2" t="s">
        <v>49</v>
      </c>
      <c r="AA432" s="2">
        <v>90</v>
      </c>
      <c r="AB432" s="2">
        <v>50</v>
      </c>
      <c r="AC432" s="2" t="s">
        <v>9685</v>
      </c>
      <c r="AD432" s="2" t="s">
        <v>17280</v>
      </c>
      <c r="AE432" s="2"/>
      <c r="AF432" s="2" t="s">
        <v>15038</v>
      </c>
      <c r="AG432" s="2" t="s">
        <v>14290</v>
      </c>
    </row>
    <row r="433" spans="1:33" x14ac:dyDescent="0.45">
      <c r="A433" s="2" t="s">
        <v>17281</v>
      </c>
      <c r="B433" s="2" t="s">
        <v>17282</v>
      </c>
      <c r="C433" s="2" t="s">
        <v>17283</v>
      </c>
      <c r="D433" s="2" t="s">
        <v>17284</v>
      </c>
      <c r="E433" s="2" t="s">
        <v>17285</v>
      </c>
      <c r="F433" s="2"/>
      <c r="G433" s="2"/>
      <c r="H433" s="2" t="s">
        <v>324</v>
      </c>
      <c r="I433" s="2" t="s">
        <v>73</v>
      </c>
      <c r="J433" s="2" t="s">
        <v>17286</v>
      </c>
      <c r="K433" s="2" t="s">
        <v>17287</v>
      </c>
      <c r="L433" s="2"/>
      <c r="M433" s="2"/>
      <c r="N433" s="2"/>
      <c r="O433" s="2" t="s">
        <v>312</v>
      </c>
      <c r="P433" s="2" t="s">
        <v>313</v>
      </c>
      <c r="Q433" s="2" t="s">
        <v>12386</v>
      </c>
      <c r="R433" s="2" t="s">
        <v>17288</v>
      </c>
      <c r="S433" s="2" t="s">
        <v>44</v>
      </c>
      <c r="T433" s="2"/>
      <c r="U433" s="2" t="s">
        <v>3527</v>
      </c>
      <c r="V433" s="2" t="s">
        <v>46</v>
      </c>
      <c r="W433" s="2" t="s">
        <v>3527</v>
      </c>
      <c r="X433" s="2" t="s">
        <v>10787</v>
      </c>
      <c r="Y433" s="2" t="s">
        <v>10801</v>
      </c>
      <c r="Z433" s="2" t="s">
        <v>49</v>
      </c>
      <c r="AA433" s="2">
        <v>90</v>
      </c>
      <c r="AB433" s="2">
        <v>50</v>
      </c>
      <c r="AC433" s="2" t="s">
        <v>9685</v>
      </c>
      <c r="AD433" s="2" t="s">
        <v>17289</v>
      </c>
      <c r="AE433" s="2"/>
      <c r="AF433" s="2" t="s">
        <v>15038</v>
      </c>
      <c r="AG433" s="2" t="s">
        <v>14290</v>
      </c>
    </row>
    <row r="434" spans="1:33" x14ac:dyDescent="0.45">
      <c r="A434" s="2" t="s">
        <v>17290</v>
      </c>
      <c r="B434" s="2" t="s">
        <v>17291</v>
      </c>
      <c r="C434" s="2" t="s">
        <v>17292</v>
      </c>
      <c r="D434" s="2" t="s">
        <v>17293</v>
      </c>
      <c r="E434" s="2" t="s">
        <v>17294</v>
      </c>
      <c r="F434" s="2"/>
      <c r="G434" s="2"/>
      <c r="H434" s="2" t="s">
        <v>72</v>
      </c>
      <c r="I434" s="2" t="s">
        <v>73</v>
      </c>
      <c r="J434" s="2" t="s">
        <v>17295</v>
      </c>
      <c r="K434" s="2" t="s">
        <v>17296</v>
      </c>
      <c r="L434" s="2"/>
      <c r="M434" s="2"/>
      <c r="N434" s="2"/>
      <c r="O434" s="2" t="s">
        <v>312</v>
      </c>
      <c r="P434" s="2" t="s">
        <v>313</v>
      </c>
      <c r="Q434" s="2" t="s">
        <v>11661</v>
      </c>
      <c r="R434" s="2" t="s">
        <v>6846</v>
      </c>
      <c r="S434" s="2" t="s">
        <v>44</v>
      </c>
      <c r="T434" s="2"/>
      <c r="U434" s="2" t="s">
        <v>3527</v>
      </c>
      <c r="V434" s="2" t="s">
        <v>46</v>
      </c>
      <c r="W434" s="2" t="s">
        <v>3527</v>
      </c>
      <c r="X434" s="2" t="s">
        <v>11537</v>
      </c>
      <c r="Y434" s="2" t="s">
        <v>10801</v>
      </c>
      <c r="Z434" s="2" t="s">
        <v>49</v>
      </c>
      <c r="AA434" s="2">
        <v>90</v>
      </c>
      <c r="AB434" s="2">
        <v>50</v>
      </c>
      <c r="AC434" s="2" t="s">
        <v>9685</v>
      </c>
      <c r="AD434" s="2" t="s">
        <v>17297</v>
      </c>
      <c r="AE434" s="2"/>
      <c r="AF434" s="2" t="s">
        <v>15038</v>
      </c>
      <c r="AG434" s="2" t="s">
        <v>14290</v>
      </c>
    </row>
    <row r="435" spans="1:33" x14ac:dyDescent="0.45">
      <c r="A435" s="2" t="s">
        <v>17298</v>
      </c>
      <c r="B435" s="2" t="s">
        <v>17299</v>
      </c>
      <c r="C435" s="2" t="s">
        <v>17300</v>
      </c>
      <c r="D435" s="2" t="s">
        <v>17301</v>
      </c>
      <c r="E435" s="2" t="s">
        <v>17302</v>
      </c>
      <c r="F435" s="2"/>
      <c r="G435" s="2"/>
      <c r="H435" s="2" t="s">
        <v>384</v>
      </c>
      <c r="I435" s="2" t="s">
        <v>73</v>
      </c>
      <c r="J435" s="2" t="s">
        <v>557</v>
      </c>
      <c r="K435" s="2" t="s">
        <v>17303</v>
      </c>
      <c r="L435" s="2"/>
      <c r="M435" s="2"/>
      <c r="N435" s="2"/>
      <c r="O435" s="2" t="s">
        <v>384</v>
      </c>
      <c r="P435" s="2" t="s">
        <v>73</v>
      </c>
      <c r="Q435" s="2" t="s">
        <v>557</v>
      </c>
      <c r="R435" s="2" t="s">
        <v>6846</v>
      </c>
      <c r="S435" s="2" t="s">
        <v>44</v>
      </c>
      <c r="T435" s="2"/>
      <c r="U435" s="2" t="s">
        <v>3527</v>
      </c>
      <c r="V435" s="2" t="s">
        <v>46</v>
      </c>
      <c r="W435" s="2" t="s">
        <v>3527</v>
      </c>
      <c r="X435" s="2" t="s">
        <v>10787</v>
      </c>
      <c r="Y435" s="2" t="s">
        <v>10801</v>
      </c>
      <c r="Z435" s="2" t="s">
        <v>49</v>
      </c>
      <c r="AA435" s="2">
        <v>90</v>
      </c>
      <c r="AB435" s="2">
        <v>50</v>
      </c>
      <c r="AC435" s="2" t="s">
        <v>9685</v>
      </c>
      <c r="AD435" s="2" t="s">
        <v>17304</v>
      </c>
      <c r="AE435" s="2"/>
      <c r="AF435" s="2" t="s">
        <v>15038</v>
      </c>
      <c r="AG435" s="2" t="s">
        <v>14290</v>
      </c>
    </row>
    <row r="436" spans="1:33" x14ac:dyDescent="0.45">
      <c r="A436" s="2" t="s">
        <v>17305</v>
      </c>
      <c r="B436" s="2" t="s">
        <v>17306</v>
      </c>
      <c r="C436" s="2" t="s">
        <v>17307</v>
      </c>
      <c r="D436" s="2" t="s">
        <v>17308</v>
      </c>
      <c r="E436" s="2" t="s">
        <v>17309</v>
      </c>
      <c r="F436" s="2"/>
      <c r="G436" s="2"/>
      <c r="H436" s="2" t="s">
        <v>85</v>
      </c>
      <c r="I436" s="2" t="s">
        <v>86</v>
      </c>
      <c r="J436" s="2" t="s">
        <v>13402</v>
      </c>
      <c r="K436" s="2" t="s">
        <v>17310</v>
      </c>
      <c r="L436" s="2"/>
      <c r="M436" s="2"/>
      <c r="N436" s="2"/>
      <c r="O436" s="2" t="s">
        <v>85</v>
      </c>
      <c r="P436" s="2" t="s">
        <v>86</v>
      </c>
      <c r="Q436" s="2" t="s">
        <v>17311</v>
      </c>
      <c r="R436" s="2" t="s">
        <v>17312</v>
      </c>
      <c r="S436" s="2" t="s">
        <v>44</v>
      </c>
      <c r="T436" s="2"/>
      <c r="U436" s="2" t="s">
        <v>3527</v>
      </c>
      <c r="V436" s="2" t="s">
        <v>46</v>
      </c>
      <c r="W436" s="2" t="s">
        <v>3527</v>
      </c>
      <c r="X436" s="2" t="s">
        <v>10787</v>
      </c>
      <c r="Y436" s="2" t="s">
        <v>10801</v>
      </c>
      <c r="Z436" s="2" t="s">
        <v>49</v>
      </c>
      <c r="AA436" s="2">
        <v>90</v>
      </c>
      <c r="AB436" s="2">
        <v>50</v>
      </c>
      <c r="AC436" s="2" t="s">
        <v>9685</v>
      </c>
      <c r="AD436" s="2" t="s">
        <v>17313</v>
      </c>
      <c r="AE436" s="2"/>
      <c r="AF436" s="2" t="s">
        <v>15038</v>
      </c>
      <c r="AG436" s="2" t="s">
        <v>14290</v>
      </c>
    </row>
    <row r="437" spans="1:33" x14ac:dyDescent="0.45">
      <c r="A437" s="2" t="s">
        <v>17314</v>
      </c>
      <c r="B437" s="2" t="s">
        <v>17315</v>
      </c>
      <c r="C437" s="2" t="s">
        <v>17316</v>
      </c>
      <c r="D437" s="2" t="s">
        <v>17317</v>
      </c>
      <c r="E437" s="2" t="s">
        <v>17318</v>
      </c>
      <c r="F437" s="2"/>
      <c r="G437" s="2"/>
      <c r="H437" s="2" t="s">
        <v>174</v>
      </c>
      <c r="I437" s="2" t="s">
        <v>175</v>
      </c>
      <c r="J437" s="2" t="s">
        <v>1316</v>
      </c>
      <c r="K437" s="2" t="s">
        <v>17319</v>
      </c>
      <c r="L437" s="2"/>
      <c r="M437" s="2"/>
      <c r="N437" s="2"/>
      <c r="O437" s="2" t="s">
        <v>174</v>
      </c>
      <c r="P437" s="2" t="s">
        <v>175</v>
      </c>
      <c r="Q437" s="2" t="s">
        <v>1316</v>
      </c>
      <c r="R437" s="2" t="s">
        <v>2204</v>
      </c>
      <c r="S437" s="2" t="s">
        <v>44</v>
      </c>
      <c r="T437" s="2"/>
      <c r="U437" s="2" t="s">
        <v>3527</v>
      </c>
      <c r="V437" s="2" t="s">
        <v>46</v>
      </c>
      <c r="W437" s="2" t="s">
        <v>3527</v>
      </c>
      <c r="X437" s="2" t="s">
        <v>11537</v>
      </c>
      <c r="Y437" s="2" t="s">
        <v>10801</v>
      </c>
      <c r="Z437" s="2" t="s">
        <v>49</v>
      </c>
      <c r="AA437" s="2">
        <v>90</v>
      </c>
      <c r="AB437" s="2">
        <v>50</v>
      </c>
      <c r="AC437" s="2" t="s">
        <v>9685</v>
      </c>
      <c r="AD437" s="2" t="s">
        <v>17320</v>
      </c>
      <c r="AE437" s="2"/>
      <c r="AF437" s="2" t="s">
        <v>15038</v>
      </c>
      <c r="AG437" s="2" t="s">
        <v>14290</v>
      </c>
    </row>
    <row r="438" spans="1:33" x14ac:dyDescent="0.45">
      <c r="A438" s="2" t="s">
        <v>17321</v>
      </c>
      <c r="B438" s="2" t="s">
        <v>17322</v>
      </c>
      <c r="C438" s="2" t="s">
        <v>17323</v>
      </c>
      <c r="D438" s="2" t="s">
        <v>17324</v>
      </c>
      <c r="E438" s="2" t="s">
        <v>17325</v>
      </c>
      <c r="F438" s="2"/>
      <c r="G438" s="2"/>
      <c r="H438" s="2" t="s">
        <v>59</v>
      </c>
      <c r="I438" s="2" t="s">
        <v>60</v>
      </c>
      <c r="J438" s="2" t="s">
        <v>1589</v>
      </c>
      <c r="K438" s="2" t="s">
        <v>17326</v>
      </c>
      <c r="L438" s="2"/>
      <c r="M438" s="2"/>
      <c r="N438" s="2"/>
      <c r="O438" s="2" t="s">
        <v>59</v>
      </c>
      <c r="P438" s="2" t="s">
        <v>60</v>
      </c>
      <c r="Q438" s="2" t="s">
        <v>1589</v>
      </c>
      <c r="R438" s="2" t="s">
        <v>13523</v>
      </c>
      <c r="S438" s="2" t="s">
        <v>44</v>
      </c>
      <c r="T438" s="2"/>
      <c r="U438" s="2" t="s">
        <v>3527</v>
      </c>
      <c r="V438" s="2" t="s">
        <v>46</v>
      </c>
      <c r="W438" s="2" t="s">
        <v>3527</v>
      </c>
      <c r="X438" s="2" t="s">
        <v>10787</v>
      </c>
      <c r="Y438" s="2" t="s">
        <v>10801</v>
      </c>
      <c r="Z438" s="2" t="s">
        <v>49</v>
      </c>
      <c r="AA438" s="2">
        <v>90</v>
      </c>
      <c r="AB438" s="2">
        <v>50</v>
      </c>
      <c r="AC438" s="2" t="s">
        <v>9685</v>
      </c>
      <c r="AD438" s="2" t="s">
        <v>17327</v>
      </c>
      <c r="AE438" s="2"/>
      <c r="AF438" s="2" t="s">
        <v>15038</v>
      </c>
      <c r="AG438" s="2" t="s">
        <v>14290</v>
      </c>
    </row>
    <row r="439" spans="1:33" x14ac:dyDescent="0.45">
      <c r="A439" s="2" t="s">
        <v>17328</v>
      </c>
      <c r="B439" s="2" t="s">
        <v>17329</v>
      </c>
      <c r="C439" s="2" t="s">
        <v>17330</v>
      </c>
      <c r="D439" s="2" t="s">
        <v>17331</v>
      </c>
      <c r="E439" s="2" t="s">
        <v>17332</v>
      </c>
      <c r="F439" s="2"/>
      <c r="G439" s="2"/>
      <c r="H439" s="2" t="s">
        <v>59</v>
      </c>
      <c r="I439" s="2" t="s">
        <v>60</v>
      </c>
      <c r="J439" s="2" t="s">
        <v>12350</v>
      </c>
      <c r="K439" s="2" t="s">
        <v>17333</v>
      </c>
      <c r="L439" s="2"/>
      <c r="M439" s="2"/>
      <c r="N439" s="2"/>
      <c r="O439" s="2" t="s">
        <v>59</v>
      </c>
      <c r="P439" s="2" t="s">
        <v>60</v>
      </c>
      <c r="Q439" s="2" t="s">
        <v>12350</v>
      </c>
      <c r="R439" s="2" t="s">
        <v>17334</v>
      </c>
      <c r="S439" s="2" t="s">
        <v>44</v>
      </c>
      <c r="T439" s="2"/>
      <c r="U439" s="2" t="s">
        <v>3527</v>
      </c>
      <c r="V439" s="2" t="s">
        <v>46</v>
      </c>
      <c r="W439" s="2" t="s">
        <v>3527</v>
      </c>
      <c r="X439" s="2" t="s">
        <v>10787</v>
      </c>
      <c r="Y439" s="2" t="s">
        <v>10801</v>
      </c>
      <c r="Z439" s="2" t="s">
        <v>49</v>
      </c>
      <c r="AA439" s="2">
        <v>90</v>
      </c>
      <c r="AB439" s="2">
        <v>50</v>
      </c>
      <c r="AC439" s="2" t="s">
        <v>9685</v>
      </c>
      <c r="AD439" s="2" t="s">
        <v>17335</v>
      </c>
      <c r="AE439" s="2"/>
      <c r="AF439" s="2" t="s">
        <v>15038</v>
      </c>
      <c r="AG439" s="2" t="s">
        <v>14290</v>
      </c>
    </row>
    <row r="440" spans="1:33" x14ac:dyDescent="0.45">
      <c r="A440" s="2" t="s">
        <v>17336</v>
      </c>
      <c r="B440" s="2" t="s">
        <v>17337</v>
      </c>
      <c r="C440" s="2" t="s">
        <v>17338</v>
      </c>
      <c r="D440" s="2" t="s">
        <v>17339</v>
      </c>
      <c r="E440" s="2" t="s">
        <v>17340</v>
      </c>
      <c r="F440" s="2"/>
      <c r="G440" s="2"/>
      <c r="H440" s="2" t="s">
        <v>72</v>
      </c>
      <c r="I440" s="2" t="s">
        <v>73</v>
      </c>
      <c r="J440" s="2" t="s">
        <v>187</v>
      </c>
      <c r="K440" s="2" t="s">
        <v>17339</v>
      </c>
      <c r="L440" s="2"/>
      <c r="M440" s="2"/>
      <c r="N440" s="2"/>
      <c r="O440" s="2" t="s">
        <v>72</v>
      </c>
      <c r="P440" s="2" t="s">
        <v>73</v>
      </c>
      <c r="Q440" s="2" t="s">
        <v>187</v>
      </c>
      <c r="R440" s="2" t="s">
        <v>444</v>
      </c>
      <c r="S440" s="2" t="s">
        <v>44</v>
      </c>
      <c r="T440" s="2"/>
      <c r="U440" s="2" t="s">
        <v>3527</v>
      </c>
      <c r="V440" s="2" t="s">
        <v>46</v>
      </c>
      <c r="W440" s="2" t="s">
        <v>3527</v>
      </c>
      <c r="X440" s="2" t="s">
        <v>11005</v>
      </c>
      <c r="Y440" s="2" t="s">
        <v>10801</v>
      </c>
      <c r="Z440" s="2" t="s">
        <v>49</v>
      </c>
      <c r="AA440" s="2">
        <v>90</v>
      </c>
      <c r="AB440" s="2">
        <v>50</v>
      </c>
      <c r="AC440" s="2" t="s">
        <v>9685</v>
      </c>
      <c r="AD440" s="2" t="s">
        <v>17341</v>
      </c>
      <c r="AE440" s="2"/>
      <c r="AF440" s="2" t="s">
        <v>15038</v>
      </c>
      <c r="AG440" s="2" t="s">
        <v>14290</v>
      </c>
    </row>
    <row r="441" spans="1:33" x14ac:dyDescent="0.45">
      <c r="A441" s="2" t="s">
        <v>17342</v>
      </c>
      <c r="B441" s="2" t="s">
        <v>17343</v>
      </c>
      <c r="C441" s="2" t="s">
        <v>17344</v>
      </c>
      <c r="D441" s="2" t="s">
        <v>17345</v>
      </c>
      <c r="E441" s="2" t="s">
        <v>17346</v>
      </c>
      <c r="F441" s="2"/>
      <c r="G441" s="2"/>
      <c r="H441" s="2" t="s">
        <v>72</v>
      </c>
      <c r="I441" s="2" t="s">
        <v>73</v>
      </c>
      <c r="J441" s="2" t="s">
        <v>187</v>
      </c>
      <c r="K441" s="2" t="s">
        <v>17345</v>
      </c>
      <c r="L441" s="2"/>
      <c r="M441" s="2"/>
      <c r="N441" s="2"/>
      <c r="O441" s="2" t="s">
        <v>72</v>
      </c>
      <c r="P441" s="2" t="s">
        <v>73</v>
      </c>
      <c r="Q441" s="2" t="s">
        <v>187</v>
      </c>
      <c r="R441" s="2" t="s">
        <v>444</v>
      </c>
      <c r="S441" s="2" t="s">
        <v>44</v>
      </c>
      <c r="T441" s="2"/>
      <c r="U441" s="2" t="s">
        <v>3527</v>
      </c>
      <c r="V441" s="2" t="s">
        <v>46</v>
      </c>
      <c r="W441" s="2" t="s">
        <v>3527</v>
      </c>
      <c r="X441" s="2" t="s">
        <v>10787</v>
      </c>
      <c r="Y441" s="2" t="s">
        <v>10801</v>
      </c>
      <c r="Z441" s="2" t="s">
        <v>49</v>
      </c>
      <c r="AA441" s="2">
        <v>90</v>
      </c>
      <c r="AB441" s="2">
        <v>50</v>
      </c>
      <c r="AC441" s="2" t="s">
        <v>9685</v>
      </c>
      <c r="AD441" s="2" t="s">
        <v>17347</v>
      </c>
      <c r="AE441" s="2"/>
      <c r="AF441" s="2" t="s">
        <v>15038</v>
      </c>
      <c r="AG441" s="2" t="s">
        <v>14290</v>
      </c>
    </row>
    <row r="442" spans="1:33" x14ac:dyDescent="0.45">
      <c r="A442" s="2" t="s">
        <v>17348</v>
      </c>
      <c r="B442" s="2" t="s">
        <v>17349</v>
      </c>
      <c r="C442" s="2" t="s">
        <v>17350</v>
      </c>
      <c r="D442" s="2" t="s">
        <v>17351</v>
      </c>
      <c r="E442" s="2" t="s">
        <v>17352</v>
      </c>
      <c r="F442" s="2"/>
      <c r="G442" s="2"/>
      <c r="H442" s="2" t="s">
        <v>536</v>
      </c>
      <c r="I442" s="2" t="s">
        <v>537</v>
      </c>
      <c r="J442" s="2" t="s">
        <v>1428</v>
      </c>
      <c r="K442" s="2" t="s">
        <v>17351</v>
      </c>
      <c r="L442" s="2"/>
      <c r="M442" s="2"/>
      <c r="N442" s="2"/>
      <c r="O442" s="2" t="s">
        <v>536</v>
      </c>
      <c r="P442" s="2" t="s">
        <v>537</v>
      </c>
      <c r="Q442" s="2" t="s">
        <v>1428</v>
      </c>
      <c r="R442" s="2" t="s">
        <v>13550</v>
      </c>
      <c r="S442" s="2" t="s">
        <v>44</v>
      </c>
      <c r="T442" s="2"/>
      <c r="U442" s="2" t="s">
        <v>3527</v>
      </c>
      <c r="V442" s="2" t="s">
        <v>46</v>
      </c>
      <c r="W442" s="2" t="s">
        <v>3527</v>
      </c>
      <c r="X442" s="2" t="s">
        <v>10787</v>
      </c>
      <c r="Y442" s="2" t="s">
        <v>10801</v>
      </c>
      <c r="Z442" s="2" t="s">
        <v>49</v>
      </c>
      <c r="AA442" s="2">
        <v>90</v>
      </c>
      <c r="AB442" s="2">
        <v>50</v>
      </c>
      <c r="AC442" s="2" t="s">
        <v>9685</v>
      </c>
      <c r="AD442" s="2" t="s">
        <v>17353</v>
      </c>
      <c r="AE442" s="2"/>
      <c r="AF442" s="2" t="s">
        <v>15038</v>
      </c>
      <c r="AG442" s="2" t="s">
        <v>14290</v>
      </c>
    </row>
    <row r="443" spans="1:33" x14ac:dyDescent="0.45">
      <c r="A443" s="2" t="s">
        <v>17354</v>
      </c>
      <c r="B443" s="2" t="s">
        <v>17355</v>
      </c>
      <c r="C443" s="2" t="s">
        <v>17356</v>
      </c>
      <c r="D443" s="2" t="s">
        <v>17357</v>
      </c>
      <c r="E443" s="2" t="s">
        <v>17358</v>
      </c>
      <c r="F443" s="2"/>
      <c r="G443" s="2"/>
      <c r="H443" s="2" t="s">
        <v>384</v>
      </c>
      <c r="I443" s="2" t="s">
        <v>73</v>
      </c>
      <c r="J443" s="2" t="s">
        <v>17359</v>
      </c>
      <c r="K443" s="2" t="s">
        <v>17360</v>
      </c>
      <c r="L443" s="2"/>
      <c r="M443" s="2"/>
      <c r="N443" s="2"/>
      <c r="O443" s="2" t="s">
        <v>384</v>
      </c>
      <c r="P443" s="2" t="s">
        <v>73</v>
      </c>
      <c r="Q443" s="2" t="s">
        <v>17359</v>
      </c>
      <c r="R443" s="2" t="s">
        <v>17361</v>
      </c>
      <c r="S443" s="2" t="s">
        <v>44</v>
      </c>
      <c r="T443" s="2"/>
      <c r="U443" s="2" t="s">
        <v>3527</v>
      </c>
      <c r="V443" s="2" t="s">
        <v>46</v>
      </c>
      <c r="W443" s="2" t="s">
        <v>3527</v>
      </c>
      <c r="X443" s="2" t="s">
        <v>10787</v>
      </c>
      <c r="Y443" s="2" t="s">
        <v>10801</v>
      </c>
      <c r="Z443" s="2" t="s">
        <v>49</v>
      </c>
      <c r="AA443" s="2">
        <v>90</v>
      </c>
      <c r="AB443" s="2">
        <v>50</v>
      </c>
      <c r="AC443" s="2" t="s">
        <v>9685</v>
      </c>
      <c r="AD443" s="2" t="s">
        <v>17362</v>
      </c>
      <c r="AE443" s="2"/>
      <c r="AF443" s="2" t="s">
        <v>15038</v>
      </c>
      <c r="AG443" s="2" t="s">
        <v>14290</v>
      </c>
    </row>
    <row r="444" spans="1:33" x14ac:dyDescent="0.45">
      <c r="A444" s="2" t="s">
        <v>17363</v>
      </c>
      <c r="B444" s="2" t="s">
        <v>17364</v>
      </c>
      <c r="C444" s="2" t="s">
        <v>17365</v>
      </c>
      <c r="D444" s="2" t="s">
        <v>17366</v>
      </c>
      <c r="E444" s="2" t="s">
        <v>17367</v>
      </c>
      <c r="F444" s="2"/>
      <c r="G444" s="2"/>
      <c r="H444" s="2" t="s">
        <v>324</v>
      </c>
      <c r="I444" s="2" t="s">
        <v>73</v>
      </c>
      <c r="J444" s="2" t="s">
        <v>7664</v>
      </c>
      <c r="K444" s="2" t="s">
        <v>17366</v>
      </c>
      <c r="L444" s="2"/>
      <c r="M444" s="2"/>
      <c r="N444" s="2"/>
      <c r="O444" s="2" t="s">
        <v>324</v>
      </c>
      <c r="P444" s="2" t="s">
        <v>73</v>
      </c>
      <c r="Q444" s="2" t="s">
        <v>7664</v>
      </c>
      <c r="R444" s="2" t="s">
        <v>17368</v>
      </c>
      <c r="S444" s="2" t="s">
        <v>44</v>
      </c>
      <c r="T444" s="2"/>
      <c r="U444" s="2" t="s">
        <v>3527</v>
      </c>
      <c r="V444" s="2" t="s">
        <v>46</v>
      </c>
      <c r="W444" s="2" t="s">
        <v>3527</v>
      </c>
      <c r="X444" s="2" t="s">
        <v>10787</v>
      </c>
      <c r="Y444" s="2" t="s">
        <v>10801</v>
      </c>
      <c r="Z444" s="2" t="s">
        <v>49</v>
      </c>
      <c r="AA444" s="2">
        <v>90</v>
      </c>
      <c r="AB444" s="2">
        <v>50</v>
      </c>
      <c r="AC444" s="2" t="s">
        <v>9685</v>
      </c>
      <c r="AD444" s="2" t="s">
        <v>17369</v>
      </c>
      <c r="AE444" s="2"/>
      <c r="AF444" s="2" t="s">
        <v>15038</v>
      </c>
      <c r="AG444" s="2" t="s">
        <v>14290</v>
      </c>
    </row>
    <row r="445" spans="1:33" x14ac:dyDescent="0.45">
      <c r="A445" s="2" t="s">
        <v>17370</v>
      </c>
      <c r="B445" s="2" t="s">
        <v>17371</v>
      </c>
      <c r="C445" s="2" t="s">
        <v>17372</v>
      </c>
      <c r="D445" s="2" t="s">
        <v>17373</v>
      </c>
      <c r="E445" s="2" t="s">
        <v>17374</v>
      </c>
      <c r="F445" s="2"/>
      <c r="G445" s="2"/>
      <c r="H445" s="2" t="s">
        <v>59</v>
      </c>
      <c r="I445" s="2" t="s">
        <v>60</v>
      </c>
      <c r="J445" s="2" t="s">
        <v>14241</v>
      </c>
      <c r="K445" s="2" t="s">
        <v>17373</v>
      </c>
      <c r="L445" s="2"/>
      <c r="M445" s="2"/>
      <c r="N445" s="2"/>
      <c r="O445" s="2" t="s">
        <v>59</v>
      </c>
      <c r="P445" s="2" t="s">
        <v>60</v>
      </c>
      <c r="Q445" s="2" t="s">
        <v>14241</v>
      </c>
      <c r="R445" s="2" t="s">
        <v>1239</v>
      </c>
      <c r="S445" s="2" t="s">
        <v>44</v>
      </c>
      <c r="T445" s="2"/>
      <c r="U445" s="2" t="s">
        <v>3527</v>
      </c>
      <c r="V445" s="2" t="s">
        <v>46</v>
      </c>
      <c r="W445" s="2" t="s">
        <v>3527</v>
      </c>
      <c r="X445" s="2" t="s">
        <v>10787</v>
      </c>
      <c r="Y445" s="2" t="s">
        <v>10801</v>
      </c>
      <c r="Z445" s="2" t="s">
        <v>49</v>
      </c>
      <c r="AA445" s="2">
        <v>90</v>
      </c>
      <c r="AB445" s="2">
        <v>50</v>
      </c>
      <c r="AC445" s="2" t="s">
        <v>9685</v>
      </c>
      <c r="AD445" s="2" t="s">
        <v>17375</v>
      </c>
      <c r="AE445" s="2"/>
      <c r="AF445" s="2" t="s">
        <v>15038</v>
      </c>
      <c r="AG445" s="2" t="s">
        <v>14290</v>
      </c>
    </row>
    <row r="446" spans="1:33" x14ac:dyDescent="0.45">
      <c r="A446" s="2" t="s">
        <v>17376</v>
      </c>
      <c r="B446" s="2" t="s">
        <v>17377</v>
      </c>
      <c r="C446" s="2" t="s">
        <v>17378</v>
      </c>
      <c r="D446" s="2" t="s">
        <v>17379</v>
      </c>
      <c r="E446" s="2" t="s">
        <v>17380</v>
      </c>
      <c r="F446" s="2"/>
      <c r="G446" s="2"/>
      <c r="H446" s="2" t="s">
        <v>290</v>
      </c>
      <c r="I446" s="2" t="s">
        <v>278</v>
      </c>
      <c r="J446" s="2" t="s">
        <v>1460</v>
      </c>
      <c r="K446" s="2" t="s">
        <v>17379</v>
      </c>
      <c r="L446" s="2"/>
      <c r="M446" s="2"/>
      <c r="N446" s="2"/>
      <c r="O446" s="2" t="s">
        <v>290</v>
      </c>
      <c r="P446" s="2" t="s">
        <v>278</v>
      </c>
      <c r="Q446" s="2" t="s">
        <v>1460</v>
      </c>
      <c r="R446" s="2" t="s">
        <v>17381</v>
      </c>
      <c r="S446" s="2" t="s">
        <v>44</v>
      </c>
      <c r="T446" s="2"/>
      <c r="U446" s="2" t="s">
        <v>3527</v>
      </c>
      <c r="V446" s="2" t="s">
        <v>46</v>
      </c>
      <c r="W446" s="2" t="s">
        <v>3527</v>
      </c>
      <c r="X446" s="2" t="s">
        <v>10787</v>
      </c>
      <c r="Y446" s="2" t="s">
        <v>10801</v>
      </c>
      <c r="Z446" s="2" t="s">
        <v>49</v>
      </c>
      <c r="AA446" s="2">
        <v>90</v>
      </c>
      <c r="AB446" s="2">
        <v>50</v>
      </c>
      <c r="AC446" s="2" t="s">
        <v>9685</v>
      </c>
      <c r="AD446" s="2" t="s">
        <v>17382</v>
      </c>
      <c r="AE446" s="2"/>
      <c r="AF446" s="2" t="s">
        <v>15038</v>
      </c>
      <c r="AG446" s="2" t="s">
        <v>14290</v>
      </c>
    </row>
    <row r="447" spans="1:33" x14ac:dyDescent="0.45">
      <c r="A447" s="2" t="s">
        <v>17383</v>
      </c>
      <c r="B447" s="2" t="s">
        <v>17384</v>
      </c>
      <c r="C447" s="2" t="s">
        <v>17385</v>
      </c>
      <c r="D447" s="2" t="s">
        <v>17386</v>
      </c>
      <c r="E447" s="2" t="s">
        <v>17387</v>
      </c>
      <c r="F447" s="2"/>
      <c r="G447" s="2"/>
      <c r="H447" s="2" t="s">
        <v>59</v>
      </c>
      <c r="I447" s="2" t="s">
        <v>60</v>
      </c>
      <c r="J447" s="2" t="s">
        <v>1640</v>
      </c>
      <c r="K447" s="2" t="s">
        <v>17386</v>
      </c>
      <c r="L447" s="2"/>
      <c r="M447" s="2"/>
      <c r="N447" s="2"/>
      <c r="O447" s="2" t="s">
        <v>59</v>
      </c>
      <c r="P447" s="2" t="s">
        <v>60</v>
      </c>
      <c r="Q447" s="2" t="s">
        <v>1640</v>
      </c>
      <c r="R447" s="2" t="s">
        <v>8900</v>
      </c>
      <c r="S447" s="2" t="s">
        <v>44</v>
      </c>
      <c r="T447" s="2"/>
      <c r="U447" s="2" t="s">
        <v>3527</v>
      </c>
      <c r="V447" s="2" t="s">
        <v>46</v>
      </c>
      <c r="W447" s="2" t="s">
        <v>3527</v>
      </c>
      <c r="X447" s="2" t="s">
        <v>10787</v>
      </c>
      <c r="Y447" s="2" t="s">
        <v>10801</v>
      </c>
      <c r="Z447" s="2" t="s">
        <v>49</v>
      </c>
      <c r="AA447" s="2">
        <v>90</v>
      </c>
      <c r="AB447" s="2">
        <v>50</v>
      </c>
      <c r="AC447" s="2" t="s">
        <v>9685</v>
      </c>
      <c r="AD447" s="2" t="s">
        <v>17388</v>
      </c>
      <c r="AE447" s="2"/>
      <c r="AF447" s="2" t="s">
        <v>15038</v>
      </c>
      <c r="AG447" s="2" t="s">
        <v>14290</v>
      </c>
    </row>
    <row r="448" spans="1:33" x14ac:dyDescent="0.45">
      <c r="A448" s="2" t="s">
        <v>2955</v>
      </c>
      <c r="B448" s="2" t="s">
        <v>17389</v>
      </c>
      <c r="C448" s="2" t="s">
        <v>17390</v>
      </c>
      <c r="D448" s="2" t="s">
        <v>17391</v>
      </c>
      <c r="E448" s="2" t="s">
        <v>17392</v>
      </c>
      <c r="F448" s="2"/>
      <c r="G448" s="2"/>
      <c r="H448" s="2" t="s">
        <v>424</v>
      </c>
      <c r="I448" s="2" t="s">
        <v>217</v>
      </c>
      <c r="J448" s="2" t="s">
        <v>1151</v>
      </c>
      <c r="K448" s="2" t="s">
        <v>17393</v>
      </c>
      <c r="L448" s="2"/>
      <c r="M448" s="2"/>
      <c r="N448" s="2"/>
      <c r="O448" s="2" t="s">
        <v>424</v>
      </c>
      <c r="P448" s="2" t="s">
        <v>217</v>
      </c>
      <c r="Q448" s="2" t="s">
        <v>1151</v>
      </c>
      <c r="R448" s="2" t="s">
        <v>17394</v>
      </c>
      <c r="S448" s="2" t="s">
        <v>44</v>
      </c>
      <c r="T448" s="2"/>
      <c r="U448" s="2" t="s">
        <v>3527</v>
      </c>
      <c r="V448" s="2" t="s">
        <v>199</v>
      </c>
      <c r="W448" s="2" t="s">
        <v>3527</v>
      </c>
      <c r="X448" s="2" t="s">
        <v>10787</v>
      </c>
      <c r="Y448" s="2" t="s">
        <v>10801</v>
      </c>
      <c r="Z448" s="2" t="s">
        <v>49</v>
      </c>
      <c r="AA448" s="2">
        <v>90</v>
      </c>
      <c r="AB448" s="2">
        <v>50</v>
      </c>
      <c r="AC448" s="2" t="s">
        <v>9685</v>
      </c>
      <c r="AD448" s="2" t="s">
        <v>17395</v>
      </c>
      <c r="AE448" s="2"/>
      <c r="AF448" s="2" t="s">
        <v>15038</v>
      </c>
      <c r="AG448" s="2" t="s">
        <v>14290</v>
      </c>
    </row>
    <row r="449" spans="1:33" x14ac:dyDescent="0.45">
      <c r="A449" s="2" t="s">
        <v>17396</v>
      </c>
      <c r="B449" s="2" t="s">
        <v>17397</v>
      </c>
      <c r="C449" s="2" t="s">
        <v>17398</v>
      </c>
      <c r="D449" s="2" t="s">
        <v>17399</v>
      </c>
      <c r="E449" s="2" t="s">
        <v>17400</v>
      </c>
      <c r="F449" s="2"/>
      <c r="G449" s="2"/>
      <c r="H449" s="2" t="s">
        <v>312</v>
      </c>
      <c r="I449" s="2" t="s">
        <v>313</v>
      </c>
      <c r="J449" s="2" t="s">
        <v>11535</v>
      </c>
      <c r="K449" s="2" t="s">
        <v>17401</v>
      </c>
      <c r="L449" s="2"/>
      <c r="M449" s="2"/>
      <c r="N449" s="2"/>
      <c r="O449" s="2" t="s">
        <v>312</v>
      </c>
      <c r="P449" s="2" t="s">
        <v>313</v>
      </c>
      <c r="Q449" s="2" t="s">
        <v>314</v>
      </c>
      <c r="R449" s="2" t="s">
        <v>4763</v>
      </c>
      <c r="S449" s="2" t="s">
        <v>44</v>
      </c>
      <c r="T449" s="2"/>
      <c r="U449" s="2" t="s">
        <v>3527</v>
      </c>
      <c r="V449" s="2" t="s">
        <v>46</v>
      </c>
      <c r="W449" s="2" t="s">
        <v>3527</v>
      </c>
      <c r="X449" s="2" t="s">
        <v>10787</v>
      </c>
      <c r="Y449" s="2" t="s">
        <v>10801</v>
      </c>
      <c r="Z449" s="2" t="s">
        <v>49</v>
      </c>
      <c r="AA449" s="2">
        <v>90</v>
      </c>
      <c r="AB449" s="2">
        <v>50</v>
      </c>
      <c r="AC449" s="2" t="s">
        <v>9685</v>
      </c>
      <c r="AD449" s="2" t="s">
        <v>17402</v>
      </c>
      <c r="AE449" s="2"/>
      <c r="AF449" s="2" t="s">
        <v>15038</v>
      </c>
      <c r="AG449" s="2" t="s">
        <v>14290</v>
      </c>
    </row>
    <row r="450" spans="1:33" x14ac:dyDescent="0.45">
      <c r="A450" s="2" t="s">
        <v>17403</v>
      </c>
      <c r="B450" s="2" t="s">
        <v>17404</v>
      </c>
      <c r="C450" s="2" t="s">
        <v>17405</v>
      </c>
      <c r="D450" s="2" t="s">
        <v>17406</v>
      </c>
      <c r="E450" s="2" t="s">
        <v>17407</v>
      </c>
      <c r="F450" s="2"/>
      <c r="G450" s="2"/>
      <c r="H450" s="2" t="s">
        <v>174</v>
      </c>
      <c r="I450" s="2" t="s">
        <v>175</v>
      </c>
      <c r="J450" s="2" t="s">
        <v>17408</v>
      </c>
      <c r="K450" s="2" t="s">
        <v>17406</v>
      </c>
      <c r="L450" s="2"/>
      <c r="M450" s="2"/>
      <c r="N450" s="2"/>
      <c r="O450" s="2" t="s">
        <v>174</v>
      </c>
      <c r="P450" s="2" t="s">
        <v>175</v>
      </c>
      <c r="Q450" s="2" t="s">
        <v>17408</v>
      </c>
      <c r="R450" s="2" t="s">
        <v>3546</v>
      </c>
      <c r="S450" s="2" t="s">
        <v>44</v>
      </c>
      <c r="T450" s="2"/>
      <c r="U450" s="2" t="s">
        <v>3527</v>
      </c>
      <c r="V450" s="2" t="s">
        <v>46</v>
      </c>
      <c r="W450" s="2" t="s">
        <v>3527</v>
      </c>
      <c r="X450" s="2" t="s">
        <v>10787</v>
      </c>
      <c r="Y450" s="2" t="s">
        <v>10801</v>
      </c>
      <c r="Z450" s="2" t="s">
        <v>49</v>
      </c>
      <c r="AA450" s="2">
        <v>90</v>
      </c>
      <c r="AB450" s="2">
        <v>50</v>
      </c>
      <c r="AC450" s="2" t="s">
        <v>9685</v>
      </c>
      <c r="AD450" s="2" t="s">
        <v>17409</v>
      </c>
      <c r="AE450" s="2"/>
      <c r="AF450" s="2" t="s">
        <v>15038</v>
      </c>
      <c r="AG450" s="2" t="s">
        <v>14290</v>
      </c>
    </row>
    <row r="451" spans="1:33" x14ac:dyDescent="0.45">
      <c r="A451" s="2" t="s">
        <v>17410</v>
      </c>
      <c r="B451" s="2" t="s">
        <v>17411</v>
      </c>
      <c r="C451" s="2" t="s">
        <v>17412</v>
      </c>
      <c r="D451" s="2" t="s">
        <v>17413</v>
      </c>
      <c r="E451" s="2" t="s">
        <v>17414</v>
      </c>
      <c r="F451" s="2"/>
      <c r="G451" s="2"/>
      <c r="H451" s="2" t="s">
        <v>1188</v>
      </c>
      <c r="I451" s="2" t="s">
        <v>221</v>
      </c>
      <c r="J451" s="2" t="s">
        <v>17415</v>
      </c>
      <c r="K451" s="2" t="s">
        <v>17416</v>
      </c>
      <c r="L451" s="2"/>
      <c r="M451" s="2"/>
      <c r="N451" s="2"/>
      <c r="O451" s="2" t="s">
        <v>1188</v>
      </c>
      <c r="P451" s="2" t="s">
        <v>221</v>
      </c>
      <c r="Q451" s="2" t="s">
        <v>17415</v>
      </c>
      <c r="R451" s="2" t="s">
        <v>4810</v>
      </c>
      <c r="S451" s="2" t="s">
        <v>44</v>
      </c>
      <c r="T451" s="2"/>
      <c r="U451" s="2" t="s">
        <v>3527</v>
      </c>
      <c r="V451" s="2" t="s">
        <v>46</v>
      </c>
      <c r="W451" s="2" t="s">
        <v>3527</v>
      </c>
      <c r="X451" s="2" t="s">
        <v>10787</v>
      </c>
      <c r="Y451" s="2" t="s">
        <v>10801</v>
      </c>
      <c r="Z451" s="2" t="s">
        <v>49</v>
      </c>
      <c r="AA451" s="2">
        <v>90</v>
      </c>
      <c r="AB451" s="2">
        <v>50</v>
      </c>
      <c r="AC451" s="2" t="s">
        <v>9685</v>
      </c>
      <c r="AD451" s="2" t="s">
        <v>17417</v>
      </c>
      <c r="AE451" s="2"/>
      <c r="AF451" s="2" t="s">
        <v>15038</v>
      </c>
      <c r="AG451" s="2" t="s">
        <v>14290</v>
      </c>
    </row>
    <row r="452" spans="1:33" x14ac:dyDescent="0.45">
      <c r="A452" s="2" t="s">
        <v>17418</v>
      </c>
      <c r="B452" s="2" t="s">
        <v>17419</v>
      </c>
      <c r="C452" s="2" t="s">
        <v>17420</v>
      </c>
      <c r="D452" s="2" t="s">
        <v>17421</v>
      </c>
      <c r="E452" s="2" t="s">
        <v>17422</v>
      </c>
      <c r="F452" s="2"/>
      <c r="G452" s="2"/>
      <c r="H452" s="2" t="s">
        <v>72</v>
      </c>
      <c r="I452" s="2" t="s">
        <v>73</v>
      </c>
      <c r="J452" s="2" t="s">
        <v>2372</v>
      </c>
      <c r="K452" s="2" t="s">
        <v>17421</v>
      </c>
      <c r="L452" s="2"/>
      <c r="M452" s="2"/>
      <c r="N452" s="2"/>
      <c r="O452" s="2" t="s">
        <v>72</v>
      </c>
      <c r="P452" s="2" t="s">
        <v>73</v>
      </c>
      <c r="Q452" s="2" t="s">
        <v>2372</v>
      </c>
      <c r="R452" s="2" t="s">
        <v>4810</v>
      </c>
      <c r="S452" s="2" t="s">
        <v>44</v>
      </c>
      <c r="T452" s="2"/>
      <c r="U452" s="2" t="s">
        <v>3527</v>
      </c>
      <c r="V452" s="2" t="s">
        <v>46</v>
      </c>
      <c r="W452" s="2" t="s">
        <v>3527</v>
      </c>
      <c r="X452" s="2" t="s">
        <v>11537</v>
      </c>
      <c r="Y452" s="2" t="s">
        <v>10801</v>
      </c>
      <c r="Z452" s="2" t="s">
        <v>49</v>
      </c>
      <c r="AA452" s="2">
        <v>90</v>
      </c>
      <c r="AB452" s="2">
        <v>50</v>
      </c>
      <c r="AC452" s="2" t="s">
        <v>9685</v>
      </c>
      <c r="AD452" s="2" t="s">
        <v>17423</v>
      </c>
      <c r="AE452" s="2"/>
      <c r="AF452" s="2" t="s">
        <v>15038</v>
      </c>
      <c r="AG452" s="2" t="s">
        <v>14290</v>
      </c>
    </row>
    <row r="453" spans="1:33" x14ac:dyDescent="0.45">
      <c r="A453" s="2" t="s">
        <v>17424</v>
      </c>
      <c r="B453" s="2" t="s">
        <v>17425</v>
      </c>
      <c r="C453" s="2" t="s">
        <v>17426</v>
      </c>
      <c r="D453" s="2" t="s">
        <v>17427</v>
      </c>
      <c r="E453" s="2" t="s">
        <v>17428</v>
      </c>
      <c r="F453" s="2"/>
      <c r="G453" s="2"/>
      <c r="H453" s="2" t="s">
        <v>59</v>
      </c>
      <c r="I453" s="2" t="s">
        <v>60</v>
      </c>
      <c r="J453" s="2" t="s">
        <v>4241</v>
      </c>
      <c r="K453" s="2" t="s">
        <v>17427</v>
      </c>
      <c r="L453" s="2"/>
      <c r="M453" s="2"/>
      <c r="N453" s="2"/>
      <c r="O453" s="2" t="s">
        <v>59</v>
      </c>
      <c r="P453" s="2" t="s">
        <v>60</v>
      </c>
      <c r="Q453" s="2" t="s">
        <v>4241</v>
      </c>
      <c r="R453" s="2" t="s">
        <v>580</v>
      </c>
      <c r="S453" s="2" t="s">
        <v>44</v>
      </c>
      <c r="T453" s="2"/>
      <c r="U453" s="2" t="s">
        <v>3527</v>
      </c>
      <c r="V453" s="2" t="s">
        <v>46</v>
      </c>
      <c r="W453" s="2" t="s">
        <v>3527</v>
      </c>
      <c r="X453" s="2" t="s">
        <v>10787</v>
      </c>
      <c r="Y453" s="2" t="s">
        <v>10801</v>
      </c>
      <c r="Z453" s="2" t="s">
        <v>49</v>
      </c>
      <c r="AA453" s="2">
        <v>90</v>
      </c>
      <c r="AB453" s="2">
        <v>50</v>
      </c>
      <c r="AC453" s="2" t="s">
        <v>9685</v>
      </c>
      <c r="AD453" s="2" t="s">
        <v>17429</v>
      </c>
      <c r="AE453" s="2"/>
      <c r="AF453" s="2" t="s">
        <v>15038</v>
      </c>
      <c r="AG453" s="2" t="s">
        <v>14290</v>
      </c>
    </row>
    <row r="454" spans="1:33" x14ac:dyDescent="0.45">
      <c r="A454" s="2" t="s">
        <v>17430</v>
      </c>
      <c r="B454" s="2" t="s">
        <v>17431</v>
      </c>
      <c r="C454" s="2" t="s">
        <v>17432</v>
      </c>
      <c r="D454" s="2" t="s">
        <v>17433</v>
      </c>
      <c r="E454" s="2" t="s">
        <v>17434</v>
      </c>
      <c r="F454" s="2"/>
      <c r="G454" s="2"/>
      <c r="H454" s="2" t="s">
        <v>59</v>
      </c>
      <c r="I454" s="2" t="s">
        <v>60</v>
      </c>
      <c r="J454" s="2" t="s">
        <v>15541</v>
      </c>
      <c r="K454" s="2" t="s">
        <v>17435</v>
      </c>
      <c r="L454" s="2"/>
      <c r="M454" s="2"/>
      <c r="N454" s="2"/>
      <c r="O454" s="2" t="s">
        <v>59</v>
      </c>
      <c r="P454" s="2" t="s">
        <v>60</v>
      </c>
      <c r="Q454" s="2" t="s">
        <v>1640</v>
      </c>
      <c r="R454" s="2" t="s">
        <v>6993</v>
      </c>
      <c r="S454" s="2" t="s">
        <v>44</v>
      </c>
      <c r="T454" s="2"/>
      <c r="U454" s="2" t="s">
        <v>3527</v>
      </c>
      <c r="V454" s="2" t="s">
        <v>46</v>
      </c>
      <c r="W454" s="2" t="s">
        <v>3527</v>
      </c>
      <c r="X454" s="2" t="s">
        <v>10787</v>
      </c>
      <c r="Y454" s="2" t="s">
        <v>10801</v>
      </c>
      <c r="Z454" s="2" t="s">
        <v>49</v>
      </c>
      <c r="AA454" s="2">
        <v>90</v>
      </c>
      <c r="AB454" s="2">
        <v>50</v>
      </c>
      <c r="AC454" s="2" t="s">
        <v>9685</v>
      </c>
      <c r="AD454" s="2" t="s">
        <v>17436</v>
      </c>
      <c r="AE454" s="2"/>
      <c r="AF454" s="2" t="s">
        <v>15038</v>
      </c>
      <c r="AG454" s="2" t="s">
        <v>14290</v>
      </c>
    </row>
    <row r="455" spans="1:33" x14ac:dyDescent="0.45">
      <c r="A455" s="2" t="s">
        <v>17437</v>
      </c>
      <c r="B455" s="2" t="s">
        <v>17438</v>
      </c>
      <c r="C455" s="2" t="s">
        <v>17439</v>
      </c>
      <c r="D455" s="2" t="s">
        <v>17440</v>
      </c>
      <c r="E455" s="2" t="s">
        <v>17441</v>
      </c>
      <c r="F455" s="2"/>
      <c r="G455" s="2"/>
      <c r="H455" s="2" t="s">
        <v>536</v>
      </c>
      <c r="I455" s="2" t="s">
        <v>537</v>
      </c>
      <c r="J455" s="2" t="s">
        <v>641</v>
      </c>
      <c r="K455" s="2" t="s">
        <v>17440</v>
      </c>
      <c r="L455" s="2"/>
      <c r="M455" s="2"/>
      <c r="N455" s="2"/>
      <c r="O455" s="2" t="s">
        <v>536</v>
      </c>
      <c r="P455" s="2" t="s">
        <v>537</v>
      </c>
      <c r="Q455" s="2" t="s">
        <v>641</v>
      </c>
      <c r="R455" s="2" t="s">
        <v>17442</v>
      </c>
      <c r="S455" s="2" t="s">
        <v>44</v>
      </c>
      <c r="T455" s="2"/>
      <c r="U455" s="2" t="s">
        <v>3527</v>
      </c>
      <c r="V455" s="2" t="s">
        <v>46</v>
      </c>
      <c r="W455" s="2" t="s">
        <v>3527</v>
      </c>
      <c r="X455" s="2" t="s">
        <v>11225</v>
      </c>
      <c r="Y455" s="2" t="s">
        <v>10801</v>
      </c>
      <c r="Z455" s="2" t="s">
        <v>49</v>
      </c>
      <c r="AA455" s="2">
        <v>90</v>
      </c>
      <c r="AB455" s="2">
        <v>50</v>
      </c>
      <c r="AC455" s="2" t="s">
        <v>9685</v>
      </c>
      <c r="AD455" s="2" t="s">
        <v>17443</v>
      </c>
      <c r="AE455" s="2"/>
      <c r="AF455" s="2" t="s">
        <v>15038</v>
      </c>
      <c r="AG455" s="2" t="s">
        <v>14290</v>
      </c>
    </row>
    <row r="456" spans="1:33" x14ac:dyDescent="0.45">
      <c r="A456" s="2" t="s">
        <v>17444</v>
      </c>
      <c r="B456" s="2" t="s">
        <v>17445</v>
      </c>
      <c r="C456" s="2" t="s">
        <v>17446</v>
      </c>
      <c r="D456" s="2" t="s">
        <v>17447</v>
      </c>
      <c r="E456" s="2" t="s">
        <v>17448</v>
      </c>
      <c r="F456" s="2"/>
      <c r="G456" s="2"/>
      <c r="H456" s="2" t="s">
        <v>290</v>
      </c>
      <c r="I456" s="2" t="s">
        <v>278</v>
      </c>
      <c r="J456" s="2" t="s">
        <v>3634</v>
      </c>
      <c r="K456" s="2" t="s">
        <v>17447</v>
      </c>
      <c r="L456" s="2"/>
      <c r="M456" s="2"/>
      <c r="N456" s="2"/>
      <c r="O456" s="2" t="s">
        <v>290</v>
      </c>
      <c r="P456" s="2" t="s">
        <v>278</v>
      </c>
      <c r="Q456" s="2" t="s">
        <v>3634</v>
      </c>
      <c r="R456" s="2" t="s">
        <v>14027</v>
      </c>
      <c r="S456" s="2" t="s">
        <v>44</v>
      </c>
      <c r="T456" s="2"/>
      <c r="U456" s="2" t="s">
        <v>3527</v>
      </c>
      <c r="V456" s="2" t="s">
        <v>46</v>
      </c>
      <c r="W456" s="2" t="s">
        <v>3527</v>
      </c>
      <c r="X456" s="2" t="s">
        <v>10787</v>
      </c>
      <c r="Y456" s="2" t="s">
        <v>10801</v>
      </c>
      <c r="Z456" s="2" t="s">
        <v>49</v>
      </c>
      <c r="AA456" s="2">
        <v>90</v>
      </c>
      <c r="AB456" s="2">
        <v>50</v>
      </c>
      <c r="AC456" s="2" t="s">
        <v>9685</v>
      </c>
      <c r="AD456" s="2" t="s">
        <v>17449</v>
      </c>
      <c r="AE456" s="2"/>
      <c r="AF456" s="2" t="s">
        <v>15038</v>
      </c>
      <c r="AG456" s="2" t="s">
        <v>14290</v>
      </c>
    </row>
    <row r="457" spans="1:33" x14ac:dyDescent="0.45">
      <c r="A457" s="2" t="s">
        <v>17450</v>
      </c>
      <c r="B457" s="2" t="s">
        <v>17451</v>
      </c>
      <c r="C457" s="2" t="s">
        <v>17452</v>
      </c>
      <c r="D457" s="2" t="s">
        <v>17453</v>
      </c>
      <c r="E457" s="2" t="s">
        <v>17454</v>
      </c>
      <c r="F457" s="2"/>
      <c r="G457" s="2"/>
      <c r="H457" s="2" t="s">
        <v>536</v>
      </c>
      <c r="I457" s="2" t="s">
        <v>537</v>
      </c>
      <c r="J457" s="2" t="s">
        <v>2382</v>
      </c>
      <c r="K457" s="2" t="s">
        <v>17453</v>
      </c>
      <c r="L457" s="2"/>
      <c r="M457" s="2"/>
      <c r="N457" s="2"/>
      <c r="O457" s="2" t="s">
        <v>536</v>
      </c>
      <c r="P457" s="2" t="s">
        <v>537</v>
      </c>
      <c r="Q457" s="2" t="s">
        <v>2382</v>
      </c>
      <c r="R457" s="2" t="s">
        <v>12608</v>
      </c>
      <c r="S457" s="2" t="s">
        <v>44</v>
      </c>
      <c r="T457" s="2"/>
      <c r="U457" s="2" t="s">
        <v>3527</v>
      </c>
      <c r="V457" s="2" t="s">
        <v>46</v>
      </c>
      <c r="W457" s="2" t="s">
        <v>3527</v>
      </c>
      <c r="X457" s="2" t="s">
        <v>10787</v>
      </c>
      <c r="Y457" s="2" t="s">
        <v>10801</v>
      </c>
      <c r="Z457" s="2" t="s">
        <v>49</v>
      </c>
      <c r="AA457" s="2">
        <v>90</v>
      </c>
      <c r="AB457" s="2">
        <v>50</v>
      </c>
      <c r="AC457" s="2" t="s">
        <v>9685</v>
      </c>
      <c r="AD457" s="2" t="s">
        <v>17455</v>
      </c>
      <c r="AE457" s="2"/>
      <c r="AF457" s="2" t="s">
        <v>15038</v>
      </c>
      <c r="AG457" s="2" t="s">
        <v>14290</v>
      </c>
    </row>
    <row r="458" spans="1:33" x14ac:dyDescent="0.45">
      <c r="A458" s="2" t="s">
        <v>17456</v>
      </c>
      <c r="B458" s="2" t="s">
        <v>17457</v>
      </c>
      <c r="C458" s="2" t="s">
        <v>17458</v>
      </c>
      <c r="D458" s="2" t="s">
        <v>17459</v>
      </c>
      <c r="E458" s="2" t="s">
        <v>17460</v>
      </c>
      <c r="F458" s="2"/>
      <c r="G458" s="2"/>
      <c r="H458" s="2" t="s">
        <v>384</v>
      </c>
      <c r="I458" s="2" t="s">
        <v>73</v>
      </c>
      <c r="J458" s="2" t="s">
        <v>17461</v>
      </c>
      <c r="K458" s="2" t="s">
        <v>17459</v>
      </c>
      <c r="L458" s="2"/>
      <c r="M458" s="2"/>
      <c r="N458" s="2"/>
      <c r="O458" s="2" t="s">
        <v>384</v>
      </c>
      <c r="P458" s="2" t="s">
        <v>73</v>
      </c>
      <c r="Q458" s="2" t="s">
        <v>17461</v>
      </c>
      <c r="R458" s="2" t="s">
        <v>12608</v>
      </c>
      <c r="S458" s="2" t="s">
        <v>44</v>
      </c>
      <c r="T458" s="2"/>
      <c r="U458" s="2" t="s">
        <v>3527</v>
      </c>
      <c r="V458" s="2" t="s">
        <v>46</v>
      </c>
      <c r="W458" s="2" t="s">
        <v>3527</v>
      </c>
      <c r="X458" s="2" t="s">
        <v>10787</v>
      </c>
      <c r="Y458" s="2" t="s">
        <v>10801</v>
      </c>
      <c r="Z458" s="2" t="s">
        <v>49</v>
      </c>
      <c r="AA458" s="2">
        <v>90</v>
      </c>
      <c r="AB458" s="2">
        <v>50</v>
      </c>
      <c r="AC458" s="2" t="s">
        <v>9685</v>
      </c>
      <c r="AD458" s="2" t="s">
        <v>17462</v>
      </c>
      <c r="AE458" s="2"/>
      <c r="AF458" s="2" t="s">
        <v>15038</v>
      </c>
      <c r="AG458" s="2" t="s">
        <v>14290</v>
      </c>
    </row>
    <row r="459" spans="1:33" x14ac:dyDescent="0.45">
      <c r="A459" s="2" t="s">
        <v>17463</v>
      </c>
      <c r="B459" s="2" t="s">
        <v>17464</v>
      </c>
      <c r="C459" s="2" t="s">
        <v>17465</v>
      </c>
      <c r="D459" s="2" t="s">
        <v>17466</v>
      </c>
      <c r="E459" s="2" t="s">
        <v>17467</v>
      </c>
      <c r="F459" s="2"/>
      <c r="G459" s="2"/>
      <c r="H459" s="2" t="s">
        <v>290</v>
      </c>
      <c r="I459" s="2" t="s">
        <v>278</v>
      </c>
      <c r="J459" s="2" t="s">
        <v>852</v>
      </c>
      <c r="K459" s="2" t="s">
        <v>17468</v>
      </c>
      <c r="L459" s="2"/>
      <c r="M459" s="2"/>
      <c r="N459" s="2"/>
      <c r="O459" s="2" t="s">
        <v>290</v>
      </c>
      <c r="P459" s="2" t="s">
        <v>278</v>
      </c>
      <c r="Q459" s="2" t="s">
        <v>852</v>
      </c>
      <c r="R459" s="2" t="s">
        <v>9618</v>
      </c>
      <c r="S459" s="2" t="s">
        <v>44</v>
      </c>
      <c r="T459" s="2"/>
      <c r="U459" s="2" t="s">
        <v>3527</v>
      </c>
      <c r="V459" s="2" t="s">
        <v>46</v>
      </c>
      <c r="W459" s="2" t="s">
        <v>3527</v>
      </c>
      <c r="X459" s="2" t="s">
        <v>10787</v>
      </c>
      <c r="Y459" s="2" t="s">
        <v>10801</v>
      </c>
      <c r="Z459" s="2" t="s">
        <v>49</v>
      </c>
      <c r="AA459" s="2">
        <v>90</v>
      </c>
      <c r="AB459" s="2">
        <v>50</v>
      </c>
      <c r="AC459" s="2" t="s">
        <v>9685</v>
      </c>
      <c r="AD459" s="2" t="s">
        <v>17469</v>
      </c>
      <c r="AE459" s="2"/>
      <c r="AF459" s="2" t="s">
        <v>15038</v>
      </c>
      <c r="AG459" s="2" t="s">
        <v>14290</v>
      </c>
    </row>
    <row r="460" spans="1:33" x14ac:dyDescent="0.45">
      <c r="A460" s="2" t="s">
        <v>17470</v>
      </c>
      <c r="B460" s="2" t="s">
        <v>17471</v>
      </c>
      <c r="C460" s="2" t="s">
        <v>17472</v>
      </c>
      <c r="D460" s="2" t="s">
        <v>17473</v>
      </c>
      <c r="E460" s="2" t="s">
        <v>17474</v>
      </c>
      <c r="F460" s="2"/>
      <c r="G460" s="2"/>
      <c r="H460" s="2" t="s">
        <v>59</v>
      </c>
      <c r="I460" s="2" t="s">
        <v>60</v>
      </c>
      <c r="J460" s="2" t="s">
        <v>8113</v>
      </c>
      <c r="K460" s="2" t="s">
        <v>17473</v>
      </c>
      <c r="L460" s="2"/>
      <c r="M460" s="2"/>
      <c r="N460" s="2"/>
      <c r="O460" s="2" t="s">
        <v>59</v>
      </c>
      <c r="P460" s="2" t="s">
        <v>60</v>
      </c>
      <c r="Q460" s="2" t="s">
        <v>8113</v>
      </c>
      <c r="R460" s="2" t="s">
        <v>4897</v>
      </c>
      <c r="S460" s="2" t="s">
        <v>44</v>
      </c>
      <c r="T460" s="2"/>
      <c r="U460" s="2" t="s">
        <v>3527</v>
      </c>
      <c r="V460" s="2" t="s">
        <v>46</v>
      </c>
      <c r="W460" s="2" t="s">
        <v>3527</v>
      </c>
      <c r="X460" s="2" t="s">
        <v>10787</v>
      </c>
      <c r="Y460" s="2" t="s">
        <v>10801</v>
      </c>
      <c r="Z460" s="2" t="s">
        <v>49</v>
      </c>
      <c r="AA460" s="2">
        <v>90</v>
      </c>
      <c r="AB460" s="2">
        <v>50</v>
      </c>
      <c r="AC460" s="2" t="s">
        <v>9685</v>
      </c>
      <c r="AD460" s="2" t="s">
        <v>17475</v>
      </c>
      <c r="AE460" s="2"/>
      <c r="AF460" s="2" t="s">
        <v>15038</v>
      </c>
      <c r="AG460" s="2" t="s">
        <v>14290</v>
      </c>
    </row>
    <row r="461" spans="1:33" x14ac:dyDescent="0.45">
      <c r="A461" s="2" t="s">
        <v>17476</v>
      </c>
      <c r="B461" s="2" t="s">
        <v>17477</v>
      </c>
      <c r="C461" s="2" t="s">
        <v>17478</v>
      </c>
      <c r="D461" s="2" t="s">
        <v>17479</v>
      </c>
      <c r="E461" s="2" t="s">
        <v>17480</v>
      </c>
      <c r="F461" s="2"/>
      <c r="G461" s="2"/>
      <c r="H461" s="2" t="s">
        <v>72</v>
      </c>
      <c r="I461" s="2" t="s">
        <v>73</v>
      </c>
      <c r="J461" s="2" t="s">
        <v>1808</v>
      </c>
      <c r="K461" s="2" t="s">
        <v>17479</v>
      </c>
      <c r="L461" s="2"/>
      <c r="M461" s="2"/>
      <c r="N461" s="2"/>
      <c r="O461" s="2" t="s">
        <v>72</v>
      </c>
      <c r="P461" s="2" t="s">
        <v>73</v>
      </c>
      <c r="Q461" s="2" t="s">
        <v>1808</v>
      </c>
      <c r="R461" s="2" t="s">
        <v>9007</v>
      </c>
      <c r="S461" s="2" t="s">
        <v>44</v>
      </c>
      <c r="T461" s="2"/>
      <c r="U461" s="2" t="s">
        <v>3527</v>
      </c>
      <c r="V461" s="2" t="s">
        <v>46</v>
      </c>
      <c r="W461" s="2" t="s">
        <v>3527</v>
      </c>
      <c r="X461" s="2" t="s">
        <v>10787</v>
      </c>
      <c r="Y461" s="2" t="s">
        <v>10801</v>
      </c>
      <c r="Z461" s="2" t="s">
        <v>49</v>
      </c>
      <c r="AA461" s="2">
        <v>90</v>
      </c>
      <c r="AB461" s="2">
        <v>50</v>
      </c>
      <c r="AC461" s="2" t="s">
        <v>9685</v>
      </c>
      <c r="AD461" s="2" t="s">
        <v>17481</v>
      </c>
      <c r="AE461" s="2"/>
      <c r="AF461" s="2" t="s">
        <v>15038</v>
      </c>
      <c r="AG461" s="2" t="s">
        <v>14290</v>
      </c>
    </row>
    <row r="462" spans="1:33" x14ac:dyDescent="0.45">
      <c r="A462" s="2" t="s">
        <v>17482</v>
      </c>
      <c r="B462" s="2" t="s">
        <v>17483</v>
      </c>
      <c r="C462" s="2" t="s">
        <v>17484</v>
      </c>
      <c r="D462" s="2" t="s">
        <v>17485</v>
      </c>
      <c r="E462" s="2" t="s">
        <v>17486</v>
      </c>
      <c r="F462" s="2"/>
      <c r="G462" s="2"/>
      <c r="H462" s="2" t="s">
        <v>290</v>
      </c>
      <c r="I462" s="2" t="s">
        <v>278</v>
      </c>
      <c r="J462" s="2" t="s">
        <v>3634</v>
      </c>
      <c r="K462" s="2" t="s">
        <v>17485</v>
      </c>
      <c r="L462" s="2"/>
      <c r="M462" s="2"/>
      <c r="N462" s="2"/>
      <c r="O462" s="2" t="s">
        <v>290</v>
      </c>
      <c r="P462" s="2" t="s">
        <v>278</v>
      </c>
      <c r="Q462" s="2" t="s">
        <v>3634</v>
      </c>
      <c r="R462" s="2" t="s">
        <v>11461</v>
      </c>
      <c r="S462" s="2" t="s">
        <v>44</v>
      </c>
      <c r="T462" s="2"/>
      <c r="U462" s="2" t="s">
        <v>3527</v>
      </c>
      <c r="V462" s="2" t="s">
        <v>46</v>
      </c>
      <c r="W462" s="2" t="s">
        <v>3527</v>
      </c>
      <c r="X462" s="2" t="s">
        <v>10787</v>
      </c>
      <c r="Y462" s="2" t="s">
        <v>10801</v>
      </c>
      <c r="Z462" s="2" t="s">
        <v>49</v>
      </c>
      <c r="AA462" s="2">
        <v>90</v>
      </c>
      <c r="AB462" s="2">
        <v>50</v>
      </c>
      <c r="AC462" s="2" t="s">
        <v>9685</v>
      </c>
      <c r="AD462" s="2" t="s">
        <v>17487</v>
      </c>
      <c r="AE462" s="2"/>
      <c r="AF462" s="2" t="s">
        <v>15038</v>
      </c>
      <c r="AG462" s="2" t="s">
        <v>14290</v>
      </c>
    </row>
    <row r="463" spans="1:33" x14ac:dyDescent="0.45">
      <c r="A463" s="2" t="s">
        <v>17488</v>
      </c>
      <c r="B463" s="2" t="s">
        <v>17489</v>
      </c>
      <c r="C463" s="2" t="s">
        <v>17490</v>
      </c>
      <c r="D463" s="2" t="s">
        <v>17491</v>
      </c>
      <c r="E463" s="2" t="s">
        <v>17492</v>
      </c>
      <c r="F463" s="2"/>
      <c r="G463" s="2"/>
      <c r="H463" s="2" t="s">
        <v>59</v>
      </c>
      <c r="I463" s="2" t="s">
        <v>60</v>
      </c>
      <c r="J463" s="2" t="s">
        <v>3102</v>
      </c>
      <c r="K463" s="2" t="s">
        <v>17491</v>
      </c>
      <c r="L463" s="2"/>
      <c r="M463" s="2"/>
      <c r="N463" s="2"/>
      <c r="O463" s="2" t="s">
        <v>59</v>
      </c>
      <c r="P463" s="2" t="s">
        <v>60</v>
      </c>
      <c r="Q463" s="2" t="s">
        <v>3102</v>
      </c>
      <c r="R463" s="2" t="s">
        <v>8433</v>
      </c>
      <c r="S463" s="2" t="s">
        <v>44</v>
      </c>
      <c r="T463" s="2"/>
      <c r="U463" s="2" t="s">
        <v>3527</v>
      </c>
      <c r="V463" s="2" t="s">
        <v>46</v>
      </c>
      <c r="W463" s="2" t="s">
        <v>3527</v>
      </c>
      <c r="X463" s="2" t="s">
        <v>10787</v>
      </c>
      <c r="Y463" s="2" t="s">
        <v>10801</v>
      </c>
      <c r="Z463" s="2" t="s">
        <v>49</v>
      </c>
      <c r="AA463" s="2">
        <v>90</v>
      </c>
      <c r="AB463" s="2">
        <v>50</v>
      </c>
      <c r="AC463" s="2" t="s">
        <v>9685</v>
      </c>
      <c r="AD463" s="2" t="s">
        <v>17493</v>
      </c>
      <c r="AE463" s="2"/>
      <c r="AF463" s="2" t="s">
        <v>15038</v>
      </c>
      <c r="AG463" s="2" t="s">
        <v>14290</v>
      </c>
    </row>
    <row r="464" spans="1:33" x14ac:dyDescent="0.45">
      <c r="A464" s="2" t="s">
        <v>17494</v>
      </c>
      <c r="B464" s="2" t="s">
        <v>17495</v>
      </c>
      <c r="C464" s="2" t="s">
        <v>17496</v>
      </c>
      <c r="D464" s="2" t="s">
        <v>17497</v>
      </c>
      <c r="E464" s="2" t="s">
        <v>17498</v>
      </c>
      <c r="F464" s="2"/>
      <c r="G464" s="2"/>
      <c r="H464" s="2" t="s">
        <v>59</v>
      </c>
      <c r="I464" s="2" t="s">
        <v>60</v>
      </c>
      <c r="J464" s="2" t="s">
        <v>5251</v>
      </c>
      <c r="K464" s="2" t="s">
        <v>17497</v>
      </c>
      <c r="L464" s="2"/>
      <c r="M464" s="2"/>
      <c r="N464" s="2"/>
      <c r="O464" s="2" t="s">
        <v>59</v>
      </c>
      <c r="P464" s="2" t="s">
        <v>60</v>
      </c>
      <c r="Q464" s="2" t="s">
        <v>5251</v>
      </c>
      <c r="R464" s="2" t="s">
        <v>4965</v>
      </c>
      <c r="S464" s="2" t="s">
        <v>44</v>
      </c>
      <c r="T464" s="2"/>
      <c r="U464" s="2" t="s">
        <v>3527</v>
      </c>
      <c r="V464" s="2" t="s">
        <v>46</v>
      </c>
      <c r="W464" s="2" t="s">
        <v>3527</v>
      </c>
      <c r="X464" s="2" t="s">
        <v>10787</v>
      </c>
      <c r="Y464" s="2" t="s">
        <v>10801</v>
      </c>
      <c r="Z464" s="2" t="s">
        <v>49</v>
      </c>
      <c r="AA464" s="2">
        <v>90</v>
      </c>
      <c r="AB464" s="2">
        <v>50</v>
      </c>
      <c r="AC464" s="2" t="s">
        <v>9685</v>
      </c>
      <c r="AD464" s="2" t="s">
        <v>17499</v>
      </c>
      <c r="AE464" s="2"/>
      <c r="AF464" s="2" t="s">
        <v>15038</v>
      </c>
      <c r="AG464" s="2" t="s">
        <v>14290</v>
      </c>
    </row>
    <row r="465" spans="1:33" x14ac:dyDescent="0.45">
      <c r="A465" s="2" t="s">
        <v>17500</v>
      </c>
      <c r="B465" s="2" t="s">
        <v>17501</v>
      </c>
      <c r="C465" s="2" t="s">
        <v>17502</v>
      </c>
      <c r="D465" s="2" t="s">
        <v>17503</v>
      </c>
      <c r="E465" s="2" t="s">
        <v>17504</v>
      </c>
      <c r="F465" s="2"/>
      <c r="G465" s="2"/>
      <c r="H465" s="2" t="s">
        <v>1188</v>
      </c>
      <c r="I465" s="2" t="s">
        <v>221</v>
      </c>
      <c r="J465" s="2" t="s">
        <v>5169</v>
      </c>
      <c r="K465" s="2" t="s">
        <v>17503</v>
      </c>
      <c r="L465" s="2"/>
      <c r="M465" s="2"/>
      <c r="N465" s="2"/>
      <c r="O465" s="2" t="s">
        <v>1188</v>
      </c>
      <c r="P465" s="2" t="s">
        <v>221</v>
      </c>
      <c r="Q465" s="2" t="s">
        <v>5169</v>
      </c>
      <c r="R465" s="2" t="s">
        <v>7071</v>
      </c>
      <c r="S465" s="2" t="s">
        <v>44</v>
      </c>
      <c r="T465" s="2"/>
      <c r="U465" s="2" t="s">
        <v>3527</v>
      </c>
      <c r="V465" s="2" t="s">
        <v>46</v>
      </c>
      <c r="W465" s="2" t="s">
        <v>3527</v>
      </c>
      <c r="X465" s="2" t="s">
        <v>10787</v>
      </c>
      <c r="Y465" s="2" t="s">
        <v>10801</v>
      </c>
      <c r="Z465" s="2" t="s">
        <v>49</v>
      </c>
      <c r="AA465" s="2">
        <v>90</v>
      </c>
      <c r="AB465" s="2">
        <v>50</v>
      </c>
      <c r="AC465" s="2" t="s">
        <v>9685</v>
      </c>
      <c r="AD465" s="2" t="s">
        <v>17505</v>
      </c>
      <c r="AE465" s="2"/>
      <c r="AF465" s="2" t="s">
        <v>15038</v>
      </c>
      <c r="AG465" s="2" t="s">
        <v>14290</v>
      </c>
    </row>
    <row r="466" spans="1:33" x14ac:dyDescent="0.45">
      <c r="A466" s="2" t="s">
        <v>17506</v>
      </c>
      <c r="B466" s="2" t="s">
        <v>17507</v>
      </c>
      <c r="C466" s="2" t="s">
        <v>17508</v>
      </c>
      <c r="D466" s="2" t="s">
        <v>17509</v>
      </c>
      <c r="E466" s="2" t="s">
        <v>17510</v>
      </c>
      <c r="F466" s="2"/>
      <c r="G466" s="2"/>
      <c r="H466" s="2" t="s">
        <v>312</v>
      </c>
      <c r="I466" s="2" t="s">
        <v>313</v>
      </c>
      <c r="J466" s="2" t="s">
        <v>314</v>
      </c>
      <c r="K466" s="2" t="s">
        <v>17511</v>
      </c>
      <c r="L466" s="2"/>
      <c r="M466" s="2"/>
      <c r="N466" s="2"/>
      <c r="O466" s="2" t="s">
        <v>312</v>
      </c>
      <c r="P466" s="2" t="s">
        <v>313</v>
      </c>
      <c r="Q466" s="2" t="s">
        <v>314</v>
      </c>
      <c r="R466" s="2" t="s">
        <v>7071</v>
      </c>
      <c r="S466" s="2" t="s">
        <v>44</v>
      </c>
      <c r="T466" s="2"/>
      <c r="U466" s="2" t="s">
        <v>3527</v>
      </c>
      <c r="V466" s="2" t="s">
        <v>46</v>
      </c>
      <c r="W466" s="2" t="s">
        <v>3527</v>
      </c>
      <c r="X466" s="2" t="s">
        <v>10787</v>
      </c>
      <c r="Y466" s="2" t="s">
        <v>10801</v>
      </c>
      <c r="Z466" s="2" t="s">
        <v>49</v>
      </c>
      <c r="AA466" s="2">
        <v>90</v>
      </c>
      <c r="AB466" s="2">
        <v>50</v>
      </c>
      <c r="AC466" s="2" t="s">
        <v>9685</v>
      </c>
      <c r="AD466" s="2" t="s">
        <v>17512</v>
      </c>
      <c r="AE466" s="2"/>
      <c r="AF466" s="2" t="s">
        <v>15038</v>
      </c>
      <c r="AG466" s="2" t="s">
        <v>14290</v>
      </c>
    </row>
    <row r="467" spans="1:33" x14ac:dyDescent="0.45">
      <c r="A467" s="2" t="s">
        <v>17513</v>
      </c>
      <c r="B467" s="2" t="s">
        <v>17514</v>
      </c>
      <c r="C467" s="2" t="s">
        <v>17515</v>
      </c>
      <c r="D467" s="2" t="s">
        <v>17516</v>
      </c>
      <c r="E467" s="2" t="s">
        <v>17517</v>
      </c>
      <c r="F467" s="2"/>
      <c r="G467" s="2"/>
      <c r="H467" s="2" t="s">
        <v>39</v>
      </c>
      <c r="I467" s="2" t="s">
        <v>40</v>
      </c>
      <c r="J467" s="2" t="s">
        <v>8123</v>
      </c>
      <c r="K467" s="2" t="s">
        <v>17516</v>
      </c>
      <c r="L467" s="2"/>
      <c r="M467" s="2"/>
      <c r="N467" s="2"/>
      <c r="O467" s="2" t="s">
        <v>39</v>
      </c>
      <c r="P467" s="2" t="s">
        <v>40</v>
      </c>
      <c r="Q467" s="2" t="s">
        <v>8123</v>
      </c>
      <c r="R467" s="2" t="s">
        <v>10010</v>
      </c>
      <c r="S467" s="2" t="s">
        <v>44</v>
      </c>
      <c r="T467" s="2"/>
      <c r="U467" s="2" t="s">
        <v>3527</v>
      </c>
      <c r="V467" s="2" t="s">
        <v>46</v>
      </c>
      <c r="W467" s="2" t="s">
        <v>3527</v>
      </c>
      <c r="X467" s="2" t="s">
        <v>10787</v>
      </c>
      <c r="Y467" s="2" t="s">
        <v>10801</v>
      </c>
      <c r="Z467" s="2" t="s">
        <v>49</v>
      </c>
      <c r="AA467" s="2">
        <v>90</v>
      </c>
      <c r="AB467" s="2">
        <v>50</v>
      </c>
      <c r="AC467" s="2" t="s">
        <v>9685</v>
      </c>
      <c r="AD467" s="2" t="s">
        <v>17518</v>
      </c>
      <c r="AE467" s="2"/>
      <c r="AF467" s="2" t="s">
        <v>15038</v>
      </c>
      <c r="AG467" s="2" t="s">
        <v>14290</v>
      </c>
    </row>
    <row r="468" spans="1:33" x14ac:dyDescent="0.45">
      <c r="A468" s="2" t="s">
        <v>17519</v>
      </c>
      <c r="B468" s="2" t="s">
        <v>17520</v>
      </c>
      <c r="C468" s="2" t="s">
        <v>17521</v>
      </c>
      <c r="D468" s="2" t="s">
        <v>17522</v>
      </c>
      <c r="E468" s="2" t="s">
        <v>17523</v>
      </c>
      <c r="F468" s="2"/>
      <c r="G468" s="2"/>
      <c r="H468" s="2" t="s">
        <v>384</v>
      </c>
      <c r="I468" s="2" t="s">
        <v>73</v>
      </c>
      <c r="J468" s="2" t="s">
        <v>17524</v>
      </c>
      <c r="K468" s="2" t="s">
        <v>17522</v>
      </c>
      <c r="L468" s="2"/>
      <c r="M468" s="2"/>
      <c r="N468" s="2"/>
      <c r="O468" s="2" t="s">
        <v>384</v>
      </c>
      <c r="P468" s="2" t="s">
        <v>73</v>
      </c>
      <c r="Q468" s="2" t="s">
        <v>17524</v>
      </c>
      <c r="R468" s="2" t="s">
        <v>9053</v>
      </c>
      <c r="S468" s="2" t="s">
        <v>44</v>
      </c>
      <c r="T468" s="2"/>
      <c r="U468" s="2" t="s">
        <v>3527</v>
      </c>
      <c r="V468" s="2" t="s">
        <v>46</v>
      </c>
      <c r="W468" s="2" t="s">
        <v>3527</v>
      </c>
      <c r="X468" s="2" t="s">
        <v>10787</v>
      </c>
      <c r="Y468" s="2" t="s">
        <v>10801</v>
      </c>
      <c r="Z468" s="2" t="s">
        <v>49</v>
      </c>
      <c r="AA468" s="2">
        <v>90</v>
      </c>
      <c r="AB468" s="2">
        <v>50</v>
      </c>
      <c r="AC468" s="2" t="s">
        <v>9685</v>
      </c>
      <c r="AD468" s="2" t="s">
        <v>17525</v>
      </c>
      <c r="AE468" s="2"/>
      <c r="AF468" s="2" t="s">
        <v>15038</v>
      </c>
      <c r="AG468" s="2" t="s">
        <v>14290</v>
      </c>
    </row>
    <row r="469" spans="1:33" x14ac:dyDescent="0.45">
      <c r="A469" s="2" t="s">
        <v>17526</v>
      </c>
      <c r="B469" s="2" t="s">
        <v>17527</v>
      </c>
      <c r="C469" s="2" t="s">
        <v>17528</v>
      </c>
      <c r="D469" s="2" t="s">
        <v>17529</v>
      </c>
      <c r="E469" s="2" t="s">
        <v>17530</v>
      </c>
      <c r="F469" s="2"/>
      <c r="G469" s="2"/>
      <c r="H469" s="2" t="s">
        <v>384</v>
      </c>
      <c r="I469" s="2" t="s">
        <v>73</v>
      </c>
      <c r="J469" s="2" t="s">
        <v>832</v>
      </c>
      <c r="K469" s="2" t="s">
        <v>17529</v>
      </c>
      <c r="L469" s="2"/>
      <c r="M469" s="2"/>
      <c r="N469" s="2"/>
      <c r="O469" s="2" t="s">
        <v>384</v>
      </c>
      <c r="P469" s="2" t="s">
        <v>73</v>
      </c>
      <c r="Q469" s="2" t="s">
        <v>832</v>
      </c>
      <c r="R469" s="2" t="s">
        <v>10728</v>
      </c>
      <c r="S469" s="2" t="s">
        <v>44</v>
      </c>
      <c r="T469" s="2"/>
      <c r="U469" s="2" t="s">
        <v>3527</v>
      </c>
      <c r="V469" s="2" t="s">
        <v>46</v>
      </c>
      <c r="W469" s="2" t="s">
        <v>3527</v>
      </c>
      <c r="X469" s="2" t="s">
        <v>10787</v>
      </c>
      <c r="Y469" s="2" t="s">
        <v>10801</v>
      </c>
      <c r="Z469" s="2" t="s">
        <v>49</v>
      </c>
      <c r="AA469" s="2">
        <v>90</v>
      </c>
      <c r="AB469" s="2">
        <v>50</v>
      </c>
      <c r="AC469" s="2" t="s">
        <v>9685</v>
      </c>
      <c r="AD469" s="2" t="s">
        <v>17531</v>
      </c>
      <c r="AE469" s="2"/>
      <c r="AF469" s="2" t="s">
        <v>15038</v>
      </c>
      <c r="AG469" s="2" t="s">
        <v>14290</v>
      </c>
    </row>
    <row r="470" spans="1:33" x14ac:dyDescent="0.45">
      <c r="A470" s="2" t="s">
        <v>17532</v>
      </c>
      <c r="B470" s="2" t="s">
        <v>17533</v>
      </c>
      <c r="C470" s="2" t="s">
        <v>17534</v>
      </c>
      <c r="D470" s="2" t="s">
        <v>17535</v>
      </c>
      <c r="E470" s="2" t="s">
        <v>17536</v>
      </c>
      <c r="F470" s="2"/>
      <c r="G470" s="2"/>
      <c r="H470" s="2" t="s">
        <v>59</v>
      </c>
      <c r="I470" s="2" t="s">
        <v>60</v>
      </c>
      <c r="J470" s="2" t="s">
        <v>8113</v>
      </c>
      <c r="K470" s="2" t="s">
        <v>17535</v>
      </c>
      <c r="L470" s="2"/>
      <c r="M470" s="2"/>
      <c r="N470" s="2"/>
      <c r="O470" s="2" t="s">
        <v>59</v>
      </c>
      <c r="P470" s="2" t="s">
        <v>60</v>
      </c>
      <c r="Q470" s="2" t="s">
        <v>8113</v>
      </c>
      <c r="R470" s="2" t="s">
        <v>12637</v>
      </c>
      <c r="S470" s="2" t="s">
        <v>44</v>
      </c>
      <c r="T470" s="2"/>
      <c r="U470" s="2" t="s">
        <v>3527</v>
      </c>
      <c r="V470" s="2" t="s">
        <v>46</v>
      </c>
      <c r="W470" s="2" t="s">
        <v>3527</v>
      </c>
      <c r="X470" s="2" t="s">
        <v>10787</v>
      </c>
      <c r="Y470" s="2" t="s">
        <v>10801</v>
      </c>
      <c r="Z470" s="2" t="s">
        <v>49</v>
      </c>
      <c r="AA470" s="2">
        <v>90</v>
      </c>
      <c r="AB470" s="2">
        <v>50</v>
      </c>
      <c r="AC470" s="2" t="s">
        <v>9685</v>
      </c>
      <c r="AD470" s="2" t="s">
        <v>17537</v>
      </c>
      <c r="AE470" s="2"/>
      <c r="AF470" s="2" t="s">
        <v>15038</v>
      </c>
      <c r="AG470" s="2" t="s">
        <v>14290</v>
      </c>
    </row>
    <row r="471" spans="1:33" x14ac:dyDescent="0.45">
      <c r="A471" s="2" t="s">
        <v>17538</v>
      </c>
      <c r="B471" s="2" t="s">
        <v>17539</v>
      </c>
      <c r="C471" s="2" t="s">
        <v>17540</v>
      </c>
      <c r="D471" s="2" t="s">
        <v>17541</v>
      </c>
      <c r="E471" s="2" t="s">
        <v>17542</v>
      </c>
      <c r="F471" s="2"/>
      <c r="G471" s="2"/>
      <c r="H471" s="2" t="s">
        <v>72</v>
      </c>
      <c r="I471" s="2" t="s">
        <v>73</v>
      </c>
      <c r="J471" s="2" t="s">
        <v>119</v>
      </c>
      <c r="K471" s="2" t="s">
        <v>17541</v>
      </c>
      <c r="L471" s="2"/>
      <c r="M471" s="2"/>
      <c r="N471" s="2"/>
      <c r="O471" s="2" t="s">
        <v>72</v>
      </c>
      <c r="P471" s="2" t="s">
        <v>73</v>
      </c>
      <c r="Q471" s="2" t="s">
        <v>119</v>
      </c>
      <c r="R471" s="2" t="s">
        <v>7098</v>
      </c>
      <c r="S471" s="2" t="s">
        <v>44</v>
      </c>
      <c r="T471" s="2"/>
      <c r="U471" s="2" t="s">
        <v>3527</v>
      </c>
      <c r="V471" s="2" t="s">
        <v>46</v>
      </c>
      <c r="W471" s="2" t="s">
        <v>3527</v>
      </c>
      <c r="X471" s="2" t="s">
        <v>10787</v>
      </c>
      <c r="Y471" s="2" t="s">
        <v>10801</v>
      </c>
      <c r="Z471" s="2" t="s">
        <v>49</v>
      </c>
      <c r="AA471" s="2">
        <v>90</v>
      </c>
      <c r="AB471" s="2">
        <v>50</v>
      </c>
      <c r="AC471" s="2" t="s">
        <v>9685</v>
      </c>
      <c r="AD471" s="2" t="s">
        <v>17543</v>
      </c>
      <c r="AE471" s="2"/>
      <c r="AF471" s="2" t="s">
        <v>15038</v>
      </c>
      <c r="AG471" s="2" t="s">
        <v>14290</v>
      </c>
    </row>
    <row r="472" spans="1:33" x14ac:dyDescent="0.45">
      <c r="A472" s="2" t="s">
        <v>17544</v>
      </c>
      <c r="B472" s="2" t="s">
        <v>17545</v>
      </c>
      <c r="C472" s="2" t="s">
        <v>17546</v>
      </c>
      <c r="D472" s="2" t="s">
        <v>17547</v>
      </c>
      <c r="E472" s="2" t="s">
        <v>17548</v>
      </c>
      <c r="F472" s="2"/>
      <c r="G472" s="2"/>
      <c r="H472" s="2" t="s">
        <v>312</v>
      </c>
      <c r="I472" s="2" t="s">
        <v>313</v>
      </c>
      <c r="J472" s="2" t="s">
        <v>11652</v>
      </c>
      <c r="K472" s="2" t="s">
        <v>17547</v>
      </c>
      <c r="L472" s="2"/>
      <c r="M472" s="2"/>
      <c r="N472" s="2"/>
      <c r="O472" s="2" t="s">
        <v>312</v>
      </c>
      <c r="P472" s="2" t="s">
        <v>313</v>
      </c>
      <c r="Q472" s="2" t="s">
        <v>11652</v>
      </c>
      <c r="R472" s="2" t="s">
        <v>7098</v>
      </c>
      <c r="S472" s="2" t="s">
        <v>44</v>
      </c>
      <c r="T472" s="2"/>
      <c r="U472" s="2" t="s">
        <v>3527</v>
      </c>
      <c r="V472" s="2" t="s">
        <v>46</v>
      </c>
      <c r="W472" s="2" t="s">
        <v>3527</v>
      </c>
      <c r="X472" s="2" t="s">
        <v>10787</v>
      </c>
      <c r="Y472" s="2" t="s">
        <v>10801</v>
      </c>
      <c r="Z472" s="2" t="s">
        <v>49</v>
      </c>
      <c r="AA472" s="2">
        <v>90</v>
      </c>
      <c r="AB472" s="2">
        <v>50</v>
      </c>
      <c r="AC472" s="2" t="s">
        <v>9685</v>
      </c>
      <c r="AD472" s="2" t="s">
        <v>17549</v>
      </c>
      <c r="AE472" s="2"/>
      <c r="AF472" s="2" t="s">
        <v>15038</v>
      </c>
      <c r="AG472" s="2" t="s">
        <v>14290</v>
      </c>
    </row>
    <row r="473" spans="1:33" x14ac:dyDescent="0.45">
      <c r="A473" s="2" t="s">
        <v>17550</v>
      </c>
      <c r="B473" s="2" t="s">
        <v>17551</v>
      </c>
      <c r="C473" s="2" t="s">
        <v>17552</v>
      </c>
      <c r="D473" s="2" t="s">
        <v>17553</v>
      </c>
      <c r="E473" s="2" t="s">
        <v>17554</v>
      </c>
      <c r="F473" s="2"/>
      <c r="G473" s="2"/>
      <c r="H473" s="2" t="s">
        <v>72</v>
      </c>
      <c r="I473" s="2" t="s">
        <v>73</v>
      </c>
      <c r="J473" s="2" t="s">
        <v>1808</v>
      </c>
      <c r="K473" s="2" t="s">
        <v>17553</v>
      </c>
      <c r="L473" s="2"/>
      <c r="M473" s="2"/>
      <c r="N473" s="2"/>
      <c r="O473" s="2" t="s">
        <v>72</v>
      </c>
      <c r="P473" s="2" t="s">
        <v>73</v>
      </c>
      <c r="Q473" s="2" t="s">
        <v>1808</v>
      </c>
      <c r="R473" s="2" t="s">
        <v>7098</v>
      </c>
      <c r="S473" s="2" t="s">
        <v>44</v>
      </c>
      <c r="T473" s="2"/>
      <c r="U473" s="2" t="s">
        <v>3527</v>
      </c>
      <c r="V473" s="2" t="s">
        <v>46</v>
      </c>
      <c r="W473" s="2" t="s">
        <v>3527</v>
      </c>
      <c r="X473" s="2" t="s">
        <v>10787</v>
      </c>
      <c r="Y473" s="2" t="s">
        <v>10801</v>
      </c>
      <c r="Z473" s="2" t="s">
        <v>49</v>
      </c>
      <c r="AA473" s="2">
        <v>90</v>
      </c>
      <c r="AB473" s="2">
        <v>50</v>
      </c>
      <c r="AC473" s="2" t="s">
        <v>9685</v>
      </c>
      <c r="AD473" s="2" t="s">
        <v>17555</v>
      </c>
      <c r="AE473" s="2"/>
      <c r="AF473" s="2" t="s">
        <v>15038</v>
      </c>
      <c r="AG473" s="2" t="s">
        <v>14290</v>
      </c>
    </row>
    <row r="474" spans="1:33" x14ac:dyDescent="0.45">
      <c r="A474" s="2" t="s">
        <v>17556</v>
      </c>
      <c r="B474" s="2" t="s">
        <v>17557</v>
      </c>
      <c r="C474" s="2" t="s">
        <v>17558</v>
      </c>
      <c r="D474" s="2" t="s">
        <v>17559</v>
      </c>
      <c r="E474" s="2" t="s">
        <v>17560</v>
      </c>
      <c r="F474" s="2"/>
      <c r="G474" s="2"/>
      <c r="H474" s="2" t="s">
        <v>174</v>
      </c>
      <c r="I474" s="2" t="s">
        <v>175</v>
      </c>
      <c r="J474" s="2" t="s">
        <v>5475</v>
      </c>
      <c r="K474" s="2" t="s">
        <v>17559</v>
      </c>
      <c r="L474" s="2"/>
      <c r="M474" s="2"/>
      <c r="N474" s="2"/>
      <c r="O474" s="2" t="s">
        <v>174</v>
      </c>
      <c r="P474" s="2" t="s">
        <v>175</v>
      </c>
      <c r="Q474" s="2" t="s">
        <v>5475</v>
      </c>
      <c r="R474" s="2" t="s">
        <v>2213</v>
      </c>
      <c r="S474" s="2" t="s">
        <v>44</v>
      </c>
      <c r="T474" s="2"/>
      <c r="U474" s="2" t="s">
        <v>3527</v>
      </c>
      <c r="V474" s="2" t="s">
        <v>46</v>
      </c>
      <c r="W474" s="2" t="s">
        <v>3527</v>
      </c>
      <c r="X474" s="2" t="s">
        <v>10787</v>
      </c>
      <c r="Y474" s="2" t="s">
        <v>10801</v>
      </c>
      <c r="Z474" s="2" t="s">
        <v>49</v>
      </c>
      <c r="AA474" s="2">
        <v>90</v>
      </c>
      <c r="AB474" s="2">
        <v>50</v>
      </c>
      <c r="AC474" s="2" t="s">
        <v>9685</v>
      </c>
      <c r="AD474" s="2" t="s">
        <v>17561</v>
      </c>
      <c r="AE474" s="2"/>
      <c r="AF474" s="2" t="s">
        <v>15038</v>
      </c>
      <c r="AG474" s="2" t="s">
        <v>14290</v>
      </c>
    </row>
    <row r="475" spans="1:33" x14ac:dyDescent="0.45">
      <c r="A475" s="2" t="s">
        <v>17562</v>
      </c>
      <c r="B475" s="2" t="s">
        <v>17563</v>
      </c>
      <c r="C475" s="2" t="s">
        <v>17564</v>
      </c>
      <c r="D475" s="2" t="s">
        <v>17565</v>
      </c>
      <c r="E475" s="2" t="s">
        <v>17566</v>
      </c>
      <c r="F475" s="2"/>
      <c r="G475" s="2"/>
      <c r="H475" s="2" t="s">
        <v>312</v>
      </c>
      <c r="I475" s="2" t="s">
        <v>313</v>
      </c>
      <c r="J475" s="2" t="s">
        <v>10207</v>
      </c>
      <c r="K475" s="2" t="s">
        <v>17567</v>
      </c>
      <c r="L475" s="2"/>
      <c r="M475" s="2"/>
      <c r="N475" s="2"/>
      <c r="O475" s="2" t="s">
        <v>312</v>
      </c>
      <c r="P475" s="2" t="s">
        <v>313</v>
      </c>
      <c r="Q475" s="2" t="s">
        <v>10207</v>
      </c>
      <c r="R475" s="2" t="s">
        <v>2857</v>
      </c>
      <c r="S475" s="2" t="s">
        <v>44</v>
      </c>
      <c r="T475" s="2"/>
      <c r="U475" s="2" t="s">
        <v>3527</v>
      </c>
      <c r="V475" s="2" t="s">
        <v>46</v>
      </c>
      <c r="W475" s="2" t="s">
        <v>3527</v>
      </c>
      <c r="X475" s="2" t="s">
        <v>10787</v>
      </c>
      <c r="Y475" s="2" t="s">
        <v>10801</v>
      </c>
      <c r="Z475" s="2" t="s">
        <v>49</v>
      </c>
      <c r="AA475" s="2">
        <v>90</v>
      </c>
      <c r="AB475" s="2">
        <v>50</v>
      </c>
      <c r="AC475" s="2" t="s">
        <v>9685</v>
      </c>
      <c r="AD475" s="2" t="s">
        <v>17568</v>
      </c>
      <c r="AE475" s="2"/>
      <c r="AF475" s="2" t="s">
        <v>15038</v>
      </c>
      <c r="AG475" s="2" t="s">
        <v>14290</v>
      </c>
    </row>
    <row r="476" spans="1:33" x14ac:dyDescent="0.45">
      <c r="A476" s="2" t="s">
        <v>17569</v>
      </c>
      <c r="B476" s="2" t="s">
        <v>17570</v>
      </c>
      <c r="C476" s="2" t="s">
        <v>17571</v>
      </c>
      <c r="D476" s="2" t="s">
        <v>17572</v>
      </c>
      <c r="E476" s="2" t="s">
        <v>17573</v>
      </c>
      <c r="F476" s="2"/>
      <c r="G476" s="2"/>
      <c r="H476" s="2" t="s">
        <v>59</v>
      </c>
      <c r="I476" s="2" t="s">
        <v>60</v>
      </c>
      <c r="J476" s="2" t="s">
        <v>17574</v>
      </c>
      <c r="K476" s="2" t="s">
        <v>17572</v>
      </c>
      <c r="L476" s="2"/>
      <c r="M476" s="2"/>
      <c r="N476" s="2"/>
      <c r="O476" s="2" t="s">
        <v>59</v>
      </c>
      <c r="P476" s="2" t="s">
        <v>60</v>
      </c>
      <c r="Q476" s="2" t="s">
        <v>17574</v>
      </c>
      <c r="R476" s="2" t="s">
        <v>1014</v>
      </c>
      <c r="S476" s="2" t="s">
        <v>44</v>
      </c>
      <c r="T476" s="2"/>
      <c r="U476" s="2" t="s">
        <v>3527</v>
      </c>
      <c r="V476" s="2" t="s">
        <v>46</v>
      </c>
      <c r="W476" s="2" t="s">
        <v>3527</v>
      </c>
      <c r="X476" s="2" t="s">
        <v>10787</v>
      </c>
      <c r="Y476" s="2" t="s">
        <v>10801</v>
      </c>
      <c r="Z476" s="2" t="s">
        <v>49</v>
      </c>
      <c r="AA476" s="2">
        <v>90</v>
      </c>
      <c r="AB476" s="2">
        <v>50</v>
      </c>
      <c r="AC476" s="2" t="s">
        <v>9685</v>
      </c>
      <c r="AD476" s="2" t="s">
        <v>17575</v>
      </c>
      <c r="AE476" s="2"/>
      <c r="AF476" s="2" t="s">
        <v>15038</v>
      </c>
      <c r="AG476" s="2" t="s">
        <v>14290</v>
      </c>
    </row>
    <row r="477" spans="1:33" x14ac:dyDescent="0.45">
      <c r="A477" s="2" t="s">
        <v>17576</v>
      </c>
      <c r="B477" s="2" t="s">
        <v>17577</v>
      </c>
      <c r="C477" s="2" t="s">
        <v>17578</v>
      </c>
      <c r="D477" s="2" t="s">
        <v>17579</v>
      </c>
      <c r="E477" s="2" t="s">
        <v>17580</v>
      </c>
      <c r="F477" s="2"/>
      <c r="G477" s="2"/>
      <c r="H477" s="2" t="s">
        <v>72</v>
      </c>
      <c r="I477" s="2" t="s">
        <v>73</v>
      </c>
      <c r="J477" s="2" t="s">
        <v>232</v>
      </c>
      <c r="K477" s="2" t="s">
        <v>17579</v>
      </c>
      <c r="L477" s="2"/>
      <c r="M477" s="2"/>
      <c r="N477" s="2"/>
      <c r="O477" s="2" t="s">
        <v>72</v>
      </c>
      <c r="P477" s="2" t="s">
        <v>73</v>
      </c>
      <c r="Q477" s="2" t="s">
        <v>232</v>
      </c>
      <c r="R477" s="2" t="s">
        <v>7127</v>
      </c>
      <c r="S477" s="2" t="s">
        <v>44</v>
      </c>
      <c r="T477" s="2"/>
      <c r="U477" s="2" t="s">
        <v>3527</v>
      </c>
      <c r="V477" s="2" t="s">
        <v>46</v>
      </c>
      <c r="W477" s="2" t="s">
        <v>3527</v>
      </c>
      <c r="X477" s="2" t="s">
        <v>10787</v>
      </c>
      <c r="Y477" s="2" t="s">
        <v>10801</v>
      </c>
      <c r="Z477" s="2" t="s">
        <v>49</v>
      </c>
      <c r="AA477" s="2">
        <v>90</v>
      </c>
      <c r="AB477" s="2">
        <v>50</v>
      </c>
      <c r="AC477" s="2" t="s">
        <v>9685</v>
      </c>
      <c r="AD477" s="2" t="s">
        <v>17581</v>
      </c>
      <c r="AE477" s="2"/>
      <c r="AF477" s="2" t="s">
        <v>15038</v>
      </c>
      <c r="AG477" s="2" t="s">
        <v>14290</v>
      </c>
    </row>
    <row r="478" spans="1:33" x14ac:dyDescent="0.45">
      <c r="A478" s="2" t="s">
        <v>17582</v>
      </c>
      <c r="B478" s="2" t="s">
        <v>17583</v>
      </c>
      <c r="C478" s="2" t="s">
        <v>17584</v>
      </c>
      <c r="D478" s="2" t="s">
        <v>17585</v>
      </c>
      <c r="E478" s="2" t="s">
        <v>17586</v>
      </c>
      <c r="F478" s="2"/>
      <c r="G478" s="2"/>
      <c r="H478" s="2" t="s">
        <v>72</v>
      </c>
      <c r="I478" s="2" t="s">
        <v>73</v>
      </c>
      <c r="J478" s="2" t="s">
        <v>187</v>
      </c>
      <c r="K478" s="2" t="s">
        <v>17587</v>
      </c>
      <c r="L478" s="2"/>
      <c r="M478" s="2"/>
      <c r="N478" s="2"/>
      <c r="O478" s="2" t="s">
        <v>72</v>
      </c>
      <c r="P478" s="2" t="s">
        <v>73</v>
      </c>
      <c r="Q478" s="2" t="s">
        <v>187</v>
      </c>
      <c r="R478" s="2" t="s">
        <v>10994</v>
      </c>
      <c r="S478" s="2" t="s">
        <v>44</v>
      </c>
      <c r="T478" s="2"/>
      <c r="U478" s="2" t="s">
        <v>3527</v>
      </c>
      <c r="V478" s="2" t="s">
        <v>46</v>
      </c>
      <c r="W478" s="2" t="s">
        <v>3527</v>
      </c>
      <c r="X478" s="2" t="s">
        <v>10787</v>
      </c>
      <c r="Y478" s="2" t="s">
        <v>10801</v>
      </c>
      <c r="Z478" s="2" t="s">
        <v>49</v>
      </c>
      <c r="AA478" s="2">
        <v>90</v>
      </c>
      <c r="AB478" s="2">
        <v>50</v>
      </c>
      <c r="AC478" s="2" t="s">
        <v>9685</v>
      </c>
      <c r="AD478" s="2" t="s">
        <v>17588</v>
      </c>
      <c r="AE478" s="2"/>
      <c r="AF478" s="2" t="s">
        <v>15038</v>
      </c>
      <c r="AG478" s="2" t="s">
        <v>14290</v>
      </c>
    </row>
    <row r="479" spans="1:33" x14ac:dyDescent="0.45">
      <c r="A479" s="2" t="s">
        <v>17589</v>
      </c>
      <c r="B479" s="2" t="s">
        <v>17590</v>
      </c>
      <c r="C479" s="2" t="s">
        <v>17591</v>
      </c>
      <c r="D479" s="2" t="s">
        <v>17592</v>
      </c>
      <c r="E479" s="2" t="s">
        <v>17593</v>
      </c>
      <c r="F479" s="2"/>
      <c r="G479" s="2"/>
      <c r="H479" s="2" t="s">
        <v>290</v>
      </c>
      <c r="I479" s="2" t="s">
        <v>278</v>
      </c>
      <c r="J479" s="2" t="s">
        <v>291</v>
      </c>
      <c r="K479" s="2" t="s">
        <v>17592</v>
      </c>
      <c r="L479" s="2"/>
      <c r="M479" s="2"/>
      <c r="N479" s="2"/>
      <c r="O479" s="2" t="s">
        <v>290</v>
      </c>
      <c r="P479" s="2" t="s">
        <v>278</v>
      </c>
      <c r="Q479" s="2" t="s">
        <v>291</v>
      </c>
      <c r="R479" s="2" t="s">
        <v>17594</v>
      </c>
      <c r="S479" s="2" t="s">
        <v>44</v>
      </c>
      <c r="T479" s="2"/>
      <c r="U479" s="2" t="s">
        <v>821</v>
      </c>
      <c r="V479" s="2" t="s">
        <v>46</v>
      </c>
      <c r="W479" s="2" t="s">
        <v>821</v>
      </c>
      <c r="X479" s="2" t="s">
        <v>10787</v>
      </c>
      <c r="Y479" s="2" t="s">
        <v>10801</v>
      </c>
      <c r="Z479" s="2" t="s">
        <v>15016</v>
      </c>
      <c r="AA479" s="2">
        <v>90</v>
      </c>
      <c r="AB479" s="2">
        <v>45</v>
      </c>
      <c r="AC479" s="2" t="s">
        <v>9685</v>
      </c>
      <c r="AD479" s="2" t="s">
        <v>17595</v>
      </c>
      <c r="AE479" s="2"/>
      <c r="AF479" s="2" t="s">
        <v>15018</v>
      </c>
      <c r="AG479" s="2" t="s">
        <v>14290</v>
      </c>
    </row>
    <row r="480" spans="1:33" x14ac:dyDescent="0.45">
      <c r="A480" s="2" t="s">
        <v>17596</v>
      </c>
      <c r="B480" s="2" t="s">
        <v>17597</v>
      </c>
      <c r="C480" s="2" t="s">
        <v>17598</v>
      </c>
      <c r="D480" s="2" t="s">
        <v>17599</v>
      </c>
      <c r="E480" s="2" t="s">
        <v>17600</v>
      </c>
      <c r="F480" s="2"/>
      <c r="G480" s="2"/>
      <c r="H480" s="2" t="s">
        <v>17601</v>
      </c>
      <c r="I480" s="2" t="s">
        <v>17166</v>
      </c>
      <c r="J480" s="2" t="s">
        <v>17602</v>
      </c>
      <c r="K480" s="2" t="s">
        <v>17599</v>
      </c>
      <c r="L480" s="2"/>
      <c r="M480" s="2"/>
      <c r="N480" s="2"/>
      <c r="O480" s="2" t="s">
        <v>17601</v>
      </c>
      <c r="P480" s="2" t="s">
        <v>17166</v>
      </c>
      <c r="Q480" s="2" t="s">
        <v>17602</v>
      </c>
      <c r="R480" s="2" t="s">
        <v>17603</v>
      </c>
      <c r="S480" s="2" t="s">
        <v>44</v>
      </c>
      <c r="T480" s="2"/>
      <c r="U480" s="2" t="s">
        <v>3527</v>
      </c>
      <c r="V480" s="2" t="s">
        <v>46</v>
      </c>
      <c r="W480" s="2" t="s">
        <v>3527</v>
      </c>
      <c r="X480" s="2" t="s">
        <v>10787</v>
      </c>
      <c r="Y480" s="2" t="s">
        <v>10801</v>
      </c>
      <c r="Z480" s="2" t="s">
        <v>49</v>
      </c>
      <c r="AA480" s="2">
        <v>90</v>
      </c>
      <c r="AB480" s="2">
        <v>45</v>
      </c>
      <c r="AC480" s="2" t="s">
        <v>9685</v>
      </c>
      <c r="AD480" s="2" t="s">
        <v>17604</v>
      </c>
      <c r="AE480" s="2"/>
      <c r="AF480" s="2" t="s">
        <v>15038</v>
      </c>
      <c r="AG480" s="2" t="s">
        <v>14290</v>
      </c>
    </row>
    <row r="481" spans="1:33" x14ac:dyDescent="0.45">
      <c r="A481" s="2" t="s">
        <v>17605</v>
      </c>
      <c r="B481" s="2" t="s">
        <v>17606</v>
      </c>
      <c r="C481" s="2" t="s">
        <v>17607</v>
      </c>
      <c r="D481" s="2" t="s">
        <v>17608</v>
      </c>
      <c r="E481" s="2" t="s">
        <v>17609</v>
      </c>
      <c r="F481" s="2"/>
      <c r="G481" s="2"/>
      <c r="H481" s="2" t="s">
        <v>17610</v>
      </c>
      <c r="I481" s="2" t="s">
        <v>1112</v>
      </c>
      <c r="J481" s="2" t="s">
        <v>17611</v>
      </c>
      <c r="K481" s="2" t="s">
        <v>17608</v>
      </c>
      <c r="L481" s="2"/>
      <c r="M481" s="2"/>
      <c r="N481" s="2"/>
      <c r="O481" s="2" t="s">
        <v>17610</v>
      </c>
      <c r="P481" s="2" t="s">
        <v>1112</v>
      </c>
      <c r="Q481" s="2" t="s">
        <v>17611</v>
      </c>
      <c r="R481" s="2" t="s">
        <v>17612</v>
      </c>
      <c r="S481" s="2" t="s">
        <v>44</v>
      </c>
      <c r="T481" s="2"/>
      <c r="U481" s="2" t="s">
        <v>3527</v>
      </c>
      <c r="V481" s="2" t="s">
        <v>46</v>
      </c>
      <c r="W481" s="2" t="s">
        <v>3527</v>
      </c>
      <c r="X481" s="2" t="s">
        <v>10787</v>
      </c>
      <c r="Y481" s="2" t="s">
        <v>10801</v>
      </c>
      <c r="Z481" s="2" t="s">
        <v>49</v>
      </c>
      <c r="AA481" s="2">
        <v>90</v>
      </c>
      <c r="AB481" s="2">
        <v>45</v>
      </c>
      <c r="AC481" s="2" t="s">
        <v>9685</v>
      </c>
      <c r="AD481" s="2" t="s">
        <v>17613</v>
      </c>
      <c r="AE481" s="2"/>
      <c r="AF481" s="2" t="s">
        <v>15038</v>
      </c>
      <c r="AG481" s="2" t="s">
        <v>14290</v>
      </c>
    </row>
    <row r="482" spans="1:33" x14ac:dyDescent="0.45">
      <c r="A482" s="2" t="s">
        <v>17614</v>
      </c>
      <c r="B482" s="2" t="s">
        <v>17615</v>
      </c>
      <c r="C482" s="2" t="s">
        <v>17616</v>
      </c>
      <c r="D482" s="2" t="s">
        <v>17617</v>
      </c>
      <c r="E482" s="2" t="s">
        <v>17618</v>
      </c>
      <c r="F482" s="2"/>
      <c r="G482" s="2"/>
      <c r="H482" s="2" t="s">
        <v>5821</v>
      </c>
      <c r="I482" s="2" t="s">
        <v>278</v>
      </c>
      <c r="J482" s="2" t="s">
        <v>17619</v>
      </c>
      <c r="K482" s="2" t="s">
        <v>17617</v>
      </c>
      <c r="L482" s="2"/>
      <c r="M482" s="2"/>
      <c r="N482" s="2"/>
      <c r="O482" s="2" t="s">
        <v>5821</v>
      </c>
      <c r="P482" s="2" t="s">
        <v>278</v>
      </c>
      <c r="Q482" s="2" t="s">
        <v>17619</v>
      </c>
      <c r="R482" s="2" t="s">
        <v>6873</v>
      </c>
      <c r="S482" s="2" t="s">
        <v>44</v>
      </c>
      <c r="T482" s="2"/>
      <c r="U482" s="2" t="s">
        <v>3527</v>
      </c>
      <c r="V482" s="2" t="s">
        <v>46</v>
      </c>
      <c r="W482" s="2" t="s">
        <v>3527</v>
      </c>
      <c r="X482" s="2" t="s">
        <v>10787</v>
      </c>
      <c r="Y482" s="2" t="s">
        <v>10801</v>
      </c>
      <c r="Z482" s="2" t="s">
        <v>49</v>
      </c>
      <c r="AA482" s="2">
        <v>90</v>
      </c>
      <c r="AB482" s="2">
        <v>45</v>
      </c>
      <c r="AC482" s="2" t="s">
        <v>9685</v>
      </c>
      <c r="AD482" s="2" t="s">
        <v>17620</v>
      </c>
      <c r="AE482" s="2"/>
      <c r="AF482" s="2" t="s">
        <v>15038</v>
      </c>
      <c r="AG482" s="2" t="s">
        <v>14290</v>
      </c>
    </row>
    <row r="483" spans="1:33" x14ac:dyDescent="0.45">
      <c r="A483" s="2" t="s">
        <v>17621</v>
      </c>
      <c r="B483" s="2" t="s">
        <v>17622</v>
      </c>
      <c r="C483" s="2" t="s">
        <v>17623</v>
      </c>
      <c r="D483" s="2" t="s">
        <v>17624</v>
      </c>
      <c r="E483" s="2" t="s">
        <v>17625</v>
      </c>
      <c r="F483" s="2"/>
      <c r="G483" s="2"/>
      <c r="H483" s="2" t="s">
        <v>2962</v>
      </c>
      <c r="I483" s="2" t="s">
        <v>73</v>
      </c>
      <c r="J483" s="2" t="s">
        <v>2963</v>
      </c>
      <c r="K483" s="2" t="s">
        <v>17624</v>
      </c>
      <c r="L483" s="2"/>
      <c r="M483" s="2"/>
      <c r="N483" s="2"/>
      <c r="O483" s="2" t="s">
        <v>2962</v>
      </c>
      <c r="P483" s="2" t="s">
        <v>73</v>
      </c>
      <c r="Q483" s="2" t="s">
        <v>2963</v>
      </c>
      <c r="R483" s="2" t="s">
        <v>17368</v>
      </c>
      <c r="S483" s="2" t="s">
        <v>44</v>
      </c>
      <c r="T483" s="2"/>
      <c r="U483" s="2" t="s">
        <v>3527</v>
      </c>
      <c r="V483" s="2" t="s">
        <v>46</v>
      </c>
      <c r="W483" s="2" t="s">
        <v>3527</v>
      </c>
      <c r="X483" s="2" t="s">
        <v>10787</v>
      </c>
      <c r="Y483" s="2" t="s">
        <v>10801</v>
      </c>
      <c r="Z483" s="2" t="s">
        <v>49</v>
      </c>
      <c r="AA483" s="2">
        <v>90</v>
      </c>
      <c r="AB483" s="2">
        <v>45</v>
      </c>
      <c r="AC483" s="2" t="s">
        <v>9685</v>
      </c>
      <c r="AD483" s="2" t="s">
        <v>17626</v>
      </c>
      <c r="AE483" s="2"/>
      <c r="AF483" s="2" t="s">
        <v>15038</v>
      </c>
      <c r="AG483" s="2" t="s">
        <v>14290</v>
      </c>
    </row>
    <row r="484" spans="1:33" x14ac:dyDescent="0.45">
      <c r="A484" s="2" t="s">
        <v>17627</v>
      </c>
      <c r="B484" s="2" t="s">
        <v>17628</v>
      </c>
      <c r="C484" s="2" t="s">
        <v>17629</v>
      </c>
      <c r="D484" s="2" t="s">
        <v>17630</v>
      </c>
      <c r="E484" s="2" t="s">
        <v>17631</v>
      </c>
      <c r="F484" s="2"/>
      <c r="G484" s="2"/>
      <c r="H484" s="2" t="s">
        <v>1136</v>
      </c>
      <c r="I484" s="2" t="s">
        <v>1137</v>
      </c>
      <c r="J484" s="2" t="s">
        <v>1138</v>
      </c>
      <c r="K484" s="2" t="s">
        <v>17630</v>
      </c>
      <c r="L484" s="2"/>
      <c r="M484" s="2"/>
      <c r="N484" s="2"/>
      <c r="O484" s="2" t="s">
        <v>1136</v>
      </c>
      <c r="P484" s="2" t="s">
        <v>1137</v>
      </c>
      <c r="Q484" s="2" t="s">
        <v>1138</v>
      </c>
      <c r="R484" s="2" t="s">
        <v>4631</v>
      </c>
      <c r="S484" s="2" t="s">
        <v>44</v>
      </c>
      <c r="T484" s="2"/>
      <c r="U484" s="2" t="s">
        <v>3527</v>
      </c>
      <c r="V484" s="2" t="s">
        <v>46</v>
      </c>
      <c r="W484" s="2" t="s">
        <v>3527</v>
      </c>
      <c r="X484" s="2" t="s">
        <v>10787</v>
      </c>
      <c r="Y484" s="2" t="s">
        <v>10801</v>
      </c>
      <c r="Z484" s="2" t="s">
        <v>49</v>
      </c>
      <c r="AA484" s="2">
        <v>90</v>
      </c>
      <c r="AB484" s="2">
        <v>45</v>
      </c>
      <c r="AC484" s="2" t="s">
        <v>9685</v>
      </c>
      <c r="AD484" s="2" t="s">
        <v>17632</v>
      </c>
      <c r="AE484" s="2"/>
      <c r="AF484" s="2" t="s">
        <v>15038</v>
      </c>
      <c r="AG484" s="2" t="s">
        <v>14290</v>
      </c>
    </row>
    <row r="485" spans="1:33" x14ac:dyDescent="0.45">
      <c r="A485" s="2" t="s">
        <v>17633</v>
      </c>
      <c r="B485" s="2" t="s">
        <v>17634</v>
      </c>
      <c r="C485" s="2" t="s">
        <v>17635</v>
      </c>
      <c r="D485" s="2" t="s">
        <v>17636</v>
      </c>
      <c r="E485" s="2" t="s">
        <v>17637</v>
      </c>
      <c r="F485" s="2"/>
      <c r="G485" s="2"/>
      <c r="H485" s="2" t="s">
        <v>16854</v>
      </c>
      <c r="I485" s="2" t="s">
        <v>1112</v>
      </c>
      <c r="J485" s="2" t="s">
        <v>17638</v>
      </c>
      <c r="K485" s="2" t="s">
        <v>17636</v>
      </c>
      <c r="L485" s="2"/>
      <c r="M485" s="2"/>
      <c r="N485" s="2"/>
      <c r="O485" s="2" t="s">
        <v>16854</v>
      </c>
      <c r="P485" s="2" t="s">
        <v>1112</v>
      </c>
      <c r="Q485" s="2" t="s">
        <v>17638</v>
      </c>
      <c r="R485" s="2" t="s">
        <v>6949</v>
      </c>
      <c r="S485" s="2" t="s">
        <v>44</v>
      </c>
      <c r="T485" s="2"/>
      <c r="U485" s="2" t="s">
        <v>3527</v>
      </c>
      <c r="V485" s="2" t="s">
        <v>46</v>
      </c>
      <c r="W485" s="2" t="s">
        <v>3527</v>
      </c>
      <c r="X485" s="2" t="s">
        <v>10787</v>
      </c>
      <c r="Y485" s="2" t="s">
        <v>10801</v>
      </c>
      <c r="Z485" s="2" t="s">
        <v>49</v>
      </c>
      <c r="AA485" s="2">
        <v>90</v>
      </c>
      <c r="AB485" s="2">
        <v>45</v>
      </c>
      <c r="AC485" s="2" t="s">
        <v>9685</v>
      </c>
      <c r="AD485" s="2" t="s">
        <v>17639</v>
      </c>
      <c r="AE485" s="2"/>
      <c r="AF485" s="2" t="s">
        <v>15038</v>
      </c>
      <c r="AG485" s="2" t="s">
        <v>14290</v>
      </c>
    </row>
    <row r="486" spans="1:33" x14ac:dyDescent="0.45">
      <c r="A486" s="2" t="s">
        <v>17640</v>
      </c>
      <c r="B486" s="2" t="s">
        <v>17641</v>
      </c>
      <c r="C486" s="2" t="s">
        <v>17642</v>
      </c>
      <c r="D486" s="2" t="s">
        <v>17643</v>
      </c>
      <c r="E486" s="2" t="s">
        <v>17644</v>
      </c>
      <c r="F486" s="2"/>
      <c r="G486" s="2"/>
      <c r="H486" s="2" t="s">
        <v>1208</v>
      </c>
      <c r="I486" s="2" t="s">
        <v>1209</v>
      </c>
      <c r="J486" s="2" t="s">
        <v>1210</v>
      </c>
      <c r="K486" s="2" t="s">
        <v>17643</v>
      </c>
      <c r="L486" s="2"/>
      <c r="M486" s="2"/>
      <c r="N486" s="2"/>
      <c r="O486" s="2" t="s">
        <v>1208</v>
      </c>
      <c r="P486" s="2" t="s">
        <v>1209</v>
      </c>
      <c r="Q486" s="2" t="s">
        <v>1210</v>
      </c>
      <c r="R486" s="2" t="s">
        <v>3546</v>
      </c>
      <c r="S486" s="2" t="s">
        <v>44</v>
      </c>
      <c r="T486" s="2"/>
      <c r="U486" s="2" t="s">
        <v>3527</v>
      </c>
      <c r="V486" s="2" t="s">
        <v>46</v>
      </c>
      <c r="W486" s="2" t="s">
        <v>3527</v>
      </c>
      <c r="X486" s="2" t="s">
        <v>10787</v>
      </c>
      <c r="Y486" s="2" t="s">
        <v>10801</v>
      </c>
      <c r="Z486" s="2" t="s">
        <v>49</v>
      </c>
      <c r="AA486" s="2">
        <v>90</v>
      </c>
      <c r="AB486" s="2">
        <v>45</v>
      </c>
      <c r="AC486" s="2" t="s">
        <v>9685</v>
      </c>
      <c r="AD486" s="2" t="s">
        <v>17645</v>
      </c>
      <c r="AE486" s="2"/>
      <c r="AF486" s="2" t="s">
        <v>15038</v>
      </c>
      <c r="AG486" s="2" t="s">
        <v>14290</v>
      </c>
    </row>
    <row r="487" spans="1:33" x14ac:dyDescent="0.45">
      <c r="A487" s="2" t="s">
        <v>17646</v>
      </c>
      <c r="B487" s="2" t="s">
        <v>17647</v>
      </c>
      <c r="C487" s="2" t="s">
        <v>17648</v>
      </c>
      <c r="D487" s="2" t="s">
        <v>17649</v>
      </c>
      <c r="E487" s="2" t="s">
        <v>17650</v>
      </c>
      <c r="F487" s="2"/>
      <c r="G487" s="2"/>
      <c r="H487" s="2" t="s">
        <v>12751</v>
      </c>
      <c r="I487" s="2" t="s">
        <v>73</v>
      </c>
      <c r="J487" s="2" t="s">
        <v>17651</v>
      </c>
      <c r="K487" s="2" t="s">
        <v>17652</v>
      </c>
      <c r="L487" s="2"/>
      <c r="M487" s="2"/>
      <c r="N487" s="2"/>
      <c r="O487" s="2" t="s">
        <v>12751</v>
      </c>
      <c r="P487" s="2" t="s">
        <v>73</v>
      </c>
      <c r="Q487" s="2" t="s">
        <v>17651</v>
      </c>
      <c r="R487" s="2" t="s">
        <v>10712</v>
      </c>
      <c r="S487" s="2" t="s">
        <v>44</v>
      </c>
      <c r="T487" s="2"/>
      <c r="U487" s="2" t="s">
        <v>3527</v>
      </c>
      <c r="V487" s="2" t="s">
        <v>46</v>
      </c>
      <c r="W487" s="2" t="s">
        <v>3527</v>
      </c>
      <c r="X487" s="2" t="s">
        <v>10787</v>
      </c>
      <c r="Y487" s="2" t="s">
        <v>10801</v>
      </c>
      <c r="Z487" s="2" t="s">
        <v>49</v>
      </c>
      <c r="AA487" s="2">
        <v>90</v>
      </c>
      <c r="AB487" s="2">
        <v>45</v>
      </c>
      <c r="AC487" s="2" t="s">
        <v>9685</v>
      </c>
      <c r="AD487" s="2" t="s">
        <v>17653</v>
      </c>
      <c r="AE487" s="2"/>
      <c r="AF487" s="2" t="s">
        <v>15038</v>
      </c>
      <c r="AG487" s="2" t="s">
        <v>14290</v>
      </c>
    </row>
    <row r="488" spans="1:33" x14ac:dyDescent="0.45">
      <c r="A488" s="2" t="s">
        <v>17654</v>
      </c>
      <c r="B488" s="2" t="s">
        <v>17655</v>
      </c>
      <c r="C488" s="2" t="s">
        <v>17656</v>
      </c>
      <c r="D488" s="2" t="s">
        <v>17657</v>
      </c>
      <c r="E488" s="2" t="s">
        <v>17658</v>
      </c>
      <c r="F488" s="2"/>
      <c r="G488" s="2"/>
      <c r="H488" s="2" t="s">
        <v>17659</v>
      </c>
      <c r="I488" s="2" t="s">
        <v>217</v>
      </c>
      <c r="J488" s="2" t="s">
        <v>17660</v>
      </c>
      <c r="K488" s="2" t="s">
        <v>17657</v>
      </c>
      <c r="L488" s="2"/>
      <c r="M488" s="2"/>
      <c r="N488" s="2"/>
      <c r="O488" s="2" t="s">
        <v>17659</v>
      </c>
      <c r="P488" s="2" t="s">
        <v>217</v>
      </c>
      <c r="Q488" s="2" t="s">
        <v>17660</v>
      </c>
      <c r="R488" s="2" t="s">
        <v>10712</v>
      </c>
      <c r="S488" s="2" t="s">
        <v>44</v>
      </c>
      <c r="T488" s="2"/>
      <c r="U488" s="2" t="s">
        <v>3527</v>
      </c>
      <c r="V488" s="2" t="s">
        <v>46</v>
      </c>
      <c r="W488" s="2" t="s">
        <v>3527</v>
      </c>
      <c r="X488" s="2" t="s">
        <v>10787</v>
      </c>
      <c r="Y488" s="2" t="s">
        <v>10801</v>
      </c>
      <c r="Z488" s="2" t="s">
        <v>49</v>
      </c>
      <c r="AA488" s="2">
        <v>90</v>
      </c>
      <c r="AB488" s="2">
        <v>45</v>
      </c>
      <c r="AC488" s="2" t="s">
        <v>9685</v>
      </c>
      <c r="AD488" s="2" t="s">
        <v>17661</v>
      </c>
      <c r="AE488" s="2"/>
      <c r="AF488" s="2" t="s">
        <v>15038</v>
      </c>
      <c r="AG488" s="2" t="s">
        <v>14290</v>
      </c>
    </row>
    <row r="489" spans="1:33" x14ac:dyDescent="0.45">
      <c r="A489" s="2" t="s">
        <v>17662</v>
      </c>
      <c r="B489" s="2" t="s">
        <v>17663</v>
      </c>
      <c r="C489" s="2" t="s">
        <v>17664</v>
      </c>
      <c r="D489" s="2" t="s">
        <v>17665</v>
      </c>
      <c r="E489" s="2" t="s">
        <v>17666</v>
      </c>
      <c r="F489" s="2"/>
      <c r="G489" s="2"/>
      <c r="H489" s="2" t="s">
        <v>2962</v>
      </c>
      <c r="I489" s="2" t="s">
        <v>73</v>
      </c>
      <c r="J489" s="2" t="s">
        <v>2963</v>
      </c>
      <c r="K489" s="2" t="s">
        <v>17665</v>
      </c>
      <c r="L489" s="2"/>
      <c r="M489" s="2"/>
      <c r="N489" s="2"/>
      <c r="O489" s="2" t="s">
        <v>2962</v>
      </c>
      <c r="P489" s="2" t="s">
        <v>73</v>
      </c>
      <c r="Q489" s="2" t="s">
        <v>2963</v>
      </c>
      <c r="R489" s="2" t="s">
        <v>4782</v>
      </c>
      <c r="S489" s="2" t="s">
        <v>44</v>
      </c>
      <c r="T489" s="2"/>
      <c r="U489" s="2" t="s">
        <v>3527</v>
      </c>
      <c r="V489" s="2" t="s">
        <v>46</v>
      </c>
      <c r="W489" s="2" t="s">
        <v>3527</v>
      </c>
      <c r="X489" s="2" t="s">
        <v>10787</v>
      </c>
      <c r="Y489" s="2" t="s">
        <v>10801</v>
      </c>
      <c r="Z489" s="2" t="s">
        <v>49</v>
      </c>
      <c r="AA489" s="2">
        <v>90</v>
      </c>
      <c r="AB489" s="2">
        <v>45</v>
      </c>
      <c r="AC489" s="2" t="s">
        <v>9685</v>
      </c>
      <c r="AD489" s="2" t="s">
        <v>17667</v>
      </c>
      <c r="AE489" s="2"/>
      <c r="AF489" s="2" t="s">
        <v>15038</v>
      </c>
      <c r="AG489" s="2" t="s">
        <v>14290</v>
      </c>
    </row>
    <row r="490" spans="1:33" x14ac:dyDescent="0.45">
      <c r="A490" s="2" t="s">
        <v>17668</v>
      </c>
      <c r="B490" s="2" t="s">
        <v>17669</v>
      </c>
      <c r="C490" s="2" t="s">
        <v>17670</v>
      </c>
      <c r="D490" s="2" t="s">
        <v>17671</v>
      </c>
      <c r="E490" s="2" t="s">
        <v>17672</v>
      </c>
      <c r="F490" s="2"/>
      <c r="G490" s="2"/>
      <c r="H490" s="2" t="s">
        <v>12989</v>
      </c>
      <c r="I490" s="2" t="s">
        <v>313</v>
      </c>
      <c r="J490" s="2" t="s">
        <v>12990</v>
      </c>
      <c r="K490" s="2" t="s">
        <v>17673</v>
      </c>
      <c r="L490" s="2"/>
      <c r="M490" s="2"/>
      <c r="N490" s="2"/>
      <c r="O490" s="2" t="s">
        <v>312</v>
      </c>
      <c r="P490" s="2" t="s">
        <v>313</v>
      </c>
      <c r="Q490" s="2" t="s">
        <v>314</v>
      </c>
      <c r="R490" s="2" t="s">
        <v>16030</v>
      </c>
      <c r="S490" s="2" t="s">
        <v>44</v>
      </c>
      <c r="T490" s="2"/>
      <c r="U490" s="2" t="s">
        <v>3527</v>
      </c>
      <c r="V490" s="2" t="s">
        <v>46</v>
      </c>
      <c r="W490" s="2" t="s">
        <v>3527</v>
      </c>
      <c r="X490" s="2" t="s">
        <v>10787</v>
      </c>
      <c r="Y490" s="2" t="s">
        <v>10801</v>
      </c>
      <c r="Z490" s="2" t="s">
        <v>49</v>
      </c>
      <c r="AA490" s="2">
        <v>90</v>
      </c>
      <c r="AB490" s="2">
        <v>45</v>
      </c>
      <c r="AC490" s="2" t="s">
        <v>9685</v>
      </c>
      <c r="AD490" s="2" t="s">
        <v>17674</v>
      </c>
      <c r="AE490" s="2"/>
      <c r="AF490" s="2" t="s">
        <v>15038</v>
      </c>
      <c r="AG490" s="2" t="s">
        <v>14290</v>
      </c>
    </row>
    <row r="491" spans="1:33" x14ac:dyDescent="0.45">
      <c r="A491" s="2" t="s">
        <v>17675</v>
      </c>
      <c r="B491" s="2" t="s">
        <v>17676</v>
      </c>
      <c r="C491" s="2" t="s">
        <v>17677</v>
      </c>
      <c r="D491" s="2" t="s">
        <v>17678</v>
      </c>
      <c r="E491" s="2" t="s">
        <v>17679</v>
      </c>
      <c r="F491" s="2"/>
      <c r="G491" s="2"/>
      <c r="H491" s="2" t="s">
        <v>17680</v>
      </c>
      <c r="I491" s="2" t="s">
        <v>17681</v>
      </c>
      <c r="J491" s="2" t="s">
        <v>17682</v>
      </c>
      <c r="K491" s="2" t="s">
        <v>17683</v>
      </c>
      <c r="L491" s="2"/>
      <c r="M491" s="2"/>
      <c r="N491" s="2"/>
      <c r="O491" s="2" t="s">
        <v>17680</v>
      </c>
      <c r="P491" s="2" t="s">
        <v>17681</v>
      </c>
      <c r="Q491" s="2" t="s">
        <v>17682</v>
      </c>
      <c r="R491" s="2" t="s">
        <v>4482</v>
      </c>
      <c r="S491" s="2" t="s">
        <v>44</v>
      </c>
      <c r="T491" s="2"/>
      <c r="U491" s="2" t="s">
        <v>3527</v>
      </c>
      <c r="V491" s="2" t="s">
        <v>46</v>
      </c>
      <c r="W491" s="2" t="s">
        <v>3527</v>
      </c>
      <c r="X491" s="2" t="s">
        <v>10787</v>
      </c>
      <c r="Y491" s="2" t="s">
        <v>10801</v>
      </c>
      <c r="Z491" s="2" t="s">
        <v>49</v>
      </c>
      <c r="AA491" s="2">
        <v>90</v>
      </c>
      <c r="AB491" s="2">
        <v>45</v>
      </c>
      <c r="AC491" s="2" t="s">
        <v>9685</v>
      </c>
      <c r="AD491" s="2" t="s">
        <v>17684</v>
      </c>
      <c r="AE491" s="2"/>
      <c r="AF491" s="2" t="s">
        <v>15038</v>
      </c>
      <c r="AG491" s="2" t="s">
        <v>14290</v>
      </c>
    </row>
    <row r="492" spans="1:33" x14ac:dyDescent="0.45">
      <c r="A492" s="2" t="s">
        <v>17685</v>
      </c>
      <c r="B492" s="2" t="s">
        <v>17686</v>
      </c>
      <c r="C492" s="2" t="s">
        <v>17687</v>
      </c>
      <c r="D492" s="2" t="s">
        <v>17688</v>
      </c>
      <c r="E492" s="2" t="s">
        <v>17689</v>
      </c>
      <c r="F492" s="2"/>
      <c r="G492" s="2"/>
      <c r="H492" s="2" t="s">
        <v>1248</v>
      </c>
      <c r="I492" s="2" t="s">
        <v>1137</v>
      </c>
      <c r="J492" s="2" t="s">
        <v>11307</v>
      </c>
      <c r="K492" s="2" t="s">
        <v>17688</v>
      </c>
      <c r="L492" s="2"/>
      <c r="M492" s="2"/>
      <c r="N492" s="2"/>
      <c r="O492" s="2" t="s">
        <v>1248</v>
      </c>
      <c r="P492" s="2" t="s">
        <v>1137</v>
      </c>
      <c r="Q492" s="2" t="s">
        <v>11307</v>
      </c>
      <c r="R492" s="2" t="s">
        <v>2623</v>
      </c>
      <c r="S492" s="2" t="s">
        <v>44</v>
      </c>
      <c r="T492" s="2"/>
      <c r="U492" s="2" t="s">
        <v>3527</v>
      </c>
      <c r="V492" s="2" t="s">
        <v>46</v>
      </c>
      <c r="W492" s="2" t="s">
        <v>3527</v>
      </c>
      <c r="X492" s="2" t="s">
        <v>10787</v>
      </c>
      <c r="Y492" s="2" t="s">
        <v>10801</v>
      </c>
      <c r="Z492" s="2" t="s">
        <v>49</v>
      </c>
      <c r="AA492" s="2">
        <v>90</v>
      </c>
      <c r="AB492" s="2">
        <v>45</v>
      </c>
      <c r="AC492" s="2" t="s">
        <v>9685</v>
      </c>
      <c r="AD492" s="2" t="s">
        <v>17690</v>
      </c>
      <c r="AE492" s="2"/>
      <c r="AF492" s="2" t="s">
        <v>15038</v>
      </c>
      <c r="AG492" s="2" t="s">
        <v>14290</v>
      </c>
    </row>
    <row r="493" spans="1:33" x14ac:dyDescent="0.45">
      <c r="A493" s="2" t="s">
        <v>17691</v>
      </c>
      <c r="B493" s="2" t="s">
        <v>17692</v>
      </c>
      <c r="C493" s="2" t="s">
        <v>17693</v>
      </c>
      <c r="D493" s="2" t="s">
        <v>17694</v>
      </c>
      <c r="E493" s="2" t="s">
        <v>17695</v>
      </c>
      <c r="F493" s="2"/>
      <c r="G493" s="2"/>
      <c r="H493" s="2" t="s">
        <v>17696</v>
      </c>
      <c r="I493" s="2" t="s">
        <v>221</v>
      </c>
      <c r="J493" s="2" t="s">
        <v>17697</v>
      </c>
      <c r="K493" s="2" t="s">
        <v>17694</v>
      </c>
      <c r="L493" s="2"/>
      <c r="M493" s="2"/>
      <c r="N493" s="2"/>
      <c r="O493" s="2" t="s">
        <v>17696</v>
      </c>
      <c r="P493" s="2" t="s">
        <v>221</v>
      </c>
      <c r="Q493" s="2" t="s">
        <v>17697</v>
      </c>
      <c r="R493" s="2" t="s">
        <v>245</v>
      </c>
      <c r="S493" s="2" t="s">
        <v>44</v>
      </c>
      <c r="T493" s="2"/>
      <c r="U493" s="2" t="s">
        <v>3527</v>
      </c>
      <c r="V493" s="2" t="s">
        <v>46</v>
      </c>
      <c r="W493" s="2" t="s">
        <v>3527</v>
      </c>
      <c r="X493" s="2" t="s">
        <v>10787</v>
      </c>
      <c r="Y493" s="2" t="s">
        <v>10801</v>
      </c>
      <c r="Z493" s="2" t="s">
        <v>49</v>
      </c>
      <c r="AA493" s="2">
        <v>90</v>
      </c>
      <c r="AB493" s="2">
        <v>45</v>
      </c>
      <c r="AC493" s="2" t="s">
        <v>9685</v>
      </c>
      <c r="AD493" s="2" t="s">
        <v>17698</v>
      </c>
      <c r="AE493" s="2"/>
      <c r="AF493" s="2" t="s">
        <v>15038</v>
      </c>
      <c r="AG493" s="2" t="s">
        <v>14290</v>
      </c>
    </row>
    <row r="494" spans="1:33" x14ac:dyDescent="0.45">
      <c r="A494" s="2" t="s">
        <v>17699</v>
      </c>
      <c r="B494" s="2" t="s">
        <v>17700</v>
      </c>
      <c r="C494" s="2" t="s">
        <v>17701</v>
      </c>
      <c r="D494" s="2" t="s">
        <v>17702</v>
      </c>
      <c r="E494" s="2" t="s">
        <v>17703</v>
      </c>
      <c r="F494" s="2"/>
      <c r="G494" s="2"/>
      <c r="H494" s="2" t="s">
        <v>17704</v>
      </c>
      <c r="I494" s="2" t="s">
        <v>278</v>
      </c>
      <c r="J494" s="2" t="s">
        <v>17705</v>
      </c>
      <c r="K494" s="2" t="s">
        <v>17706</v>
      </c>
      <c r="L494" s="2"/>
      <c r="M494" s="2"/>
      <c r="N494" s="2"/>
      <c r="O494" s="2" t="s">
        <v>17704</v>
      </c>
      <c r="P494" s="2" t="s">
        <v>278</v>
      </c>
      <c r="Q494" s="2" t="s">
        <v>17707</v>
      </c>
      <c r="R494" s="2" t="s">
        <v>560</v>
      </c>
      <c r="S494" s="2" t="s">
        <v>44</v>
      </c>
      <c r="T494" s="2"/>
      <c r="U494" s="2" t="s">
        <v>3527</v>
      </c>
      <c r="V494" s="2" t="s">
        <v>46</v>
      </c>
      <c r="W494" s="2" t="s">
        <v>3527</v>
      </c>
      <c r="X494" s="2" t="s">
        <v>10787</v>
      </c>
      <c r="Y494" s="2" t="s">
        <v>10801</v>
      </c>
      <c r="Z494" s="2" t="s">
        <v>49</v>
      </c>
      <c r="AA494" s="2">
        <v>90</v>
      </c>
      <c r="AB494" s="2">
        <v>45</v>
      </c>
      <c r="AC494" s="2" t="s">
        <v>9685</v>
      </c>
      <c r="AD494" s="2" t="s">
        <v>17708</v>
      </c>
      <c r="AE494" s="2"/>
      <c r="AF494" s="2" t="s">
        <v>15038</v>
      </c>
      <c r="AG494" s="2" t="s">
        <v>14290</v>
      </c>
    </row>
    <row r="495" spans="1:33" x14ac:dyDescent="0.45">
      <c r="A495" s="2" t="s">
        <v>17709</v>
      </c>
      <c r="B495" s="2" t="s">
        <v>17710</v>
      </c>
      <c r="C495" s="2" t="s">
        <v>17711</v>
      </c>
      <c r="D495" s="2" t="s">
        <v>17712</v>
      </c>
      <c r="E495" s="2" t="s">
        <v>17713</v>
      </c>
      <c r="F495" s="2"/>
      <c r="G495" s="2"/>
      <c r="H495" s="2" t="s">
        <v>17714</v>
      </c>
      <c r="I495" s="2" t="s">
        <v>73</v>
      </c>
      <c r="J495" s="2" t="s">
        <v>17715</v>
      </c>
      <c r="K495" s="2" t="s">
        <v>17712</v>
      </c>
      <c r="L495" s="2"/>
      <c r="M495" s="2"/>
      <c r="N495" s="2"/>
      <c r="O495" s="2" t="s">
        <v>17714</v>
      </c>
      <c r="P495" s="2" t="s">
        <v>73</v>
      </c>
      <c r="Q495" s="2" t="s">
        <v>17715</v>
      </c>
      <c r="R495" s="2" t="s">
        <v>8963</v>
      </c>
      <c r="S495" s="2" t="s">
        <v>44</v>
      </c>
      <c r="T495" s="2"/>
      <c r="U495" s="2" t="s">
        <v>3527</v>
      </c>
      <c r="V495" s="2" t="s">
        <v>46</v>
      </c>
      <c r="W495" s="2" t="s">
        <v>3527</v>
      </c>
      <c r="X495" s="2" t="s">
        <v>10787</v>
      </c>
      <c r="Y495" s="2" t="s">
        <v>10801</v>
      </c>
      <c r="Z495" s="2" t="s">
        <v>49</v>
      </c>
      <c r="AA495" s="2">
        <v>90</v>
      </c>
      <c r="AB495" s="2">
        <v>45</v>
      </c>
      <c r="AC495" s="2" t="s">
        <v>9685</v>
      </c>
      <c r="AD495" s="2" t="s">
        <v>17716</v>
      </c>
      <c r="AE495" s="2"/>
      <c r="AF495" s="2" t="s">
        <v>15038</v>
      </c>
      <c r="AG495" s="2" t="s">
        <v>14290</v>
      </c>
    </row>
    <row r="496" spans="1:33" x14ac:dyDescent="0.45">
      <c r="A496" s="2" t="s">
        <v>17717</v>
      </c>
      <c r="B496" s="2" t="s">
        <v>17718</v>
      </c>
      <c r="C496" s="2" t="s">
        <v>17546</v>
      </c>
      <c r="D496" s="2" t="s">
        <v>17719</v>
      </c>
      <c r="E496" s="2" t="s">
        <v>17548</v>
      </c>
      <c r="F496" s="2"/>
      <c r="G496" s="2"/>
      <c r="H496" s="2" t="s">
        <v>12989</v>
      </c>
      <c r="I496" s="2" t="s">
        <v>313</v>
      </c>
      <c r="J496" s="2" t="s">
        <v>12990</v>
      </c>
      <c r="K496" s="2" t="s">
        <v>17719</v>
      </c>
      <c r="L496" s="2"/>
      <c r="M496" s="2"/>
      <c r="N496" s="2"/>
      <c r="O496" s="2" t="s">
        <v>12989</v>
      </c>
      <c r="P496" s="2" t="s">
        <v>313</v>
      </c>
      <c r="Q496" s="2" t="s">
        <v>12990</v>
      </c>
      <c r="R496" s="2" t="s">
        <v>7004</v>
      </c>
      <c r="S496" s="2" t="s">
        <v>44</v>
      </c>
      <c r="T496" s="2"/>
      <c r="U496" s="2" t="s">
        <v>3527</v>
      </c>
      <c r="V496" s="2" t="s">
        <v>46</v>
      </c>
      <c r="W496" s="2" t="s">
        <v>3527</v>
      </c>
      <c r="X496" s="2" t="s">
        <v>10787</v>
      </c>
      <c r="Y496" s="2" t="s">
        <v>10801</v>
      </c>
      <c r="Z496" s="2" t="s">
        <v>49</v>
      </c>
      <c r="AA496" s="2">
        <v>90</v>
      </c>
      <c r="AB496" s="2">
        <v>45</v>
      </c>
      <c r="AC496" s="2" t="s">
        <v>9685</v>
      </c>
      <c r="AD496" s="2" t="s">
        <v>17720</v>
      </c>
      <c r="AE496" s="2"/>
      <c r="AF496" s="2" t="s">
        <v>15038</v>
      </c>
      <c r="AG496" s="2" t="s">
        <v>14290</v>
      </c>
    </row>
    <row r="497" spans="1:33" x14ac:dyDescent="0.45">
      <c r="A497" s="2" t="s">
        <v>17721</v>
      </c>
      <c r="B497" s="2" t="s">
        <v>17722</v>
      </c>
      <c r="C497" s="2" t="s">
        <v>17723</v>
      </c>
      <c r="D497" s="2" t="s">
        <v>17724</v>
      </c>
      <c r="E497" s="2" t="s">
        <v>17725</v>
      </c>
      <c r="F497" s="2"/>
      <c r="G497" s="2"/>
      <c r="H497" s="2" t="s">
        <v>16854</v>
      </c>
      <c r="I497" s="2" t="s">
        <v>1112</v>
      </c>
      <c r="J497" s="2" t="s">
        <v>17726</v>
      </c>
      <c r="K497" s="2" t="s">
        <v>17724</v>
      </c>
      <c r="L497" s="2"/>
      <c r="M497" s="2"/>
      <c r="N497" s="2"/>
      <c r="O497" s="2" t="s">
        <v>16854</v>
      </c>
      <c r="P497" s="2" t="s">
        <v>1112</v>
      </c>
      <c r="Q497" s="2" t="s">
        <v>17726</v>
      </c>
      <c r="R497" s="2" t="s">
        <v>4532</v>
      </c>
      <c r="S497" s="2" t="s">
        <v>44</v>
      </c>
      <c r="T497" s="2"/>
      <c r="U497" s="2" t="s">
        <v>3527</v>
      </c>
      <c r="V497" s="2" t="s">
        <v>46</v>
      </c>
      <c r="W497" s="2" t="s">
        <v>3527</v>
      </c>
      <c r="X497" s="2" t="s">
        <v>10787</v>
      </c>
      <c r="Y497" s="2" t="s">
        <v>10801</v>
      </c>
      <c r="Z497" s="2" t="s">
        <v>49</v>
      </c>
      <c r="AA497" s="2">
        <v>90</v>
      </c>
      <c r="AB497" s="2">
        <v>45</v>
      </c>
      <c r="AC497" s="2" t="s">
        <v>9685</v>
      </c>
      <c r="AD497" s="2" t="s">
        <v>17727</v>
      </c>
      <c r="AE497" s="2"/>
      <c r="AF497" s="2" t="s">
        <v>15038</v>
      </c>
      <c r="AG497" s="2" t="s">
        <v>14290</v>
      </c>
    </row>
    <row r="498" spans="1:33" x14ac:dyDescent="0.45">
      <c r="A498" s="2" t="s">
        <v>17728</v>
      </c>
      <c r="B498" s="2" t="s">
        <v>17729</v>
      </c>
      <c r="C498" s="2" t="s">
        <v>17730</v>
      </c>
      <c r="D498" s="2" t="s">
        <v>17731</v>
      </c>
      <c r="E498" s="2" t="s">
        <v>17732</v>
      </c>
      <c r="F498" s="2"/>
      <c r="G498" s="2"/>
      <c r="H498" s="2" t="s">
        <v>12989</v>
      </c>
      <c r="I498" s="2" t="s">
        <v>313</v>
      </c>
      <c r="J498" s="2" t="s">
        <v>12990</v>
      </c>
      <c r="K498" s="2" t="s">
        <v>17731</v>
      </c>
      <c r="L498" s="2"/>
      <c r="M498" s="2"/>
      <c r="N498" s="2"/>
      <c r="O498" s="2" t="s">
        <v>12989</v>
      </c>
      <c r="P498" s="2" t="s">
        <v>313</v>
      </c>
      <c r="Q498" s="2" t="s">
        <v>12990</v>
      </c>
      <c r="R498" s="2" t="s">
        <v>12608</v>
      </c>
      <c r="S498" s="2" t="s">
        <v>44</v>
      </c>
      <c r="T498" s="2"/>
      <c r="U498" s="2" t="s">
        <v>3527</v>
      </c>
      <c r="V498" s="2" t="s">
        <v>46</v>
      </c>
      <c r="W498" s="2" t="s">
        <v>3527</v>
      </c>
      <c r="X498" s="2" t="s">
        <v>10787</v>
      </c>
      <c r="Y498" s="2" t="s">
        <v>10801</v>
      </c>
      <c r="Z498" s="2" t="s">
        <v>49</v>
      </c>
      <c r="AA498" s="2">
        <v>90</v>
      </c>
      <c r="AB498" s="2">
        <v>45</v>
      </c>
      <c r="AC498" s="2" t="s">
        <v>9685</v>
      </c>
      <c r="AD498" s="2" t="s">
        <v>17733</v>
      </c>
      <c r="AE498" s="2"/>
      <c r="AF498" s="2" t="s">
        <v>15038</v>
      </c>
      <c r="AG498" s="2" t="s">
        <v>14290</v>
      </c>
    </row>
    <row r="499" spans="1:33" x14ac:dyDescent="0.45">
      <c r="A499" s="2" t="s">
        <v>17734</v>
      </c>
      <c r="B499" s="2" t="s">
        <v>17735</v>
      </c>
      <c r="C499" s="2" t="s">
        <v>17736</v>
      </c>
      <c r="D499" s="2" t="s">
        <v>17737</v>
      </c>
      <c r="E499" s="2" t="s">
        <v>17738</v>
      </c>
      <c r="F499" s="2"/>
      <c r="G499" s="2"/>
      <c r="H499" s="2" t="s">
        <v>8392</v>
      </c>
      <c r="I499" s="2" t="s">
        <v>313</v>
      </c>
      <c r="J499" s="2" t="s">
        <v>8393</v>
      </c>
      <c r="K499" s="2" t="s">
        <v>17737</v>
      </c>
      <c r="L499" s="2"/>
      <c r="M499" s="2"/>
      <c r="N499" s="2"/>
      <c r="O499" s="2" t="s">
        <v>8392</v>
      </c>
      <c r="P499" s="2" t="s">
        <v>313</v>
      </c>
      <c r="Q499" s="2" t="s">
        <v>8393</v>
      </c>
      <c r="R499" s="2" t="s">
        <v>9618</v>
      </c>
      <c r="S499" s="2" t="s">
        <v>44</v>
      </c>
      <c r="T499" s="2"/>
      <c r="U499" s="2" t="s">
        <v>3527</v>
      </c>
      <c r="V499" s="2" t="s">
        <v>46</v>
      </c>
      <c r="W499" s="2" t="s">
        <v>3527</v>
      </c>
      <c r="X499" s="2" t="s">
        <v>10787</v>
      </c>
      <c r="Y499" s="2" t="s">
        <v>10801</v>
      </c>
      <c r="Z499" s="2" t="s">
        <v>49</v>
      </c>
      <c r="AA499" s="2">
        <v>90</v>
      </c>
      <c r="AB499" s="2">
        <v>45</v>
      </c>
      <c r="AC499" s="2" t="s">
        <v>9685</v>
      </c>
      <c r="AD499" s="2" t="s">
        <v>17739</v>
      </c>
      <c r="AE499" s="2"/>
      <c r="AF499" s="2" t="s">
        <v>15038</v>
      </c>
      <c r="AG499" s="2" t="s">
        <v>14290</v>
      </c>
    </row>
    <row r="500" spans="1:33" x14ac:dyDescent="0.45">
      <c r="A500" s="2" t="s">
        <v>17740</v>
      </c>
      <c r="B500" s="2" t="s">
        <v>17741</v>
      </c>
      <c r="C500" s="2" t="s">
        <v>17742</v>
      </c>
      <c r="D500" s="2" t="s">
        <v>17743</v>
      </c>
      <c r="E500" s="2" t="s">
        <v>17744</v>
      </c>
      <c r="F500" s="2"/>
      <c r="G500" s="2"/>
      <c r="H500" s="2" t="s">
        <v>12989</v>
      </c>
      <c r="I500" s="2" t="s">
        <v>313</v>
      </c>
      <c r="J500" s="2" t="s">
        <v>12990</v>
      </c>
      <c r="K500" s="2" t="s">
        <v>17743</v>
      </c>
      <c r="L500" s="2"/>
      <c r="M500" s="2"/>
      <c r="N500" s="2"/>
      <c r="O500" s="2" t="s">
        <v>12989</v>
      </c>
      <c r="P500" s="2" t="s">
        <v>313</v>
      </c>
      <c r="Q500" s="2" t="s">
        <v>12990</v>
      </c>
      <c r="R500" s="2" t="s">
        <v>17745</v>
      </c>
      <c r="S500" s="2" t="s">
        <v>44</v>
      </c>
      <c r="T500" s="2"/>
      <c r="U500" s="2" t="s">
        <v>3527</v>
      </c>
      <c r="V500" s="2" t="s">
        <v>46</v>
      </c>
      <c r="W500" s="2" t="s">
        <v>3527</v>
      </c>
      <c r="X500" s="2" t="s">
        <v>10787</v>
      </c>
      <c r="Y500" s="2" t="s">
        <v>10801</v>
      </c>
      <c r="Z500" s="2" t="s">
        <v>49</v>
      </c>
      <c r="AA500" s="2">
        <v>90</v>
      </c>
      <c r="AB500" s="2">
        <v>45</v>
      </c>
      <c r="AC500" s="2" t="s">
        <v>9685</v>
      </c>
      <c r="AD500" s="2" t="s">
        <v>17746</v>
      </c>
      <c r="AE500" s="2"/>
      <c r="AF500" s="2" t="s">
        <v>15038</v>
      </c>
      <c r="AG500" s="2" t="s">
        <v>14290</v>
      </c>
    </row>
    <row r="501" spans="1:33" x14ac:dyDescent="0.45">
      <c r="A501" s="2" t="s">
        <v>17747</v>
      </c>
      <c r="B501" s="2" t="s">
        <v>17748</v>
      </c>
      <c r="C501" s="2" t="s">
        <v>17749</v>
      </c>
      <c r="D501" s="2" t="s">
        <v>17750</v>
      </c>
      <c r="E501" s="2" t="s">
        <v>17751</v>
      </c>
      <c r="F501" s="2"/>
      <c r="G501" s="2"/>
      <c r="H501" s="2" t="s">
        <v>1136</v>
      </c>
      <c r="I501" s="2" t="s">
        <v>1137</v>
      </c>
      <c r="J501" s="2" t="s">
        <v>17752</v>
      </c>
      <c r="K501" s="2" t="s">
        <v>17750</v>
      </c>
      <c r="L501" s="2"/>
      <c r="M501" s="2"/>
      <c r="N501" s="2"/>
      <c r="O501" s="2" t="s">
        <v>1136</v>
      </c>
      <c r="P501" s="2" t="s">
        <v>1137</v>
      </c>
      <c r="Q501" s="2" t="s">
        <v>17752</v>
      </c>
      <c r="R501" s="2" t="s">
        <v>4928</v>
      </c>
      <c r="S501" s="2" t="s">
        <v>44</v>
      </c>
      <c r="T501" s="2"/>
      <c r="U501" s="2" t="s">
        <v>3527</v>
      </c>
      <c r="V501" s="2" t="s">
        <v>46</v>
      </c>
      <c r="W501" s="2" t="s">
        <v>3527</v>
      </c>
      <c r="X501" s="2" t="s">
        <v>10787</v>
      </c>
      <c r="Y501" s="2" t="s">
        <v>10801</v>
      </c>
      <c r="Z501" s="2" t="s">
        <v>49</v>
      </c>
      <c r="AA501" s="2">
        <v>90</v>
      </c>
      <c r="AB501" s="2">
        <v>45</v>
      </c>
      <c r="AC501" s="2" t="s">
        <v>9685</v>
      </c>
      <c r="AD501" s="2" t="s">
        <v>17753</v>
      </c>
      <c r="AE501" s="2"/>
      <c r="AF501" s="2" t="s">
        <v>15038</v>
      </c>
      <c r="AG501" s="2" t="s">
        <v>14290</v>
      </c>
    </row>
    <row r="502" spans="1:33" x14ac:dyDescent="0.45">
      <c r="A502" s="2" t="s">
        <v>17754</v>
      </c>
      <c r="B502" s="2" t="s">
        <v>17755</v>
      </c>
      <c r="C502" s="2" t="s">
        <v>17756</v>
      </c>
      <c r="D502" s="2" t="s">
        <v>17757</v>
      </c>
      <c r="E502" s="2" t="s">
        <v>17758</v>
      </c>
      <c r="F502" s="2"/>
      <c r="G502" s="2"/>
      <c r="H502" s="2" t="s">
        <v>8392</v>
      </c>
      <c r="I502" s="2" t="s">
        <v>313</v>
      </c>
      <c r="J502" s="2" t="s">
        <v>8393</v>
      </c>
      <c r="K502" s="2" t="s">
        <v>17757</v>
      </c>
      <c r="L502" s="2"/>
      <c r="M502" s="2"/>
      <c r="N502" s="2"/>
      <c r="O502" s="2" t="s">
        <v>8392</v>
      </c>
      <c r="P502" s="2" t="s">
        <v>313</v>
      </c>
      <c r="Q502" s="2" t="s">
        <v>8393</v>
      </c>
      <c r="R502" s="2" t="s">
        <v>9022</v>
      </c>
      <c r="S502" s="2" t="s">
        <v>44</v>
      </c>
      <c r="T502" s="2"/>
      <c r="U502" s="2" t="s">
        <v>3527</v>
      </c>
      <c r="V502" s="2" t="s">
        <v>46</v>
      </c>
      <c r="W502" s="2" t="s">
        <v>3527</v>
      </c>
      <c r="X502" s="2" t="s">
        <v>10787</v>
      </c>
      <c r="Y502" s="2" t="s">
        <v>10801</v>
      </c>
      <c r="Z502" s="2" t="s">
        <v>49</v>
      </c>
      <c r="AA502" s="2">
        <v>90</v>
      </c>
      <c r="AB502" s="2">
        <v>45</v>
      </c>
      <c r="AC502" s="2" t="s">
        <v>9685</v>
      </c>
      <c r="AD502" s="2" t="s">
        <v>17759</v>
      </c>
      <c r="AE502" s="2"/>
      <c r="AF502" s="2" t="s">
        <v>15038</v>
      </c>
      <c r="AG502" s="2" t="s">
        <v>14290</v>
      </c>
    </row>
    <row r="503" spans="1:33" x14ac:dyDescent="0.45">
      <c r="A503" s="2" t="s">
        <v>17760</v>
      </c>
      <c r="B503" s="2" t="s">
        <v>17761</v>
      </c>
      <c r="C503" s="2" t="s">
        <v>17762</v>
      </c>
      <c r="D503" s="2" t="s">
        <v>17763</v>
      </c>
      <c r="E503" s="2" t="s">
        <v>17764</v>
      </c>
      <c r="F503" s="2"/>
      <c r="G503" s="2"/>
      <c r="H503" s="2" t="s">
        <v>9679</v>
      </c>
      <c r="I503" s="2" t="s">
        <v>9680</v>
      </c>
      <c r="J503" s="2" t="s">
        <v>17765</v>
      </c>
      <c r="K503" s="2" t="s">
        <v>17763</v>
      </c>
      <c r="L503" s="2"/>
      <c r="M503" s="2"/>
      <c r="N503" s="2"/>
      <c r="O503" s="2" t="s">
        <v>9679</v>
      </c>
      <c r="P503" s="2" t="s">
        <v>9680</v>
      </c>
      <c r="Q503" s="2" t="s">
        <v>17765</v>
      </c>
      <c r="R503" s="2" t="s">
        <v>8433</v>
      </c>
      <c r="S503" s="2" t="s">
        <v>44</v>
      </c>
      <c r="T503" s="2"/>
      <c r="U503" s="2" t="s">
        <v>3527</v>
      </c>
      <c r="V503" s="2" t="s">
        <v>46</v>
      </c>
      <c r="W503" s="2" t="s">
        <v>3527</v>
      </c>
      <c r="X503" s="2" t="s">
        <v>10787</v>
      </c>
      <c r="Y503" s="2" t="s">
        <v>10801</v>
      </c>
      <c r="Z503" s="2" t="s">
        <v>49</v>
      </c>
      <c r="AA503" s="2">
        <v>90</v>
      </c>
      <c r="AB503" s="2">
        <v>45</v>
      </c>
      <c r="AC503" s="2" t="s">
        <v>9685</v>
      </c>
      <c r="AD503" s="2" t="s">
        <v>17766</v>
      </c>
      <c r="AE503" s="2"/>
      <c r="AF503" s="2" t="s">
        <v>15038</v>
      </c>
      <c r="AG503" s="2" t="s">
        <v>14290</v>
      </c>
    </row>
    <row r="504" spans="1:33" x14ac:dyDescent="0.45">
      <c r="A504" s="2" t="s">
        <v>17767</v>
      </c>
      <c r="B504" s="2" t="s">
        <v>17768</v>
      </c>
      <c r="C504" s="2" t="s">
        <v>17769</v>
      </c>
      <c r="D504" s="2" t="s">
        <v>17770</v>
      </c>
      <c r="E504" s="2" t="s">
        <v>17771</v>
      </c>
      <c r="F504" s="2"/>
      <c r="G504" s="2"/>
      <c r="H504" s="2" t="s">
        <v>6029</v>
      </c>
      <c r="I504" s="2" t="s">
        <v>278</v>
      </c>
      <c r="J504" s="2" t="s">
        <v>11222</v>
      </c>
      <c r="K504" s="2" t="s">
        <v>17770</v>
      </c>
      <c r="L504" s="2"/>
      <c r="M504" s="2"/>
      <c r="N504" s="2"/>
      <c r="O504" s="2" t="s">
        <v>6029</v>
      </c>
      <c r="P504" s="2" t="s">
        <v>278</v>
      </c>
      <c r="Q504" s="2" t="s">
        <v>11222</v>
      </c>
      <c r="R504" s="2" t="s">
        <v>7071</v>
      </c>
      <c r="S504" s="2" t="s">
        <v>44</v>
      </c>
      <c r="T504" s="2"/>
      <c r="U504" s="2" t="s">
        <v>3527</v>
      </c>
      <c r="V504" s="2" t="s">
        <v>46</v>
      </c>
      <c r="W504" s="2" t="s">
        <v>3527</v>
      </c>
      <c r="X504" s="2" t="s">
        <v>10787</v>
      </c>
      <c r="Y504" s="2" t="s">
        <v>10801</v>
      </c>
      <c r="Z504" s="2" t="s">
        <v>49</v>
      </c>
      <c r="AA504" s="2">
        <v>90</v>
      </c>
      <c r="AB504" s="2">
        <v>45</v>
      </c>
      <c r="AC504" s="2" t="s">
        <v>9685</v>
      </c>
      <c r="AD504" s="2" t="s">
        <v>17772</v>
      </c>
      <c r="AE504" s="2"/>
      <c r="AF504" s="2" t="s">
        <v>15038</v>
      </c>
      <c r="AG504" s="2" t="s">
        <v>14290</v>
      </c>
    </row>
    <row r="505" spans="1:33" x14ac:dyDescent="0.45">
      <c r="A505" s="2" t="s">
        <v>17773</v>
      </c>
      <c r="B505" s="2" t="s">
        <v>17774</v>
      </c>
      <c r="C505" s="2" t="s">
        <v>17775</v>
      </c>
      <c r="D505" s="2" t="s">
        <v>17776</v>
      </c>
      <c r="E505" s="2" t="s">
        <v>17777</v>
      </c>
      <c r="F505" s="2"/>
      <c r="G505" s="2"/>
      <c r="H505" s="2" t="s">
        <v>10776</v>
      </c>
      <c r="I505" s="2" t="s">
        <v>313</v>
      </c>
      <c r="J505" s="2" t="s">
        <v>17778</v>
      </c>
      <c r="K505" s="2"/>
      <c r="L505" s="2"/>
      <c r="M505" s="2"/>
      <c r="N505" s="2"/>
      <c r="O505" s="2"/>
      <c r="P505" s="2"/>
      <c r="Q505" s="2"/>
      <c r="R505" s="2" t="s">
        <v>7098</v>
      </c>
      <c r="S505" s="2" t="s">
        <v>44</v>
      </c>
      <c r="T505" s="2"/>
      <c r="U505" s="2" t="s">
        <v>3527</v>
      </c>
      <c r="V505" s="2" t="s">
        <v>46</v>
      </c>
      <c r="W505" s="2" t="s">
        <v>3527</v>
      </c>
      <c r="X505" s="2" t="s">
        <v>10787</v>
      </c>
      <c r="Y505" s="2" t="s">
        <v>10801</v>
      </c>
      <c r="Z505" s="2" t="s">
        <v>49</v>
      </c>
      <c r="AA505" s="2">
        <v>90</v>
      </c>
      <c r="AB505" s="2">
        <v>45</v>
      </c>
      <c r="AC505" s="2" t="s">
        <v>9685</v>
      </c>
      <c r="AD505" s="2" t="s">
        <v>17779</v>
      </c>
      <c r="AE505" s="2"/>
      <c r="AF505" s="2" t="s">
        <v>15038</v>
      </c>
      <c r="AG505" s="2" t="s">
        <v>14290</v>
      </c>
    </row>
    <row r="506" spans="1:33" x14ac:dyDescent="0.45">
      <c r="A506" s="2" t="s">
        <v>17780</v>
      </c>
      <c r="B506" s="2" t="s">
        <v>17781</v>
      </c>
      <c r="C506" s="2" t="s">
        <v>17782</v>
      </c>
      <c r="D506" s="2" t="s">
        <v>17783</v>
      </c>
      <c r="E506" s="2" t="s">
        <v>17784</v>
      </c>
      <c r="F506" s="2"/>
      <c r="G506" s="2"/>
      <c r="H506" s="2" t="s">
        <v>17785</v>
      </c>
      <c r="I506" s="2" t="s">
        <v>1137</v>
      </c>
      <c r="J506" s="2" t="s">
        <v>17786</v>
      </c>
      <c r="K506" s="2" t="s">
        <v>17783</v>
      </c>
      <c r="L506" s="2"/>
      <c r="M506" s="2"/>
      <c r="N506" s="2"/>
      <c r="O506" s="2" t="s">
        <v>17785</v>
      </c>
      <c r="P506" s="2" t="s">
        <v>1137</v>
      </c>
      <c r="Q506" s="2" t="s">
        <v>17786</v>
      </c>
      <c r="R506" s="2" t="s">
        <v>8456</v>
      </c>
      <c r="S506" s="2" t="s">
        <v>44</v>
      </c>
      <c r="T506" s="2"/>
      <c r="U506" s="2" t="s">
        <v>3527</v>
      </c>
      <c r="V506" s="2" t="s">
        <v>46</v>
      </c>
      <c r="W506" s="2" t="s">
        <v>3527</v>
      </c>
      <c r="X506" s="2" t="s">
        <v>10787</v>
      </c>
      <c r="Y506" s="2" t="s">
        <v>10801</v>
      </c>
      <c r="Z506" s="2" t="s">
        <v>49</v>
      </c>
      <c r="AA506" s="2">
        <v>90</v>
      </c>
      <c r="AB506" s="2">
        <v>45</v>
      </c>
      <c r="AC506" s="2" t="s">
        <v>9685</v>
      </c>
      <c r="AD506" s="2" t="s">
        <v>17787</v>
      </c>
      <c r="AE506" s="2"/>
      <c r="AF506" s="2" t="s">
        <v>15038</v>
      </c>
      <c r="AG506" s="2" t="s">
        <v>14290</v>
      </c>
    </row>
    <row r="507" spans="1:33" x14ac:dyDescent="0.45">
      <c r="A507" s="2" t="s">
        <v>17788</v>
      </c>
      <c r="B507" s="2" t="s">
        <v>17789</v>
      </c>
      <c r="C507" s="2" t="s">
        <v>17790</v>
      </c>
      <c r="D507" s="2" t="s">
        <v>17791</v>
      </c>
      <c r="E507" s="2"/>
      <c r="F507" s="2" t="s">
        <v>17792</v>
      </c>
      <c r="G507" s="2" t="s">
        <v>17792</v>
      </c>
      <c r="H507" s="2" t="s">
        <v>72</v>
      </c>
      <c r="I507" s="2" t="s">
        <v>73</v>
      </c>
      <c r="J507" s="2" t="s">
        <v>464</v>
      </c>
      <c r="K507" s="2" t="s">
        <v>17793</v>
      </c>
      <c r="L507" s="2"/>
      <c r="M507" s="2"/>
      <c r="N507" s="2"/>
      <c r="O507" s="2" t="s">
        <v>72</v>
      </c>
      <c r="P507" s="2" t="s">
        <v>73</v>
      </c>
      <c r="Q507" s="2" t="s">
        <v>1295</v>
      </c>
      <c r="R507" s="2" t="s">
        <v>17794</v>
      </c>
      <c r="S507" s="2" t="s">
        <v>44</v>
      </c>
      <c r="T507" s="2"/>
      <c r="U507" s="2" t="s">
        <v>45</v>
      </c>
      <c r="V507" s="2" t="s">
        <v>46</v>
      </c>
      <c r="W507" s="2" t="s">
        <v>45</v>
      </c>
      <c r="X507" s="2"/>
      <c r="Y507" s="2" t="s">
        <v>17795</v>
      </c>
      <c r="Z507" s="2" t="s">
        <v>49</v>
      </c>
      <c r="AA507" s="2">
        <v>80</v>
      </c>
      <c r="AB507" s="2">
        <v>45</v>
      </c>
      <c r="AC507" s="2" t="s">
        <v>9685</v>
      </c>
      <c r="AD507" s="2" t="s">
        <v>17796</v>
      </c>
      <c r="AE507" s="2"/>
      <c r="AF507" s="2" t="s">
        <v>17797</v>
      </c>
      <c r="AG507" s="2" t="s">
        <v>14290</v>
      </c>
    </row>
    <row r="508" spans="1:33" x14ac:dyDescent="0.45">
      <c r="A508" s="2" t="s">
        <v>17798</v>
      </c>
      <c r="B508" s="2" t="s">
        <v>17799</v>
      </c>
      <c r="C508" s="2" t="s">
        <v>17800</v>
      </c>
      <c r="D508" s="2" t="s">
        <v>17801</v>
      </c>
      <c r="E508" s="2"/>
      <c r="F508" s="2" t="s">
        <v>17802</v>
      </c>
      <c r="G508" s="2" t="s">
        <v>17802</v>
      </c>
      <c r="H508" s="2" t="s">
        <v>72</v>
      </c>
      <c r="I508" s="2" t="s">
        <v>73</v>
      </c>
      <c r="J508" s="2" t="s">
        <v>1568</v>
      </c>
      <c r="K508" s="2" t="s">
        <v>17803</v>
      </c>
      <c r="L508" s="2"/>
      <c r="M508" s="2"/>
      <c r="N508" s="2"/>
      <c r="O508" s="2" t="s">
        <v>72</v>
      </c>
      <c r="P508" s="2" t="s">
        <v>73</v>
      </c>
      <c r="Q508" s="2" t="s">
        <v>1568</v>
      </c>
      <c r="R508" s="2" t="s">
        <v>17804</v>
      </c>
      <c r="S508" s="2" t="s">
        <v>44</v>
      </c>
      <c r="T508" s="2"/>
      <c r="U508" s="2" t="s">
        <v>45</v>
      </c>
      <c r="V508" s="2" t="s">
        <v>46</v>
      </c>
      <c r="W508" s="2" t="s">
        <v>45</v>
      </c>
      <c r="X508" s="2"/>
      <c r="Y508" s="2" t="s">
        <v>17795</v>
      </c>
      <c r="Z508" s="2" t="s">
        <v>49</v>
      </c>
      <c r="AA508" s="2">
        <v>80</v>
      </c>
      <c r="AB508" s="2">
        <v>45</v>
      </c>
      <c r="AC508" s="2" t="s">
        <v>9685</v>
      </c>
      <c r="AD508" s="2" t="s">
        <v>17805</v>
      </c>
      <c r="AE508" s="2"/>
      <c r="AF508" s="2" t="s">
        <v>17797</v>
      </c>
      <c r="AG508" s="2" t="s">
        <v>14290</v>
      </c>
    </row>
    <row r="509" spans="1:33" x14ac:dyDescent="0.45">
      <c r="A509" s="2" t="s">
        <v>17806</v>
      </c>
      <c r="B509" s="2" t="s">
        <v>17807</v>
      </c>
      <c r="C509" s="2" t="s">
        <v>17808</v>
      </c>
      <c r="D509" s="2" t="s">
        <v>17809</v>
      </c>
      <c r="E509" s="2"/>
      <c r="F509" s="2" t="s">
        <v>17810</v>
      </c>
      <c r="G509" s="2" t="s">
        <v>17810</v>
      </c>
      <c r="H509" s="2" t="s">
        <v>72</v>
      </c>
      <c r="I509" s="2" t="s">
        <v>73</v>
      </c>
      <c r="J509" s="2" t="s">
        <v>1670</v>
      </c>
      <c r="K509" s="2" t="s">
        <v>17811</v>
      </c>
      <c r="L509" s="2"/>
      <c r="M509" s="2"/>
      <c r="N509" s="2"/>
      <c r="O509" s="2" t="s">
        <v>72</v>
      </c>
      <c r="P509" s="2" t="s">
        <v>73</v>
      </c>
      <c r="Q509" s="2" t="s">
        <v>17812</v>
      </c>
      <c r="R509" s="2" t="s">
        <v>9126</v>
      </c>
      <c r="S509" s="2" t="s">
        <v>44</v>
      </c>
      <c r="T509" s="2"/>
      <c r="U509" s="2" t="s">
        <v>45</v>
      </c>
      <c r="V509" s="2" t="s">
        <v>46</v>
      </c>
      <c r="W509" s="2" t="s">
        <v>45</v>
      </c>
      <c r="X509" s="2"/>
      <c r="Y509" s="2" t="s">
        <v>17795</v>
      </c>
      <c r="Z509" s="2" t="s">
        <v>49</v>
      </c>
      <c r="AA509" s="2">
        <v>80</v>
      </c>
      <c r="AB509" s="2">
        <v>45</v>
      </c>
      <c r="AC509" s="2" t="s">
        <v>9685</v>
      </c>
      <c r="AD509" s="2" t="s">
        <v>17813</v>
      </c>
      <c r="AE509" s="2"/>
      <c r="AF509" s="2" t="s">
        <v>17797</v>
      </c>
      <c r="AG509" s="2" t="s">
        <v>14290</v>
      </c>
    </row>
    <row r="510" spans="1:33" x14ac:dyDescent="0.45">
      <c r="A510" s="2" t="s">
        <v>17814</v>
      </c>
      <c r="B510" s="2" t="s">
        <v>17815</v>
      </c>
      <c r="C510" s="2" t="s">
        <v>17816</v>
      </c>
      <c r="D510" s="2" t="s">
        <v>17817</v>
      </c>
      <c r="E510" s="2"/>
      <c r="F510" s="2" t="s">
        <v>17818</v>
      </c>
      <c r="G510" s="2" t="s">
        <v>17818</v>
      </c>
      <c r="H510" s="2" t="s">
        <v>72</v>
      </c>
      <c r="I510" s="2" t="s">
        <v>73</v>
      </c>
      <c r="J510" s="2" t="s">
        <v>1295</v>
      </c>
      <c r="K510" s="2" t="s">
        <v>17819</v>
      </c>
      <c r="L510" s="2"/>
      <c r="M510" s="2"/>
      <c r="N510" s="2"/>
      <c r="O510" s="2" t="s">
        <v>72</v>
      </c>
      <c r="P510" s="2" t="s">
        <v>73</v>
      </c>
      <c r="Q510" s="2" t="s">
        <v>464</v>
      </c>
      <c r="R510" s="2" t="s">
        <v>17820</v>
      </c>
      <c r="S510" s="2" t="s">
        <v>44</v>
      </c>
      <c r="T510" s="2"/>
      <c r="U510" s="2" t="s">
        <v>45</v>
      </c>
      <c r="V510" s="2" t="s">
        <v>46</v>
      </c>
      <c r="W510" s="2" t="s">
        <v>45</v>
      </c>
      <c r="X510" s="2"/>
      <c r="Y510" s="2" t="s">
        <v>17795</v>
      </c>
      <c r="Z510" s="2" t="s">
        <v>49</v>
      </c>
      <c r="AA510" s="2">
        <v>80</v>
      </c>
      <c r="AB510" s="2">
        <v>45</v>
      </c>
      <c r="AC510" s="2" t="s">
        <v>9685</v>
      </c>
      <c r="AD510" s="2" t="s">
        <v>17821</v>
      </c>
      <c r="AE510" s="2"/>
      <c r="AF510" s="2" t="s">
        <v>17797</v>
      </c>
      <c r="AG510" s="2" t="s">
        <v>14290</v>
      </c>
    </row>
    <row r="511" spans="1:33" x14ac:dyDescent="0.45">
      <c r="A511" s="2" t="s">
        <v>17822</v>
      </c>
      <c r="B511" s="2" t="s">
        <v>17823</v>
      </c>
      <c r="C511" s="2" t="s">
        <v>17824</v>
      </c>
      <c r="D511" s="2" t="s">
        <v>17825</v>
      </c>
      <c r="E511" s="2"/>
      <c r="F511" s="2" t="s">
        <v>17826</v>
      </c>
      <c r="G511" s="2" t="s">
        <v>17826</v>
      </c>
      <c r="H511" s="2" t="s">
        <v>72</v>
      </c>
      <c r="I511" s="2" t="s">
        <v>73</v>
      </c>
      <c r="J511" s="2" t="s">
        <v>6376</v>
      </c>
      <c r="K511" s="2" t="s">
        <v>17827</v>
      </c>
      <c r="L511" s="2"/>
      <c r="M511" s="2"/>
      <c r="N511" s="2"/>
      <c r="O511" s="2" t="s">
        <v>72</v>
      </c>
      <c r="P511" s="2" t="s">
        <v>73</v>
      </c>
      <c r="Q511" s="2" t="s">
        <v>187</v>
      </c>
      <c r="R511" s="2" t="s">
        <v>14425</v>
      </c>
      <c r="S511" s="2" t="s">
        <v>44</v>
      </c>
      <c r="T511" s="2"/>
      <c r="U511" s="2" t="s">
        <v>45</v>
      </c>
      <c r="V511" s="2" t="s">
        <v>46</v>
      </c>
      <c r="W511" s="2" t="s">
        <v>45</v>
      </c>
      <c r="X511" s="2"/>
      <c r="Y511" s="2" t="s">
        <v>17795</v>
      </c>
      <c r="Z511" s="2" t="s">
        <v>49</v>
      </c>
      <c r="AA511" s="2">
        <v>80</v>
      </c>
      <c r="AB511" s="2">
        <v>45</v>
      </c>
      <c r="AC511" s="2" t="s">
        <v>9685</v>
      </c>
      <c r="AD511" s="2" t="s">
        <v>17828</v>
      </c>
      <c r="AE511" s="2"/>
      <c r="AF511" s="2" t="s">
        <v>17797</v>
      </c>
      <c r="AG511" s="2" t="s">
        <v>14290</v>
      </c>
    </row>
    <row r="512" spans="1:33" x14ac:dyDescent="0.45">
      <c r="A512" s="2" t="s">
        <v>17829</v>
      </c>
      <c r="B512" s="2" t="s">
        <v>17830</v>
      </c>
      <c r="C512" s="2" t="s">
        <v>17831</v>
      </c>
      <c r="D512" s="2" t="s">
        <v>17832</v>
      </c>
      <c r="E512" s="2"/>
      <c r="F512" s="2" t="s">
        <v>17833</v>
      </c>
      <c r="G512" s="2" t="s">
        <v>17833</v>
      </c>
      <c r="H512" s="2" t="s">
        <v>536</v>
      </c>
      <c r="I512" s="2" t="s">
        <v>1281</v>
      </c>
      <c r="J512" s="2" t="s">
        <v>3214</v>
      </c>
      <c r="K512" s="2" t="s">
        <v>17832</v>
      </c>
      <c r="L512" s="2"/>
      <c r="M512" s="2"/>
      <c r="N512" s="2"/>
      <c r="O512" s="2" t="s">
        <v>536</v>
      </c>
      <c r="P512" s="2" t="s">
        <v>1281</v>
      </c>
      <c r="Q512" s="2" t="s">
        <v>3214</v>
      </c>
      <c r="R512" s="2" t="s">
        <v>17834</v>
      </c>
      <c r="S512" s="2" t="s">
        <v>44</v>
      </c>
      <c r="T512" s="2"/>
      <c r="U512" s="2" t="s">
        <v>45</v>
      </c>
      <c r="V512" s="2" t="s">
        <v>46</v>
      </c>
      <c r="W512" s="2" t="s">
        <v>45</v>
      </c>
      <c r="X512" s="2"/>
      <c r="Y512" s="2" t="s">
        <v>17795</v>
      </c>
      <c r="Z512" s="2" t="s">
        <v>49</v>
      </c>
      <c r="AA512" s="2">
        <v>80</v>
      </c>
      <c r="AB512" s="2">
        <v>45</v>
      </c>
      <c r="AC512" s="2" t="s">
        <v>9685</v>
      </c>
      <c r="AD512" s="2" t="s">
        <v>17835</v>
      </c>
      <c r="AE512" s="2"/>
      <c r="AF512" s="2" t="s">
        <v>17797</v>
      </c>
      <c r="AG512" s="2" t="s">
        <v>14290</v>
      </c>
    </row>
    <row r="513" spans="1:33" x14ac:dyDescent="0.45">
      <c r="A513" s="2" t="s">
        <v>17836</v>
      </c>
      <c r="B513" s="2" t="s">
        <v>17837</v>
      </c>
      <c r="C513" s="2" t="s">
        <v>17838</v>
      </c>
      <c r="D513" s="2" t="s">
        <v>17839</v>
      </c>
      <c r="E513" s="2"/>
      <c r="F513" s="2" t="s">
        <v>17840</v>
      </c>
      <c r="G513" s="2" t="s">
        <v>17840</v>
      </c>
      <c r="H513" s="2" t="s">
        <v>85</v>
      </c>
      <c r="I513" s="2" t="s">
        <v>86</v>
      </c>
      <c r="J513" s="2" t="s">
        <v>873</v>
      </c>
      <c r="K513" s="2" t="s">
        <v>17841</v>
      </c>
      <c r="L513" s="2"/>
      <c r="M513" s="2"/>
      <c r="N513" s="2"/>
      <c r="O513" s="2" t="s">
        <v>72</v>
      </c>
      <c r="P513" s="2" t="s">
        <v>73</v>
      </c>
      <c r="Q513" s="2" t="s">
        <v>98</v>
      </c>
      <c r="R513" s="2" t="s">
        <v>17842</v>
      </c>
      <c r="S513" s="2" t="s">
        <v>44</v>
      </c>
      <c r="T513" s="2"/>
      <c r="U513" s="2" t="s">
        <v>45</v>
      </c>
      <c r="V513" s="2" t="s">
        <v>46</v>
      </c>
      <c r="W513" s="2" t="s">
        <v>45</v>
      </c>
      <c r="X513" s="2"/>
      <c r="Y513" s="2" t="s">
        <v>17795</v>
      </c>
      <c r="Z513" s="2" t="s">
        <v>49</v>
      </c>
      <c r="AA513" s="2">
        <v>80</v>
      </c>
      <c r="AB513" s="2">
        <v>45</v>
      </c>
      <c r="AC513" s="2" t="s">
        <v>9685</v>
      </c>
      <c r="AD513" s="2" t="s">
        <v>17843</v>
      </c>
      <c r="AE513" s="2"/>
      <c r="AF513" s="2" t="s">
        <v>17797</v>
      </c>
      <c r="AG513" s="2" t="s">
        <v>14290</v>
      </c>
    </row>
    <row r="514" spans="1:33" x14ac:dyDescent="0.45">
      <c r="A514" s="2" t="s">
        <v>17844</v>
      </c>
      <c r="B514" s="2" t="s">
        <v>17845</v>
      </c>
      <c r="C514" s="2" t="s">
        <v>17846</v>
      </c>
      <c r="D514" s="2" t="s">
        <v>17847</v>
      </c>
      <c r="E514" s="2"/>
      <c r="F514" s="2" t="s">
        <v>17848</v>
      </c>
      <c r="G514" s="2" t="s">
        <v>17848</v>
      </c>
      <c r="H514" s="2" t="s">
        <v>59</v>
      </c>
      <c r="I514" s="2" t="s">
        <v>60</v>
      </c>
      <c r="J514" s="2" t="s">
        <v>2323</v>
      </c>
      <c r="K514" s="2" t="s">
        <v>17849</v>
      </c>
      <c r="L514" s="2"/>
      <c r="M514" s="2"/>
      <c r="N514" s="2"/>
      <c r="O514" s="2" t="s">
        <v>59</v>
      </c>
      <c r="P514" s="2" t="s">
        <v>60</v>
      </c>
      <c r="Q514" s="2" t="s">
        <v>1346</v>
      </c>
      <c r="R514" s="2" t="s">
        <v>17850</v>
      </c>
      <c r="S514" s="2" t="s">
        <v>44</v>
      </c>
      <c r="T514" s="2"/>
      <c r="U514" s="2" t="s">
        <v>45</v>
      </c>
      <c r="V514" s="2" t="s">
        <v>46</v>
      </c>
      <c r="W514" s="2" t="s">
        <v>45</v>
      </c>
      <c r="X514" s="2"/>
      <c r="Y514" s="2" t="s">
        <v>17795</v>
      </c>
      <c r="Z514" s="2" t="s">
        <v>49</v>
      </c>
      <c r="AA514" s="2">
        <v>80</v>
      </c>
      <c r="AB514" s="2">
        <v>45</v>
      </c>
      <c r="AC514" s="2" t="s">
        <v>9685</v>
      </c>
      <c r="AD514" s="2" t="s">
        <v>17851</v>
      </c>
      <c r="AE514" s="2"/>
      <c r="AF514" s="2" t="s">
        <v>17797</v>
      </c>
      <c r="AG514" s="2" t="s">
        <v>14290</v>
      </c>
    </row>
    <row r="515" spans="1:33" x14ac:dyDescent="0.45">
      <c r="A515" s="2" t="s">
        <v>17852</v>
      </c>
      <c r="B515" s="2" t="s">
        <v>17853</v>
      </c>
      <c r="C515" s="2" t="s">
        <v>17854</v>
      </c>
      <c r="D515" s="2" t="s">
        <v>17855</v>
      </c>
      <c r="E515" s="2"/>
      <c r="F515" s="2" t="s">
        <v>17856</v>
      </c>
      <c r="G515" s="2" t="s">
        <v>17856</v>
      </c>
      <c r="H515" s="2" t="s">
        <v>39</v>
      </c>
      <c r="I515" s="2" t="s">
        <v>40</v>
      </c>
      <c r="J515" s="2" t="s">
        <v>453</v>
      </c>
      <c r="K515" s="2" t="s">
        <v>17855</v>
      </c>
      <c r="L515" s="2"/>
      <c r="M515" s="2"/>
      <c r="N515" s="2"/>
      <c r="O515" s="2" t="s">
        <v>39</v>
      </c>
      <c r="P515" s="2" t="s">
        <v>40</v>
      </c>
      <c r="Q515" s="2" t="s">
        <v>17857</v>
      </c>
      <c r="R515" s="2" t="s">
        <v>17850</v>
      </c>
      <c r="S515" s="2" t="s">
        <v>44</v>
      </c>
      <c r="T515" s="2"/>
      <c r="U515" s="2" t="s">
        <v>45</v>
      </c>
      <c r="V515" s="2" t="s">
        <v>46</v>
      </c>
      <c r="W515" s="2" t="s">
        <v>45</v>
      </c>
      <c r="X515" s="2"/>
      <c r="Y515" s="2" t="s">
        <v>17795</v>
      </c>
      <c r="Z515" s="2" t="s">
        <v>49</v>
      </c>
      <c r="AA515" s="2">
        <v>80</v>
      </c>
      <c r="AB515" s="2">
        <v>45</v>
      </c>
      <c r="AC515" s="2" t="s">
        <v>9685</v>
      </c>
      <c r="AD515" s="2" t="s">
        <v>17858</v>
      </c>
      <c r="AE515" s="2"/>
      <c r="AF515" s="2" t="s">
        <v>17797</v>
      </c>
      <c r="AG515" s="2" t="s">
        <v>14290</v>
      </c>
    </row>
    <row r="516" spans="1:33" x14ac:dyDescent="0.45">
      <c r="A516" s="2" t="s">
        <v>17859</v>
      </c>
      <c r="B516" s="2" t="s">
        <v>17860</v>
      </c>
      <c r="C516" s="2" t="s">
        <v>17861</v>
      </c>
      <c r="D516" s="2" t="s">
        <v>17862</v>
      </c>
      <c r="E516" s="2"/>
      <c r="F516" s="2" t="s">
        <v>17863</v>
      </c>
      <c r="G516" s="2" t="s">
        <v>17863</v>
      </c>
      <c r="H516" s="2" t="s">
        <v>536</v>
      </c>
      <c r="I516" s="2" t="s">
        <v>1281</v>
      </c>
      <c r="J516" s="2" t="s">
        <v>17864</v>
      </c>
      <c r="K516" s="2" t="s">
        <v>17865</v>
      </c>
      <c r="L516" s="2"/>
      <c r="M516" s="2"/>
      <c r="N516" s="2"/>
      <c r="O516" s="2" t="s">
        <v>536</v>
      </c>
      <c r="P516" s="2" t="s">
        <v>1281</v>
      </c>
      <c r="Q516" s="2" t="s">
        <v>17864</v>
      </c>
      <c r="R516" s="2" t="s">
        <v>17866</v>
      </c>
      <c r="S516" s="2" t="s">
        <v>44</v>
      </c>
      <c r="T516" s="2"/>
      <c r="U516" s="2" t="s">
        <v>45</v>
      </c>
      <c r="V516" s="2" t="s">
        <v>46</v>
      </c>
      <c r="W516" s="2" t="s">
        <v>45</v>
      </c>
      <c r="X516" s="2"/>
      <c r="Y516" s="2" t="s">
        <v>17795</v>
      </c>
      <c r="Z516" s="2" t="s">
        <v>49</v>
      </c>
      <c r="AA516" s="2">
        <v>80</v>
      </c>
      <c r="AB516" s="2">
        <v>45</v>
      </c>
      <c r="AC516" s="2" t="s">
        <v>9685</v>
      </c>
      <c r="AD516" s="2" t="s">
        <v>17867</v>
      </c>
      <c r="AE516" s="2"/>
      <c r="AF516" s="2" t="s">
        <v>17797</v>
      </c>
      <c r="AG516" s="2" t="s">
        <v>14290</v>
      </c>
    </row>
    <row r="517" spans="1:33" x14ac:dyDescent="0.45">
      <c r="A517" s="2" t="s">
        <v>17868</v>
      </c>
      <c r="B517" s="2" t="s">
        <v>17869</v>
      </c>
      <c r="C517" s="2" t="s">
        <v>17870</v>
      </c>
      <c r="D517" s="2" t="s">
        <v>17871</v>
      </c>
      <c r="E517" s="2"/>
      <c r="F517" s="2" t="s">
        <v>17872</v>
      </c>
      <c r="G517" s="2" t="s">
        <v>17872</v>
      </c>
      <c r="H517" s="2" t="s">
        <v>290</v>
      </c>
      <c r="I517" s="2" t="s">
        <v>278</v>
      </c>
      <c r="J517" s="2" t="s">
        <v>852</v>
      </c>
      <c r="K517" s="2" t="s">
        <v>17873</v>
      </c>
      <c r="L517" s="2"/>
      <c r="M517" s="2"/>
      <c r="N517" s="2"/>
      <c r="O517" s="2" t="s">
        <v>6051</v>
      </c>
      <c r="P517" s="2" t="s">
        <v>6051</v>
      </c>
      <c r="Q517" s="2" t="s">
        <v>1177</v>
      </c>
      <c r="R517" s="2" t="s">
        <v>1116</v>
      </c>
      <c r="S517" s="2" t="s">
        <v>44</v>
      </c>
      <c r="T517" s="2"/>
      <c r="U517" s="2" t="s">
        <v>45</v>
      </c>
      <c r="V517" s="2" t="s">
        <v>46</v>
      </c>
      <c r="W517" s="2" t="s">
        <v>45</v>
      </c>
      <c r="X517" s="2"/>
      <c r="Y517" s="2" t="s">
        <v>17795</v>
      </c>
      <c r="Z517" s="2" t="s">
        <v>49</v>
      </c>
      <c r="AA517" s="2">
        <v>80</v>
      </c>
      <c r="AB517" s="2">
        <v>45</v>
      </c>
      <c r="AC517" s="2" t="s">
        <v>9685</v>
      </c>
      <c r="AD517" s="2" t="s">
        <v>17874</v>
      </c>
      <c r="AE517" s="2"/>
      <c r="AF517" s="2" t="s">
        <v>17797</v>
      </c>
      <c r="AG517" s="2" t="s">
        <v>14290</v>
      </c>
    </row>
    <row r="518" spans="1:33" x14ac:dyDescent="0.45">
      <c r="A518" s="2" t="s">
        <v>17875</v>
      </c>
      <c r="B518" s="2" t="s">
        <v>17876</v>
      </c>
      <c r="C518" s="2" t="s">
        <v>17877</v>
      </c>
      <c r="D518" s="2" t="s">
        <v>17878</v>
      </c>
      <c r="E518" s="2"/>
      <c r="F518" s="2" t="s">
        <v>17879</v>
      </c>
      <c r="G518" s="2" t="s">
        <v>17879</v>
      </c>
      <c r="H518" s="2" t="s">
        <v>72</v>
      </c>
      <c r="I518" s="2" t="s">
        <v>73</v>
      </c>
      <c r="J518" s="2" t="s">
        <v>791</v>
      </c>
      <c r="K518" s="2" t="s">
        <v>17880</v>
      </c>
      <c r="L518" s="2"/>
      <c r="M518" s="2"/>
      <c r="N518" s="2"/>
      <c r="O518" s="2" t="s">
        <v>72</v>
      </c>
      <c r="P518" s="2" t="s">
        <v>73</v>
      </c>
      <c r="Q518" s="2" t="s">
        <v>484</v>
      </c>
      <c r="R518" s="2" t="s">
        <v>17881</v>
      </c>
      <c r="S518" s="2" t="s">
        <v>44</v>
      </c>
      <c r="T518" s="2"/>
      <c r="U518" s="2" t="s">
        <v>45</v>
      </c>
      <c r="V518" s="2" t="s">
        <v>46</v>
      </c>
      <c r="W518" s="2" t="s">
        <v>45</v>
      </c>
      <c r="X518" s="2"/>
      <c r="Y518" s="2" t="s">
        <v>17795</v>
      </c>
      <c r="Z518" s="2" t="s">
        <v>49</v>
      </c>
      <c r="AA518" s="2">
        <v>80</v>
      </c>
      <c r="AB518" s="2">
        <v>45</v>
      </c>
      <c r="AC518" s="2" t="s">
        <v>9685</v>
      </c>
      <c r="AD518" s="2" t="s">
        <v>17882</v>
      </c>
      <c r="AE518" s="2"/>
      <c r="AF518" s="2" t="s">
        <v>17797</v>
      </c>
      <c r="AG518" s="2" t="s">
        <v>14290</v>
      </c>
    </row>
    <row r="519" spans="1:33" x14ac:dyDescent="0.45">
      <c r="A519" s="2" t="s">
        <v>17883</v>
      </c>
      <c r="B519" s="2" t="s">
        <v>17884</v>
      </c>
      <c r="C519" s="2" t="s">
        <v>17885</v>
      </c>
      <c r="D519" s="2" t="s">
        <v>17886</v>
      </c>
      <c r="E519" s="2"/>
      <c r="F519" s="2" t="s">
        <v>17887</v>
      </c>
      <c r="G519" s="2" t="s">
        <v>17887</v>
      </c>
      <c r="H519" s="2" t="s">
        <v>72</v>
      </c>
      <c r="I519" s="2" t="s">
        <v>73</v>
      </c>
      <c r="J519" s="2" t="s">
        <v>187</v>
      </c>
      <c r="K519" s="2" t="s">
        <v>17886</v>
      </c>
      <c r="L519" s="2"/>
      <c r="M519" s="2"/>
      <c r="N519" s="2"/>
      <c r="O519" s="2" t="s">
        <v>72</v>
      </c>
      <c r="P519" s="2" t="s">
        <v>73</v>
      </c>
      <c r="Q519" s="2" t="s">
        <v>187</v>
      </c>
      <c r="R519" s="2" t="s">
        <v>14425</v>
      </c>
      <c r="S519" s="2" t="s">
        <v>44</v>
      </c>
      <c r="T519" s="2"/>
      <c r="U519" s="2" t="s">
        <v>45</v>
      </c>
      <c r="V519" s="2" t="s">
        <v>46</v>
      </c>
      <c r="W519" s="2" t="s">
        <v>45</v>
      </c>
      <c r="X519" s="2"/>
      <c r="Y519" s="2" t="s">
        <v>17795</v>
      </c>
      <c r="Z519" s="2" t="s">
        <v>49</v>
      </c>
      <c r="AA519" s="2">
        <v>80</v>
      </c>
      <c r="AB519" s="2">
        <v>45</v>
      </c>
      <c r="AC519" s="2" t="s">
        <v>9685</v>
      </c>
      <c r="AD519" s="2" t="s">
        <v>17888</v>
      </c>
      <c r="AE519" s="2"/>
      <c r="AF519" s="2" t="s">
        <v>17797</v>
      </c>
      <c r="AG519" s="2" t="s">
        <v>14290</v>
      </c>
    </row>
    <row r="520" spans="1:33" x14ac:dyDescent="0.45">
      <c r="A520" s="2" t="s">
        <v>17889</v>
      </c>
      <c r="B520" s="2" t="s">
        <v>17890</v>
      </c>
      <c r="C520" s="2" t="s">
        <v>17891</v>
      </c>
      <c r="D520" s="2" t="s">
        <v>17892</v>
      </c>
      <c r="E520" s="2"/>
      <c r="F520" s="2" t="s">
        <v>17893</v>
      </c>
      <c r="G520" s="2" t="s">
        <v>17893</v>
      </c>
      <c r="H520" s="2" t="s">
        <v>72</v>
      </c>
      <c r="I520" s="2" t="s">
        <v>73</v>
      </c>
      <c r="J520" s="2" t="s">
        <v>464</v>
      </c>
      <c r="K520" s="2" t="s">
        <v>17894</v>
      </c>
      <c r="L520" s="2"/>
      <c r="M520" s="2"/>
      <c r="N520" s="2"/>
      <c r="O520" s="2" t="s">
        <v>72</v>
      </c>
      <c r="P520" s="2" t="s">
        <v>73</v>
      </c>
      <c r="Q520" s="2" t="s">
        <v>464</v>
      </c>
      <c r="R520" s="2" t="s">
        <v>17895</v>
      </c>
      <c r="S520" s="2" t="s">
        <v>44</v>
      </c>
      <c r="T520" s="2"/>
      <c r="U520" s="2" t="s">
        <v>45</v>
      </c>
      <c r="V520" s="2" t="s">
        <v>46</v>
      </c>
      <c r="W520" s="2" t="s">
        <v>45</v>
      </c>
      <c r="X520" s="2"/>
      <c r="Y520" s="2" t="s">
        <v>17795</v>
      </c>
      <c r="Z520" s="2" t="s">
        <v>49</v>
      </c>
      <c r="AA520" s="2">
        <v>80</v>
      </c>
      <c r="AB520" s="2">
        <v>45</v>
      </c>
      <c r="AC520" s="2" t="s">
        <v>9685</v>
      </c>
      <c r="AD520" s="2" t="s">
        <v>17896</v>
      </c>
      <c r="AE520" s="2"/>
      <c r="AF520" s="2" t="s">
        <v>17797</v>
      </c>
      <c r="AG520" s="2" t="s">
        <v>14290</v>
      </c>
    </row>
    <row r="521" spans="1:33" x14ac:dyDescent="0.45">
      <c r="A521" s="2" t="s">
        <v>17897</v>
      </c>
      <c r="B521" s="2" t="s">
        <v>17898</v>
      </c>
      <c r="C521" s="2" t="s">
        <v>17899</v>
      </c>
      <c r="D521" s="2" t="s">
        <v>17900</v>
      </c>
      <c r="E521" s="2"/>
      <c r="F521" s="2" t="s">
        <v>17901</v>
      </c>
      <c r="G521" s="2" t="s">
        <v>17901</v>
      </c>
      <c r="H521" s="2" t="s">
        <v>72</v>
      </c>
      <c r="I521" s="2" t="s">
        <v>73</v>
      </c>
      <c r="J521" s="2" t="s">
        <v>1568</v>
      </c>
      <c r="K521" s="2" t="s">
        <v>17902</v>
      </c>
      <c r="L521" s="2"/>
      <c r="M521" s="2"/>
      <c r="N521" s="2"/>
      <c r="O521" s="2" t="s">
        <v>72</v>
      </c>
      <c r="P521" s="2" t="s">
        <v>73</v>
      </c>
      <c r="Q521" s="2" t="s">
        <v>1568</v>
      </c>
      <c r="R521" s="2" t="s">
        <v>17903</v>
      </c>
      <c r="S521" s="2" t="s">
        <v>44</v>
      </c>
      <c r="T521" s="2"/>
      <c r="U521" s="2" t="s">
        <v>45</v>
      </c>
      <c r="V521" s="2" t="s">
        <v>46</v>
      </c>
      <c r="W521" s="2" t="s">
        <v>45</v>
      </c>
      <c r="X521" s="2"/>
      <c r="Y521" s="2" t="s">
        <v>17795</v>
      </c>
      <c r="Z521" s="2" t="s">
        <v>49</v>
      </c>
      <c r="AA521" s="2">
        <v>80</v>
      </c>
      <c r="AB521" s="2">
        <v>45</v>
      </c>
      <c r="AC521" s="2" t="s">
        <v>9685</v>
      </c>
      <c r="AD521" s="2" t="s">
        <v>17904</v>
      </c>
      <c r="AE521" s="2"/>
      <c r="AF521" s="2" t="s">
        <v>17797</v>
      </c>
      <c r="AG521" s="2" t="s">
        <v>14290</v>
      </c>
    </row>
    <row r="522" spans="1:33" x14ac:dyDescent="0.45">
      <c r="A522" s="2" t="s">
        <v>17905</v>
      </c>
      <c r="B522" s="2" t="s">
        <v>17906</v>
      </c>
      <c r="C522" s="2" t="s">
        <v>17907</v>
      </c>
      <c r="D522" s="2" t="s">
        <v>17908</v>
      </c>
      <c r="E522" s="2"/>
      <c r="F522" s="2" t="s">
        <v>17909</v>
      </c>
      <c r="G522" s="2" t="s">
        <v>17909</v>
      </c>
      <c r="H522" s="2" t="s">
        <v>72</v>
      </c>
      <c r="I522" s="2" t="s">
        <v>73</v>
      </c>
      <c r="J522" s="2" t="s">
        <v>1670</v>
      </c>
      <c r="K522" s="2" t="s">
        <v>17910</v>
      </c>
      <c r="L522" s="2"/>
      <c r="M522" s="2"/>
      <c r="N522" s="2"/>
      <c r="O522" s="2" t="s">
        <v>72</v>
      </c>
      <c r="P522" s="2" t="s">
        <v>73</v>
      </c>
      <c r="Q522" s="2" t="s">
        <v>464</v>
      </c>
      <c r="R522" s="2" t="s">
        <v>17842</v>
      </c>
      <c r="S522" s="2" t="s">
        <v>44</v>
      </c>
      <c r="T522" s="2"/>
      <c r="U522" s="2" t="s">
        <v>45</v>
      </c>
      <c r="V522" s="2" t="s">
        <v>46</v>
      </c>
      <c r="W522" s="2" t="s">
        <v>45</v>
      </c>
      <c r="X522" s="2"/>
      <c r="Y522" s="2" t="s">
        <v>17795</v>
      </c>
      <c r="Z522" s="2" t="s">
        <v>49</v>
      </c>
      <c r="AA522" s="2">
        <v>80</v>
      </c>
      <c r="AB522" s="2">
        <v>45</v>
      </c>
      <c r="AC522" s="2" t="s">
        <v>9685</v>
      </c>
      <c r="AD522" s="2" t="s">
        <v>17911</v>
      </c>
      <c r="AE522" s="2"/>
      <c r="AF522" s="2" t="s">
        <v>17797</v>
      </c>
      <c r="AG522" s="2" t="s">
        <v>14290</v>
      </c>
    </row>
    <row r="523" spans="1:33" x14ac:dyDescent="0.45">
      <c r="A523" s="2" t="s">
        <v>17912</v>
      </c>
      <c r="B523" s="2" t="s">
        <v>17913</v>
      </c>
      <c r="C523" s="2" t="s">
        <v>17914</v>
      </c>
      <c r="D523" s="2" t="s">
        <v>17915</v>
      </c>
      <c r="E523" s="2"/>
      <c r="F523" s="2" t="s">
        <v>17916</v>
      </c>
      <c r="G523" s="2" t="s">
        <v>17916</v>
      </c>
      <c r="H523" s="2" t="s">
        <v>59</v>
      </c>
      <c r="I523" s="2" t="s">
        <v>60</v>
      </c>
      <c r="J523" s="2" t="s">
        <v>266</v>
      </c>
      <c r="K523" s="2" t="s">
        <v>17917</v>
      </c>
      <c r="L523" s="2"/>
      <c r="M523" s="2"/>
      <c r="N523" s="2"/>
      <c r="O523" s="2" t="s">
        <v>59</v>
      </c>
      <c r="P523" s="2" t="s">
        <v>60</v>
      </c>
      <c r="Q523" s="2" t="s">
        <v>266</v>
      </c>
      <c r="R523" s="2" t="s">
        <v>17918</v>
      </c>
      <c r="S523" s="2" t="s">
        <v>44</v>
      </c>
      <c r="T523" s="2"/>
      <c r="U523" s="2" t="s">
        <v>45</v>
      </c>
      <c r="V523" s="2" t="s">
        <v>46</v>
      </c>
      <c r="W523" s="2" t="s">
        <v>45</v>
      </c>
      <c r="X523" s="2"/>
      <c r="Y523" s="2" t="s">
        <v>17795</v>
      </c>
      <c r="Z523" s="2" t="s">
        <v>49</v>
      </c>
      <c r="AA523" s="2">
        <v>80</v>
      </c>
      <c r="AB523" s="2">
        <v>45</v>
      </c>
      <c r="AC523" s="2" t="s">
        <v>9685</v>
      </c>
      <c r="AD523" s="2" t="s">
        <v>17919</v>
      </c>
      <c r="AE523" s="2"/>
      <c r="AF523" s="2" t="s">
        <v>17797</v>
      </c>
      <c r="AG523" s="2" t="s">
        <v>14290</v>
      </c>
    </row>
    <row r="524" spans="1:33" x14ac:dyDescent="0.45">
      <c r="A524" s="2" t="s">
        <v>17920</v>
      </c>
      <c r="B524" s="2" t="s">
        <v>17921</v>
      </c>
      <c r="C524" s="2" t="s">
        <v>17922</v>
      </c>
      <c r="D524" s="2" t="s">
        <v>17923</v>
      </c>
      <c r="E524" s="2"/>
      <c r="F524" s="2" t="s">
        <v>17924</v>
      </c>
      <c r="G524" s="2" t="s">
        <v>17924</v>
      </c>
      <c r="H524" s="2" t="s">
        <v>72</v>
      </c>
      <c r="I524" s="2" t="s">
        <v>73</v>
      </c>
      <c r="J524" s="2" t="s">
        <v>464</v>
      </c>
      <c r="K524" s="2" t="s">
        <v>17923</v>
      </c>
      <c r="L524" s="2"/>
      <c r="M524" s="2"/>
      <c r="N524" s="2"/>
      <c r="O524" s="2" t="s">
        <v>72</v>
      </c>
      <c r="P524" s="2" t="s">
        <v>73</v>
      </c>
      <c r="Q524" s="2" t="s">
        <v>464</v>
      </c>
      <c r="R524" s="2" t="s">
        <v>1498</v>
      </c>
      <c r="S524" s="2" t="s">
        <v>44</v>
      </c>
      <c r="T524" s="2"/>
      <c r="U524" s="2" t="s">
        <v>45</v>
      </c>
      <c r="V524" s="2" t="s">
        <v>46</v>
      </c>
      <c r="W524" s="2" t="s">
        <v>45</v>
      </c>
      <c r="X524" s="2"/>
      <c r="Y524" s="2" t="s">
        <v>17795</v>
      </c>
      <c r="Z524" s="2" t="s">
        <v>49</v>
      </c>
      <c r="AA524" s="2">
        <v>80</v>
      </c>
      <c r="AB524" s="2">
        <v>45</v>
      </c>
      <c r="AC524" s="2" t="s">
        <v>9685</v>
      </c>
      <c r="AD524" s="2" t="s">
        <v>17925</v>
      </c>
      <c r="AE524" s="2"/>
      <c r="AF524" s="2" t="s">
        <v>17797</v>
      </c>
      <c r="AG524" s="2" t="s">
        <v>14290</v>
      </c>
    </row>
    <row r="525" spans="1:33" x14ac:dyDescent="0.45">
      <c r="A525" s="2" t="s">
        <v>17926</v>
      </c>
      <c r="B525" s="2" t="s">
        <v>17927</v>
      </c>
      <c r="C525" s="2" t="s">
        <v>16985</v>
      </c>
      <c r="D525" s="2" t="s">
        <v>17928</v>
      </c>
      <c r="E525" s="2"/>
      <c r="F525" s="2" t="s">
        <v>17929</v>
      </c>
      <c r="G525" s="2" t="s">
        <v>17929</v>
      </c>
      <c r="H525" s="2" t="s">
        <v>72</v>
      </c>
      <c r="I525" s="2" t="s">
        <v>73</v>
      </c>
      <c r="J525" s="2" t="s">
        <v>74</v>
      </c>
      <c r="K525" s="2" t="s">
        <v>17930</v>
      </c>
      <c r="L525" s="2"/>
      <c r="M525" s="2"/>
      <c r="N525" s="2"/>
      <c r="O525" s="2" t="s">
        <v>72</v>
      </c>
      <c r="P525" s="2" t="s">
        <v>73</v>
      </c>
      <c r="Q525" s="2" t="s">
        <v>187</v>
      </c>
      <c r="R525" s="2" t="s">
        <v>17931</v>
      </c>
      <c r="S525" s="2" t="s">
        <v>44</v>
      </c>
      <c r="T525" s="2"/>
      <c r="U525" s="2" t="s">
        <v>45</v>
      </c>
      <c r="V525" s="2" t="s">
        <v>46</v>
      </c>
      <c r="W525" s="2" t="s">
        <v>45</v>
      </c>
      <c r="X525" s="2"/>
      <c r="Y525" s="2" t="s">
        <v>17795</v>
      </c>
      <c r="Z525" s="2" t="s">
        <v>49</v>
      </c>
      <c r="AA525" s="2">
        <v>80</v>
      </c>
      <c r="AB525" s="2">
        <v>45</v>
      </c>
      <c r="AC525" s="2" t="s">
        <v>9685</v>
      </c>
      <c r="AD525" s="2" t="s">
        <v>17932</v>
      </c>
      <c r="AE525" s="2"/>
      <c r="AF525" s="2" t="s">
        <v>17797</v>
      </c>
      <c r="AG525" s="2" t="s">
        <v>14290</v>
      </c>
    </row>
    <row r="526" spans="1:33" x14ac:dyDescent="0.45">
      <c r="A526" s="2" t="s">
        <v>17933</v>
      </c>
      <c r="B526" s="2" t="s">
        <v>17934</v>
      </c>
      <c r="C526" s="2" t="s">
        <v>17935</v>
      </c>
      <c r="D526" s="2" t="s">
        <v>17936</v>
      </c>
      <c r="E526" s="2"/>
      <c r="F526" s="2" t="s">
        <v>17937</v>
      </c>
      <c r="G526" s="2" t="s">
        <v>17937</v>
      </c>
      <c r="H526" s="2" t="s">
        <v>72</v>
      </c>
      <c r="I526" s="2" t="s">
        <v>73</v>
      </c>
      <c r="J526" s="2" t="s">
        <v>484</v>
      </c>
      <c r="K526" s="2"/>
      <c r="L526" s="2"/>
      <c r="M526" s="2"/>
      <c r="N526" s="2"/>
      <c r="O526" s="2"/>
      <c r="P526" s="2"/>
      <c r="Q526" s="2"/>
      <c r="R526" s="2" t="s">
        <v>131</v>
      </c>
      <c r="S526" s="2" t="s">
        <v>44</v>
      </c>
      <c r="T526" s="2"/>
      <c r="U526" s="2" t="s">
        <v>45</v>
      </c>
      <c r="V526" s="2" t="s">
        <v>46</v>
      </c>
      <c r="W526" s="2" t="s">
        <v>45</v>
      </c>
      <c r="X526" s="2"/>
      <c r="Y526" s="2" t="s">
        <v>17795</v>
      </c>
      <c r="Z526" s="2" t="s">
        <v>49</v>
      </c>
      <c r="AA526" s="2">
        <v>80</v>
      </c>
      <c r="AB526" s="2">
        <v>45</v>
      </c>
      <c r="AC526" s="2" t="s">
        <v>9685</v>
      </c>
      <c r="AD526" s="2" t="s">
        <v>17938</v>
      </c>
      <c r="AE526" s="2"/>
      <c r="AF526" s="2" t="s">
        <v>17797</v>
      </c>
      <c r="AG526" s="2" t="s">
        <v>14290</v>
      </c>
    </row>
    <row r="527" spans="1:33" x14ac:dyDescent="0.45">
      <c r="A527" s="2" t="s">
        <v>6541</v>
      </c>
      <c r="B527" s="2" t="s">
        <v>17939</v>
      </c>
      <c r="C527" s="2" t="s">
        <v>17940</v>
      </c>
      <c r="D527" s="2" t="s">
        <v>17941</v>
      </c>
      <c r="E527" s="2"/>
      <c r="F527" s="2" t="s">
        <v>17942</v>
      </c>
      <c r="G527" s="2" t="s">
        <v>17942</v>
      </c>
      <c r="H527" s="2" t="s">
        <v>72</v>
      </c>
      <c r="I527" s="2" t="s">
        <v>73</v>
      </c>
      <c r="J527" s="2" t="s">
        <v>98</v>
      </c>
      <c r="K527" s="2" t="s">
        <v>17943</v>
      </c>
      <c r="L527" s="2"/>
      <c r="M527" s="2"/>
      <c r="N527" s="2"/>
      <c r="O527" s="2" t="s">
        <v>72</v>
      </c>
      <c r="P527" s="2" t="s">
        <v>73</v>
      </c>
      <c r="Q527" s="2" t="s">
        <v>17944</v>
      </c>
      <c r="R527" s="2" t="s">
        <v>17945</v>
      </c>
      <c r="S527" s="2" t="s">
        <v>44</v>
      </c>
      <c r="T527" s="2"/>
      <c r="U527" s="2" t="s">
        <v>45</v>
      </c>
      <c r="V527" s="2" t="s">
        <v>199</v>
      </c>
      <c r="W527" s="2" t="s">
        <v>45</v>
      </c>
      <c r="X527" s="2"/>
      <c r="Y527" s="2" t="s">
        <v>17795</v>
      </c>
      <c r="Z527" s="2" t="s">
        <v>49</v>
      </c>
      <c r="AA527" s="2">
        <v>80</v>
      </c>
      <c r="AB527" s="2">
        <v>45</v>
      </c>
      <c r="AC527" s="2" t="s">
        <v>9685</v>
      </c>
      <c r="AD527" s="2" t="s">
        <v>17946</v>
      </c>
      <c r="AE527" s="2"/>
      <c r="AF527" s="2" t="s">
        <v>17797</v>
      </c>
      <c r="AG527" s="2" t="s">
        <v>14290</v>
      </c>
    </row>
    <row r="528" spans="1:33" x14ac:dyDescent="0.45">
      <c r="A528" s="2" t="s">
        <v>17947</v>
      </c>
      <c r="B528" s="2" t="s">
        <v>17948</v>
      </c>
      <c r="C528" s="2" t="s">
        <v>17949</v>
      </c>
      <c r="D528" s="2" t="s">
        <v>17950</v>
      </c>
      <c r="E528" s="2"/>
      <c r="F528" s="2" t="s">
        <v>17951</v>
      </c>
      <c r="G528" s="2" t="s">
        <v>17951</v>
      </c>
      <c r="H528" s="2" t="s">
        <v>174</v>
      </c>
      <c r="I528" s="2" t="s">
        <v>175</v>
      </c>
      <c r="J528" s="2" t="s">
        <v>176</v>
      </c>
      <c r="K528" s="2" t="s">
        <v>17952</v>
      </c>
      <c r="L528" s="2"/>
      <c r="M528" s="2"/>
      <c r="N528" s="2"/>
      <c r="O528" s="2" t="s">
        <v>174</v>
      </c>
      <c r="P528" s="2" t="s">
        <v>175</v>
      </c>
      <c r="Q528" s="2" t="s">
        <v>176</v>
      </c>
      <c r="R528" s="2" t="s">
        <v>17953</v>
      </c>
      <c r="S528" s="2" t="s">
        <v>44</v>
      </c>
      <c r="T528" s="2"/>
      <c r="U528" s="2" t="s">
        <v>45</v>
      </c>
      <c r="V528" s="2" t="s">
        <v>46</v>
      </c>
      <c r="W528" s="2" t="s">
        <v>45</v>
      </c>
      <c r="X528" s="2"/>
      <c r="Y528" s="2" t="s">
        <v>17795</v>
      </c>
      <c r="Z528" s="2" t="s">
        <v>49</v>
      </c>
      <c r="AA528" s="2">
        <v>80</v>
      </c>
      <c r="AB528" s="2">
        <v>45</v>
      </c>
      <c r="AC528" s="2" t="s">
        <v>9685</v>
      </c>
      <c r="AD528" s="2" t="s">
        <v>17954</v>
      </c>
      <c r="AE528" s="2"/>
      <c r="AF528" s="2" t="s">
        <v>17797</v>
      </c>
      <c r="AG528" s="2" t="s">
        <v>14290</v>
      </c>
    </row>
    <row r="529" spans="1:33" x14ac:dyDescent="0.45">
      <c r="A529" s="2" t="s">
        <v>6585</v>
      </c>
      <c r="B529" s="2" t="s">
        <v>17955</v>
      </c>
      <c r="C529" s="2" t="s">
        <v>17956</v>
      </c>
      <c r="D529" s="2" t="s">
        <v>17957</v>
      </c>
      <c r="E529" s="2"/>
      <c r="F529" s="2" t="s">
        <v>17958</v>
      </c>
      <c r="G529" s="2" t="s">
        <v>17958</v>
      </c>
      <c r="H529" s="2" t="s">
        <v>72</v>
      </c>
      <c r="I529" s="2" t="s">
        <v>73</v>
      </c>
      <c r="J529" s="2" t="s">
        <v>464</v>
      </c>
      <c r="K529" s="2" t="s">
        <v>6591</v>
      </c>
      <c r="L529" s="2"/>
      <c r="M529" s="2"/>
      <c r="N529" s="2"/>
      <c r="O529" s="2"/>
      <c r="P529" s="2" t="s">
        <v>1112</v>
      </c>
      <c r="Q529" s="2" t="s">
        <v>6592</v>
      </c>
      <c r="R529" s="2" t="s">
        <v>17959</v>
      </c>
      <c r="S529" s="2" t="s">
        <v>44</v>
      </c>
      <c r="T529" s="2"/>
      <c r="U529" s="2" t="s">
        <v>45</v>
      </c>
      <c r="V529" s="2" t="s">
        <v>199</v>
      </c>
      <c r="W529" s="2" t="s">
        <v>45</v>
      </c>
      <c r="X529" s="2"/>
      <c r="Y529" s="2" t="s">
        <v>17795</v>
      </c>
      <c r="Z529" s="2" t="s">
        <v>49</v>
      </c>
      <c r="AA529" s="2">
        <v>80</v>
      </c>
      <c r="AB529" s="2">
        <v>45</v>
      </c>
      <c r="AC529" s="2" t="s">
        <v>9685</v>
      </c>
      <c r="AD529" s="2" t="s">
        <v>17960</v>
      </c>
      <c r="AE529" s="2"/>
      <c r="AF529" s="2" t="s">
        <v>17797</v>
      </c>
      <c r="AG529" s="2" t="s">
        <v>14290</v>
      </c>
    </row>
    <row r="530" spans="1:33" x14ac:dyDescent="0.45">
      <c r="A530" s="2" t="s">
        <v>17961</v>
      </c>
      <c r="B530" s="2" t="s">
        <v>17962</v>
      </c>
      <c r="C530" s="2" t="s">
        <v>17963</v>
      </c>
      <c r="D530" s="2" t="s">
        <v>17964</v>
      </c>
      <c r="E530" s="2"/>
      <c r="F530" s="2" t="s">
        <v>17965</v>
      </c>
      <c r="G530" s="2" t="s">
        <v>17965</v>
      </c>
      <c r="H530" s="2" t="s">
        <v>277</v>
      </c>
      <c r="I530" s="2" t="s">
        <v>278</v>
      </c>
      <c r="J530" s="2" t="s">
        <v>7002</v>
      </c>
      <c r="K530" s="2" t="s">
        <v>17966</v>
      </c>
      <c r="L530" s="2"/>
      <c r="M530" s="2"/>
      <c r="N530" s="2"/>
      <c r="O530" s="2" t="s">
        <v>277</v>
      </c>
      <c r="P530" s="2" t="s">
        <v>278</v>
      </c>
      <c r="Q530" s="2" t="s">
        <v>7002</v>
      </c>
      <c r="R530" s="2" t="s">
        <v>17967</v>
      </c>
      <c r="S530" s="2" t="s">
        <v>44</v>
      </c>
      <c r="T530" s="2"/>
      <c r="U530" s="2" t="s">
        <v>45</v>
      </c>
      <c r="V530" s="2" t="s">
        <v>46</v>
      </c>
      <c r="W530" s="2" t="s">
        <v>45</v>
      </c>
      <c r="X530" s="2"/>
      <c r="Y530" s="2" t="s">
        <v>17795</v>
      </c>
      <c r="Z530" s="2" t="s">
        <v>49</v>
      </c>
      <c r="AA530" s="2">
        <v>80</v>
      </c>
      <c r="AB530" s="2">
        <v>45</v>
      </c>
      <c r="AC530" s="2" t="s">
        <v>9685</v>
      </c>
      <c r="AD530" s="2" t="s">
        <v>17968</v>
      </c>
      <c r="AE530" s="2"/>
      <c r="AF530" s="2" t="s">
        <v>17797</v>
      </c>
      <c r="AG530" s="2" t="s">
        <v>14290</v>
      </c>
    </row>
    <row r="531" spans="1:33" x14ac:dyDescent="0.45">
      <c r="A531" s="2" t="s">
        <v>17969</v>
      </c>
      <c r="B531" s="2" t="s">
        <v>17970</v>
      </c>
      <c r="C531" s="2" t="s">
        <v>17971</v>
      </c>
      <c r="D531" s="2" t="s">
        <v>17972</v>
      </c>
      <c r="E531" s="2"/>
      <c r="F531" s="2" t="s">
        <v>17973</v>
      </c>
      <c r="G531" s="2" t="s">
        <v>17973</v>
      </c>
      <c r="H531" s="2" t="s">
        <v>59</v>
      </c>
      <c r="I531" s="2" t="s">
        <v>60</v>
      </c>
      <c r="J531" s="2" t="s">
        <v>1589</v>
      </c>
      <c r="K531" s="2" t="s">
        <v>17974</v>
      </c>
      <c r="L531" s="2"/>
      <c r="M531" s="2"/>
      <c r="N531" s="2"/>
      <c r="O531" s="2" t="s">
        <v>59</v>
      </c>
      <c r="P531" s="2" t="s">
        <v>60</v>
      </c>
      <c r="Q531" s="2" t="s">
        <v>1589</v>
      </c>
      <c r="R531" s="2" t="s">
        <v>17975</v>
      </c>
      <c r="S531" s="2" t="s">
        <v>44</v>
      </c>
      <c r="T531" s="2"/>
      <c r="U531" s="2" t="s">
        <v>45</v>
      </c>
      <c r="V531" s="2" t="s">
        <v>46</v>
      </c>
      <c r="W531" s="2" t="s">
        <v>45</v>
      </c>
      <c r="X531" s="2"/>
      <c r="Y531" s="2" t="s">
        <v>17795</v>
      </c>
      <c r="Z531" s="2" t="s">
        <v>49</v>
      </c>
      <c r="AA531" s="2">
        <v>80</v>
      </c>
      <c r="AB531" s="2">
        <v>45</v>
      </c>
      <c r="AC531" s="2" t="s">
        <v>9685</v>
      </c>
      <c r="AD531" s="2" t="s">
        <v>17976</v>
      </c>
      <c r="AE531" s="2"/>
      <c r="AF531" s="2" t="s">
        <v>17797</v>
      </c>
      <c r="AG531" s="2" t="s">
        <v>14290</v>
      </c>
    </row>
    <row r="532" spans="1:33" x14ac:dyDescent="0.45">
      <c r="A532" s="2" t="s">
        <v>17977</v>
      </c>
      <c r="B532" s="2" t="s">
        <v>17978</v>
      </c>
      <c r="C532" s="2" t="s">
        <v>17979</v>
      </c>
      <c r="D532" s="2" t="s">
        <v>17980</v>
      </c>
      <c r="E532" s="2"/>
      <c r="F532" s="2" t="s">
        <v>17981</v>
      </c>
      <c r="G532" s="2" t="s">
        <v>17981</v>
      </c>
      <c r="H532" s="2" t="s">
        <v>72</v>
      </c>
      <c r="I532" s="2" t="s">
        <v>73</v>
      </c>
      <c r="J532" s="2" t="s">
        <v>1777</v>
      </c>
      <c r="K532" s="2" t="s">
        <v>17982</v>
      </c>
      <c r="L532" s="2"/>
      <c r="M532" s="2"/>
      <c r="N532" s="2"/>
      <c r="O532" s="2" t="s">
        <v>72</v>
      </c>
      <c r="P532" s="2" t="s">
        <v>73</v>
      </c>
      <c r="Q532" s="2" t="s">
        <v>464</v>
      </c>
      <c r="R532" s="2" t="s">
        <v>17983</v>
      </c>
      <c r="S532" s="2" t="s">
        <v>44</v>
      </c>
      <c r="T532" s="2"/>
      <c r="U532" s="2" t="s">
        <v>45</v>
      </c>
      <c r="V532" s="2" t="s">
        <v>46</v>
      </c>
      <c r="W532" s="2" t="s">
        <v>45</v>
      </c>
      <c r="X532" s="2"/>
      <c r="Y532" s="2" t="s">
        <v>17795</v>
      </c>
      <c r="Z532" s="2" t="s">
        <v>49</v>
      </c>
      <c r="AA532" s="2">
        <v>80</v>
      </c>
      <c r="AB532" s="2">
        <v>45</v>
      </c>
      <c r="AC532" s="2" t="s">
        <v>9685</v>
      </c>
      <c r="AD532" s="2" t="s">
        <v>17984</v>
      </c>
      <c r="AE532" s="2"/>
      <c r="AF532" s="2" t="s">
        <v>17797</v>
      </c>
      <c r="AG532" s="2" t="s">
        <v>14290</v>
      </c>
    </row>
    <row r="533" spans="1:33" x14ac:dyDescent="0.45">
      <c r="A533" s="2" t="s">
        <v>6523</v>
      </c>
      <c r="B533" s="2" t="s">
        <v>17985</v>
      </c>
      <c r="C533" s="2" t="s">
        <v>17986</v>
      </c>
      <c r="D533" s="2" t="s">
        <v>17987</v>
      </c>
      <c r="E533" s="2"/>
      <c r="F533" s="2" t="s">
        <v>17988</v>
      </c>
      <c r="G533" s="2" t="s">
        <v>17988</v>
      </c>
      <c r="H533" s="2" t="s">
        <v>72</v>
      </c>
      <c r="I533" s="2" t="s">
        <v>73</v>
      </c>
      <c r="J533" s="2" t="s">
        <v>3302</v>
      </c>
      <c r="K533" s="2"/>
      <c r="L533" s="2"/>
      <c r="M533" s="2"/>
      <c r="N533" s="2"/>
      <c r="O533" s="2"/>
      <c r="P533" s="2"/>
      <c r="Q533" s="2"/>
      <c r="R533" s="2" t="s">
        <v>17989</v>
      </c>
      <c r="S533" s="2" t="s">
        <v>44</v>
      </c>
      <c r="T533" s="2"/>
      <c r="U533" s="2" t="s">
        <v>45</v>
      </c>
      <c r="V533" s="2" t="s">
        <v>199</v>
      </c>
      <c r="W533" s="2" t="s">
        <v>45</v>
      </c>
      <c r="X533" s="2"/>
      <c r="Y533" s="2" t="s">
        <v>17795</v>
      </c>
      <c r="Z533" s="2" t="s">
        <v>49</v>
      </c>
      <c r="AA533" s="2">
        <v>80</v>
      </c>
      <c r="AB533" s="2">
        <v>45</v>
      </c>
      <c r="AC533" s="2" t="s">
        <v>9685</v>
      </c>
      <c r="AD533" s="2" t="s">
        <v>17990</v>
      </c>
      <c r="AE533" s="2"/>
      <c r="AF533" s="2" t="s">
        <v>17797</v>
      </c>
      <c r="AG533" s="2" t="s">
        <v>14290</v>
      </c>
    </row>
    <row r="534" spans="1:33" x14ac:dyDescent="0.45">
      <c r="A534" s="2" t="s">
        <v>17991</v>
      </c>
      <c r="B534" s="2" t="s">
        <v>17992</v>
      </c>
      <c r="C534" s="2" t="s">
        <v>17993</v>
      </c>
      <c r="D534" s="2" t="s">
        <v>17994</v>
      </c>
      <c r="E534" s="2"/>
      <c r="F534" s="2" t="s">
        <v>17995</v>
      </c>
      <c r="G534" s="2" t="s">
        <v>17995</v>
      </c>
      <c r="H534" s="2" t="s">
        <v>72</v>
      </c>
      <c r="I534" s="2" t="s">
        <v>73</v>
      </c>
      <c r="J534" s="2" t="s">
        <v>2270</v>
      </c>
      <c r="K534" s="2"/>
      <c r="L534" s="2"/>
      <c r="M534" s="2"/>
      <c r="N534" s="2"/>
      <c r="O534" s="2"/>
      <c r="P534" s="2"/>
      <c r="Q534" s="2"/>
      <c r="R534" s="2" t="s">
        <v>17996</v>
      </c>
      <c r="S534" s="2" t="s">
        <v>44</v>
      </c>
      <c r="T534" s="2"/>
      <c r="U534" s="2" t="s">
        <v>45</v>
      </c>
      <c r="V534" s="2" t="s">
        <v>46</v>
      </c>
      <c r="W534" s="2" t="s">
        <v>45</v>
      </c>
      <c r="X534" s="2"/>
      <c r="Y534" s="2" t="s">
        <v>17795</v>
      </c>
      <c r="Z534" s="2" t="s">
        <v>49</v>
      </c>
      <c r="AA534" s="2">
        <v>80</v>
      </c>
      <c r="AB534" s="2">
        <v>45</v>
      </c>
      <c r="AC534" s="2" t="s">
        <v>9685</v>
      </c>
      <c r="AD534" s="2" t="s">
        <v>17997</v>
      </c>
      <c r="AE534" s="2"/>
      <c r="AF534" s="2" t="s">
        <v>17797</v>
      </c>
      <c r="AG534" s="2" t="s">
        <v>14290</v>
      </c>
    </row>
    <row r="535" spans="1:33" x14ac:dyDescent="0.45">
      <c r="A535" s="2" t="s">
        <v>17998</v>
      </c>
      <c r="B535" s="2" t="s">
        <v>17999</v>
      </c>
      <c r="C535" s="2" t="s">
        <v>18000</v>
      </c>
      <c r="D535" s="2" t="s">
        <v>18001</v>
      </c>
      <c r="E535" s="2"/>
      <c r="F535" s="2" t="s">
        <v>18002</v>
      </c>
      <c r="G535" s="2" t="s">
        <v>18002</v>
      </c>
      <c r="H535" s="2" t="s">
        <v>72</v>
      </c>
      <c r="I535" s="2" t="s">
        <v>73</v>
      </c>
      <c r="J535" s="2" t="s">
        <v>98</v>
      </c>
      <c r="K535" s="2" t="s">
        <v>18003</v>
      </c>
      <c r="L535" s="2"/>
      <c r="M535" s="2"/>
      <c r="N535" s="2"/>
      <c r="O535" s="2" t="s">
        <v>72</v>
      </c>
      <c r="P535" s="2" t="s">
        <v>73</v>
      </c>
      <c r="Q535" s="2" t="s">
        <v>98</v>
      </c>
      <c r="R535" s="2" t="s">
        <v>18004</v>
      </c>
      <c r="S535" s="2" t="s">
        <v>44</v>
      </c>
      <c r="T535" s="2"/>
      <c r="U535" s="2" t="s">
        <v>45</v>
      </c>
      <c r="V535" s="2" t="s">
        <v>46</v>
      </c>
      <c r="W535" s="2" t="s">
        <v>45</v>
      </c>
      <c r="X535" s="2"/>
      <c r="Y535" s="2" t="s">
        <v>17795</v>
      </c>
      <c r="Z535" s="2" t="s">
        <v>49</v>
      </c>
      <c r="AA535" s="2">
        <v>80</v>
      </c>
      <c r="AB535" s="2">
        <v>45</v>
      </c>
      <c r="AC535" s="2" t="s">
        <v>9685</v>
      </c>
      <c r="AD535" s="2" t="s">
        <v>18005</v>
      </c>
      <c r="AE535" s="2"/>
      <c r="AF535" s="2" t="s">
        <v>17797</v>
      </c>
      <c r="AG535" s="2" t="s">
        <v>14290</v>
      </c>
    </row>
    <row r="536" spans="1:33" x14ac:dyDescent="0.45">
      <c r="A536" s="2" t="s">
        <v>18006</v>
      </c>
      <c r="B536" s="2" t="s">
        <v>18007</v>
      </c>
      <c r="C536" s="2" t="s">
        <v>18008</v>
      </c>
      <c r="D536" s="2" t="s">
        <v>18009</v>
      </c>
      <c r="E536" s="2"/>
      <c r="F536" s="2" t="s">
        <v>18010</v>
      </c>
      <c r="G536" s="2" t="s">
        <v>18010</v>
      </c>
      <c r="H536" s="2" t="s">
        <v>85</v>
      </c>
      <c r="I536" s="2" t="s">
        <v>86</v>
      </c>
      <c r="J536" s="2" t="s">
        <v>2260</v>
      </c>
      <c r="K536" s="2" t="s">
        <v>18011</v>
      </c>
      <c r="L536" s="2"/>
      <c r="M536" s="2"/>
      <c r="N536" s="2"/>
      <c r="O536" s="2" t="s">
        <v>85</v>
      </c>
      <c r="P536" s="2" t="s">
        <v>86</v>
      </c>
      <c r="Q536" s="2" t="s">
        <v>1376</v>
      </c>
      <c r="R536" s="2" t="s">
        <v>18012</v>
      </c>
      <c r="S536" s="2" t="s">
        <v>44</v>
      </c>
      <c r="T536" s="2"/>
      <c r="U536" s="2" t="s">
        <v>45</v>
      </c>
      <c r="V536" s="2" t="s">
        <v>46</v>
      </c>
      <c r="W536" s="2" t="s">
        <v>45</v>
      </c>
      <c r="X536" s="2"/>
      <c r="Y536" s="2" t="s">
        <v>17795</v>
      </c>
      <c r="Z536" s="2" t="s">
        <v>49</v>
      </c>
      <c r="AA536" s="2">
        <v>80</v>
      </c>
      <c r="AB536" s="2">
        <v>45</v>
      </c>
      <c r="AC536" s="2" t="s">
        <v>9685</v>
      </c>
      <c r="AD536" s="2" t="s">
        <v>18013</v>
      </c>
      <c r="AE536" s="2"/>
      <c r="AF536" s="2" t="s">
        <v>17797</v>
      </c>
      <c r="AG536" s="2" t="s">
        <v>14290</v>
      </c>
    </row>
    <row r="537" spans="1:33" x14ac:dyDescent="0.45">
      <c r="A537" s="2" t="s">
        <v>18014</v>
      </c>
      <c r="B537" s="2" t="s">
        <v>18015</v>
      </c>
      <c r="C537" s="2" t="s">
        <v>18016</v>
      </c>
      <c r="D537" s="2" t="s">
        <v>18017</v>
      </c>
      <c r="E537" s="2"/>
      <c r="F537" s="2" t="s">
        <v>18018</v>
      </c>
      <c r="G537" s="2" t="s">
        <v>18018</v>
      </c>
      <c r="H537" s="2" t="s">
        <v>85</v>
      </c>
      <c r="I537" s="2" t="s">
        <v>86</v>
      </c>
      <c r="J537" s="2" t="s">
        <v>2021</v>
      </c>
      <c r="K537" s="2" t="s">
        <v>18019</v>
      </c>
      <c r="L537" s="2"/>
      <c r="M537" s="2"/>
      <c r="N537" s="2"/>
      <c r="O537" s="2" t="s">
        <v>1188</v>
      </c>
      <c r="P537" s="2" t="s">
        <v>221</v>
      </c>
      <c r="Q537" s="2" t="s">
        <v>1189</v>
      </c>
      <c r="R537" s="2" t="s">
        <v>18020</v>
      </c>
      <c r="S537" s="2" t="s">
        <v>44</v>
      </c>
      <c r="T537" s="2"/>
      <c r="U537" s="2" t="s">
        <v>45</v>
      </c>
      <c r="V537" s="2" t="s">
        <v>46</v>
      </c>
      <c r="W537" s="2" t="s">
        <v>45</v>
      </c>
      <c r="X537" s="2"/>
      <c r="Y537" s="2" t="s">
        <v>17795</v>
      </c>
      <c r="Z537" s="2" t="s">
        <v>49</v>
      </c>
      <c r="AA537" s="2">
        <v>80</v>
      </c>
      <c r="AB537" s="2">
        <v>45</v>
      </c>
      <c r="AC537" s="2" t="s">
        <v>9685</v>
      </c>
      <c r="AD537" s="2" t="s">
        <v>18021</v>
      </c>
      <c r="AE537" s="2"/>
      <c r="AF537" s="2" t="s">
        <v>17797</v>
      </c>
      <c r="AG537" s="2" t="s">
        <v>14290</v>
      </c>
    </row>
    <row r="538" spans="1:33" x14ac:dyDescent="0.45">
      <c r="A538" s="2" t="s">
        <v>18022</v>
      </c>
      <c r="B538" s="2" t="s">
        <v>18023</v>
      </c>
      <c r="C538" s="2" t="s">
        <v>18024</v>
      </c>
      <c r="D538" s="2" t="s">
        <v>6609</v>
      </c>
      <c r="E538" s="2"/>
      <c r="F538" s="2" t="s">
        <v>18025</v>
      </c>
      <c r="G538" s="2" t="s">
        <v>18025</v>
      </c>
      <c r="H538" s="2" t="s">
        <v>85</v>
      </c>
      <c r="I538" s="2" t="s">
        <v>86</v>
      </c>
      <c r="J538" s="2" t="s">
        <v>6612</v>
      </c>
      <c r="K538" s="2" t="s">
        <v>18026</v>
      </c>
      <c r="L538" s="2"/>
      <c r="M538" s="2"/>
      <c r="N538" s="2"/>
      <c r="O538" s="2" t="s">
        <v>1188</v>
      </c>
      <c r="P538" s="2" t="s">
        <v>221</v>
      </c>
      <c r="Q538" s="2" t="s">
        <v>18027</v>
      </c>
      <c r="R538" s="2" t="s">
        <v>18028</v>
      </c>
      <c r="S538" s="2" t="s">
        <v>44</v>
      </c>
      <c r="T538" s="2"/>
      <c r="U538" s="2" t="s">
        <v>45</v>
      </c>
      <c r="V538" s="2" t="s">
        <v>46</v>
      </c>
      <c r="W538" s="2" t="s">
        <v>45</v>
      </c>
      <c r="X538" s="2"/>
      <c r="Y538" s="2" t="s">
        <v>17795</v>
      </c>
      <c r="Z538" s="2" t="s">
        <v>49</v>
      </c>
      <c r="AA538" s="2">
        <v>80</v>
      </c>
      <c r="AB538" s="2">
        <v>45</v>
      </c>
      <c r="AC538" s="2" t="s">
        <v>9685</v>
      </c>
      <c r="AD538" s="2" t="s">
        <v>18029</v>
      </c>
      <c r="AE538" s="2"/>
      <c r="AF538" s="2" t="s">
        <v>17797</v>
      </c>
      <c r="AG538" s="2" t="s">
        <v>14290</v>
      </c>
    </row>
    <row r="539" spans="1:33" x14ac:dyDescent="0.45">
      <c r="A539" s="2" t="s">
        <v>18030</v>
      </c>
      <c r="B539" s="2" t="s">
        <v>18031</v>
      </c>
      <c r="C539" s="2" t="s">
        <v>18032</v>
      </c>
      <c r="D539" s="2" t="s">
        <v>18033</v>
      </c>
      <c r="E539" s="2"/>
      <c r="F539" s="2" t="s">
        <v>18034</v>
      </c>
      <c r="G539" s="2" t="s">
        <v>18034</v>
      </c>
      <c r="H539" s="2" t="s">
        <v>72</v>
      </c>
      <c r="I539" s="2" t="s">
        <v>73</v>
      </c>
      <c r="J539" s="2" t="s">
        <v>18035</v>
      </c>
      <c r="K539" s="2" t="s">
        <v>18036</v>
      </c>
      <c r="L539" s="2"/>
      <c r="M539" s="2"/>
      <c r="N539" s="2"/>
      <c r="O539" s="2" t="s">
        <v>72</v>
      </c>
      <c r="P539" s="2" t="s">
        <v>73</v>
      </c>
      <c r="Q539" s="2" t="s">
        <v>18035</v>
      </c>
      <c r="R539" s="2" t="s">
        <v>18037</v>
      </c>
      <c r="S539" s="2" t="s">
        <v>44</v>
      </c>
      <c r="T539" s="2"/>
      <c r="U539" s="2" t="s">
        <v>45</v>
      </c>
      <c r="V539" s="2" t="s">
        <v>46</v>
      </c>
      <c r="W539" s="2" t="s">
        <v>45</v>
      </c>
      <c r="X539" s="2"/>
      <c r="Y539" s="2" t="s">
        <v>17795</v>
      </c>
      <c r="Z539" s="2" t="s">
        <v>49</v>
      </c>
      <c r="AA539" s="2">
        <v>80</v>
      </c>
      <c r="AB539" s="2">
        <v>45</v>
      </c>
      <c r="AC539" s="2" t="s">
        <v>9685</v>
      </c>
      <c r="AD539" s="2" t="s">
        <v>18038</v>
      </c>
      <c r="AE539" s="2"/>
      <c r="AF539" s="2" t="s">
        <v>17797</v>
      </c>
      <c r="AG539" s="2" t="s">
        <v>14290</v>
      </c>
    </row>
    <row r="540" spans="1:33" x14ac:dyDescent="0.45">
      <c r="A540" s="2" t="s">
        <v>18039</v>
      </c>
      <c r="B540" s="2" t="s">
        <v>18040</v>
      </c>
      <c r="C540" s="2" t="s">
        <v>18041</v>
      </c>
      <c r="D540" s="2" t="s">
        <v>18042</v>
      </c>
      <c r="E540" s="2"/>
      <c r="F540" s="2" t="s">
        <v>18043</v>
      </c>
      <c r="G540" s="2" t="s">
        <v>18043</v>
      </c>
      <c r="H540" s="2" t="s">
        <v>72</v>
      </c>
      <c r="I540" s="2" t="s">
        <v>73</v>
      </c>
      <c r="J540" s="2" t="s">
        <v>1610</v>
      </c>
      <c r="K540" s="2" t="s">
        <v>18042</v>
      </c>
      <c r="L540" s="2"/>
      <c r="M540" s="2"/>
      <c r="N540" s="2"/>
      <c r="O540" s="2" t="s">
        <v>72</v>
      </c>
      <c r="P540" s="2" t="s">
        <v>73</v>
      </c>
      <c r="Q540" s="2" t="s">
        <v>1610</v>
      </c>
      <c r="R540" s="2" t="s">
        <v>18044</v>
      </c>
      <c r="S540" s="2" t="s">
        <v>44</v>
      </c>
      <c r="T540" s="2"/>
      <c r="U540" s="2" t="s">
        <v>45</v>
      </c>
      <c r="V540" s="2" t="s">
        <v>46</v>
      </c>
      <c r="W540" s="2" t="s">
        <v>45</v>
      </c>
      <c r="X540" s="2"/>
      <c r="Y540" s="2" t="s">
        <v>17795</v>
      </c>
      <c r="Z540" s="2" t="s">
        <v>49</v>
      </c>
      <c r="AA540" s="2">
        <v>80</v>
      </c>
      <c r="AB540" s="2">
        <v>45</v>
      </c>
      <c r="AC540" s="2" t="s">
        <v>9685</v>
      </c>
      <c r="AD540" s="2" t="s">
        <v>18045</v>
      </c>
      <c r="AE540" s="2"/>
      <c r="AF540" s="2" t="s">
        <v>17797</v>
      </c>
      <c r="AG540" s="2" t="s">
        <v>14290</v>
      </c>
    </row>
    <row r="541" spans="1:33" x14ac:dyDescent="0.45">
      <c r="A541" s="2" t="s">
        <v>18046</v>
      </c>
      <c r="B541" s="2" t="s">
        <v>18047</v>
      </c>
      <c r="C541" s="2" t="s">
        <v>18048</v>
      </c>
      <c r="D541" s="2" t="s">
        <v>18049</v>
      </c>
      <c r="E541" s="2"/>
      <c r="F541" s="2" t="s">
        <v>18050</v>
      </c>
      <c r="G541" s="2" t="s">
        <v>18050</v>
      </c>
      <c r="H541" s="2" t="s">
        <v>72</v>
      </c>
      <c r="I541" s="2" t="s">
        <v>73</v>
      </c>
      <c r="J541" s="2" t="s">
        <v>6297</v>
      </c>
      <c r="K541" s="2" t="s">
        <v>18051</v>
      </c>
      <c r="L541" s="2"/>
      <c r="M541" s="2"/>
      <c r="N541" s="2"/>
      <c r="O541" s="2" t="s">
        <v>72</v>
      </c>
      <c r="P541" s="2" t="s">
        <v>73</v>
      </c>
      <c r="Q541" s="2" t="s">
        <v>6297</v>
      </c>
      <c r="R541" s="2" t="s">
        <v>18052</v>
      </c>
      <c r="S541" s="2" t="s">
        <v>44</v>
      </c>
      <c r="T541" s="2"/>
      <c r="U541" s="2" t="s">
        <v>45</v>
      </c>
      <c r="V541" s="2" t="s">
        <v>46</v>
      </c>
      <c r="W541" s="2" t="s">
        <v>45</v>
      </c>
      <c r="X541" s="2"/>
      <c r="Y541" s="2" t="s">
        <v>17795</v>
      </c>
      <c r="Z541" s="2" t="s">
        <v>49</v>
      </c>
      <c r="AA541" s="2">
        <v>80</v>
      </c>
      <c r="AB541" s="2">
        <v>45</v>
      </c>
      <c r="AC541" s="2" t="s">
        <v>9685</v>
      </c>
      <c r="AD541" s="2" t="s">
        <v>18053</v>
      </c>
      <c r="AE541" s="2"/>
      <c r="AF541" s="2" t="s">
        <v>17797</v>
      </c>
      <c r="AG541" s="2" t="s">
        <v>14290</v>
      </c>
    </row>
    <row r="542" spans="1:33" x14ac:dyDescent="0.45">
      <c r="A542" s="2" t="s">
        <v>18054</v>
      </c>
      <c r="B542" s="2" t="s">
        <v>18055</v>
      </c>
      <c r="C542" s="2" t="s">
        <v>18056</v>
      </c>
      <c r="D542" s="2" t="s">
        <v>18057</v>
      </c>
      <c r="E542" s="2"/>
      <c r="F542" s="2" t="s">
        <v>3629</v>
      </c>
      <c r="G542" s="2" t="s">
        <v>3629</v>
      </c>
      <c r="H542" s="2" t="s">
        <v>290</v>
      </c>
      <c r="I542" s="2" t="s">
        <v>278</v>
      </c>
      <c r="J542" s="2" t="s">
        <v>3630</v>
      </c>
      <c r="K542" s="2"/>
      <c r="L542" s="2"/>
      <c r="M542" s="2"/>
      <c r="N542" s="2"/>
      <c r="O542" s="2"/>
      <c r="P542" s="2"/>
      <c r="Q542" s="2"/>
      <c r="R542" s="2" t="s">
        <v>18058</v>
      </c>
      <c r="S542" s="2" t="s">
        <v>44</v>
      </c>
      <c r="T542" s="2"/>
      <c r="U542" s="2" t="s">
        <v>45</v>
      </c>
      <c r="V542" s="2" t="s">
        <v>46</v>
      </c>
      <c r="W542" s="2" t="s">
        <v>45</v>
      </c>
      <c r="X542" s="2"/>
      <c r="Y542" s="2" t="s">
        <v>17795</v>
      </c>
      <c r="Z542" s="2" t="s">
        <v>49</v>
      </c>
      <c r="AA542" s="2">
        <v>80</v>
      </c>
      <c r="AB542" s="2">
        <v>45</v>
      </c>
      <c r="AC542" s="2" t="s">
        <v>9685</v>
      </c>
      <c r="AD542" s="2" t="s">
        <v>18059</v>
      </c>
      <c r="AE542" s="2"/>
      <c r="AF542" s="2" t="s">
        <v>17797</v>
      </c>
      <c r="AG542" s="2" t="s">
        <v>14290</v>
      </c>
    </row>
    <row r="543" spans="1:33" x14ac:dyDescent="0.45">
      <c r="A543" s="2" t="s">
        <v>18060</v>
      </c>
      <c r="B543" s="2" t="s">
        <v>18061</v>
      </c>
      <c r="C543" s="2" t="s">
        <v>18062</v>
      </c>
      <c r="D543" s="2" t="s">
        <v>18063</v>
      </c>
      <c r="E543" s="2"/>
      <c r="F543" s="2" t="s">
        <v>18064</v>
      </c>
      <c r="G543" s="2" t="s">
        <v>18064</v>
      </c>
      <c r="H543" s="2" t="s">
        <v>72</v>
      </c>
      <c r="I543" s="2" t="s">
        <v>73</v>
      </c>
      <c r="J543" s="2" t="s">
        <v>74</v>
      </c>
      <c r="K543" s="2" t="s">
        <v>18065</v>
      </c>
      <c r="L543" s="2"/>
      <c r="M543" s="2"/>
      <c r="N543" s="2"/>
      <c r="O543" s="2" t="s">
        <v>72</v>
      </c>
      <c r="P543" s="2" t="s">
        <v>73</v>
      </c>
      <c r="Q543" s="2" t="s">
        <v>74</v>
      </c>
      <c r="R543" s="2" t="s">
        <v>18066</v>
      </c>
      <c r="S543" s="2" t="s">
        <v>44</v>
      </c>
      <c r="T543" s="2"/>
      <c r="U543" s="2" t="s">
        <v>45</v>
      </c>
      <c r="V543" s="2" t="s">
        <v>46</v>
      </c>
      <c r="W543" s="2" t="s">
        <v>45</v>
      </c>
      <c r="X543" s="2"/>
      <c r="Y543" s="2" t="s">
        <v>17795</v>
      </c>
      <c r="Z543" s="2" t="s">
        <v>49</v>
      </c>
      <c r="AA543" s="2">
        <v>80</v>
      </c>
      <c r="AB543" s="2">
        <v>45</v>
      </c>
      <c r="AC543" s="2" t="s">
        <v>9685</v>
      </c>
      <c r="AD543" s="2" t="s">
        <v>18067</v>
      </c>
      <c r="AE543" s="2"/>
      <c r="AF543" s="2" t="s">
        <v>17797</v>
      </c>
      <c r="AG543" s="2" t="s">
        <v>14290</v>
      </c>
    </row>
    <row r="544" spans="1:33" x14ac:dyDescent="0.45">
      <c r="A544" s="2" t="s">
        <v>18068</v>
      </c>
      <c r="B544" s="2" t="s">
        <v>18069</v>
      </c>
      <c r="C544" s="2" t="s">
        <v>18070</v>
      </c>
      <c r="D544" s="2" t="s">
        <v>18071</v>
      </c>
      <c r="E544" s="2"/>
      <c r="F544" s="2" t="s">
        <v>18072</v>
      </c>
      <c r="G544" s="2" t="s">
        <v>18072</v>
      </c>
      <c r="H544" s="2" t="s">
        <v>72</v>
      </c>
      <c r="I544" s="2" t="s">
        <v>73</v>
      </c>
      <c r="J544" s="2" t="s">
        <v>464</v>
      </c>
      <c r="K544" s="2" t="s">
        <v>18073</v>
      </c>
      <c r="L544" s="2"/>
      <c r="M544" s="2"/>
      <c r="N544" s="2"/>
      <c r="O544" s="2" t="s">
        <v>72</v>
      </c>
      <c r="P544" s="2" t="s">
        <v>73</v>
      </c>
      <c r="Q544" s="2" t="s">
        <v>464</v>
      </c>
      <c r="R544" s="2" t="s">
        <v>4041</v>
      </c>
      <c r="S544" s="2" t="s">
        <v>44</v>
      </c>
      <c r="T544" s="2"/>
      <c r="U544" s="2" t="s">
        <v>45</v>
      </c>
      <c r="V544" s="2" t="s">
        <v>46</v>
      </c>
      <c r="W544" s="2" t="s">
        <v>45</v>
      </c>
      <c r="X544" s="2"/>
      <c r="Y544" s="2" t="s">
        <v>17795</v>
      </c>
      <c r="Z544" s="2" t="s">
        <v>49</v>
      </c>
      <c r="AA544" s="2">
        <v>80</v>
      </c>
      <c r="AB544" s="2">
        <v>45</v>
      </c>
      <c r="AC544" s="2" t="s">
        <v>9685</v>
      </c>
      <c r="AD544" s="2" t="s">
        <v>18074</v>
      </c>
      <c r="AE544" s="2"/>
      <c r="AF544" s="2" t="s">
        <v>17797</v>
      </c>
      <c r="AG544" s="2" t="s">
        <v>14290</v>
      </c>
    </row>
    <row r="545" spans="1:33" x14ac:dyDescent="0.45">
      <c r="A545" s="2" t="s">
        <v>6688</v>
      </c>
      <c r="B545" s="2" t="s">
        <v>18075</v>
      </c>
      <c r="C545" s="2" t="s">
        <v>18076</v>
      </c>
      <c r="D545" s="2" t="s">
        <v>18077</v>
      </c>
      <c r="E545" s="2"/>
      <c r="F545" s="2" t="s">
        <v>18078</v>
      </c>
      <c r="G545" s="2" t="s">
        <v>18078</v>
      </c>
      <c r="H545" s="2" t="s">
        <v>174</v>
      </c>
      <c r="I545" s="2" t="s">
        <v>175</v>
      </c>
      <c r="J545" s="2" t="s">
        <v>772</v>
      </c>
      <c r="K545" s="2" t="s">
        <v>18079</v>
      </c>
      <c r="L545" s="2"/>
      <c r="M545" s="2"/>
      <c r="N545" s="2"/>
      <c r="O545" s="2" t="s">
        <v>174</v>
      </c>
      <c r="P545" s="2" t="s">
        <v>175</v>
      </c>
      <c r="Q545" s="2" t="s">
        <v>772</v>
      </c>
      <c r="R545" s="2" t="s">
        <v>18080</v>
      </c>
      <c r="S545" s="2" t="s">
        <v>44</v>
      </c>
      <c r="T545" s="2"/>
      <c r="U545" s="2" t="s">
        <v>45</v>
      </c>
      <c r="V545" s="2" t="s">
        <v>199</v>
      </c>
      <c r="W545" s="2" t="s">
        <v>45</v>
      </c>
      <c r="X545" s="2"/>
      <c r="Y545" s="2" t="s">
        <v>17795</v>
      </c>
      <c r="Z545" s="2" t="s">
        <v>49</v>
      </c>
      <c r="AA545" s="2">
        <v>80</v>
      </c>
      <c r="AB545" s="2">
        <v>45</v>
      </c>
      <c r="AC545" s="2" t="s">
        <v>9685</v>
      </c>
      <c r="AD545" s="2" t="s">
        <v>18081</v>
      </c>
      <c r="AE545" s="2"/>
      <c r="AF545" s="2" t="s">
        <v>17797</v>
      </c>
      <c r="AG545" s="2" t="s">
        <v>14290</v>
      </c>
    </row>
    <row r="546" spans="1:33" x14ac:dyDescent="0.45">
      <c r="A546" s="2" t="s">
        <v>18082</v>
      </c>
      <c r="B546" s="2" t="s">
        <v>18083</v>
      </c>
      <c r="C546" s="2" t="s">
        <v>18084</v>
      </c>
      <c r="D546" s="2" t="s">
        <v>18085</v>
      </c>
      <c r="E546" s="2"/>
      <c r="F546" s="2" t="s">
        <v>18086</v>
      </c>
      <c r="G546" s="2" t="s">
        <v>18086</v>
      </c>
      <c r="H546" s="2" t="s">
        <v>72</v>
      </c>
      <c r="I546" s="2" t="s">
        <v>73</v>
      </c>
      <c r="J546" s="2" t="s">
        <v>830</v>
      </c>
      <c r="K546" s="2" t="s">
        <v>18087</v>
      </c>
      <c r="L546" s="2"/>
      <c r="M546" s="2"/>
      <c r="N546" s="2"/>
      <c r="O546" s="2" t="s">
        <v>72</v>
      </c>
      <c r="P546" s="2" t="s">
        <v>73</v>
      </c>
      <c r="Q546" s="2" t="s">
        <v>98</v>
      </c>
      <c r="R546" s="2" t="s">
        <v>18088</v>
      </c>
      <c r="S546" s="2" t="s">
        <v>44</v>
      </c>
      <c r="T546" s="2"/>
      <c r="U546" s="2" t="s">
        <v>45</v>
      </c>
      <c r="V546" s="2" t="s">
        <v>46</v>
      </c>
      <c r="W546" s="2" t="s">
        <v>45</v>
      </c>
      <c r="X546" s="2"/>
      <c r="Y546" s="2" t="s">
        <v>17795</v>
      </c>
      <c r="Z546" s="2" t="s">
        <v>49</v>
      </c>
      <c r="AA546" s="2">
        <v>80</v>
      </c>
      <c r="AB546" s="2">
        <v>45</v>
      </c>
      <c r="AC546" s="2" t="s">
        <v>9685</v>
      </c>
      <c r="AD546" s="2" t="s">
        <v>18089</v>
      </c>
      <c r="AE546" s="2"/>
      <c r="AF546" s="2" t="s">
        <v>17797</v>
      </c>
      <c r="AG546" s="2" t="s">
        <v>14290</v>
      </c>
    </row>
    <row r="547" spans="1:33" x14ac:dyDescent="0.45">
      <c r="A547" s="2" t="s">
        <v>6458</v>
      </c>
      <c r="B547" s="2" t="s">
        <v>18090</v>
      </c>
      <c r="C547" s="2" t="s">
        <v>18091</v>
      </c>
      <c r="D547" s="2" t="s">
        <v>18092</v>
      </c>
      <c r="E547" s="2"/>
      <c r="F547" s="2" t="s">
        <v>18093</v>
      </c>
      <c r="G547" s="2" t="s">
        <v>18093</v>
      </c>
      <c r="H547" s="2" t="s">
        <v>72</v>
      </c>
      <c r="I547" s="2" t="s">
        <v>73</v>
      </c>
      <c r="J547" s="2" t="s">
        <v>1568</v>
      </c>
      <c r="K547" s="2" t="s">
        <v>18092</v>
      </c>
      <c r="L547" s="2"/>
      <c r="M547" s="2"/>
      <c r="N547" s="2"/>
      <c r="O547" s="2" t="s">
        <v>72</v>
      </c>
      <c r="P547" s="2" t="s">
        <v>73</v>
      </c>
      <c r="Q547" s="2" t="s">
        <v>1568</v>
      </c>
      <c r="R547" s="2" t="s">
        <v>14639</v>
      </c>
      <c r="S547" s="2" t="s">
        <v>44</v>
      </c>
      <c r="T547" s="2"/>
      <c r="U547" s="2" t="s">
        <v>45</v>
      </c>
      <c r="V547" s="2" t="s">
        <v>199</v>
      </c>
      <c r="W547" s="2" t="s">
        <v>45</v>
      </c>
      <c r="X547" s="2"/>
      <c r="Y547" s="2" t="s">
        <v>17795</v>
      </c>
      <c r="Z547" s="2" t="s">
        <v>49</v>
      </c>
      <c r="AA547" s="2">
        <v>80</v>
      </c>
      <c r="AB547" s="2">
        <v>45</v>
      </c>
      <c r="AC547" s="2" t="s">
        <v>9685</v>
      </c>
      <c r="AD547" s="2" t="s">
        <v>18094</v>
      </c>
      <c r="AE547" s="2"/>
      <c r="AF547" s="2" t="s">
        <v>17797</v>
      </c>
      <c r="AG547" s="2" t="s">
        <v>14290</v>
      </c>
    </row>
    <row r="548" spans="1:33" x14ac:dyDescent="0.45">
      <c r="A548" s="2" t="s">
        <v>18095</v>
      </c>
      <c r="B548" s="2" t="s">
        <v>18096</v>
      </c>
      <c r="C548" s="2" t="s">
        <v>18097</v>
      </c>
      <c r="D548" s="2" t="s">
        <v>18098</v>
      </c>
      <c r="E548" s="2"/>
      <c r="F548" s="2" t="s">
        <v>18099</v>
      </c>
      <c r="G548" s="2" t="s">
        <v>18099</v>
      </c>
      <c r="H548" s="2" t="s">
        <v>72</v>
      </c>
      <c r="I548" s="2" t="s">
        <v>73</v>
      </c>
      <c r="J548" s="2" t="s">
        <v>187</v>
      </c>
      <c r="K548" s="2" t="s">
        <v>18100</v>
      </c>
      <c r="L548" s="2"/>
      <c r="M548" s="2"/>
      <c r="N548" s="2"/>
      <c r="O548" s="2" t="s">
        <v>72</v>
      </c>
      <c r="P548" s="2" t="s">
        <v>73</v>
      </c>
      <c r="Q548" s="2" t="s">
        <v>187</v>
      </c>
      <c r="R548" s="2" t="s">
        <v>6348</v>
      </c>
      <c r="S548" s="2" t="s">
        <v>44</v>
      </c>
      <c r="T548" s="2"/>
      <c r="U548" s="2" t="s">
        <v>45</v>
      </c>
      <c r="V548" s="2" t="s">
        <v>46</v>
      </c>
      <c r="W548" s="2" t="s">
        <v>45</v>
      </c>
      <c r="X548" s="2"/>
      <c r="Y548" s="2" t="s">
        <v>17795</v>
      </c>
      <c r="Z548" s="2" t="s">
        <v>49</v>
      </c>
      <c r="AA548" s="2">
        <v>80</v>
      </c>
      <c r="AB548" s="2">
        <v>45</v>
      </c>
      <c r="AC548" s="2" t="s">
        <v>9685</v>
      </c>
      <c r="AD548" s="2" t="s">
        <v>18101</v>
      </c>
      <c r="AE548" s="2"/>
      <c r="AF548" s="2" t="s">
        <v>17797</v>
      </c>
      <c r="AG548" s="2" t="s">
        <v>14290</v>
      </c>
    </row>
    <row r="549" spans="1:33" x14ac:dyDescent="0.45">
      <c r="A549" s="2" t="s">
        <v>18102</v>
      </c>
      <c r="B549" s="2" t="s">
        <v>18103</v>
      </c>
      <c r="C549" s="2" t="s">
        <v>18104</v>
      </c>
      <c r="D549" s="2" t="s">
        <v>18105</v>
      </c>
      <c r="E549" s="2"/>
      <c r="F549" s="2" t="s">
        <v>18106</v>
      </c>
      <c r="G549" s="2" t="s">
        <v>18106</v>
      </c>
      <c r="H549" s="2" t="s">
        <v>72</v>
      </c>
      <c r="I549" s="2" t="s">
        <v>73</v>
      </c>
      <c r="J549" s="2" t="s">
        <v>484</v>
      </c>
      <c r="K549" s="2" t="s">
        <v>18107</v>
      </c>
      <c r="L549" s="2"/>
      <c r="M549" s="2"/>
      <c r="N549" s="2"/>
      <c r="O549" s="2" t="s">
        <v>72</v>
      </c>
      <c r="P549" s="2" t="s">
        <v>73</v>
      </c>
      <c r="Q549" s="2" t="s">
        <v>484</v>
      </c>
      <c r="R549" s="2" t="s">
        <v>6502</v>
      </c>
      <c r="S549" s="2" t="s">
        <v>44</v>
      </c>
      <c r="T549" s="2"/>
      <c r="U549" s="2" t="s">
        <v>45</v>
      </c>
      <c r="V549" s="2" t="s">
        <v>46</v>
      </c>
      <c r="W549" s="2" t="s">
        <v>45</v>
      </c>
      <c r="X549" s="2"/>
      <c r="Y549" s="2" t="s">
        <v>17795</v>
      </c>
      <c r="Z549" s="2" t="s">
        <v>49</v>
      </c>
      <c r="AA549" s="2">
        <v>80</v>
      </c>
      <c r="AB549" s="2">
        <v>45</v>
      </c>
      <c r="AC549" s="2" t="s">
        <v>9685</v>
      </c>
      <c r="AD549" s="2" t="s">
        <v>18108</v>
      </c>
      <c r="AE549" s="2"/>
      <c r="AF549" s="2" t="s">
        <v>17797</v>
      </c>
      <c r="AG549" s="2" t="s">
        <v>14290</v>
      </c>
    </row>
    <row r="550" spans="1:33" x14ac:dyDescent="0.45">
      <c r="A550" s="2" t="s">
        <v>18109</v>
      </c>
      <c r="B550" s="2" t="s">
        <v>18110</v>
      </c>
      <c r="C550" s="2" t="s">
        <v>18111</v>
      </c>
      <c r="D550" s="2" t="s">
        <v>18112</v>
      </c>
      <c r="E550" s="2"/>
      <c r="F550" s="2" t="s">
        <v>18113</v>
      </c>
      <c r="G550" s="2" t="s">
        <v>18113</v>
      </c>
      <c r="H550" s="2" t="s">
        <v>72</v>
      </c>
      <c r="I550" s="2" t="s">
        <v>73</v>
      </c>
      <c r="J550" s="2" t="s">
        <v>1164</v>
      </c>
      <c r="K550" s="2" t="s">
        <v>18114</v>
      </c>
      <c r="L550" s="2"/>
      <c r="M550" s="2"/>
      <c r="N550" s="2"/>
      <c r="O550" s="2" t="s">
        <v>72</v>
      </c>
      <c r="P550" s="2" t="s">
        <v>73</v>
      </c>
      <c r="Q550" s="2" t="s">
        <v>1164</v>
      </c>
      <c r="R550" s="2" t="s">
        <v>6555</v>
      </c>
      <c r="S550" s="2" t="s">
        <v>44</v>
      </c>
      <c r="T550" s="2"/>
      <c r="U550" s="2" t="s">
        <v>45</v>
      </c>
      <c r="V550" s="2" t="s">
        <v>46</v>
      </c>
      <c r="W550" s="2" t="s">
        <v>45</v>
      </c>
      <c r="X550" s="2"/>
      <c r="Y550" s="2" t="s">
        <v>17795</v>
      </c>
      <c r="Z550" s="2" t="s">
        <v>49</v>
      </c>
      <c r="AA550" s="2">
        <v>80</v>
      </c>
      <c r="AB550" s="2">
        <v>45</v>
      </c>
      <c r="AC550" s="2" t="s">
        <v>9685</v>
      </c>
      <c r="AD550" s="2" t="s">
        <v>18115</v>
      </c>
      <c r="AE550" s="2"/>
      <c r="AF550" s="2" t="s">
        <v>17797</v>
      </c>
      <c r="AG550" s="2" t="s">
        <v>14290</v>
      </c>
    </row>
    <row r="551" spans="1:33" x14ac:dyDescent="0.45">
      <c r="A551" s="2" t="s">
        <v>18116</v>
      </c>
      <c r="B551" s="2" t="s">
        <v>18117</v>
      </c>
      <c r="C551" s="2" t="s">
        <v>18118</v>
      </c>
      <c r="D551" s="2" t="s">
        <v>18119</v>
      </c>
      <c r="E551" s="2"/>
      <c r="F551" s="2" t="s">
        <v>18120</v>
      </c>
      <c r="G551" s="2" t="s">
        <v>18120</v>
      </c>
      <c r="H551" s="2" t="s">
        <v>72</v>
      </c>
      <c r="I551" s="2" t="s">
        <v>73</v>
      </c>
      <c r="J551" s="2" t="s">
        <v>464</v>
      </c>
      <c r="K551" s="2" t="s">
        <v>18121</v>
      </c>
      <c r="L551" s="2"/>
      <c r="M551" s="2"/>
      <c r="N551" s="2"/>
      <c r="O551" s="2" t="s">
        <v>72</v>
      </c>
      <c r="P551" s="2" t="s">
        <v>73</v>
      </c>
      <c r="Q551" s="2" t="s">
        <v>1896</v>
      </c>
      <c r="R551" s="2" t="s">
        <v>18122</v>
      </c>
      <c r="S551" s="2" t="s">
        <v>44</v>
      </c>
      <c r="T551" s="2"/>
      <c r="U551" s="2" t="s">
        <v>45</v>
      </c>
      <c r="V551" s="2" t="s">
        <v>46</v>
      </c>
      <c r="W551" s="2" t="s">
        <v>45</v>
      </c>
      <c r="X551" s="2"/>
      <c r="Y551" s="2" t="s">
        <v>17795</v>
      </c>
      <c r="Z551" s="2" t="s">
        <v>49</v>
      </c>
      <c r="AA551" s="2">
        <v>80</v>
      </c>
      <c r="AB551" s="2">
        <v>45</v>
      </c>
      <c r="AC551" s="2" t="s">
        <v>9685</v>
      </c>
      <c r="AD551" s="2" t="s">
        <v>18123</v>
      </c>
      <c r="AE551" s="2"/>
      <c r="AF551" s="2" t="s">
        <v>17797</v>
      </c>
      <c r="AG551" s="2" t="s">
        <v>14290</v>
      </c>
    </row>
    <row r="552" spans="1:33" x14ac:dyDescent="0.45">
      <c r="A552" s="2" t="s">
        <v>18124</v>
      </c>
      <c r="B552" s="2" t="s">
        <v>18125</v>
      </c>
      <c r="C552" s="2" t="s">
        <v>18126</v>
      </c>
      <c r="D552" s="2" t="s">
        <v>972</v>
      </c>
      <c r="E552" s="2"/>
      <c r="F552" s="2" t="s">
        <v>18127</v>
      </c>
      <c r="G552" s="2" t="s">
        <v>18127</v>
      </c>
      <c r="H552" s="2" t="s">
        <v>72</v>
      </c>
      <c r="I552" s="2" t="s">
        <v>73</v>
      </c>
      <c r="J552" s="2" t="s">
        <v>464</v>
      </c>
      <c r="K552" s="2" t="s">
        <v>18128</v>
      </c>
      <c r="L552" s="2"/>
      <c r="M552" s="2"/>
      <c r="N552" s="2"/>
      <c r="O552" s="2" t="s">
        <v>174</v>
      </c>
      <c r="P552" s="2" t="s">
        <v>175</v>
      </c>
      <c r="Q552" s="2" t="s">
        <v>18129</v>
      </c>
      <c r="R552" s="2" t="s">
        <v>6644</v>
      </c>
      <c r="S552" s="2" t="s">
        <v>44</v>
      </c>
      <c r="T552" s="2"/>
      <c r="U552" s="2" t="s">
        <v>45</v>
      </c>
      <c r="V552" s="2" t="s">
        <v>46</v>
      </c>
      <c r="W552" s="2" t="s">
        <v>45</v>
      </c>
      <c r="X552" s="2"/>
      <c r="Y552" s="2" t="s">
        <v>17795</v>
      </c>
      <c r="Z552" s="2" t="s">
        <v>49</v>
      </c>
      <c r="AA552" s="2">
        <v>80</v>
      </c>
      <c r="AB552" s="2">
        <v>45</v>
      </c>
      <c r="AC552" s="2" t="s">
        <v>9685</v>
      </c>
      <c r="AD552" s="2" t="s">
        <v>18130</v>
      </c>
      <c r="AE552" s="2"/>
      <c r="AF552" s="2" t="s">
        <v>17797</v>
      </c>
      <c r="AG552" s="2" t="s">
        <v>14290</v>
      </c>
    </row>
    <row r="553" spans="1:33" x14ac:dyDescent="0.45">
      <c r="A553" s="2" t="s">
        <v>18131</v>
      </c>
      <c r="B553" s="2" t="s">
        <v>18132</v>
      </c>
      <c r="C553" s="2" t="s">
        <v>18133</v>
      </c>
      <c r="D553" s="2" t="s">
        <v>18134</v>
      </c>
      <c r="E553" s="2"/>
      <c r="F553" s="2" t="s">
        <v>18135</v>
      </c>
      <c r="G553" s="2" t="s">
        <v>18135</v>
      </c>
      <c r="H553" s="2" t="s">
        <v>72</v>
      </c>
      <c r="I553" s="2" t="s">
        <v>73</v>
      </c>
      <c r="J553" s="2" t="s">
        <v>484</v>
      </c>
      <c r="K553" s="2" t="s">
        <v>18136</v>
      </c>
      <c r="L553" s="2"/>
      <c r="M553" s="2"/>
      <c r="N553" s="2"/>
      <c r="O553" s="2" t="s">
        <v>72</v>
      </c>
      <c r="P553" s="2" t="s">
        <v>73</v>
      </c>
      <c r="Q553" s="2" t="s">
        <v>3571</v>
      </c>
      <c r="R553" s="2" t="s">
        <v>17881</v>
      </c>
      <c r="S553" s="2" t="s">
        <v>44</v>
      </c>
      <c r="T553" s="2"/>
      <c r="U553" s="2" t="s">
        <v>45</v>
      </c>
      <c r="V553" s="2" t="s">
        <v>46</v>
      </c>
      <c r="W553" s="2" t="s">
        <v>45</v>
      </c>
      <c r="X553" s="2"/>
      <c r="Y553" s="2" t="s">
        <v>17795</v>
      </c>
      <c r="Z553" s="2" t="s">
        <v>49</v>
      </c>
      <c r="AA553" s="2">
        <v>80</v>
      </c>
      <c r="AB553" s="2">
        <v>45</v>
      </c>
      <c r="AC553" s="2" t="s">
        <v>9685</v>
      </c>
      <c r="AD553" s="2" t="s">
        <v>18137</v>
      </c>
      <c r="AE553" s="2"/>
      <c r="AF553" s="2" t="s">
        <v>17797</v>
      </c>
      <c r="AG553" s="2" t="s">
        <v>14290</v>
      </c>
    </row>
    <row r="554" spans="1:33" x14ac:dyDescent="0.45">
      <c r="A554" s="2" t="s">
        <v>18138</v>
      </c>
      <c r="B554" s="2" t="s">
        <v>18139</v>
      </c>
      <c r="C554" s="2" t="s">
        <v>18140</v>
      </c>
      <c r="D554" s="2" t="s">
        <v>18141</v>
      </c>
      <c r="E554" s="2"/>
      <c r="F554" s="2" t="s">
        <v>18142</v>
      </c>
      <c r="G554" s="2" t="s">
        <v>18142</v>
      </c>
      <c r="H554" s="2" t="s">
        <v>72</v>
      </c>
      <c r="I554" s="2" t="s">
        <v>73</v>
      </c>
      <c r="J554" s="2" t="s">
        <v>1035</v>
      </c>
      <c r="K554" s="2" t="s">
        <v>18143</v>
      </c>
      <c r="L554" s="2"/>
      <c r="M554" s="2"/>
      <c r="N554" s="2"/>
      <c r="O554" s="2" t="s">
        <v>72</v>
      </c>
      <c r="P554" s="2" t="s">
        <v>73</v>
      </c>
      <c r="Q554" s="2" t="s">
        <v>1035</v>
      </c>
      <c r="R554" s="2" t="s">
        <v>18144</v>
      </c>
      <c r="S554" s="2" t="s">
        <v>44</v>
      </c>
      <c r="T554" s="2"/>
      <c r="U554" s="2" t="s">
        <v>45</v>
      </c>
      <c r="V554" s="2" t="s">
        <v>46</v>
      </c>
      <c r="W554" s="2" t="s">
        <v>45</v>
      </c>
      <c r="X554" s="2"/>
      <c r="Y554" s="2" t="s">
        <v>17795</v>
      </c>
      <c r="Z554" s="2" t="s">
        <v>49</v>
      </c>
      <c r="AA554" s="2">
        <v>80</v>
      </c>
      <c r="AB554" s="2">
        <v>45</v>
      </c>
      <c r="AC554" s="2" t="s">
        <v>9685</v>
      </c>
      <c r="AD554" s="2" t="s">
        <v>18145</v>
      </c>
      <c r="AE554" s="2"/>
      <c r="AF554" s="2" t="s">
        <v>17797</v>
      </c>
      <c r="AG554" s="2" t="s">
        <v>14290</v>
      </c>
    </row>
    <row r="555" spans="1:33" x14ac:dyDescent="0.45">
      <c r="A555" s="2" t="s">
        <v>18146</v>
      </c>
      <c r="B555" s="2" t="s">
        <v>18147</v>
      </c>
      <c r="C555" s="2" t="s">
        <v>748</v>
      </c>
      <c r="D555" s="2" t="s">
        <v>3693</v>
      </c>
      <c r="E555" s="2"/>
      <c r="F555" s="2" t="s">
        <v>18148</v>
      </c>
      <c r="G555" s="2" t="s">
        <v>18148</v>
      </c>
      <c r="H555" s="2" t="s">
        <v>72</v>
      </c>
      <c r="I555" s="2" t="s">
        <v>73</v>
      </c>
      <c r="J555" s="2" t="s">
        <v>140</v>
      </c>
      <c r="K555" s="2" t="s">
        <v>18149</v>
      </c>
      <c r="L555" s="2"/>
      <c r="M555" s="2"/>
      <c r="N555" s="2"/>
      <c r="O555" s="2" t="s">
        <v>72</v>
      </c>
      <c r="P555" s="2" t="s">
        <v>73</v>
      </c>
      <c r="Q555" s="2" t="s">
        <v>464</v>
      </c>
      <c r="R555" s="2" t="s">
        <v>18150</v>
      </c>
      <c r="S555" s="2" t="s">
        <v>44</v>
      </c>
      <c r="T555" s="2"/>
      <c r="U555" s="2" t="s">
        <v>45</v>
      </c>
      <c r="V555" s="2" t="s">
        <v>46</v>
      </c>
      <c r="W555" s="2" t="s">
        <v>45</v>
      </c>
      <c r="X555" s="2"/>
      <c r="Y555" s="2" t="s">
        <v>17795</v>
      </c>
      <c r="Z555" s="2" t="s">
        <v>49</v>
      </c>
      <c r="AA555" s="2">
        <v>80</v>
      </c>
      <c r="AB555" s="2">
        <v>45</v>
      </c>
      <c r="AC555" s="2" t="s">
        <v>9685</v>
      </c>
      <c r="AD555" s="2" t="s">
        <v>18151</v>
      </c>
      <c r="AE555" s="2"/>
      <c r="AF555" s="2" t="s">
        <v>17797</v>
      </c>
      <c r="AG555" s="2" t="s">
        <v>14290</v>
      </c>
    </row>
    <row r="556" spans="1:33" x14ac:dyDescent="0.45">
      <c r="A556" s="2" t="s">
        <v>18152</v>
      </c>
      <c r="B556" s="2" t="s">
        <v>18153</v>
      </c>
      <c r="C556" s="2" t="s">
        <v>18154</v>
      </c>
      <c r="D556" s="2" t="s">
        <v>18155</v>
      </c>
      <c r="E556" s="2"/>
      <c r="F556" s="2" t="s">
        <v>18156</v>
      </c>
      <c r="G556" s="2" t="s">
        <v>18156</v>
      </c>
      <c r="H556" s="2" t="s">
        <v>72</v>
      </c>
      <c r="I556" s="2" t="s">
        <v>73</v>
      </c>
      <c r="J556" s="2" t="s">
        <v>140</v>
      </c>
      <c r="K556" s="2" t="s">
        <v>18157</v>
      </c>
      <c r="L556" s="2"/>
      <c r="M556" s="2"/>
      <c r="N556" s="2"/>
      <c r="O556" s="2" t="s">
        <v>72</v>
      </c>
      <c r="P556" s="2" t="s">
        <v>73</v>
      </c>
      <c r="Q556" s="2" t="s">
        <v>140</v>
      </c>
      <c r="R556" s="2" t="s">
        <v>10579</v>
      </c>
      <c r="S556" s="2" t="s">
        <v>44</v>
      </c>
      <c r="T556" s="2"/>
      <c r="U556" s="2" t="s">
        <v>45</v>
      </c>
      <c r="V556" s="2" t="s">
        <v>46</v>
      </c>
      <c r="W556" s="2" t="s">
        <v>45</v>
      </c>
      <c r="X556" s="2"/>
      <c r="Y556" s="2" t="s">
        <v>17795</v>
      </c>
      <c r="Z556" s="2" t="s">
        <v>49</v>
      </c>
      <c r="AA556" s="2">
        <v>80</v>
      </c>
      <c r="AB556" s="2">
        <v>45</v>
      </c>
      <c r="AC556" s="2" t="s">
        <v>9685</v>
      </c>
      <c r="AD556" s="2" t="s">
        <v>18158</v>
      </c>
      <c r="AE556" s="2"/>
      <c r="AF556" s="2" t="s">
        <v>17797</v>
      </c>
      <c r="AG556" s="2" t="s">
        <v>14290</v>
      </c>
    </row>
    <row r="557" spans="1:33" x14ac:dyDescent="0.45">
      <c r="A557" s="2" t="s">
        <v>18159</v>
      </c>
      <c r="B557" s="2" t="s">
        <v>18160</v>
      </c>
      <c r="C557" s="2" t="s">
        <v>18161</v>
      </c>
      <c r="D557" s="2" t="s">
        <v>18162</v>
      </c>
      <c r="E557" s="2" t="s">
        <v>18163</v>
      </c>
      <c r="F557" s="2" t="s">
        <v>18164</v>
      </c>
      <c r="G557" s="2" t="s">
        <v>18164</v>
      </c>
      <c r="H557" s="2" t="s">
        <v>17696</v>
      </c>
      <c r="I557" s="2" t="s">
        <v>221</v>
      </c>
      <c r="J557" s="2" t="s">
        <v>18165</v>
      </c>
      <c r="K557" s="2" t="s">
        <v>18162</v>
      </c>
      <c r="L557" s="2"/>
      <c r="M557" s="2"/>
      <c r="N557" s="2"/>
      <c r="O557" s="2" t="s">
        <v>17696</v>
      </c>
      <c r="P557" s="2" t="s">
        <v>221</v>
      </c>
      <c r="Q557" s="2" t="s">
        <v>18165</v>
      </c>
      <c r="R557" s="2" t="s">
        <v>12874</v>
      </c>
      <c r="S557" s="2" t="s">
        <v>44</v>
      </c>
      <c r="T557" s="2"/>
      <c r="U557" s="2" t="s">
        <v>3527</v>
      </c>
      <c r="V557" s="2" t="s">
        <v>46</v>
      </c>
      <c r="W557" s="2" t="s">
        <v>3527</v>
      </c>
      <c r="X557" s="2" t="s">
        <v>10787</v>
      </c>
      <c r="Y557" s="2" t="s">
        <v>10801</v>
      </c>
      <c r="Z557" s="2" t="s">
        <v>15016</v>
      </c>
      <c r="AA557" s="2">
        <v>100</v>
      </c>
      <c r="AB557" s="2">
        <v>43</v>
      </c>
      <c r="AC557" s="2" t="s">
        <v>10789</v>
      </c>
      <c r="AD557" s="2" t="s">
        <v>18166</v>
      </c>
      <c r="AE557" s="2"/>
      <c r="AF557" s="2" t="s">
        <v>15018</v>
      </c>
      <c r="AG557" s="2" t="s">
        <v>14290</v>
      </c>
    </row>
    <row r="558" spans="1:33" x14ac:dyDescent="0.45">
      <c r="A558" s="2" t="s">
        <v>18167</v>
      </c>
      <c r="B558" s="2" t="s">
        <v>18168</v>
      </c>
      <c r="C558" s="2" t="s">
        <v>18169</v>
      </c>
      <c r="D558" s="2" t="s">
        <v>18170</v>
      </c>
      <c r="E558" s="2" t="s">
        <v>18171</v>
      </c>
      <c r="F558" s="2" t="s">
        <v>18172</v>
      </c>
      <c r="G558" s="2" t="s">
        <v>18172</v>
      </c>
      <c r="H558" s="2" t="s">
        <v>1136</v>
      </c>
      <c r="I558" s="2" t="s">
        <v>1137</v>
      </c>
      <c r="J558" s="2" t="s">
        <v>13439</v>
      </c>
      <c r="K558" s="2" t="s">
        <v>18170</v>
      </c>
      <c r="L558" s="2"/>
      <c r="M558" s="2"/>
      <c r="N558" s="2"/>
      <c r="O558" s="2" t="s">
        <v>1136</v>
      </c>
      <c r="P558" s="2" t="s">
        <v>1137</v>
      </c>
      <c r="Q558" s="2" t="s">
        <v>13439</v>
      </c>
      <c r="R558" s="2" t="s">
        <v>18173</v>
      </c>
      <c r="S558" s="2" t="s">
        <v>44</v>
      </c>
      <c r="T558" s="2"/>
      <c r="U558" s="2" t="s">
        <v>3527</v>
      </c>
      <c r="V558" s="2" t="s">
        <v>46</v>
      </c>
      <c r="W558" s="2" t="s">
        <v>3527</v>
      </c>
      <c r="X558" s="2" t="s">
        <v>10787</v>
      </c>
      <c r="Y558" s="2" t="s">
        <v>10801</v>
      </c>
      <c r="Z558" s="2" t="s">
        <v>15016</v>
      </c>
      <c r="AA558" s="2">
        <v>100</v>
      </c>
      <c r="AB558" s="2">
        <v>43</v>
      </c>
      <c r="AC558" s="2" t="s">
        <v>10789</v>
      </c>
      <c r="AD558" s="2" t="s">
        <v>18174</v>
      </c>
      <c r="AE558" s="2"/>
      <c r="AF558" s="2" t="s">
        <v>15018</v>
      </c>
      <c r="AG558" s="2" t="s">
        <v>14290</v>
      </c>
    </row>
    <row r="559" spans="1:33" x14ac:dyDescent="0.45">
      <c r="A559" s="2" t="s">
        <v>18175</v>
      </c>
      <c r="B559" s="2" t="s">
        <v>18176</v>
      </c>
      <c r="C559" s="2" t="s">
        <v>18177</v>
      </c>
      <c r="D559" s="2" t="s">
        <v>18178</v>
      </c>
      <c r="E559" s="2"/>
      <c r="F559" s="2" t="s">
        <v>18179</v>
      </c>
      <c r="G559" s="2" t="s">
        <v>18179</v>
      </c>
      <c r="H559" s="2" t="s">
        <v>8369</v>
      </c>
      <c r="I559" s="2" t="s">
        <v>1112</v>
      </c>
      <c r="J559" s="2" t="s">
        <v>8370</v>
      </c>
      <c r="K559" s="2" t="s">
        <v>18180</v>
      </c>
      <c r="L559" s="2"/>
      <c r="M559" s="2"/>
      <c r="N559" s="2"/>
      <c r="O559" s="2" t="s">
        <v>8369</v>
      </c>
      <c r="P559" s="2" t="s">
        <v>1112</v>
      </c>
      <c r="Q559" s="2" t="s">
        <v>8370</v>
      </c>
      <c r="R559" s="2" t="s">
        <v>18181</v>
      </c>
      <c r="S559" s="2" t="s">
        <v>44</v>
      </c>
      <c r="T559" s="2"/>
      <c r="U559" s="2" t="s">
        <v>45</v>
      </c>
      <c r="V559" s="2" t="s">
        <v>46</v>
      </c>
      <c r="W559" s="2" t="s">
        <v>45</v>
      </c>
      <c r="X559" s="2"/>
      <c r="Y559" s="2" t="s">
        <v>17795</v>
      </c>
      <c r="Z559" s="2" t="s">
        <v>49</v>
      </c>
      <c r="AA559" s="2">
        <v>80</v>
      </c>
      <c r="AB559" s="2">
        <v>40</v>
      </c>
      <c r="AC559" s="2" t="s">
        <v>10789</v>
      </c>
      <c r="AD559" s="2" t="s">
        <v>18182</v>
      </c>
      <c r="AE559" s="2"/>
      <c r="AF559" s="2" t="s">
        <v>17797</v>
      </c>
      <c r="AG559" s="2" t="s">
        <v>14290</v>
      </c>
    </row>
    <row r="560" spans="1:33" x14ac:dyDescent="0.45">
      <c r="A560" s="2" t="s">
        <v>18183</v>
      </c>
      <c r="B560" s="2" t="s">
        <v>18184</v>
      </c>
      <c r="C560" s="2" t="s">
        <v>18185</v>
      </c>
      <c r="D560" s="2" t="s">
        <v>18186</v>
      </c>
      <c r="E560" s="2" t="s">
        <v>18187</v>
      </c>
      <c r="F560" s="2"/>
      <c r="G560" s="2"/>
      <c r="H560" s="2" t="s">
        <v>72</v>
      </c>
      <c r="I560" s="2" t="s">
        <v>73</v>
      </c>
      <c r="J560" s="2" t="s">
        <v>464</v>
      </c>
      <c r="K560" s="2" t="s">
        <v>18186</v>
      </c>
      <c r="L560" s="2"/>
      <c r="M560" s="2"/>
      <c r="N560" s="2"/>
      <c r="O560" s="2" t="s">
        <v>72</v>
      </c>
      <c r="P560" s="2" t="s">
        <v>73</v>
      </c>
      <c r="Q560" s="2" t="s">
        <v>464</v>
      </c>
      <c r="R560" s="2" t="s">
        <v>13424</v>
      </c>
      <c r="S560" s="2" t="s">
        <v>44</v>
      </c>
      <c r="T560" s="2"/>
      <c r="U560" s="2" t="s">
        <v>3527</v>
      </c>
      <c r="V560" s="2" t="s">
        <v>46</v>
      </c>
      <c r="W560" s="2" t="s">
        <v>3527</v>
      </c>
      <c r="X560" s="2" t="s">
        <v>10787</v>
      </c>
      <c r="Y560" s="2" t="s">
        <v>10801</v>
      </c>
      <c r="Z560" s="2" t="s">
        <v>15016</v>
      </c>
      <c r="AA560" s="2">
        <v>90</v>
      </c>
      <c r="AB560" s="2">
        <v>38</v>
      </c>
      <c r="AC560" s="2" t="s">
        <v>10789</v>
      </c>
      <c r="AD560" s="2" t="s">
        <v>18188</v>
      </c>
      <c r="AE560" s="2"/>
      <c r="AF560" s="2" t="s">
        <v>15018</v>
      </c>
      <c r="AG560" s="2" t="s">
        <v>14290</v>
      </c>
    </row>
    <row r="561" spans="1:33" x14ac:dyDescent="0.45">
      <c r="A561" s="2" t="s">
        <v>18189</v>
      </c>
      <c r="B561" s="2" t="s">
        <v>18190</v>
      </c>
      <c r="C561" s="2" t="s">
        <v>18191</v>
      </c>
      <c r="D561" s="2" t="s">
        <v>18192</v>
      </c>
      <c r="E561" s="2" t="s">
        <v>18193</v>
      </c>
      <c r="F561" s="2"/>
      <c r="G561" s="2"/>
      <c r="H561" s="2" t="s">
        <v>59</v>
      </c>
      <c r="I561" s="2" t="s">
        <v>60</v>
      </c>
      <c r="J561" s="2" t="s">
        <v>108</v>
      </c>
      <c r="K561" s="2" t="s">
        <v>18194</v>
      </c>
      <c r="L561" s="2"/>
      <c r="M561" s="2"/>
      <c r="N561" s="2"/>
      <c r="O561" s="2" t="s">
        <v>59</v>
      </c>
      <c r="P561" s="2" t="s">
        <v>60</v>
      </c>
      <c r="Q561" s="2" t="s">
        <v>108</v>
      </c>
      <c r="R561" s="2" t="s">
        <v>7138</v>
      </c>
      <c r="S561" s="2" t="s">
        <v>44</v>
      </c>
      <c r="T561" s="2"/>
      <c r="U561" s="2" t="s">
        <v>3527</v>
      </c>
      <c r="V561" s="2" t="s">
        <v>46</v>
      </c>
      <c r="W561" s="2" t="s">
        <v>3527</v>
      </c>
      <c r="X561" s="2" t="s">
        <v>10787</v>
      </c>
      <c r="Y561" s="2" t="s">
        <v>10801</v>
      </c>
      <c r="Z561" s="2" t="s">
        <v>15016</v>
      </c>
      <c r="AA561" s="2">
        <v>90</v>
      </c>
      <c r="AB561" s="2">
        <v>38</v>
      </c>
      <c r="AC561" s="2" t="s">
        <v>10789</v>
      </c>
      <c r="AD561" s="2" t="s">
        <v>18195</v>
      </c>
      <c r="AE561" s="2"/>
      <c r="AF561" s="2" t="s">
        <v>15018</v>
      </c>
      <c r="AG561" s="2" t="s">
        <v>14290</v>
      </c>
    </row>
    <row r="562" spans="1:33" x14ac:dyDescent="0.45">
      <c r="A562" s="2" t="s">
        <v>18196</v>
      </c>
      <c r="B562" s="2" t="s">
        <v>18197</v>
      </c>
      <c r="C562" s="2" t="s">
        <v>18198</v>
      </c>
      <c r="D562" s="2" t="s">
        <v>18199</v>
      </c>
      <c r="E562" s="2"/>
      <c r="F562" s="2" t="s">
        <v>18200</v>
      </c>
      <c r="G562" s="2" t="s">
        <v>18200</v>
      </c>
      <c r="H562" s="2"/>
      <c r="I562" s="2" t="s">
        <v>1112</v>
      </c>
      <c r="J562" s="2" t="s">
        <v>2782</v>
      </c>
      <c r="K562" s="2" t="s">
        <v>18201</v>
      </c>
      <c r="L562" s="2"/>
      <c r="M562" s="2"/>
      <c r="N562" s="2"/>
      <c r="O562" s="2"/>
      <c r="P562" s="2" t="s">
        <v>1112</v>
      </c>
      <c r="Q562" s="2" t="s">
        <v>2782</v>
      </c>
      <c r="R562" s="2" t="s">
        <v>121</v>
      </c>
      <c r="S562" s="2" t="s">
        <v>44</v>
      </c>
      <c r="T562" s="2"/>
      <c r="U562" s="2" t="s">
        <v>45</v>
      </c>
      <c r="V562" s="2" t="s">
        <v>46</v>
      </c>
      <c r="W562" s="2" t="s">
        <v>45</v>
      </c>
      <c r="X562" s="2"/>
      <c r="Y562" s="2" t="s">
        <v>17795</v>
      </c>
      <c r="Z562" s="2" t="s">
        <v>49</v>
      </c>
      <c r="AA562" s="2">
        <v>65</v>
      </c>
      <c r="AB562" s="2">
        <v>35</v>
      </c>
      <c r="AC562" s="2" t="s">
        <v>10789</v>
      </c>
      <c r="AD562" s="2" t="s">
        <v>18202</v>
      </c>
      <c r="AE562" s="2"/>
      <c r="AF562" s="2" t="s">
        <v>17797</v>
      </c>
      <c r="AG562" s="2" t="s">
        <v>14290</v>
      </c>
    </row>
    <row r="563" spans="1:33" x14ac:dyDescent="0.45">
      <c r="A563" s="2" t="s">
        <v>18203</v>
      </c>
      <c r="B563" s="2" t="s">
        <v>18204</v>
      </c>
      <c r="C563" s="2" t="s">
        <v>18205</v>
      </c>
      <c r="D563" s="2" t="s">
        <v>18206</v>
      </c>
      <c r="E563" s="2" t="s">
        <v>18207</v>
      </c>
      <c r="F563" s="2"/>
      <c r="G563" s="2"/>
      <c r="H563" s="2" t="s">
        <v>17680</v>
      </c>
      <c r="I563" s="2" t="s">
        <v>17681</v>
      </c>
      <c r="J563" s="2" t="s">
        <v>18208</v>
      </c>
      <c r="K563" s="2" t="s">
        <v>18206</v>
      </c>
      <c r="L563" s="2"/>
      <c r="M563" s="2"/>
      <c r="N563" s="2"/>
      <c r="O563" s="2" t="s">
        <v>17680</v>
      </c>
      <c r="P563" s="2" t="s">
        <v>17681</v>
      </c>
      <c r="Q563" s="2" t="s">
        <v>18208</v>
      </c>
      <c r="R563" s="2" t="s">
        <v>9955</v>
      </c>
      <c r="S563" s="2" t="s">
        <v>44</v>
      </c>
      <c r="T563" s="2"/>
      <c r="U563" s="2" t="s">
        <v>3527</v>
      </c>
      <c r="V563" s="2" t="s">
        <v>46</v>
      </c>
      <c r="W563" s="2" t="s">
        <v>3527</v>
      </c>
      <c r="X563" s="2" t="s">
        <v>10787</v>
      </c>
      <c r="Y563" s="2" t="s">
        <v>10801</v>
      </c>
      <c r="Z563" s="2" t="s">
        <v>15016</v>
      </c>
      <c r="AA563" s="2">
        <v>90</v>
      </c>
      <c r="AB563" s="2">
        <v>33</v>
      </c>
      <c r="AC563" s="2" t="s">
        <v>10789</v>
      </c>
      <c r="AD563" s="2" t="s">
        <v>18209</v>
      </c>
      <c r="AE563" s="2"/>
      <c r="AF563" s="2" t="s">
        <v>15018</v>
      </c>
      <c r="AG563" s="2" t="s">
        <v>14290</v>
      </c>
    </row>
    <row r="564" spans="1:33" x14ac:dyDescent="0.45">
      <c r="A564" s="2" t="s">
        <v>18210</v>
      </c>
      <c r="B564" s="2" t="s">
        <v>18211</v>
      </c>
      <c r="C564" s="2" t="s">
        <v>18212</v>
      </c>
      <c r="D564" s="2" t="s">
        <v>18213</v>
      </c>
      <c r="E564" s="2" t="s">
        <v>18214</v>
      </c>
      <c r="F564" s="2"/>
      <c r="G564" s="2"/>
      <c r="H564" s="2" t="s">
        <v>1136</v>
      </c>
      <c r="I564" s="2" t="s">
        <v>1137</v>
      </c>
      <c r="J564" s="2" t="s">
        <v>18215</v>
      </c>
      <c r="K564" s="2" t="s">
        <v>18213</v>
      </c>
      <c r="L564" s="2"/>
      <c r="M564" s="2"/>
      <c r="N564" s="2"/>
      <c r="O564" s="2" t="s">
        <v>1136</v>
      </c>
      <c r="P564" s="2" t="s">
        <v>1137</v>
      </c>
      <c r="Q564" s="2" t="s">
        <v>18215</v>
      </c>
      <c r="R564" s="2" t="s">
        <v>13759</v>
      </c>
      <c r="S564" s="2" t="s">
        <v>44</v>
      </c>
      <c r="T564" s="2"/>
      <c r="U564" s="2" t="s">
        <v>3527</v>
      </c>
      <c r="V564" s="2" t="s">
        <v>46</v>
      </c>
      <c r="W564" s="2" t="s">
        <v>3527</v>
      </c>
      <c r="X564" s="2" t="s">
        <v>10787</v>
      </c>
      <c r="Y564" s="2" t="s">
        <v>10801</v>
      </c>
      <c r="Z564" s="2" t="s">
        <v>15016</v>
      </c>
      <c r="AA564" s="2">
        <v>90</v>
      </c>
      <c r="AB564" s="2">
        <v>33</v>
      </c>
      <c r="AC564" s="2" t="s">
        <v>10789</v>
      </c>
      <c r="AD564" s="2" t="s">
        <v>18216</v>
      </c>
      <c r="AE564" s="2"/>
      <c r="AF564" s="2" t="s">
        <v>15018</v>
      </c>
      <c r="AG564" s="2" t="s">
        <v>14290</v>
      </c>
    </row>
    <row r="565" spans="1:33" x14ac:dyDescent="0.45">
      <c r="A565" s="2" t="s">
        <v>18217</v>
      </c>
      <c r="B565" s="2" t="s">
        <v>18218</v>
      </c>
      <c r="C565" s="2" t="s">
        <v>18219</v>
      </c>
      <c r="D565" s="2" t="s">
        <v>18220</v>
      </c>
      <c r="E565" s="2" t="s">
        <v>18221</v>
      </c>
      <c r="F565" s="2"/>
      <c r="G565" s="2"/>
      <c r="H565" s="2" t="s">
        <v>220</v>
      </c>
      <c r="I565" s="2" t="s">
        <v>221</v>
      </c>
      <c r="J565" s="2" t="s">
        <v>18222</v>
      </c>
      <c r="K565" s="2" t="s">
        <v>18220</v>
      </c>
      <c r="L565" s="2"/>
      <c r="M565" s="2"/>
      <c r="N565" s="2"/>
      <c r="O565" s="2" t="s">
        <v>220</v>
      </c>
      <c r="P565" s="2" t="s">
        <v>221</v>
      </c>
      <c r="Q565" s="2" t="s">
        <v>18222</v>
      </c>
      <c r="R565" s="2" t="s">
        <v>10017</v>
      </c>
      <c r="S565" s="2" t="s">
        <v>44</v>
      </c>
      <c r="T565" s="2"/>
      <c r="U565" s="2" t="s">
        <v>3527</v>
      </c>
      <c r="V565" s="2" t="s">
        <v>46</v>
      </c>
      <c r="W565" s="2" t="s">
        <v>3527</v>
      </c>
      <c r="X565" s="2" t="s">
        <v>10787</v>
      </c>
      <c r="Y565" s="2" t="s">
        <v>10801</v>
      </c>
      <c r="Z565" s="2" t="s">
        <v>15016</v>
      </c>
      <c r="AA565" s="2">
        <v>90</v>
      </c>
      <c r="AB565" s="2">
        <v>33</v>
      </c>
      <c r="AC565" s="2" t="s">
        <v>10789</v>
      </c>
      <c r="AD565" s="2" t="s">
        <v>18223</v>
      </c>
      <c r="AE565" s="2"/>
      <c r="AF565" s="2" t="s">
        <v>15018</v>
      </c>
      <c r="AG565" s="2" t="s">
        <v>14290</v>
      </c>
    </row>
    <row r="566" spans="1:33" x14ac:dyDescent="0.45">
      <c r="A566" s="2" t="s">
        <v>18224</v>
      </c>
      <c r="B566" s="2" t="s">
        <v>18225</v>
      </c>
      <c r="C566" s="2" t="s">
        <v>18226</v>
      </c>
      <c r="D566" s="2" t="s">
        <v>18227</v>
      </c>
      <c r="E566" s="2" t="s">
        <v>18228</v>
      </c>
      <c r="F566" s="2"/>
      <c r="G566" s="2"/>
      <c r="H566" s="2" t="s">
        <v>13766</v>
      </c>
      <c r="I566" s="2" t="s">
        <v>1137</v>
      </c>
      <c r="J566" s="2" t="s">
        <v>18229</v>
      </c>
      <c r="K566" s="2" t="s">
        <v>18227</v>
      </c>
      <c r="L566" s="2"/>
      <c r="M566" s="2"/>
      <c r="N566" s="2"/>
      <c r="O566" s="2" t="s">
        <v>13766</v>
      </c>
      <c r="P566" s="2" t="s">
        <v>1137</v>
      </c>
      <c r="Q566" s="2" t="s">
        <v>18229</v>
      </c>
      <c r="R566" s="2" t="s">
        <v>7080</v>
      </c>
      <c r="S566" s="2" t="s">
        <v>44</v>
      </c>
      <c r="T566" s="2"/>
      <c r="U566" s="2" t="s">
        <v>3527</v>
      </c>
      <c r="V566" s="2" t="s">
        <v>46</v>
      </c>
      <c r="W566" s="2" t="s">
        <v>3527</v>
      </c>
      <c r="X566" s="2" t="s">
        <v>10787</v>
      </c>
      <c r="Y566" s="2" t="s">
        <v>10801</v>
      </c>
      <c r="Z566" s="2" t="s">
        <v>15016</v>
      </c>
      <c r="AA566" s="2">
        <v>90</v>
      </c>
      <c r="AB566" s="2">
        <v>33</v>
      </c>
      <c r="AC566" s="2" t="s">
        <v>10789</v>
      </c>
      <c r="AD566" s="2" t="s">
        <v>18230</v>
      </c>
      <c r="AE566" s="2"/>
      <c r="AF566" s="2" t="s">
        <v>15018</v>
      </c>
      <c r="AG566" s="2" t="s">
        <v>14290</v>
      </c>
    </row>
    <row r="567" spans="1:33" x14ac:dyDescent="0.45">
      <c r="A567" s="2" t="s">
        <v>18231</v>
      </c>
      <c r="B567" s="2" t="s">
        <v>18232</v>
      </c>
      <c r="C567" s="2" t="s">
        <v>18233</v>
      </c>
      <c r="D567" s="2" t="s">
        <v>18234</v>
      </c>
      <c r="E567" s="2"/>
      <c r="F567" s="2" t="s">
        <v>3562</v>
      </c>
      <c r="G567" s="2" t="s">
        <v>3562</v>
      </c>
      <c r="H567" s="2" t="s">
        <v>8599</v>
      </c>
      <c r="I567" s="2" t="s">
        <v>40</v>
      </c>
      <c r="J567" s="2" t="s">
        <v>18235</v>
      </c>
      <c r="K567" s="2"/>
      <c r="L567" s="2"/>
      <c r="M567" s="2"/>
      <c r="N567" s="2"/>
      <c r="O567" s="2"/>
      <c r="P567" s="2"/>
      <c r="Q567" s="2"/>
      <c r="R567" s="2" t="s">
        <v>733</v>
      </c>
      <c r="S567" s="2" t="s">
        <v>44</v>
      </c>
      <c r="T567" s="2"/>
      <c r="U567" s="2" t="s">
        <v>3527</v>
      </c>
      <c r="V567" s="2" t="s">
        <v>46</v>
      </c>
      <c r="W567" s="2" t="s">
        <v>3527</v>
      </c>
      <c r="X567" s="2"/>
      <c r="Y567" s="2" t="s">
        <v>17795</v>
      </c>
      <c r="Z567" s="2" t="s">
        <v>49</v>
      </c>
      <c r="AA567" s="2">
        <v>80</v>
      </c>
      <c r="AB567" s="2">
        <v>30</v>
      </c>
      <c r="AC567" s="2" t="s">
        <v>10789</v>
      </c>
      <c r="AD567" s="2" t="s">
        <v>18236</v>
      </c>
      <c r="AE567" s="2"/>
      <c r="AF567" s="2" t="s">
        <v>17797</v>
      </c>
      <c r="AG567" s="2" t="s">
        <v>14290</v>
      </c>
    </row>
    <row r="568" spans="1:33" x14ac:dyDescent="0.45">
      <c r="A568" s="2" t="s">
        <v>18237</v>
      </c>
      <c r="B568" s="2" t="s">
        <v>18238</v>
      </c>
      <c r="C568" s="2" t="s">
        <v>18239</v>
      </c>
      <c r="D568" s="2" t="s">
        <v>18240</v>
      </c>
      <c r="E568" s="2" t="s">
        <v>10796</v>
      </c>
      <c r="F568" s="2"/>
      <c r="G568" s="2"/>
      <c r="H568" s="2" t="s">
        <v>10798</v>
      </c>
      <c r="I568" s="2" t="s">
        <v>1176</v>
      </c>
      <c r="J568" s="2" t="s">
        <v>10799</v>
      </c>
      <c r="K568" s="2" t="s">
        <v>18240</v>
      </c>
      <c r="L568" s="2"/>
      <c r="M568" s="2"/>
      <c r="N568" s="2"/>
      <c r="O568" s="2" t="s">
        <v>10798</v>
      </c>
      <c r="P568" s="2" t="s">
        <v>1176</v>
      </c>
      <c r="Q568" s="2" t="s">
        <v>10799</v>
      </c>
      <c r="R568" s="2" t="s">
        <v>18241</v>
      </c>
      <c r="S568" s="2" t="s">
        <v>44</v>
      </c>
      <c r="T568" s="2"/>
      <c r="U568" s="2" t="s">
        <v>3527</v>
      </c>
      <c r="V568" s="2" t="s">
        <v>46</v>
      </c>
      <c r="W568" s="2" t="s">
        <v>3527</v>
      </c>
      <c r="X568" s="2" t="s">
        <v>10787</v>
      </c>
      <c r="Y568" s="2" t="s">
        <v>10801</v>
      </c>
      <c r="Z568" s="2" t="s">
        <v>7864</v>
      </c>
      <c r="AA568" s="2">
        <v>90</v>
      </c>
      <c r="AB568" s="2">
        <v>5</v>
      </c>
      <c r="AC568" s="2" t="s">
        <v>10789</v>
      </c>
      <c r="AD568" s="2" t="s">
        <v>10802</v>
      </c>
      <c r="AE568" s="2"/>
      <c r="AF568" s="2" t="s">
        <v>14289</v>
      </c>
      <c r="AG568" s="2" t="s">
        <v>14290</v>
      </c>
    </row>
  </sheetData>
  <autoFilter ref="A1:AG568" xr:uid="{00000000-0009-0000-0000-000001000000}"/>
  <conditionalFormatting sqref="AC2:AC568">
    <cfRule type="cellIs" dxfId="7" priority="2" operator="equal">
      <formula>"A - Contact First"</formula>
    </cfRule>
    <cfRule type="cellIs" dxfId="6" priority="3" operator="equal">
      <formula>"B - Good Lead"</formula>
    </cfRule>
    <cfRule type="cellIs" dxfId="5" priority="4" operator="equal">
      <formula>"C - Later"</formula>
    </cfRule>
    <cfRule type="cellIs" dxfId="4" priority="5" operator="equal">
      <formula>"D - Ignore"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457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26" customWidth="1"/>
    <col min="4" max="4" width="38" customWidth="1"/>
    <col min="5" max="5" width="26" customWidth="1"/>
    <col min="6" max="10" width="18" customWidth="1"/>
    <col min="11" max="11" width="38" customWidth="1"/>
    <col min="12" max="12" width="26" customWidth="1"/>
    <col min="13" max="23" width="18" customWidth="1"/>
    <col min="24" max="24" width="26" customWidth="1"/>
    <col min="25" max="29" width="18" customWidth="1"/>
    <col min="30" max="33" width="38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 s="2" t="s">
        <v>879</v>
      </c>
      <c r="B2" s="2" t="s">
        <v>18242</v>
      </c>
      <c r="C2" s="2" t="s">
        <v>18243</v>
      </c>
      <c r="D2" s="2" t="s">
        <v>18244</v>
      </c>
      <c r="E2" s="2" t="s">
        <v>18245</v>
      </c>
      <c r="F2" s="2" t="s">
        <v>18246</v>
      </c>
      <c r="G2" s="2"/>
      <c r="H2" s="2" t="s">
        <v>59</v>
      </c>
      <c r="I2" s="2" t="s">
        <v>60</v>
      </c>
      <c r="J2" s="2" t="s">
        <v>3971</v>
      </c>
      <c r="K2" s="2" t="s">
        <v>18247</v>
      </c>
      <c r="L2" s="2"/>
      <c r="M2" s="2"/>
      <c r="N2" s="2"/>
      <c r="O2" s="2" t="s">
        <v>72</v>
      </c>
      <c r="P2" s="2" t="s">
        <v>73</v>
      </c>
      <c r="Q2" s="2" t="s">
        <v>2665</v>
      </c>
      <c r="R2" s="2" t="s">
        <v>598</v>
      </c>
      <c r="S2" s="2" t="s">
        <v>18248</v>
      </c>
      <c r="T2" s="2"/>
      <c r="U2" s="2" t="s">
        <v>45</v>
      </c>
      <c r="V2" s="2" t="s">
        <v>199</v>
      </c>
      <c r="W2" s="2" t="s">
        <v>45</v>
      </c>
      <c r="X2" s="2" t="s">
        <v>886</v>
      </c>
      <c r="Y2" s="2" t="s">
        <v>48</v>
      </c>
      <c r="Z2" s="2" t="s">
        <v>49</v>
      </c>
      <c r="AA2" s="2">
        <v>100</v>
      </c>
      <c r="AB2" s="2">
        <v>100</v>
      </c>
      <c r="AC2" s="2" t="s">
        <v>50</v>
      </c>
      <c r="AD2" s="2" t="s">
        <v>887</v>
      </c>
      <c r="AE2" s="2" t="s">
        <v>18249</v>
      </c>
      <c r="AF2" s="2"/>
      <c r="AG2" s="2" t="s">
        <v>18250</v>
      </c>
    </row>
    <row r="3" spans="1:33" x14ac:dyDescent="0.45">
      <c r="A3" s="2" t="s">
        <v>18251</v>
      </c>
      <c r="B3" s="2" t="s">
        <v>18252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3537</v>
      </c>
      <c r="S3" s="2" t="s">
        <v>5678</v>
      </c>
      <c r="T3" s="2"/>
      <c r="U3" s="2" t="s">
        <v>45</v>
      </c>
      <c r="V3" s="2" t="s">
        <v>46</v>
      </c>
      <c r="W3" s="2" t="s">
        <v>45</v>
      </c>
      <c r="X3" s="2"/>
      <c r="Y3" s="2" t="s">
        <v>17795</v>
      </c>
      <c r="Z3" s="2" t="s">
        <v>49</v>
      </c>
      <c r="AA3" s="2">
        <v>25</v>
      </c>
      <c r="AB3" s="2">
        <v>5</v>
      </c>
      <c r="AC3" s="2" t="s">
        <v>10789</v>
      </c>
      <c r="AD3" s="2" t="s">
        <v>18253</v>
      </c>
      <c r="AE3" s="2" t="s">
        <v>18254</v>
      </c>
      <c r="AF3" s="2"/>
      <c r="AG3" s="2" t="s">
        <v>18250</v>
      </c>
    </row>
    <row r="4" spans="1:33" x14ac:dyDescent="0.45">
      <c r="A4" s="2" t="s">
        <v>18255</v>
      </c>
      <c r="B4" s="2" t="s">
        <v>18256</v>
      </c>
      <c r="C4" s="2" t="s">
        <v>18255</v>
      </c>
      <c r="D4" s="2" t="s">
        <v>18257</v>
      </c>
      <c r="E4" s="2" t="s">
        <v>18258</v>
      </c>
      <c r="F4" s="2"/>
      <c r="G4" s="2"/>
      <c r="H4" s="2" t="s">
        <v>72</v>
      </c>
      <c r="I4" s="2" t="s">
        <v>73</v>
      </c>
      <c r="J4" s="2" t="s">
        <v>1035</v>
      </c>
      <c r="K4" s="2" t="s">
        <v>18257</v>
      </c>
      <c r="L4" s="2"/>
      <c r="M4" s="2"/>
      <c r="N4" s="2"/>
      <c r="O4" s="2" t="s">
        <v>72</v>
      </c>
      <c r="P4" s="2" t="s">
        <v>73</v>
      </c>
      <c r="Q4" s="2" t="s">
        <v>1035</v>
      </c>
      <c r="R4" s="2" t="s">
        <v>973</v>
      </c>
      <c r="S4" s="2" t="s">
        <v>44</v>
      </c>
      <c r="T4" s="2"/>
      <c r="U4" s="2" t="s">
        <v>3527</v>
      </c>
      <c r="V4" s="2" t="s">
        <v>46</v>
      </c>
      <c r="W4" s="2" t="s">
        <v>3527</v>
      </c>
      <c r="X4" s="2" t="s">
        <v>10787</v>
      </c>
      <c r="Y4" s="2" t="s">
        <v>10801</v>
      </c>
      <c r="Z4" s="2" t="s">
        <v>7864</v>
      </c>
      <c r="AA4" s="2">
        <v>90</v>
      </c>
      <c r="AB4" s="2">
        <v>0</v>
      </c>
      <c r="AC4" s="2" t="s">
        <v>10789</v>
      </c>
      <c r="AD4" s="2" t="s">
        <v>18259</v>
      </c>
      <c r="AE4" s="2" t="s">
        <v>18260</v>
      </c>
      <c r="AF4" s="2"/>
      <c r="AG4" s="2" t="s">
        <v>18250</v>
      </c>
    </row>
    <row r="5" spans="1:33" x14ac:dyDescent="0.45">
      <c r="A5" s="2" t="s">
        <v>18261</v>
      </c>
      <c r="B5" s="2" t="s">
        <v>18262</v>
      </c>
      <c r="C5" s="2" t="s">
        <v>18261</v>
      </c>
      <c r="D5" s="2" t="s">
        <v>18263</v>
      </c>
      <c r="E5" s="2" t="s">
        <v>18264</v>
      </c>
      <c r="F5" s="2" t="s">
        <v>18265</v>
      </c>
      <c r="G5" s="2" t="s">
        <v>18265</v>
      </c>
      <c r="H5" s="2" t="s">
        <v>174</v>
      </c>
      <c r="I5" s="2" t="s">
        <v>175</v>
      </c>
      <c r="J5" s="2" t="s">
        <v>7013</v>
      </c>
      <c r="K5" s="2" t="s">
        <v>18263</v>
      </c>
      <c r="L5" s="2"/>
      <c r="M5" s="2"/>
      <c r="N5" s="2"/>
      <c r="O5" s="2" t="s">
        <v>174</v>
      </c>
      <c r="P5" s="2" t="s">
        <v>175</v>
      </c>
      <c r="Q5" s="2" t="s">
        <v>7013</v>
      </c>
      <c r="R5" s="2" t="s">
        <v>8601</v>
      </c>
      <c r="S5" s="2" t="s">
        <v>44</v>
      </c>
      <c r="T5" s="2"/>
      <c r="U5" s="2" t="s">
        <v>3527</v>
      </c>
      <c r="V5" s="2" t="s">
        <v>46</v>
      </c>
      <c r="W5" s="2" t="s">
        <v>3527</v>
      </c>
      <c r="X5" s="2" t="s">
        <v>10787</v>
      </c>
      <c r="Y5" s="2" t="s">
        <v>10801</v>
      </c>
      <c r="Z5" s="2" t="s">
        <v>7864</v>
      </c>
      <c r="AA5" s="2">
        <v>100</v>
      </c>
      <c r="AB5" s="2">
        <v>10</v>
      </c>
      <c r="AC5" s="2" t="s">
        <v>10789</v>
      </c>
      <c r="AD5" s="2" t="s">
        <v>18266</v>
      </c>
      <c r="AE5" s="2" t="s">
        <v>18260</v>
      </c>
      <c r="AF5" s="2"/>
      <c r="AG5" s="2" t="s">
        <v>18250</v>
      </c>
    </row>
    <row r="6" spans="1:33" x14ac:dyDescent="0.45">
      <c r="A6" s="2" t="s">
        <v>18267</v>
      </c>
      <c r="B6" s="2" t="s">
        <v>18268</v>
      </c>
      <c r="C6" s="2" t="s">
        <v>18269</v>
      </c>
      <c r="D6" s="2" t="s">
        <v>18270</v>
      </c>
      <c r="E6" s="2" t="s">
        <v>18271</v>
      </c>
      <c r="F6" s="2" t="s">
        <v>18272</v>
      </c>
      <c r="G6" s="2"/>
      <c r="H6" s="2" t="s">
        <v>9647</v>
      </c>
      <c r="I6" s="2" t="s">
        <v>73</v>
      </c>
      <c r="J6" s="2" t="s">
        <v>18273</v>
      </c>
      <c r="K6" s="2" t="s">
        <v>18270</v>
      </c>
      <c r="L6" s="2"/>
      <c r="M6" s="2"/>
      <c r="N6" s="2"/>
      <c r="O6" s="2" t="s">
        <v>9647</v>
      </c>
      <c r="P6" s="2" t="s">
        <v>73</v>
      </c>
      <c r="Q6" s="2" t="s">
        <v>18273</v>
      </c>
      <c r="R6" s="2" t="s">
        <v>5233</v>
      </c>
      <c r="S6" s="2" t="s">
        <v>44</v>
      </c>
      <c r="T6" s="2"/>
      <c r="U6" s="2" t="s">
        <v>3527</v>
      </c>
      <c r="V6" s="2" t="s">
        <v>46</v>
      </c>
      <c r="W6" s="2" t="s">
        <v>3527</v>
      </c>
      <c r="X6" s="2" t="s">
        <v>12462</v>
      </c>
      <c r="Y6" s="2" t="s">
        <v>10801</v>
      </c>
      <c r="Z6" s="2" t="s">
        <v>7864</v>
      </c>
      <c r="AA6" s="2">
        <v>100</v>
      </c>
      <c r="AB6" s="2">
        <v>5</v>
      </c>
      <c r="AC6" s="2" t="s">
        <v>10789</v>
      </c>
      <c r="AD6" s="2" t="s">
        <v>18274</v>
      </c>
      <c r="AE6" s="2" t="s">
        <v>18260</v>
      </c>
      <c r="AF6" s="2"/>
      <c r="AG6" s="2" t="s">
        <v>18250</v>
      </c>
    </row>
    <row r="7" spans="1:33" x14ac:dyDescent="0.45">
      <c r="A7" s="2" t="s">
        <v>18275</v>
      </c>
      <c r="B7" s="2" t="s">
        <v>18276</v>
      </c>
      <c r="C7" s="2" t="s">
        <v>18277</v>
      </c>
      <c r="D7" s="2" t="s">
        <v>18278</v>
      </c>
      <c r="E7" s="2" t="s">
        <v>18279</v>
      </c>
      <c r="F7" s="2" t="s">
        <v>18280</v>
      </c>
      <c r="G7" s="2"/>
      <c r="H7" s="2" t="s">
        <v>1136</v>
      </c>
      <c r="I7" s="2" t="s">
        <v>1137</v>
      </c>
      <c r="J7" s="2" t="s">
        <v>15772</v>
      </c>
      <c r="K7" s="2" t="s">
        <v>18278</v>
      </c>
      <c r="L7" s="2"/>
      <c r="M7" s="2"/>
      <c r="N7" s="2"/>
      <c r="O7" s="2" t="s">
        <v>1136</v>
      </c>
      <c r="P7" s="2" t="s">
        <v>1137</v>
      </c>
      <c r="Q7" s="2" t="s">
        <v>15772</v>
      </c>
      <c r="R7" s="2" t="s">
        <v>18281</v>
      </c>
      <c r="S7" s="2" t="s">
        <v>44</v>
      </c>
      <c r="T7" s="2"/>
      <c r="U7" s="2" t="s">
        <v>3527</v>
      </c>
      <c r="V7" s="2" t="s">
        <v>46</v>
      </c>
      <c r="W7" s="2" t="s">
        <v>3527</v>
      </c>
      <c r="X7" s="2" t="s">
        <v>10787</v>
      </c>
      <c r="Y7" s="2" t="s">
        <v>10801</v>
      </c>
      <c r="Z7" s="2" t="s">
        <v>7864</v>
      </c>
      <c r="AA7" s="2">
        <v>100</v>
      </c>
      <c r="AB7" s="2">
        <v>5</v>
      </c>
      <c r="AC7" s="2" t="s">
        <v>10789</v>
      </c>
      <c r="AD7" s="2" t="s">
        <v>18282</v>
      </c>
      <c r="AE7" s="2" t="s">
        <v>18260</v>
      </c>
      <c r="AF7" s="2"/>
      <c r="AG7" s="2" t="s">
        <v>18250</v>
      </c>
    </row>
    <row r="8" spans="1:33" x14ac:dyDescent="0.45">
      <c r="A8" s="2" t="s">
        <v>18283</v>
      </c>
      <c r="B8" s="2" t="s">
        <v>18284</v>
      </c>
      <c r="C8" s="2" t="s">
        <v>18283</v>
      </c>
      <c r="D8" s="2" t="s">
        <v>18285</v>
      </c>
      <c r="E8" s="2" t="s">
        <v>18286</v>
      </c>
      <c r="F8" s="2" t="s">
        <v>18287</v>
      </c>
      <c r="G8" s="2"/>
      <c r="H8" s="2" t="s">
        <v>2962</v>
      </c>
      <c r="I8" s="2" t="s">
        <v>73</v>
      </c>
      <c r="J8" s="2" t="s">
        <v>18288</v>
      </c>
      <c r="K8" s="2" t="s">
        <v>18285</v>
      </c>
      <c r="L8" s="2"/>
      <c r="M8" s="2"/>
      <c r="N8" s="2"/>
      <c r="O8" s="2" t="s">
        <v>2962</v>
      </c>
      <c r="P8" s="2" t="s">
        <v>73</v>
      </c>
      <c r="Q8" s="2" t="s">
        <v>18288</v>
      </c>
      <c r="R8" s="2" t="s">
        <v>653</v>
      </c>
      <c r="S8" s="2" t="s">
        <v>44</v>
      </c>
      <c r="T8" s="2"/>
      <c r="U8" s="2" t="s">
        <v>821</v>
      </c>
      <c r="V8" s="2" t="s">
        <v>46</v>
      </c>
      <c r="W8" s="2" t="s">
        <v>821</v>
      </c>
      <c r="X8" s="2" t="s">
        <v>10787</v>
      </c>
      <c r="Y8" s="2" t="s">
        <v>10801</v>
      </c>
      <c r="Z8" s="2" t="s">
        <v>7864</v>
      </c>
      <c r="AA8" s="2">
        <v>100</v>
      </c>
      <c r="AB8" s="2">
        <v>12</v>
      </c>
      <c r="AC8" s="2" t="s">
        <v>10789</v>
      </c>
      <c r="AD8" s="2" t="s">
        <v>18289</v>
      </c>
      <c r="AE8" s="2" t="s">
        <v>18260</v>
      </c>
      <c r="AF8" s="2"/>
      <c r="AG8" s="2" t="s">
        <v>18250</v>
      </c>
    </row>
    <row r="9" spans="1:33" x14ac:dyDescent="0.45">
      <c r="A9" s="2" t="s">
        <v>18290</v>
      </c>
      <c r="B9" s="2" t="s">
        <v>18291</v>
      </c>
      <c r="C9" s="2" t="s">
        <v>18290</v>
      </c>
      <c r="D9" s="2" t="s">
        <v>18292</v>
      </c>
      <c r="E9" s="2" t="s">
        <v>18293</v>
      </c>
      <c r="F9" s="2" t="s">
        <v>18294</v>
      </c>
      <c r="G9" s="2" t="s">
        <v>18294</v>
      </c>
      <c r="H9" s="2" t="s">
        <v>536</v>
      </c>
      <c r="I9" s="2" t="s">
        <v>537</v>
      </c>
      <c r="J9" s="2" t="s">
        <v>18295</v>
      </c>
      <c r="K9" s="2" t="s">
        <v>18296</v>
      </c>
      <c r="L9" s="2"/>
      <c r="M9" s="2"/>
      <c r="N9" s="2"/>
      <c r="O9" s="2" t="s">
        <v>536</v>
      </c>
      <c r="P9" s="2" t="s">
        <v>537</v>
      </c>
      <c r="Q9" s="2" t="s">
        <v>18295</v>
      </c>
      <c r="R9" s="2" t="s">
        <v>12351</v>
      </c>
      <c r="S9" s="2" t="s">
        <v>44</v>
      </c>
      <c r="T9" s="2"/>
      <c r="U9" s="2" t="s">
        <v>3527</v>
      </c>
      <c r="V9" s="2" t="s">
        <v>46</v>
      </c>
      <c r="W9" s="2" t="s">
        <v>3527</v>
      </c>
      <c r="X9" s="2" t="s">
        <v>10787</v>
      </c>
      <c r="Y9" s="2" t="s">
        <v>10801</v>
      </c>
      <c r="Z9" s="2" t="s">
        <v>7864</v>
      </c>
      <c r="AA9" s="2">
        <v>100</v>
      </c>
      <c r="AB9" s="2">
        <v>10</v>
      </c>
      <c r="AC9" s="2" t="s">
        <v>10789</v>
      </c>
      <c r="AD9" s="2" t="s">
        <v>18297</v>
      </c>
      <c r="AE9" s="2" t="s">
        <v>18260</v>
      </c>
      <c r="AF9" s="2"/>
      <c r="AG9" s="2" t="s">
        <v>18250</v>
      </c>
    </row>
    <row r="10" spans="1:33" x14ac:dyDescent="0.45">
      <c r="A10" s="2" t="s">
        <v>18298</v>
      </c>
      <c r="B10" s="2" t="s">
        <v>18299</v>
      </c>
      <c r="C10" s="2" t="s">
        <v>18300</v>
      </c>
      <c r="D10" s="2" t="s">
        <v>18301</v>
      </c>
      <c r="E10" s="2" t="s">
        <v>18302</v>
      </c>
      <c r="F10" s="2" t="s">
        <v>3562</v>
      </c>
      <c r="G10" s="2" t="s">
        <v>3562</v>
      </c>
      <c r="H10" s="2" t="s">
        <v>18303</v>
      </c>
      <c r="I10" s="2" t="s">
        <v>278</v>
      </c>
      <c r="J10" s="2" t="s">
        <v>18304</v>
      </c>
      <c r="K10" s="2"/>
      <c r="L10" s="2"/>
      <c r="M10" s="2"/>
      <c r="N10" s="2"/>
      <c r="O10" s="2"/>
      <c r="P10" s="2"/>
      <c r="Q10" s="2"/>
      <c r="R10" s="2" t="s">
        <v>7774</v>
      </c>
      <c r="S10" s="2" t="s">
        <v>44</v>
      </c>
      <c r="T10" s="2"/>
      <c r="U10" s="2" t="s">
        <v>3527</v>
      </c>
      <c r="V10" s="2" t="s">
        <v>46</v>
      </c>
      <c r="W10" s="2" t="s">
        <v>3527</v>
      </c>
      <c r="X10" s="2" t="s">
        <v>10787</v>
      </c>
      <c r="Y10" s="2" t="s">
        <v>10801</v>
      </c>
      <c r="Z10" s="2" t="s">
        <v>7864</v>
      </c>
      <c r="AA10" s="2">
        <v>100</v>
      </c>
      <c r="AB10" s="2">
        <v>5</v>
      </c>
      <c r="AC10" s="2" t="s">
        <v>10789</v>
      </c>
      <c r="AD10" s="2" t="s">
        <v>18305</v>
      </c>
      <c r="AE10" s="2" t="s">
        <v>18260</v>
      </c>
      <c r="AF10" s="2"/>
      <c r="AG10" s="2" t="s">
        <v>18250</v>
      </c>
    </row>
    <row r="11" spans="1:33" x14ac:dyDescent="0.45">
      <c r="A11" s="2" t="s">
        <v>18306</v>
      </c>
      <c r="B11" s="2" t="s">
        <v>18307</v>
      </c>
      <c r="C11" s="2" t="s">
        <v>18308</v>
      </c>
      <c r="D11" s="2" t="s">
        <v>18309</v>
      </c>
      <c r="E11" s="2" t="s">
        <v>18310</v>
      </c>
      <c r="F11" s="2" t="s">
        <v>18311</v>
      </c>
      <c r="G11" s="2" t="s">
        <v>18311</v>
      </c>
      <c r="H11" s="2" t="s">
        <v>1023</v>
      </c>
      <c r="I11" s="2" t="s">
        <v>73</v>
      </c>
      <c r="J11" s="2" t="s">
        <v>12204</v>
      </c>
      <c r="K11" s="2"/>
      <c r="L11" s="2"/>
      <c r="M11" s="2"/>
      <c r="N11" s="2"/>
      <c r="O11" s="2"/>
      <c r="P11" s="2"/>
      <c r="Q11" s="2"/>
      <c r="R11" s="2" t="s">
        <v>885</v>
      </c>
      <c r="S11" s="2" t="s">
        <v>44</v>
      </c>
      <c r="T11" s="2"/>
      <c r="U11" s="2" t="s">
        <v>821</v>
      </c>
      <c r="V11" s="2" t="s">
        <v>46</v>
      </c>
      <c r="W11" s="2" t="s">
        <v>821</v>
      </c>
      <c r="X11" s="2" t="s">
        <v>10787</v>
      </c>
      <c r="Y11" s="2" t="s">
        <v>10801</v>
      </c>
      <c r="Z11" s="2" t="s">
        <v>7864</v>
      </c>
      <c r="AA11" s="2">
        <v>100</v>
      </c>
      <c r="AB11" s="2">
        <v>17</v>
      </c>
      <c r="AC11" s="2" t="s">
        <v>10789</v>
      </c>
      <c r="AD11" s="2" t="s">
        <v>18312</v>
      </c>
      <c r="AE11" s="2" t="s">
        <v>18260</v>
      </c>
      <c r="AF11" s="2"/>
      <c r="AG11" s="2" t="s">
        <v>18250</v>
      </c>
    </row>
    <row r="12" spans="1:33" x14ac:dyDescent="0.45">
      <c r="A12" s="2" t="s">
        <v>18313</v>
      </c>
      <c r="B12" s="2" t="s">
        <v>18314</v>
      </c>
      <c r="C12" s="2" t="s">
        <v>18313</v>
      </c>
      <c r="D12" s="2" t="s">
        <v>18315</v>
      </c>
      <c r="E12" s="2" t="s">
        <v>18316</v>
      </c>
      <c r="F12" s="2"/>
      <c r="G12" s="2"/>
      <c r="H12" s="2" t="s">
        <v>5984</v>
      </c>
      <c r="I12" s="2" t="s">
        <v>313</v>
      </c>
      <c r="J12" s="2" t="s">
        <v>18317</v>
      </c>
      <c r="K12" s="2" t="s">
        <v>18315</v>
      </c>
      <c r="L12" s="2"/>
      <c r="M12" s="2"/>
      <c r="N12" s="2"/>
      <c r="O12" s="2" t="s">
        <v>5984</v>
      </c>
      <c r="P12" s="2" t="s">
        <v>313</v>
      </c>
      <c r="Q12" s="2" t="s">
        <v>18317</v>
      </c>
      <c r="R12" s="2" t="s">
        <v>2614</v>
      </c>
      <c r="S12" s="2" t="s">
        <v>44</v>
      </c>
      <c r="T12" s="2"/>
      <c r="U12" s="2" t="s">
        <v>3527</v>
      </c>
      <c r="V12" s="2" t="s">
        <v>46</v>
      </c>
      <c r="W12" s="2" t="s">
        <v>3527</v>
      </c>
      <c r="X12" s="2" t="s">
        <v>10787</v>
      </c>
      <c r="Y12" s="2" t="s">
        <v>10801</v>
      </c>
      <c r="Z12" s="2" t="s">
        <v>7864</v>
      </c>
      <c r="AA12" s="2">
        <v>90</v>
      </c>
      <c r="AB12" s="2">
        <v>0</v>
      </c>
      <c r="AC12" s="2" t="s">
        <v>10789</v>
      </c>
      <c r="AD12" s="2" t="s">
        <v>18318</v>
      </c>
      <c r="AE12" s="2" t="s">
        <v>18260</v>
      </c>
      <c r="AF12" s="2"/>
      <c r="AG12" s="2" t="s">
        <v>18250</v>
      </c>
    </row>
    <row r="13" spans="1:33" x14ac:dyDescent="0.45">
      <c r="A13" s="2" t="s">
        <v>18319</v>
      </c>
      <c r="B13" s="2" t="s">
        <v>18320</v>
      </c>
      <c r="C13" s="2" t="s">
        <v>18319</v>
      </c>
      <c r="D13" s="2" t="s">
        <v>18321</v>
      </c>
      <c r="E13" s="2" t="s">
        <v>18322</v>
      </c>
      <c r="F13" s="2" t="s">
        <v>3562</v>
      </c>
      <c r="G13" s="2" t="s">
        <v>3562</v>
      </c>
      <c r="H13" s="2" t="s">
        <v>18323</v>
      </c>
      <c r="I13" s="2" t="s">
        <v>221</v>
      </c>
      <c r="J13" s="2" t="s">
        <v>18324</v>
      </c>
      <c r="K13" s="2" t="s">
        <v>18321</v>
      </c>
      <c r="L13" s="2"/>
      <c r="M13" s="2"/>
      <c r="N13" s="2"/>
      <c r="O13" s="2" t="s">
        <v>18323</v>
      </c>
      <c r="P13" s="2" t="s">
        <v>221</v>
      </c>
      <c r="Q13" s="2" t="s">
        <v>18324</v>
      </c>
      <c r="R13" s="2" t="s">
        <v>11131</v>
      </c>
      <c r="S13" s="2" t="s">
        <v>44</v>
      </c>
      <c r="T13" s="2"/>
      <c r="U13" s="2" t="s">
        <v>3527</v>
      </c>
      <c r="V13" s="2" t="s">
        <v>46</v>
      </c>
      <c r="W13" s="2" t="s">
        <v>3527</v>
      </c>
      <c r="X13" s="2" t="s">
        <v>10787</v>
      </c>
      <c r="Y13" s="2" t="s">
        <v>10801</v>
      </c>
      <c r="Z13" s="2" t="s">
        <v>7864</v>
      </c>
      <c r="AA13" s="2">
        <v>100</v>
      </c>
      <c r="AB13" s="2">
        <v>5</v>
      </c>
      <c r="AC13" s="2" t="s">
        <v>10789</v>
      </c>
      <c r="AD13" s="2" t="s">
        <v>18325</v>
      </c>
      <c r="AE13" s="2" t="s">
        <v>18260</v>
      </c>
      <c r="AF13" s="2"/>
      <c r="AG13" s="2" t="s">
        <v>18250</v>
      </c>
    </row>
    <row r="14" spans="1:33" x14ac:dyDescent="0.45">
      <c r="A14" s="2" t="s">
        <v>18326</v>
      </c>
      <c r="B14" s="2" t="s">
        <v>18327</v>
      </c>
      <c r="C14" s="2" t="s">
        <v>18328</v>
      </c>
      <c r="D14" s="2" t="s">
        <v>18329</v>
      </c>
      <c r="E14" s="2" t="s">
        <v>18330</v>
      </c>
      <c r="F14" s="2" t="s">
        <v>3562</v>
      </c>
      <c r="G14" s="2" t="s">
        <v>3562</v>
      </c>
      <c r="H14" s="2" t="s">
        <v>59</v>
      </c>
      <c r="I14" s="2" t="s">
        <v>60</v>
      </c>
      <c r="J14" s="2" t="s">
        <v>18331</v>
      </c>
      <c r="K14" s="2" t="s">
        <v>18329</v>
      </c>
      <c r="L14" s="2"/>
      <c r="M14" s="2"/>
      <c r="N14" s="2"/>
      <c r="O14" s="2" t="s">
        <v>59</v>
      </c>
      <c r="P14" s="2" t="s">
        <v>60</v>
      </c>
      <c r="Q14" s="2" t="s">
        <v>18331</v>
      </c>
      <c r="R14" s="2" t="s">
        <v>18332</v>
      </c>
      <c r="S14" s="2" t="s">
        <v>44</v>
      </c>
      <c r="T14" s="2"/>
      <c r="U14" s="2" t="s">
        <v>3527</v>
      </c>
      <c r="V14" s="2" t="s">
        <v>46</v>
      </c>
      <c r="W14" s="2" t="s">
        <v>3527</v>
      </c>
      <c r="X14" s="2" t="s">
        <v>10787</v>
      </c>
      <c r="Y14" s="2" t="s">
        <v>10801</v>
      </c>
      <c r="Z14" s="2" t="s">
        <v>7864</v>
      </c>
      <c r="AA14" s="2">
        <v>100</v>
      </c>
      <c r="AB14" s="2">
        <v>10</v>
      </c>
      <c r="AC14" s="2" t="s">
        <v>10789</v>
      </c>
      <c r="AD14" s="2" t="s">
        <v>18333</v>
      </c>
      <c r="AE14" s="2" t="s">
        <v>18260</v>
      </c>
      <c r="AF14" s="2"/>
      <c r="AG14" s="2" t="s">
        <v>18250</v>
      </c>
    </row>
    <row r="15" spans="1:33" x14ac:dyDescent="0.45">
      <c r="A15" s="2" t="s">
        <v>18334</v>
      </c>
      <c r="B15" s="2" t="s">
        <v>18335</v>
      </c>
      <c r="C15" s="2" t="s">
        <v>18336</v>
      </c>
      <c r="D15" s="2" t="s">
        <v>18337</v>
      </c>
      <c r="E15" s="2" t="s">
        <v>18338</v>
      </c>
      <c r="F15" s="2" t="s">
        <v>18339</v>
      </c>
      <c r="G15" s="2" t="s">
        <v>18339</v>
      </c>
      <c r="H15" s="2" t="s">
        <v>8369</v>
      </c>
      <c r="I15" s="2" t="s">
        <v>1112</v>
      </c>
      <c r="J15" s="2" t="s">
        <v>18340</v>
      </c>
      <c r="K15" s="2"/>
      <c r="L15" s="2"/>
      <c r="M15" s="2"/>
      <c r="N15" s="2"/>
      <c r="O15" s="2"/>
      <c r="P15" s="2"/>
      <c r="Q15" s="2"/>
      <c r="R15" s="2" t="s">
        <v>10182</v>
      </c>
      <c r="S15" s="2" t="s">
        <v>44</v>
      </c>
      <c r="T15" s="2"/>
      <c r="U15" s="2" t="s">
        <v>3527</v>
      </c>
      <c r="V15" s="2" t="s">
        <v>46</v>
      </c>
      <c r="W15" s="2" t="s">
        <v>3527</v>
      </c>
      <c r="X15" s="2" t="s">
        <v>10787</v>
      </c>
      <c r="Y15" s="2" t="s">
        <v>10801</v>
      </c>
      <c r="Z15" s="2" t="s">
        <v>7864</v>
      </c>
      <c r="AA15" s="2">
        <v>100</v>
      </c>
      <c r="AB15" s="2">
        <v>5</v>
      </c>
      <c r="AC15" s="2" t="s">
        <v>10789</v>
      </c>
      <c r="AD15" s="2" t="s">
        <v>18341</v>
      </c>
      <c r="AE15" s="2" t="s">
        <v>18260</v>
      </c>
      <c r="AF15" s="2"/>
      <c r="AG15" s="2" t="s">
        <v>18250</v>
      </c>
    </row>
    <row r="16" spans="1:33" x14ac:dyDescent="0.45">
      <c r="A16" s="2" t="s">
        <v>18342</v>
      </c>
      <c r="B16" s="2" t="s">
        <v>18343</v>
      </c>
      <c r="C16" s="2" t="s">
        <v>18342</v>
      </c>
      <c r="D16" s="2" t="s">
        <v>18344</v>
      </c>
      <c r="E16" s="2" t="s">
        <v>18345</v>
      </c>
      <c r="F16" s="2" t="s">
        <v>18346</v>
      </c>
      <c r="G16" s="2"/>
      <c r="H16" s="2" t="s">
        <v>651</v>
      </c>
      <c r="I16" s="2" t="s">
        <v>86</v>
      </c>
      <c r="J16" s="2" t="s">
        <v>18347</v>
      </c>
      <c r="K16" s="2"/>
      <c r="L16" s="2"/>
      <c r="M16" s="2"/>
      <c r="N16" s="2"/>
      <c r="O16" s="2"/>
      <c r="P16" s="2"/>
      <c r="Q16" s="2"/>
      <c r="R16" s="2" t="s">
        <v>5411</v>
      </c>
      <c r="S16" s="2" t="s">
        <v>44</v>
      </c>
      <c r="T16" s="2"/>
      <c r="U16" s="2" t="s">
        <v>3527</v>
      </c>
      <c r="V16" s="2" t="s">
        <v>46</v>
      </c>
      <c r="W16" s="2" t="s">
        <v>3527</v>
      </c>
      <c r="X16" s="2" t="s">
        <v>10787</v>
      </c>
      <c r="Y16" s="2" t="s">
        <v>10801</v>
      </c>
      <c r="Z16" s="2" t="s">
        <v>7864</v>
      </c>
      <c r="AA16" s="2">
        <v>100</v>
      </c>
      <c r="AB16" s="2">
        <v>10</v>
      </c>
      <c r="AC16" s="2" t="s">
        <v>10789</v>
      </c>
      <c r="AD16" s="2" t="s">
        <v>18348</v>
      </c>
      <c r="AE16" s="2" t="s">
        <v>18260</v>
      </c>
      <c r="AF16" s="2"/>
      <c r="AG16" s="2" t="s">
        <v>18250</v>
      </c>
    </row>
    <row r="17" spans="1:33" x14ac:dyDescent="0.45">
      <c r="A17" s="2" t="s">
        <v>18349</v>
      </c>
      <c r="B17" s="2" t="s">
        <v>18350</v>
      </c>
      <c r="C17" s="2" t="s">
        <v>18349</v>
      </c>
      <c r="D17" s="2" t="s">
        <v>18351</v>
      </c>
      <c r="E17" s="2" t="s">
        <v>18352</v>
      </c>
      <c r="F17" s="2" t="s">
        <v>18353</v>
      </c>
      <c r="G17" s="2" t="s">
        <v>18353</v>
      </c>
      <c r="H17" s="2" t="s">
        <v>72</v>
      </c>
      <c r="I17" s="2" t="s">
        <v>73</v>
      </c>
      <c r="J17" s="2" t="s">
        <v>6376</v>
      </c>
      <c r="K17" s="2" t="s">
        <v>18354</v>
      </c>
      <c r="L17" s="2"/>
      <c r="M17" s="2"/>
      <c r="N17" s="2"/>
      <c r="O17" s="2" t="s">
        <v>72</v>
      </c>
      <c r="P17" s="2" t="s">
        <v>73</v>
      </c>
      <c r="Q17" s="2" t="s">
        <v>6376</v>
      </c>
      <c r="R17" s="2" t="s">
        <v>18088</v>
      </c>
      <c r="S17" s="2" t="s">
        <v>44</v>
      </c>
      <c r="T17" s="2"/>
      <c r="U17" s="2" t="s">
        <v>821</v>
      </c>
      <c r="V17" s="2" t="s">
        <v>46</v>
      </c>
      <c r="W17" s="2" t="s">
        <v>821</v>
      </c>
      <c r="X17" s="2" t="s">
        <v>11537</v>
      </c>
      <c r="Y17" s="2" t="s">
        <v>10801</v>
      </c>
      <c r="Z17" s="2" t="s">
        <v>7864</v>
      </c>
      <c r="AA17" s="2">
        <v>100</v>
      </c>
      <c r="AB17" s="2">
        <v>17</v>
      </c>
      <c r="AC17" s="2" t="s">
        <v>10789</v>
      </c>
      <c r="AD17" s="2" t="s">
        <v>18355</v>
      </c>
      <c r="AE17" s="2" t="s">
        <v>18260</v>
      </c>
      <c r="AF17" s="2"/>
      <c r="AG17" s="2" t="s">
        <v>18250</v>
      </c>
    </row>
    <row r="18" spans="1:33" x14ac:dyDescent="0.45">
      <c r="A18" s="2" t="s">
        <v>18356</v>
      </c>
      <c r="B18" s="2" t="s">
        <v>18357</v>
      </c>
      <c r="C18" s="2" t="s">
        <v>18356</v>
      </c>
      <c r="D18" s="2" t="s">
        <v>18358</v>
      </c>
      <c r="E18" s="2" t="s">
        <v>18359</v>
      </c>
      <c r="F18" s="2" t="s">
        <v>18360</v>
      </c>
      <c r="G18" s="2"/>
      <c r="H18" s="2" t="s">
        <v>1188</v>
      </c>
      <c r="I18" s="2" t="s">
        <v>221</v>
      </c>
      <c r="J18" s="2" t="s">
        <v>1189</v>
      </c>
      <c r="K18" s="2" t="s">
        <v>18361</v>
      </c>
      <c r="L18" s="2"/>
      <c r="M18" s="2"/>
      <c r="N18" s="2"/>
      <c r="O18" s="2" t="s">
        <v>651</v>
      </c>
      <c r="P18" s="2" t="s">
        <v>86</v>
      </c>
      <c r="Q18" s="2" t="s">
        <v>14044</v>
      </c>
      <c r="R18" s="2" t="s">
        <v>3546</v>
      </c>
      <c r="S18" s="2" t="s">
        <v>44</v>
      </c>
      <c r="T18" s="2"/>
      <c r="U18" s="2" t="s">
        <v>3527</v>
      </c>
      <c r="V18" s="2" t="s">
        <v>46</v>
      </c>
      <c r="W18" s="2" t="s">
        <v>3527</v>
      </c>
      <c r="X18" s="2" t="s">
        <v>10787</v>
      </c>
      <c r="Y18" s="2" t="s">
        <v>10801</v>
      </c>
      <c r="Z18" s="2" t="s">
        <v>7864</v>
      </c>
      <c r="AA18" s="2">
        <v>100</v>
      </c>
      <c r="AB18" s="2">
        <v>10</v>
      </c>
      <c r="AC18" s="2" t="s">
        <v>10789</v>
      </c>
      <c r="AD18" s="2" t="s">
        <v>18362</v>
      </c>
      <c r="AE18" s="2" t="s">
        <v>18260</v>
      </c>
      <c r="AF18" s="2"/>
      <c r="AG18" s="2" t="s">
        <v>18250</v>
      </c>
    </row>
    <row r="19" spans="1:33" x14ac:dyDescent="0.45">
      <c r="A19" s="2" t="s">
        <v>18363</v>
      </c>
      <c r="B19" s="2" t="s">
        <v>18364</v>
      </c>
      <c r="C19" s="2" t="s">
        <v>18363</v>
      </c>
      <c r="D19" s="2" t="s">
        <v>18365</v>
      </c>
      <c r="E19" s="2" t="s">
        <v>18366</v>
      </c>
      <c r="F19" s="2" t="s">
        <v>18367</v>
      </c>
      <c r="G19" s="2" t="s">
        <v>18367</v>
      </c>
      <c r="H19" s="2" t="s">
        <v>1023</v>
      </c>
      <c r="I19" s="2" t="s">
        <v>73</v>
      </c>
      <c r="J19" s="2" t="s">
        <v>18368</v>
      </c>
      <c r="K19" s="2"/>
      <c r="L19" s="2"/>
      <c r="M19" s="2"/>
      <c r="N19" s="2"/>
      <c r="O19" s="2"/>
      <c r="P19" s="2"/>
      <c r="Q19" s="2"/>
      <c r="R19" s="2" t="s">
        <v>11138</v>
      </c>
      <c r="S19" s="2" t="s">
        <v>44</v>
      </c>
      <c r="T19" s="2"/>
      <c r="U19" s="2" t="s">
        <v>3527</v>
      </c>
      <c r="V19" s="2" t="s">
        <v>46</v>
      </c>
      <c r="W19" s="2" t="s">
        <v>3527</v>
      </c>
      <c r="X19" s="2" t="s">
        <v>10787</v>
      </c>
      <c r="Y19" s="2" t="s">
        <v>10801</v>
      </c>
      <c r="Z19" s="2" t="s">
        <v>7864</v>
      </c>
      <c r="AA19" s="2">
        <v>100</v>
      </c>
      <c r="AB19" s="2">
        <v>10</v>
      </c>
      <c r="AC19" s="2" t="s">
        <v>10789</v>
      </c>
      <c r="AD19" s="2" t="s">
        <v>18369</v>
      </c>
      <c r="AE19" s="2" t="s">
        <v>18260</v>
      </c>
      <c r="AF19" s="2"/>
      <c r="AG19" s="2" t="s">
        <v>18250</v>
      </c>
    </row>
    <row r="20" spans="1:33" x14ac:dyDescent="0.45">
      <c r="A20" s="2" t="s">
        <v>18370</v>
      </c>
      <c r="B20" s="2" t="s">
        <v>18371</v>
      </c>
      <c r="C20" s="2" t="s">
        <v>18370</v>
      </c>
      <c r="D20" s="2" t="s">
        <v>18372</v>
      </c>
      <c r="E20" s="2" t="s">
        <v>18373</v>
      </c>
      <c r="F20" s="2"/>
      <c r="G20" s="2"/>
      <c r="H20" s="2" t="s">
        <v>312</v>
      </c>
      <c r="I20" s="2" t="s">
        <v>313</v>
      </c>
      <c r="J20" s="2" t="s">
        <v>314</v>
      </c>
      <c r="K20" s="2" t="s">
        <v>18372</v>
      </c>
      <c r="L20" s="2"/>
      <c r="M20" s="2"/>
      <c r="N20" s="2"/>
      <c r="O20" s="2" t="s">
        <v>312</v>
      </c>
      <c r="P20" s="2" t="s">
        <v>313</v>
      </c>
      <c r="Q20" s="2" t="s">
        <v>314</v>
      </c>
      <c r="R20" s="2" t="s">
        <v>18374</v>
      </c>
      <c r="S20" s="2" t="s">
        <v>44</v>
      </c>
      <c r="T20" s="2"/>
      <c r="U20" s="2" t="s">
        <v>3527</v>
      </c>
      <c r="V20" s="2" t="s">
        <v>46</v>
      </c>
      <c r="W20" s="2" t="s">
        <v>3527</v>
      </c>
      <c r="X20" s="2" t="s">
        <v>10787</v>
      </c>
      <c r="Y20" s="2" t="s">
        <v>10801</v>
      </c>
      <c r="Z20" s="2" t="s">
        <v>7864</v>
      </c>
      <c r="AA20" s="2">
        <v>90</v>
      </c>
      <c r="AB20" s="2">
        <v>0</v>
      </c>
      <c r="AC20" s="2" t="s">
        <v>10789</v>
      </c>
      <c r="AD20" s="2" t="s">
        <v>18375</v>
      </c>
      <c r="AE20" s="2" t="s">
        <v>18260</v>
      </c>
      <c r="AF20" s="2"/>
      <c r="AG20" s="2" t="s">
        <v>18250</v>
      </c>
    </row>
    <row r="21" spans="1:33" x14ac:dyDescent="0.45">
      <c r="A21" s="2" t="s">
        <v>18376</v>
      </c>
      <c r="B21" s="2" t="s">
        <v>18377</v>
      </c>
      <c r="C21" s="2" t="s">
        <v>18376</v>
      </c>
      <c r="D21" s="2" t="s">
        <v>18378</v>
      </c>
      <c r="E21" s="2" t="s">
        <v>18379</v>
      </c>
      <c r="F21" s="2" t="s">
        <v>18380</v>
      </c>
      <c r="G21" s="2"/>
      <c r="H21" s="2" t="s">
        <v>536</v>
      </c>
      <c r="I21" s="2" t="s">
        <v>537</v>
      </c>
      <c r="J21" s="2" t="s">
        <v>18381</v>
      </c>
      <c r="K21" s="2" t="s">
        <v>18382</v>
      </c>
      <c r="L21" s="2"/>
      <c r="M21" s="2"/>
      <c r="N21" s="2"/>
      <c r="O21" s="2" t="s">
        <v>536</v>
      </c>
      <c r="P21" s="2" t="s">
        <v>537</v>
      </c>
      <c r="Q21" s="2" t="s">
        <v>18381</v>
      </c>
      <c r="R21" s="2" t="s">
        <v>3199</v>
      </c>
      <c r="S21" s="2" t="s">
        <v>44</v>
      </c>
      <c r="T21" s="2"/>
      <c r="U21" s="2" t="s">
        <v>821</v>
      </c>
      <c r="V21" s="2" t="s">
        <v>46</v>
      </c>
      <c r="W21" s="2" t="s">
        <v>821</v>
      </c>
      <c r="X21" s="2" t="s">
        <v>11537</v>
      </c>
      <c r="Y21" s="2" t="s">
        <v>10801</v>
      </c>
      <c r="Z21" s="2" t="s">
        <v>7864</v>
      </c>
      <c r="AA21" s="2">
        <v>100</v>
      </c>
      <c r="AB21" s="2">
        <v>17</v>
      </c>
      <c r="AC21" s="2" t="s">
        <v>10789</v>
      </c>
      <c r="AD21" s="2" t="s">
        <v>18383</v>
      </c>
      <c r="AE21" s="2" t="s">
        <v>18260</v>
      </c>
      <c r="AF21" s="2"/>
      <c r="AG21" s="2" t="s">
        <v>18250</v>
      </c>
    </row>
    <row r="22" spans="1:33" x14ac:dyDescent="0.45">
      <c r="A22" s="2" t="s">
        <v>18384</v>
      </c>
      <c r="B22" s="2" t="s">
        <v>18385</v>
      </c>
      <c r="C22" s="2" t="s">
        <v>18386</v>
      </c>
      <c r="D22" s="2" t="s">
        <v>18387</v>
      </c>
      <c r="E22" s="2" t="s">
        <v>18388</v>
      </c>
      <c r="F22" s="2" t="s">
        <v>18389</v>
      </c>
      <c r="G22" s="2" t="s">
        <v>18389</v>
      </c>
      <c r="H22" s="2" t="s">
        <v>59</v>
      </c>
      <c r="I22" s="2" t="s">
        <v>60</v>
      </c>
      <c r="J22" s="2" t="s">
        <v>15541</v>
      </c>
      <c r="K22" s="2" t="s">
        <v>18387</v>
      </c>
      <c r="L22" s="2"/>
      <c r="M22" s="2"/>
      <c r="N22" s="2"/>
      <c r="O22" s="2" t="s">
        <v>59</v>
      </c>
      <c r="P22" s="2" t="s">
        <v>60</v>
      </c>
      <c r="Q22" s="2" t="s">
        <v>15541</v>
      </c>
      <c r="R22" s="2" t="s">
        <v>12387</v>
      </c>
      <c r="S22" s="2" t="s">
        <v>44</v>
      </c>
      <c r="T22" s="2"/>
      <c r="U22" s="2" t="s">
        <v>3527</v>
      </c>
      <c r="V22" s="2" t="s">
        <v>46</v>
      </c>
      <c r="W22" s="2" t="s">
        <v>3527</v>
      </c>
      <c r="X22" s="2" t="s">
        <v>10787</v>
      </c>
      <c r="Y22" s="2" t="s">
        <v>10801</v>
      </c>
      <c r="Z22" s="2" t="s">
        <v>7864</v>
      </c>
      <c r="AA22" s="2">
        <v>100</v>
      </c>
      <c r="AB22" s="2">
        <v>10</v>
      </c>
      <c r="AC22" s="2" t="s">
        <v>10789</v>
      </c>
      <c r="AD22" s="2" t="s">
        <v>18390</v>
      </c>
      <c r="AE22" s="2" t="s">
        <v>18260</v>
      </c>
      <c r="AF22" s="2"/>
      <c r="AG22" s="2" t="s">
        <v>18250</v>
      </c>
    </row>
    <row r="23" spans="1:33" x14ac:dyDescent="0.45">
      <c r="A23" s="2" t="s">
        <v>18391</v>
      </c>
      <c r="B23" s="2" t="s">
        <v>18392</v>
      </c>
      <c r="C23" s="2" t="s">
        <v>18393</v>
      </c>
      <c r="D23" s="2" t="s">
        <v>18394</v>
      </c>
      <c r="E23" s="2" t="s">
        <v>18395</v>
      </c>
      <c r="F23" s="2" t="s">
        <v>3562</v>
      </c>
      <c r="G23" s="2" t="s">
        <v>3562</v>
      </c>
      <c r="H23" s="2" t="s">
        <v>174</v>
      </c>
      <c r="I23" s="2" t="s">
        <v>175</v>
      </c>
      <c r="J23" s="2" t="s">
        <v>18396</v>
      </c>
      <c r="K23" s="2"/>
      <c r="L23" s="2"/>
      <c r="M23" s="2"/>
      <c r="N23" s="2"/>
      <c r="O23" s="2"/>
      <c r="P23" s="2"/>
      <c r="Q23" s="2"/>
      <c r="R23" s="2" t="s">
        <v>5678</v>
      </c>
      <c r="S23" s="2" t="s">
        <v>44</v>
      </c>
      <c r="T23" s="2"/>
      <c r="U23" s="2" t="s">
        <v>3527</v>
      </c>
      <c r="V23" s="2" t="s">
        <v>46</v>
      </c>
      <c r="W23" s="2" t="s">
        <v>3527</v>
      </c>
      <c r="X23" s="2" t="s">
        <v>10787</v>
      </c>
      <c r="Y23" s="2" t="s">
        <v>10801</v>
      </c>
      <c r="Z23" s="2" t="s">
        <v>7864</v>
      </c>
      <c r="AA23" s="2">
        <v>100</v>
      </c>
      <c r="AB23" s="2">
        <v>10</v>
      </c>
      <c r="AC23" s="2" t="s">
        <v>10789</v>
      </c>
      <c r="AD23" s="2" t="s">
        <v>18397</v>
      </c>
      <c r="AE23" s="2" t="s">
        <v>18260</v>
      </c>
      <c r="AF23" s="2"/>
      <c r="AG23" s="2" t="s">
        <v>18250</v>
      </c>
    </row>
    <row r="24" spans="1:33" x14ac:dyDescent="0.45">
      <c r="A24" s="2" t="s">
        <v>18398</v>
      </c>
      <c r="B24" s="2" t="s">
        <v>18399</v>
      </c>
      <c r="C24" s="2" t="s">
        <v>18400</v>
      </c>
      <c r="D24" s="2" t="s">
        <v>18401</v>
      </c>
      <c r="E24" s="2" t="s">
        <v>18402</v>
      </c>
      <c r="F24" s="2" t="s">
        <v>18403</v>
      </c>
      <c r="G24" s="2" t="s">
        <v>18403</v>
      </c>
      <c r="H24" s="2" t="s">
        <v>18404</v>
      </c>
      <c r="I24" s="2" t="s">
        <v>8496</v>
      </c>
      <c r="J24" s="2" t="s">
        <v>18405</v>
      </c>
      <c r="K24" s="2" t="s">
        <v>18401</v>
      </c>
      <c r="L24" s="2"/>
      <c r="M24" s="2"/>
      <c r="N24" s="2"/>
      <c r="O24" s="2" t="s">
        <v>18404</v>
      </c>
      <c r="P24" s="2" t="s">
        <v>8496</v>
      </c>
      <c r="Q24" s="2" t="s">
        <v>18405</v>
      </c>
      <c r="R24" s="2" t="s">
        <v>12351</v>
      </c>
      <c r="S24" s="2" t="s">
        <v>44</v>
      </c>
      <c r="T24" s="2"/>
      <c r="U24" s="2" t="s">
        <v>3527</v>
      </c>
      <c r="V24" s="2" t="s">
        <v>46</v>
      </c>
      <c r="W24" s="2" t="s">
        <v>3527</v>
      </c>
      <c r="X24" s="2" t="s">
        <v>10787</v>
      </c>
      <c r="Y24" s="2" t="s">
        <v>10801</v>
      </c>
      <c r="Z24" s="2" t="s">
        <v>7864</v>
      </c>
      <c r="AA24" s="2">
        <v>100</v>
      </c>
      <c r="AB24" s="2">
        <v>5</v>
      </c>
      <c r="AC24" s="2" t="s">
        <v>10789</v>
      </c>
      <c r="AD24" s="2" t="s">
        <v>18406</v>
      </c>
      <c r="AE24" s="2" t="s">
        <v>18260</v>
      </c>
      <c r="AF24" s="2"/>
      <c r="AG24" s="2" t="s">
        <v>18250</v>
      </c>
    </row>
    <row r="25" spans="1:33" x14ac:dyDescent="0.45">
      <c r="A25" s="2" t="s">
        <v>18407</v>
      </c>
      <c r="B25" s="2" t="s">
        <v>18408</v>
      </c>
      <c r="C25" s="2" t="s">
        <v>18407</v>
      </c>
      <c r="D25" s="2" t="s">
        <v>18409</v>
      </c>
      <c r="E25" s="2" t="s">
        <v>18410</v>
      </c>
      <c r="F25" s="2" t="s">
        <v>18411</v>
      </c>
      <c r="G25" s="2" t="s">
        <v>18411</v>
      </c>
      <c r="H25" s="2" t="s">
        <v>324</v>
      </c>
      <c r="I25" s="2" t="s">
        <v>73</v>
      </c>
      <c r="J25" s="2" t="s">
        <v>326</v>
      </c>
      <c r="K25" s="2" t="s">
        <v>18412</v>
      </c>
      <c r="L25" s="2"/>
      <c r="M25" s="2"/>
      <c r="N25" s="2"/>
      <c r="O25" s="2" t="s">
        <v>324</v>
      </c>
      <c r="P25" s="2" t="s">
        <v>73</v>
      </c>
      <c r="Q25" s="2" t="s">
        <v>326</v>
      </c>
      <c r="R25" s="2" t="s">
        <v>18413</v>
      </c>
      <c r="S25" s="2" t="s">
        <v>44</v>
      </c>
      <c r="T25" s="2"/>
      <c r="U25" s="2" t="s">
        <v>3527</v>
      </c>
      <c r="V25" s="2" t="s">
        <v>46</v>
      </c>
      <c r="W25" s="2" t="s">
        <v>3527</v>
      </c>
      <c r="X25" s="2" t="s">
        <v>11537</v>
      </c>
      <c r="Y25" s="2" t="s">
        <v>10801</v>
      </c>
      <c r="Z25" s="2" t="s">
        <v>7864</v>
      </c>
      <c r="AA25" s="2">
        <v>100</v>
      </c>
      <c r="AB25" s="2">
        <v>10</v>
      </c>
      <c r="AC25" s="2" t="s">
        <v>10789</v>
      </c>
      <c r="AD25" s="2" t="s">
        <v>18414</v>
      </c>
      <c r="AE25" s="2" t="s">
        <v>18260</v>
      </c>
      <c r="AF25" s="2"/>
      <c r="AG25" s="2" t="s">
        <v>18250</v>
      </c>
    </row>
    <row r="26" spans="1:33" x14ac:dyDescent="0.45">
      <c r="A26" s="2" t="s">
        <v>18415</v>
      </c>
      <c r="B26" s="2" t="s">
        <v>18416</v>
      </c>
      <c r="C26" s="2" t="s">
        <v>18415</v>
      </c>
      <c r="D26" s="2" t="s">
        <v>18417</v>
      </c>
      <c r="E26" s="2" t="s">
        <v>18418</v>
      </c>
      <c r="F26" s="2" t="s">
        <v>18419</v>
      </c>
      <c r="G26" s="2"/>
      <c r="H26" s="2" t="s">
        <v>174</v>
      </c>
      <c r="I26" s="2" t="s">
        <v>175</v>
      </c>
      <c r="J26" s="2" t="s">
        <v>7136</v>
      </c>
      <c r="K26" s="2" t="s">
        <v>18417</v>
      </c>
      <c r="L26" s="2"/>
      <c r="M26" s="2"/>
      <c r="N26" s="2"/>
      <c r="O26" s="2" t="s">
        <v>174</v>
      </c>
      <c r="P26" s="2" t="s">
        <v>175</v>
      </c>
      <c r="Q26" s="2" t="s">
        <v>7136</v>
      </c>
      <c r="R26" s="2" t="s">
        <v>5133</v>
      </c>
      <c r="S26" s="2" t="s">
        <v>44</v>
      </c>
      <c r="T26" s="2"/>
      <c r="U26" s="2" t="s">
        <v>3527</v>
      </c>
      <c r="V26" s="2" t="s">
        <v>46</v>
      </c>
      <c r="W26" s="2" t="s">
        <v>3527</v>
      </c>
      <c r="X26" s="2" t="s">
        <v>10787</v>
      </c>
      <c r="Y26" s="2" t="s">
        <v>10801</v>
      </c>
      <c r="Z26" s="2" t="s">
        <v>7864</v>
      </c>
      <c r="AA26" s="2">
        <v>100</v>
      </c>
      <c r="AB26" s="2">
        <v>10</v>
      </c>
      <c r="AC26" s="2" t="s">
        <v>10789</v>
      </c>
      <c r="AD26" s="2" t="s">
        <v>18420</v>
      </c>
      <c r="AE26" s="2" t="s">
        <v>18260</v>
      </c>
      <c r="AF26" s="2"/>
      <c r="AG26" s="2" t="s">
        <v>18250</v>
      </c>
    </row>
    <row r="27" spans="1:33" x14ac:dyDescent="0.45">
      <c r="A27" s="2" t="s">
        <v>18421</v>
      </c>
      <c r="B27" s="2" t="s">
        <v>18422</v>
      </c>
      <c r="C27" s="2" t="s">
        <v>18423</v>
      </c>
      <c r="D27" s="2" t="s">
        <v>18424</v>
      </c>
      <c r="E27" s="2" t="s">
        <v>18425</v>
      </c>
      <c r="F27" s="2" t="s">
        <v>18426</v>
      </c>
      <c r="G27" s="2" t="s">
        <v>18426</v>
      </c>
      <c r="H27" s="2" t="s">
        <v>290</v>
      </c>
      <c r="I27" s="2" t="s">
        <v>278</v>
      </c>
      <c r="J27" s="2" t="s">
        <v>291</v>
      </c>
      <c r="K27" s="2" t="s">
        <v>18424</v>
      </c>
      <c r="L27" s="2"/>
      <c r="M27" s="2"/>
      <c r="N27" s="2"/>
      <c r="O27" s="2" t="s">
        <v>290</v>
      </c>
      <c r="P27" s="2" t="s">
        <v>278</v>
      </c>
      <c r="Q27" s="2" t="s">
        <v>291</v>
      </c>
      <c r="R27" s="2" t="s">
        <v>5440</v>
      </c>
      <c r="S27" s="2" t="s">
        <v>44</v>
      </c>
      <c r="T27" s="2"/>
      <c r="U27" s="2" t="s">
        <v>821</v>
      </c>
      <c r="V27" s="2" t="s">
        <v>46</v>
      </c>
      <c r="W27" s="2" t="s">
        <v>821</v>
      </c>
      <c r="X27" s="2" t="s">
        <v>10787</v>
      </c>
      <c r="Y27" s="2" t="s">
        <v>10801</v>
      </c>
      <c r="Z27" s="2" t="s">
        <v>7864</v>
      </c>
      <c r="AA27" s="2">
        <v>100</v>
      </c>
      <c r="AB27" s="2">
        <v>17</v>
      </c>
      <c r="AC27" s="2" t="s">
        <v>10789</v>
      </c>
      <c r="AD27" s="2" t="s">
        <v>18427</v>
      </c>
      <c r="AE27" s="2" t="s">
        <v>18260</v>
      </c>
      <c r="AF27" s="2"/>
      <c r="AG27" s="2" t="s">
        <v>18250</v>
      </c>
    </row>
    <row r="28" spans="1:33" x14ac:dyDescent="0.45">
      <c r="A28" s="2" t="s">
        <v>18428</v>
      </c>
      <c r="B28" s="2" t="s">
        <v>18429</v>
      </c>
      <c r="C28" s="2" t="s">
        <v>18430</v>
      </c>
      <c r="D28" s="2" t="s">
        <v>18431</v>
      </c>
      <c r="E28" s="2" t="s">
        <v>18432</v>
      </c>
      <c r="F28" s="2"/>
      <c r="G28" s="2"/>
      <c r="H28" s="2" t="s">
        <v>2962</v>
      </c>
      <c r="I28" s="2" t="s">
        <v>73</v>
      </c>
      <c r="J28" s="2" t="s">
        <v>16865</v>
      </c>
      <c r="K28" s="2" t="s">
        <v>18431</v>
      </c>
      <c r="L28" s="2"/>
      <c r="M28" s="2"/>
      <c r="N28" s="2"/>
      <c r="O28" s="2" t="s">
        <v>2962</v>
      </c>
      <c r="P28" s="2" t="s">
        <v>73</v>
      </c>
      <c r="Q28" s="2" t="s">
        <v>16865</v>
      </c>
      <c r="R28" s="2" t="s">
        <v>2848</v>
      </c>
      <c r="S28" s="2" t="s">
        <v>44</v>
      </c>
      <c r="T28" s="2"/>
      <c r="U28" s="2" t="s">
        <v>3527</v>
      </c>
      <c r="V28" s="2" t="s">
        <v>46</v>
      </c>
      <c r="W28" s="2" t="s">
        <v>3527</v>
      </c>
      <c r="X28" s="2" t="s">
        <v>10787</v>
      </c>
      <c r="Y28" s="2" t="s">
        <v>10801</v>
      </c>
      <c r="Z28" s="2" t="s">
        <v>7864</v>
      </c>
      <c r="AA28" s="2">
        <v>90</v>
      </c>
      <c r="AB28" s="2">
        <v>0</v>
      </c>
      <c r="AC28" s="2" t="s">
        <v>10789</v>
      </c>
      <c r="AD28" s="2" t="s">
        <v>18433</v>
      </c>
      <c r="AE28" s="2" t="s">
        <v>18260</v>
      </c>
      <c r="AF28" s="2"/>
      <c r="AG28" s="2" t="s">
        <v>18250</v>
      </c>
    </row>
    <row r="29" spans="1:33" x14ac:dyDescent="0.45">
      <c r="A29" s="2" t="s">
        <v>18434</v>
      </c>
      <c r="B29" s="2" t="s">
        <v>18435</v>
      </c>
      <c r="C29" s="2" t="s">
        <v>18436</v>
      </c>
      <c r="D29" s="2" t="s">
        <v>18437</v>
      </c>
      <c r="E29" s="2" t="s">
        <v>18438</v>
      </c>
      <c r="F29" s="2"/>
      <c r="G29" s="2"/>
      <c r="H29" s="2" t="s">
        <v>1161</v>
      </c>
      <c r="I29" s="2" t="s">
        <v>221</v>
      </c>
      <c r="J29" s="2" t="s">
        <v>18439</v>
      </c>
      <c r="K29" s="2" t="s">
        <v>18437</v>
      </c>
      <c r="L29" s="2"/>
      <c r="M29" s="2"/>
      <c r="N29" s="2"/>
      <c r="O29" s="2" t="s">
        <v>1161</v>
      </c>
      <c r="P29" s="2" t="s">
        <v>221</v>
      </c>
      <c r="Q29" s="2" t="s">
        <v>18439</v>
      </c>
      <c r="R29" s="2" t="s">
        <v>1570</v>
      </c>
      <c r="S29" s="2" t="s">
        <v>44</v>
      </c>
      <c r="T29" s="2"/>
      <c r="U29" s="2" t="s">
        <v>3527</v>
      </c>
      <c r="V29" s="2" t="s">
        <v>46</v>
      </c>
      <c r="W29" s="2" t="s">
        <v>3527</v>
      </c>
      <c r="X29" s="2" t="s">
        <v>11537</v>
      </c>
      <c r="Y29" s="2" t="s">
        <v>10801</v>
      </c>
      <c r="Z29" s="2" t="s">
        <v>7864</v>
      </c>
      <c r="AA29" s="2">
        <v>90</v>
      </c>
      <c r="AB29" s="2">
        <v>0</v>
      </c>
      <c r="AC29" s="2" t="s">
        <v>10789</v>
      </c>
      <c r="AD29" s="2" t="s">
        <v>18440</v>
      </c>
      <c r="AE29" s="2" t="s">
        <v>18260</v>
      </c>
      <c r="AF29" s="2"/>
      <c r="AG29" s="2" t="s">
        <v>18250</v>
      </c>
    </row>
    <row r="30" spans="1:33" x14ac:dyDescent="0.45">
      <c r="A30" s="2" t="s">
        <v>18441</v>
      </c>
      <c r="B30" s="2" t="s">
        <v>18442</v>
      </c>
      <c r="C30" s="2" t="s">
        <v>18443</v>
      </c>
      <c r="D30" s="2" t="s">
        <v>18444</v>
      </c>
      <c r="E30" s="2" t="s">
        <v>18445</v>
      </c>
      <c r="F30" s="2" t="s">
        <v>18446</v>
      </c>
      <c r="G30" s="2" t="s">
        <v>18446</v>
      </c>
      <c r="H30" s="2" t="s">
        <v>424</v>
      </c>
      <c r="I30" s="2" t="s">
        <v>217</v>
      </c>
      <c r="J30" s="2" t="s">
        <v>2410</v>
      </c>
      <c r="K30" s="2" t="s">
        <v>18447</v>
      </c>
      <c r="L30" s="2"/>
      <c r="M30" s="2"/>
      <c r="N30" s="2"/>
      <c r="O30" s="2" t="s">
        <v>424</v>
      </c>
      <c r="P30" s="2" t="s">
        <v>217</v>
      </c>
      <c r="Q30" s="2" t="s">
        <v>2410</v>
      </c>
      <c r="R30" s="2" t="s">
        <v>3573</v>
      </c>
      <c r="S30" s="2" t="s">
        <v>44</v>
      </c>
      <c r="T30" s="2"/>
      <c r="U30" s="2" t="s">
        <v>821</v>
      </c>
      <c r="V30" s="2" t="s">
        <v>46</v>
      </c>
      <c r="W30" s="2" t="s">
        <v>821</v>
      </c>
      <c r="X30" s="2" t="s">
        <v>10787</v>
      </c>
      <c r="Y30" s="2" t="s">
        <v>10801</v>
      </c>
      <c r="Z30" s="2" t="s">
        <v>7864</v>
      </c>
      <c r="AA30" s="2">
        <v>100</v>
      </c>
      <c r="AB30" s="2">
        <v>17</v>
      </c>
      <c r="AC30" s="2" t="s">
        <v>10789</v>
      </c>
      <c r="AD30" s="2" t="s">
        <v>18448</v>
      </c>
      <c r="AE30" s="2" t="s">
        <v>18260</v>
      </c>
      <c r="AF30" s="2"/>
      <c r="AG30" s="2" t="s">
        <v>18250</v>
      </c>
    </row>
    <row r="31" spans="1:33" x14ac:dyDescent="0.45">
      <c r="A31" s="2" t="s">
        <v>18449</v>
      </c>
      <c r="B31" s="2" t="s">
        <v>18450</v>
      </c>
      <c r="C31" s="2" t="s">
        <v>18451</v>
      </c>
      <c r="D31" s="2" t="s">
        <v>18452</v>
      </c>
      <c r="E31" s="2" t="s">
        <v>18453</v>
      </c>
      <c r="F31" s="2"/>
      <c r="G31" s="2"/>
      <c r="H31" s="2" t="s">
        <v>290</v>
      </c>
      <c r="I31" s="2" t="s">
        <v>278</v>
      </c>
      <c r="J31" s="2" t="s">
        <v>396</v>
      </c>
      <c r="K31" s="2" t="s">
        <v>18452</v>
      </c>
      <c r="L31" s="2"/>
      <c r="M31" s="2"/>
      <c r="N31" s="2"/>
      <c r="O31" s="2" t="s">
        <v>290</v>
      </c>
      <c r="P31" s="2" t="s">
        <v>278</v>
      </c>
      <c r="Q31" s="2" t="s">
        <v>396</v>
      </c>
      <c r="R31" s="2" t="s">
        <v>15085</v>
      </c>
      <c r="S31" s="2" t="s">
        <v>44</v>
      </c>
      <c r="T31" s="2"/>
      <c r="U31" s="2" t="s">
        <v>3527</v>
      </c>
      <c r="V31" s="2" t="s">
        <v>46</v>
      </c>
      <c r="W31" s="2" t="s">
        <v>3527</v>
      </c>
      <c r="X31" s="2" t="s">
        <v>10787</v>
      </c>
      <c r="Y31" s="2" t="s">
        <v>10801</v>
      </c>
      <c r="Z31" s="2" t="s">
        <v>7864</v>
      </c>
      <c r="AA31" s="2">
        <v>90</v>
      </c>
      <c r="AB31" s="2">
        <v>0</v>
      </c>
      <c r="AC31" s="2" t="s">
        <v>10789</v>
      </c>
      <c r="AD31" s="2" t="s">
        <v>18454</v>
      </c>
      <c r="AE31" s="2" t="s">
        <v>18260</v>
      </c>
      <c r="AF31" s="2"/>
      <c r="AG31" s="2" t="s">
        <v>18250</v>
      </c>
    </row>
    <row r="32" spans="1:33" x14ac:dyDescent="0.45">
      <c r="A32" s="2" t="s">
        <v>18455</v>
      </c>
      <c r="B32" s="2" t="s">
        <v>18456</v>
      </c>
      <c r="C32" s="2" t="s">
        <v>18455</v>
      </c>
      <c r="D32" s="2" t="s">
        <v>18457</v>
      </c>
      <c r="E32" s="2" t="s">
        <v>18458</v>
      </c>
      <c r="F32" s="2"/>
      <c r="G32" s="2"/>
      <c r="H32" s="2" t="s">
        <v>277</v>
      </c>
      <c r="I32" s="2" t="s">
        <v>278</v>
      </c>
      <c r="J32" s="2" t="s">
        <v>1060</v>
      </c>
      <c r="K32" s="2" t="s">
        <v>18457</v>
      </c>
      <c r="L32" s="2"/>
      <c r="M32" s="2"/>
      <c r="N32" s="2"/>
      <c r="O32" s="2" t="s">
        <v>277</v>
      </c>
      <c r="P32" s="2" t="s">
        <v>278</v>
      </c>
      <c r="Q32" s="2" t="s">
        <v>1060</v>
      </c>
      <c r="R32" s="2" t="s">
        <v>10712</v>
      </c>
      <c r="S32" s="2" t="s">
        <v>44</v>
      </c>
      <c r="T32" s="2"/>
      <c r="U32" s="2" t="s">
        <v>3527</v>
      </c>
      <c r="V32" s="2" t="s">
        <v>46</v>
      </c>
      <c r="W32" s="2" t="s">
        <v>3527</v>
      </c>
      <c r="X32" s="2" t="s">
        <v>10787</v>
      </c>
      <c r="Y32" s="2" t="s">
        <v>10801</v>
      </c>
      <c r="Z32" s="2" t="s">
        <v>7864</v>
      </c>
      <c r="AA32" s="2">
        <v>90</v>
      </c>
      <c r="AB32" s="2">
        <v>0</v>
      </c>
      <c r="AC32" s="2" t="s">
        <v>10789</v>
      </c>
      <c r="AD32" s="2" t="s">
        <v>18459</v>
      </c>
      <c r="AE32" s="2" t="s">
        <v>18260</v>
      </c>
      <c r="AF32" s="2"/>
      <c r="AG32" s="2" t="s">
        <v>18250</v>
      </c>
    </row>
    <row r="33" spans="1:33" x14ac:dyDescent="0.45">
      <c r="A33" s="2" t="s">
        <v>18460</v>
      </c>
      <c r="B33" s="2" t="s">
        <v>18461</v>
      </c>
      <c r="C33" s="2" t="s">
        <v>18460</v>
      </c>
      <c r="D33" s="2" t="s">
        <v>18462</v>
      </c>
      <c r="E33" s="2" t="s">
        <v>18463</v>
      </c>
      <c r="F33" s="2" t="s">
        <v>3562</v>
      </c>
      <c r="G33" s="2" t="s">
        <v>3562</v>
      </c>
      <c r="H33" s="2" t="s">
        <v>18464</v>
      </c>
      <c r="I33" s="2" t="s">
        <v>17681</v>
      </c>
      <c r="J33" s="2" t="s">
        <v>18465</v>
      </c>
      <c r="K33" s="2"/>
      <c r="L33" s="2"/>
      <c r="M33" s="2"/>
      <c r="N33" s="2"/>
      <c r="O33" s="2"/>
      <c r="P33" s="2"/>
      <c r="Q33" s="2"/>
      <c r="R33" s="2" t="s">
        <v>16529</v>
      </c>
      <c r="S33" s="2" t="s">
        <v>44</v>
      </c>
      <c r="T33" s="2"/>
      <c r="U33" s="2" t="s">
        <v>3527</v>
      </c>
      <c r="V33" s="2" t="s">
        <v>46</v>
      </c>
      <c r="W33" s="2" t="s">
        <v>3527</v>
      </c>
      <c r="X33" s="2" t="s">
        <v>10787</v>
      </c>
      <c r="Y33" s="2" t="s">
        <v>10801</v>
      </c>
      <c r="Z33" s="2" t="s">
        <v>7864</v>
      </c>
      <c r="AA33" s="2">
        <v>100</v>
      </c>
      <c r="AB33" s="2">
        <v>5</v>
      </c>
      <c r="AC33" s="2" t="s">
        <v>10789</v>
      </c>
      <c r="AD33" s="2" t="s">
        <v>18466</v>
      </c>
      <c r="AE33" s="2" t="s">
        <v>18260</v>
      </c>
      <c r="AF33" s="2"/>
      <c r="AG33" s="2" t="s">
        <v>18250</v>
      </c>
    </row>
    <row r="34" spans="1:33" x14ac:dyDescent="0.45">
      <c r="A34" s="2" t="s">
        <v>18467</v>
      </c>
      <c r="B34" s="2" t="s">
        <v>18468</v>
      </c>
      <c r="C34" s="2" t="s">
        <v>18467</v>
      </c>
      <c r="D34" s="2" t="s">
        <v>18469</v>
      </c>
      <c r="E34" s="2" t="s">
        <v>18470</v>
      </c>
      <c r="F34" s="2" t="s">
        <v>18471</v>
      </c>
      <c r="G34" s="2" t="s">
        <v>18471</v>
      </c>
      <c r="H34" s="2" t="s">
        <v>174</v>
      </c>
      <c r="I34" s="2" t="s">
        <v>175</v>
      </c>
      <c r="J34" s="2" t="s">
        <v>2332</v>
      </c>
      <c r="K34" s="2"/>
      <c r="L34" s="2"/>
      <c r="M34" s="2"/>
      <c r="N34" s="2"/>
      <c r="O34" s="2"/>
      <c r="P34" s="2"/>
      <c r="Q34" s="2"/>
      <c r="R34" s="2" t="s">
        <v>18472</v>
      </c>
      <c r="S34" s="2" t="s">
        <v>44</v>
      </c>
      <c r="T34" s="2"/>
      <c r="U34" s="2" t="s">
        <v>3527</v>
      </c>
      <c r="V34" s="2" t="s">
        <v>46</v>
      </c>
      <c r="W34" s="2" t="s">
        <v>3527</v>
      </c>
      <c r="X34" s="2" t="s">
        <v>10787</v>
      </c>
      <c r="Y34" s="2" t="s">
        <v>10801</v>
      </c>
      <c r="Z34" s="2" t="s">
        <v>7864</v>
      </c>
      <c r="AA34" s="2">
        <v>100</v>
      </c>
      <c r="AB34" s="2">
        <v>10</v>
      </c>
      <c r="AC34" s="2" t="s">
        <v>10789</v>
      </c>
      <c r="AD34" s="2" t="s">
        <v>18473</v>
      </c>
      <c r="AE34" s="2" t="s">
        <v>18260</v>
      </c>
      <c r="AF34" s="2"/>
      <c r="AG34" s="2" t="s">
        <v>18250</v>
      </c>
    </row>
    <row r="35" spans="1:33" x14ac:dyDescent="0.45">
      <c r="A35" s="2" t="s">
        <v>18474</v>
      </c>
      <c r="B35" s="2" t="s">
        <v>18475</v>
      </c>
      <c r="C35" s="2" t="s">
        <v>18476</v>
      </c>
      <c r="D35" s="2" t="s">
        <v>18477</v>
      </c>
      <c r="E35" s="2" t="s">
        <v>18478</v>
      </c>
      <c r="F35" s="2" t="s">
        <v>18479</v>
      </c>
      <c r="G35" s="2"/>
      <c r="H35" s="2" t="s">
        <v>5821</v>
      </c>
      <c r="I35" s="2" t="s">
        <v>278</v>
      </c>
      <c r="J35" s="2" t="s">
        <v>6183</v>
      </c>
      <c r="K35" s="2" t="s">
        <v>18477</v>
      </c>
      <c r="L35" s="2"/>
      <c r="M35" s="2"/>
      <c r="N35" s="2"/>
      <c r="O35" s="2" t="s">
        <v>5821</v>
      </c>
      <c r="P35" s="2" t="s">
        <v>278</v>
      </c>
      <c r="Q35" s="2" t="s">
        <v>6183</v>
      </c>
      <c r="R35" s="2" t="s">
        <v>5233</v>
      </c>
      <c r="S35" s="2" t="s">
        <v>44</v>
      </c>
      <c r="T35" s="2"/>
      <c r="U35" s="2" t="s">
        <v>3527</v>
      </c>
      <c r="V35" s="2" t="s">
        <v>46</v>
      </c>
      <c r="W35" s="2" t="s">
        <v>3527</v>
      </c>
      <c r="X35" s="2" t="s">
        <v>11537</v>
      </c>
      <c r="Y35" s="2" t="s">
        <v>10801</v>
      </c>
      <c r="Z35" s="2" t="s">
        <v>7864</v>
      </c>
      <c r="AA35" s="2">
        <v>100</v>
      </c>
      <c r="AB35" s="2">
        <v>5</v>
      </c>
      <c r="AC35" s="2" t="s">
        <v>10789</v>
      </c>
      <c r="AD35" s="2" t="s">
        <v>18480</v>
      </c>
      <c r="AE35" s="2" t="s">
        <v>18260</v>
      </c>
      <c r="AF35" s="2"/>
      <c r="AG35" s="2" t="s">
        <v>18250</v>
      </c>
    </row>
    <row r="36" spans="1:33" x14ac:dyDescent="0.45">
      <c r="A36" s="2" t="s">
        <v>18481</v>
      </c>
      <c r="B36" s="2" t="s">
        <v>18482</v>
      </c>
      <c r="C36" s="2"/>
      <c r="D36" s="2" t="s">
        <v>18483</v>
      </c>
      <c r="E36" s="2" t="s">
        <v>18484</v>
      </c>
      <c r="F36" s="2" t="s">
        <v>18485</v>
      </c>
      <c r="G36" s="2" t="s">
        <v>18485</v>
      </c>
      <c r="H36" s="2"/>
      <c r="I36" s="2" t="s">
        <v>1137</v>
      </c>
      <c r="J36" s="2" t="s">
        <v>18486</v>
      </c>
      <c r="K36" s="2"/>
      <c r="L36" s="2"/>
      <c r="M36" s="2"/>
      <c r="N36" s="2"/>
      <c r="O36" s="2"/>
      <c r="P36" s="2"/>
      <c r="Q36" s="2"/>
      <c r="R36" s="2" t="s">
        <v>18487</v>
      </c>
      <c r="S36" s="2" t="s">
        <v>44</v>
      </c>
      <c r="T36" s="2"/>
      <c r="U36" s="2" t="s">
        <v>3527</v>
      </c>
      <c r="V36" s="2" t="s">
        <v>46</v>
      </c>
      <c r="W36" s="2" t="s">
        <v>3527</v>
      </c>
      <c r="X36" s="2" t="s">
        <v>10787</v>
      </c>
      <c r="Y36" s="2" t="s">
        <v>10801</v>
      </c>
      <c r="Z36" s="2" t="s">
        <v>7864</v>
      </c>
      <c r="AA36" s="2">
        <v>70</v>
      </c>
      <c r="AB36" s="2">
        <v>0</v>
      </c>
      <c r="AC36" s="2" t="s">
        <v>10789</v>
      </c>
      <c r="AD36" s="2" t="s">
        <v>18488</v>
      </c>
      <c r="AE36" s="2" t="s">
        <v>18260</v>
      </c>
      <c r="AF36" s="2"/>
      <c r="AG36" s="2" t="s">
        <v>18250</v>
      </c>
    </row>
    <row r="37" spans="1:33" x14ac:dyDescent="0.45">
      <c r="A37" s="2" t="s">
        <v>18489</v>
      </c>
      <c r="B37" s="2" t="s">
        <v>18490</v>
      </c>
      <c r="C37" s="2" t="s">
        <v>18491</v>
      </c>
      <c r="D37" s="2" t="s">
        <v>18492</v>
      </c>
      <c r="E37" s="2" t="s">
        <v>18493</v>
      </c>
      <c r="F37" s="2" t="s">
        <v>18494</v>
      </c>
      <c r="G37" s="2" t="s">
        <v>18494</v>
      </c>
      <c r="H37" s="2" t="s">
        <v>1023</v>
      </c>
      <c r="I37" s="2" t="s">
        <v>73</v>
      </c>
      <c r="J37" s="2" t="s">
        <v>18495</v>
      </c>
      <c r="K37" s="2" t="s">
        <v>18492</v>
      </c>
      <c r="L37" s="2"/>
      <c r="M37" s="2"/>
      <c r="N37" s="2"/>
      <c r="O37" s="2" t="s">
        <v>1023</v>
      </c>
      <c r="P37" s="2" t="s">
        <v>73</v>
      </c>
      <c r="Q37" s="2" t="s">
        <v>18495</v>
      </c>
      <c r="R37" s="2" t="s">
        <v>16274</v>
      </c>
      <c r="S37" s="2" t="s">
        <v>44</v>
      </c>
      <c r="T37" s="2"/>
      <c r="U37" s="2" t="s">
        <v>3527</v>
      </c>
      <c r="V37" s="2" t="s">
        <v>46</v>
      </c>
      <c r="W37" s="2" t="s">
        <v>3527</v>
      </c>
      <c r="X37" s="2" t="s">
        <v>10787</v>
      </c>
      <c r="Y37" s="2" t="s">
        <v>10801</v>
      </c>
      <c r="Z37" s="2" t="s">
        <v>7864</v>
      </c>
      <c r="AA37" s="2">
        <v>100</v>
      </c>
      <c r="AB37" s="2">
        <v>10</v>
      </c>
      <c r="AC37" s="2" t="s">
        <v>10789</v>
      </c>
      <c r="AD37" s="2" t="s">
        <v>18496</v>
      </c>
      <c r="AE37" s="2" t="s">
        <v>18260</v>
      </c>
      <c r="AF37" s="2"/>
      <c r="AG37" s="2" t="s">
        <v>18250</v>
      </c>
    </row>
    <row r="38" spans="1:33" x14ac:dyDescent="0.45">
      <c r="A38" s="2" t="s">
        <v>18497</v>
      </c>
      <c r="B38" s="2" t="s">
        <v>18498</v>
      </c>
      <c r="C38" s="2" t="s">
        <v>18497</v>
      </c>
      <c r="D38" s="2" t="s">
        <v>18499</v>
      </c>
      <c r="E38" s="2" t="s">
        <v>18500</v>
      </c>
      <c r="F38" s="2" t="s">
        <v>18501</v>
      </c>
      <c r="G38" s="2"/>
      <c r="H38" s="2" t="s">
        <v>10502</v>
      </c>
      <c r="I38" s="2" t="s">
        <v>1112</v>
      </c>
      <c r="J38" s="2" t="s">
        <v>18502</v>
      </c>
      <c r="K38" s="2" t="s">
        <v>18499</v>
      </c>
      <c r="L38" s="2"/>
      <c r="M38" s="2"/>
      <c r="N38" s="2"/>
      <c r="O38" s="2" t="s">
        <v>10502</v>
      </c>
      <c r="P38" s="2" t="s">
        <v>1112</v>
      </c>
      <c r="Q38" s="2" t="s">
        <v>18502</v>
      </c>
      <c r="R38" s="2" t="s">
        <v>1026</v>
      </c>
      <c r="S38" s="2" t="s">
        <v>44</v>
      </c>
      <c r="T38" s="2"/>
      <c r="U38" s="2" t="s">
        <v>3527</v>
      </c>
      <c r="V38" s="2" t="s">
        <v>46</v>
      </c>
      <c r="W38" s="2" t="s">
        <v>3527</v>
      </c>
      <c r="X38" s="2" t="s">
        <v>10787</v>
      </c>
      <c r="Y38" s="2" t="s">
        <v>10801</v>
      </c>
      <c r="Z38" s="2" t="s">
        <v>7864</v>
      </c>
      <c r="AA38" s="2">
        <v>100</v>
      </c>
      <c r="AB38" s="2">
        <v>5</v>
      </c>
      <c r="AC38" s="2" t="s">
        <v>10789</v>
      </c>
      <c r="AD38" s="2" t="s">
        <v>18503</v>
      </c>
      <c r="AE38" s="2" t="s">
        <v>18260</v>
      </c>
      <c r="AF38" s="2"/>
      <c r="AG38" s="2" t="s">
        <v>18250</v>
      </c>
    </row>
    <row r="39" spans="1:33" x14ac:dyDescent="0.45">
      <c r="A39" s="2" t="s">
        <v>18504</v>
      </c>
      <c r="B39" s="2" t="s">
        <v>18505</v>
      </c>
      <c r="C39" s="2" t="s">
        <v>18506</v>
      </c>
      <c r="D39" s="2" t="s">
        <v>18507</v>
      </c>
      <c r="E39" s="2" t="s">
        <v>18508</v>
      </c>
      <c r="F39" s="2" t="s">
        <v>18509</v>
      </c>
      <c r="G39" s="2"/>
      <c r="H39" s="2" t="s">
        <v>8506</v>
      </c>
      <c r="I39" s="2" t="s">
        <v>221</v>
      </c>
      <c r="J39" s="2" t="s">
        <v>18510</v>
      </c>
      <c r="K39" s="2" t="s">
        <v>18507</v>
      </c>
      <c r="L39" s="2"/>
      <c r="M39" s="2"/>
      <c r="N39" s="2"/>
      <c r="O39" s="2" t="s">
        <v>8506</v>
      </c>
      <c r="P39" s="2" t="s">
        <v>221</v>
      </c>
      <c r="Q39" s="2" t="s">
        <v>18510</v>
      </c>
      <c r="R39" s="2" t="s">
        <v>589</v>
      </c>
      <c r="S39" s="2" t="s">
        <v>44</v>
      </c>
      <c r="T39" s="2"/>
      <c r="U39" s="2" t="s">
        <v>3527</v>
      </c>
      <c r="V39" s="2" t="s">
        <v>46</v>
      </c>
      <c r="W39" s="2" t="s">
        <v>3527</v>
      </c>
      <c r="X39" s="2" t="s">
        <v>10787</v>
      </c>
      <c r="Y39" s="2" t="s">
        <v>10801</v>
      </c>
      <c r="Z39" s="2" t="s">
        <v>7864</v>
      </c>
      <c r="AA39" s="2">
        <v>100</v>
      </c>
      <c r="AB39" s="2">
        <v>5</v>
      </c>
      <c r="AC39" s="2" t="s">
        <v>10789</v>
      </c>
      <c r="AD39" s="2" t="s">
        <v>18511</v>
      </c>
      <c r="AE39" s="2" t="s">
        <v>18260</v>
      </c>
      <c r="AF39" s="2"/>
      <c r="AG39" s="2" t="s">
        <v>18250</v>
      </c>
    </row>
    <row r="40" spans="1:33" x14ac:dyDescent="0.45">
      <c r="A40" s="2" t="s">
        <v>18512</v>
      </c>
      <c r="B40" s="2" t="s">
        <v>18513</v>
      </c>
      <c r="C40" s="2" t="s">
        <v>18512</v>
      </c>
      <c r="D40" s="2" t="s">
        <v>18514</v>
      </c>
      <c r="E40" s="2" t="s">
        <v>18515</v>
      </c>
      <c r="F40" s="2"/>
      <c r="G40" s="2"/>
      <c r="H40" s="2" t="s">
        <v>18516</v>
      </c>
      <c r="I40" s="2" t="s">
        <v>175</v>
      </c>
      <c r="J40" s="2" t="s">
        <v>18517</v>
      </c>
      <c r="K40" s="2" t="s">
        <v>18514</v>
      </c>
      <c r="L40" s="2"/>
      <c r="M40" s="2"/>
      <c r="N40" s="2"/>
      <c r="O40" s="2" t="s">
        <v>18516</v>
      </c>
      <c r="P40" s="2" t="s">
        <v>175</v>
      </c>
      <c r="Q40" s="2" t="s">
        <v>18517</v>
      </c>
      <c r="R40" s="2" t="s">
        <v>18518</v>
      </c>
      <c r="S40" s="2" t="s">
        <v>44</v>
      </c>
      <c r="T40" s="2"/>
      <c r="U40" s="2" t="s">
        <v>3527</v>
      </c>
      <c r="V40" s="2" t="s">
        <v>46</v>
      </c>
      <c r="W40" s="2" t="s">
        <v>3527</v>
      </c>
      <c r="X40" s="2" t="s">
        <v>11537</v>
      </c>
      <c r="Y40" s="2" t="s">
        <v>10801</v>
      </c>
      <c r="Z40" s="2" t="s">
        <v>7864</v>
      </c>
      <c r="AA40" s="2">
        <v>90</v>
      </c>
      <c r="AB40" s="2">
        <v>0</v>
      </c>
      <c r="AC40" s="2" t="s">
        <v>10789</v>
      </c>
      <c r="AD40" s="2" t="s">
        <v>18519</v>
      </c>
      <c r="AE40" s="2" t="s">
        <v>18260</v>
      </c>
      <c r="AF40" s="2"/>
      <c r="AG40" s="2" t="s">
        <v>18250</v>
      </c>
    </row>
    <row r="41" spans="1:33" x14ac:dyDescent="0.45">
      <c r="A41" s="2" t="s">
        <v>18520</v>
      </c>
      <c r="B41" s="2" t="s">
        <v>18521</v>
      </c>
      <c r="C41" s="2" t="s">
        <v>18520</v>
      </c>
      <c r="D41" s="2" t="s">
        <v>18522</v>
      </c>
      <c r="E41" s="2" t="s">
        <v>18523</v>
      </c>
      <c r="F41" s="2"/>
      <c r="G41" s="2"/>
      <c r="H41" s="2" t="s">
        <v>8495</v>
      </c>
      <c r="I41" s="2" t="s">
        <v>8496</v>
      </c>
      <c r="J41" s="2" t="s">
        <v>14128</v>
      </c>
      <c r="K41" s="2" t="s">
        <v>18522</v>
      </c>
      <c r="L41" s="2"/>
      <c r="M41" s="2"/>
      <c r="N41" s="2"/>
      <c r="O41" s="2" t="s">
        <v>8495</v>
      </c>
      <c r="P41" s="2" t="s">
        <v>8496</v>
      </c>
      <c r="Q41" s="2" t="s">
        <v>14128</v>
      </c>
      <c r="R41" s="2" t="s">
        <v>13655</v>
      </c>
      <c r="S41" s="2" t="s">
        <v>44</v>
      </c>
      <c r="T41" s="2"/>
      <c r="U41" s="2" t="s">
        <v>3527</v>
      </c>
      <c r="V41" s="2" t="s">
        <v>46</v>
      </c>
      <c r="W41" s="2" t="s">
        <v>3527</v>
      </c>
      <c r="X41" s="2" t="s">
        <v>10787</v>
      </c>
      <c r="Y41" s="2" t="s">
        <v>10801</v>
      </c>
      <c r="Z41" s="2" t="s">
        <v>7864</v>
      </c>
      <c r="AA41" s="2">
        <v>90</v>
      </c>
      <c r="AB41" s="2">
        <v>0</v>
      </c>
      <c r="AC41" s="2" t="s">
        <v>10789</v>
      </c>
      <c r="AD41" s="2" t="s">
        <v>18524</v>
      </c>
      <c r="AE41" s="2" t="s">
        <v>18260</v>
      </c>
      <c r="AF41" s="2"/>
      <c r="AG41" s="2" t="s">
        <v>18250</v>
      </c>
    </row>
    <row r="42" spans="1:33" x14ac:dyDescent="0.45">
      <c r="A42" s="2" t="s">
        <v>18525</v>
      </c>
      <c r="B42" s="2" t="s">
        <v>18526</v>
      </c>
      <c r="C42" s="2" t="s">
        <v>18525</v>
      </c>
      <c r="D42" s="2" t="s">
        <v>18527</v>
      </c>
      <c r="E42" s="2" t="s">
        <v>18528</v>
      </c>
      <c r="F42" s="2" t="s">
        <v>18529</v>
      </c>
      <c r="G42" s="2"/>
      <c r="H42" s="2" t="s">
        <v>174</v>
      </c>
      <c r="I42" s="2" t="s">
        <v>175</v>
      </c>
      <c r="J42" s="2" t="s">
        <v>18530</v>
      </c>
      <c r="K42" s="2" t="s">
        <v>18527</v>
      </c>
      <c r="L42" s="2"/>
      <c r="M42" s="2"/>
      <c r="N42" s="2"/>
      <c r="O42" s="2" t="s">
        <v>174</v>
      </c>
      <c r="P42" s="2" t="s">
        <v>175</v>
      </c>
      <c r="Q42" s="2" t="s">
        <v>18530</v>
      </c>
      <c r="R42" s="2" t="s">
        <v>18531</v>
      </c>
      <c r="S42" s="2" t="s">
        <v>44</v>
      </c>
      <c r="T42" s="2"/>
      <c r="U42" s="2" t="s">
        <v>3527</v>
      </c>
      <c r="V42" s="2" t="s">
        <v>46</v>
      </c>
      <c r="W42" s="2" t="s">
        <v>3527</v>
      </c>
      <c r="X42" s="2" t="s">
        <v>10787</v>
      </c>
      <c r="Y42" s="2" t="s">
        <v>10801</v>
      </c>
      <c r="Z42" s="2" t="s">
        <v>7864</v>
      </c>
      <c r="AA42" s="2">
        <v>100</v>
      </c>
      <c r="AB42" s="2">
        <v>10</v>
      </c>
      <c r="AC42" s="2" t="s">
        <v>10789</v>
      </c>
      <c r="AD42" s="2" t="s">
        <v>18532</v>
      </c>
      <c r="AE42" s="2" t="s">
        <v>18260</v>
      </c>
      <c r="AF42" s="2"/>
      <c r="AG42" s="2" t="s">
        <v>18250</v>
      </c>
    </row>
    <row r="43" spans="1:33" x14ac:dyDescent="0.45">
      <c r="A43" s="2" t="s">
        <v>18533</v>
      </c>
      <c r="B43" s="2" t="s">
        <v>18534</v>
      </c>
      <c r="C43" s="2"/>
      <c r="D43" s="2" t="s">
        <v>18535</v>
      </c>
      <c r="E43" s="2" t="s">
        <v>18536</v>
      </c>
      <c r="F43" s="2" t="s">
        <v>18537</v>
      </c>
      <c r="G43" s="2" t="s">
        <v>18537</v>
      </c>
      <c r="H43" s="2" t="s">
        <v>18538</v>
      </c>
      <c r="I43" s="2" t="s">
        <v>8496</v>
      </c>
      <c r="J43" s="2" t="s">
        <v>18539</v>
      </c>
      <c r="K43" s="2"/>
      <c r="L43" s="2"/>
      <c r="M43" s="2"/>
      <c r="N43" s="2"/>
      <c r="O43" s="2"/>
      <c r="P43" s="2"/>
      <c r="Q43" s="2"/>
      <c r="R43" s="2" t="s">
        <v>8371</v>
      </c>
      <c r="S43" s="2" t="s">
        <v>44</v>
      </c>
      <c r="T43" s="2"/>
      <c r="U43" s="2" t="s">
        <v>821</v>
      </c>
      <c r="V43" s="2" t="s">
        <v>46</v>
      </c>
      <c r="W43" s="2" t="s">
        <v>821</v>
      </c>
      <c r="X43" s="2" t="s">
        <v>10787</v>
      </c>
      <c r="Y43" s="2" t="s">
        <v>10801</v>
      </c>
      <c r="Z43" s="2" t="s">
        <v>7864</v>
      </c>
      <c r="AA43" s="2">
        <v>85</v>
      </c>
      <c r="AB43" s="2">
        <v>12</v>
      </c>
      <c r="AC43" s="2" t="s">
        <v>10789</v>
      </c>
      <c r="AD43" s="2" t="s">
        <v>18540</v>
      </c>
      <c r="AE43" s="2" t="s">
        <v>18260</v>
      </c>
      <c r="AF43" s="2"/>
      <c r="AG43" s="2" t="s">
        <v>18250</v>
      </c>
    </row>
    <row r="44" spans="1:33" x14ac:dyDescent="0.45">
      <c r="A44" s="2" t="s">
        <v>18541</v>
      </c>
      <c r="B44" s="2" t="s">
        <v>18542</v>
      </c>
      <c r="C44" s="2" t="s">
        <v>18541</v>
      </c>
      <c r="D44" s="2" t="s">
        <v>18543</v>
      </c>
      <c r="E44" s="2" t="s">
        <v>18544</v>
      </c>
      <c r="F44" s="2" t="s">
        <v>18545</v>
      </c>
      <c r="G44" s="2" t="s">
        <v>18545</v>
      </c>
      <c r="H44" s="2" t="s">
        <v>11211</v>
      </c>
      <c r="I44" s="2" t="s">
        <v>313</v>
      </c>
      <c r="J44" s="2" t="s">
        <v>18546</v>
      </c>
      <c r="K44" s="2" t="s">
        <v>18543</v>
      </c>
      <c r="L44" s="2"/>
      <c r="M44" s="2"/>
      <c r="N44" s="2"/>
      <c r="O44" s="2" t="s">
        <v>11211</v>
      </c>
      <c r="P44" s="2" t="s">
        <v>313</v>
      </c>
      <c r="Q44" s="2" t="s">
        <v>18546</v>
      </c>
      <c r="R44" s="2" t="s">
        <v>6214</v>
      </c>
      <c r="S44" s="2" t="s">
        <v>44</v>
      </c>
      <c r="T44" s="2"/>
      <c r="U44" s="2" t="s">
        <v>3527</v>
      </c>
      <c r="V44" s="2" t="s">
        <v>46</v>
      </c>
      <c r="W44" s="2" t="s">
        <v>3527</v>
      </c>
      <c r="X44" s="2" t="s">
        <v>10787</v>
      </c>
      <c r="Y44" s="2" t="s">
        <v>10801</v>
      </c>
      <c r="Z44" s="2" t="s">
        <v>7864</v>
      </c>
      <c r="AA44" s="2">
        <v>100</v>
      </c>
      <c r="AB44" s="2">
        <v>5</v>
      </c>
      <c r="AC44" s="2" t="s">
        <v>10789</v>
      </c>
      <c r="AD44" s="2" t="s">
        <v>18547</v>
      </c>
      <c r="AE44" s="2" t="s">
        <v>18260</v>
      </c>
      <c r="AF44" s="2"/>
      <c r="AG44" s="2" t="s">
        <v>18250</v>
      </c>
    </row>
    <row r="45" spans="1:33" x14ac:dyDescent="0.45">
      <c r="A45" s="2" t="s">
        <v>18548</v>
      </c>
      <c r="B45" s="2" t="s">
        <v>18549</v>
      </c>
      <c r="C45" s="2" t="s">
        <v>18548</v>
      </c>
      <c r="D45" s="2" t="s">
        <v>18550</v>
      </c>
      <c r="E45" s="2" t="s">
        <v>18551</v>
      </c>
      <c r="F45" s="2" t="s">
        <v>709</v>
      </c>
      <c r="G45" s="2" t="s">
        <v>709</v>
      </c>
      <c r="H45" s="2" t="s">
        <v>216</v>
      </c>
      <c r="I45" s="2" t="s">
        <v>217</v>
      </c>
      <c r="J45" s="2" t="s">
        <v>18552</v>
      </c>
      <c r="K45" s="2" t="s">
        <v>18550</v>
      </c>
      <c r="L45" s="2"/>
      <c r="M45" s="2"/>
      <c r="N45" s="2"/>
      <c r="O45" s="2" t="s">
        <v>216</v>
      </c>
      <c r="P45" s="2" t="s">
        <v>217</v>
      </c>
      <c r="Q45" s="2" t="s">
        <v>18552</v>
      </c>
      <c r="R45" s="2" t="s">
        <v>8580</v>
      </c>
      <c r="S45" s="2" t="s">
        <v>44</v>
      </c>
      <c r="T45" s="2"/>
      <c r="U45" s="2" t="s">
        <v>3527</v>
      </c>
      <c r="V45" s="2" t="s">
        <v>46</v>
      </c>
      <c r="W45" s="2" t="s">
        <v>3527</v>
      </c>
      <c r="X45" s="2" t="s">
        <v>10787</v>
      </c>
      <c r="Y45" s="2" t="s">
        <v>10801</v>
      </c>
      <c r="Z45" s="2" t="s">
        <v>7864</v>
      </c>
      <c r="AA45" s="2">
        <v>100</v>
      </c>
      <c r="AB45" s="2">
        <v>10</v>
      </c>
      <c r="AC45" s="2" t="s">
        <v>10789</v>
      </c>
      <c r="AD45" s="2" t="s">
        <v>18553</v>
      </c>
      <c r="AE45" s="2" t="s">
        <v>18260</v>
      </c>
      <c r="AF45" s="2"/>
      <c r="AG45" s="2" t="s">
        <v>18250</v>
      </c>
    </row>
    <row r="46" spans="1:33" x14ac:dyDescent="0.45">
      <c r="A46" s="2" t="s">
        <v>18554</v>
      </c>
      <c r="B46" s="2" t="s">
        <v>18555</v>
      </c>
      <c r="C46" s="2" t="s">
        <v>18556</v>
      </c>
      <c r="D46" s="2" t="s">
        <v>18557</v>
      </c>
      <c r="E46" s="2" t="s">
        <v>18558</v>
      </c>
      <c r="F46" s="2" t="s">
        <v>18559</v>
      </c>
      <c r="G46" s="2"/>
      <c r="H46" s="2" t="s">
        <v>18560</v>
      </c>
      <c r="I46" s="2" t="s">
        <v>221</v>
      </c>
      <c r="J46" s="2" t="s">
        <v>18561</v>
      </c>
      <c r="K46" s="2" t="s">
        <v>18562</v>
      </c>
      <c r="L46" s="2"/>
      <c r="M46" s="2"/>
      <c r="N46" s="2"/>
      <c r="O46" s="2" t="s">
        <v>18560</v>
      </c>
      <c r="P46" s="2" t="s">
        <v>221</v>
      </c>
      <c r="Q46" s="2" t="s">
        <v>18561</v>
      </c>
      <c r="R46" s="2" t="s">
        <v>9022</v>
      </c>
      <c r="S46" s="2" t="s">
        <v>44</v>
      </c>
      <c r="T46" s="2"/>
      <c r="U46" s="2" t="s">
        <v>3527</v>
      </c>
      <c r="V46" s="2" t="s">
        <v>46</v>
      </c>
      <c r="W46" s="2" t="s">
        <v>3527</v>
      </c>
      <c r="X46" s="2" t="s">
        <v>10787</v>
      </c>
      <c r="Y46" s="2" t="s">
        <v>10801</v>
      </c>
      <c r="Z46" s="2" t="s">
        <v>7864</v>
      </c>
      <c r="AA46" s="2">
        <v>100</v>
      </c>
      <c r="AB46" s="2">
        <v>5</v>
      </c>
      <c r="AC46" s="2" t="s">
        <v>10789</v>
      </c>
      <c r="AD46" s="2" t="s">
        <v>18563</v>
      </c>
      <c r="AE46" s="2" t="s">
        <v>18260</v>
      </c>
      <c r="AF46" s="2"/>
      <c r="AG46" s="2" t="s">
        <v>18250</v>
      </c>
    </row>
    <row r="47" spans="1:33" x14ac:dyDescent="0.45">
      <c r="A47" s="2" t="s">
        <v>18564</v>
      </c>
      <c r="B47" s="2" t="s">
        <v>18565</v>
      </c>
      <c r="C47" s="2" t="s">
        <v>18564</v>
      </c>
      <c r="D47" s="2" t="s">
        <v>18566</v>
      </c>
      <c r="E47" s="2" t="s">
        <v>18567</v>
      </c>
      <c r="F47" s="2" t="s">
        <v>18568</v>
      </c>
      <c r="G47" s="2"/>
      <c r="H47" s="2" t="s">
        <v>18569</v>
      </c>
      <c r="I47" s="2" t="s">
        <v>175</v>
      </c>
      <c r="J47" s="2" t="s">
        <v>18570</v>
      </c>
      <c r="K47" s="2" t="s">
        <v>18566</v>
      </c>
      <c r="L47" s="2"/>
      <c r="M47" s="2"/>
      <c r="N47" s="2"/>
      <c r="O47" s="2" t="s">
        <v>18569</v>
      </c>
      <c r="P47" s="2" t="s">
        <v>175</v>
      </c>
      <c r="Q47" s="2" t="s">
        <v>18570</v>
      </c>
      <c r="R47" s="2" t="s">
        <v>5224</v>
      </c>
      <c r="S47" s="2" t="s">
        <v>44</v>
      </c>
      <c r="T47" s="2"/>
      <c r="U47" s="2" t="s">
        <v>3527</v>
      </c>
      <c r="V47" s="2" t="s">
        <v>46</v>
      </c>
      <c r="W47" s="2" t="s">
        <v>3527</v>
      </c>
      <c r="X47" s="2" t="s">
        <v>10787</v>
      </c>
      <c r="Y47" s="2" t="s">
        <v>10801</v>
      </c>
      <c r="Z47" s="2" t="s">
        <v>7864</v>
      </c>
      <c r="AA47" s="2">
        <v>100</v>
      </c>
      <c r="AB47" s="2">
        <v>5</v>
      </c>
      <c r="AC47" s="2" t="s">
        <v>10789</v>
      </c>
      <c r="AD47" s="2" t="s">
        <v>18571</v>
      </c>
      <c r="AE47" s="2" t="s">
        <v>18260</v>
      </c>
      <c r="AF47" s="2"/>
      <c r="AG47" s="2" t="s">
        <v>18250</v>
      </c>
    </row>
    <row r="48" spans="1:33" x14ac:dyDescent="0.45">
      <c r="A48" s="2" t="s">
        <v>18572</v>
      </c>
      <c r="B48" s="2" t="s">
        <v>18573</v>
      </c>
      <c r="C48" s="2" t="s">
        <v>18572</v>
      </c>
      <c r="D48" s="2" t="s">
        <v>18574</v>
      </c>
      <c r="E48" s="2" t="s">
        <v>18575</v>
      </c>
      <c r="F48" s="2"/>
      <c r="G48" s="2"/>
      <c r="H48" s="2" t="s">
        <v>312</v>
      </c>
      <c r="I48" s="2" t="s">
        <v>313</v>
      </c>
      <c r="J48" s="2" t="s">
        <v>7647</v>
      </c>
      <c r="K48" s="2" t="s">
        <v>18576</v>
      </c>
      <c r="L48" s="2"/>
      <c r="M48" s="2"/>
      <c r="N48" s="2"/>
      <c r="O48" s="2" t="s">
        <v>312</v>
      </c>
      <c r="P48" s="2" t="s">
        <v>313</v>
      </c>
      <c r="Q48" s="2" t="s">
        <v>7647</v>
      </c>
      <c r="R48" s="2" t="s">
        <v>18577</v>
      </c>
      <c r="S48" s="2" t="s">
        <v>44</v>
      </c>
      <c r="T48" s="2"/>
      <c r="U48" s="2" t="s">
        <v>821</v>
      </c>
      <c r="V48" s="2" t="s">
        <v>46</v>
      </c>
      <c r="W48" s="2" t="s">
        <v>821</v>
      </c>
      <c r="X48" s="2" t="s">
        <v>10787</v>
      </c>
      <c r="Y48" s="2" t="s">
        <v>10801</v>
      </c>
      <c r="Z48" s="2" t="s">
        <v>7864</v>
      </c>
      <c r="AA48" s="2">
        <v>90</v>
      </c>
      <c r="AB48" s="2">
        <v>7</v>
      </c>
      <c r="AC48" s="2" t="s">
        <v>10789</v>
      </c>
      <c r="AD48" s="2" t="s">
        <v>18578</v>
      </c>
      <c r="AE48" s="2" t="s">
        <v>18260</v>
      </c>
      <c r="AF48" s="2"/>
      <c r="AG48" s="2" t="s">
        <v>18250</v>
      </c>
    </row>
    <row r="49" spans="1:33" x14ac:dyDescent="0.45">
      <c r="A49" s="2" t="s">
        <v>18579</v>
      </c>
      <c r="B49" s="2" t="s">
        <v>18580</v>
      </c>
      <c r="C49" s="2" t="s">
        <v>18579</v>
      </c>
      <c r="D49" s="2" t="s">
        <v>18581</v>
      </c>
      <c r="E49" s="2" t="s">
        <v>18582</v>
      </c>
      <c r="F49" s="2"/>
      <c r="G49" s="2"/>
      <c r="H49" s="2" t="s">
        <v>651</v>
      </c>
      <c r="I49" s="2" t="s">
        <v>86</v>
      </c>
      <c r="J49" s="2" t="s">
        <v>18583</v>
      </c>
      <c r="K49" s="2"/>
      <c r="L49" s="2"/>
      <c r="M49" s="2"/>
      <c r="N49" s="2"/>
      <c r="O49" s="2"/>
      <c r="P49" s="2"/>
      <c r="Q49" s="2"/>
      <c r="R49" s="2" t="s">
        <v>3458</v>
      </c>
      <c r="S49" s="2" t="s">
        <v>44</v>
      </c>
      <c r="T49" s="2"/>
      <c r="U49" s="2" t="s">
        <v>3527</v>
      </c>
      <c r="V49" s="2" t="s">
        <v>46</v>
      </c>
      <c r="W49" s="2" t="s">
        <v>3527</v>
      </c>
      <c r="X49" s="2" t="s">
        <v>10787</v>
      </c>
      <c r="Y49" s="2" t="s">
        <v>10801</v>
      </c>
      <c r="Z49" s="2" t="s">
        <v>7864</v>
      </c>
      <c r="AA49" s="2">
        <v>90</v>
      </c>
      <c r="AB49" s="2">
        <v>0</v>
      </c>
      <c r="AC49" s="2" t="s">
        <v>10789</v>
      </c>
      <c r="AD49" s="2" t="s">
        <v>18584</v>
      </c>
      <c r="AE49" s="2" t="s">
        <v>18260</v>
      </c>
      <c r="AF49" s="2"/>
      <c r="AG49" s="2" t="s">
        <v>18250</v>
      </c>
    </row>
    <row r="50" spans="1:33" x14ac:dyDescent="0.45">
      <c r="A50" s="2" t="s">
        <v>18585</v>
      </c>
      <c r="B50" s="2" t="s">
        <v>18586</v>
      </c>
      <c r="C50" s="2" t="s">
        <v>18585</v>
      </c>
      <c r="D50" s="2" t="s">
        <v>18587</v>
      </c>
      <c r="E50" s="2" t="s">
        <v>18588</v>
      </c>
      <c r="F50" s="2" t="s">
        <v>18589</v>
      </c>
      <c r="G50" s="2" t="s">
        <v>18589</v>
      </c>
      <c r="H50" s="2" t="s">
        <v>6062</v>
      </c>
      <c r="I50" s="2" t="s">
        <v>217</v>
      </c>
      <c r="J50" s="2" t="s">
        <v>12687</v>
      </c>
      <c r="K50" s="2"/>
      <c r="L50" s="2"/>
      <c r="M50" s="2"/>
      <c r="N50" s="2"/>
      <c r="O50" s="2"/>
      <c r="P50" s="2"/>
      <c r="Q50" s="2"/>
      <c r="R50" s="2" t="s">
        <v>14840</v>
      </c>
      <c r="S50" s="2" t="s">
        <v>44</v>
      </c>
      <c r="T50" s="2"/>
      <c r="U50" s="2" t="s">
        <v>3527</v>
      </c>
      <c r="V50" s="2" t="s">
        <v>46</v>
      </c>
      <c r="W50" s="2" t="s">
        <v>3527</v>
      </c>
      <c r="X50" s="2" t="s">
        <v>12462</v>
      </c>
      <c r="Y50" s="2" t="s">
        <v>10801</v>
      </c>
      <c r="Z50" s="2" t="s">
        <v>7864</v>
      </c>
      <c r="AA50" s="2">
        <v>100</v>
      </c>
      <c r="AB50" s="2">
        <v>5</v>
      </c>
      <c r="AC50" s="2" t="s">
        <v>10789</v>
      </c>
      <c r="AD50" s="2" t="s">
        <v>18590</v>
      </c>
      <c r="AE50" s="2" t="s">
        <v>18260</v>
      </c>
      <c r="AF50" s="2"/>
      <c r="AG50" s="2" t="s">
        <v>18250</v>
      </c>
    </row>
    <row r="51" spans="1:33" x14ac:dyDescent="0.45">
      <c r="A51" s="2" t="s">
        <v>18591</v>
      </c>
      <c r="B51" s="2" t="s">
        <v>18592</v>
      </c>
      <c r="C51" s="2" t="s">
        <v>18591</v>
      </c>
      <c r="D51" s="2" t="s">
        <v>18593</v>
      </c>
      <c r="E51" s="2" t="s">
        <v>18594</v>
      </c>
      <c r="F51" s="2" t="s">
        <v>18595</v>
      </c>
      <c r="G51" s="2" t="s">
        <v>18595</v>
      </c>
      <c r="H51" s="2" t="s">
        <v>8392</v>
      </c>
      <c r="I51" s="2" t="s">
        <v>313</v>
      </c>
      <c r="J51" s="2" t="s">
        <v>8393</v>
      </c>
      <c r="K51" s="2" t="s">
        <v>18593</v>
      </c>
      <c r="L51" s="2"/>
      <c r="M51" s="2"/>
      <c r="N51" s="2"/>
      <c r="O51" s="2" t="s">
        <v>8392</v>
      </c>
      <c r="P51" s="2" t="s">
        <v>313</v>
      </c>
      <c r="Q51" s="2" t="s">
        <v>8393</v>
      </c>
      <c r="R51" s="2" t="s">
        <v>5756</v>
      </c>
      <c r="S51" s="2" t="s">
        <v>44</v>
      </c>
      <c r="T51" s="2"/>
      <c r="U51" s="2" t="s">
        <v>3527</v>
      </c>
      <c r="V51" s="2" t="s">
        <v>46</v>
      </c>
      <c r="W51" s="2" t="s">
        <v>3527</v>
      </c>
      <c r="X51" s="2" t="s">
        <v>10787</v>
      </c>
      <c r="Y51" s="2" t="s">
        <v>10801</v>
      </c>
      <c r="Z51" s="2" t="s">
        <v>7864</v>
      </c>
      <c r="AA51" s="2">
        <v>100</v>
      </c>
      <c r="AB51" s="2">
        <v>5</v>
      </c>
      <c r="AC51" s="2" t="s">
        <v>10789</v>
      </c>
      <c r="AD51" s="2" t="s">
        <v>18596</v>
      </c>
      <c r="AE51" s="2" t="s">
        <v>18260</v>
      </c>
      <c r="AF51" s="2"/>
      <c r="AG51" s="2" t="s">
        <v>18250</v>
      </c>
    </row>
    <row r="52" spans="1:33" x14ac:dyDescent="0.45">
      <c r="A52" s="2" t="s">
        <v>18597</v>
      </c>
      <c r="B52" s="2" t="s">
        <v>18598</v>
      </c>
      <c r="C52" s="2" t="s">
        <v>18597</v>
      </c>
      <c r="D52" s="2" t="s">
        <v>18599</v>
      </c>
      <c r="E52" s="2" t="s">
        <v>18600</v>
      </c>
      <c r="F52" s="2" t="s">
        <v>3562</v>
      </c>
      <c r="G52" s="2" t="s">
        <v>3562</v>
      </c>
      <c r="H52" s="2" t="s">
        <v>1161</v>
      </c>
      <c r="I52" s="2" t="s">
        <v>221</v>
      </c>
      <c r="J52" s="2" t="s">
        <v>16154</v>
      </c>
      <c r="K52" s="2"/>
      <c r="L52" s="2"/>
      <c r="M52" s="2"/>
      <c r="N52" s="2"/>
      <c r="O52" s="2"/>
      <c r="P52" s="2"/>
      <c r="Q52" s="2"/>
      <c r="R52" s="2" t="s">
        <v>16529</v>
      </c>
      <c r="S52" s="2" t="s">
        <v>44</v>
      </c>
      <c r="T52" s="2"/>
      <c r="U52" s="2" t="s">
        <v>3527</v>
      </c>
      <c r="V52" s="2" t="s">
        <v>46</v>
      </c>
      <c r="W52" s="2" t="s">
        <v>3527</v>
      </c>
      <c r="X52" s="2" t="s">
        <v>10787</v>
      </c>
      <c r="Y52" s="2" t="s">
        <v>10801</v>
      </c>
      <c r="Z52" s="2" t="s">
        <v>7864</v>
      </c>
      <c r="AA52" s="2">
        <v>100</v>
      </c>
      <c r="AB52" s="2">
        <v>5</v>
      </c>
      <c r="AC52" s="2" t="s">
        <v>10789</v>
      </c>
      <c r="AD52" s="2" t="s">
        <v>18601</v>
      </c>
      <c r="AE52" s="2" t="s">
        <v>18260</v>
      </c>
      <c r="AF52" s="2"/>
      <c r="AG52" s="2" t="s">
        <v>18250</v>
      </c>
    </row>
    <row r="53" spans="1:33" x14ac:dyDescent="0.45">
      <c r="A53" s="2" t="s">
        <v>18602</v>
      </c>
      <c r="B53" s="2" t="s">
        <v>18603</v>
      </c>
      <c r="C53" s="2" t="s">
        <v>18604</v>
      </c>
      <c r="D53" s="2" t="s">
        <v>18605</v>
      </c>
      <c r="E53" s="2" t="s">
        <v>18606</v>
      </c>
      <c r="F53" s="2"/>
      <c r="G53" s="2"/>
      <c r="H53" s="2" t="s">
        <v>8465</v>
      </c>
      <c r="I53" s="2" t="s">
        <v>221</v>
      </c>
      <c r="J53" s="2" t="s">
        <v>18607</v>
      </c>
      <c r="K53" s="2" t="s">
        <v>18605</v>
      </c>
      <c r="L53" s="2"/>
      <c r="M53" s="2"/>
      <c r="N53" s="2"/>
      <c r="O53" s="2" t="s">
        <v>8465</v>
      </c>
      <c r="P53" s="2" t="s">
        <v>221</v>
      </c>
      <c r="Q53" s="2" t="s">
        <v>18607</v>
      </c>
      <c r="R53" s="2" t="s">
        <v>7648</v>
      </c>
      <c r="S53" s="2" t="s">
        <v>44</v>
      </c>
      <c r="T53" s="2"/>
      <c r="U53" s="2" t="s">
        <v>821</v>
      </c>
      <c r="V53" s="2" t="s">
        <v>46</v>
      </c>
      <c r="W53" s="2" t="s">
        <v>821</v>
      </c>
      <c r="X53" s="2" t="s">
        <v>10787</v>
      </c>
      <c r="Y53" s="2" t="s">
        <v>10801</v>
      </c>
      <c r="Z53" s="2" t="s">
        <v>7864</v>
      </c>
      <c r="AA53" s="2">
        <v>90</v>
      </c>
      <c r="AB53" s="2">
        <v>2</v>
      </c>
      <c r="AC53" s="2" t="s">
        <v>10789</v>
      </c>
      <c r="AD53" s="2" t="s">
        <v>18608</v>
      </c>
      <c r="AE53" s="2" t="s">
        <v>18260</v>
      </c>
      <c r="AF53" s="2"/>
      <c r="AG53" s="2" t="s">
        <v>18250</v>
      </c>
    </row>
    <row r="54" spans="1:33" x14ac:dyDescent="0.45">
      <c r="A54" s="2" t="s">
        <v>18609</v>
      </c>
      <c r="B54" s="2" t="s">
        <v>18610</v>
      </c>
      <c r="C54" s="2" t="s">
        <v>18611</v>
      </c>
      <c r="D54" s="2" t="s">
        <v>18612</v>
      </c>
      <c r="E54" s="2" t="s">
        <v>18613</v>
      </c>
      <c r="F54" s="2"/>
      <c r="G54" s="2"/>
      <c r="H54" s="2" t="s">
        <v>12804</v>
      </c>
      <c r="I54" s="2" t="s">
        <v>221</v>
      </c>
      <c r="J54" s="2" t="s">
        <v>18614</v>
      </c>
      <c r="K54" s="2" t="s">
        <v>18612</v>
      </c>
      <c r="L54" s="2"/>
      <c r="M54" s="2"/>
      <c r="N54" s="2"/>
      <c r="O54" s="2" t="s">
        <v>12804</v>
      </c>
      <c r="P54" s="2" t="s">
        <v>221</v>
      </c>
      <c r="Q54" s="2" t="s">
        <v>18614</v>
      </c>
      <c r="R54" s="2" t="s">
        <v>2547</v>
      </c>
      <c r="S54" s="2" t="s">
        <v>44</v>
      </c>
      <c r="T54" s="2"/>
      <c r="U54" s="2" t="s">
        <v>3527</v>
      </c>
      <c r="V54" s="2" t="s">
        <v>46</v>
      </c>
      <c r="W54" s="2" t="s">
        <v>3527</v>
      </c>
      <c r="X54" s="2" t="s">
        <v>10787</v>
      </c>
      <c r="Y54" s="2" t="s">
        <v>10801</v>
      </c>
      <c r="Z54" s="2" t="s">
        <v>7864</v>
      </c>
      <c r="AA54" s="2">
        <v>90</v>
      </c>
      <c r="AB54" s="2">
        <v>0</v>
      </c>
      <c r="AC54" s="2" t="s">
        <v>10789</v>
      </c>
      <c r="AD54" s="2" t="s">
        <v>18615</v>
      </c>
      <c r="AE54" s="2" t="s">
        <v>18260</v>
      </c>
      <c r="AF54" s="2"/>
      <c r="AG54" s="2" t="s">
        <v>18250</v>
      </c>
    </row>
    <row r="55" spans="1:33" x14ac:dyDescent="0.45">
      <c r="A55" s="2" t="s">
        <v>18616</v>
      </c>
      <c r="B55" s="2" t="s">
        <v>18617</v>
      </c>
      <c r="C55" s="2" t="s">
        <v>18618</v>
      </c>
      <c r="D55" s="2" t="s">
        <v>18619</v>
      </c>
      <c r="E55" s="2" t="s">
        <v>18620</v>
      </c>
      <c r="F55" s="2" t="s">
        <v>18621</v>
      </c>
      <c r="G55" s="2"/>
      <c r="H55" s="2" t="s">
        <v>1023</v>
      </c>
      <c r="I55" s="2" t="s">
        <v>73</v>
      </c>
      <c r="J55" s="2" t="s">
        <v>4550</v>
      </c>
      <c r="K55" s="2" t="s">
        <v>18619</v>
      </c>
      <c r="L55" s="2"/>
      <c r="M55" s="2"/>
      <c r="N55" s="2"/>
      <c r="O55" s="2" t="s">
        <v>1023</v>
      </c>
      <c r="P55" s="2" t="s">
        <v>73</v>
      </c>
      <c r="Q55" s="2" t="s">
        <v>4550</v>
      </c>
      <c r="R55" s="2" t="s">
        <v>7581</v>
      </c>
      <c r="S55" s="2" t="s">
        <v>44</v>
      </c>
      <c r="T55" s="2"/>
      <c r="U55" s="2" t="s">
        <v>3527</v>
      </c>
      <c r="V55" s="2" t="s">
        <v>46</v>
      </c>
      <c r="W55" s="2" t="s">
        <v>3527</v>
      </c>
      <c r="X55" s="2" t="s">
        <v>10787</v>
      </c>
      <c r="Y55" s="2" t="s">
        <v>10801</v>
      </c>
      <c r="Z55" s="2" t="s">
        <v>7864</v>
      </c>
      <c r="AA55" s="2">
        <v>100</v>
      </c>
      <c r="AB55" s="2">
        <v>10</v>
      </c>
      <c r="AC55" s="2" t="s">
        <v>10789</v>
      </c>
      <c r="AD55" s="2" t="s">
        <v>18622</v>
      </c>
      <c r="AE55" s="2" t="s">
        <v>18260</v>
      </c>
      <c r="AF55" s="2"/>
      <c r="AG55" s="2" t="s">
        <v>18250</v>
      </c>
    </row>
    <row r="56" spans="1:33" x14ac:dyDescent="0.45">
      <c r="A56" s="2" t="s">
        <v>18623</v>
      </c>
      <c r="B56" s="2" t="s">
        <v>18624</v>
      </c>
      <c r="C56" s="2" t="s">
        <v>18623</v>
      </c>
      <c r="D56" s="2" t="s">
        <v>18625</v>
      </c>
      <c r="E56" s="2" t="s">
        <v>18626</v>
      </c>
      <c r="F56" s="2" t="s">
        <v>18627</v>
      </c>
      <c r="G56" s="2" t="s">
        <v>18627</v>
      </c>
      <c r="H56" s="2" t="s">
        <v>6156</v>
      </c>
      <c r="I56" s="2" t="s">
        <v>217</v>
      </c>
      <c r="J56" s="2" t="s">
        <v>18628</v>
      </c>
      <c r="K56" s="2"/>
      <c r="L56" s="2"/>
      <c r="M56" s="2"/>
      <c r="N56" s="2"/>
      <c r="O56" s="2"/>
      <c r="P56" s="2"/>
      <c r="Q56" s="2"/>
      <c r="R56" s="2" t="s">
        <v>10182</v>
      </c>
      <c r="S56" s="2" t="s">
        <v>44</v>
      </c>
      <c r="T56" s="2"/>
      <c r="U56" s="2" t="s">
        <v>3527</v>
      </c>
      <c r="V56" s="2" t="s">
        <v>46</v>
      </c>
      <c r="W56" s="2" t="s">
        <v>3527</v>
      </c>
      <c r="X56" s="2" t="s">
        <v>10787</v>
      </c>
      <c r="Y56" s="2" t="s">
        <v>10801</v>
      </c>
      <c r="Z56" s="2" t="s">
        <v>7864</v>
      </c>
      <c r="AA56" s="2">
        <v>100</v>
      </c>
      <c r="AB56" s="2">
        <v>5</v>
      </c>
      <c r="AC56" s="2" t="s">
        <v>10789</v>
      </c>
      <c r="AD56" s="2" t="s">
        <v>18629</v>
      </c>
      <c r="AE56" s="2" t="s">
        <v>18260</v>
      </c>
      <c r="AF56" s="2"/>
      <c r="AG56" s="2" t="s">
        <v>18250</v>
      </c>
    </row>
    <row r="57" spans="1:33" x14ac:dyDescent="0.45">
      <c r="A57" s="2" t="s">
        <v>18630</v>
      </c>
      <c r="B57" s="2" t="s">
        <v>18631</v>
      </c>
      <c r="C57" s="2" t="s">
        <v>18630</v>
      </c>
      <c r="D57" s="2" t="s">
        <v>18632</v>
      </c>
      <c r="E57" s="2" t="s">
        <v>18633</v>
      </c>
      <c r="F57" s="2" t="s">
        <v>18634</v>
      </c>
      <c r="G57" s="2" t="s">
        <v>18634</v>
      </c>
      <c r="H57" s="2" t="s">
        <v>174</v>
      </c>
      <c r="I57" s="2" t="s">
        <v>175</v>
      </c>
      <c r="J57" s="2" t="s">
        <v>18635</v>
      </c>
      <c r="K57" s="2" t="s">
        <v>18632</v>
      </c>
      <c r="L57" s="2"/>
      <c r="M57" s="2"/>
      <c r="N57" s="2"/>
      <c r="O57" s="2" t="s">
        <v>174</v>
      </c>
      <c r="P57" s="2" t="s">
        <v>175</v>
      </c>
      <c r="Q57" s="2" t="s">
        <v>18635</v>
      </c>
      <c r="R57" s="2" t="s">
        <v>18636</v>
      </c>
      <c r="S57" s="2" t="s">
        <v>44</v>
      </c>
      <c r="T57" s="2"/>
      <c r="U57" s="2" t="s">
        <v>3527</v>
      </c>
      <c r="V57" s="2" t="s">
        <v>46</v>
      </c>
      <c r="W57" s="2" t="s">
        <v>3527</v>
      </c>
      <c r="X57" s="2" t="s">
        <v>10787</v>
      </c>
      <c r="Y57" s="2" t="s">
        <v>10801</v>
      </c>
      <c r="Z57" s="2" t="s">
        <v>7864</v>
      </c>
      <c r="AA57" s="2">
        <v>100</v>
      </c>
      <c r="AB57" s="2">
        <v>10</v>
      </c>
      <c r="AC57" s="2" t="s">
        <v>10789</v>
      </c>
      <c r="AD57" s="2" t="s">
        <v>18637</v>
      </c>
      <c r="AE57" s="2" t="s">
        <v>18260</v>
      </c>
      <c r="AF57" s="2"/>
      <c r="AG57" s="2" t="s">
        <v>18250</v>
      </c>
    </row>
    <row r="58" spans="1:33" x14ac:dyDescent="0.45">
      <c r="A58" s="2" t="s">
        <v>18638</v>
      </c>
      <c r="B58" s="2" t="s">
        <v>18639</v>
      </c>
      <c r="C58" s="2" t="s">
        <v>18638</v>
      </c>
      <c r="D58" s="2" t="s">
        <v>18640</v>
      </c>
      <c r="E58" s="2" t="s">
        <v>18641</v>
      </c>
      <c r="F58" s="2" t="s">
        <v>18642</v>
      </c>
      <c r="G58" s="2"/>
      <c r="H58" s="2" t="s">
        <v>174</v>
      </c>
      <c r="I58" s="2" t="s">
        <v>175</v>
      </c>
      <c r="J58" s="2" t="s">
        <v>16952</v>
      </c>
      <c r="K58" s="2" t="s">
        <v>18640</v>
      </c>
      <c r="L58" s="2"/>
      <c r="M58" s="2"/>
      <c r="N58" s="2"/>
      <c r="O58" s="2" t="s">
        <v>174</v>
      </c>
      <c r="P58" s="2" t="s">
        <v>175</v>
      </c>
      <c r="Q58" s="2" t="s">
        <v>16952</v>
      </c>
      <c r="R58" s="2" t="s">
        <v>8039</v>
      </c>
      <c r="S58" s="2" t="s">
        <v>44</v>
      </c>
      <c r="T58" s="2"/>
      <c r="U58" s="2" t="s">
        <v>821</v>
      </c>
      <c r="V58" s="2" t="s">
        <v>46</v>
      </c>
      <c r="W58" s="2" t="s">
        <v>821</v>
      </c>
      <c r="X58" s="2" t="s">
        <v>10787</v>
      </c>
      <c r="Y58" s="2" t="s">
        <v>10801</v>
      </c>
      <c r="Z58" s="2" t="s">
        <v>7864</v>
      </c>
      <c r="AA58" s="2">
        <v>100</v>
      </c>
      <c r="AB58" s="2">
        <v>17</v>
      </c>
      <c r="AC58" s="2" t="s">
        <v>10789</v>
      </c>
      <c r="AD58" s="2" t="s">
        <v>18643</v>
      </c>
      <c r="AE58" s="2" t="s">
        <v>18260</v>
      </c>
      <c r="AF58" s="2"/>
      <c r="AG58" s="2" t="s">
        <v>18250</v>
      </c>
    </row>
    <row r="59" spans="1:33" x14ac:dyDescent="0.45">
      <c r="A59" s="2" t="s">
        <v>18644</v>
      </c>
      <c r="B59" s="2" t="s">
        <v>18645</v>
      </c>
      <c r="C59" s="2" t="s">
        <v>18646</v>
      </c>
      <c r="D59" s="2" t="s">
        <v>18647</v>
      </c>
      <c r="E59" s="2" t="s">
        <v>18648</v>
      </c>
      <c r="F59" s="2" t="s">
        <v>18649</v>
      </c>
      <c r="G59" s="2"/>
      <c r="H59" s="2" t="s">
        <v>1023</v>
      </c>
      <c r="I59" s="2" t="s">
        <v>73</v>
      </c>
      <c r="J59" s="2" t="s">
        <v>18650</v>
      </c>
      <c r="K59" s="2" t="s">
        <v>18647</v>
      </c>
      <c r="L59" s="2"/>
      <c r="M59" s="2"/>
      <c r="N59" s="2"/>
      <c r="O59" s="2" t="s">
        <v>1023</v>
      </c>
      <c r="P59" s="2" t="s">
        <v>73</v>
      </c>
      <c r="Q59" s="2" t="s">
        <v>18650</v>
      </c>
      <c r="R59" s="2" t="s">
        <v>1271</v>
      </c>
      <c r="S59" s="2" t="s">
        <v>44</v>
      </c>
      <c r="T59" s="2"/>
      <c r="U59" s="2" t="s">
        <v>3527</v>
      </c>
      <c r="V59" s="2" t="s">
        <v>46</v>
      </c>
      <c r="W59" s="2" t="s">
        <v>3527</v>
      </c>
      <c r="X59" s="2" t="s">
        <v>10787</v>
      </c>
      <c r="Y59" s="2" t="s">
        <v>10801</v>
      </c>
      <c r="Z59" s="2" t="s">
        <v>7864</v>
      </c>
      <c r="AA59" s="2">
        <v>100</v>
      </c>
      <c r="AB59" s="2">
        <v>10</v>
      </c>
      <c r="AC59" s="2" t="s">
        <v>10789</v>
      </c>
      <c r="AD59" s="2" t="s">
        <v>18651</v>
      </c>
      <c r="AE59" s="2" t="s">
        <v>18260</v>
      </c>
      <c r="AF59" s="2"/>
      <c r="AG59" s="2" t="s">
        <v>18250</v>
      </c>
    </row>
    <row r="60" spans="1:33" x14ac:dyDescent="0.45">
      <c r="A60" s="2" t="s">
        <v>18652</v>
      </c>
      <c r="B60" s="2" t="s">
        <v>18653</v>
      </c>
      <c r="C60" s="2" t="s">
        <v>18654</v>
      </c>
      <c r="D60" s="2" t="s">
        <v>18655</v>
      </c>
      <c r="E60" s="2" t="s">
        <v>18656</v>
      </c>
      <c r="F60" s="2" t="s">
        <v>18657</v>
      </c>
      <c r="G60" s="2" t="s">
        <v>18657</v>
      </c>
      <c r="H60" s="2" t="s">
        <v>9679</v>
      </c>
      <c r="I60" s="2" t="s">
        <v>9680</v>
      </c>
      <c r="J60" s="2" t="s">
        <v>18658</v>
      </c>
      <c r="K60" s="2" t="s">
        <v>18655</v>
      </c>
      <c r="L60" s="2"/>
      <c r="M60" s="2"/>
      <c r="N60" s="2"/>
      <c r="O60" s="2" t="s">
        <v>9679</v>
      </c>
      <c r="P60" s="2" t="s">
        <v>9680</v>
      </c>
      <c r="Q60" s="2" t="s">
        <v>18658</v>
      </c>
      <c r="R60" s="2" t="s">
        <v>12351</v>
      </c>
      <c r="S60" s="2" t="s">
        <v>44</v>
      </c>
      <c r="T60" s="2"/>
      <c r="U60" s="2" t="s">
        <v>3527</v>
      </c>
      <c r="V60" s="2" t="s">
        <v>46</v>
      </c>
      <c r="W60" s="2" t="s">
        <v>3527</v>
      </c>
      <c r="X60" s="2" t="s">
        <v>12417</v>
      </c>
      <c r="Y60" s="2" t="s">
        <v>10801</v>
      </c>
      <c r="Z60" s="2" t="s">
        <v>7864</v>
      </c>
      <c r="AA60" s="2">
        <v>100</v>
      </c>
      <c r="AB60" s="2">
        <v>5</v>
      </c>
      <c r="AC60" s="2" t="s">
        <v>10789</v>
      </c>
      <c r="AD60" s="2" t="s">
        <v>18659</v>
      </c>
      <c r="AE60" s="2" t="s">
        <v>18260</v>
      </c>
      <c r="AF60" s="2"/>
      <c r="AG60" s="2" t="s">
        <v>18250</v>
      </c>
    </row>
    <row r="61" spans="1:33" x14ac:dyDescent="0.45">
      <c r="A61" s="2" t="s">
        <v>18660</v>
      </c>
      <c r="B61" s="2" t="s">
        <v>18661</v>
      </c>
      <c r="C61" s="2" t="s">
        <v>18662</v>
      </c>
      <c r="D61" s="2" t="s">
        <v>9817</v>
      </c>
      <c r="E61" s="2" t="s">
        <v>18663</v>
      </c>
      <c r="F61" s="2"/>
      <c r="G61" s="2"/>
      <c r="H61" s="2" t="s">
        <v>6062</v>
      </c>
      <c r="I61" s="2" t="s">
        <v>217</v>
      </c>
      <c r="J61" s="2" t="s">
        <v>9820</v>
      </c>
      <c r="K61" s="2" t="s">
        <v>9817</v>
      </c>
      <c r="L61" s="2"/>
      <c r="M61" s="2"/>
      <c r="N61" s="2"/>
      <c r="O61" s="2" t="s">
        <v>6062</v>
      </c>
      <c r="P61" s="2" t="s">
        <v>217</v>
      </c>
      <c r="Q61" s="2" t="s">
        <v>9820</v>
      </c>
      <c r="R61" s="2" t="s">
        <v>10378</v>
      </c>
      <c r="S61" s="2" t="s">
        <v>44</v>
      </c>
      <c r="T61" s="2"/>
      <c r="U61" s="2" t="s">
        <v>3527</v>
      </c>
      <c r="V61" s="2" t="s">
        <v>46</v>
      </c>
      <c r="W61" s="2" t="s">
        <v>3527</v>
      </c>
      <c r="X61" s="2" t="s">
        <v>10787</v>
      </c>
      <c r="Y61" s="2" t="s">
        <v>10801</v>
      </c>
      <c r="Z61" s="2" t="s">
        <v>7864</v>
      </c>
      <c r="AA61" s="2">
        <v>90</v>
      </c>
      <c r="AB61" s="2">
        <v>0</v>
      </c>
      <c r="AC61" s="2" t="s">
        <v>10789</v>
      </c>
      <c r="AD61" s="2" t="s">
        <v>18664</v>
      </c>
      <c r="AE61" s="2" t="s">
        <v>18260</v>
      </c>
      <c r="AF61" s="2"/>
      <c r="AG61" s="2" t="s">
        <v>18250</v>
      </c>
    </row>
    <row r="62" spans="1:33" x14ac:dyDescent="0.45">
      <c r="A62" s="2" t="s">
        <v>18665</v>
      </c>
      <c r="B62" s="2" t="s">
        <v>18666</v>
      </c>
      <c r="C62" s="2" t="s">
        <v>18665</v>
      </c>
      <c r="D62" s="2" t="s">
        <v>18667</v>
      </c>
      <c r="E62" s="2" t="s">
        <v>18668</v>
      </c>
      <c r="F62" s="2" t="s">
        <v>18669</v>
      </c>
      <c r="G62" s="2" t="s">
        <v>18669</v>
      </c>
      <c r="H62" s="2" t="s">
        <v>1188</v>
      </c>
      <c r="I62" s="2" t="s">
        <v>221</v>
      </c>
      <c r="J62" s="2" t="s">
        <v>1189</v>
      </c>
      <c r="K62" s="2" t="s">
        <v>18667</v>
      </c>
      <c r="L62" s="2"/>
      <c r="M62" s="2"/>
      <c r="N62" s="2"/>
      <c r="O62" s="2" t="s">
        <v>1188</v>
      </c>
      <c r="P62" s="2" t="s">
        <v>221</v>
      </c>
      <c r="Q62" s="2" t="s">
        <v>1189</v>
      </c>
      <c r="R62" s="2" t="s">
        <v>18670</v>
      </c>
      <c r="S62" s="2" t="s">
        <v>44</v>
      </c>
      <c r="T62" s="2"/>
      <c r="U62" s="2" t="s">
        <v>821</v>
      </c>
      <c r="V62" s="2" t="s">
        <v>46</v>
      </c>
      <c r="W62" s="2" t="s">
        <v>821</v>
      </c>
      <c r="X62" s="2" t="s">
        <v>10787</v>
      </c>
      <c r="Y62" s="2" t="s">
        <v>10801</v>
      </c>
      <c r="Z62" s="2" t="s">
        <v>7864</v>
      </c>
      <c r="AA62" s="2">
        <v>100</v>
      </c>
      <c r="AB62" s="2">
        <v>17</v>
      </c>
      <c r="AC62" s="2" t="s">
        <v>10789</v>
      </c>
      <c r="AD62" s="2" t="s">
        <v>18671</v>
      </c>
      <c r="AE62" s="2" t="s">
        <v>18260</v>
      </c>
      <c r="AF62" s="2"/>
      <c r="AG62" s="2" t="s">
        <v>18250</v>
      </c>
    </row>
    <row r="63" spans="1:33" x14ac:dyDescent="0.45">
      <c r="A63" s="2" t="s">
        <v>18672</v>
      </c>
      <c r="B63" s="2" t="s">
        <v>18673</v>
      </c>
      <c r="C63" s="2" t="s">
        <v>18672</v>
      </c>
      <c r="D63" s="2" t="s">
        <v>18674</v>
      </c>
      <c r="E63" s="2" t="s">
        <v>18675</v>
      </c>
      <c r="F63" s="2" t="s">
        <v>18676</v>
      </c>
      <c r="G63" s="2"/>
      <c r="H63" s="2" t="s">
        <v>13097</v>
      </c>
      <c r="I63" s="2" t="s">
        <v>221</v>
      </c>
      <c r="J63" s="2" t="s">
        <v>18677</v>
      </c>
      <c r="K63" s="2"/>
      <c r="L63" s="2"/>
      <c r="M63" s="2"/>
      <c r="N63" s="2"/>
      <c r="O63" s="2"/>
      <c r="P63" s="2"/>
      <c r="Q63" s="2"/>
      <c r="R63" s="2" t="s">
        <v>14840</v>
      </c>
      <c r="S63" s="2" t="s">
        <v>44</v>
      </c>
      <c r="T63" s="2"/>
      <c r="U63" s="2" t="s">
        <v>3527</v>
      </c>
      <c r="V63" s="2" t="s">
        <v>46</v>
      </c>
      <c r="W63" s="2" t="s">
        <v>3527</v>
      </c>
      <c r="X63" s="2" t="s">
        <v>10787</v>
      </c>
      <c r="Y63" s="2" t="s">
        <v>10801</v>
      </c>
      <c r="Z63" s="2" t="s">
        <v>7864</v>
      </c>
      <c r="AA63" s="2">
        <v>100</v>
      </c>
      <c r="AB63" s="2">
        <v>5</v>
      </c>
      <c r="AC63" s="2" t="s">
        <v>10789</v>
      </c>
      <c r="AD63" s="2" t="s">
        <v>18678</v>
      </c>
      <c r="AE63" s="2" t="s">
        <v>18260</v>
      </c>
      <c r="AF63" s="2"/>
      <c r="AG63" s="2" t="s">
        <v>18250</v>
      </c>
    </row>
    <row r="64" spans="1:33" x14ac:dyDescent="0.45">
      <c r="A64" s="2" t="s">
        <v>18679</v>
      </c>
      <c r="B64" s="2" t="s">
        <v>18680</v>
      </c>
      <c r="C64" s="2" t="s">
        <v>18681</v>
      </c>
      <c r="D64" s="2" t="s">
        <v>18682</v>
      </c>
      <c r="E64" s="2" t="s">
        <v>18683</v>
      </c>
      <c r="F64" s="2" t="s">
        <v>18684</v>
      </c>
      <c r="G64" s="2" t="s">
        <v>18684</v>
      </c>
      <c r="H64" s="2" t="s">
        <v>10766</v>
      </c>
      <c r="I64" s="2" t="s">
        <v>1137</v>
      </c>
      <c r="J64" s="2" t="s">
        <v>18685</v>
      </c>
      <c r="K64" s="2"/>
      <c r="L64" s="2"/>
      <c r="M64" s="2"/>
      <c r="N64" s="2"/>
      <c r="O64" s="2"/>
      <c r="P64" s="2"/>
      <c r="Q64" s="2"/>
      <c r="R64" s="2" t="s">
        <v>792</v>
      </c>
      <c r="S64" s="2" t="s">
        <v>44</v>
      </c>
      <c r="T64" s="2"/>
      <c r="U64" s="2" t="s">
        <v>3527</v>
      </c>
      <c r="V64" s="2" t="s">
        <v>46</v>
      </c>
      <c r="W64" s="2" t="s">
        <v>3527</v>
      </c>
      <c r="X64" s="2" t="s">
        <v>10787</v>
      </c>
      <c r="Y64" s="2" t="s">
        <v>10801</v>
      </c>
      <c r="Z64" s="2" t="s">
        <v>7864</v>
      </c>
      <c r="AA64" s="2">
        <v>100</v>
      </c>
      <c r="AB64" s="2">
        <v>5</v>
      </c>
      <c r="AC64" s="2" t="s">
        <v>10789</v>
      </c>
      <c r="AD64" s="2" t="s">
        <v>18686</v>
      </c>
      <c r="AE64" s="2" t="s">
        <v>18260</v>
      </c>
      <c r="AF64" s="2"/>
      <c r="AG64" s="2" t="s">
        <v>18250</v>
      </c>
    </row>
    <row r="65" spans="1:33" x14ac:dyDescent="0.45">
      <c r="A65" s="2" t="s">
        <v>18687</v>
      </c>
      <c r="B65" s="2" t="s">
        <v>18688</v>
      </c>
      <c r="C65" s="2" t="s">
        <v>18689</v>
      </c>
      <c r="D65" s="2" t="s">
        <v>18690</v>
      </c>
      <c r="E65" s="2" t="s">
        <v>18691</v>
      </c>
      <c r="F65" s="2" t="s">
        <v>18692</v>
      </c>
      <c r="G65" s="2" t="s">
        <v>18692</v>
      </c>
      <c r="H65" s="2" t="s">
        <v>11346</v>
      </c>
      <c r="I65" s="2" t="s">
        <v>11347</v>
      </c>
      <c r="J65" s="2" t="s">
        <v>18693</v>
      </c>
      <c r="K65" s="2" t="s">
        <v>18690</v>
      </c>
      <c r="L65" s="2"/>
      <c r="M65" s="2"/>
      <c r="N65" s="2"/>
      <c r="O65" s="2" t="s">
        <v>11346</v>
      </c>
      <c r="P65" s="2" t="s">
        <v>11347</v>
      </c>
      <c r="Q65" s="2" t="s">
        <v>18693</v>
      </c>
      <c r="R65" s="2" t="s">
        <v>3866</v>
      </c>
      <c r="S65" s="2" t="s">
        <v>44</v>
      </c>
      <c r="T65" s="2"/>
      <c r="U65" s="2" t="s">
        <v>3527</v>
      </c>
      <c r="V65" s="2" t="s">
        <v>46</v>
      </c>
      <c r="W65" s="2" t="s">
        <v>3527</v>
      </c>
      <c r="X65" s="2" t="s">
        <v>10787</v>
      </c>
      <c r="Y65" s="2" t="s">
        <v>10801</v>
      </c>
      <c r="Z65" s="2" t="s">
        <v>7864</v>
      </c>
      <c r="AA65" s="2">
        <v>100</v>
      </c>
      <c r="AB65" s="2">
        <v>5</v>
      </c>
      <c r="AC65" s="2" t="s">
        <v>10789</v>
      </c>
      <c r="AD65" s="2" t="s">
        <v>18694</v>
      </c>
      <c r="AE65" s="2" t="s">
        <v>18260</v>
      </c>
      <c r="AF65" s="2"/>
      <c r="AG65" s="2" t="s">
        <v>18250</v>
      </c>
    </row>
    <row r="66" spans="1:33" x14ac:dyDescent="0.45">
      <c r="A66" s="2" t="s">
        <v>18695</v>
      </c>
      <c r="B66" s="2" t="s">
        <v>18696</v>
      </c>
      <c r="C66" s="2" t="s">
        <v>18695</v>
      </c>
      <c r="D66" s="2" t="s">
        <v>18697</v>
      </c>
      <c r="E66" s="2" t="s">
        <v>18698</v>
      </c>
      <c r="F66" s="2"/>
      <c r="G66" s="2"/>
      <c r="H66" s="2" t="s">
        <v>5891</v>
      </c>
      <c r="I66" s="2" t="s">
        <v>40</v>
      </c>
      <c r="J66" s="2" t="s">
        <v>18699</v>
      </c>
      <c r="K66" s="2" t="s">
        <v>18697</v>
      </c>
      <c r="L66" s="2"/>
      <c r="M66" s="2"/>
      <c r="N66" s="2"/>
      <c r="O66" s="2" t="s">
        <v>5891</v>
      </c>
      <c r="P66" s="2" t="s">
        <v>40</v>
      </c>
      <c r="Q66" s="2" t="s">
        <v>18699</v>
      </c>
      <c r="R66" s="2" t="s">
        <v>4965</v>
      </c>
      <c r="S66" s="2" t="s">
        <v>44</v>
      </c>
      <c r="T66" s="2"/>
      <c r="U66" s="2" t="s">
        <v>3527</v>
      </c>
      <c r="V66" s="2" t="s">
        <v>46</v>
      </c>
      <c r="W66" s="2" t="s">
        <v>3527</v>
      </c>
      <c r="X66" s="2" t="s">
        <v>10787</v>
      </c>
      <c r="Y66" s="2" t="s">
        <v>10801</v>
      </c>
      <c r="Z66" s="2" t="s">
        <v>7864</v>
      </c>
      <c r="AA66" s="2">
        <v>90</v>
      </c>
      <c r="AB66" s="2">
        <v>0</v>
      </c>
      <c r="AC66" s="2" t="s">
        <v>10789</v>
      </c>
      <c r="AD66" s="2" t="s">
        <v>18700</v>
      </c>
      <c r="AE66" s="2" t="s">
        <v>18260</v>
      </c>
      <c r="AF66" s="2"/>
      <c r="AG66" s="2" t="s">
        <v>18250</v>
      </c>
    </row>
    <row r="67" spans="1:33" x14ac:dyDescent="0.45">
      <c r="A67" s="2" t="s">
        <v>18701</v>
      </c>
      <c r="B67" s="2" t="s">
        <v>18702</v>
      </c>
      <c r="C67" s="2" t="s">
        <v>18701</v>
      </c>
      <c r="D67" s="2" t="s">
        <v>18703</v>
      </c>
      <c r="E67" s="2" t="s">
        <v>18704</v>
      </c>
      <c r="F67" s="2" t="s">
        <v>18705</v>
      </c>
      <c r="G67" s="2"/>
      <c r="H67" s="2" t="s">
        <v>18706</v>
      </c>
      <c r="I67" s="2" t="s">
        <v>1137</v>
      </c>
      <c r="J67" s="2" t="s">
        <v>18707</v>
      </c>
      <c r="K67" s="2" t="s">
        <v>18703</v>
      </c>
      <c r="L67" s="2"/>
      <c r="M67" s="2"/>
      <c r="N67" s="2"/>
      <c r="O67" s="2" t="s">
        <v>18706</v>
      </c>
      <c r="P67" s="2" t="s">
        <v>1137</v>
      </c>
      <c r="Q67" s="2" t="s">
        <v>18707</v>
      </c>
      <c r="R67" s="2" t="s">
        <v>7704</v>
      </c>
      <c r="S67" s="2" t="s">
        <v>44</v>
      </c>
      <c r="T67" s="2"/>
      <c r="U67" s="2" t="s">
        <v>3527</v>
      </c>
      <c r="V67" s="2" t="s">
        <v>46</v>
      </c>
      <c r="W67" s="2" t="s">
        <v>3527</v>
      </c>
      <c r="X67" s="2" t="s">
        <v>10787</v>
      </c>
      <c r="Y67" s="2" t="s">
        <v>10801</v>
      </c>
      <c r="Z67" s="2" t="s">
        <v>7864</v>
      </c>
      <c r="AA67" s="2">
        <v>100</v>
      </c>
      <c r="AB67" s="2">
        <v>5</v>
      </c>
      <c r="AC67" s="2" t="s">
        <v>10789</v>
      </c>
      <c r="AD67" s="2" t="s">
        <v>18708</v>
      </c>
      <c r="AE67" s="2" t="s">
        <v>18260</v>
      </c>
      <c r="AF67" s="2"/>
      <c r="AG67" s="2" t="s">
        <v>18250</v>
      </c>
    </row>
    <row r="68" spans="1:33" x14ac:dyDescent="0.45">
      <c r="A68" s="2" t="s">
        <v>18709</v>
      </c>
      <c r="B68" s="2" t="s">
        <v>18710</v>
      </c>
      <c r="C68" s="2" t="s">
        <v>18711</v>
      </c>
      <c r="D68" s="2" t="s">
        <v>18712</v>
      </c>
      <c r="E68" s="2" t="s">
        <v>18713</v>
      </c>
      <c r="F68" s="2"/>
      <c r="G68" s="2"/>
      <c r="H68" s="2" t="s">
        <v>5891</v>
      </c>
      <c r="I68" s="2" t="s">
        <v>40</v>
      </c>
      <c r="J68" s="2" t="s">
        <v>18714</v>
      </c>
      <c r="K68" s="2" t="s">
        <v>18712</v>
      </c>
      <c r="L68" s="2"/>
      <c r="M68" s="2"/>
      <c r="N68" s="2"/>
      <c r="O68" s="2" t="s">
        <v>5891</v>
      </c>
      <c r="P68" s="2" t="s">
        <v>40</v>
      </c>
      <c r="Q68" s="2" t="s">
        <v>18714</v>
      </c>
      <c r="R68" s="2" t="s">
        <v>18715</v>
      </c>
      <c r="S68" s="2" t="s">
        <v>44</v>
      </c>
      <c r="T68" s="2"/>
      <c r="U68" s="2" t="s">
        <v>3527</v>
      </c>
      <c r="V68" s="2" t="s">
        <v>46</v>
      </c>
      <c r="W68" s="2" t="s">
        <v>3527</v>
      </c>
      <c r="X68" s="2" t="s">
        <v>10787</v>
      </c>
      <c r="Y68" s="2" t="s">
        <v>10801</v>
      </c>
      <c r="Z68" s="2" t="s">
        <v>7864</v>
      </c>
      <c r="AA68" s="2">
        <v>90</v>
      </c>
      <c r="AB68" s="2">
        <v>0</v>
      </c>
      <c r="AC68" s="2" t="s">
        <v>10789</v>
      </c>
      <c r="AD68" s="2" t="s">
        <v>18716</v>
      </c>
      <c r="AE68" s="2" t="s">
        <v>18260</v>
      </c>
      <c r="AF68" s="2"/>
      <c r="AG68" s="2" t="s">
        <v>18250</v>
      </c>
    </row>
    <row r="69" spans="1:33" x14ac:dyDescent="0.45">
      <c r="A69" s="2" t="s">
        <v>18717</v>
      </c>
      <c r="B69" s="2" t="s">
        <v>18718</v>
      </c>
      <c r="C69" s="2" t="s">
        <v>18719</v>
      </c>
      <c r="D69" s="2" t="s">
        <v>18720</v>
      </c>
      <c r="E69" s="2" t="s">
        <v>18721</v>
      </c>
      <c r="F69" s="2"/>
      <c r="G69" s="2"/>
      <c r="H69" s="2" t="s">
        <v>536</v>
      </c>
      <c r="I69" s="2" t="s">
        <v>537</v>
      </c>
      <c r="J69" s="2" t="s">
        <v>18722</v>
      </c>
      <c r="K69" s="2" t="s">
        <v>18720</v>
      </c>
      <c r="L69" s="2"/>
      <c r="M69" s="2"/>
      <c r="N69" s="2"/>
      <c r="O69" s="2" t="s">
        <v>536</v>
      </c>
      <c r="P69" s="2" t="s">
        <v>537</v>
      </c>
      <c r="Q69" s="2" t="s">
        <v>18722</v>
      </c>
      <c r="R69" s="2" t="s">
        <v>4444</v>
      </c>
      <c r="S69" s="2" t="s">
        <v>44</v>
      </c>
      <c r="T69" s="2"/>
      <c r="U69" s="2" t="s">
        <v>821</v>
      </c>
      <c r="V69" s="2" t="s">
        <v>46</v>
      </c>
      <c r="W69" s="2" t="s">
        <v>821</v>
      </c>
      <c r="X69" s="2" t="s">
        <v>10787</v>
      </c>
      <c r="Y69" s="2" t="s">
        <v>10801</v>
      </c>
      <c r="Z69" s="2" t="s">
        <v>7864</v>
      </c>
      <c r="AA69" s="2">
        <v>90</v>
      </c>
      <c r="AB69" s="2">
        <v>7</v>
      </c>
      <c r="AC69" s="2" t="s">
        <v>10789</v>
      </c>
      <c r="AD69" s="2" t="s">
        <v>18723</v>
      </c>
      <c r="AE69" s="2" t="s">
        <v>18260</v>
      </c>
      <c r="AF69" s="2"/>
      <c r="AG69" s="2" t="s">
        <v>18250</v>
      </c>
    </row>
    <row r="70" spans="1:33" x14ac:dyDescent="0.45">
      <c r="A70" s="2" t="s">
        <v>18724</v>
      </c>
      <c r="B70" s="2" t="s">
        <v>18725</v>
      </c>
      <c r="C70" s="2" t="s">
        <v>18726</v>
      </c>
      <c r="D70" s="2" t="s">
        <v>18727</v>
      </c>
      <c r="E70" s="2" t="s">
        <v>18728</v>
      </c>
      <c r="F70" s="2"/>
      <c r="G70" s="2"/>
      <c r="H70" s="2" t="s">
        <v>290</v>
      </c>
      <c r="I70" s="2" t="s">
        <v>278</v>
      </c>
      <c r="J70" s="2" t="s">
        <v>18729</v>
      </c>
      <c r="K70" s="2" t="s">
        <v>18727</v>
      </c>
      <c r="L70" s="2"/>
      <c r="M70" s="2"/>
      <c r="N70" s="2"/>
      <c r="O70" s="2" t="s">
        <v>290</v>
      </c>
      <c r="P70" s="2" t="s">
        <v>278</v>
      </c>
      <c r="Q70" s="2" t="s">
        <v>18729</v>
      </c>
      <c r="R70" s="2" t="s">
        <v>18730</v>
      </c>
      <c r="S70" s="2" t="s">
        <v>44</v>
      </c>
      <c r="T70" s="2"/>
      <c r="U70" s="2" t="s">
        <v>3527</v>
      </c>
      <c r="V70" s="2" t="s">
        <v>46</v>
      </c>
      <c r="W70" s="2" t="s">
        <v>3527</v>
      </c>
      <c r="X70" s="2" t="s">
        <v>11225</v>
      </c>
      <c r="Y70" s="2" t="s">
        <v>10801</v>
      </c>
      <c r="Z70" s="2" t="s">
        <v>7864</v>
      </c>
      <c r="AA70" s="2">
        <v>90</v>
      </c>
      <c r="AB70" s="2">
        <v>0</v>
      </c>
      <c r="AC70" s="2" t="s">
        <v>10789</v>
      </c>
      <c r="AD70" s="2" t="s">
        <v>18731</v>
      </c>
      <c r="AE70" s="2" t="s">
        <v>18260</v>
      </c>
      <c r="AF70" s="2"/>
      <c r="AG70" s="2" t="s">
        <v>18250</v>
      </c>
    </row>
    <row r="71" spans="1:33" x14ac:dyDescent="0.45">
      <c r="A71" s="2" t="s">
        <v>18732</v>
      </c>
      <c r="B71" s="2" t="s">
        <v>18733</v>
      </c>
      <c r="C71" s="2" t="s">
        <v>18732</v>
      </c>
      <c r="D71" s="2" t="s">
        <v>18734</v>
      </c>
      <c r="E71" s="2" t="s">
        <v>18735</v>
      </c>
      <c r="F71" s="2"/>
      <c r="G71" s="2"/>
      <c r="H71" s="2" t="s">
        <v>1136</v>
      </c>
      <c r="I71" s="2" t="s">
        <v>1137</v>
      </c>
      <c r="J71" s="2" t="s">
        <v>18736</v>
      </c>
      <c r="K71" s="2" t="s">
        <v>18734</v>
      </c>
      <c r="L71" s="2"/>
      <c r="M71" s="2"/>
      <c r="N71" s="2"/>
      <c r="O71" s="2" t="s">
        <v>1136</v>
      </c>
      <c r="P71" s="2" t="s">
        <v>1137</v>
      </c>
      <c r="Q71" s="2" t="s">
        <v>18736</v>
      </c>
      <c r="R71" s="2" t="s">
        <v>4551</v>
      </c>
      <c r="S71" s="2" t="s">
        <v>44</v>
      </c>
      <c r="T71" s="2"/>
      <c r="U71" s="2" t="s">
        <v>3527</v>
      </c>
      <c r="V71" s="2" t="s">
        <v>46</v>
      </c>
      <c r="W71" s="2" t="s">
        <v>3527</v>
      </c>
      <c r="X71" s="2" t="s">
        <v>11537</v>
      </c>
      <c r="Y71" s="2" t="s">
        <v>10801</v>
      </c>
      <c r="Z71" s="2" t="s">
        <v>7864</v>
      </c>
      <c r="AA71" s="2">
        <v>90</v>
      </c>
      <c r="AB71" s="2">
        <v>0</v>
      </c>
      <c r="AC71" s="2" t="s">
        <v>10789</v>
      </c>
      <c r="AD71" s="2" t="s">
        <v>18737</v>
      </c>
      <c r="AE71" s="2" t="s">
        <v>18260</v>
      </c>
      <c r="AF71" s="2"/>
      <c r="AG71" s="2" t="s">
        <v>18250</v>
      </c>
    </row>
    <row r="72" spans="1:33" x14ac:dyDescent="0.45">
      <c r="A72" s="2" t="s">
        <v>18738</v>
      </c>
      <c r="B72" s="2" t="s">
        <v>18739</v>
      </c>
      <c r="C72" s="2" t="s">
        <v>18738</v>
      </c>
      <c r="D72" s="2" t="s">
        <v>18740</v>
      </c>
      <c r="E72" s="2" t="s">
        <v>18741</v>
      </c>
      <c r="F72" s="2" t="s">
        <v>18742</v>
      </c>
      <c r="G72" s="2"/>
      <c r="H72" s="2" t="s">
        <v>1269</v>
      </c>
      <c r="I72" s="2" t="s">
        <v>1176</v>
      </c>
      <c r="J72" s="2" t="s">
        <v>18743</v>
      </c>
      <c r="K72" s="2" t="s">
        <v>18740</v>
      </c>
      <c r="L72" s="2"/>
      <c r="M72" s="2"/>
      <c r="N72" s="2"/>
      <c r="O72" s="2" t="s">
        <v>1269</v>
      </c>
      <c r="P72" s="2" t="s">
        <v>1176</v>
      </c>
      <c r="Q72" s="2" t="s">
        <v>18743</v>
      </c>
      <c r="R72" s="2" t="s">
        <v>16265</v>
      </c>
      <c r="S72" s="2" t="s">
        <v>44</v>
      </c>
      <c r="T72" s="2"/>
      <c r="U72" s="2" t="s">
        <v>3527</v>
      </c>
      <c r="V72" s="2" t="s">
        <v>46</v>
      </c>
      <c r="W72" s="2" t="s">
        <v>3527</v>
      </c>
      <c r="X72" s="2" t="s">
        <v>11537</v>
      </c>
      <c r="Y72" s="2" t="s">
        <v>10801</v>
      </c>
      <c r="Z72" s="2" t="s">
        <v>7864</v>
      </c>
      <c r="AA72" s="2">
        <v>100</v>
      </c>
      <c r="AB72" s="2">
        <v>5</v>
      </c>
      <c r="AC72" s="2" t="s">
        <v>10789</v>
      </c>
      <c r="AD72" s="2" t="s">
        <v>18744</v>
      </c>
      <c r="AE72" s="2" t="s">
        <v>18260</v>
      </c>
      <c r="AF72" s="2"/>
      <c r="AG72" s="2" t="s">
        <v>18250</v>
      </c>
    </row>
    <row r="73" spans="1:33" x14ac:dyDescent="0.45">
      <c r="A73" s="2" t="s">
        <v>18745</v>
      </c>
      <c r="B73" s="2" t="s">
        <v>18746</v>
      </c>
      <c r="C73" s="2" t="s">
        <v>18747</v>
      </c>
      <c r="D73" s="2" t="s">
        <v>18748</v>
      </c>
      <c r="E73" s="2" t="s">
        <v>18749</v>
      </c>
      <c r="F73" s="2" t="s">
        <v>18750</v>
      </c>
      <c r="G73" s="2" t="s">
        <v>18750</v>
      </c>
      <c r="H73" s="2" t="s">
        <v>85</v>
      </c>
      <c r="I73" s="2" t="s">
        <v>86</v>
      </c>
      <c r="J73" s="2" t="s">
        <v>10640</v>
      </c>
      <c r="K73" s="2" t="s">
        <v>18748</v>
      </c>
      <c r="L73" s="2"/>
      <c r="M73" s="2"/>
      <c r="N73" s="2"/>
      <c r="O73" s="2" t="s">
        <v>85</v>
      </c>
      <c r="P73" s="2" t="s">
        <v>86</v>
      </c>
      <c r="Q73" s="2" t="s">
        <v>10640</v>
      </c>
      <c r="R73" s="2" t="s">
        <v>11949</v>
      </c>
      <c r="S73" s="2" t="s">
        <v>44</v>
      </c>
      <c r="T73" s="2"/>
      <c r="U73" s="2" t="s">
        <v>821</v>
      </c>
      <c r="V73" s="2" t="s">
        <v>46</v>
      </c>
      <c r="W73" s="2" t="s">
        <v>821</v>
      </c>
      <c r="X73" s="2" t="s">
        <v>10787</v>
      </c>
      <c r="Y73" s="2" t="s">
        <v>10801</v>
      </c>
      <c r="Z73" s="2" t="s">
        <v>7864</v>
      </c>
      <c r="AA73" s="2">
        <v>100</v>
      </c>
      <c r="AB73" s="2">
        <v>17</v>
      </c>
      <c r="AC73" s="2" t="s">
        <v>10789</v>
      </c>
      <c r="AD73" s="2" t="s">
        <v>18751</v>
      </c>
      <c r="AE73" s="2" t="s">
        <v>18260</v>
      </c>
      <c r="AF73" s="2"/>
      <c r="AG73" s="2" t="s">
        <v>18250</v>
      </c>
    </row>
    <row r="74" spans="1:33" x14ac:dyDescent="0.45">
      <c r="A74" s="2" t="s">
        <v>18752</v>
      </c>
      <c r="B74" s="2" t="s">
        <v>18753</v>
      </c>
      <c r="C74" s="2" t="s">
        <v>13399</v>
      </c>
      <c r="D74" s="2" t="s">
        <v>18754</v>
      </c>
      <c r="E74" s="2" t="s">
        <v>18755</v>
      </c>
      <c r="F74" s="2"/>
      <c r="G74" s="2"/>
      <c r="H74" s="2" t="s">
        <v>5972</v>
      </c>
      <c r="I74" s="2" t="s">
        <v>221</v>
      </c>
      <c r="J74" s="2" t="s">
        <v>5973</v>
      </c>
      <c r="K74" s="2" t="s">
        <v>18754</v>
      </c>
      <c r="L74" s="2"/>
      <c r="M74" s="2"/>
      <c r="N74" s="2"/>
      <c r="O74" s="2" t="s">
        <v>5972</v>
      </c>
      <c r="P74" s="2" t="s">
        <v>221</v>
      </c>
      <c r="Q74" s="2" t="s">
        <v>5973</v>
      </c>
      <c r="R74" s="2" t="s">
        <v>2401</v>
      </c>
      <c r="S74" s="2" t="s">
        <v>44</v>
      </c>
      <c r="T74" s="2"/>
      <c r="U74" s="2" t="s">
        <v>3527</v>
      </c>
      <c r="V74" s="2" t="s">
        <v>46</v>
      </c>
      <c r="W74" s="2" t="s">
        <v>3527</v>
      </c>
      <c r="X74" s="2" t="s">
        <v>10787</v>
      </c>
      <c r="Y74" s="2" t="s">
        <v>10801</v>
      </c>
      <c r="Z74" s="2" t="s">
        <v>7864</v>
      </c>
      <c r="AA74" s="2">
        <v>90</v>
      </c>
      <c r="AB74" s="2">
        <v>0</v>
      </c>
      <c r="AC74" s="2" t="s">
        <v>10789</v>
      </c>
      <c r="AD74" s="2" t="s">
        <v>18756</v>
      </c>
      <c r="AE74" s="2" t="s">
        <v>18260</v>
      </c>
      <c r="AF74" s="2"/>
      <c r="AG74" s="2" t="s">
        <v>18250</v>
      </c>
    </row>
    <row r="75" spans="1:33" x14ac:dyDescent="0.45">
      <c r="A75" s="2" t="s">
        <v>18757</v>
      </c>
      <c r="B75" s="2" t="s">
        <v>18758</v>
      </c>
      <c r="C75" s="2" t="s">
        <v>18759</v>
      </c>
      <c r="D75" s="2" t="s">
        <v>18760</v>
      </c>
      <c r="E75" s="2" t="s">
        <v>18761</v>
      </c>
      <c r="F75" s="2" t="s">
        <v>18762</v>
      </c>
      <c r="G75" s="2" t="s">
        <v>18762</v>
      </c>
      <c r="H75" s="2" t="s">
        <v>1136</v>
      </c>
      <c r="I75" s="2" t="s">
        <v>1137</v>
      </c>
      <c r="J75" s="2" t="s">
        <v>18736</v>
      </c>
      <c r="K75" s="2" t="s">
        <v>18760</v>
      </c>
      <c r="L75" s="2"/>
      <c r="M75" s="2"/>
      <c r="N75" s="2"/>
      <c r="O75" s="2" t="s">
        <v>1136</v>
      </c>
      <c r="P75" s="2" t="s">
        <v>1137</v>
      </c>
      <c r="Q75" s="2" t="s">
        <v>18736</v>
      </c>
      <c r="R75" s="2" t="s">
        <v>12277</v>
      </c>
      <c r="S75" s="2" t="s">
        <v>44</v>
      </c>
      <c r="T75" s="2"/>
      <c r="U75" s="2" t="s">
        <v>3527</v>
      </c>
      <c r="V75" s="2" t="s">
        <v>46</v>
      </c>
      <c r="W75" s="2" t="s">
        <v>3527</v>
      </c>
      <c r="X75" s="2" t="s">
        <v>10787</v>
      </c>
      <c r="Y75" s="2" t="s">
        <v>10801</v>
      </c>
      <c r="Z75" s="2" t="s">
        <v>7864</v>
      </c>
      <c r="AA75" s="2">
        <v>100</v>
      </c>
      <c r="AB75" s="2">
        <v>5</v>
      </c>
      <c r="AC75" s="2" t="s">
        <v>10789</v>
      </c>
      <c r="AD75" s="2" t="s">
        <v>18763</v>
      </c>
      <c r="AE75" s="2" t="s">
        <v>18260</v>
      </c>
      <c r="AF75" s="2"/>
      <c r="AG75" s="2" t="s">
        <v>18250</v>
      </c>
    </row>
    <row r="76" spans="1:33" x14ac:dyDescent="0.45">
      <c r="A76" s="2" t="s">
        <v>18764</v>
      </c>
      <c r="B76" s="2" t="s">
        <v>18765</v>
      </c>
      <c r="C76" s="2" t="s">
        <v>18764</v>
      </c>
      <c r="D76" s="2" t="s">
        <v>18766</v>
      </c>
      <c r="E76" s="2" t="s">
        <v>18767</v>
      </c>
      <c r="F76" s="2" t="s">
        <v>18768</v>
      </c>
      <c r="G76" s="2" t="s">
        <v>18768</v>
      </c>
      <c r="H76" s="2" t="s">
        <v>220</v>
      </c>
      <c r="I76" s="2" t="s">
        <v>221</v>
      </c>
      <c r="J76" s="2" t="s">
        <v>18769</v>
      </c>
      <c r="K76" s="2" t="s">
        <v>18766</v>
      </c>
      <c r="L76" s="2"/>
      <c r="M76" s="2"/>
      <c r="N76" s="2"/>
      <c r="O76" s="2" t="s">
        <v>220</v>
      </c>
      <c r="P76" s="2" t="s">
        <v>221</v>
      </c>
      <c r="Q76" s="2" t="s">
        <v>18769</v>
      </c>
      <c r="R76" s="2" t="s">
        <v>8963</v>
      </c>
      <c r="S76" s="2" t="s">
        <v>44</v>
      </c>
      <c r="T76" s="2"/>
      <c r="U76" s="2" t="s">
        <v>3527</v>
      </c>
      <c r="V76" s="2" t="s">
        <v>46</v>
      </c>
      <c r="W76" s="2" t="s">
        <v>3527</v>
      </c>
      <c r="X76" s="2" t="s">
        <v>10787</v>
      </c>
      <c r="Y76" s="2" t="s">
        <v>10801</v>
      </c>
      <c r="Z76" s="2" t="s">
        <v>7864</v>
      </c>
      <c r="AA76" s="2">
        <v>100</v>
      </c>
      <c r="AB76" s="2">
        <v>5</v>
      </c>
      <c r="AC76" s="2" t="s">
        <v>10789</v>
      </c>
      <c r="AD76" s="2" t="s">
        <v>18770</v>
      </c>
      <c r="AE76" s="2" t="s">
        <v>18260</v>
      </c>
      <c r="AF76" s="2"/>
      <c r="AG76" s="2" t="s">
        <v>18250</v>
      </c>
    </row>
    <row r="77" spans="1:33" x14ac:dyDescent="0.45">
      <c r="A77" s="2" t="s">
        <v>18771</v>
      </c>
      <c r="B77" s="2" t="s">
        <v>18772</v>
      </c>
      <c r="C77" s="2" t="s">
        <v>18771</v>
      </c>
      <c r="D77" s="2" t="s">
        <v>18773</v>
      </c>
      <c r="E77" s="2" t="s">
        <v>18774</v>
      </c>
      <c r="F77" s="2" t="s">
        <v>9550</v>
      </c>
      <c r="G77" s="2" t="s">
        <v>9550</v>
      </c>
      <c r="H77" s="2" t="s">
        <v>59</v>
      </c>
      <c r="I77" s="2" t="s">
        <v>60</v>
      </c>
      <c r="J77" s="2" t="s">
        <v>8113</v>
      </c>
      <c r="K77" s="2"/>
      <c r="L77" s="2"/>
      <c r="M77" s="2"/>
      <c r="N77" s="2"/>
      <c r="O77" s="2"/>
      <c r="P77" s="2"/>
      <c r="Q77" s="2"/>
      <c r="R77" s="2" t="s">
        <v>792</v>
      </c>
      <c r="S77" s="2" t="s">
        <v>44</v>
      </c>
      <c r="T77" s="2"/>
      <c r="U77" s="2" t="s">
        <v>821</v>
      </c>
      <c r="V77" s="2" t="s">
        <v>46</v>
      </c>
      <c r="W77" s="2" t="s">
        <v>821</v>
      </c>
      <c r="X77" s="2" t="s">
        <v>10787</v>
      </c>
      <c r="Y77" s="2" t="s">
        <v>10801</v>
      </c>
      <c r="Z77" s="2" t="s">
        <v>7864</v>
      </c>
      <c r="AA77" s="2">
        <v>100</v>
      </c>
      <c r="AB77" s="2">
        <v>17</v>
      </c>
      <c r="AC77" s="2" t="s">
        <v>10789</v>
      </c>
      <c r="AD77" s="2" t="s">
        <v>18775</v>
      </c>
      <c r="AE77" s="2" t="s">
        <v>18260</v>
      </c>
      <c r="AF77" s="2"/>
      <c r="AG77" s="2" t="s">
        <v>18250</v>
      </c>
    </row>
    <row r="78" spans="1:33" x14ac:dyDescent="0.45">
      <c r="A78" s="2" t="s">
        <v>18776</v>
      </c>
      <c r="B78" s="2" t="s">
        <v>18777</v>
      </c>
      <c r="C78" s="2" t="s">
        <v>18776</v>
      </c>
      <c r="D78" s="2" t="s">
        <v>18778</v>
      </c>
      <c r="E78" s="2" t="s">
        <v>18779</v>
      </c>
      <c r="F78" s="2" t="s">
        <v>709</v>
      </c>
      <c r="G78" s="2" t="s">
        <v>709</v>
      </c>
      <c r="H78" s="2" t="s">
        <v>8495</v>
      </c>
      <c r="I78" s="2" t="s">
        <v>8496</v>
      </c>
      <c r="J78" s="2" t="s">
        <v>18780</v>
      </c>
      <c r="K78" s="2" t="s">
        <v>18778</v>
      </c>
      <c r="L78" s="2"/>
      <c r="M78" s="2"/>
      <c r="N78" s="2"/>
      <c r="O78" s="2" t="s">
        <v>8495</v>
      </c>
      <c r="P78" s="2" t="s">
        <v>8496</v>
      </c>
      <c r="Q78" s="2" t="s">
        <v>18780</v>
      </c>
      <c r="R78" s="2" t="s">
        <v>5594</v>
      </c>
      <c r="S78" s="2" t="s">
        <v>44</v>
      </c>
      <c r="T78" s="2"/>
      <c r="U78" s="2" t="s">
        <v>3527</v>
      </c>
      <c r="V78" s="2" t="s">
        <v>46</v>
      </c>
      <c r="W78" s="2" t="s">
        <v>3527</v>
      </c>
      <c r="X78" s="2" t="s">
        <v>10787</v>
      </c>
      <c r="Y78" s="2" t="s">
        <v>10801</v>
      </c>
      <c r="Z78" s="2" t="s">
        <v>7864</v>
      </c>
      <c r="AA78" s="2">
        <v>100</v>
      </c>
      <c r="AB78" s="2">
        <v>5</v>
      </c>
      <c r="AC78" s="2" t="s">
        <v>10789</v>
      </c>
      <c r="AD78" s="2" t="s">
        <v>18781</v>
      </c>
      <c r="AE78" s="2" t="s">
        <v>18260</v>
      </c>
      <c r="AF78" s="2"/>
      <c r="AG78" s="2" t="s">
        <v>18250</v>
      </c>
    </row>
    <row r="79" spans="1:33" x14ac:dyDescent="0.45">
      <c r="A79" s="2" t="s">
        <v>18782</v>
      </c>
      <c r="B79" s="2" t="s">
        <v>18783</v>
      </c>
      <c r="C79" s="2" t="s">
        <v>18784</v>
      </c>
      <c r="D79" s="2" t="s">
        <v>18785</v>
      </c>
      <c r="E79" s="2" t="s">
        <v>18786</v>
      </c>
      <c r="F79" s="2" t="s">
        <v>18787</v>
      </c>
      <c r="G79" s="2" t="s">
        <v>18787</v>
      </c>
      <c r="H79" s="2" t="s">
        <v>59</v>
      </c>
      <c r="I79" s="2" t="s">
        <v>60</v>
      </c>
      <c r="J79" s="2" t="s">
        <v>4840</v>
      </c>
      <c r="K79" s="2"/>
      <c r="L79" s="2"/>
      <c r="M79" s="2"/>
      <c r="N79" s="2"/>
      <c r="O79" s="2"/>
      <c r="P79" s="2"/>
      <c r="Q79" s="2"/>
      <c r="R79" s="2" t="s">
        <v>12050</v>
      </c>
      <c r="S79" s="2" t="s">
        <v>44</v>
      </c>
      <c r="T79" s="2"/>
      <c r="U79" s="2" t="s">
        <v>3527</v>
      </c>
      <c r="V79" s="2" t="s">
        <v>46</v>
      </c>
      <c r="W79" s="2" t="s">
        <v>3527</v>
      </c>
      <c r="X79" s="2" t="s">
        <v>10787</v>
      </c>
      <c r="Y79" s="2" t="s">
        <v>10801</v>
      </c>
      <c r="Z79" s="2" t="s">
        <v>7864</v>
      </c>
      <c r="AA79" s="2">
        <v>100</v>
      </c>
      <c r="AB79" s="2">
        <v>10</v>
      </c>
      <c r="AC79" s="2" t="s">
        <v>10789</v>
      </c>
      <c r="AD79" s="2" t="s">
        <v>18788</v>
      </c>
      <c r="AE79" s="2" t="s">
        <v>18260</v>
      </c>
      <c r="AF79" s="2"/>
      <c r="AG79" s="2" t="s">
        <v>18250</v>
      </c>
    </row>
    <row r="80" spans="1:33" x14ac:dyDescent="0.45">
      <c r="A80" s="2" t="s">
        <v>18789</v>
      </c>
      <c r="B80" s="2" t="s">
        <v>18790</v>
      </c>
      <c r="C80" s="2" t="s">
        <v>18789</v>
      </c>
      <c r="D80" s="2" t="s">
        <v>18791</v>
      </c>
      <c r="E80" s="2" t="s">
        <v>18792</v>
      </c>
      <c r="F80" s="2" t="s">
        <v>3562</v>
      </c>
      <c r="G80" s="2" t="s">
        <v>3562</v>
      </c>
      <c r="H80" s="2" t="s">
        <v>1188</v>
      </c>
      <c r="I80" s="2" t="s">
        <v>221</v>
      </c>
      <c r="J80" s="2" t="s">
        <v>18793</v>
      </c>
      <c r="K80" s="2"/>
      <c r="L80" s="2"/>
      <c r="M80" s="2"/>
      <c r="N80" s="2"/>
      <c r="O80" s="2"/>
      <c r="P80" s="2"/>
      <c r="Q80" s="2"/>
      <c r="R80" s="2" t="s">
        <v>7774</v>
      </c>
      <c r="S80" s="2" t="s">
        <v>44</v>
      </c>
      <c r="T80" s="2"/>
      <c r="U80" s="2" t="s">
        <v>3527</v>
      </c>
      <c r="V80" s="2" t="s">
        <v>46</v>
      </c>
      <c r="W80" s="2" t="s">
        <v>3527</v>
      </c>
      <c r="X80" s="2" t="s">
        <v>10787</v>
      </c>
      <c r="Y80" s="2" t="s">
        <v>10801</v>
      </c>
      <c r="Z80" s="2" t="s">
        <v>7864</v>
      </c>
      <c r="AA80" s="2">
        <v>100</v>
      </c>
      <c r="AB80" s="2">
        <v>10</v>
      </c>
      <c r="AC80" s="2" t="s">
        <v>10789</v>
      </c>
      <c r="AD80" s="2" t="s">
        <v>18794</v>
      </c>
      <c r="AE80" s="2" t="s">
        <v>18260</v>
      </c>
      <c r="AF80" s="2"/>
      <c r="AG80" s="2" t="s">
        <v>18250</v>
      </c>
    </row>
    <row r="81" spans="1:33" x14ac:dyDescent="0.45">
      <c r="A81" s="2" t="s">
        <v>18795</v>
      </c>
      <c r="B81" s="2" t="s">
        <v>18796</v>
      </c>
      <c r="C81" s="2"/>
      <c r="D81" s="2" t="s">
        <v>18797</v>
      </c>
      <c r="E81" s="2" t="s">
        <v>18798</v>
      </c>
      <c r="F81" s="2"/>
      <c r="G81" s="2"/>
      <c r="H81" s="2" t="s">
        <v>174</v>
      </c>
      <c r="I81" s="2" t="s">
        <v>175</v>
      </c>
      <c r="J81" s="2" t="s">
        <v>18799</v>
      </c>
      <c r="K81" s="2" t="s">
        <v>18800</v>
      </c>
      <c r="L81" s="2"/>
      <c r="M81" s="2"/>
      <c r="N81" s="2"/>
      <c r="O81" s="2" t="s">
        <v>174</v>
      </c>
      <c r="P81" s="2" t="s">
        <v>175</v>
      </c>
      <c r="Q81" s="2" t="s">
        <v>7013</v>
      </c>
      <c r="R81" s="2" t="s">
        <v>18801</v>
      </c>
      <c r="S81" s="2" t="s">
        <v>44</v>
      </c>
      <c r="T81" s="2"/>
      <c r="U81" s="2" t="s">
        <v>821</v>
      </c>
      <c r="V81" s="2" t="s">
        <v>46</v>
      </c>
      <c r="W81" s="2" t="s">
        <v>821</v>
      </c>
      <c r="X81" s="2" t="s">
        <v>10787</v>
      </c>
      <c r="Y81" s="2" t="s">
        <v>10801</v>
      </c>
      <c r="Z81" s="2" t="s">
        <v>7864</v>
      </c>
      <c r="AA81" s="2">
        <v>75</v>
      </c>
      <c r="AB81" s="2">
        <v>2</v>
      </c>
      <c r="AC81" s="2" t="s">
        <v>10789</v>
      </c>
      <c r="AD81" s="2" t="s">
        <v>18802</v>
      </c>
      <c r="AE81" s="2" t="s">
        <v>18260</v>
      </c>
      <c r="AF81" s="2"/>
      <c r="AG81" s="2" t="s">
        <v>18250</v>
      </c>
    </row>
    <row r="82" spans="1:33" x14ac:dyDescent="0.45">
      <c r="A82" s="2" t="s">
        <v>18803</v>
      </c>
      <c r="B82" s="2" t="s">
        <v>18804</v>
      </c>
      <c r="C82" s="2" t="s">
        <v>18805</v>
      </c>
      <c r="D82" s="2" t="s">
        <v>18806</v>
      </c>
      <c r="E82" s="2" t="s">
        <v>18807</v>
      </c>
      <c r="F82" s="2"/>
      <c r="G82" s="2"/>
      <c r="H82" s="2" t="s">
        <v>16951</v>
      </c>
      <c r="I82" s="2" t="s">
        <v>175</v>
      </c>
      <c r="J82" s="2" t="s">
        <v>18808</v>
      </c>
      <c r="K82" s="2" t="s">
        <v>18806</v>
      </c>
      <c r="L82" s="2"/>
      <c r="M82" s="2"/>
      <c r="N82" s="2"/>
      <c r="O82" s="2" t="s">
        <v>16951</v>
      </c>
      <c r="P82" s="2" t="s">
        <v>175</v>
      </c>
      <c r="Q82" s="2" t="s">
        <v>18808</v>
      </c>
      <c r="R82" s="2" t="s">
        <v>18809</v>
      </c>
      <c r="S82" s="2" t="s">
        <v>44</v>
      </c>
      <c r="T82" s="2"/>
      <c r="U82" s="2" t="s">
        <v>3527</v>
      </c>
      <c r="V82" s="2" t="s">
        <v>46</v>
      </c>
      <c r="W82" s="2" t="s">
        <v>3527</v>
      </c>
      <c r="X82" s="2" t="s">
        <v>10787</v>
      </c>
      <c r="Y82" s="2" t="s">
        <v>10801</v>
      </c>
      <c r="Z82" s="2" t="s">
        <v>7864</v>
      </c>
      <c r="AA82" s="2">
        <v>90</v>
      </c>
      <c r="AB82" s="2">
        <v>0</v>
      </c>
      <c r="AC82" s="2" t="s">
        <v>10789</v>
      </c>
      <c r="AD82" s="2" t="s">
        <v>18810</v>
      </c>
      <c r="AE82" s="2" t="s">
        <v>18260</v>
      </c>
      <c r="AF82" s="2"/>
      <c r="AG82" s="2" t="s">
        <v>18250</v>
      </c>
    </row>
    <row r="83" spans="1:33" x14ac:dyDescent="0.45">
      <c r="A83" s="2" t="s">
        <v>18811</v>
      </c>
      <c r="B83" s="2" t="s">
        <v>18812</v>
      </c>
      <c r="C83" s="2" t="s">
        <v>18813</v>
      </c>
      <c r="D83" s="2" t="s">
        <v>18814</v>
      </c>
      <c r="E83" s="2" t="s">
        <v>18815</v>
      </c>
      <c r="F83" s="2" t="s">
        <v>18816</v>
      </c>
      <c r="G83" s="2" t="s">
        <v>18816</v>
      </c>
      <c r="H83" s="2" t="s">
        <v>59</v>
      </c>
      <c r="I83" s="2" t="s">
        <v>60</v>
      </c>
      <c r="J83" s="2" t="s">
        <v>18817</v>
      </c>
      <c r="K83" s="2" t="s">
        <v>18818</v>
      </c>
      <c r="L83" s="2"/>
      <c r="M83" s="2"/>
      <c r="N83" s="2"/>
      <c r="O83" s="2" t="s">
        <v>59</v>
      </c>
      <c r="P83" s="2" t="s">
        <v>60</v>
      </c>
      <c r="Q83" s="2" t="s">
        <v>18817</v>
      </c>
      <c r="R83" s="2" t="s">
        <v>8709</v>
      </c>
      <c r="S83" s="2" t="s">
        <v>44</v>
      </c>
      <c r="T83" s="2"/>
      <c r="U83" s="2" t="s">
        <v>821</v>
      </c>
      <c r="V83" s="2" t="s">
        <v>46</v>
      </c>
      <c r="W83" s="2" t="s">
        <v>821</v>
      </c>
      <c r="X83" s="2" t="s">
        <v>10787</v>
      </c>
      <c r="Y83" s="2" t="s">
        <v>10801</v>
      </c>
      <c r="Z83" s="2" t="s">
        <v>7864</v>
      </c>
      <c r="AA83" s="2">
        <v>100</v>
      </c>
      <c r="AB83" s="2">
        <v>17</v>
      </c>
      <c r="AC83" s="2" t="s">
        <v>10789</v>
      </c>
      <c r="AD83" s="2" t="s">
        <v>18819</v>
      </c>
      <c r="AE83" s="2" t="s">
        <v>18260</v>
      </c>
      <c r="AF83" s="2"/>
      <c r="AG83" s="2" t="s">
        <v>18250</v>
      </c>
    </row>
    <row r="84" spans="1:33" x14ac:dyDescent="0.45">
      <c r="A84" s="2" t="s">
        <v>18820</v>
      </c>
      <c r="B84" s="2" t="s">
        <v>18821</v>
      </c>
      <c r="C84" s="2" t="s">
        <v>18822</v>
      </c>
      <c r="D84" s="2" t="s">
        <v>18823</v>
      </c>
      <c r="E84" s="2" t="s">
        <v>18824</v>
      </c>
      <c r="F84" s="2" t="s">
        <v>18825</v>
      </c>
      <c r="G84" s="2" t="s">
        <v>18825</v>
      </c>
      <c r="H84" s="2" t="s">
        <v>384</v>
      </c>
      <c r="I84" s="2" t="s">
        <v>73</v>
      </c>
      <c r="J84" s="2" t="s">
        <v>4885</v>
      </c>
      <c r="K84" s="2" t="s">
        <v>18823</v>
      </c>
      <c r="L84" s="2"/>
      <c r="M84" s="2"/>
      <c r="N84" s="2"/>
      <c r="O84" s="2" t="s">
        <v>384</v>
      </c>
      <c r="P84" s="2" t="s">
        <v>73</v>
      </c>
      <c r="Q84" s="2" t="s">
        <v>4885</v>
      </c>
      <c r="R84" s="2" t="s">
        <v>7597</v>
      </c>
      <c r="S84" s="2" t="s">
        <v>44</v>
      </c>
      <c r="T84" s="2"/>
      <c r="U84" s="2" t="s">
        <v>821</v>
      </c>
      <c r="V84" s="2" t="s">
        <v>46</v>
      </c>
      <c r="W84" s="2" t="s">
        <v>821</v>
      </c>
      <c r="X84" s="2" t="s">
        <v>10787</v>
      </c>
      <c r="Y84" s="2" t="s">
        <v>10801</v>
      </c>
      <c r="Z84" s="2" t="s">
        <v>7864</v>
      </c>
      <c r="AA84" s="2">
        <v>100</v>
      </c>
      <c r="AB84" s="2">
        <v>17</v>
      </c>
      <c r="AC84" s="2" t="s">
        <v>10789</v>
      </c>
      <c r="AD84" s="2" t="s">
        <v>18826</v>
      </c>
      <c r="AE84" s="2" t="s">
        <v>18260</v>
      </c>
      <c r="AF84" s="2"/>
      <c r="AG84" s="2" t="s">
        <v>18250</v>
      </c>
    </row>
    <row r="85" spans="1:33" x14ac:dyDescent="0.45">
      <c r="A85" s="2" t="s">
        <v>18827</v>
      </c>
      <c r="B85" s="2" t="s">
        <v>18828</v>
      </c>
      <c r="C85" s="2" t="s">
        <v>18827</v>
      </c>
      <c r="D85" s="2" t="s">
        <v>18829</v>
      </c>
      <c r="E85" s="2" t="s">
        <v>18830</v>
      </c>
      <c r="F85" s="2" t="s">
        <v>12141</v>
      </c>
      <c r="G85" s="2" t="s">
        <v>12141</v>
      </c>
      <c r="H85" s="2" t="s">
        <v>5821</v>
      </c>
      <c r="I85" s="2" t="s">
        <v>278</v>
      </c>
      <c r="J85" s="2" t="s">
        <v>18831</v>
      </c>
      <c r="K85" s="2" t="s">
        <v>18832</v>
      </c>
      <c r="L85" s="2" t="s">
        <v>18830</v>
      </c>
      <c r="M85" s="2"/>
      <c r="N85" s="2"/>
      <c r="O85" s="2" t="s">
        <v>5821</v>
      </c>
      <c r="P85" s="2" t="s">
        <v>278</v>
      </c>
      <c r="Q85" s="2" t="s">
        <v>18831</v>
      </c>
      <c r="R85" s="2" t="s">
        <v>18833</v>
      </c>
      <c r="S85" s="2" t="s">
        <v>44</v>
      </c>
      <c r="T85" s="2"/>
      <c r="U85" s="2" t="s">
        <v>821</v>
      </c>
      <c r="V85" s="2" t="s">
        <v>46</v>
      </c>
      <c r="W85" s="2" t="s">
        <v>821</v>
      </c>
      <c r="X85" s="2" t="s">
        <v>10787</v>
      </c>
      <c r="Y85" s="2" t="s">
        <v>10801</v>
      </c>
      <c r="Z85" s="2" t="s">
        <v>7864</v>
      </c>
      <c r="AA85" s="2">
        <v>100</v>
      </c>
      <c r="AB85" s="2">
        <v>12</v>
      </c>
      <c r="AC85" s="2" t="s">
        <v>10789</v>
      </c>
      <c r="AD85" s="2" t="s">
        <v>18834</v>
      </c>
      <c r="AE85" s="2" t="s">
        <v>18260</v>
      </c>
      <c r="AF85" s="2"/>
      <c r="AG85" s="2" t="s">
        <v>18250</v>
      </c>
    </row>
    <row r="86" spans="1:33" x14ac:dyDescent="0.45">
      <c r="A86" s="2" t="s">
        <v>18835</v>
      </c>
      <c r="B86" s="2" t="s">
        <v>18836</v>
      </c>
      <c r="C86" s="2" t="s">
        <v>15854</v>
      </c>
      <c r="D86" s="2" t="s">
        <v>18837</v>
      </c>
      <c r="E86" s="2" t="s">
        <v>18838</v>
      </c>
      <c r="F86" s="2"/>
      <c r="G86" s="2"/>
      <c r="H86" s="2" t="s">
        <v>5821</v>
      </c>
      <c r="I86" s="2" t="s">
        <v>278</v>
      </c>
      <c r="J86" s="2" t="s">
        <v>15858</v>
      </c>
      <c r="K86" s="2" t="s">
        <v>18837</v>
      </c>
      <c r="L86" s="2"/>
      <c r="M86" s="2"/>
      <c r="N86" s="2"/>
      <c r="O86" s="2" t="s">
        <v>5821</v>
      </c>
      <c r="P86" s="2" t="s">
        <v>278</v>
      </c>
      <c r="Q86" s="2" t="s">
        <v>15858</v>
      </c>
      <c r="R86" s="2" t="s">
        <v>4532</v>
      </c>
      <c r="S86" s="2" t="s">
        <v>44</v>
      </c>
      <c r="T86" s="2"/>
      <c r="U86" s="2" t="s">
        <v>3527</v>
      </c>
      <c r="V86" s="2" t="s">
        <v>46</v>
      </c>
      <c r="W86" s="2" t="s">
        <v>3527</v>
      </c>
      <c r="X86" s="2" t="s">
        <v>10787</v>
      </c>
      <c r="Y86" s="2" t="s">
        <v>10801</v>
      </c>
      <c r="Z86" s="2" t="s">
        <v>7864</v>
      </c>
      <c r="AA86" s="2">
        <v>90</v>
      </c>
      <c r="AB86" s="2">
        <v>0</v>
      </c>
      <c r="AC86" s="2" t="s">
        <v>10789</v>
      </c>
      <c r="AD86" s="2" t="s">
        <v>18839</v>
      </c>
      <c r="AE86" s="2" t="s">
        <v>18260</v>
      </c>
      <c r="AF86" s="2"/>
      <c r="AG86" s="2" t="s">
        <v>18250</v>
      </c>
    </row>
    <row r="87" spans="1:33" x14ac:dyDescent="0.45">
      <c r="A87" s="2" t="s">
        <v>18840</v>
      </c>
      <c r="B87" s="2" t="s">
        <v>18841</v>
      </c>
      <c r="C87" s="2" t="s">
        <v>18842</v>
      </c>
      <c r="D87" s="2" t="s">
        <v>18843</v>
      </c>
      <c r="E87" s="2" t="s">
        <v>18844</v>
      </c>
      <c r="F87" s="2" t="s">
        <v>18845</v>
      </c>
      <c r="G87" s="2"/>
      <c r="H87" s="2" t="s">
        <v>290</v>
      </c>
      <c r="I87" s="2" t="s">
        <v>278</v>
      </c>
      <c r="J87" s="2" t="s">
        <v>291</v>
      </c>
      <c r="K87" s="2" t="s">
        <v>18843</v>
      </c>
      <c r="L87" s="2"/>
      <c r="M87" s="2"/>
      <c r="N87" s="2"/>
      <c r="O87" s="2" t="s">
        <v>290</v>
      </c>
      <c r="P87" s="2" t="s">
        <v>278</v>
      </c>
      <c r="Q87" s="2" t="s">
        <v>291</v>
      </c>
      <c r="R87" s="2" t="s">
        <v>11575</v>
      </c>
      <c r="S87" s="2" t="s">
        <v>44</v>
      </c>
      <c r="T87" s="2"/>
      <c r="U87" s="2" t="s">
        <v>3527</v>
      </c>
      <c r="V87" s="2" t="s">
        <v>46</v>
      </c>
      <c r="W87" s="2" t="s">
        <v>3527</v>
      </c>
      <c r="X87" s="2" t="s">
        <v>10787</v>
      </c>
      <c r="Y87" s="2" t="s">
        <v>10801</v>
      </c>
      <c r="Z87" s="2" t="s">
        <v>7864</v>
      </c>
      <c r="AA87" s="2">
        <v>100</v>
      </c>
      <c r="AB87" s="2">
        <v>10</v>
      </c>
      <c r="AC87" s="2" t="s">
        <v>10789</v>
      </c>
      <c r="AD87" s="2" t="s">
        <v>18846</v>
      </c>
      <c r="AE87" s="2" t="s">
        <v>18260</v>
      </c>
      <c r="AF87" s="2"/>
      <c r="AG87" s="2" t="s">
        <v>18250</v>
      </c>
    </row>
    <row r="88" spans="1:33" x14ac:dyDescent="0.45">
      <c r="A88" s="2" t="s">
        <v>18847</v>
      </c>
      <c r="B88" s="2" t="s">
        <v>18848</v>
      </c>
      <c r="C88" s="2" t="s">
        <v>18849</v>
      </c>
      <c r="D88" s="2" t="s">
        <v>18850</v>
      </c>
      <c r="E88" s="2" t="s">
        <v>18851</v>
      </c>
      <c r="F88" s="2" t="s">
        <v>18852</v>
      </c>
      <c r="G88" s="2"/>
      <c r="H88" s="2" t="s">
        <v>651</v>
      </c>
      <c r="I88" s="2" t="s">
        <v>86</v>
      </c>
      <c r="J88" s="2" t="s">
        <v>18853</v>
      </c>
      <c r="K88" s="2" t="s">
        <v>18850</v>
      </c>
      <c r="L88" s="2"/>
      <c r="M88" s="2"/>
      <c r="N88" s="2"/>
      <c r="O88" s="2" t="s">
        <v>651</v>
      </c>
      <c r="P88" s="2" t="s">
        <v>86</v>
      </c>
      <c r="Q88" s="2" t="s">
        <v>18853</v>
      </c>
      <c r="R88" s="2" t="s">
        <v>10712</v>
      </c>
      <c r="S88" s="2" t="s">
        <v>44</v>
      </c>
      <c r="T88" s="2"/>
      <c r="U88" s="2" t="s">
        <v>3527</v>
      </c>
      <c r="V88" s="2" t="s">
        <v>46</v>
      </c>
      <c r="W88" s="2" t="s">
        <v>3527</v>
      </c>
      <c r="X88" s="2" t="s">
        <v>10787</v>
      </c>
      <c r="Y88" s="2" t="s">
        <v>10801</v>
      </c>
      <c r="Z88" s="2" t="s">
        <v>7864</v>
      </c>
      <c r="AA88" s="2">
        <v>100</v>
      </c>
      <c r="AB88" s="2">
        <v>10</v>
      </c>
      <c r="AC88" s="2" t="s">
        <v>10789</v>
      </c>
      <c r="AD88" s="2" t="s">
        <v>18854</v>
      </c>
      <c r="AE88" s="2" t="s">
        <v>18260</v>
      </c>
      <c r="AF88" s="2"/>
      <c r="AG88" s="2" t="s">
        <v>18250</v>
      </c>
    </row>
    <row r="89" spans="1:33" x14ac:dyDescent="0.45">
      <c r="A89" s="2" t="s">
        <v>18855</v>
      </c>
      <c r="B89" s="2" t="s">
        <v>18856</v>
      </c>
      <c r="C89" s="2" t="s">
        <v>18857</v>
      </c>
      <c r="D89" s="2" t="s">
        <v>18858</v>
      </c>
      <c r="E89" s="2" t="s">
        <v>18859</v>
      </c>
      <c r="F89" s="2" t="s">
        <v>18860</v>
      </c>
      <c r="G89" s="2" t="s">
        <v>18860</v>
      </c>
      <c r="H89" s="2" t="s">
        <v>6156</v>
      </c>
      <c r="I89" s="2" t="s">
        <v>217</v>
      </c>
      <c r="J89" s="2" t="s">
        <v>18628</v>
      </c>
      <c r="K89" s="2"/>
      <c r="L89" s="2"/>
      <c r="M89" s="2"/>
      <c r="N89" s="2"/>
      <c r="O89" s="2"/>
      <c r="P89" s="2"/>
      <c r="Q89" s="2"/>
      <c r="R89" s="2" t="s">
        <v>18861</v>
      </c>
      <c r="S89" s="2" t="s">
        <v>44</v>
      </c>
      <c r="T89" s="2"/>
      <c r="U89" s="2" t="s">
        <v>3527</v>
      </c>
      <c r="V89" s="2" t="s">
        <v>46</v>
      </c>
      <c r="W89" s="2" t="s">
        <v>3527</v>
      </c>
      <c r="X89" s="2" t="s">
        <v>10787</v>
      </c>
      <c r="Y89" s="2" t="s">
        <v>10801</v>
      </c>
      <c r="Z89" s="2" t="s">
        <v>7864</v>
      </c>
      <c r="AA89" s="2">
        <v>100</v>
      </c>
      <c r="AB89" s="2">
        <v>5</v>
      </c>
      <c r="AC89" s="2" t="s">
        <v>10789</v>
      </c>
      <c r="AD89" s="2" t="s">
        <v>18862</v>
      </c>
      <c r="AE89" s="2" t="s">
        <v>18260</v>
      </c>
      <c r="AF89" s="2"/>
      <c r="AG89" s="2" t="s">
        <v>18250</v>
      </c>
    </row>
    <row r="90" spans="1:33" x14ac:dyDescent="0.45">
      <c r="A90" s="2" t="s">
        <v>18863</v>
      </c>
      <c r="B90" s="2" t="s">
        <v>18864</v>
      </c>
      <c r="C90" s="2" t="s">
        <v>18865</v>
      </c>
      <c r="D90" s="2" t="s">
        <v>18866</v>
      </c>
      <c r="E90" s="2" t="s">
        <v>18867</v>
      </c>
      <c r="F90" s="2" t="s">
        <v>18868</v>
      </c>
      <c r="G90" s="2" t="s">
        <v>18868</v>
      </c>
      <c r="H90" s="2" t="s">
        <v>72</v>
      </c>
      <c r="I90" s="2" t="s">
        <v>73</v>
      </c>
      <c r="J90" s="2" t="s">
        <v>6837</v>
      </c>
      <c r="K90" s="2" t="s">
        <v>18866</v>
      </c>
      <c r="L90" s="2"/>
      <c r="M90" s="2"/>
      <c r="N90" s="2"/>
      <c r="O90" s="2" t="s">
        <v>72</v>
      </c>
      <c r="P90" s="2" t="s">
        <v>73</v>
      </c>
      <c r="Q90" s="2" t="s">
        <v>6837</v>
      </c>
      <c r="R90" s="2" t="s">
        <v>3485</v>
      </c>
      <c r="S90" s="2" t="s">
        <v>44</v>
      </c>
      <c r="T90" s="2"/>
      <c r="U90" s="2" t="s">
        <v>3527</v>
      </c>
      <c r="V90" s="2" t="s">
        <v>46</v>
      </c>
      <c r="W90" s="2" t="s">
        <v>3527</v>
      </c>
      <c r="X90" s="2" t="s">
        <v>10787</v>
      </c>
      <c r="Y90" s="2" t="s">
        <v>10801</v>
      </c>
      <c r="Z90" s="2" t="s">
        <v>7864</v>
      </c>
      <c r="AA90" s="2">
        <v>100</v>
      </c>
      <c r="AB90" s="2">
        <v>10</v>
      </c>
      <c r="AC90" s="2" t="s">
        <v>10789</v>
      </c>
      <c r="AD90" s="2" t="s">
        <v>18869</v>
      </c>
      <c r="AE90" s="2" t="s">
        <v>18260</v>
      </c>
      <c r="AF90" s="2"/>
      <c r="AG90" s="2" t="s">
        <v>18250</v>
      </c>
    </row>
    <row r="91" spans="1:33" x14ac:dyDescent="0.45">
      <c r="A91" s="2" t="s">
        <v>18870</v>
      </c>
      <c r="B91" s="2" t="s">
        <v>18871</v>
      </c>
      <c r="C91" s="2" t="s">
        <v>18872</v>
      </c>
      <c r="D91" s="2" t="s">
        <v>18873</v>
      </c>
      <c r="E91" s="2" t="s">
        <v>18874</v>
      </c>
      <c r="F91" s="2"/>
      <c r="G91" s="2"/>
      <c r="H91" s="2" t="s">
        <v>16966</v>
      </c>
      <c r="I91" s="2" t="s">
        <v>221</v>
      </c>
      <c r="J91" s="2" t="s">
        <v>16967</v>
      </c>
      <c r="K91" s="2" t="s">
        <v>18873</v>
      </c>
      <c r="L91" s="2"/>
      <c r="M91" s="2"/>
      <c r="N91" s="2"/>
      <c r="O91" s="2" t="s">
        <v>16966</v>
      </c>
      <c r="P91" s="2" t="s">
        <v>221</v>
      </c>
      <c r="Q91" s="2" t="s">
        <v>16967</v>
      </c>
      <c r="R91" s="2" t="s">
        <v>10712</v>
      </c>
      <c r="S91" s="2" t="s">
        <v>44</v>
      </c>
      <c r="T91" s="2"/>
      <c r="U91" s="2" t="s">
        <v>3527</v>
      </c>
      <c r="V91" s="2" t="s">
        <v>46</v>
      </c>
      <c r="W91" s="2" t="s">
        <v>3527</v>
      </c>
      <c r="X91" s="2" t="s">
        <v>10787</v>
      </c>
      <c r="Y91" s="2" t="s">
        <v>10801</v>
      </c>
      <c r="Z91" s="2" t="s">
        <v>7864</v>
      </c>
      <c r="AA91" s="2">
        <v>90</v>
      </c>
      <c r="AB91" s="2">
        <v>0</v>
      </c>
      <c r="AC91" s="2" t="s">
        <v>10789</v>
      </c>
      <c r="AD91" s="2" t="s">
        <v>18875</v>
      </c>
      <c r="AE91" s="2" t="s">
        <v>18260</v>
      </c>
      <c r="AF91" s="2"/>
      <c r="AG91" s="2" t="s">
        <v>18250</v>
      </c>
    </row>
    <row r="92" spans="1:33" x14ac:dyDescent="0.45">
      <c r="A92" s="2" t="s">
        <v>18876</v>
      </c>
      <c r="B92" s="2" t="s">
        <v>18877</v>
      </c>
      <c r="C92" s="2" t="s">
        <v>18878</v>
      </c>
      <c r="D92" s="2" t="s">
        <v>18879</v>
      </c>
      <c r="E92" s="2" t="s">
        <v>18880</v>
      </c>
      <c r="F92" s="2"/>
      <c r="G92" s="2"/>
      <c r="H92" s="2" t="s">
        <v>8495</v>
      </c>
      <c r="I92" s="2" t="s">
        <v>8496</v>
      </c>
      <c r="J92" s="2" t="s">
        <v>18881</v>
      </c>
      <c r="K92" s="2"/>
      <c r="L92" s="2"/>
      <c r="M92" s="2"/>
      <c r="N92" s="2"/>
      <c r="O92" s="2"/>
      <c r="P92" s="2"/>
      <c r="Q92" s="2"/>
      <c r="R92" s="2" t="s">
        <v>18882</v>
      </c>
      <c r="S92" s="2" t="s">
        <v>44</v>
      </c>
      <c r="T92" s="2"/>
      <c r="U92" s="2" t="s">
        <v>3527</v>
      </c>
      <c r="V92" s="2" t="s">
        <v>46</v>
      </c>
      <c r="W92" s="2" t="s">
        <v>3527</v>
      </c>
      <c r="X92" s="2" t="s">
        <v>10787</v>
      </c>
      <c r="Y92" s="2" t="s">
        <v>10801</v>
      </c>
      <c r="Z92" s="2" t="s">
        <v>7864</v>
      </c>
      <c r="AA92" s="2">
        <v>90</v>
      </c>
      <c r="AB92" s="2">
        <v>0</v>
      </c>
      <c r="AC92" s="2" t="s">
        <v>10789</v>
      </c>
      <c r="AD92" s="2" t="s">
        <v>18883</v>
      </c>
      <c r="AE92" s="2" t="s">
        <v>18260</v>
      </c>
      <c r="AF92" s="2"/>
      <c r="AG92" s="2" t="s">
        <v>18250</v>
      </c>
    </row>
    <row r="93" spans="1:33" x14ac:dyDescent="0.45">
      <c r="A93" s="2" t="s">
        <v>18884</v>
      </c>
      <c r="B93" s="2" t="s">
        <v>18885</v>
      </c>
      <c r="C93" s="2" t="s">
        <v>18886</v>
      </c>
      <c r="D93" s="2" t="s">
        <v>18887</v>
      </c>
      <c r="E93" s="2" t="s">
        <v>18888</v>
      </c>
      <c r="F93" s="2"/>
      <c r="G93" s="2"/>
      <c r="H93" s="2" t="s">
        <v>72</v>
      </c>
      <c r="I93" s="2" t="s">
        <v>73</v>
      </c>
      <c r="J93" s="2" t="s">
        <v>3524</v>
      </c>
      <c r="K93" s="2" t="s">
        <v>18887</v>
      </c>
      <c r="L93" s="2"/>
      <c r="M93" s="2"/>
      <c r="N93" s="2"/>
      <c r="O93" s="2" t="s">
        <v>72</v>
      </c>
      <c r="P93" s="2" t="s">
        <v>73</v>
      </c>
      <c r="Q93" s="2" t="s">
        <v>3524</v>
      </c>
      <c r="R93" s="2" t="s">
        <v>2895</v>
      </c>
      <c r="S93" s="2" t="s">
        <v>44</v>
      </c>
      <c r="T93" s="2"/>
      <c r="U93" s="2" t="s">
        <v>3527</v>
      </c>
      <c r="V93" s="2" t="s">
        <v>46</v>
      </c>
      <c r="W93" s="2" t="s">
        <v>3527</v>
      </c>
      <c r="X93" s="2" t="s">
        <v>10787</v>
      </c>
      <c r="Y93" s="2" t="s">
        <v>10801</v>
      </c>
      <c r="Z93" s="2" t="s">
        <v>7864</v>
      </c>
      <c r="AA93" s="2">
        <v>90</v>
      </c>
      <c r="AB93" s="2">
        <v>0</v>
      </c>
      <c r="AC93" s="2" t="s">
        <v>10789</v>
      </c>
      <c r="AD93" s="2" t="s">
        <v>18889</v>
      </c>
      <c r="AE93" s="2" t="s">
        <v>18260</v>
      </c>
      <c r="AF93" s="2"/>
      <c r="AG93" s="2" t="s">
        <v>18250</v>
      </c>
    </row>
    <row r="94" spans="1:33" x14ac:dyDescent="0.45">
      <c r="A94" s="2" t="s">
        <v>18890</v>
      </c>
      <c r="B94" s="2" t="s">
        <v>18891</v>
      </c>
      <c r="C94" s="2" t="s">
        <v>14041</v>
      </c>
      <c r="D94" s="2" t="s">
        <v>18892</v>
      </c>
      <c r="E94" s="2" t="s">
        <v>18893</v>
      </c>
      <c r="F94" s="2" t="s">
        <v>18894</v>
      </c>
      <c r="G94" s="2" t="s">
        <v>18894</v>
      </c>
      <c r="H94" s="2" t="s">
        <v>174</v>
      </c>
      <c r="I94" s="2" t="s">
        <v>175</v>
      </c>
      <c r="J94" s="2" t="s">
        <v>18895</v>
      </c>
      <c r="K94" s="2"/>
      <c r="L94" s="2"/>
      <c r="M94" s="2"/>
      <c r="N94" s="2"/>
      <c r="O94" s="2"/>
      <c r="P94" s="2"/>
      <c r="Q94" s="2"/>
      <c r="R94" s="2" t="s">
        <v>18896</v>
      </c>
      <c r="S94" s="2" t="s">
        <v>44</v>
      </c>
      <c r="T94" s="2"/>
      <c r="U94" s="2" t="s">
        <v>3527</v>
      </c>
      <c r="V94" s="2" t="s">
        <v>46</v>
      </c>
      <c r="W94" s="2" t="s">
        <v>3527</v>
      </c>
      <c r="X94" s="2" t="s">
        <v>10787</v>
      </c>
      <c r="Y94" s="2" t="s">
        <v>10801</v>
      </c>
      <c r="Z94" s="2" t="s">
        <v>7864</v>
      </c>
      <c r="AA94" s="2">
        <v>100</v>
      </c>
      <c r="AB94" s="2">
        <v>10</v>
      </c>
      <c r="AC94" s="2" t="s">
        <v>10789</v>
      </c>
      <c r="AD94" s="2" t="s">
        <v>18897</v>
      </c>
      <c r="AE94" s="2" t="s">
        <v>18260</v>
      </c>
      <c r="AF94" s="2"/>
      <c r="AG94" s="2" t="s">
        <v>18250</v>
      </c>
    </row>
    <row r="95" spans="1:33" x14ac:dyDescent="0.45">
      <c r="A95" s="2" t="s">
        <v>18898</v>
      </c>
      <c r="B95" s="2" t="s">
        <v>18899</v>
      </c>
      <c r="C95" s="2" t="s">
        <v>18900</v>
      </c>
      <c r="D95" s="2" t="s">
        <v>18901</v>
      </c>
      <c r="E95" s="2" t="s">
        <v>18902</v>
      </c>
      <c r="F95" s="2" t="s">
        <v>18903</v>
      </c>
      <c r="G95" s="2"/>
      <c r="H95" s="2" t="s">
        <v>17680</v>
      </c>
      <c r="I95" s="2" t="s">
        <v>17681</v>
      </c>
      <c r="J95" s="2" t="s">
        <v>17682</v>
      </c>
      <c r="K95" s="2"/>
      <c r="L95" s="2"/>
      <c r="M95" s="2"/>
      <c r="N95" s="2"/>
      <c r="O95" s="2"/>
      <c r="P95" s="2"/>
      <c r="Q95" s="2"/>
      <c r="R95" s="2" t="s">
        <v>18904</v>
      </c>
      <c r="S95" s="2" t="s">
        <v>44</v>
      </c>
      <c r="T95" s="2"/>
      <c r="U95" s="2" t="s">
        <v>3527</v>
      </c>
      <c r="V95" s="2" t="s">
        <v>46</v>
      </c>
      <c r="W95" s="2" t="s">
        <v>3527</v>
      </c>
      <c r="X95" s="2" t="s">
        <v>10787</v>
      </c>
      <c r="Y95" s="2" t="s">
        <v>10801</v>
      </c>
      <c r="Z95" s="2" t="s">
        <v>7864</v>
      </c>
      <c r="AA95" s="2">
        <v>100</v>
      </c>
      <c r="AB95" s="2">
        <v>5</v>
      </c>
      <c r="AC95" s="2" t="s">
        <v>10789</v>
      </c>
      <c r="AD95" s="2" t="s">
        <v>18905</v>
      </c>
      <c r="AE95" s="2" t="s">
        <v>18260</v>
      </c>
      <c r="AF95" s="2"/>
      <c r="AG95" s="2" t="s">
        <v>18250</v>
      </c>
    </row>
    <row r="96" spans="1:33" x14ac:dyDescent="0.45">
      <c r="A96" s="2" t="s">
        <v>18906</v>
      </c>
      <c r="B96" s="2" t="s">
        <v>18907</v>
      </c>
      <c r="C96" s="2" t="s">
        <v>18906</v>
      </c>
      <c r="D96" s="2" t="s">
        <v>18908</v>
      </c>
      <c r="E96" s="2" t="s">
        <v>18909</v>
      </c>
      <c r="F96" s="2"/>
      <c r="G96" s="2"/>
      <c r="H96" s="2" t="s">
        <v>12582</v>
      </c>
      <c r="I96" s="2" t="s">
        <v>313</v>
      </c>
      <c r="J96" s="2" t="s">
        <v>18910</v>
      </c>
      <c r="K96" s="2" t="s">
        <v>18908</v>
      </c>
      <c r="L96" s="2"/>
      <c r="M96" s="2"/>
      <c r="N96" s="2"/>
      <c r="O96" s="2" t="s">
        <v>12582</v>
      </c>
      <c r="P96" s="2" t="s">
        <v>313</v>
      </c>
      <c r="Q96" s="2" t="s">
        <v>18910</v>
      </c>
      <c r="R96" s="2" t="s">
        <v>4965</v>
      </c>
      <c r="S96" s="2" t="s">
        <v>44</v>
      </c>
      <c r="T96" s="2"/>
      <c r="U96" s="2" t="s">
        <v>3527</v>
      </c>
      <c r="V96" s="2" t="s">
        <v>46</v>
      </c>
      <c r="W96" s="2" t="s">
        <v>3527</v>
      </c>
      <c r="X96" s="2" t="s">
        <v>10787</v>
      </c>
      <c r="Y96" s="2" t="s">
        <v>10801</v>
      </c>
      <c r="Z96" s="2" t="s">
        <v>7864</v>
      </c>
      <c r="AA96" s="2">
        <v>90</v>
      </c>
      <c r="AB96" s="2">
        <v>0</v>
      </c>
      <c r="AC96" s="2" t="s">
        <v>10789</v>
      </c>
      <c r="AD96" s="2" t="s">
        <v>18911</v>
      </c>
      <c r="AE96" s="2" t="s">
        <v>18260</v>
      </c>
      <c r="AF96" s="2"/>
      <c r="AG96" s="2" t="s">
        <v>18250</v>
      </c>
    </row>
    <row r="97" spans="1:33" x14ac:dyDescent="0.45">
      <c r="A97" s="2" t="s">
        <v>18912</v>
      </c>
      <c r="B97" s="2" t="s">
        <v>18913</v>
      </c>
      <c r="C97" s="2" t="s">
        <v>18914</v>
      </c>
      <c r="D97" s="2" t="s">
        <v>18915</v>
      </c>
      <c r="E97" s="2" t="s">
        <v>18916</v>
      </c>
      <c r="F97" s="2" t="s">
        <v>18917</v>
      </c>
      <c r="G97" s="2"/>
      <c r="H97" s="2" t="s">
        <v>8369</v>
      </c>
      <c r="I97" s="2" t="s">
        <v>1112</v>
      </c>
      <c r="J97" s="2" t="s">
        <v>18918</v>
      </c>
      <c r="K97" s="2" t="s">
        <v>18915</v>
      </c>
      <c r="L97" s="2"/>
      <c r="M97" s="2"/>
      <c r="N97" s="2"/>
      <c r="O97" s="2" t="s">
        <v>8369</v>
      </c>
      <c r="P97" s="2" t="s">
        <v>1112</v>
      </c>
      <c r="Q97" s="2" t="s">
        <v>18918</v>
      </c>
      <c r="R97" s="2" t="s">
        <v>10445</v>
      </c>
      <c r="S97" s="2" t="s">
        <v>44</v>
      </c>
      <c r="T97" s="2"/>
      <c r="U97" s="2" t="s">
        <v>3527</v>
      </c>
      <c r="V97" s="2" t="s">
        <v>46</v>
      </c>
      <c r="W97" s="2" t="s">
        <v>3527</v>
      </c>
      <c r="X97" s="2" t="s">
        <v>10787</v>
      </c>
      <c r="Y97" s="2" t="s">
        <v>10801</v>
      </c>
      <c r="Z97" s="2" t="s">
        <v>7864</v>
      </c>
      <c r="AA97" s="2">
        <v>100</v>
      </c>
      <c r="AB97" s="2">
        <v>5</v>
      </c>
      <c r="AC97" s="2" t="s">
        <v>10789</v>
      </c>
      <c r="AD97" s="2" t="s">
        <v>18919</v>
      </c>
      <c r="AE97" s="2" t="s">
        <v>18260</v>
      </c>
      <c r="AF97" s="2"/>
      <c r="AG97" s="2" t="s">
        <v>18250</v>
      </c>
    </row>
    <row r="98" spans="1:33" x14ac:dyDescent="0.45">
      <c r="A98" s="2" t="s">
        <v>18920</v>
      </c>
      <c r="B98" s="2" t="s">
        <v>18921</v>
      </c>
      <c r="C98" s="2" t="s">
        <v>18922</v>
      </c>
      <c r="D98" s="2" t="s">
        <v>18923</v>
      </c>
      <c r="E98" s="2" t="s">
        <v>18924</v>
      </c>
      <c r="F98" s="2" t="s">
        <v>18925</v>
      </c>
      <c r="G98" s="2" t="s">
        <v>18925</v>
      </c>
      <c r="H98" s="2" t="s">
        <v>536</v>
      </c>
      <c r="I98" s="2" t="s">
        <v>537</v>
      </c>
      <c r="J98" s="2" t="s">
        <v>18926</v>
      </c>
      <c r="K98" s="2" t="s">
        <v>18927</v>
      </c>
      <c r="L98" s="2"/>
      <c r="M98" s="2"/>
      <c r="N98" s="2"/>
      <c r="O98" s="2" t="s">
        <v>536</v>
      </c>
      <c r="P98" s="2" t="s">
        <v>537</v>
      </c>
      <c r="Q98" s="2" t="s">
        <v>18926</v>
      </c>
      <c r="R98" s="2" t="s">
        <v>7404</v>
      </c>
      <c r="S98" s="2" t="s">
        <v>44</v>
      </c>
      <c r="T98" s="2"/>
      <c r="U98" s="2" t="s">
        <v>3527</v>
      </c>
      <c r="V98" s="2" t="s">
        <v>46</v>
      </c>
      <c r="W98" s="2" t="s">
        <v>3527</v>
      </c>
      <c r="X98" s="2" t="s">
        <v>12417</v>
      </c>
      <c r="Y98" s="2" t="s">
        <v>10801</v>
      </c>
      <c r="Z98" s="2" t="s">
        <v>7864</v>
      </c>
      <c r="AA98" s="2">
        <v>100</v>
      </c>
      <c r="AB98" s="2">
        <v>10</v>
      </c>
      <c r="AC98" s="2" t="s">
        <v>10789</v>
      </c>
      <c r="AD98" s="2" t="s">
        <v>18928</v>
      </c>
      <c r="AE98" s="2" t="s">
        <v>18260</v>
      </c>
      <c r="AF98" s="2"/>
      <c r="AG98" s="2" t="s">
        <v>18250</v>
      </c>
    </row>
    <row r="99" spans="1:33" x14ac:dyDescent="0.45">
      <c r="A99" s="2" t="s">
        <v>18929</v>
      </c>
      <c r="B99" s="2" t="s">
        <v>18930</v>
      </c>
      <c r="C99" s="2" t="s">
        <v>18931</v>
      </c>
      <c r="D99" s="2" t="s">
        <v>18932</v>
      </c>
      <c r="E99" s="2" t="s">
        <v>18933</v>
      </c>
      <c r="F99" s="2"/>
      <c r="G99" s="2"/>
      <c r="H99" s="2" t="s">
        <v>290</v>
      </c>
      <c r="I99" s="2" t="s">
        <v>278</v>
      </c>
      <c r="J99" s="2" t="s">
        <v>12036</v>
      </c>
      <c r="K99" s="2" t="s">
        <v>18932</v>
      </c>
      <c r="L99" s="2"/>
      <c r="M99" s="2"/>
      <c r="N99" s="2"/>
      <c r="O99" s="2" t="s">
        <v>290</v>
      </c>
      <c r="P99" s="2" t="s">
        <v>278</v>
      </c>
      <c r="Q99" s="2" t="s">
        <v>12036</v>
      </c>
      <c r="R99" s="2" t="s">
        <v>18934</v>
      </c>
      <c r="S99" s="2" t="s">
        <v>44</v>
      </c>
      <c r="T99" s="2"/>
      <c r="U99" s="2" t="s">
        <v>821</v>
      </c>
      <c r="V99" s="2" t="s">
        <v>46</v>
      </c>
      <c r="W99" s="2" t="s">
        <v>821</v>
      </c>
      <c r="X99" s="2" t="s">
        <v>10787</v>
      </c>
      <c r="Y99" s="2" t="s">
        <v>10801</v>
      </c>
      <c r="Z99" s="2" t="s">
        <v>7864</v>
      </c>
      <c r="AA99" s="2">
        <v>90</v>
      </c>
      <c r="AB99" s="2">
        <v>7</v>
      </c>
      <c r="AC99" s="2" t="s">
        <v>10789</v>
      </c>
      <c r="AD99" s="2" t="s">
        <v>18935</v>
      </c>
      <c r="AE99" s="2" t="s">
        <v>18260</v>
      </c>
      <c r="AF99" s="2"/>
      <c r="AG99" s="2" t="s">
        <v>18250</v>
      </c>
    </row>
    <row r="100" spans="1:33" x14ac:dyDescent="0.45">
      <c r="A100" s="2" t="s">
        <v>18936</v>
      </c>
      <c r="B100" s="2" t="s">
        <v>18937</v>
      </c>
      <c r="C100" s="2" t="s">
        <v>18936</v>
      </c>
      <c r="D100" s="2" t="s">
        <v>18938</v>
      </c>
      <c r="E100" s="2" t="s">
        <v>18939</v>
      </c>
      <c r="F100" s="2"/>
      <c r="G100" s="2"/>
      <c r="H100" s="2" t="s">
        <v>39</v>
      </c>
      <c r="I100" s="2" t="s">
        <v>40</v>
      </c>
      <c r="J100" s="2" t="s">
        <v>256</v>
      </c>
      <c r="K100" s="2" t="s">
        <v>18938</v>
      </c>
      <c r="L100" s="2"/>
      <c r="M100" s="2"/>
      <c r="N100" s="2"/>
      <c r="O100" s="2" t="s">
        <v>39</v>
      </c>
      <c r="P100" s="2" t="s">
        <v>40</v>
      </c>
      <c r="Q100" s="2" t="s">
        <v>256</v>
      </c>
      <c r="R100" s="2" t="s">
        <v>18940</v>
      </c>
      <c r="S100" s="2" t="s">
        <v>44</v>
      </c>
      <c r="T100" s="2"/>
      <c r="U100" s="2" t="s">
        <v>821</v>
      </c>
      <c r="V100" s="2" t="s">
        <v>46</v>
      </c>
      <c r="W100" s="2" t="s">
        <v>821</v>
      </c>
      <c r="X100" s="2" t="s">
        <v>12417</v>
      </c>
      <c r="Y100" s="2" t="s">
        <v>10801</v>
      </c>
      <c r="Z100" s="2" t="s">
        <v>7864</v>
      </c>
      <c r="AA100" s="2">
        <v>90</v>
      </c>
      <c r="AB100" s="2">
        <v>7</v>
      </c>
      <c r="AC100" s="2" t="s">
        <v>10789</v>
      </c>
      <c r="AD100" s="2" t="s">
        <v>18941</v>
      </c>
      <c r="AE100" s="2" t="s">
        <v>18260</v>
      </c>
      <c r="AF100" s="2"/>
      <c r="AG100" s="2" t="s">
        <v>18250</v>
      </c>
    </row>
    <row r="101" spans="1:33" x14ac:dyDescent="0.45">
      <c r="A101" s="2" t="s">
        <v>18942</v>
      </c>
      <c r="B101" s="2" t="s">
        <v>18943</v>
      </c>
      <c r="C101" s="2" t="s">
        <v>18942</v>
      </c>
      <c r="D101" s="2" t="s">
        <v>18944</v>
      </c>
      <c r="E101" s="2" t="s">
        <v>18945</v>
      </c>
      <c r="F101" s="2"/>
      <c r="G101" s="2"/>
      <c r="H101" s="2" t="s">
        <v>72</v>
      </c>
      <c r="I101" s="2" t="s">
        <v>73</v>
      </c>
      <c r="J101" s="2" t="s">
        <v>3419</v>
      </c>
      <c r="K101" s="2" t="s">
        <v>18946</v>
      </c>
      <c r="L101" s="2"/>
      <c r="M101" s="2"/>
      <c r="N101" s="2"/>
      <c r="O101" s="2" t="s">
        <v>72</v>
      </c>
      <c r="P101" s="2" t="s">
        <v>73</v>
      </c>
      <c r="Q101" s="2" t="s">
        <v>607</v>
      </c>
      <c r="R101" s="2" t="s">
        <v>13432</v>
      </c>
      <c r="S101" s="2" t="s">
        <v>44</v>
      </c>
      <c r="T101" s="2"/>
      <c r="U101" s="2" t="s">
        <v>3527</v>
      </c>
      <c r="V101" s="2" t="s">
        <v>46</v>
      </c>
      <c r="W101" s="2" t="s">
        <v>3527</v>
      </c>
      <c r="X101" s="2" t="s">
        <v>10787</v>
      </c>
      <c r="Y101" s="2" t="s">
        <v>10801</v>
      </c>
      <c r="Z101" s="2" t="s">
        <v>7864</v>
      </c>
      <c r="AA101" s="2">
        <v>90</v>
      </c>
      <c r="AB101" s="2">
        <v>0</v>
      </c>
      <c r="AC101" s="2" t="s">
        <v>10789</v>
      </c>
      <c r="AD101" s="2" t="s">
        <v>18947</v>
      </c>
      <c r="AE101" s="2" t="s">
        <v>18260</v>
      </c>
      <c r="AF101" s="2"/>
      <c r="AG101" s="2" t="s">
        <v>18250</v>
      </c>
    </row>
    <row r="102" spans="1:33" x14ac:dyDescent="0.45">
      <c r="A102" s="2" t="s">
        <v>18948</v>
      </c>
      <c r="B102" s="2" t="s">
        <v>18949</v>
      </c>
      <c r="C102" s="2" t="s">
        <v>18948</v>
      </c>
      <c r="D102" s="2" t="s">
        <v>18950</v>
      </c>
      <c r="E102" s="2" t="s">
        <v>18951</v>
      </c>
      <c r="F102" s="2"/>
      <c r="G102" s="2"/>
      <c r="H102" s="2" t="s">
        <v>8495</v>
      </c>
      <c r="I102" s="2" t="s">
        <v>8496</v>
      </c>
      <c r="J102" s="2" t="s">
        <v>18952</v>
      </c>
      <c r="K102" s="2" t="s">
        <v>18950</v>
      </c>
      <c r="L102" s="2"/>
      <c r="M102" s="2"/>
      <c r="N102" s="2"/>
      <c r="O102" s="2" t="s">
        <v>8495</v>
      </c>
      <c r="P102" s="2" t="s">
        <v>8496</v>
      </c>
      <c r="Q102" s="2" t="s">
        <v>18952</v>
      </c>
      <c r="R102" s="2" t="s">
        <v>18953</v>
      </c>
      <c r="S102" s="2" t="s">
        <v>44</v>
      </c>
      <c r="T102" s="2"/>
      <c r="U102" s="2" t="s">
        <v>3527</v>
      </c>
      <c r="V102" s="2" t="s">
        <v>46</v>
      </c>
      <c r="W102" s="2" t="s">
        <v>3527</v>
      </c>
      <c r="X102" s="2" t="s">
        <v>10787</v>
      </c>
      <c r="Y102" s="2" t="s">
        <v>10801</v>
      </c>
      <c r="Z102" s="2" t="s">
        <v>7864</v>
      </c>
      <c r="AA102" s="2">
        <v>90</v>
      </c>
      <c r="AB102" s="2">
        <v>0</v>
      </c>
      <c r="AC102" s="2" t="s">
        <v>10789</v>
      </c>
      <c r="AD102" s="2" t="s">
        <v>18954</v>
      </c>
      <c r="AE102" s="2" t="s">
        <v>18260</v>
      </c>
      <c r="AF102" s="2"/>
      <c r="AG102" s="2" t="s">
        <v>18250</v>
      </c>
    </row>
    <row r="103" spans="1:33" x14ac:dyDescent="0.45">
      <c r="A103" s="2" t="s">
        <v>18955</v>
      </c>
      <c r="B103" s="2" t="s">
        <v>18956</v>
      </c>
      <c r="C103" s="2" t="s">
        <v>18957</v>
      </c>
      <c r="D103" s="2" t="s">
        <v>18958</v>
      </c>
      <c r="E103" s="2" t="s">
        <v>18959</v>
      </c>
      <c r="F103" s="2" t="s">
        <v>18960</v>
      </c>
      <c r="G103" s="2"/>
      <c r="H103" s="2" t="s">
        <v>11322</v>
      </c>
      <c r="I103" s="2" t="s">
        <v>73</v>
      </c>
      <c r="J103" s="2" t="s">
        <v>11323</v>
      </c>
      <c r="K103" s="2" t="s">
        <v>18961</v>
      </c>
      <c r="L103" s="2"/>
      <c r="M103" s="2"/>
      <c r="N103" s="2"/>
      <c r="O103" s="2" t="s">
        <v>11322</v>
      </c>
      <c r="P103" s="2" t="s">
        <v>73</v>
      </c>
      <c r="Q103" s="2" t="s">
        <v>11323</v>
      </c>
      <c r="R103" s="2" t="s">
        <v>18962</v>
      </c>
      <c r="S103" s="2" t="s">
        <v>44</v>
      </c>
      <c r="T103" s="2"/>
      <c r="U103" s="2" t="s">
        <v>3527</v>
      </c>
      <c r="V103" s="2" t="s">
        <v>46</v>
      </c>
      <c r="W103" s="2" t="s">
        <v>3527</v>
      </c>
      <c r="X103" s="2" t="s">
        <v>10787</v>
      </c>
      <c r="Y103" s="2" t="s">
        <v>10801</v>
      </c>
      <c r="Z103" s="2" t="s">
        <v>7864</v>
      </c>
      <c r="AA103" s="2">
        <v>100</v>
      </c>
      <c r="AB103" s="2">
        <v>5</v>
      </c>
      <c r="AC103" s="2" t="s">
        <v>10789</v>
      </c>
      <c r="AD103" s="2" t="s">
        <v>18963</v>
      </c>
      <c r="AE103" s="2" t="s">
        <v>18260</v>
      </c>
      <c r="AF103" s="2"/>
      <c r="AG103" s="2" t="s">
        <v>18250</v>
      </c>
    </row>
    <row r="104" spans="1:33" x14ac:dyDescent="0.45">
      <c r="A104" s="2" t="s">
        <v>18964</v>
      </c>
      <c r="B104" s="2" t="s">
        <v>18965</v>
      </c>
      <c r="C104" s="2" t="s">
        <v>18966</v>
      </c>
      <c r="D104" s="2" t="s">
        <v>18967</v>
      </c>
      <c r="E104" s="2" t="s">
        <v>18968</v>
      </c>
      <c r="F104" s="2" t="s">
        <v>18969</v>
      </c>
      <c r="G104" s="2"/>
      <c r="H104" s="2" t="s">
        <v>59</v>
      </c>
      <c r="I104" s="2" t="s">
        <v>60</v>
      </c>
      <c r="J104" s="2" t="s">
        <v>13158</v>
      </c>
      <c r="K104" s="2" t="s">
        <v>18967</v>
      </c>
      <c r="L104" s="2"/>
      <c r="M104" s="2"/>
      <c r="N104" s="2"/>
      <c r="O104" s="2" t="s">
        <v>59</v>
      </c>
      <c r="P104" s="2" t="s">
        <v>60</v>
      </c>
      <c r="Q104" s="2" t="s">
        <v>13158</v>
      </c>
      <c r="R104" s="2" t="s">
        <v>18531</v>
      </c>
      <c r="S104" s="2" t="s">
        <v>44</v>
      </c>
      <c r="T104" s="2"/>
      <c r="U104" s="2" t="s">
        <v>3527</v>
      </c>
      <c r="V104" s="2" t="s">
        <v>46</v>
      </c>
      <c r="W104" s="2" t="s">
        <v>3527</v>
      </c>
      <c r="X104" s="2" t="s">
        <v>10787</v>
      </c>
      <c r="Y104" s="2" t="s">
        <v>10801</v>
      </c>
      <c r="Z104" s="2" t="s">
        <v>7864</v>
      </c>
      <c r="AA104" s="2">
        <v>100</v>
      </c>
      <c r="AB104" s="2">
        <v>10</v>
      </c>
      <c r="AC104" s="2" t="s">
        <v>10789</v>
      </c>
      <c r="AD104" s="2" t="s">
        <v>18970</v>
      </c>
      <c r="AE104" s="2" t="s">
        <v>18260</v>
      </c>
      <c r="AF104" s="2"/>
      <c r="AG104" s="2" t="s">
        <v>18250</v>
      </c>
    </row>
    <row r="105" spans="1:33" x14ac:dyDescent="0.45">
      <c r="A105" s="2" t="s">
        <v>18971</v>
      </c>
      <c r="B105" s="2" t="s">
        <v>18972</v>
      </c>
      <c r="C105" s="2" t="s">
        <v>18971</v>
      </c>
      <c r="D105" s="2" t="s">
        <v>18973</v>
      </c>
      <c r="E105" s="2" t="s">
        <v>18974</v>
      </c>
      <c r="F105" s="2"/>
      <c r="G105" s="2"/>
      <c r="H105" s="2" t="s">
        <v>72</v>
      </c>
      <c r="I105" s="2" t="s">
        <v>73</v>
      </c>
      <c r="J105" s="2" t="s">
        <v>1777</v>
      </c>
      <c r="K105" s="2" t="s">
        <v>18973</v>
      </c>
      <c r="L105" s="2"/>
      <c r="M105" s="2"/>
      <c r="N105" s="2"/>
      <c r="O105" s="2" t="s">
        <v>72</v>
      </c>
      <c r="P105" s="2" t="s">
        <v>73</v>
      </c>
      <c r="Q105" s="2" t="s">
        <v>1777</v>
      </c>
      <c r="R105" s="2" t="s">
        <v>18975</v>
      </c>
      <c r="S105" s="2" t="s">
        <v>44</v>
      </c>
      <c r="T105" s="2"/>
      <c r="U105" s="2" t="s">
        <v>821</v>
      </c>
      <c r="V105" s="2" t="s">
        <v>46</v>
      </c>
      <c r="W105" s="2" t="s">
        <v>821</v>
      </c>
      <c r="X105" s="2" t="s">
        <v>10787</v>
      </c>
      <c r="Y105" s="2" t="s">
        <v>10801</v>
      </c>
      <c r="Z105" s="2" t="s">
        <v>7864</v>
      </c>
      <c r="AA105" s="2">
        <v>90</v>
      </c>
      <c r="AB105" s="2">
        <v>7</v>
      </c>
      <c r="AC105" s="2" t="s">
        <v>10789</v>
      </c>
      <c r="AD105" s="2" t="s">
        <v>18976</v>
      </c>
      <c r="AE105" s="2" t="s">
        <v>18260</v>
      </c>
      <c r="AF105" s="2"/>
      <c r="AG105" s="2" t="s">
        <v>18250</v>
      </c>
    </row>
    <row r="106" spans="1:33" x14ac:dyDescent="0.45">
      <c r="A106" s="2" t="s">
        <v>18977</v>
      </c>
      <c r="B106" s="2" t="s">
        <v>18978</v>
      </c>
      <c r="C106" s="2" t="s">
        <v>18979</v>
      </c>
      <c r="D106" s="2" t="s">
        <v>18980</v>
      </c>
      <c r="E106" s="2" t="s">
        <v>18981</v>
      </c>
      <c r="F106" s="2"/>
      <c r="G106" s="2"/>
      <c r="H106" s="2" t="s">
        <v>651</v>
      </c>
      <c r="I106" s="2" t="s">
        <v>86</v>
      </c>
      <c r="J106" s="2" t="s">
        <v>4915</v>
      </c>
      <c r="K106" s="2" t="s">
        <v>18980</v>
      </c>
      <c r="L106" s="2"/>
      <c r="M106" s="2"/>
      <c r="N106" s="2"/>
      <c r="O106" s="2" t="s">
        <v>651</v>
      </c>
      <c r="P106" s="2" t="s">
        <v>86</v>
      </c>
      <c r="Q106" s="2" t="s">
        <v>4915</v>
      </c>
      <c r="R106" s="2" t="s">
        <v>6993</v>
      </c>
      <c r="S106" s="2" t="s">
        <v>44</v>
      </c>
      <c r="T106" s="2"/>
      <c r="U106" s="2" t="s">
        <v>3527</v>
      </c>
      <c r="V106" s="2" t="s">
        <v>46</v>
      </c>
      <c r="W106" s="2" t="s">
        <v>3527</v>
      </c>
      <c r="X106" s="2" t="s">
        <v>10787</v>
      </c>
      <c r="Y106" s="2" t="s">
        <v>10801</v>
      </c>
      <c r="Z106" s="2" t="s">
        <v>7864</v>
      </c>
      <c r="AA106" s="2">
        <v>90</v>
      </c>
      <c r="AB106" s="2">
        <v>0</v>
      </c>
      <c r="AC106" s="2" t="s">
        <v>10789</v>
      </c>
      <c r="AD106" s="2" t="s">
        <v>18982</v>
      </c>
      <c r="AE106" s="2" t="s">
        <v>18260</v>
      </c>
      <c r="AF106" s="2"/>
      <c r="AG106" s="2" t="s">
        <v>18250</v>
      </c>
    </row>
    <row r="107" spans="1:33" x14ac:dyDescent="0.45">
      <c r="A107" s="2" t="s">
        <v>18983</v>
      </c>
      <c r="B107" s="2" t="s">
        <v>18984</v>
      </c>
      <c r="C107" s="2" t="s">
        <v>18985</v>
      </c>
      <c r="D107" s="2" t="s">
        <v>18986</v>
      </c>
      <c r="E107" s="2" t="s">
        <v>18987</v>
      </c>
      <c r="F107" s="2" t="s">
        <v>18988</v>
      </c>
      <c r="G107" s="2" t="s">
        <v>18988</v>
      </c>
      <c r="H107" s="2" t="s">
        <v>8392</v>
      </c>
      <c r="I107" s="2" t="s">
        <v>313</v>
      </c>
      <c r="J107" s="2" t="s">
        <v>18989</v>
      </c>
      <c r="K107" s="2" t="s">
        <v>18990</v>
      </c>
      <c r="L107" s="2"/>
      <c r="M107" s="2"/>
      <c r="N107" s="2"/>
      <c r="O107" s="2" t="s">
        <v>8392</v>
      </c>
      <c r="P107" s="2" t="s">
        <v>313</v>
      </c>
      <c r="Q107" s="2" t="s">
        <v>18989</v>
      </c>
      <c r="R107" s="2" t="s">
        <v>773</v>
      </c>
      <c r="S107" s="2" t="s">
        <v>44</v>
      </c>
      <c r="T107" s="2"/>
      <c r="U107" s="2" t="s">
        <v>3527</v>
      </c>
      <c r="V107" s="2" t="s">
        <v>46</v>
      </c>
      <c r="W107" s="2" t="s">
        <v>3527</v>
      </c>
      <c r="X107" s="2" t="s">
        <v>10787</v>
      </c>
      <c r="Y107" s="2" t="s">
        <v>10801</v>
      </c>
      <c r="Z107" s="2" t="s">
        <v>7864</v>
      </c>
      <c r="AA107" s="2">
        <v>100</v>
      </c>
      <c r="AB107" s="2">
        <v>5</v>
      </c>
      <c r="AC107" s="2" t="s">
        <v>10789</v>
      </c>
      <c r="AD107" s="2" t="s">
        <v>18991</v>
      </c>
      <c r="AE107" s="2" t="s">
        <v>18260</v>
      </c>
      <c r="AF107" s="2"/>
      <c r="AG107" s="2" t="s">
        <v>18250</v>
      </c>
    </row>
    <row r="108" spans="1:33" x14ac:dyDescent="0.45">
      <c r="A108" s="2" t="s">
        <v>18992</v>
      </c>
      <c r="B108" s="2" t="s">
        <v>18993</v>
      </c>
      <c r="C108" s="2" t="s">
        <v>18992</v>
      </c>
      <c r="D108" s="2" t="s">
        <v>18994</v>
      </c>
      <c r="E108" s="2" t="s">
        <v>18995</v>
      </c>
      <c r="F108" s="2" t="s">
        <v>18996</v>
      </c>
      <c r="G108" s="2" t="s">
        <v>18996</v>
      </c>
      <c r="H108" s="2" t="s">
        <v>324</v>
      </c>
      <c r="I108" s="2" t="s">
        <v>73</v>
      </c>
      <c r="J108" s="2" t="s">
        <v>6817</v>
      </c>
      <c r="K108" s="2" t="s">
        <v>18997</v>
      </c>
      <c r="L108" s="2"/>
      <c r="M108" s="2"/>
      <c r="N108" s="2"/>
      <c r="O108" s="2" t="s">
        <v>324</v>
      </c>
      <c r="P108" s="2" t="s">
        <v>73</v>
      </c>
      <c r="Q108" s="2" t="s">
        <v>6817</v>
      </c>
      <c r="R108" s="2" t="s">
        <v>18998</v>
      </c>
      <c r="S108" s="2" t="s">
        <v>44</v>
      </c>
      <c r="T108" s="2"/>
      <c r="U108" s="2" t="s">
        <v>821</v>
      </c>
      <c r="V108" s="2" t="s">
        <v>46</v>
      </c>
      <c r="W108" s="2" t="s">
        <v>821</v>
      </c>
      <c r="X108" s="2" t="s">
        <v>18999</v>
      </c>
      <c r="Y108" s="2" t="s">
        <v>10801</v>
      </c>
      <c r="Z108" s="2" t="s">
        <v>7864</v>
      </c>
      <c r="AA108" s="2">
        <v>100</v>
      </c>
      <c r="AB108" s="2">
        <v>17</v>
      </c>
      <c r="AC108" s="2" t="s">
        <v>10789</v>
      </c>
      <c r="AD108" s="2" t="s">
        <v>19000</v>
      </c>
      <c r="AE108" s="2" t="s">
        <v>18260</v>
      </c>
      <c r="AF108" s="2"/>
      <c r="AG108" s="2" t="s">
        <v>18250</v>
      </c>
    </row>
    <row r="109" spans="1:33" x14ac:dyDescent="0.45">
      <c r="A109" s="2" t="s">
        <v>19001</v>
      </c>
      <c r="B109" s="2" t="s">
        <v>19002</v>
      </c>
      <c r="C109" s="2" t="s">
        <v>19003</v>
      </c>
      <c r="D109" s="2" t="s">
        <v>19004</v>
      </c>
      <c r="E109" s="2" t="s">
        <v>19005</v>
      </c>
      <c r="F109" s="2"/>
      <c r="G109" s="2"/>
      <c r="H109" s="2" t="s">
        <v>384</v>
      </c>
      <c r="I109" s="2" t="s">
        <v>73</v>
      </c>
      <c r="J109" s="2" t="s">
        <v>5642</v>
      </c>
      <c r="K109" s="2" t="s">
        <v>19004</v>
      </c>
      <c r="L109" s="2"/>
      <c r="M109" s="2"/>
      <c r="N109" s="2"/>
      <c r="O109" s="2" t="s">
        <v>384</v>
      </c>
      <c r="P109" s="2" t="s">
        <v>73</v>
      </c>
      <c r="Q109" s="2" t="s">
        <v>5642</v>
      </c>
      <c r="R109" s="2" t="s">
        <v>19006</v>
      </c>
      <c r="S109" s="2" t="s">
        <v>44</v>
      </c>
      <c r="T109" s="2"/>
      <c r="U109" s="2" t="s">
        <v>821</v>
      </c>
      <c r="V109" s="2" t="s">
        <v>46</v>
      </c>
      <c r="W109" s="2" t="s">
        <v>821</v>
      </c>
      <c r="X109" s="2" t="s">
        <v>10787</v>
      </c>
      <c r="Y109" s="2" t="s">
        <v>10801</v>
      </c>
      <c r="Z109" s="2" t="s">
        <v>7864</v>
      </c>
      <c r="AA109" s="2">
        <v>90</v>
      </c>
      <c r="AB109" s="2">
        <v>7</v>
      </c>
      <c r="AC109" s="2" t="s">
        <v>10789</v>
      </c>
      <c r="AD109" s="2" t="s">
        <v>19007</v>
      </c>
      <c r="AE109" s="2" t="s">
        <v>18260</v>
      </c>
      <c r="AF109" s="2"/>
      <c r="AG109" s="2" t="s">
        <v>18250</v>
      </c>
    </row>
    <row r="110" spans="1:33" x14ac:dyDescent="0.45">
      <c r="A110" s="2" t="s">
        <v>19008</v>
      </c>
      <c r="B110" s="2" t="s">
        <v>19009</v>
      </c>
      <c r="C110" s="2" t="s">
        <v>19010</v>
      </c>
      <c r="D110" s="2" t="s">
        <v>19011</v>
      </c>
      <c r="E110" s="2" t="s">
        <v>19012</v>
      </c>
      <c r="F110" s="2"/>
      <c r="G110" s="2"/>
      <c r="H110" s="2" t="s">
        <v>2962</v>
      </c>
      <c r="I110" s="2" t="s">
        <v>73</v>
      </c>
      <c r="J110" s="2" t="s">
        <v>19013</v>
      </c>
      <c r="K110" s="2" t="s">
        <v>19011</v>
      </c>
      <c r="L110" s="2"/>
      <c r="M110" s="2"/>
      <c r="N110" s="2"/>
      <c r="O110" s="2" t="s">
        <v>2962</v>
      </c>
      <c r="P110" s="2" t="s">
        <v>73</v>
      </c>
      <c r="Q110" s="2" t="s">
        <v>19013</v>
      </c>
      <c r="R110" s="2" t="s">
        <v>19014</v>
      </c>
      <c r="S110" s="2" t="s">
        <v>44</v>
      </c>
      <c r="T110" s="2"/>
      <c r="U110" s="2" t="s">
        <v>3527</v>
      </c>
      <c r="V110" s="2" t="s">
        <v>46</v>
      </c>
      <c r="W110" s="2" t="s">
        <v>3527</v>
      </c>
      <c r="X110" s="2" t="s">
        <v>10787</v>
      </c>
      <c r="Y110" s="2" t="s">
        <v>10801</v>
      </c>
      <c r="Z110" s="2" t="s">
        <v>7864</v>
      </c>
      <c r="AA110" s="2">
        <v>90</v>
      </c>
      <c r="AB110" s="2">
        <v>0</v>
      </c>
      <c r="AC110" s="2" t="s">
        <v>10789</v>
      </c>
      <c r="AD110" s="2" t="s">
        <v>19015</v>
      </c>
      <c r="AE110" s="2" t="s">
        <v>18260</v>
      </c>
      <c r="AF110" s="2"/>
      <c r="AG110" s="2" t="s">
        <v>18250</v>
      </c>
    </row>
    <row r="111" spans="1:33" x14ac:dyDescent="0.45">
      <c r="A111" s="2" t="s">
        <v>19016</v>
      </c>
      <c r="B111" s="2" t="s">
        <v>19017</v>
      </c>
      <c r="C111" s="2" t="s">
        <v>19018</v>
      </c>
      <c r="D111" s="2" t="s">
        <v>19019</v>
      </c>
      <c r="E111" s="2" t="s">
        <v>19020</v>
      </c>
      <c r="F111" s="2" t="s">
        <v>19021</v>
      </c>
      <c r="G111" s="2" t="s">
        <v>19021</v>
      </c>
      <c r="H111" s="2" t="s">
        <v>277</v>
      </c>
      <c r="I111" s="2" t="s">
        <v>278</v>
      </c>
      <c r="J111" s="2" t="s">
        <v>279</v>
      </c>
      <c r="K111" s="2" t="s">
        <v>19019</v>
      </c>
      <c r="L111" s="2"/>
      <c r="M111" s="2"/>
      <c r="N111" s="2"/>
      <c r="O111" s="2" t="s">
        <v>277</v>
      </c>
      <c r="P111" s="2" t="s">
        <v>278</v>
      </c>
      <c r="Q111" s="2" t="s">
        <v>279</v>
      </c>
      <c r="R111" s="2" t="s">
        <v>792</v>
      </c>
      <c r="S111" s="2" t="s">
        <v>44</v>
      </c>
      <c r="T111" s="2"/>
      <c r="U111" s="2" t="s">
        <v>3527</v>
      </c>
      <c r="V111" s="2" t="s">
        <v>46</v>
      </c>
      <c r="W111" s="2" t="s">
        <v>3527</v>
      </c>
      <c r="X111" s="2" t="s">
        <v>10787</v>
      </c>
      <c r="Y111" s="2" t="s">
        <v>10801</v>
      </c>
      <c r="Z111" s="2" t="s">
        <v>7864</v>
      </c>
      <c r="AA111" s="2">
        <v>100</v>
      </c>
      <c r="AB111" s="2">
        <v>10</v>
      </c>
      <c r="AC111" s="2" t="s">
        <v>10789</v>
      </c>
      <c r="AD111" s="2" t="s">
        <v>19022</v>
      </c>
      <c r="AE111" s="2" t="s">
        <v>18260</v>
      </c>
      <c r="AF111" s="2"/>
      <c r="AG111" s="2" t="s">
        <v>18250</v>
      </c>
    </row>
    <row r="112" spans="1:33" x14ac:dyDescent="0.45">
      <c r="A112" s="2" t="s">
        <v>19023</v>
      </c>
      <c r="B112" s="2" t="s">
        <v>19024</v>
      </c>
      <c r="C112" s="2" t="s">
        <v>19023</v>
      </c>
      <c r="D112" s="2" t="s">
        <v>19025</v>
      </c>
      <c r="E112" s="2" t="s">
        <v>19026</v>
      </c>
      <c r="F112" s="2"/>
      <c r="G112" s="2"/>
      <c r="H112" s="2" t="s">
        <v>85</v>
      </c>
      <c r="I112" s="2" t="s">
        <v>86</v>
      </c>
      <c r="J112" s="2" t="s">
        <v>17311</v>
      </c>
      <c r="K112" s="2" t="s">
        <v>19025</v>
      </c>
      <c r="L112" s="2"/>
      <c r="M112" s="2"/>
      <c r="N112" s="2"/>
      <c r="O112" s="2" t="s">
        <v>85</v>
      </c>
      <c r="P112" s="2" t="s">
        <v>86</v>
      </c>
      <c r="Q112" s="2" t="s">
        <v>17311</v>
      </c>
      <c r="R112" s="2" t="s">
        <v>19027</v>
      </c>
      <c r="S112" s="2" t="s">
        <v>44</v>
      </c>
      <c r="T112" s="2"/>
      <c r="U112" s="2" t="s">
        <v>3527</v>
      </c>
      <c r="V112" s="2" t="s">
        <v>46</v>
      </c>
      <c r="W112" s="2" t="s">
        <v>3527</v>
      </c>
      <c r="X112" s="2" t="s">
        <v>10787</v>
      </c>
      <c r="Y112" s="2" t="s">
        <v>10801</v>
      </c>
      <c r="Z112" s="2" t="s">
        <v>7864</v>
      </c>
      <c r="AA112" s="2">
        <v>90</v>
      </c>
      <c r="AB112" s="2">
        <v>0</v>
      </c>
      <c r="AC112" s="2" t="s">
        <v>10789</v>
      </c>
      <c r="AD112" s="2" t="s">
        <v>19028</v>
      </c>
      <c r="AE112" s="2" t="s">
        <v>18260</v>
      </c>
      <c r="AF112" s="2"/>
      <c r="AG112" s="2" t="s">
        <v>18250</v>
      </c>
    </row>
    <row r="113" spans="1:33" x14ac:dyDescent="0.45">
      <c r="A113" s="2" t="s">
        <v>19029</v>
      </c>
      <c r="B113" s="2" t="s">
        <v>19030</v>
      </c>
      <c r="C113" s="2" t="s">
        <v>19029</v>
      </c>
      <c r="D113" s="2" t="s">
        <v>19031</v>
      </c>
      <c r="E113" s="2" t="s">
        <v>19032</v>
      </c>
      <c r="F113" s="2"/>
      <c r="G113" s="2"/>
      <c r="H113" s="2" t="s">
        <v>384</v>
      </c>
      <c r="I113" s="2" t="s">
        <v>73</v>
      </c>
      <c r="J113" s="2" t="s">
        <v>1012</v>
      </c>
      <c r="K113" s="2" t="s">
        <v>19031</v>
      </c>
      <c r="L113" s="2"/>
      <c r="M113" s="2"/>
      <c r="N113" s="2"/>
      <c r="O113" s="2" t="s">
        <v>384</v>
      </c>
      <c r="P113" s="2" t="s">
        <v>73</v>
      </c>
      <c r="Q113" s="2" t="s">
        <v>1012</v>
      </c>
      <c r="R113" s="2" t="s">
        <v>4810</v>
      </c>
      <c r="S113" s="2" t="s">
        <v>44</v>
      </c>
      <c r="T113" s="2"/>
      <c r="U113" s="2" t="s">
        <v>3527</v>
      </c>
      <c r="V113" s="2" t="s">
        <v>46</v>
      </c>
      <c r="W113" s="2" t="s">
        <v>3527</v>
      </c>
      <c r="X113" s="2" t="s">
        <v>10787</v>
      </c>
      <c r="Y113" s="2" t="s">
        <v>10801</v>
      </c>
      <c r="Z113" s="2" t="s">
        <v>7864</v>
      </c>
      <c r="AA113" s="2">
        <v>90</v>
      </c>
      <c r="AB113" s="2">
        <v>0</v>
      </c>
      <c r="AC113" s="2" t="s">
        <v>10789</v>
      </c>
      <c r="AD113" s="2" t="s">
        <v>19033</v>
      </c>
      <c r="AE113" s="2" t="s">
        <v>18260</v>
      </c>
      <c r="AF113" s="2"/>
      <c r="AG113" s="2" t="s">
        <v>18250</v>
      </c>
    </row>
    <row r="114" spans="1:33" x14ac:dyDescent="0.45">
      <c r="A114" s="2" t="s">
        <v>19034</v>
      </c>
      <c r="B114" s="2" t="s">
        <v>19035</v>
      </c>
      <c r="C114" s="2" t="s">
        <v>19034</v>
      </c>
      <c r="D114" s="2" t="s">
        <v>19036</v>
      </c>
      <c r="E114" s="2" t="s">
        <v>19037</v>
      </c>
      <c r="F114" s="2"/>
      <c r="G114" s="2"/>
      <c r="H114" s="2" t="s">
        <v>39</v>
      </c>
      <c r="I114" s="2" t="s">
        <v>40</v>
      </c>
      <c r="J114" s="2" t="s">
        <v>19038</v>
      </c>
      <c r="K114" s="2"/>
      <c r="L114" s="2"/>
      <c r="M114" s="2"/>
      <c r="N114" s="2"/>
      <c r="O114" s="2"/>
      <c r="P114" s="2"/>
      <c r="Q114" s="2"/>
      <c r="R114" s="2" t="s">
        <v>19039</v>
      </c>
      <c r="S114" s="2" t="s">
        <v>44</v>
      </c>
      <c r="T114" s="2"/>
      <c r="U114" s="2" t="s">
        <v>3527</v>
      </c>
      <c r="V114" s="2" t="s">
        <v>46</v>
      </c>
      <c r="W114" s="2" t="s">
        <v>3527</v>
      </c>
      <c r="X114" s="2" t="s">
        <v>10787</v>
      </c>
      <c r="Y114" s="2" t="s">
        <v>10801</v>
      </c>
      <c r="Z114" s="2" t="s">
        <v>7864</v>
      </c>
      <c r="AA114" s="2">
        <v>90</v>
      </c>
      <c r="AB114" s="2">
        <v>0</v>
      </c>
      <c r="AC114" s="2" t="s">
        <v>10789</v>
      </c>
      <c r="AD114" s="2" t="s">
        <v>19040</v>
      </c>
      <c r="AE114" s="2" t="s">
        <v>18260</v>
      </c>
      <c r="AF114" s="2"/>
      <c r="AG114" s="2" t="s">
        <v>18250</v>
      </c>
    </row>
    <row r="115" spans="1:33" x14ac:dyDescent="0.45">
      <c r="A115" s="2" t="s">
        <v>19041</v>
      </c>
      <c r="B115" s="2" t="s">
        <v>19042</v>
      </c>
      <c r="C115" s="2" t="s">
        <v>19041</v>
      </c>
      <c r="D115" s="2" t="s">
        <v>19043</v>
      </c>
      <c r="E115" s="2" t="s">
        <v>19044</v>
      </c>
      <c r="F115" s="2"/>
      <c r="G115" s="2"/>
      <c r="H115" s="2" t="s">
        <v>12582</v>
      </c>
      <c r="I115" s="2" t="s">
        <v>313</v>
      </c>
      <c r="J115" s="2" t="s">
        <v>19045</v>
      </c>
      <c r="K115" s="2" t="s">
        <v>19043</v>
      </c>
      <c r="L115" s="2"/>
      <c r="M115" s="2"/>
      <c r="N115" s="2"/>
      <c r="O115" s="2" t="s">
        <v>12582</v>
      </c>
      <c r="P115" s="2" t="s">
        <v>313</v>
      </c>
      <c r="Q115" s="2" t="s">
        <v>19045</v>
      </c>
      <c r="R115" s="2" t="s">
        <v>10728</v>
      </c>
      <c r="S115" s="2" t="s">
        <v>44</v>
      </c>
      <c r="T115" s="2"/>
      <c r="U115" s="2" t="s">
        <v>3527</v>
      </c>
      <c r="V115" s="2" t="s">
        <v>46</v>
      </c>
      <c r="W115" s="2" t="s">
        <v>3527</v>
      </c>
      <c r="X115" s="2" t="s">
        <v>10787</v>
      </c>
      <c r="Y115" s="2" t="s">
        <v>10801</v>
      </c>
      <c r="Z115" s="2" t="s">
        <v>7864</v>
      </c>
      <c r="AA115" s="2">
        <v>90</v>
      </c>
      <c r="AB115" s="2">
        <v>0</v>
      </c>
      <c r="AC115" s="2" t="s">
        <v>10789</v>
      </c>
      <c r="AD115" s="2" t="s">
        <v>19046</v>
      </c>
      <c r="AE115" s="2" t="s">
        <v>18260</v>
      </c>
      <c r="AF115" s="2"/>
      <c r="AG115" s="2" t="s">
        <v>18250</v>
      </c>
    </row>
    <row r="116" spans="1:33" x14ac:dyDescent="0.45">
      <c r="A116" s="2" t="s">
        <v>19047</v>
      </c>
      <c r="B116" s="2" t="s">
        <v>19048</v>
      </c>
      <c r="C116" s="2" t="s">
        <v>19049</v>
      </c>
      <c r="D116" s="2" t="s">
        <v>19050</v>
      </c>
      <c r="E116" s="2" t="s">
        <v>19051</v>
      </c>
      <c r="F116" s="2" t="s">
        <v>19052</v>
      </c>
      <c r="G116" s="2" t="s">
        <v>19052</v>
      </c>
      <c r="H116" s="2" t="s">
        <v>72</v>
      </c>
      <c r="I116" s="2" t="s">
        <v>73</v>
      </c>
      <c r="J116" s="2" t="s">
        <v>7553</v>
      </c>
      <c r="K116" s="2"/>
      <c r="L116" s="2"/>
      <c r="M116" s="2"/>
      <c r="N116" s="2"/>
      <c r="O116" s="2"/>
      <c r="P116" s="2"/>
      <c r="Q116" s="2"/>
      <c r="R116" s="2" t="s">
        <v>10182</v>
      </c>
      <c r="S116" s="2" t="s">
        <v>44</v>
      </c>
      <c r="T116" s="2"/>
      <c r="U116" s="2" t="s">
        <v>3527</v>
      </c>
      <c r="V116" s="2" t="s">
        <v>46</v>
      </c>
      <c r="W116" s="2" t="s">
        <v>3527</v>
      </c>
      <c r="X116" s="2" t="s">
        <v>10787</v>
      </c>
      <c r="Y116" s="2" t="s">
        <v>10801</v>
      </c>
      <c r="Z116" s="2" t="s">
        <v>7864</v>
      </c>
      <c r="AA116" s="2">
        <v>100</v>
      </c>
      <c r="AB116" s="2">
        <v>10</v>
      </c>
      <c r="AC116" s="2" t="s">
        <v>10789</v>
      </c>
      <c r="AD116" s="2" t="s">
        <v>19053</v>
      </c>
      <c r="AE116" s="2" t="s">
        <v>18260</v>
      </c>
      <c r="AF116" s="2"/>
      <c r="AG116" s="2" t="s">
        <v>18250</v>
      </c>
    </row>
    <row r="117" spans="1:33" x14ac:dyDescent="0.45">
      <c r="A117" s="2" t="s">
        <v>19054</v>
      </c>
      <c r="B117" s="2" t="s">
        <v>19055</v>
      </c>
      <c r="C117" s="2" t="s">
        <v>19054</v>
      </c>
      <c r="D117" s="2" t="s">
        <v>19056</v>
      </c>
      <c r="E117" s="2" t="s">
        <v>19057</v>
      </c>
      <c r="F117" s="2" t="s">
        <v>19058</v>
      </c>
      <c r="G117" s="2" t="s">
        <v>19058</v>
      </c>
      <c r="H117" s="2" t="s">
        <v>174</v>
      </c>
      <c r="I117" s="2" t="s">
        <v>175</v>
      </c>
      <c r="J117" s="2" t="s">
        <v>19059</v>
      </c>
      <c r="K117" s="2"/>
      <c r="L117" s="2"/>
      <c r="M117" s="2"/>
      <c r="N117" s="2"/>
      <c r="O117" s="2"/>
      <c r="P117" s="2"/>
      <c r="Q117" s="2"/>
      <c r="R117" s="2" t="s">
        <v>13574</v>
      </c>
      <c r="S117" s="2" t="s">
        <v>44</v>
      </c>
      <c r="T117" s="2"/>
      <c r="U117" s="2" t="s">
        <v>3527</v>
      </c>
      <c r="V117" s="2" t="s">
        <v>46</v>
      </c>
      <c r="W117" s="2" t="s">
        <v>3527</v>
      </c>
      <c r="X117" s="2" t="s">
        <v>10787</v>
      </c>
      <c r="Y117" s="2" t="s">
        <v>10801</v>
      </c>
      <c r="Z117" s="2" t="s">
        <v>7864</v>
      </c>
      <c r="AA117" s="2">
        <v>100</v>
      </c>
      <c r="AB117" s="2">
        <v>10</v>
      </c>
      <c r="AC117" s="2" t="s">
        <v>10789</v>
      </c>
      <c r="AD117" s="2" t="s">
        <v>19060</v>
      </c>
      <c r="AE117" s="2" t="s">
        <v>18260</v>
      </c>
      <c r="AF117" s="2"/>
      <c r="AG117" s="2" t="s">
        <v>18250</v>
      </c>
    </row>
    <row r="118" spans="1:33" x14ac:dyDescent="0.45">
      <c r="A118" s="2" t="s">
        <v>19061</v>
      </c>
      <c r="B118" s="2" t="s">
        <v>19062</v>
      </c>
      <c r="C118" s="2" t="s">
        <v>19063</v>
      </c>
      <c r="D118" s="2" t="s">
        <v>19064</v>
      </c>
      <c r="E118" s="2" t="s">
        <v>19065</v>
      </c>
      <c r="F118" s="2" t="s">
        <v>19066</v>
      </c>
      <c r="G118" s="2"/>
      <c r="H118" s="2" t="s">
        <v>72</v>
      </c>
      <c r="I118" s="2" t="s">
        <v>73</v>
      </c>
      <c r="J118" s="2" t="s">
        <v>484</v>
      </c>
      <c r="K118" s="2" t="s">
        <v>19064</v>
      </c>
      <c r="L118" s="2"/>
      <c r="M118" s="2"/>
      <c r="N118" s="2"/>
      <c r="O118" s="2" t="s">
        <v>72</v>
      </c>
      <c r="P118" s="2" t="s">
        <v>73</v>
      </c>
      <c r="Q118" s="2" t="s">
        <v>484</v>
      </c>
      <c r="R118" s="2" t="s">
        <v>19067</v>
      </c>
      <c r="S118" s="2" t="s">
        <v>44</v>
      </c>
      <c r="T118" s="2"/>
      <c r="U118" s="2" t="s">
        <v>3527</v>
      </c>
      <c r="V118" s="2" t="s">
        <v>46</v>
      </c>
      <c r="W118" s="2" t="s">
        <v>3527</v>
      </c>
      <c r="X118" s="2" t="s">
        <v>10787</v>
      </c>
      <c r="Y118" s="2" t="s">
        <v>10801</v>
      </c>
      <c r="Z118" s="2" t="s">
        <v>7864</v>
      </c>
      <c r="AA118" s="2">
        <v>100</v>
      </c>
      <c r="AB118" s="2">
        <v>10</v>
      </c>
      <c r="AC118" s="2" t="s">
        <v>10789</v>
      </c>
      <c r="AD118" s="2" t="s">
        <v>19068</v>
      </c>
      <c r="AE118" s="2" t="s">
        <v>18260</v>
      </c>
      <c r="AF118" s="2"/>
      <c r="AG118" s="2" t="s">
        <v>18250</v>
      </c>
    </row>
    <row r="119" spans="1:33" x14ac:dyDescent="0.45">
      <c r="A119" s="2" t="s">
        <v>19069</v>
      </c>
      <c r="B119" s="2" t="s">
        <v>19070</v>
      </c>
      <c r="C119" s="2" t="s">
        <v>19071</v>
      </c>
      <c r="D119" s="2" t="s">
        <v>19072</v>
      </c>
      <c r="E119" s="2" t="s">
        <v>19073</v>
      </c>
      <c r="F119" s="2" t="s">
        <v>19074</v>
      </c>
      <c r="G119" s="2" t="s">
        <v>19074</v>
      </c>
      <c r="H119" s="2" t="s">
        <v>1023</v>
      </c>
      <c r="I119" s="2" t="s">
        <v>73</v>
      </c>
      <c r="J119" s="2" t="s">
        <v>720</v>
      </c>
      <c r="K119" s="2" t="s">
        <v>19072</v>
      </c>
      <c r="L119" s="2"/>
      <c r="M119" s="2"/>
      <c r="N119" s="2"/>
      <c r="O119" s="2" t="s">
        <v>1023</v>
      </c>
      <c r="P119" s="2" t="s">
        <v>73</v>
      </c>
      <c r="Q119" s="2" t="s">
        <v>720</v>
      </c>
      <c r="R119" s="2" t="s">
        <v>5320</v>
      </c>
      <c r="S119" s="2" t="s">
        <v>44</v>
      </c>
      <c r="T119" s="2"/>
      <c r="U119" s="2" t="s">
        <v>821</v>
      </c>
      <c r="V119" s="2" t="s">
        <v>46</v>
      </c>
      <c r="W119" s="2" t="s">
        <v>821</v>
      </c>
      <c r="X119" s="2" t="s">
        <v>10787</v>
      </c>
      <c r="Y119" s="2" t="s">
        <v>10801</v>
      </c>
      <c r="Z119" s="2" t="s">
        <v>7864</v>
      </c>
      <c r="AA119" s="2">
        <v>100</v>
      </c>
      <c r="AB119" s="2">
        <v>17</v>
      </c>
      <c r="AC119" s="2" t="s">
        <v>10789</v>
      </c>
      <c r="AD119" s="2" t="s">
        <v>19075</v>
      </c>
      <c r="AE119" s="2" t="s">
        <v>18260</v>
      </c>
      <c r="AF119" s="2"/>
      <c r="AG119" s="2" t="s">
        <v>18250</v>
      </c>
    </row>
    <row r="120" spans="1:33" x14ac:dyDescent="0.45">
      <c r="A120" s="2" t="s">
        <v>19076</v>
      </c>
      <c r="B120" s="2" t="s">
        <v>19077</v>
      </c>
      <c r="C120" s="2" t="s">
        <v>19076</v>
      </c>
      <c r="D120" s="2" t="s">
        <v>19078</v>
      </c>
      <c r="E120" s="2" t="s">
        <v>19079</v>
      </c>
      <c r="F120" s="2" t="s">
        <v>19080</v>
      </c>
      <c r="G120" s="2"/>
      <c r="H120" s="2" t="s">
        <v>18516</v>
      </c>
      <c r="I120" s="2" t="s">
        <v>175</v>
      </c>
      <c r="J120" s="2" t="s">
        <v>18517</v>
      </c>
      <c r="K120" s="2" t="s">
        <v>19078</v>
      </c>
      <c r="L120" s="2"/>
      <c r="M120" s="2"/>
      <c r="N120" s="2"/>
      <c r="O120" s="2" t="s">
        <v>18516</v>
      </c>
      <c r="P120" s="2" t="s">
        <v>175</v>
      </c>
      <c r="Q120" s="2" t="s">
        <v>18517</v>
      </c>
      <c r="R120" s="2" t="s">
        <v>10051</v>
      </c>
      <c r="S120" s="2" t="s">
        <v>44</v>
      </c>
      <c r="T120" s="2"/>
      <c r="U120" s="2" t="s">
        <v>3527</v>
      </c>
      <c r="V120" s="2" t="s">
        <v>46</v>
      </c>
      <c r="W120" s="2" t="s">
        <v>3527</v>
      </c>
      <c r="X120" s="2" t="s">
        <v>10787</v>
      </c>
      <c r="Y120" s="2" t="s">
        <v>10801</v>
      </c>
      <c r="Z120" s="2" t="s">
        <v>7864</v>
      </c>
      <c r="AA120" s="2">
        <v>100</v>
      </c>
      <c r="AB120" s="2">
        <v>5</v>
      </c>
      <c r="AC120" s="2" t="s">
        <v>10789</v>
      </c>
      <c r="AD120" s="2" t="s">
        <v>19081</v>
      </c>
      <c r="AE120" s="2" t="s">
        <v>18260</v>
      </c>
      <c r="AF120" s="2"/>
      <c r="AG120" s="2" t="s">
        <v>18250</v>
      </c>
    </row>
    <row r="121" spans="1:33" x14ac:dyDescent="0.45">
      <c r="A121" s="2" t="s">
        <v>19082</v>
      </c>
      <c r="B121" s="2" t="s">
        <v>19083</v>
      </c>
      <c r="C121" s="2" t="s">
        <v>19082</v>
      </c>
      <c r="D121" s="2" t="s">
        <v>19084</v>
      </c>
      <c r="E121" s="2" t="s">
        <v>19085</v>
      </c>
      <c r="F121" s="2" t="s">
        <v>19086</v>
      </c>
      <c r="G121" s="2" t="s">
        <v>19086</v>
      </c>
      <c r="H121" s="2" t="s">
        <v>6062</v>
      </c>
      <c r="I121" s="2" t="s">
        <v>217</v>
      </c>
      <c r="J121" s="2" t="s">
        <v>6212</v>
      </c>
      <c r="K121" s="2" t="s">
        <v>19084</v>
      </c>
      <c r="L121" s="2"/>
      <c r="M121" s="2"/>
      <c r="N121" s="2"/>
      <c r="O121" s="2" t="s">
        <v>6062</v>
      </c>
      <c r="P121" s="2" t="s">
        <v>217</v>
      </c>
      <c r="Q121" s="2" t="s">
        <v>6212</v>
      </c>
      <c r="R121" s="2" t="s">
        <v>5430</v>
      </c>
      <c r="S121" s="2" t="s">
        <v>44</v>
      </c>
      <c r="T121" s="2"/>
      <c r="U121" s="2" t="s">
        <v>821</v>
      </c>
      <c r="V121" s="2" t="s">
        <v>46</v>
      </c>
      <c r="W121" s="2" t="s">
        <v>821</v>
      </c>
      <c r="X121" s="2" t="s">
        <v>10787</v>
      </c>
      <c r="Y121" s="2" t="s">
        <v>10801</v>
      </c>
      <c r="Z121" s="2" t="s">
        <v>7864</v>
      </c>
      <c r="AA121" s="2">
        <v>100</v>
      </c>
      <c r="AB121" s="2">
        <v>12</v>
      </c>
      <c r="AC121" s="2" t="s">
        <v>10789</v>
      </c>
      <c r="AD121" s="2" t="s">
        <v>19087</v>
      </c>
      <c r="AE121" s="2" t="s">
        <v>18260</v>
      </c>
      <c r="AF121" s="2"/>
      <c r="AG121" s="2" t="s">
        <v>18250</v>
      </c>
    </row>
    <row r="122" spans="1:33" x14ac:dyDescent="0.45">
      <c r="A122" s="2" t="s">
        <v>19088</v>
      </c>
      <c r="B122" s="2" t="s">
        <v>19089</v>
      </c>
      <c r="C122" s="2" t="s">
        <v>19090</v>
      </c>
      <c r="D122" s="2" t="s">
        <v>19091</v>
      </c>
      <c r="E122" s="2" t="s">
        <v>19092</v>
      </c>
      <c r="F122" s="2" t="s">
        <v>19093</v>
      </c>
      <c r="G122" s="2"/>
      <c r="H122" s="2" t="s">
        <v>290</v>
      </c>
      <c r="I122" s="2" t="s">
        <v>278</v>
      </c>
      <c r="J122" s="2" t="s">
        <v>16713</v>
      </c>
      <c r="K122" s="2" t="s">
        <v>19094</v>
      </c>
      <c r="L122" s="2"/>
      <c r="M122" s="2"/>
      <c r="N122" s="2"/>
      <c r="O122" s="2" t="s">
        <v>290</v>
      </c>
      <c r="P122" s="2" t="s">
        <v>278</v>
      </c>
      <c r="Q122" s="2" t="s">
        <v>16713</v>
      </c>
      <c r="R122" s="2" t="s">
        <v>653</v>
      </c>
      <c r="S122" s="2" t="s">
        <v>44</v>
      </c>
      <c r="T122" s="2"/>
      <c r="U122" s="2" t="s">
        <v>3527</v>
      </c>
      <c r="V122" s="2" t="s">
        <v>46</v>
      </c>
      <c r="W122" s="2" t="s">
        <v>3527</v>
      </c>
      <c r="X122" s="2" t="s">
        <v>10787</v>
      </c>
      <c r="Y122" s="2" t="s">
        <v>10801</v>
      </c>
      <c r="Z122" s="2" t="s">
        <v>7864</v>
      </c>
      <c r="AA122" s="2">
        <v>100</v>
      </c>
      <c r="AB122" s="2">
        <v>10</v>
      </c>
      <c r="AC122" s="2" t="s">
        <v>10789</v>
      </c>
      <c r="AD122" s="2" t="s">
        <v>19095</v>
      </c>
      <c r="AE122" s="2" t="s">
        <v>18260</v>
      </c>
      <c r="AF122" s="2"/>
      <c r="AG122" s="2" t="s">
        <v>18250</v>
      </c>
    </row>
    <row r="123" spans="1:33" x14ac:dyDescent="0.45">
      <c r="A123" s="2" t="s">
        <v>19096</v>
      </c>
      <c r="B123" s="2" t="s">
        <v>19097</v>
      </c>
      <c r="C123" s="2" t="s">
        <v>19096</v>
      </c>
      <c r="D123" s="2" t="s">
        <v>19098</v>
      </c>
      <c r="E123" s="2" t="s">
        <v>19099</v>
      </c>
      <c r="F123" s="2" t="s">
        <v>19100</v>
      </c>
      <c r="G123" s="2" t="s">
        <v>19100</v>
      </c>
      <c r="H123" s="2" t="s">
        <v>651</v>
      </c>
      <c r="I123" s="2" t="s">
        <v>86</v>
      </c>
      <c r="J123" s="2" t="s">
        <v>3948</v>
      </c>
      <c r="K123" s="2" t="s">
        <v>19101</v>
      </c>
      <c r="L123" s="2"/>
      <c r="M123" s="2"/>
      <c r="N123" s="2"/>
      <c r="O123" s="2" t="s">
        <v>651</v>
      </c>
      <c r="P123" s="2" t="s">
        <v>86</v>
      </c>
      <c r="Q123" s="2" t="s">
        <v>3948</v>
      </c>
      <c r="R123" s="2" t="s">
        <v>5124</v>
      </c>
      <c r="S123" s="2" t="s">
        <v>44</v>
      </c>
      <c r="T123" s="2"/>
      <c r="U123" s="2" t="s">
        <v>3527</v>
      </c>
      <c r="V123" s="2" t="s">
        <v>46</v>
      </c>
      <c r="W123" s="2" t="s">
        <v>3527</v>
      </c>
      <c r="X123" s="2" t="s">
        <v>10787</v>
      </c>
      <c r="Y123" s="2" t="s">
        <v>10801</v>
      </c>
      <c r="Z123" s="2" t="s">
        <v>7864</v>
      </c>
      <c r="AA123" s="2">
        <v>100</v>
      </c>
      <c r="AB123" s="2">
        <v>10</v>
      </c>
      <c r="AC123" s="2" t="s">
        <v>10789</v>
      </c>
      <c r="AD123" s="2" t="s">
        <v>19102</v>
      </c>
      <c r="AE123" s="2" t="s">
        <v>18260</v>
      </c>
      <c r="AF123" s="2"/>
      <c r="AG123" s="2" t="s">
        <v>18250</v>
      </c>
    </row>
    <row r="124" spans="1:33" x14ac:dyDescent="0.45">
      <c r="A124" s="2" t="s">
        <v>19103</v>
      </c>
      <c r="B124" s="2" t="s">
        <v>19104</v>
      </c>
      <c r="C124" s="2" t="s">
        <v>2446</v>
      </c>
      <c r="D124" s="2" t="s">
        <v>19105</v>
      </c>
      <c r="E124" s="2" t="s">
        <v>19106</v>
      </c>
      <c r="F124" s="2"/>
      <c r="G124" s="2"/>
      <c r="H124" s="2" t="s">
        <v>651</v>
      </c>
      <c r="I124" s="2" t="s">
        <v>86</v>
      </c>
      <c r="J124" s="2" t="s">
        <v>3948</v>
      </c>
      <c r="K124" s="2" t="s">
        <v>19105</v>
      </c>
      <c r="L124" s="2"/>
      <c r="M124" s="2"/>
      <c r="N124" s="2"/>
      <c r="O124" s="2" t="s">
        <v>651</v>
      </c>
      <c r="P124" s="2" t="s">
        <v>86</v>
      </c>
      <c r="Q124" s="2" t="s">
        <v>3948</v>
      </c>
      <c r="R124" s="2" t="s">
        <v>19107</v>
      </c>
      <c r="S124" s="2" t="s">
        <v>44</v>
      </c>
      <c r="T124" s="2"/>
      <c r="U124" s="2" t="s">
        <v>3527</v>
      </c>
      <c r="V124" s="2" t="s">
        <v>46</v>
      </c>
      <c r="W124" s="2" t="s">
        <v>3527</v>
      </c>
      <c r="X124" s="2" t="s">
        <v>10787</v>
      </c>
      <c r="Y124" s="2" t="s">
        <v>10801</v>
      </c>
      <c r="Z124" s="2" t="s">
        <v>7864</v>
      </c>
      <c r="AA124" s="2">
        <v>90</v>
      </c>
      <c r="AB124" s="2">
        <v>0</v>
      </c>
      <c r="AC124" s="2" t="s">
        <v>10789</v>
      </c>
      <c r="AD124" s="2" t="s">
        <v>19108</v>
      </c>
      <c r="AE124" s="2" t="s">
        <v>18260</v>
      </c>
      <c r="AF124" s="2"/>
      <c r="AG124" s="2" t="s">
        <v>18250</v>
      </c>
    </row>
    <row r="125" spans="1:33" x14ac:dyDescent="0.45">
      <c r="A125" s="2" t="s">
        <v>19109</v>
      </c>
      <c r="B125" s="2" t="s">
        <v>19110</v>
      </c>
      <c r="C125" s="2" t="s">
        <v>19109</v>
      </c>
      <c r="D125" s="2" t="s">
        <v>19111</v>
      </c>
      <c r="E125" s="2" t="s">
        <v>19112</v>
      </c>
      <c r="F125" s="2"/>
      <c r="G125" s="2"/>
      <c r="H125" s="2" t="s">
        <v>5984</v>
      </c>
      <c r="I125" s="2" t="s">
        <v>313</v>
      </c>
      <c r="J125" s="2" t="s">
        <v>9607</v>
      </c>
      <c r="K125" s="2" t="s">
        <v>19111</v>
      </c>
      <c r="L125" s="2"/>
      <c r="M125" s="2"/>
      <c r="N125" s="2"/>
      <c r="O125" s="2" t="s">
        <v>5984</v>
      </c>
      <c r="P125" s="2" t="s">
        <v>313</v>
      </c>
      <c r="Q125" s="2" t="s">
        <v>9607</v>
      </c>
      <c r="R125" s="2" t="s">
        <v>7147</v>
      </c>
      <c r="S125" s="2" t="s">
        <v>44</v>
      </c>
      <c r="T125" s="2"/>
      <c r="U125" s="2" t="s">
        <v>3527</v>
      </c>
      <c r="V125" s="2" t="s">
        <v>46</v>
      </c>
      <c r="W125" s="2" t="s">
        <v>3527</v>
      </c>
      <c r="X125" s="2" t="s">
        <v>10787</v>
      </c>
      <c r="Y125" s="2" t="s">
        <v>10801</v>
      </c>
      <c r="Z125" s="2" t="s">
        <v>7864</v>
      </c>
      <c r="AA125" s="2">
        <v>90</v>
      </c>
      <c r="AB125" s="2">
        <v>0</v>
      </c>
      <c r="AC125" s="2" t="s">
        <v>10789</v>
      </c>
      <c r="AD125" s="2" t="s">
        <v>19113</v>
      </c>
      <c r="AE125" s="2" t="s">
        <v>18260</v>
      </c>
      <c r="AF125" s="2"/>
      <c r="AG125" s="2" t="s">
        <v>18250</v>
      </c>
    </row>
    <row r="126" spans="1:33" x14ac:dyDescent="0.45">
      <c r="A126" s="2" t="s">
        <v>19114</v>
      </c>
      <c r="B126" s="2" t="s">
        <v>19115</v>
      </c>
      <c r="C126" s="2" t="s">
        <v>19114</v>
      </c>
      <c r="D126" s="2" t="s">
        <v>19116</v>
      </c>
      <c r="E126" s="2" t="s">
        <v>19117</v>
      </c>
      <c r="F126" s="2" t="s">
        <v>19118</v>
      </c>
      <c r="G126" s="2" t="s">
        <v>19118</v>
      </c>
      <c r="H126" s="2" t="s">
        <v>220</v>
      </c>
      <c r="I126" s="2" t="s">
        <v>221</v>
      </c>
      <c r="J126" s="2" t="s">
        <v>10250</v>
      </c>
      <c r="K126" s="2" t="s">
        <v>19116</v>
      </c>
      <c r="L126" s="2"/>
      <c r="M126" s="2"/>
      <c r="N126" s="2"/>
      <c r="O126" s="2" t="s">
        <v>220</v>
      </c>
      <c r="P126" s="2" t="s">
        <v>221</v>
      </c>
      <c r="Q126" s="2" t="s">
        <v>10250</v>
      </c>
      <c r="R126" s="2" t="s">
        <v>7581</v>
      </c>
      <c r="S126" s="2" t="s">
        <v>44</v>
      </c>
      <c r="T126" s="2"/>
      <c r="U126" s="2" t="s">
        <v>3527</v>
      </c>
      <c r="V126" s="2" t="s">
        <v>46</v>
      </c>
      <c r="W126" s="2" t="s">
        <v>3527</v>
      </c>
      <c r="X126" s="2" t="s">
        <v>10787</v>
      </c>
      <c r="Y126" s="2" t="s">
        <v>10801</v>
      </c>
      <c r="Z126" s="2" t="s">
        <v>7864</v>
      </c>
      <c r="AA126" s="2">
        <v>100</v>
      </c>
      <c r="AB126" s="2">
        <v>5</v>
      </c>
      <c r="AC126" s="2" t="s">
        <v>10789</v>
      </c>
      <c r="AD126" s="2" t="s">
        <v>19119</v>
      </c>
      <c r="AE126" s="2" t="s">
        <v>18260</v>
      </c>
      <c r="AF126" s="2"/>
      <c r="AG126" s="2" t="s">
        <v>18250</v>
      </c>
    </row>
    <row r="127" spans="1:33" x14ac:dyDescent="0.45">
      <c r="A127" s="2" t="s">
        <v>19120</v>
      </c>
      <c r="B127" s="2" t="s">
        <v>19121</v>
      </c>
      <c r="C127" s="2" t="s">
        <v>19122</v>
      </c>
      <c r="D127" s="2" t="s">
        <v>19123</v>
      </c>
      <c r="E127" s="2" t="s">
        <v>19124</v>
      </c>
      <c r="F127" s="2"/>
      <c r="G127" s="2"/>
      <c r="H127" s="2" t="s">
        <v>72</v>
      </c>
      <c r="I127" s="2" t="s">
        <v>73</v>
      </c>
      <c r="J127" s="2" t="s">
        <v>1568</v>
      </c>
      <c r="K127" s="2" t="s">
        <v>19123</v>
      </c>
      <c r="L127" s="2"/>
      <c r="M127" s="2"/>
      <c r="N127" s="2"/>
      <c r="O127" s="2" t="s">
        <v>72</v>
      </c>
      <c r="P127" s="2" t="s">
        <v>73</v>
      </c>
      <c r="Q127" s="2" t="s">
        <v>1568</v>
      </c>
      <c r="R127" s="2" t="s">
        <v>19125</v>
      </c>
      <c r="S127" s="2" t="s">
        <v>44</v>
      </c>
      <c r="T127" s="2"/>
      <c r="U127" s="2" t="s">
        <v>3527</v>
      </c>
      <c r="V127" s="2" t="s">
        <v>46</v>
      </c>
      <c r="W127" s="2" t="s">
        <v>3527</v>
      </c>
      <c r="X127" s="2" t="s">
        <v>10787</v>
      </c>
      <c r="Y127" s="2" t="s">
        <v>10801</v>
      </c>
      <c r="Z127" s="2" t="s">
        <v>7864</v>
      </c>
      <c r="AA127" s="2">
        <v>90</v>
      </c>
      <c r="AB127" s="2">
        <v>0</v>
      </c>
      <c r="AC127" s="2" t="s">
        <v>10789</v>
      </c>
      <c r="AD127" s="2" t="s">
        <v>19126</v>
      </c>
      <c r="AE127" s="2" t="s">
        <v>18260</v>
      </c>
      <c r="AF127" s="2"/>
      <c r="AG127" s="2" t="s">
        <v>18250</v>
      </c>
    </row>
    <row r="128" spans="1:33" x14ac:dyDescent="0.45">
      <c r="A128" s="2" t="s">
        <v>19127</v>
      </c>
      <c r="B128" s="2" t="s">
        <v>19128</v>
      </c>
      <c r="C128" s="2" t="s">
        <v>19129</v>
      </c>
      <c r="D128" s="2" t="s">
        <v>19130</v>
      </c>
      <c r="E128" s="2" t="s">
        <v>19131</v>
      </c>
      <c r="F128" s="2" t="s">
        <v>19132</v>
      </c>
      <c r="G128" s="2" t="s">
        <v>19132</v>
      </c>
      <c r="H128" s="2" t="s">
        <v>384</v>
      </c>
      <c r="I128" s="2" t="s">
        <v>73</v>
      </c>
      <c r="J128" s="2" t="s">
        <v>832</v>
      </c>
      <c r="K128" s="2" t="s">
        <v>19133</v>
      </c>
      <c r="L128" s="2"/>
      <c r="M128" s="2"/>
      <c r="N128" s="2"/>
      <c r="O128" s="2" t="s">
        <v>384</v>
      </c>
      <c r="P128" s="2" t="s">
        <v>73</v>
      </c>
      <c r="Q128" s="2" t="s">
        <v>832</v>
      </c>
      <c r="R128" s="2" t="s">
        <v>19134</v>
      </c>
      <c r="S128" s="2" t="s">
        <v>44</v>
      </c>
      <c r="T128" s="2"/>
      <c r="U128" s="2" t="s">
        <v>3527</v>
      </c>
      <c r="V128" s="2" t="s">
        <v>46</v>
      </c>
      <c r="W128" s="2" t="s">
        <v>3527</v>
      </c>
      <c r="X128" s="2" t="s">
        <v>10787</v>
      </c>
      <c r="Y128" s="2" t="s">
        <v>10801</v>
      </c>
      <c r="Z128" s="2" t="s">
        <v>7864</v>
      </c>
      <c r="AA128" s="2">
        <v>100</v>
      </c>
      <c r="AB128" s="2">
        <v>10</v>
      </c>
      <c r="AC128" s="2" t="s">
        <v>10789</v>
      </c>
      <c r="AD128" s="2" t="s">
        <v>19135</v>
      </c>
      <c r="AE128" s="2" t="s">
        <v>18260</v>
      </c>
      <c r="AF128" s="2"/>
      <c r="AG128" s="2" t="s">
        <v>18250</v>
      </c>
    </row>
    <row r="129" spans="1:33" x14ac:dyDescent="0.45">
      <c r="A129" s="2" t="s">
        <v>19136</v>
      </c>
      <c r="B129" s="2" t="s">
        <v>19137</v>
      </c>
      <c r="C129" s="2" t="s">
        <v>19138</v>
      </c>
      <c r="D129" s="2" t="s">
        <v>19139</v>
      </c>
      <c r="E129" s="2" t="s">
        <v>19140</v>
      </c>
      <c r="F129" s="2" t="s">
        <v>19141</v>
      </c>
      <c r="G129" s="2"/>
      <c r="H129" s="2" t="s">
        <v>384</v>
      </c>
      <c r="I129" s="2" t="s">
        <v>73</v>
      </c>
      <c r="J129" s="2" t="s">
        <v>15624</v>
      </c>
      <c r="K129" s="2" t="s">
        <v>19139</v>
      </c>
      <c r="L129" s="2"/>
      <c r="M129" s="2"/>
      <c r="N129" s="2"/>
      <c r="O129" s="2" t="s">
        <v>384</v>
      </c>
      <c r="P129" s="2" t="s">
        <v>73</v>
      </c>
      <c r="Q129" s="2" t="s">
        <v>15624</v>
      </c>
      <c r="R129" s="2" t="s">
        <v>11004</v>
      </c>
      <c r="S129" s="2" t="s">
        <v>44</v>
      </c>
      <c r="T129" s="2"/>
      <c r="U129" s="2" t="s">
        <v>821</v>
      </c>
      <c r="V129" s="2" t="s">
        <v>46</v>
      </c>
      <c r="W129" s="2" t="s">
        <v>821</v>
      </c>
      <c r="X129" s="2" t="s">
        <v>10787</v>
      </c>
      <c r="Y129" s="2" t="s">
        <v>10801</v>
      </c>
      <c r="Z129" s="2" t="s">
        <v>7864</v>
      </c>
      <c r="AA129" s="2">
        <v>100</v>
      </c>
      <c r="AB129" s="2">
        <v>17</v>
      </c>
      <c r="AC129" s="2" t="s">
        <v>10789</v>
      </c>
      <c r="AD129" s="2" t="s">
        <v>19142</v>
      </c>
      <c r="AE129" s="2" t="s">
        <v>18260</v>
      </c>
      <c r="AF129" s="2"/>
      <c r="AG129" s="2" t="s">
        <v>18250</v>
      </c>
    </row>
    <row r="130" spans="1:33" x14ac:dyDescent="0.45">
      <c r="A130" s="2" t="s">
        <v>19143</v>
      </c>
      <c r="B130" s="2" t="s">
        <v>19144</v>
      </c>
      <c r="C130" s="2" t="s">
        <v>19145</v>
      </c>
      <c r="D130" s="2" t="s">
        <v>19146</v>
      </c>
      <c r="E130" s="2" t="s">
        <v>19147</v>
      </c>
      <c r="F130" s="2" t="s">
        <v>19148</v>
      </c>
      <c r="G130" s="2"/>
      <c r="H130" s="2" t="s">
        <v>72</v>
      </c>
      <c r="I130" s="2" t="s">
        <v>73</v>
      </c>
      <c r="J130" s="2" t="s">
        <v>720</v>
      </c>
      <c r="K130" s="2" t="s">
        <v>19149</v>
      </c>
      <c r="L130" s="2"/>
      <c r="M130" s="2"/>
      <c r="N130" s="2"/>
      <c r="O130" s="2" t="s">
        <v>72</v>
      </c>
      <c r="P130" s="2" t="s">
        <v>73</v>
      </c>
      <c r="Q130" s="2" t="s">
        <v>720</v>
      </c>
      <c r="R130" s="2" t="s">
        <v>4984</v>
      </c>
      <c r="S130" s="2" t="s">
        <v>44</v>
      </c>
      <c r="T130" s="2"/>
      <c r="U130" s="2" t="s">
        <v>3527</v>
      </c>
      <c r="V130" s="2" t="s">
        <v>46</v>
      </c>
      <c r="W130" s="2" t="s">
        <v>3527</v>
      </c>
      <c r="X130" s="2" t="s">
        <v>10787</v>
      </c>
      <c r="Y130" s="2" t="s">
        <v>10801</v>
      </c>
      <c r="Z130" s="2" t="s">
        <v>7864</v>
      </c>
      <c r="AA130" s="2">
        <v>100</v>
      </c>
      <c r="AB130" s="2">
        <v>10</v>
      </c>
      <c r="AC130" s="2" t="s">
        <v>10789</v>
      </c>
      <c r="AD130" s="2" t="s">
        <v>19150</v>
      </c>
      <c r="AE130" s="2" t="s">
        <v>18260</v>
      </c>
      <c r="AF130" s="2"/>
      <c r="AG130" s="2" t="s">
        <v>18250</v>
      </c>
    </row>
    <row r="131" spans="1:33" x14ac:dyDescent="0.45">
      <c r="A131" s="2" t="s">
        <v>19151</v>
      </c>
      <c r="B131" s="2" t="s">
        <v>19152</v>
      </c>
      <c r="C131" s="2" t="s">
        <v>19153</v>
      </c>
      <c r="D131" s="2" t="s">
        <v>19154</v>
      </c>
      <c r="E131" s="2" t="s">
        <v>19155</v>
      </c>
      <c r="F131" s="2" t="s">
        <v>709</v>
      </c>
      <c r="G131" s="2" t="s">
        <v>709</v>
      </c>
      <c r="H131" s="2" t="s">
        <v>384</v>
      </c>
      <c r="I131" s="2" t="s">
        <v>73</v>
      </c>
      <c r="J131" s="2" t="s">
        <v>8264</v>
      </c>
      <c r="K131" s="2" t="s">
        <v>19154</v>
      </c>
      <c r="L131" s="2"/>
      <c r="M131" s="2"/>
      <c r="N131" s="2"/>
      <c r="O131" s="2" t="s">
        <v>384</v>
      </c>
      <c r="P131" s="2" t="s">
        <v>73</v>
      </c>
      <c r="Q131" s="2" t="s">
        <v>8264</v>
      </c>
      <c r="R131" s="2" t="s">
        <v>7696</v>
      </c>
      <c r="S131" s="2" t="s">
        <v>44</v>
      </c>
      <c r="T131" s="2"/>
      <c r="U131" s="2" t="s">
        <v>3527</v>
      </c>
      <c r="V131" s="2" t="s">
        <v>46</v>
      </c>
      <c r="W131" s="2" t="s">
        <v>3527</v>
      </c>
      <c r="X131" s="2" t="s">
        <v>10787</v>
      </c>
      <c r="Y131" s="2" t="s">
        <v>10801</v>
      </c>
      <c r="Z131" s="2" t="s">
        <v>7864</v>
      </c>
      <c r="AA131" s="2">
        <v>100</v>
      </c>
      <c r="AB131" s="2">
        <v>10</v>
      </c>
      <c r="AC131" s="2" t="s">
        <v>10789</v>
      </c>
      <c r="AD131" s="2" t="s">
        <v>19156</v>
      </c>
      <c r="AE131" s="2" t="s">
        <v>18260</v>
      </c>
      <c r="AF131" s="2"/>
      <c r="AG131" s="2" t="s">
        <v>18250</v>
      </c>
    </row>
    <row r="132" spans="1:33" x14ac:dyDescent="0.45">
      <c r="A132" s="2" t="s">
        <v>19157</v>
      </c>
      <c r="B132" s="2" t="s">
        <v>19158</v>
      </c>
      <c r="C132" s="2" t="s">
        <v>19159</v>
      </c>
      <c r="D132" s="2" t="s">
        <v>19160</v>
      </c>
      <c r="E132" s="2" t="s">
        <v>19161</v>
      </c>
      <c r="F132" s="2" t="s">
        <v>19162</v>
      </c>
      <c r="G132" s="2"/>
      <c r="H132" s="2" t="s">
        <v>384</v>
      </c>
      <c r="I132" s="2" t="s">
        <v>73</v>
      </c>
      <c r="J132" s="2" t="s">
        <v>832</v>
      </c>
      <c r="K132" s="2" t="s">
        <v>19160</v>
      </c>
      <c r="L132" s="2"/>
      <c r="M132" s="2"/>
      <c r="N132" s="2"/>
      <c r="O132" s="2" t="s">
        <v>384</v>
      </c>
      <c r="P132" s="2" t="s">
        <v>73</v>
      </c>
      <c r="Q132" s="2" t="s">
        <v>832</v>
      </c>
      <c r="R132" s="2" t="s">
        <v>3216</v>
      </c>
      <c r="S132" s="2" t="s">
        <v>44</v>
      </c>
      <c r="T132" s="2"/>
      <c r="U132" s="2" t="s">
        <v>3527</v>
      </c>
      <c r="V132" s="2" t="s">
        <v>46</v>
      </c>
      <c r="W132" s="2" t="s">
        <v>3527</v>
      </c>
      <c r="X132" s="2" t="s">
        <v>10787</v>
      </c>
      <c r="Y132" s="2" t="s">
        <v>10801</v>
      </c>
      <c r="Z132" s="2" t="s">
        <v>7864</v>
      </c>
      <c r="AA132" s="2">
        <v>100</v>
      </c>
      <c r="AB132" s="2">
        <v>10</v>
      </c>
      <c r="AC132" s="2" t="s">
        <v>10789</v>
      </c>
      <c r="AD132" s="2" t="s">
        <v>19163</v>
      </c>
      <c r="AE132" s="2" t="s">
        <v>18260</v>
      </c>
      <c r="AF132" s="2"/>
      <c r="AG132" s="2" t="s">
        <v>18250</v>
      </c>
    </row>
    <row r="133" spans="1:33" x14ac:dyDescent="0.45">
      <c r="A133" s="2" t="s">
        <v>19164</v>
      </c>
      <c r="B133" s="2" t="s">
        <v>19165</v>
      </c>
      <c r="C133" s="2" t="s">
        <v>19164</v>
      </c>
      <c r="D133" s="2" t="s">
        <v>19166</v>
      </c>
      <c r="E133" s="2" t="s">
        <v>19167</v>
      </c>
      <c r="F133" s="2" t="s">
        <v>19168</v>
      </c>
      <c r="G133" s="2" t="s">
        <v>19168</v>
      </c>
      <c r="H133" s="2" t="s">
        <v>19169</v>
      </c>
      <c r="I133" s="2" t="s">
        <v>11362</v>
      </c>
      <c r="J133" s="2" t="s">
        <v>19170</v>
      </c>
      <c r="K133" s="2"/>
      <c r="L133" s="2"/>
      <c r="M133" s="2"/>
      <c r="N133" s="2"/>
      <c r="O133" s="2"/>
      <c r="P133" s="2"/>
      <c r="Q133" s="2"/>
      <c r="R133" s="2" t="s">
        <v>5747</v>
      </c>
      <c r="S133" s="2" t="s">
        <v>44</v>
      </c>
      <c r="T133" s="2"/>
      <c r="U133" s="2" t="s">
        <v>821</v>
      </c>
      <c r="V133" s="2" t="s">
        <v>46</v>
      </c>
      <c r="W133" s="2" t="s">
        <v>821</v>
      </c>
      <c r="X133" s="2" t="s">
        <v>10787</v>
      </c>
      <c r="Y133" s="2" t="s">
        <v>10801</v>
      </c>
      <c r="Z133" s="2" t="s">
        <v>7864</v>
      </c>
      <c r="AA133" s="2">
        <v>100</v>
      </c>
      <c r="AB133" s="2">
        <v>12</v>
      </c>
      <c r="AC133" s="2" t="s">
        <v>10789</v>
      </c>
      <c r="AD133" s="2" t="s">
        <v>19171</v>
      </c>
      <c r="AE133" s="2" t="s">
        <v>18260</v>
      </c>
      <c r="AF133" s="2"/>
      <c r="AG133" s="2" t="s">
        <v>18250</v>
      </c>
    </row>
    <row r="134" spans="1:33" x14ac:dyDescent="0.45">
      <c r="A134" s="2" t="s">
        <v>19172</v>
      </c>
      <c r="B134" s="2" t="s">
        <v>19173</v>
      </c>
      <c r="C134" s="2" t="s">
        <v>19174</v>
      </c>
      <c r="D134" s="2" t="s">
        <v>19175</v>
      </c>
      <c r="E134" s="2" t="s">
        <v>19176</v>
      </c>
      <c r="F134" s="2" t="s">
        <v>19177</v>
      </c>
      <c r="G134" s="2" t="s">
        <v>19177</v>
      </c>
      <c r="H134" s="2" t="s">
        <v>2962</v>
      </c>
      <c r="I134" s="2" t="s">
        <v>73</v>
      </c>
      <c r="J134" s="2" t="s">
        <v>19178</v>
      </c>
      <c r="K134" s="2" t="s">
        <v>19175</v>
      </c>
      <c r="L134" s="2"/>
      <c r="M134" s="2"/>
      <c r="N134" s="2"/>
      <c r="O134" s="2" t="s">
        <v>2962</v>
      </c>
      <c r="P134" s="2" t="s">
        <v>73</v>
      </c>
      <c r="Q134" s="2" t="s">
        <v>19178</v>
      </c>
      <c r="R134" s="2" t="s">
        <v>3421</v>
      </c>
      <c r="S134" s="2" t="s">
        <v>44</v>
      </c>
      <c r="T134" s="2"/>
      <c r="U134" s="2" t="s">
        <v>3527</v>
      </c>
      <c r="V134" s="2" t="s">
        <v>46</v>
      </c>
      <c r="W134" s="2" t="s">
        <v>3527</v>
      </c>
      <c r="X134" s="2" t="s">
        <v>10787</v>
      </c>
      <c r="Y134" s="2" t="s">
        <v>10801</v>
      </c>
      <c r="Z134" s="2" t="s">
        <v>7864</v>
      </c>
      <c r="AA134" s="2">
        <v>100</v>
      </c>
      <c r="AB134" s="2">
        <v>5</v>
      </c>
      <c r="AC134" s="2" t="s">
        <v>10789</v>
      </c>
      <c r="AD134" s="2" t="s">
        <v>19179</v>
      </c>
      <c r="AE134" s="2" t="s">
        <v>18260</v>
      </c>
      <c r="AF134" s="2"/>
      <c r="AG134" s="2" t="s">
        <v>18250</v>
      </c>
    </row>
    <row r="135" spans="1:33" x14ac:dyDescent="0.45">
      <c r="A135" s="2" t="s">
        <v>19180</v>
      </c>
      <c r="B135" s="2" t="s">
        <v>19181</v>
      </c>
      <c r="C135" s="2" t="s">
        <v>19180</v>
      </c>
      <c r="D135" s="2" t="s">
        <v>19182</v>
      </c>
      <c r="E135" s="2" t="s">
        <v>19183</v>
      </c>
      <c r="F135" s="2" t="s">
        <v>19184</v>
      </c>
      <c r="G135" s="2"/>
      <c r="H135" s="2" t="s">
        <v>174</v>
      </c>
      <c r="I135" s="2" t="s">
        <v>175</v>
      </c>
      <c r="J135" s="2" t="s">
        <v>7013</v>
      </c>
      <c r="K135" s="2" t="s">
        <v>19182</v>
      </c>
      <c r="L135" s="2"/>
      <c r="M135" s="2"/>
      <c r="N135" s="2"/>
      <c r="O135" s="2" t="s">
        <v>174</v>
      </c>
      <c r="P135" s="2" t="s">
        <v>175</v>
      </c>
      <c r="Q135" s="2" t="s">
        <v>7013</v>
      </c>
      <c r="R135" s="2" t="s">
        <v>11080</v>
      </c>
      <c r="S135" s="2" t="s">
        <v>44</v>
      </c>
      <c r="T135" s="2"/>
      <c r="U135" s="2" t="s">
        <v>821</v>
      </c>
      <c r="V135" s="2" t="s">
        <v>46</v>
      </c>
      <c r="W135" s="2" t="s">
        <v>821</v>
      </c>
      <c r="X135" s="2" t="s">
        <v>10787</v>
      </c>
      <c r="Y135" s="2" t="s">
        <v>10801</v>
      </c>
      <c r="Z135" s="2" t="s">
        <v>7864</v>
      </c>
      <c r="AA135" s="2">
        <v>100</v>
      </c>
      <c r="AB135" s="2">
        <v>17</v>
      </c>
      <c r="AC135" s="2" t="s">
        <v>10789</v>
      </c>
      <c r="AD135" s="2" t="s">
        <v>19185</v>
      </c>
      <c r="AE135" s="2" t="s">
        <v>18260</v>
      </c>
      <c r="AF135" s="2"/>
      <c r="AG135" s="2" t="s">
        <v>18250</v>
      </c>
    </row>
    <row r="136" spans="1:33" x14ac:dyDescent="0.45">
      <c r="A136" s="2" t="s">
        <v>19186</v>
      </c>
      <c r="B136" s="2" t="s">
        <v>19187</v>
      </c>
      <c r="C136" s="2" t="s">
        <v>19186</v>
      </c>
      <c r="D136" s="2" t="s">
        <v>19188</v>
      </c>
      <c r="E136" s="2" t="s">
        <v>19189</v>
      </c>
      <c r="F136" s="2" t="s">
        <v>19190</v>
      </c>
      <c r="G136" s="2"/>
      <c r="H136" s="2" t="s">
        <v>1188</v>
      </c>
      <c r="I136" s="2" t="s">
        <v>221</v>
      </c>
      <c r="J136" s="2" t="s">
        <v>11130</v>
      </c>
      <c r="K136" s="2" t="s">
        <v>19188</v>
      </c>
      <c r="L136" s="2"/>
      <c r="M136" s="2"/>
      <c r="N136" s="2"/>
      <c r="O136" s="2" t="s">
        <v>1188</v>
      </c>
      <c r="P136" s="2" t="s">
        <v>221</v>
      </c>
      <c r="Q136" s="2" t="s">
        <v>11130</v>
      </c>
      <c r="R136" s="2" t="s">
        <v>16274</v>
      </c>
      <c r="S136" s="2" t="s">
        <v>44</v>
      </c>
      <c r="T136" s="2"/>
      <c r="U136" s="2" t="s">
        <v>3527</v>
      </c>
      <c r="V136" s="2" t="s">
        <v>46</v>
      </c>
      <c r="W136" s="2" t="s">
        <v>3527</v>
      </c>
      <c r="X136" s="2" t="s">
        <v>10787</v>
      </c>
      <c r="Y136" s="2" t="s">
        <v>10801</v>
      </c>
      <c r="Z136" s="2" t="s">
        <v>7864</v>
      </c>
      <c r="AA136" s="2">
        <v>100</v>
      </c>
      <c r="AB136" s="2">
        <v>10</v>
      </c>
      <c r="AC136" s="2" t="s">
        <v>10789</v>
      </c>
      <c r="AD136" s="2" t="s">
        <v>19191</v>
      </c>
      <c r="AE136" s="2" t="s">
        <v>18260</v>
      </c>
      <c r="AF136" s="2"/>
      <c r="AG136" s="2" t="s">
        <v>18250</v>
      </c>
    </row>
    <row r="137" spans="1:33" x14ac:dyDescent="0.45">
      <c r="A137" s="2" t="s">
        <v>19192</v>
      </c>
      <c r="B137" s="2" t="s">
        <v>19193</v>
      </c>
      <c r="C137" s="2" t="s">
        <v>19194</v>
      </c>
      <c r="D137" s="2" t="s">
        <v>19195</v>
      </c>
      <c r="E137" s="2" t="s">
        <v>19196</v>
      </c>
      <c r="F137" s="2" t="s">
        <v>19197</v>
      </c>
      <c r="G137" s="2" t="s">
        <v>19197</v>
      </c>
      <c r="H137" s="2" t="s">
        <v>12930</v>
      </c>
      <c r="I137" s="2" t="s">
        <v>73</v>
      </c>
      <c r="J137" s="2" t="s">
        <v>19198</v>
      </c>
      <c r="K137" s="2" t="s">
        <v>19195</v>
      </c>
      <c r="L137" s="2"/>
      <c r="M137" s="2"/>
      <c r="N137" s="2"/>
      <c r="O137" s="2" t="s">
        <v>12930</v>
      </c>
      <c r="P137" s="2" t="s">
        <v>73</v>
      </c>
      <c r="Q137" s="2" t="s">
        <v>19198</v>
      </c>
      <c r="R137" s="2" t="s">
        <v>10117</v>
      </c>
      <c r="S137" s="2" t="s">
        <v>44</v>
      </c>
      <c r="T137" s="2"/>
      <c r="U137" s="2" t="s">
        <v>3527</v>
      </c>
      <c r="V137" s="2" t="s">
        <v>46</v>
      </c>
      <c r="W137" s="2" t="s">
        <v>3527</v>
      </c>
      <c r="X137" s="2" t="s">
        <v>10787</v>
      </c>
      <c r="Y137" s="2" t="s">
        <v>10801</v>
      </c>
      <c r="Z137" s="2" t="s">
        <v>7864</v>
      </c>
      <c r="AA137" s="2">
        <v>100</v>
      </c>
      <c r="AB137" s="2">
        <v>5</v>
      </c>
      <c r="AC137" s="2" t="s">
        <v>10789</v>
      </c>
      <c r="AD137" s="2" t="s">
        <v>19199</v>
      </c>
      <c r="AE137" s="2" t="s">
        <v>18260</v>
      </c>
      <c r="AF137" s="2"/>
      <c r="AG137" s="2" t="s">
        <v>18250</v>
      </c>
    </row>
    <row r="138" spans="1:33" x14ac:dyDescent="0.45">
      <c r="A138" s="2" t="s">
        <v>19200</v>
      </c>
      <c r="B138" s="2" t="s">
        <v>19201</v>
      </c>
      <c r="C138" s="2" t="s">
        <v>19200</v>
      </c>
      <c r="D138" s="2" t="s">
        <v>19202</v>
      </c>
      <c r="E138" s="2" t="s">
        <v>19203</v>
      </c>
      <c r="F138" s="2" t="s">
        <v>19204</v>
      </c>
      <c r="G138" s="2"/>
      <c r="H138" s="2" t="s">
        <v>16951</v>
      </c>
      <c r="I138" s="2" t="s">
        <v>175</v>
      </c>
      <c r="J138" s="2" t="s">
        <v>19205</v>
      </c>
      <c r="K138" s="2"/>
      <c r="L138" s="2"/>
      <c r="M138" s="2"/>
      <c r="N138" s="2"/>
      <c r="O138" s="2"/>
      <c r="P138" s="2"/>
      <c r="Q138" s="2"/>
      <c r="R138" s="2" t="s">
        <v>3273</v>
      </c>
      <c r="S138" s="2" t="s">
        <v>44</v>
      </c>
      <c r="T138" s="2"/>
      <c r="U138" s="2" t="s">
        <v>3527</v>
      </c>
      <c r="V138" s="2" t="s">
        <v>46</v>
      </c>
      <c r="W138" s="2" t="s">
        <v>3527</v>
      </c>
      <c r="X138" s="2" t="s">
        <v>10787</v>
      </c>
      <c r="Y138" s="2" t="s">
        <v>10801</v>
      </c>
      <c r="Z138" s="2" t="s">
        <v>7864</v>
      </c>
      <c r="AA138" s="2">
        <v>100</v>
      </c>
      <c r="AB138" s="2">
        <v>5</v>
      </c>
      <c r="AC138" s="2" t="s">
        <v>10789</v>
      </c>
      <c r="AD138" s="2" t="s">
        <v>19206</v>
      </c>
      <c r="AE138" s="2" t="s">
        <v>18260</v>
      </c>
      <c r="AF138" s="2"/>
      <c r="AG138" s="2" t="s">
        <v>18250</v>
      </c>
    </row>
    <row r="139" spans="1:33" x14ac:dyDescent="0.45">
      <c r="A139" s="2" t="s">
        <v>19207</v>
      </c>
      <c r="B139" s="2" t="s">
        <v>19208</v>
      </c>
      <c r="C139" s="2" t="s">
        <v>19207</v>
      </c>
      <c r="D139" s="2" t="s">
        <v>19209</v>
      </c>
      <c r="E139" s="2" t="s">
        <v>19210</v>
      </c>
      <c r="F139" s="2"/>
      <c r="G139" s="2"/>
      <c r="H139" s="2" t="s">
        <v>72</v>
      </c>
      <c r="I139" s="2" t="s">
        <v>73</v>
      </c>
      <c r="J139" s="2" t="s">
        <v>19211</v>
      </c>
      <c r="K139" s="2" t="s">
        <v>19212</v>
      </c>
      <c r="L139" s="2"/>
      <c r="M139" s="2"/>
      <c r="N139" s="2"/>
      <c r="O139" s="2" t="s">
        <v>72</v>
      </c>
      <c r="P139" s="2" t="s">
        <v>73</v>
      </c>
      <c r="Q139" s="2" t="s">
        <v>1808</v>
      </c>
      <c r="R139" s="2" t="s">
        <v>19213</v>
      </c>
      <c r="S139" s="2" t="s">
        <v>44</v>
      </c>
      <c r="T139" s="2"/>
      <c r="U139" s="2" t="s">
        <v>3527</v>
      </c>
      <c r="V139" s="2" t="s">
        <v>46</v>
      </c>
      <c r="W139" s="2" t="s">
        <v>3527</v>
      </c>
      <c r="X139" s="2" t="s">
        <v>10787</v>
      </c>
      <c r="Y139" s="2" t="s">
        <v>10801</v>
      </c>
      <c r="Z139" s="2" t="s">
        <v>7864</v>
      </c>
      <c r="AA139" s="2">
        <v>90</v>
      </c>
      <c r="AB139" s="2">
        <v>0</v>
      </c>
      <c r="AC139" s="2" t="s">
        <v>10789</v>
      </c>
      <c r="AD139" s="2" t="s">
        <v>19214</v>
      </c>
      <c r="AE139" s="2" t="s">
        <v>18260</v>
      </c>
      <c r="AF139" s="2"/>
      <c r="AG139" s="2" t="s">
        <v>18250</v>
      </c>
    </row>
    <row r="140" spans="1:33" x14ac:dyDescent="0.45">
      <c r="A140" s="2" t="s">
        <v>19215</v>
      </c>
      <c r="B140" s="2" t="s">
        <v>19216</v>
      </c>
      <c r="C140" s="2" t="s">
        <v>19217</v>
      </c>
      <c r="D140" s="2" t="s">
        <v>19218</v>
      </c>
      <c r="E140" s="2" t="s">
        <v>19219</v>
      </c>
      <c r="F140" s="2" t="s">
        <v>19220</v>
      </c>
      <c r="G140" s="2" t="s">
        <v>19220</v>
      </c>
      <c r="H140" s="2" t="s">
        <v>5821</v>
      </c>
      <c r="I140" s="2" t="s">
        <v>278</v>
      </c>
      <c r="J140" s="2" t="s">
        <v>19221</v>
      </c>
      <c r="K140" s="2" t="s">
        <v>19218</v>
      </c>
      <c r="L140" s="2"/>
      <c r="M140" s="2"/>
      <c r="N140" s="2"/>
      <c r="O140" s="2" t="s">
        <v>5821</v>
      </c>
      <c r="P140" s="2" t="s">
        <v>278</v>
      </c>
      <c r="Q140" s="2" t="s">
        <v>19221</v>
      </c>
      <c r="R140" s="2" t="s">
        <v>5303</v>
      </c>
      <c r="S140" s="2" t="s">
        <v>44</v>
      </c>
      <c r="T140" s="2"/>
      <c r="U140" s="2" t="s">
        <v>3527</v>
      </c>
      <c r="V140" s="2" t="s">
        <v>46</v>
      </c>
      <c r="W140" s="2" t="s">
        <v>3527</v>
      </c>
      <c r="X140" s="2" t="s">
        <v>10787</v>
      </c>
      <c r="Y140" s="2" t="s">
        <v>10801</v>
      </c>
      <c r="Z140" s="2" t="s">
        <v>7864</v>
      </c>
      <c r="AA140" s="2">
        <v>100</v>
      </c>
      <c r="AB140" s="2">
        <v>5</v>
      </c>
      <c r="AC140" s="2" t="s">
        <v>10789</v>
      </c>
      <c r="AD140" s="2" t="s">
        <v>19222</v>
      </c>
      <c r="AE140" s="2" t="s">
        <v>18260</v>
      </c>
      <c r="AF140" s="2"/>
      <c r="AG140" s="2" t="s">
        <v>18250</v>
      </c>
    </row>
    <row r="141" spans="1:33" x14ac:dyDescent="0.45">
      <c r="A141" s="2" t="s">
        <v>19223</v>
      </c>
      <c r="B141" s="2" t="s">
        <v>19224</v>
      </c>
      <c r="C141" s="2" t="s">
        <v>19225</v>
      </c>
      <c r="D141" s="2" t="s">
        <v>19226</v>
      </c>
      <c r="E141" s="2" t="s">
        <v>19227</v>
      </c>
      <c r="F141" s="2" t="s">
        <v>19228</v>
      </c>
      <c r="G141" s="2"/>
      <c r="H141" s="2" t="s">
        <v>5842</v>
      </c>
      <c r="I141" s="2" t="s">
        <v>221</v>
      </c>
      <c r="J141" s="2" t="s">
        <v>5843</v>
      </c>
      <c r="K141" s="2"/>
      <c r="L141" s="2"/>
      <c r="M141" s="2"/>
      <c r="N141" s="2"/>
      <c r="O141" s="2"/>
      <c r="P141" s="2"/>
      <c r="Q141" s="2"/>
      <c r="R141" s="2" t="s">
        <v>733</v>
      </c>
      <c r="S141" s="2" t="s">
        <v>44</v>
      </c>
      <c r="T141" s="2"/>
      <c r="U141" s="2" t="s">
        <v>3527</v>
      </c>
      <c r="V141" s="2" t="s">
        <v>46</v>
      </c>
      <c r="W141" s="2" t="s">
        <v>3527</v>
      </c>
      <c r="X141" s="2" t="s">
        <v>10787</v>
      </c>
      <c r="Y141" s="2" t="s">
        <v>10801</v>
      </c>
      <c r="Z141" s="2" t="s">
        <v>7864</v>
      </c>
      <c r="AA141" s="2">
        <v>100</v>
      </c>
      <c r="AB141" s="2">
        <v>5</v>
      </c>
      <c r="AC141" s="2" t="s">
        <v>10789</v>
      </c>
      <c r="AD141" s="2" t="s">
        <v>19229</v>
      </c>
      <c r="AE141" s="2" t="s">
        <v>18260</v>
      </c>
      <c r="AF141" s="2"/>
      <c r="AG141" s="2" t="s">
        <v>18250</v>
      </c>
    </row>
    <row r="142" spans="1:33" x14ac:dyDescent="0.45">
      <c r="A142" s="2" t="s">
        <v>19230</v>
      </c>
      <c r="B142" s="2" t="s">
        <v>19231</v>
      </c>
      <c r="C142" s="2" t="s">
        <v>19232</v>
      </c>
      <c r="D142" s="2" t="s">
        <v>19233</v>
      </c>
      <c r="E142" s="2" t="s">
        <v>19234</v>
      </c>
      <c r="F142" s="2" t="s">
        <v>19235</v>
      </c>
      <c r="G142" s="2"/>
      <c r="H142" s="2" t="s">
        <v>8544</v>
      </c>
      <c r="I142" s="2" t="s">
        <v>73</v>
      </c>
      <c r="J142" s="2" t="s">
        <v>19236</v>
      </c>
      <c r="K142" s="2" t="s">
        <v>19237</v>
      </c>
      <c r="L142" s="2"/>
      <c r="M142" s="2"/>
      <c r="N142" s="2"/>
      <c r="O142" s="2" t="s">
        <v>8544</v>
      </c>
      <c r="P142" s="2" t="s">
        <v>73</v>
      </c>
      <c r="Q142" s="2" t="s">
        <v>19236</v>
      </c>
      <c r="R142" s="2" t="s">
        <v>963</v>
      </c>
      <c r="S142" s="2" t="s">
        <v>44</v>
      </c>
      <c r="T142" s="2"/>
      <c r="U142" s="2" t="s">
        <v>3527</v>
      </c>
      <c r="V142" s="2" t="s">
        <v>46</v>
      </c>
      <c r="W142" s="2" t="s">
        <v>3527</v>
      </c>
      <c r="X142" s="2" t="s">
        <v>10787</v>
      </c>
      <c r="Y142" s="2" t="s">
        <v>10801</v>
      </c>
      <c r="Z142" s="2" t="s">
        <v>7864</v>
      </c>
      <c r="AA142" s="2">
        <v>100</v>
      </c>
      <c r="AB142" s="2">
        <v>5</v>
      </c>
      <c r="AC142" s="2" t="s">
        <v>10789</v>
      </c>
      <c r="AD142" s="2" t="s">
        <v>19238</v>
      </c>
      <c r="AE142" s="2" t="s">
        <v>18260</v>
      </c>
      <c r="AF142" s="2"/>
      <c r="AG142" s="2" t="s">
        <v>18250</v>
      </c>
    </row>
    <row r="143" spans="1:33" x14ac:dyDescent="0.45">
      <c r="A143" s="2" t="s">
        <v>19239</v>
      </c>
      <c r="B143" s="2" t="s">
        <v>19240</v>
      </c>
      <c r="C143" s="2" t="s">
        <v>19241</v>
      </c>
      <c r="D143" s="2" t="s">
        <v>19242</v>
      </c>
      <c r="E143" s="2" t="s">
        <v>19243</v>
      </c>
      <c r="F143" s="2" t="s">
        <v>19244</v>
      </c>
      <c r="G143" s="2" t="s">
        <v>19244</v>
      </c>
      <c r="H143" s="2" t="s">
        <v>72</v>
      </c>
      <c r="I143" s="2" t="s">
        <v>73</v>
      </c>
      <c r="J143" s="2" t="s">
        <v>6817</v>
      </c>
      <c r="K143" s="2"/>
      <c r="L143" s="2"/>
      <c r="M143" s="2"/>
      <c r="N143" s="2"/>
      <c r="O143" s="2"/>
      <c r="P143" s="2"/>
      <c r="Q143" s="2"/>
      <c r="R143" s="2" t="s">
        <v>16485</v>
      </c>
      <c r="S143" s="2" t="s">
        <v>44</v>
      </c>
      <c r="T143" s="2"/>
      <c r="U143" s="2" t="s">
        <v>3527</v>
      </c>
      <c r="V143" s="2" t="s">
        <v>46</v>
      </c>
      <c r="W143" s="2" t="s">
        <v>3527</v>
      </c>
      <c r="X143" s="2" t="s">
        <v>10787</v>
      </c>
      <c r="Y143" s="2" t="s">
        <v>10801</v>
      </c>
      <c r="Z143" s="2" t="s">
        <v>7864</v>
      </c>
      <c r="AA143" s="2">
        <v>100</v>
      </c>
      <c r="AB143" s="2">
        <v>10</v>
      </c>
      <c r="AC143" s="2" t="s">
        <v>10789</v>
      </c>
      <c r="AD143" s="2" t="s">
        <v>19245</v>
      </c>
      <c r="AE143" s="2" t="s">
        <v>18260</v>
      </c>
      <c r="AF143" s="2"/>
      <c r="AG143" s="2" t="s">
        <v>18250</v>
      </c>
    </row>
    <row r="144" spans="1:33" x14ac:dyDescent="0.45">
      <c r="A144" s="2" t="s">
        <v>19246</v>
      </c>
      <c r="B144" s="2" t="s">
        <v>19247</v>
      </c>
      <c r="C144" s="2" t="s">
        <v>19248</v>
      </c>
      <c r="D144" s="2" t="s">
        <v>19249</v>
      </c>
      <c r="E144" s="2" t="s">
        <v>19250</v>
      </c>
      <c r="F144" s="2" t="s">
        <v>19251</v>
      </c>
      <c r="G144" s="2" t="s">
        <v>19251</v>
      </c>
      <c r="H144" s="2" t="s">
        <v>312</v>
      </c>
      <c r="I144" s="2" t="s">
        <v>313</v>
      </c>
      <c r="J144" s="2" t="s">
        <v>11652</v>
      </c>
      <c r="K144" s="2" t="s">
        <v>19249</v>
      </c>
      <c r="L144" s="2"/>
      <c r="M144" s="2"/>
      <c r="N144" s="2"/>
      <c r="O144" s="2" t="s">
        <v>312</v>
      </c>
      <c r="P144" s="2" t="s">
        <v>313</v>
      </c>
      <c r="Q144" s="2" t="s">
        <v>11652</v>
      </c>
      <c r="R144" s="2" t="s">
        <v>773</v>
      </c>
      <c r="S144" s="2" t="s">
        <v>44</v>
      </c>
      <c r="T144" s="2"/>
      <c r="U144" s="2" t="s">
        <v>3527</v>
      </c>
      <c r="V144" s="2" t="s">
        <v>46</v>
      </c>
      <c r="W144" s="2" t="s">
        <v>3527</v>
      </c>
      <c r="X144" s="2" t="s">
        <v>10787</v>
      </c>
      <c r="Y144" s="2" t="s">
        <v>10801</v>
      </c>
      <c r="Z144" s="2" t="s">
        <v>7864</v>
      </c>
      <c r="AA144" s="2">
        <v>100</v>
      </c>
      <c r="AB144" s="2">
        <v>10</v>
      </c>
      <c r="AC144" s="2" t="s">
        <v>10789</v>
      </c>
      <c r="AD144" s="2" t="s">
        <v>19252</v>
      </c>
      <c r="AE144" s="2" t="s">
        <v>18260</v>
      </c>
      <c r="AF144" s="2"/>
      <c r="AG144" s="2" t="s">
        <v>18250</v>
      </c>
    </row>
    <row r="145" spans="1:33" x14ac:dyDescent="0.45">
      <c r="A145" s="2" t="s">
        <v>19253</v>
      </c>
      <c r="B145" s="2" t="s">
        <v>19254</v>
      </c>
      <c r="C145" s="2" t="s">
        <v>19255</v>
      </c>
      <c r="D145" s="2" t="s">
        <v>19256</v>
      </c>
      <c r="E145" s="2" t="s">
        <v>19257</v>
      </c>
      <c r="F145" s="2" t="s">
        <v>19258</v>
      </c>
      <c r="G145" s="2" t="s">
        <v>19258</v>
      </c>
      <c r="H145" s="2" t="s">
        <v>651</v>
      </c>
      <c r="I145" s="2" t="s">
        <v>86</v>
      </c>
      <c r="J145" s="2" t="s">
        <v>4731</v>
      </c>
      <c r="K145" s="2"/>
      <c r="L145" s="2"/>
      <c r="M145" s="2"/>
      <c r="N145" s="2"/>
      <c r="O145" s="2"/>
      <c r="P145" s="2"/>
      <c r="Q145" s="2"/>
      <c r="R145" s="2" t="s">
        <v>12387</v>
      </c>
      <c r="S145" s="2" t="s">
        <v>44</v>
      </c>
      <c r="T145" s="2"/>
      <c r="U145" s="2" t="s">
        <v>3527</v>
      </c>
      <c r="V145" s="2" t="s">
        <v>46</v>
      </c>
      <c r="W145" s="2" t="s">
        <v>3527</v>
      </c>
      <c r="X145" s="2" t="s">
        <v>10787</v>
      </c>
      <c r="Y145" s="2" t="s">
        <v>10801</v>
      </c>
      <c r="Z145" s="2" t="s">
        <v>7864</v>
      </c>
      <c r="AA145" s="2">
        <v>100</v>
      </c>
      <c r="AB145" s="2">
        <v>10</v>
      </c>
      <c r="AC145" s="2" t="s">
        <v>10789</v>
      </c>
      <c r="AD145" s="2" t="s">
        <v>19259</v>
      </c>
      <c r="AE145" s="2" t="s">
        <v>18260</v>
      </c>
      <c r="AF145" s="2"/>
      <c r="AG145" s="2" t="s">
        <v>18250</v>
      </c>
    </row>
    <row r="146" spans="1:33" x14ac:dyDescent="0.45">
      <c r="A146" s="2" t="s">
        <v>19260</v>
      </c>
      <c r="B146" s="2" t="s">
        <v>19261</v>
      </c>
      <c r="C146" s="2" t="s">
        <v>19262</v>
      </c>
      <c r="D146" s="2" t="s">
        <v>19263</v>
      </c>
      <c r="E146" s="2" t="s">
        <v>19264</v>
      </c>
      <c r="F146" s="2"/>
      <c r="G146" s="2"/>
      <c r="H146" s="2" t="s">
        <v>1208</v>
      </c>
      <c r="I146" s="2" t="s">
        <v>1209</v>
      </c>
      <c r="J146" s="2" t="s">
        <v>1210</v>
      </c>
      <c r="K146" s="2" t="s">
        <v>19263</v>
      </c>
      <c r="L146" s="2"/>
      <c r="M146" s="2"/>
      <c r="N146" s="2"/>
      <c r="O146" s="2" t="s">
        <v>1208</v>
      </c>
      <c r="P146" s="2" t="s">
        <v>1209</v>
      </c>
      <c r="Q146" s="2" t="s">
        <v>1210</v>
      </c>
      <c r="R146" s="2" t="s">
        <v>11415</v>
      </c>
      <c r="S146" s="2" t="s">
        <v>44</v>
      </c>
      <c r="T146" s="2"/>
      <c r="U146" s="2" t="s">
        <v>3527</v>
      </c>
      <c r="V146" s="2" t="s">
        <v>46</v>
      </c>
      <c r="W146" s="2" t="s">
        <v>3527</v>
      </c>
      <c r="X146" s="2" t="s">
        <v>10787</v>
      </c>
      <c r="Y146" s="2" t="s">
        <v>10801</v>
      </c>
      <c r="Z146" s="2" t="s">
        <v>7864</v>
      </c>
      <c r="AA146" s="2">
        <v>90</v>
      </c>
      <c r="AB146" s="2">
        <v>0</v>
      </c>
      <c r="AC146" s="2" t="s">
        <v>10789</v>
      </c>
      <c r="AD146" s="2" t="s">
        <v>19265</v>
      </c>
      <c r="AE146" s="2" t="s">
        <v>18260</v>
      </c>
      <c r="AF146" s="2"/>
      <c r="AG146" s="2" t="s">
        <v>18250</v>
      </c>
    </row>
    <row r="147" spans="1:33" x14ac:dyDescent="0.45">
      <c r="A147" s="2" t="s">
        <v>19266</v>
      </c>
      <c r="B147" s="2" t="s">
        <v>19267</v>
      </c>
      <c r="C147" s="2" t="s">
        <v>19268</v>
      </c>
      <c r="D147" s="2" t="s">
        <v>19269</v>
      </c>
      <c r="E147" s="2" t="s">
        <v>19270</v>
      </c>
      <c r="F147" s="2"/>
      <c r="G147" s="2"/>
      <c r="H147" s="2" t="s">
        <v>2962</v>
      </c>
      <c r="I147" s="2" t="s">
        <v>73</v>
      </c>
      <c r="J147" s="2" t="s">
        <v>19271</v>
      </c>
      <c r="K147" s="2" t="s">
        <v>19269</v>
      </c>
      <c r="L147" s="2"/>
      <c r="M147" s="2"/>
      <c r="N147" s="2"/>
      <c r="O147" s="2" t="s">
        <v>2962</v>
      </c>
      <c r="P147" s="2" t="s">
        <v>73</v>
      </c>
      <c r="Q147" s="2" t="s">
        <v>19271</v>
      </c>
      <c r="R147" s="2" t="s">
        <v>12512</v>
      </c>
      <c r="S147" s="2" t="s">
        <v>44</v>
      </c>
      <c r="T147" s="2"/>
      <c r="U147" s="2" t="s">
        <v>3527</v>
      </c>
      <c r="V147" s="2" t="s">
        <v>46</v>
      </c>
      <c r="W147" s="2" t="s">
        <v>3527</v>
      </c>
      <c r="X147" s="2" t="s">
        <v>12417</v>
      </c>
      <c r="Y147" s="2" t="s">
        <v>10801</v>
      </c>
      <c r="Z147" s="2" t="s">
        <v>7864</v>
      </c>
      <c r="AA147" s="2">
        <v>90</v>
      </c>
      <c r="AB147" s="2">
        <v>0</v>
      </c>
      <c r="AC147" s="2" t="s">
        <v>10789</v>
      </c>
      <c r="AD147" s="2" t="s">
        <v>19272</v>
      </c>
      <c r="AE147" s="2" t="s">
        <v>18260</v>
      </c>
      <c r="AF147" s="2"/>
      <c r="AG147" s="2" t="s">
        <v>18250</v>
      </c>
    </row>
    <row r="148" spans="1:33" x14ac:dyDescent="0.45">
      <c r="A148" s="2" t="s">
        <v>19273</v>
      </c>
      <c r="B148" s="2" t="s">
        <v>19274</v>
      </c>
      <c r="C148" s="2" t="s">
        <v>19275</v>
      </c>
      <c r="D148" s="2" t="s">
        <v>19276</v>
      </c>
      <c r="E148" s="2" t="s">
        <v>19277</v>
      </c>
      <c r="F148" s="2"/>
      <c r="G148" s="2"/>
      <c r="H148" s="2" t="s">
        <v>384</v>
      </c>
      <c r="I148" s="2" t="s">
        <v>73</v>
      </c>
      <c r="J148" s="2" t="s">
        <v>832</v>
      </c>
      <c r="K148" s="2" t="s">
        <v>19276</v>
      </c>
      <c r="L148" s="2"/>
      <c r="M148" s="2"/>
      <c r="N148" s="2"/>
      <c r="O148" s="2" t="s">
        <v>384</v>
      </c>
      <c r="P148" s="2" t="s">
        <v>73</v>
      </c>
      <c r="Q148" s="2" t="s">
        <v>832</v>
      </c>
      <c r="R148" s="2" t="s">
        <v>14480</v>
      </c>
      <c r="S148" s="2" t="s">
        <v>44</v>
      </c>
      <c r="T148" s="2"/>
      <c r="U148" s="2" t="s">
        <v>3527</v>
      </c>
      <c r="V148" s="2" t="s">
        <v>46</v>
      </c>
      <c r="W148" s="2" t="s">
        <v>3527</v>
      </c>
      <c r="X148" s="2" t="s">
        <v>10787</v>
      </c>
      <c r="Y148" s="2" t="s">
        <v>10801</v>
      </c>
      <c r="Z148" s="2" t="s">
        <v>7864</v>
      </c>
      <c r="AA148" s="2">
        <v>90</v>
      </c>
      <c r="AB148" s="2">
        <v>0</v>
      </c>
      <c r="AC148" s="2" t="s">
        <v>10789</v>
      </c>
      <c r="AD148" s="2" t="s">
        <v>19278</v>
      </c>
      <c r="AE148" s="2" t="s">
        <v>18260</v>
      </c>
      <c r="AF148" s="2"/>
      <c r="AG148" s="2" t="s">
        <v>18250</v>
      </c>
    </row>
    <row r="149" spans="1:33" x14ac:dyDescent="0.45">
      <c r="A149" s="2" t="s">
        <v>19279</v>
      </c>
      <c r="B149" s="2" t="s">
        <v>19280</v>
      </c>
      <c r="C149" s="2" t="s">
        <v>19279</v>
      </c>
      <c r="D149" s="2" t="s">
        <v>19281</v>
      </c>
      <c r="E149" s="2" t="s">
        <v>19282</v>
      </c>
      <c r="F149" s="2"/>
      <c r="G149" s="2"/>
      <c r="H149" s="2" t="s">
        <v>9568</v>
      </c>
      <c r="I149" s="2" t="s">
        <v>73</v>
      </c>
      <c r="J149" s="2" t="s">
        <v>19283</v>
      </c>
      <c r="K149" s="2" t="s">
        <v>19284</v>
      </c>
      <c r="L149" s="2"/>
      <c r="M149" s="2"/>
      <c r="N149" s="2"/>
      <c r="O149" s="2" t="s">
        <v>9568</v>
      </c>
      <c r="P149" s="2" t="s">
        <v>73</v>
      </c>
      <c r="Q149" s="2" t="s">
        <v>19283</v>
      </c>
      <c r="R149" s="2" t="s">
        <v>2401</v>
      </c>
      <c r="S149" s="2" t="s">
        <v>44</v>
      </c>
      <c r="T149" s="2"/>
      <c r="U149" s="2" t="s">
        <v>3527</v>
      </c>
      <c r="V149" s="2" t="s">
        <v>46</v>
      </c>
      <c r="W149" s="2" t="s">
        <v>3527</v>
      </c>
      <c r="X149" s="2" t="s">
        <v>10787</v>
      </c>
      <c r="Y149" s="2" t="s">
        <v>10801</v>
      </c>
      <c r="Z149" s="2" t="s">
        <v>7864</v>
      </c>
      <c r="AA149" s="2">
        <v>90</v>
      </c>
      <c r="AB149" s="2">
        <v>0</v>
      </c>
      <c r="AC149" s="2" t="s">
        <v>10789</v>
      </c>
      <c r="AD149" s="2" t="s">
        <v>19285</v>
      </c>
      <c r="AE149" s="2" t="s">
        <v>18260</v>
      </c>
      <c r="AF149" s="2"/>
      <c r="AG149" s="2" t="s">
        <v>18250</v>
      </c>
    </row>
    <row r="150" spans="1:33" x14ac:dyDescent="0.45">
      <c r="A150" s="2" t="s">
        <v>19286</v>
      </c>
      <c r="B150" s="2" t="s">
        <v>19287</v>
      </c>
      <c r="C150" s="2" t="s">
        <v>19286</v>
      </c>
      <c r="D150" s="2" t="s">
        <v>19288</v>
      </c>
      <c r="E150" s="2" t="s">
        <v>19289</v>
      </c>
      <c r="F150" s="2" t="s">
        <v>19290</v>
      </c>
      <c r="G150" s="2" t="s">
        <v>19290</v>
      </c>
      <c r="H150" s="2" t="s">
        <v>19291</v>
      </c>
      <c r="I150" s="2" t="s">
        <v>1137</v>
      </c>
      <c r="J150" s="2" t="s">
        <v>19292</v>
      </c>
      <c r="K150" s="2"/>
      <c r="L150" s="2"/>
      <c r="M150" s="2"/>
      <c r="N150" s="2"/>
      <c r="O150" s="2"/>
      <c r="P150" s="2"/>
      <c r="Q150" s="2"/>
      <c r="R150" s="2" t="s">
        <v>13105</v>
      </c>
      <c r="S150" s="2" t="s">
        <v>44</v>
      </c>
      <c r="T150" s="2"/>
      <c r="U150" s="2" t="s">
        <v>3527</v>
      </c>
      <c r="V150" s="2" t="s">
        <v>46</v>
      </c>
      <c r="W150" s="2" t="s">
        <v>3527</v>
      </c>
      <c r="X150" s="2" t="s">
        <v>10787</v>
      </c>
      <c r="Y150" s="2" t="s">
        <v>10801</v>
      </c>
      <c r="Z150" s="2" t="s">
        <v>7864</v>
      </c>
      <c r="AA150" s="2">
        <v>100</v>
      </c>
      <c r="AB150" s="2">
        <v>5</v>
      </c>
      <c r="AC150" s="2" t="s">
        <v>10789</v>
      </c>
      <c r="AD150" s="2" t="s">
        <v>19293</v>
      </c>
      <c r="AE150" s="2" t="s">
        <v>18260</v>
      </c>
      <c r="AF150" s="2"/>
      <c r="AG150" s="2" t="s">
        <v>18250</v>
      </c>
    </row>
    <row r="151" spans="1:33" x14ac:dyDescent="0.45">
      <c r="A151" s="2" t="s">
        <v>19294</v>
      </c>
      <c r="B151" s="2" t="s">
        <v>19295</v>
      </c>
      <c r="C151" s="2" t="s">
        <v>19294</v>
      </c>
      <c r="D151" s="2" t="s">
        <v>19296</v>
      </c>
      <c r="E151" s="2" t="s">
        <v>19297</v>
      </c>
      <c r="F151" s="2" t="s">
        <v>19298</v>
      </c>
      <c r="G151" s="2" t="s">
        <v>19298</v>
      </c>
      <c r="H151" s="2" t="s">
        <v>216</v>
      </c>
      <c r="I151" s="2" t="s">
        <v>217</v>
      </c>
      <c r="J151" s="2" t="s">
        <v>11069</v>
      </c>
      <c r="K151" s="2"/>
      <c r="L151" s="2"/>
      <c r="M151" s="2"/>
      <c r="N151" s="2"/>
      <c r="O151" s="2"/>
      <c r="P151" s="2"/>
      <c r="Q151" s="2"/>
      <c r="R151" s="2" t="s">
        <v>3439</v>
      </c>
      <c r="S151" s="2" t="s">
        <v>44</v>
      </c>
      <c r="T151" s="2"/>
      <c r="U151" s="2" t="s">
        <v>3527</v>
      </c>
      <c r="V151" s="2" t="s">
        <v>46</v>
      </c>
      <c r="W151" s="2" t="s">
        <v>3527</v>
      </c>
      <c r="X151" s="2" t="s">
        <v>10787</v>
      </c>
      <c r="Y151" s="2" t="s">
        <v>10801</v>
      </c>
      <c r="Z151" s="2" t="s">
        <v>7864</v>
      </c>
      <c r="AA151" s="2">
        <v>100</v>
      </c>
      <c r="AB151" s="2">
        <v>10</v>
      </c>
      <c r="AC151" s="2" t="s">
        <v>10789</v>
      </c>
      <c r="AD151" s="2" t="s">
        <v>19299</v>
      </c>
      <c r="AE151" s="2" t="s">
        <v>18260</v>
      </c>
      <c r="AF151" s="2"/>
      <c r="AG151" s="2" t="s">
        <v>18250</v>
      </c>
    </row>
    <row r="152" spans="1:33" x14ac:dyDescent="0.45">
      <c r="A152" s="2" t="s">
        <v>19300</v>
      </c>
      <c r="B152" s="2" t="s">
        <v>19301</v>
      </c>
      <c r="C152" s="2" t="s">
        <v>19302</v>
      </c>
      <c r="D152" s="2" t="s">
        <v>19303</v>
      </c>
      <c r="E152" s="2" t="s">
        <v>19304</v>
      </c>
      <c r="F152" s="2" t="s">
        <v>19305</v>
      </c>
      <c r="G152" s="2" t="s">
        <v>19305</v>
      </c>
      <c r="H152" s="2" t="s">
        <v>19306</v>
      </c>
      <c r="I152" s="2" t="s">
        <v>217</v>
      </c>
      <c r="J152" s="2" t="s">
        <v>19307</v>
      </c>
      <c r="K152" s="2" t="s">
        <v>19303</v>
      </c>
      <c r="L152" s="2"/>
      <c r="M152" s="2"/>
      <c r="N152" s="2"/>
      <c r="O152" s="2" t="s">
        <v>19306</v>
      </c>
      <c r="P152" s="2" t="s">
        <v>217</v>
      </c>
      <c r="Q152" s="2" t="s">
        <v>19307</v>
      </c>
      <c r="R152" s="2" t="s">
        <v>8629</v>
      </c>
      <c r="S152" s="2" t="s">
        <v>44</v>
      </c>
      <c r="T152" s="2"/>
      <c r="U152" s="2" t="s">
        <v>821</v>
      </c>
      <c r="V152" s="2" t="s">
        <v>46</v>
      </c>
      <c r="W152" s="2" t="s">
        <v>821</v>
      </c>
      <c r="X152" s="2" t="s">
        <v>10787</v>
      </c>
      <c r="Y152" s="2" t="s">
        <v>10801</v>
      </c>
      <c r="Z152" s="2" t="s">
        <v>7864</v>
      </c>
      <c r="AA152" s="2">
        <v>100</v>
      </c>
      <c r="AB152" s="2">
        <v>12</v>
      </c>
      <c r="AC152" s="2" t="s">
        <v>10789</v>
      </c>
      <c r="AD152" s="2" t="s">
        <v>19308</v>
      </c>
      <c r="AE152" s="2" t="s">
        <v>18260</v>
      </c>
      <c r="AF152" s="2"/>
      <c r="AG152" s="2" t="s">
        <v>18250</v>
      </c>
    </row>
    <row r="153" spans="1:33" x14ac:dyDescent="0.45">
      <c r="A153" s="2" t="s">
        <v>19309</v>
      </c>
      <c r="B153" s="2" t="s">
        <v>19310</v>
      </c>
      <c r="C153" s="2" t="s">
        <v>19309</v>
      </c>
      <c r="D153" s="2" t="s">
        <v>19311</v>
      </c>
      <c r="E153" s="2" t="s">
        <v>19312</v>
      </c>
      <c r="F153" s="2"/>
      <c r="G153" s="2"/>
      <c r="H153" s="2" t="s">
        <v>72</v>
      </c>
      <c r="I153" s="2" t="s">
        <v>73</v>
      </c>
      <c r="J153" s="2" t="s">
        <v>140</v>
      </c>
      <c r="K153" s="2" t="s">
        <v>19313</v>
      </c>
      <c r="L153" s="2"/>
      <c r="M153" s="2"/>
      <c r="N153" s="2"/>
      <c r="O153" s="2" t="s">
        <v>72</v>
      </c>
      <c r="P153" s="2" t="s">
        <v>73</v>
      </c>
      <c r="Q153" s="2" t="s">
        <v>140</v>
      </c>
      <c r="R153" s="2" t="s">
        <v>6883</v>
      </c>
      <c r="S153" s="2" t="s">
        <v>44</v>
      </c>
      <c r="T153" s="2"/>
      <c r="U153" s="2" t="s">
        <v>3527</v>
      </c>
      <c r="V153" s="2" t="s">
        <v>46</v>
      </c>
      <c r="W153" s="2" t="s">
        <v>3527</v>
      </c>
      <c r="X153" s="2" t="s">
        <v>10787</v>
      </c>
      <c r="Y153" s="2" t="s">
        <v>10801</v>
      </c>
      <c r="Z153" s="2" t="s">
        <v>7864</v>
      </c>
      <c r="AA153" s="2">
        <v>90</v>
      </c>
      <c r="AB153" s="2">
        <v>0</v>
      </c>
      <c r="AC153" s="2" t="s">
        <v>10789</v>
      </c>
      <c r="AD153" s="2" t="s">
        <v>19314</v>
      </c>
      <c r="AE153" s="2" t="s">
        <v>18260</v>
      </c>
      <c r="AF153" s="2"/>
      <c r="AG153" s="2" t="s">
        <v>18250</v>
      </c>
    </row>
    <row r="154" spans="1:33" x14ac:dyDescent="0.45">
      <c r="A154" s="2" t="s">
        <v>19315</v>
      </c>
      <c r="B154" s="2" t="s">
        <v>19316</v>
      </c>
      <c r="C154" s="2" t="s">
        <v>19315</v>
      </c>
      <c r="D154" s="2" t="s">
        <v>19317</v>
      </c>
      <c r="E154" s="2" t="s">
        <v>19318</v>
      </c>
      <c r="F154" s="2"/>
      <c r="G154" s="2"/>
      <c r="H154" s="2" t="s">
        <v>72</v>
      </c>
      <c r="I154" s="2" t="s">
        <v>73</v>
      </c>
      <c r="J154" s="2" t="s">
        <v>5765</v>
      </c>
      <c r="K154" s="2" t="s">
        <v>19317</v>
      </c>
      <c r="L154" s="2"/>
      <c r="M154" s="2"/>
      <c r="N154" s="2"/>
      <c r="O154" s="2" t="s">
        <v>72</v>
      </c>
      <c r="P154" s="2" t="s">
        <v>73</v>
      </c>
      <c r="Q154" s="2" t="s">
        <v>5765</v>
      </c>
      <c r="R154" s="2" t="s">
        <v>13327</v>
      </c>
      <c r="S154" s="2" t="s">
        <v>44</v>
      </c>
      <c r="T154" s="2"/>
      <c r="U154" s="2" t="s">
        <v>3527</v>
      </c>
      <c r="V154" s="2" t="s">
        <v>46</v>
      </c>
      <c r="W154" s="2" t="s">
        <v>3527</v>
      </c>
      <c r="X154" s="2" t="s">
        <v>10787</v>
      </c>
      <c r="Y154" s="2" t="s">
        <v>10801</v>
      </c>
      <c r="Z154" s="2" t="s">
        <v>7864</v>
      </c>
      <c r="AA154" s="2">
        <v>90</v>
      </c>
      <c r="AB154" s="2">
        <v>0</v>
      </c>
      <c r="AC154" s="2" t="s">
        <v>10789</v>
      </c>
      <c r="AD154" s="2" t="s">
        <v>19319</v>
      </c>
      <c r="AE154" s="2" t="s">
        <v>18260</v>
      </c>
      <c r="AF154" s="2"/>
      <c r="AG154" s="2" t="s">
        <v>18250</v>
      </c>
    </row>
    <row r="155" spans="1:33" x14ac:dyDescent="0.45">
      <c r="A155" s="2" t="s">
        <v>19320</v>
      </c>
      <c r="B155" s="2" t="s">
        <v>19321</v>
      </c>
      <c r="C155" s="2" t="s">
        <v>19320</v>
      </c>
      <c r="D155" s="2" t="s">
        <v>19322</v>
      </c>
      <c r="E155" s="2" t="s">
        <v>19323</v>
      </c>
      <c r="F155" s="2" t="s">
        <v>19324</v>
      </c>
      <c r="G155" s="2" t="s">
        <v>19324</v>
      </c>
      <c r="H155" s="2" t="s">
        <v>651</v>
      </c>
      <c r="I155" s="2" t="s">
        <v>86</v>
      </c>
      <c r="J155" s="2" t="s">
        <v>4915</v>
      </c>
      <c r="K155" s="2" t="s">
        <v>19322</v>
      </c>
      <c r="L155" s="2"/>
      <c r="M155" s="2"/>
      <c r="N155" s="2"/>
      <c r="O155" s="2" t="s">
        <v>651</v>
      </c>
      <c r="P155" s="2" t="s">
        <v>86</v>
      </c>
      <c r="Q155" s="2" t="s">
        <v>4915</v>
      </c>
      <c r="R155" s="2" t="s">
        <v>8526</v>
      </c>
      <c r="S155" s="2" t="s">
        <v>44</v>
      </c>
      <c r="T155" s="2"/>
      <c r="U155" s="2" t="s">
        <v>821</v>
      </c>
      <c r="V155" s="2" t="s">
        <v>46</v>
      </c>
      <c r="W155" s="2" t="s">
        <v>821</v>
      </c>
      <c r="X155" s="2" t="s">
        <v>10787</v>
      </c>
      <c r="Y155" s="2" t="s">
        <v>10801</v>
      </c>
      <c r="Z155" s="2" t="s">
        <v>7864</v>
      </c>
      <c r="AA155" s="2">
        <v>100</v>
      </c>
      <c r="AB155" s="2">
        <v>17</v>
      </c>
      <c r="AC155" s="2" t="s">
        <v>10789</v>
      </c>
      <c r="AD155" s="2" t="s">
        <v>19325</v>
      </c>
      <c r="AE155" s="2" t="s">
        <v>18260</v>
      </c>
      <c r="AF155" s="2"/>
      <c r="AG155" s="2" t="s">
        <v>18250</v>
      </c>
    </row>
    <row r="156" spans="1:33" x14ac:dyDescent="0.45">
      <c r="A156" s="2" t="s">
        <v>19326</v>
      </c>
      <c r="B156" s="2" t="s">
        <v>19327</v>
      </c>
      <c r="C156" s="2" t="s">
        <v>19326</v>
      </c>
      <c r="D156" s="2" t="s">
        <v>19328</v>
      </c>
      <c r="E156" s="2" t="s">
        <v>19329</v>
      </c>
      <c r="F156" s="2"/>
      <c r="G156" s="2"/>
      <c r="H156" s="2" t="s">
        <v>5972</v>
      </c>
      <c r="I156" s="2" t="s">
        <v>221</v>
      </c>
      <c r="J156" s="2" t="s">
        <v>19330</v>
      </c>
      <c r="K156" s="2" t="s">
        <v>19328</v>
      </c>
      <c r="L156" s="2"/>
      <c r="M156" s="2"/>
      <c r="N156" s="2"/>
      <c r="O156" s="2" t="s">
        <v>5972</v>
      </c>
      <c r="P156" s="2" t="s">
        <v>221</v>
      </c>
      <c r="Q156" s="2" t="s">
        <v>19330</v>
      </c>
      <c r="R156" s="2" t="s">
        <v>7127</v>
      </c>
      <c r="S156" s="2" t="s">
        <v>44</v>
      </c>
      <c r="T156" s="2"/>
      <c r="U156" s="2" t="s">
        <v>3527</v>
      </c>
      <c r="V156" s="2" t="s">
        <v>46</v>
      </c>
      <c r="W156" s="2" t="s">
        <v>3527</v>
      </c>
      <c r="X156" s="2" t="s">
        <v>10787</v>
      </c>
      <c r="Y156" s="2" t="s">
        <v>10801</v>
      </c>
      <c r="Z156" s="2" t="s">
        <v>7864</v>
      </c>
      <c r="AA156" s="2">
        <v>90</v>
      </c>
      <c r="AB156" s="2">
        <v>0</v>
      </c>
      <c r="AC156" s="2" t="s">
        <v>10789</v>
      </c>
      <c r="AD156" s="2" t="s">
        <v>19331</v>
      </c>
      <c r="AE156" s="2" t="s">
        <v>18260</v>
      </c>
      <c r="AF156" s="2"/>
      <c r="AG156" s="2" t="s">
        <v>18250</v>
      </c>
    </row>
    <row r="157" spans="1:33" x14ac:dyDescent="0.45">
      <c r="A157" s="2" t="s">
        <v>19332</v>
      </c>
      <c r="B157" s="2" t="s">
        <v>19333</v>
      </c>
      <c r="C157" s="2" t="s">
        <v>19332</v>
      </c>
      <c r="D157" s="2" t="s">
        <v>19334</v>
      </c>
      <c r="E157" s="2" t="s">
        <v>19335</v>
      </c>
      <c r="F157" s="2"/>
      <c r="G157" s="2"/>
      <c r="H157" s="2" t="s">
        <v>85</v>
      </c>
      <c r="I157" s="2" t="s">
        <v>86</v>
      </c>
      <c r="J157" s="2" t="s">
        <v>3073</v>
      </c>
      <c r="K157" s="2" t="s">
        <v>19334</v>
      </c>
      <c r="L157" s="2"/>
      <c r="M157" s="2"/>
      <c r="N157" s="2"/>
      <c r="O157" s="2" t="s">
        <v>85</v>
      </c>
      <c r="P157" s="2" t="s">
        <v>86</v>
      </c>
      <c r="Q157" s="2" t="s">
        <v>3073</v>
      </c>
      <c r="R157" s="2" t="s">
        <v>19336</v>
      </c>
      <c r="S157" s="2" t="s">
        <v>44</v>
      </c>
      <c r="T157" s="2"/>
      <c r="U157" s="2" t="s">
        <v>821</v>
      </c>
      <c r="V157" s="2" t="s">
        <v>46</v>
      </c>
      <c r="W157" s="2" t="s">
        <v>821</v>
      </c>
      <c r="X157" s="2" t="s">
        <v>11537</v>
      </c>
      <c r="Y157" s="2" t="s">
        <v>10801</v>
      </c>
      <c r="Z157" s="2" t="s">
        <v>7864</v>
      </c>
      <c r="AA157" s="2">
        <v>90</v>
      </c>
      <c r="AB157" s="2">
        <v>7</v>
      </c>
      <c r="AC157" s="2" t="s">
        <v>10789</v>
      </c>
      <c r="AD157" s="2" t="s">
        <v>19337</v>
      </c>
      <c r="AE157" s="2" t="s">
        <v>18260</v>
      </c>
      <c r="AF157" s="2"/>
      <c r="AG157" s="2" t="s">
        <v>18250</v>
      </c>
    </row>
    <row r="158" spans="1:33" x14ac:dyDescent="0.45">
      <c r="A158" s="2" t="s">
        <v>19338</v>
      </c>
      <c r="B158" s="2" t="s">
        <v>19339</v>
      </c>
      <c r="C158" s="2" t="s">
        <v>19340</v>
      </c>
      <c r="D158" s="2" t="s">
        <v>19341</v>
      </c>
      <c r="E158" s="2" t="s">
        <v>19342</v>
      </c>
      <c r="F158" s="2"/>
      <c r="G158" s="2"/>
      <c r="H158" s="2" t="s">
        <v>312</v>
      </c>
      <c r="I158" s="2" t="s">
        <v>313</v>
      </c>
      <c r="J158" s="2" t="s">
        <v>11721</v>
      </c>
      <c r="K158" s="2" t="s">
        <v>19341</v>
      </c>
      <c r="L158" s="2"/>
      <c r="M158" s="2"/>
      <c r="N158" s="2"/>
      <c r="O158" s="2" t="s">
        <v>312</v>
      </c>
      <c r="P158" s="2" t="s">
        <v>313</v>
      </c>
      <c r="Q158" s="2" t="s">
        <v>11721</v>
      </c>
      <c r="R158" s="2" t="s">
        <v>7062</v>
      </c>
      <c r="S158" s="2" t="s">
        <v>44</v>
      </c>
      <c r="T158" s="2"/>
      <c r="U158" s="2" t="s">
        <v>3527</v>
      </c>
      <c r="V158" s="2" t="s">
        <v>46</v>
      </c>
      <c r="W158" s="2" t="s">
        <v>3527</v>
      </c>
      <c r="X158" s="2" t="s">
        <v>10787</v>
      </c>
      <c r="Y158" s="2" t="s">
        <v>10801</v>
      </c>
      <c r="Z158" s="2" t="s">
        <v>7864</v>
      </c>
      <c r="AA158" s="2">
        <v>90</v>
      </c>
      <c r="AB158" s="2">
        <v>0</v>
      </c>
      <c r="AC158" s="2" t="s">
        <v>10789</v>
      </c>
      <c r="AD158" s="2" t="s">
        <v>19343</v>
      </c>
      <c r="AE158" s="2" t="s">
        <v>18260</v>
      </c>
      <c r="AF158" s="2"/>
      <c r="AG158" s="2" t="s">
        <v>18250</v>
      </c>
    </row>
    <row r="159" spans="1:33" x14ac:dyDescent="0.45">
      <c r="A159" s="2" t="s">
        <v>19344</v>
      </c>
      <c r="B159" s="2" t="s">
        <v>19345</v>
      </c>
      <c r="C159" s="2" t="s">
        <v>19344</v>
      </c>
      <c r="D159" s="2" t="s">
        <v>19346</v>
      </c>
      <c r="E159" s="2" t="s">
        <v>19347</v>
      </c>
      <c r="F159" s="2"/>
      <c r="G159" s="2"/>
      <c r="H159" s="2" t="s">
        <v>12582</v>
      </c>
      <c r="I159" s="2" t="s">
        <v>313</v>
      </c>
      <c r="J159" s="2" t="s">
        <v>12583</v>
      </c>
      <c r="K159" s="2" t="s">
        <v>19346</v>
      </c>
      <c r="L159" s="2"/>
      <c r="M159" s="2"/>
      <c r="N159" s="2"/>
      <c r="O159" s="2" t="s">
        <v>12582</v>
      </c>
      <c r="P159" s="2" t="s">
        <v>313</v>
      </c>
      <c r="Q159" s="2" t="s">
        <v>12583</v>
      </c>
      <c r="R159" s="2" t="s">
        <v>19348</v>
      </c>
      <c r="S159" s="2" t="s">
        <v>44</v>
      </c>
      <c r="T159" s="2"/>
      <c r="U159" s="2" t="s">
        <v>3527</v>
      </c>
      <c r="V159" s="2" t="s">
        <v>46</v>
      </c>
      <c r="W159" s="2" t="s">
        <v>3527</v>
      </c>
      <c r="X159" s="2" t="s">
        <v>10787</v>
      </c>
      <c r="Y159" s="2" t="s">
        <v>10801</v>
      </c>
      <c r="Z159" s="2" t="s">
        <v>7864</v>
      </c>
      <c r="AA159" s="2">
        <v>90</v>
      </c>
      <c r="AB159" s="2">
        <v>0</v>
      </c>
      <c r="AC159" s="2" t="s">
        <v>10789</v>
      </c>
      <c r="AD159" s="2" t="s">
        <v>19349</v>
      </c>
      <c r="AE159" s="2" t="s">
        <v>18260</v>
      </c>
      <c r="AF159" s="2"/>
      <c r="AG159" s="2" t="s">
        <v>18250</v>
      </c>
    </row>
    <row r="160" spans="1:33" x14ac:dyDescent="0.45">
      <c r="A160" s="2" t="s">
        <v>19350</v>
      </c>
      <c r="B160" s="2" t="s">
        <v>19351</v>
      </c>
      <c r="C160" s="2" t="s">
        <v>19350</v>
      </c>
      <c r="D160" s="2" t="s">
        <v>19352</v>
      </c>
      <c r="E160" s="2" t="s">
        <v>19353</v>
      </c>
      <c r="F160" s="2" t="s">
        <v>19354</v>
      </c>
      <c r="G160" s="2" t="s">
        <v>19354</v>
      </c>
      <c r="H160" s="2" t="s">
        <v>12804</v>
      </c>
      <c r="I160" s="2" t="s">
        <v>221</v>
      </c>
      <c r="J160" s="2" t="s">
        <v>18614</v>
      </c>
      <c r="K160" s="2" t="s">
        <v>19355</v>
      </c>
      <c r="L160" s="2"/>
      <c r="M160" s="2"/>
      <c r="N160" s="2"/>
      <c r="O160" s="2" t="s">
        <v>12804</v>
      </c>
      <c r="P160" s="2" t="s">
        <v>221</v>
      </c>
      <c r="Q160" s="2" t="s">
        <v>18614</v>
      </c>
      <c r="R160" s="2" t="s">
        <v>3226</v>
      </c>
      <c r="S160" s="2" t="s">
        <v>44</v>
      </c>
      <c r="T160" s="2"/>
      <c r="U160" s="2" t="s">
        <v>821</v>
      </c>
      <c r="V160" s="2" t="s">
        <v>46</v>
      </c>
      <c r="W160" s="2" t="s">
        <v>821</v>
      </c>
      <c r="X160" s="2" t="s">
        <v>10787</v>
      </c>
      <c r="Y160" s="2" t="s">
        <v>10801</v>
      </c>
      <c r="Z160" s="2" t="s">
        <v>7864</v>
      </c>
      <c r="AA160" s="2">
        <v>100</v>
      </c>
      <c r="AB160" s="2">
        <v>12</v>
      </c>
      <c r="AC160" s="2" t="s">
        <v>10789</v>
      </c>
      <c r="AD160" s="2" t="s">
        <v>19356</v>
      </c>
      <c r="AE160" s="2" t="s">
        <v>18260</v>
      </c>
      <c r="AF160" s="2"/>
      <c r="AG160" s="2" t="s">
        <v>18250</v>
      </c>
    </row>
    <row r="161" spans="1:33" x14ac:dyDescent="0.45">
      <c r="A161" s="2" t="s">
        <v>19357</v>
      </c>
      <c r="B161" s="2" t="s">
        <v>19358</v>
      </c>
      <c r="C161" s="2" t="s">
        <v>19359</v>
      </c>
      <c r="D161" s="2" t="s">
        <v>19360</v>
      </c>
      <c r="E161" s="2" t="s">
        <v>19361</v>
      </c>
      <c r="F161" s="2" t="s">
        <v>3562</v>
      </c>
      <c r="G161" s="2" t="s">
        <v>3562</v>
      </c>
      <c r="H161" s="2" t="s">
        <v>6029</v>
      </c>
      <c r="I161" s="2" t="s">
        <v>278</v>
      </c>
      <c r="J161" s="2" t="s">
        <v>19362</v>
      </c>
      <c r="K161" s="2" t="s">
        <v>19360</v>
      </c>
      <c r="L161" s="2"/>
      <c r="M161" s="2"/>
      <c r="N161" s="2"/>
      <c r="O161" s="2" t="s">
        <v>6029</v>
      </c>
      <c r="P161" s="2" t="s">
        <v>278</v>
      </c>
      <c r="Q161" s="2" t="s">
        <v>19362</v>
      </c>
      <c r="R161" s="2" t="s">
        <v>885</v>
      </c>
      <c r="S161" s="2" t="s">
        <v>44</v>
      </c>
      <c r="T161" s="2"/>
      <c r="U161" s="2" t="s">
        <v>3527</v>
      </c>
      <c r="V161" s="2" t="s">
        <v>46</v>
      </c>
      <c r="W161" s="2" t="s">
        <v>3527</v>
      </c>
      <c r="X161" s="2" t="s">
        <v>10787</v>
      </c>
      <c r="Y161" s="2" t="s">
        <v>10801</v>
      </c>
      <c r="Z161" s="2" t="s">
        <v>7864</v>
      </c>
      <c r="AA161" s="2">
        <v>100</v>
      </c>
      <c r="AB161" s="2">
        <v>5</v>
      </c>
      <c r="AC161" s="2" t="s">
        <v>10789</v>
      </c>
      <c r="AD161" s="2" t="s">
        <v>19363</v>
      </c>
      <c r="AE161" s="2" t="s">
        <v>18260</v>
      </c>
      <c r="AF161" s="2"/>
      <c r="AG161" s="2" t="s">
        <v>18250</v>
      </c>
    </row>
    <row r="162" spans="1:33" x14ac:dyDescent="0.45">
      <c r="A162" s="2" t="s">
        <v>9538</v>
      </c>
      <c r="B162" s="2" t="s">
        <v>19364</v>
      </c>
      <c r="C162" s="2" t="s">
        <v>9538</v>
      </c>
      <c r="D162" s="2" t="s">
        <v>19365</v>
      </c>
      <c r="E162" s="2" t="s">
        <v>19366</v>
      </c>
      <c r="F162" s="2"/>
      <c r="G162" s="2"/>
      <c r="H162" s="2" t="s">
        <v>59</v>
      </c>
      <c r="I162" s="2" t="s">
        <v>60</v>
      </c>
      <c r="J162" s="2" t="s">
        <v>992</v>
      </c>
      <c r="K162" s="2" t="s">
        <v>19365</v>
      </c>
      <c r="L162" s="2"/>
      <c r="M162" s="2"/>
      <c r="N162" s="2"/>
      <c r="O162" s="2" t="s">
        <v>59</v>
      </c>
      <c r="P162" s="2" t="s">
        <v>60</v>
      </c>
      <c r="Q162" s="2" t="s">
        <v>992</v>
      </c>
      <c r="R162" s="2" t="s">
        <v>9649</v>
      </c>
      <c r="S162" s="2" t="s">
        <v>44</v>
      </c>
      <c r="T162" s="2"/>
      <c r="U162" s="2" t="s">
        <v>3527</v>
      </c>
      <c r="V162" s="2" t="s">
        <v>199</v>
      </c>
      <c r="W162" s="2" t="s">
        <v>3527</v>
      </c>
      <c r="X162" s="2" t="s">
        <v>10787</v>
      </c>
      <c r="Y162" s="2" t="s">
        <v>10801</v>
      </c>
      <c r="Z162" s="2" t="s">
        <v>7864</v>
      </c>
      <c r="AA162" s="2">
        <v>90</v>
      </c>
      <c r="AB162" s="2">
        <v>0</v>
      </c>
      <c r="AC162" s="2" t="s">
        <v>10789</v>
      </c>
      <c r="AD162" s="2" t="s">
        <v>19367</v>
      </c>
      <c r="AE162" s="2" t="s">
        <v>18260</v>
      </c>
      <c r="AF162" s="2"/>
      <c r="AG162" s="2" t="s">
        <v>18250</v>
      </c>
    </row>
    <row r="163" spans="1:33" x14ac:dyDescent="0.45">
      <c r="A163" s="2" t="s">
        <v>19368</v>
      </c>
      <c r="B163" s="2" t="s">
        <v>19369</v>
      </c>
      <c r="C163" s="2" t="s">
        <v>19370</v>
      </c>
      <c r="D163" s="2" t="s">
        <v>19371</v>
      </c>
      <c r="E163" s="2" t="s">
        <v>19372</v>
      </c>
      <c r="F163" s="2" t="s">
        <v>19373</v>
      </c>
      <c r="G163" s="2"/>
      <c r="H163" s="2" t="s">
        <v>8599</v>
      </c>
      <c r="I163" s="2" t="s">
        <v>40</v>
      </c>
      <c r="J163" s="2" t="s">
        <v>19374</v>
      </c>
      <c r="K163" s="2" t="s">
        <v>19371</v>
      </c>
      <c r="L163" s="2"/>
      <c r="M163" s="2"/>
      <c r="N163" s="2"/>
      <c r="O163" s="2" t="s">
        <v>8599</v>
      </c>
      <c r="P163" s="2" t="s">
        <v>40</v>
      </c>
      <c r="Q163" s="2" t="s">
        <v>19374</v>
      </c>
      <c r="R163" s="2" t="s">
        <v>5224</v>
      </c>
      <c r="S163" s="2" t="s">
        <v>44</v>
      </c>
      <c r="T163" s="2"/>
      <c r="U163" s="2" t="s">
        <v>3527</v>
      </c>
      <c r="V163" s="2" t="s">
        <v>46</v>
      </c>
      <c r="W163" s="2" t="s">
        <v>3527</v>
      </c>
      <c r="X163" s="2" t="s">
        <v>10787</v>
      </c>
      <c r="Y163" s="2" t="s">
        <v>10801</v>
      </c>
      <c r="Z163" s="2" t="s">
        <v>7864</v>
      </c>
      <c r="AA163" s="2">
        <v>100</v>
      </c>
      <c r="AB163" s="2">
        <v>5</v>
      </c>
      <c r="AC163" s="2" t="s">
        <v>10789</v>
      </c>
      <c r="AD163" s="2" t="s">
        <v>19375</v>
      </c>
      <c r="AE163" s="2" t="s">
        <v>18260</v>
      </c>
      <c r="AF163" s="2"/>
      <c r="AG163" s="2" t="s">
        <v>18250</v>
      </c>
    </row>
    <row r="164" spans="1:33" x14ac:dyDescent="0.45">
      <c r="A164" s="2" t="s">
        <v>19376</v>
      </c>
      <c r="B164" s="2" t="s">
        <v>19377</v>
      </c>
      <c r="C164" s="2" t="s">
        <v>19378</v>
      </c>
      <c r="D164" s="2" t="s">
        <v>19379</v>
      </c>
      <c r="E164" s="2" t="s">
        <v>19380</v>
      </c>
      <c r="F164" s="2" t="s">
        <v>19381</v>
      </c>
      <c r="G164" s="2" t="s">
        <v>19381</v>
      </c>
      <c r="H164" s="2" t="s">
        <v>174</v>
      </c>
      <c r="I164" s="2" t="s">
        <v>175</v>
      </c>
      <c r="J164" s="2" t="s">
        <v>19382</v>
      </c>
      <c r="K164" s="2" t="s">
        <v>19379</v>
      </c>
      <c r="L164" s="2"/>
      <c r="M164" s="2"/>
      <c r="N164" s="2"/>
      <c r="O164" s="2" t="s">
        <v>174</v>
      </c>
      <c r="P164" s="2" t="s">
        <v>175</v>
      </c>
      <c r="Q164" s="2" t="s">
        <v>19382</v>
      </c>
      <c r="R164" s="2" t="s">
        <v>5538</v>
      </c>
      <c r="S164" s="2" t="s">
        <v>44</v>
      </c>
      <c r="T164" s="2"/>
      <c r="U164" s="2" t="s">
        <v>3527</v>
      </c>
      <c r="V164" s="2" t="s">
        <v>46</v>
      </c>
      <c r="W164" s="2" t="s">
        <v>3527</v>
      </c>
      <c r="X164" s="2" t="s">
        <v>10787</v>
      </c>
      <c r="Y164" s="2" t="s">
        <v>10801</v>
      </c>
      <c r="Z164" s="2" t="s">
        <v>7864</v>
      </c>
      <c r="AA164" s="2">
        <v>100</v>
      </c>
      <c r="AB164" s="2">
        <v>10</v>
      </c>
      <c r="AC164" s="2" t="s">
        <v>10789</v>
      </c>
      <c r="AD164" s="2" t="s">
        <v>19383</v>
      </c>
      <c r="AE164" s="2" t="s">
        <v>18260</v>
      </c>
      <c r="AF164" s="2"/>
      <c r="AG164" s="2" t="s">
        <v>18250</v>
      </c>
    </row>
    <row r="165" spans="1:33" x14ac:dyDescent="0.45">
      <c r="A165" s="2" t="s">
        <v>7416</v>
      </c>
      <c r="B165" s="2" t="s">
        <v>19384</v>
      </c>
      <c r="C165" s="2" t="s">
        <v>7416</v>
      </c>
      <c r="D165" s="2" t="s">
        <v>19385</v>
      </c>
      <c r="E165" s="2" t="s">
        <v>19386</v>
      </c>
      <c r="F165" s="2"/>
      <c r="G165" s="2"/>
      <c r="H165" s="2" t="s">
        <v>220</v>
      </c>
      <c r="I165" s="2" t="s">
        <v>221</v>
      </c>
      <c r="J165" s="2" t="s">
        <v>19387</v>
      </c>
      <c r="K165" s="2" t="s">
        <v>19385</v>
      </c>
      <c r="L165" s="2"/>
      <c r="M165" s="2"/>
      <c r="N165" s="2"/>
      <c r="O165" s="2" t="s">
        <v>220</v>
      </c>
      <c r="P165" s="2" t="s">
        <v>221</v>
      </c>
      <c r="Q165" s="2" t="s">
        <v>19387</v>
      </c>
      <c r="R165" s="2" t="s">
        <v>19388</v>
      </c>
      <c r="S165" s="2" t="s">
        <v>44</v>
      </c>
      <c r="T165" s="2"/>
      <c r="U165" s="2" t="s">
        <v>821</v>
      </c>
      <c r="V165" s="2" t="s">
        <v>46</v>
      </c>
      <c r="W165" s="2" t="s">
        <v>821</v>
      </c>
      <c r="X165" s="2" t="s">
        <v>10787</v>
      </c>
      <c r="Y165" s="2" t="s">
        <v>10801</v>
      </c>
      <c r="Z165" s="2" t="s">
        <v>7864</v>
      </c>
      <c r="AA165" s="2">
        <v>90</v>
      </c>
      <c r="AB165" s="2">
        <v>2</v>
      </c>
      <c r="AC165" s="2" t="s">
        <v>10789</v>
      </c>
      <c r="AD165" s="2" t="s">
        <v>19389</v>
      </c>
      <c r="AE165" s="2" t="s">
        <v>18260</v>
      </c>
      <c r="AF165" s="2"/>
      <c r="AG165" s="2" t="s">
        <v>18250</v>
      </c>
    </row>
    <row r="166" spans="1:33" x14ac:dyDescent="0.45">
      <c r="A166" s="2" t="s">
        <v>19390</v>
      </c>
      <c r="B166" s="2" t="s">
        <v>19391</v>
      </c>
      <c r="C166" s="2" t="s">
        <v>19390</v>
      </c>
      <c r="D166" s="2" t="s">
        <v>19392</v>
      </c>
      <c r="E166" s="2" t="s">
        <v>19393</v>
      </c>
      <c r="F166" s="2"/>
      <c r="G166" s="2"/>
      <c r="H166" s="2" t="s">
        <v>5984</v>
      </c>
      <c r="I166" s="2" t="s">
        <v>313</v>
      </c>
      <c r="J166" s="2" t="s">
        <v>12889</v>
      </c>
      <c r="K166" s="2" t="s">
        <v>19392</v>
      </c>
      <c r="L166" s="2"/>
      <c r="M166" s="2"/>
      <c r="N166" s="2"/>
      <c r="O166" s="2" t="s">
        <v>5984</v>
      </c>
      <c r="P166" s="2" t="s">
        <v>313</v>
      </c>
      <c r="Q166" s="2" t="s">
        <v>12889</v>
      </c>
      <c r="R166" s="2" t="s">
        <v>16021</v>
      </c>
      <c r="S166" s="2" t="s">
        <v>44</v>
      </c>
      <c r="T166" s="2"/>
      <c r="U166" s="2" t="s">
        <v>3527</v>
      </c>
      <c r="V166" s="2" t="s">
        <v>46</v>
      </c>
      <c r="W166" s="2" t="s">
        <v>3527</v>
      </c>
      <c r="X166" s="2" t="s">
        <v>10787</v>
      </c>
      <c r="Y166" s="2" t="s">
        <v>10801</v>
      </c>
      <c r="Z166" s="2" t="s">
        <v>7864</v>
      </c>
      <c r="AA166" s="2">
        <v>90</v>
      </c>
      <c r="AB166" s="2">
        <v>0</v>
      </c>
      <c r="AC166" s="2" t="s">
        <v>10789</v>
      </c>
      <c r="AD166" s="2" t="s">
        <v>19394</v>
      </c>
      <c r="AE166" s="2" t="s">
        <v>18260</v>
      </c>
      <c r="AF166" s="2"/>
      <c r="AG166" s="2" t="s">
        <v>18250</v>
      </c>
    </row>
    <row r="167" spans="1:33" x14ac:dyDescent="0.45">
      <c r="A167" s="2" t="s">
        <v>19395</v>
      </c>
      <c r="B167" s="2" t="s">
        <v>19396</v>
      </c>
      <c r="C167" s="2" t="s">
        <v>19397</v>
      </c>
      <c r="D167" s="2" t="s">
        <v>19398</v>
      </c>
      <c r="E167" s="2" t="s">
        <v>19399</v>
      </c>
      <c r="F167" s="2" t="s">
        <v>19400</v>
      </c>
      <c r="G167" s="2" t="s">
        <v>19400</v>
      </c>
      <c r="H167" s="2" t="s">
        <v>39</v>
      </c>
      <c r="I167" s="2" t="s">
        <v>40</v>
      </c>
      <c r="J167" s="2" t="s">
        <v>9314</v>
      </c>
      <c r="K167" s="2" t="s">
        <v>19398</v>
      </c>
      <c r="L167" s="2"/>
      <c r="M167" s="2"/>
      <c r="N167" s="2"/>
      <c r="O167" s="2" t="s">
        <v>39</v>
      </c>
      <c r="P167" s="2" t="s">
        <v>40</v>
      </c>
      <c r="Q167" s="2" t="s">
        <v>9314</v>
      </c>
      <c r="R167" s="2" t="s">
        <v>9804</v>
      </c>
      <c r="S167" s="2" t="s">
        <v>44</v>
      </c>
      <c r="T167" s="2"/>
      <c r="U167" s="2" t="s">
        <v>821</v>
      </c>
      <c r="V167" s="2" t="s">
        <v>46</v>
      </c>
      <c r="W167" s="2" t="s">
        <v>821</v>
      </c>
      <c r="X167" s="2" t="s">
        <v>10787</v>
      </c>
      <c r="Y167" s="2" t="s">
        <v>10801</v>
      </c>
      <c r="Z167" s="2" t="s">
        <v>7864</v>
      </c>
      <c r="AA167" s="2">
        <v>100</v>
      </c>
      <c r="AB167" s="2">
        <v>17</v>
      </c>
      <c r="AC167" s="2" t="s">
        <v>10789</v>
      </c>
      <c r="AD167" s="2" t="s">
        <v>19401</v>
      </c>
      <c r="AE167" s="2" t="s">
        <v>18260</v>
      </c>
      <c r="AF167" s="2"/>
      <c r="AG167" s="2" t="s">
        <v>18250</v>
      </c>
    </row>
    <row r="168" spans="1:33" x14ac:dyDescent="0.45">
      <c r="A168" s="2" t="s">
        <v>19402</v>
      </c>
      <c r="B168" s="2" t="s">
        <v>19403</v>
      </c>
      <c r="C168" s="2" t="s">
        <v>19404</v>
      </c>
      <c r="D168" s="2" t="s">
        <v>19405</v>
      </c>
      <c r="E168" s="2" t="s">
        <v>19406</v>
      </c>
      <c r="F168" s="2" t="s">
        <v>19407</v>
      </c>
      <c r="G168" s="2" t="s">
        <v>19407</v>
      </c>
      <c r="H168" s="2" t="s">
        <v>1208</v>
      </c>
      <c r="I168" s="2" t="s">
        <v>1209</v>
      </c>
      <c r="J168" s="2" t="s">
        <v>1210</v>
      </c>
      <c r="K168" s="2" t="s">
        <v>19405</v>
      </c>
      <c r="L168" s="2"/>
      <c r="M168" s="2"/>
      <c r="N168" s="2"/>
      <c r="O168" s="2" t="s">
        <v>1208</v>
      </c>
      <c r="P168" s="2" t="s">
        <v>1209</v>
      </c>
      <c r="Q168" s="2" t="s">
        <v>1210</v>
      </c>
      <c r="R168" s="2" t="s">
        <v>3313</v>
      </c>
      <c r="S168" s="2" t="s">
        <v>44</v>
      </c>
      <c r="T168" s="2"/>
      <c r="U168" s="2" t="s">
        <v>3527</v>
      </c>
      <c r="V168" s="2" t="s">
        <v>46</v>
      </c>
      <c r="W168" s="2" t="s">
        <v>3527</v>
      </c>
      <c r="X168" s="2" t="s">
        <v>10787</v>
      </c>
      <c r="Y168" s="2" t="s">
        <v>10801</v>
      </c>
      <c r="Z168" s="2" t="s">
        <v>7864</v>
      </c>
      <c r="AA168" s="2">
        <v>100</v>
      </c>
      <c r="AB168" s="2">
        <v>5</v>
      </c>
      <c r="AC168" s="2" t="s">
        <v>10789</v>
      </c>
      <c r="AD168" s="2" t="s">
        <v>19408</v>
      </c>
      <c r="AE168" s="2" t="s">
        <v>18260</v>
      </c>
      <c r="AF168" s="2"/>
      <c r="AG168" s="2" t="s">
        <v>18250</v>
      </c>
    </row>
    <row r="169" spans="1:33" x14ac:dyDescent="0.45">
      <c r="A169" s="2" t="s">
        <v>19409</v>
      </c>
      <c r="B169" s="2" t="s">
        <v>19410</v>
      </c>
      <c r="C169" s="2" t="s">
        <v>19411</v>
      </c>
      <c r="D169" s="2" t="s">
        <v>19412</v>
      </c>
      <c r="E169" s="2" t="s">
        <v>19413</v>
      </c>
      <c r="F169" s="2" t="s">
        <v>19414</v>
      </c>
      <c r="G169" s="2"/>
      <c r="H169" s="2" t="s">
        <v>651</v>
      </c>
      <c r="I169" s="2" t="s">
        <v>86</v>
      </c>
      <c r="J169" s="2" t="s">
        <v>4731</v>
      </c>
      <c r="K169" s="2" t="s">
        <v>19412</v>
      </c>
      <c r="L169" s="2"/>
      <c r="M169" s="2"/>
      <c r="N169" s="2"/>
      <c r="O169" s="2" t="s">
        <v>651</v>
      </c>
      <c r="P169" s="2" t="s">
        <v>86</v>
      </c>
      <c r="Q169" s="2" t="s">
        <v>4731</v>
      </c>
      <c r="R169" s="2" t="s">
        <v>5286</v>
      </c>
      <c r="S169" s="2" t="s">
        <v>44</v>
      </c>
      <c r="T169" s="2"/>
      <c r="U169" s="2" t="s">
        <v>821</v>
      </c>
      <c r="V169" s="2" t="s">
        <v>46</v>
      </c>
      <c r="W169" s="2" t="s">
        <v>821</v>
      </c>
      <c r="X169" s="2" t="s">
        <v>11537</v>
      </c>
      <c r="Y169" s="2" t="s">
        <v>10801</v>
      </c>
      <c r="Z169" s="2" t="s">
        <v>7864</v>
      </c>
      <c r="AA169" s="2">
        <v>100</v>
      </c>
      <c r="AB169" s="2">
        <v>17</v>
      </c>
      <c r="AC169" s="2" t="s">
        <v>10789</v>
      </c>
      <c r="AD169" s="2" t="s">
        <v>19415</v>
      </c>
      <c r="AE169" s="2" t="s">
        <v>18260</v>
      </c>
      <c r="AF169" s="2"/>
      <c r="AG169" s="2" t="s">
        <v>18250</v>
      </c>
    </row>
    <row r="170" spans="1:33" x14ac:dyDescent="0.45">
      <c r="A170" s="2" t="s">
        <v>19416</v>
      </c>
      <c r="B170" s="2" t="s">
        <v>19417</v>
      </c>
      <c r="C170" s="2" t="s">
        <v>19418</v>
      </c>
      <c r="D170" s="2" t="s">
        <v>19419</v>
      </c>
      <c r="E170" s="2" t="s">
        <v>19420</v>
      </c>
      <c r="F170" s="2" t="s">
        <v>19421</v>
      </c>
      <c r="G170" s="2" t="s">
        <v>19421</v>
      </c>
      <c r="H170" s="2" t="s">
        <v>39</v>
      </c>
      <c r="I170" s="2" t="s">
        <v>40</v>
      </c>
      <c r="J170" s="2" t="s">
        <v>19422</v>
      </c>
      <c r="K170" s="2" t="s">
        <v>19419</v>
      </c>
      <c r="L170" s="2"/>
      <c r="M170" s="2"/>
      <c r="N170" s="2"/>
      <c r="O170" s="2" t="s">
        <v>39</v>
      </c>
      <c r="P170" s="2" t="s">
        <v>40</v>
      </c>
      <c r="Q170" s="2" t="s">
        <v>19422</v>
      </c>
      <c r="R170" s="2" t="s">
        <v>9560</v>
      </c>
      <c r="S170" s="2" t="s">
        <v>44</v>
      </c>
      <c r="T170" s="2"/>
      <c r="U170" s="2" t="s">
        <v>3527</v>
      </c>
      <c r="V170" s="2" t="s">
        <v>46</v>
      </c>
      <c r="W170" s="2" t="s">
        <v>3527</v>
      </c>
      <c r="X170" s="2" t="s">
        <v>10787</v>
      </c>
      <c r="Y170" s="2" t="s">
        <v>10801</v>
      </c>
      <c r="Z170" s="2" t="s">
        <v>7864</v>
      </c>
      <c r="AA170" s="2">
        <v>100</v>
      </c>
      <c r="AB170" s="2">
        <v>10</v>
      </c>
      <c r="AC170" s="2" t="s">
        <v>10789</v>
      </c>
      <c r="AD170" s="2" t="s">
        <v>19423</v>
      </c>
      <c r="AE170" s="2" t="s">
        <v>18260</v>
      </c>
      <c r="AF170" s="2"/>
      <c r="AG170" s="2" t="s">
        <v>18250</v>
      </c>
    </row>
    <row r="171" spans="1:33" x14ac:dyDescent="0.45">
      <c r="A171" s="2" t="s">
        <v>19424</v>
      </c>
      <c r="B171" s="2" t="s">
        <v>19425</v>
      </c>
      <c r="C171" s="2" t="s">
        <v>19426</v>
      </c>
      <c r="D171" s="2" t="s">
        <v>19427</v>
      </c>
      <c r="E171" s="2" t="s">
        <v>19428</v>
      </c>
      <c r="F171" s="2"/>
      <c r="G171" s="2"/>
      <c r="H171" s="2" t="s">
        <v>424</v>
      </c>
      <c r="I171" s="2" t="s">
        <v>217</v>
      </c>
      <c r="J171" s="2" t="s">
        <v>4292</v>
      </c>
      <c r="K171" s="2" t="s">
        <v>19427</v>
      </c>
      <c r="L171" s="2"/>
      <c r="M171" s="2"/>
      <c r="N171" s="2"/>
      <c r="O171" s="2" t="s">
        <v>424</v>
      </c>
      <c r="P171" s="2" t="s">
        <v>217</v>
      </c>
      <c r="Q171" s="2" t="s">
        <v>4292</v>
      </c>
      <c r="R171" s="2" t="s">
        <v>19429</v>
      </c>
      <c r="S171" s="2" t="s">
        <v>44</v>
      </c>
      <c r="T171" s="2"/>
      <c r="U171" s="2" t="s">
        <v>821</v>
      </c>
      <c r="V171" s="2" t="s">
        <v>46</v>
      </c>
      <c r="W171" s="2" t="s">
        <v>821</v>
      </c>
      <c r="X171" s="2" t="s">
        <v>10787</v>
      </c>
      <c r="Y171" s="2" t="s">
        <v>10801</v>
      </c>
      <c r="Z171" s="2" t="s">
        <v>7864</v>
      </c>
      <c r="AA171" s="2">
        <v>90</v>
      </c>
      <c r="AB171" s="2">
        <v>7</v>
      </c>
      <c r="AC171" s="2" t="s">
        <v>10789</v>
      </c>
      <c r="AD171" s="2" t="s">
        <v>19430</v>
      </c>
      <c r="AE171" s="2" t="s">
        <v>18260</v>
      </c>
      <c r="AF171" s="2"/>
      <c r="AG171" s="2" t="s">
        <v>18250</v>
      </c>
    </row>
    <row r="172" spans="1:33" x14ac:dyDescent="0.45">
      <c r="A172" s="2" t="s">
        <v>19431</v>
      </c>
      <c r="B172" s="2" t="s">
        <v>19432</v>
      </c>
      <c r="C172" s="2" t="s">
        <v>19431</v>
      </c>
      <c r="D172" s="2" t="s">
        <v>19433</v>
      </c>
      <c r="E172" s="2" t="s">
        <v>19434</v>
      </c>
      <c r="F172" s="2" t="s">
        <v>3562</v>
      </c>
      <c r="G172" s="2" t="s">
        <v>3562</v>
      </c>
      <c r="H172" s="2" t="s">
        <v>1188</v>
      </c>
      <c r="I172" s="2" t="s">
        <v>221</v>
      </c>
      <c r="J172" s="2" t="s">
        <v>1189</v>
      </c>
      <c r="K172" s="2" t="s">
        <v>19433</v>
      </c>
      <c r="L172" s="2"/>
      <c r="M172" s="2"/>
      <c r="N172" s="2"/>
      <c r="O172" s="2" t="s">
        <v>1188</v>
      </c>
      <c r="P172" s="2" t="s">
        <v>221</v>
      </c>
      <c r="Q172" s="2" t="s">
        <v>1189</v>
      </c>
      <c r="R172" s="2" t="s">
        <v>9528</v>
      </c>
      <c r="S172" s="2" t="s">
        <v>44</v>
      </c>
      <c r="T172" s="2"/>
      <c r="U172" s="2" t="s">
        <v>3527</v>
      </c>
      <c r="V172" s="2" t="s">
        <v>46</v>
      </c>
      <c r="W172" s="2" t="s">
        <v>3527</v>
      </c>
      <c r="X172" s="2" t="s">
        <v>10787</v>
      </c>
      <c r="Y172" s="2" t="s">
        <v>10801</v>
      </c>
      <c r="Z172" s="2" t="s">
        <v>7864</v>
      </c>
      <c r="AA172" s="2">
        <v>100</v>
      </c>
      <c r="AB172" s="2">
        <v>10</v>
      </c>
      <c r="AC172" s="2" t="s">
        <v>10789</v>
      </c>
      <c r="AD172" s="2" t="s">
        <v>19435</v>
      </c>
      <c r="AE172" s="2" t="s">
        <v>18260</v>
      </c>
      <c r="AF172" s="2"/>
      <c r="AG172" s="2" t="s">
        <v>18250</v>
      </c>
    </row>
    <row r="173" spans="1:33" x14ac:dyDescent="0.45">
      <c r="A173" s="2" t="s">
        <v>19436</v>
      </c>
      <c r="B173" s="2" t="s">
        <v>19437</v>
      </c>
      <c r="C173" s="2" t="s">
        <v>19438</v>
      </c>
      <c r="D173" s="2" t="s">
        <v>19439</v>
      </c>
      <c r="E173" s="2" t="s">
        <v>19440</v>
      </c>
      <c r="F173" s="2"/>
      <c r="G173" s="2"/>
      <c r="H173" s="2" t="s">
        <v>651</v>
      </c>
      <c r="I173" s="2" t="s">
        <v>86</v>
      </c>
      <c r="J173" s="2" t="s">
        <v>631</v>
      </c>
      <c r="K173" s="2" t="s">
        <v>19439</v>
      </c>
      <c r="L173" s="2"/>
      <c r="M173" s="2"/>
      <c r="N173" s="2"/>
      <c r="O173" s="2" t="s">
        <v>651</v>
      </c>
      <c r="P173" s="2" t="s">
        <v>86</v>
      </c>
      <c r="Q173" s="2" t="s">
        <v>631</v>
      </c>
      <c r="R173" s="2" t="s">
        <v>19441</v>
      </c>
      <c r="S173" s="2" t="s">
        <v>44</v>
      </c>
      <c r="T173" s="2"/>
      <c r="U173" s="2" t="s">
        <v>821</v>
      </c>
      <c r="V173" s="2" t="s">
        <v>46</v>
      </c>
      <c r="W173" s="2" t="s">
        <v>821</v>
      </c>
      <c r="X173" s="2" t="s">
        <v>12462</v>
      </c>
      <c r="Y173" s="2" t="s">
        <v>10801</v>
      </c>
      <c r="Z173" s="2" t="s">
        <v>7864</v>
      </c>
      <c r="AA173" s="2">
        <v>90</v>
      </c>
      <c r="AB173" s="2">
        <v>7</v>
      </c>
      <c r="AC173" s="2" t="s">
        <v>10789</v>
      </c>
      <c r="AD173" s="2" t="s">
        <v>19442</v>
      </c>
      <c r="AE173" s="2" t="s">
        <v>18260</v>
      </c>
      <c r="AF173" s="2"/>
      <c r="AG173" s="2" t="s">
        <v>18250</v>
      </c>
    </row>
    <row r="174" spans="1:33" x14ac:dyDescent="0.45">
      <c r="A174" s="2" t="s">
        <v>19443</v>
      </c>
      <c r="B174" s="2" t="s">
        <v>19444</v>
      </c>
      <c r="C174" s="2" t="s">
        <v>19445</v>
      </c>
      <c r="D174" s="2" t="s">
        <v>19446</v>
      </c>
      <c r="E174" s="2" t="s">
        <v>19447</v>
      </c>
      <c r="F174" s="2" t="s">
        <v>19448</v>
      </c>
      <c r="G174" s="2" t="s">
        <v>19448</v>
      </c>
      <c r="H174" s="2" t="s">
        <v>12830</v>
      </c>
      <c r="I174" s="2" t="s">
        <v>217</v>
      </c>
      <c r="J174" s="2" t="s">
        <v>19449</v>
      </c>
      <c r="K174" s="2" t="s">
        <v>19446</v>
      </c>
      <c r="L174" s="2"/>
      <c r="M174" s="2"/>
      <c r="N174" s="2"/>
      <c r="O174" s="2" t="s">
        <v>12830</v>
      </c>
      <c r="P174" s="2" t="s">
        <v>217</v>
      </c>
      <c r="Q174" s="2" t="s">
        <v>19449</v>
      </c>
      <c r="R174" s="2" t="s">
        <v>801</v>
      </c>
      <c r="S174" s="2" t="s">
        <v>44</v>
      </c>
      <c r="T174" s="2"/>
      <c r="U174" s="2" t="s">
        <v>3527</v>
      </c>
      <c r="V174" s="2" t="s">
        <v>46</v>
      </c>
      <c r="W174" s="2" t="s">
        <v>3527</v>
      </c>
      <c r="X174" s="2" t="s">
        <v>10787</v>
      </c>
      <c r="Y174" s="2" t="s">
        <v>10801</v>
      </c>
      <c r="Z174" s="2" t="s">
        <v>7864</v>
      </c>
      <c r="AA174" s="2">
        <v>100</v>
      </c>
      <c r="AB174" s="2">
        <v>5</v>
      </c>
      <c r="AC174" s="2" t="s">
        <v>10789</v>
      </c>
      <c r="AD174" s="2" t="s">
        <v>19450</v>
      </c>
      <c r="AE174" s="2" t="s">
        <v>18260</v>
      </c>
      <c r="AF174" s="2"/>
      <c r="AG174" s="2" t="s">
        <v>18250</v>
      </c>
    </row>
    <row r="175" spans="1:33" x14ac:dyDescent="0.45">
      <c r="A175" s="2" t="s">
        <v>19451</v>
      </c>
      <c r="B175" s="2" t="s">
        <v>19452</v>
      </c>
      <c r="C175" s="2" t="s">
        <v>19451</v>
      </c>
      <c r="D175" s="2" t="s">
        <v>19453</v>
      </c>
      <c r="E175" s="2" t="s">
        <v>19454</v>
      </c>
      <c r="F175" s="2" t="s">
        <v>19455</v>
      </c>
      <c r="G175" s="2" t="s">
        <v>19455</v>
      </c>
      <c r="H175" s="2" t="s">
        <v>1269</v>
      </c>
      <c r="I175" s="2" t="s">
        <v>1176</v>
      </c>
      <c r="J175" s="2" t="s">
        <v>18743</v>
      </c>
      <c r="K175" s="2" t="s">
        <v>19453</v>
      </c>
      <c r="L175" s="2"/>
      <c r="M175" s="2"/>
      <c r="N175" s="2"/>
      <c r="O175" s="2" t="s">
        <v>1269</v>
      </c>
      <c r="P175" s="2" t="s">
        <v>1176</v>
      </c>
      <c r="Q175" s="2" t="s">
        <v>18743</v>
      </c>
      <c r="R175" s="2" t="s">
        <v>5097</v>
      </c>
      <c r="S175" s="2" t="s">
        <v>44</v>
      </c>
      <c r="T175" s="2"/>
      <c r="U175" s="2" t="s">
        <v>821</v>
      </c>
      <c r="V175" s="2" t="s">
        <v>46</v>
      </c>
      <c r="W175" s="2" t="s">
        <v>821</v>
      </c>
      <c r="X175" s="2" t="s">
        <v>10787</v>
      </c>
      <c r="Y175" s="2" t="s">
        <v>10801</v>
      </c>
      <c r="Z175" s="2" t="s">
        <v>7864</v>
      </c>
      <c r="AA175" s="2">
        <v>100</v>
      </c>
      <c r="AB175" s="2">
        <v>12</v>
      </c>
      <c r="AC175" s="2" t="s">
        <v>10789</v>
      </c>
      <c r="AD175" s="2" t="s">
        <v>19456</v>
      </c>
      <c r="AE175" s="2" t="s">
        <v>18260</v>
      </c>
      <c r="AF175" s="2"/>
      <c r="AG175" s="2" t="s">
        <v>18250</v>
      </c>
    </row>
    <row r="176" spans="1:33" x14ac:dyDescent="0.45">
      <c r="A176" s="2" t="s">
        <v>19457</v>
      </c>
      <c r="B176" s="2" t="s">
        <v>19458</v>
      </c>
      <c r="C176" s="2" t="s">
        <v>19459</v>
      </c>
      <c r="D176" s="2" t="s">
        <v>19460</v>
      </c>
      <c r="E176" s="2" t="s">
        <v>19461</v>
      </c>
      <c r="F176" s="2" t="s">
        <v>709</v>
      </c>
      <c r="G176" s="2" t="s">
        <v>709</v>
      </c>
      <c r="H176" s="2" t="s">
        <v>290</v>
      </c>
      <c r="I176" s="2" t="s">
        <v>278</v>
      </c>
      <c r="J176" s="2" t="s">
        <v>13477</v>
      </c>
      <c r="K176" s="2" t="s">
        <v>19460</v>
      </c>
      <c r="L176" s="2"/>
      <c r="M176" s="2"/>
      <c r="N176" s="2"/>
      <c r="O176" s="2" t="s">
        <v>290</v>
      </c>
      <c r="P176" s="2" t="s">
        <v>278</v>
      </c>
      <c r="Q176" s="2" t="s">
        <v>13477</v>
      </c>
      <c r="R176" s="2" t="s">
        <v>3392</v>
      </c>
      <c r="S176" s="2" t="s">
        <v>44</v>
      </c>
      <c r="T176" s="2"/>
      <c r="U176" s="2" t="s">
        <v>3527</v>
      </c>
      <c r="V176" s="2" t="s">
        <v>46</v>
      </c>
      <c r="W176" s="2" t="s">
        <v>3527</v>
      </c>
      <c r="X176" s="2" t="s">
        <v>10787</v>
      </c>
      <c r="Y176" s="2" t="s">
        <v>10801</v>
      </c>
      <c r="Z176" s="2" t="s">
        <v>7864</v>
      </c>
      <c r="AA176" s="2">
        <v>100</v>
      </c>
      <c r="AB176" s="2">
        <v>10</v>
      </c>
      <c r="AC176" s="2" t="s">
        <v>10789</v>
      </c>
      <c r="AD176" s="2" t="s">
        <v>19462</v>
      </c>
      <c r="AE176" s="2" t="s">
        <v>18260</v>
      </c>
      <c r="AF176" s="2"/>
      <c r="AG176" s="2" t="s">
        <v>18250</v>
      </c>
    </row>
    <row r="177" spans="1:33" x14ac:dyDescent="0.45">
      <c r="A177" s="2" t="s">
        <v>19463</v>
      </c>
      <c r="B177" s="2" t="s">
        <v>19464</v>
      </c>
      <c r="C177" s="2" t="s">
        <v>19463</v>
      </c>
      <c r="D177" s="2" t="s">
        <v>19465</v>
      </c>
      <c r="E177" s="2" t="s">
        <v>19466</v>
      </c>
      <c r="F177" s="2" t="s">
        <v>19467</v>
      </c>
      <c r="G177" s="2"/>
      <c r="H177" s="2" t="s">
        <v>220</v>
      </c>
      <c r="I177" s="2" t="s">
        <v>221</v>
      </c>
      <c r="J177" s="2" t="s">
        <v>19468</v>
      </c>
      <c r="K177" s="2" t="s">
        <v>19465</v>
      </c>
      <c r="L177" s="2"/>
      <c r="M177" s="2"/>
      <c r="N177" s="2"/>
      <c r="O177" s="2" t="s">
        <v>220</v>
      </c>
      <c r="P177" s="2" t="s">
        <v>221</v>
      </c>
      <c r="Q177" s="2" t="s">
        <v>19468</v>
      </c>
      <c r="R177" s="2" t="s">
        <v>15557</v>
      </c>
      <c r="S177" s="2" t="s">
        <v>44</v>
      </c>
      <c r="T177" s="2"/>
      <c r="U177" s="2" t="s">
        <v>3527</v>
      </c>
      <c r="V177" s="2" t="s">
        <v>46</v>
      </c>
      <c r="W177" s="2" t="s">
        <v>3527</v>
      </c>
      <c r="X177" s="2" t="s">
        <v>10787</v>
      </c>
      <c r="Y177" s="2" t="s">
        <v>10801</v>
      </c>
      <c r="Z177" s="2" t="s">
        <v>7864</v>
      </c>
      <c r="AA177" s="2">
        <v>100</v>
      </c>
      <c r="AB177" s="2">
        <v>5</v>
      </c>
      <c r="AC177" s="2" t="s">
        <v>10789</v>
      </c>
      <c r="AD177" s="2" t="s">
        <v>19469</v>
      </c>
      <c r="AE177" s="2" t="s">
        <v>18260</v>
      </c>
      <c r="AF177" s="2"/>
      <c r="AG177" s="2" t="s">
        <v>18250</v>
      </c>
    </row>
    <row r="178" spans="1:33" x14ac:dyDescent="0.45">
      <c r="A178" s="2" t="s">
        <v>19470</v>
      </c>
      <c r="B178" s="2" t="s">
        <v>19471</v>
      </c>
      <c r="C178" s="2" t="s">
        <v>19472</v>
      </c>
      <c r="D178" s="2" t="s">
        <v>19473</v>
      </c>
      <c r="E178" s="2" t="s">
        <v>19474</v>
      </c>
      <c r="F178" s="2" t="s">
        <v>19475</v>
      </c>
      <c r="G178" s="2"/>
      <c r="H178" s="2" t="s">
        <v>85</v>
      </c>
      <c r="I178" s="2" t="s">
        <v>86</v>
      </c>
      <c r="J178" s="2" t="s">
        <v>9191</v>
      </c>
      <c r="K178" s="2" t="s">
        <v>19473</v>
      </c>
      <c r="L178" s="2"/>
      <c r="M178" s="2"/>
      <c r="N178" s="2"/>
      <c r="O178" s="2" t="s">
        <v>85</v>
      </c>
      <c r="P178" s="2" t="s">
        <v>86</v>
      </c>
      <c r="Q178" s="2" t="s">
        <v>9191</v>
      </c>
      <c r="R178" s="2" t="s">
        <v>7259</v>
      </c>
      <c r="S178" s="2" t="s">
        <v>44</v>
      </c>
      <c r="T178" s="2"/>
      <c r="U178" s="2" t="s">
        <v>821</v>
      </c>
      <c r="V178" s="2" t="s">
        <v>199</v>
      </c>
      <c r="W178" s="2" t="s">
        <v>821</v>
      </c>
      <c r="X178" s="2" t="s">
        <v>10787</v>
      </c>
      <c r="Y178" s="2" t="s">
        <v>10801</v>
      </c>
      <c r="Z178" s="2" t="s">
        <v>7864</v>
      </c>
      <c r="AA178" s="2">
        <v>100</v>
      </c>
      <c r="AB178" s="2">
        <v>27</v>
      </c>
      <c r="AC178" s="2" t="s">
        <v>10789</v>
      </c>
      <c r="AD178" s="2" t="s">
        <v>19476</v>
      </c>
      <c r="AE178" s="2" t="s">
        <v>18260</v>
      </c>
      <c r="AF178" s="2"/>
      <c r="AG178" s="2" t="s">
        <v>18250</v>
      </c>
    </row>
    <row r="179" spans="1:33" x14ac:dyDescent="0.45">
      <c r="A179" s="2" t="s">
        <v>19470</v>
      </c>
      <c r="B179" s="2" t="s">
        <v>19477</v>
      </c>
      <c r="C179" s="2" t="s">
        <v>19472</v>
      </c>
      <c r="D179" s="2" t="s">
        <v>19478</v>
      </c>
      <c r="E179" s="2" t="s">
        <v>19474</v>
      </c>
      <c r="F179" s="2" t="s">
        <v>19475</v>
      </c>
      <c r="G179" s="2"/>
      <c r="H179" s="2" t="s">
        <v>651</v>
      </c>
      <c r="I179" s="2" t="s">
        <v>86</v>
      </c>
      <c r="J179" s="2" t="s">
        <v>9191</v>
      </c>
      <c r="K179" s="2" t="s">
        <v>19479</v>
      </c>
      <c r="L179" s="2"/>
      <c r="M179" s="2"/>
      <c r="N179" s="2"/>
      <c r="O179" s="2" t="s">
        <v>651</v>
      </c>
      <c r="P179" s="2" t="s">
        <v>86</v>
      </c>
      <c r="Q179" s="2" t="s">
        <v>9191</v>
      </c>
      <c r="R179" s="2" t="s">
        <v>692</v>
      </c>
      <c r="S179" s="2" t="s">
        <v>44</v>
      </c>
      <c r="T179" s="2"/>
      <c r="U179" s="2" t="s">
        <v>3527</v>
      </c>
      <c r="V179" s="2" t="s">
        <v>199</v>
      </c>
      <c r="W179" s="2" t="s">
        <v>3527</v>
      </c>
      <c r="X179" s="2" t="s">
        <v>10787</v>
      </c>
      <c r="Y179" s="2" t="s">
        <v>10801</v>
      </c>
      <c r="Z179" s="2" t="s">
        <v>7864</v>
      </c>
      <c r="AA179" s="2">
        <v>100</v>
      </c>
      <c r="AB179" s="2">
        <v>20</v>
      </c>
      <c r="AC179" s="2" t="s">
        <v>10789</v>
      </c>
      <c r="AD179" s="2" t="s">
        <v>19476</v>
      </c>
      <c r="AE179" s="2" t="s">
        <v>18260</v>
      </c>
      <c r="AF179" s="2"/>
      <c r="AG179" s="2" t="s">
        <v>18250</v>
      </c>
    </row>
    <row r="180" spans="1:33" x14ac:dyDescent="0.45">
      <c r="A180" s="2" t="s">
        <v>19480</v>
      </c>
      <c r="B180" s="2" t="s">
        <v>19481</v>
      </c>
      <c r="C180" s="2" t="s">
        <v>19480</v>
      </c>
      <c r="D180" s="2" t="s">
        <v>19482</v>
      </c>
      <c r="E180" s="2" t="s">
        <v>19483</v>
      </c>
      <c r="F180" s="2" t="s">
        <v>19484</v>
      </c>
      <c r="G180" s="2"/>
      <c r="H180" s="2" t="s">
        <v>312</v>
      </c>
      <c r="I180" s="2" t="s">
        <v>313</v>
      </c>
      <c r="J180" s="2" t="s">
        <v>7647</v>
      </c>
      <c r="K180" s="2" t="s">
        <v>19482</v>
      </c>
      <c r="L180" s="2"/>
      <c r="M180" s="2"/>
      <c r="N180" s="2"/>
      <c r="O180" s="2" t="s">
        <v>312</v>
      </c>
      <c r="P180" s="2" t="s">
        <v>313</v>
      </c>
      <c r="Q180" s="2" t="s">
        <v>7647</v>
      </c>
      <c r="R180" s="2" t="s">
        <v>5913</v>
      </c>
      <c r="S180" s="2" t="s">
        <v>44</v>
      </c>
      <c r="T180" s="2"/>
      <c r="U180" s="2" t="s">
        <v>3527</v>
      </c>
      <c r="V180" s="2" t="s">
        <v>46</v>
      </c>
      <c r="W180" s="2" t="s">
        <v>3527</v>
      </c>
      <c r="X180" s="2" t="s">
        <v>10787</v>
      </c>
      <c r="Y180" s="2" t="s">
        <v>10801</v>
      </c>
      <c r="Z180" s="2" t="s">
        <v>7864</v>
      </c>
      <c r="AA180" s="2">
        <v>100</v>
      </c>
      <c r="AB180" s="2">
        <v>10</v>
      </c>
      <c r="AC180" s="2" t="s">
        <v>10789</v>
      </c>
      <c r="AD180" s="2" t="s">
        <v>19485</v>
      </c>
      <c r="AE180" s="2" t="s">
        <v>18260</v>
      </c>
      <c r="AF180" s="2"/>
      <c r="AG180" s="2" t="s">
        <v>18250</v>
      </c>
    </row>
    <row r="181" spans="1:33" x14ac:dyDescent="0.45">
      <c r="A181" s="2" t="s">
        <v>19486</v>
      </c>
      <c r="B181" s="2" t="s">
        <v>19487</v>
      </c>
      <c r="C181" s="2" t="s">
        <v>19488</v>
      </c>
      <c r="D181" s="2" t="s">
        <v>19489</v>
      </c>
      <c r="E181" s="2" t="s">
        <v>19490</v>
      </c>
      <c r="F181" s="2" t="s">
        <v>19491</v>
      </c>
      <c r="G181" s="2"/>
      <c r="H181" s="2" t="s">
        <v>39</v>
      </c>
      <c r="I181" s="2" t="s">
        <v>40</v>
      </c>
      <c r="J181" s="2" t="s">
        <v>19492</v>
      </c>
      <c r="K181" s="2" t="s">
        <v>19489</v>
      </c>
      <c r="L181" s="2"/>
      <c r="M181" s="2"/>
      <c r="N181" s="2"/>
      <c r="O181" s="2" t="s">
        <v>39</v>
      </c>
      <c r="P181" s="2" t="s">
        <v>40</v>
      </c>
      <c r="Q181" s="2" t="s">
        <v>19492</v>
      </c>
      <c r="R181" s="2" t="s">
        <v>4965</v>
      </c>
      <c r="S181" s="2" t="s">
        <v>44</v>
      </c>
      <c r="T181" s="2"/>
      <c r="U181" s="2" t="s">
        <v>821</v>
      </c>
      <c r="V181" s="2" t="s">
        <v>46</v>
      </c>
      <c r="W181" s="2" t="s">
        <v>821</v>
      </c>
      <c r="X181" s="2" t="s">
        <v>10787</v>
      </c>
      <c r="Y181" s="2" t="s">
        <v>10801</v>
      </c>
      <c r="Z181" s="2" t="s">
        <v>7864</v>
      </c>
      <c r="AA181" s="2">
        <v>100</v>
      </c>
      <c r="AB181" s="2">
        <v>17</v>
      </c>
      <c r="AC181" s="2" t="s">
        <v>10789</v>
      </c>
      <c r="AD181" s="2" t="s">
        <v>19493</v>
      </c>
      <c r="AE181" s="2" t="s">
        <v>18260</v>
      </c>
      <c r="AF181" s="2"/>
      <c r="AG181" s="2" t="s">
        <v>18250</v>
      </c>
    </row>
    <row r="182" spans="1:33" x14ac:dyDescent="0.45">
      <c r="A182" s="2" t="s">
        <v>19494</v>
      </c>
      <c r="B182" s="2" t="s">
        <v>19495</v>
      </c>
      <c r="C182" s="2" t="s">
        <v>19496</v>
      </c>
      <c r="D182" s="2" t="s">
        <v>19497</v>
      </c>
      <c r="E182" s="2" t="s">
        <v>19498</v>
      </c>
      <c r="F182" s="2"/>
      <c r="G182" s="2"/>
      <c r="H182" s="2" t="s">
        <v>424</v>
      </c>
      <c r="I182" s="2" t="s">
        <v>217</v>
      </c>
      <c r="J182" s="2" t="s">
        <v>1151</v>
      </c>
      <c r="K182" s="2" t="s">
        <v>19497</v>
      </c>
      <c r="L182" s="2"/>
      <c r="M182" s="2"/>
      <c r="N182" s="2"/>
      <c r="O182" s="2" t="s">
        <v>424</v>
      </c>
      <c r="P182" s="2" t="s">
        <v>217</v>
      </c>
      <c r="Q182" s="2" t="s">
        <v>1151</v>
      </c>
      <c r="R182" s="2" t="s">
        <v>13655</v>
      </c>
      <c r="S182" s="2" t="s">
        <v>44</v>
      </c>
      <c r="T182" s="2"/>
      <c r="U182" s="2" t="s">
        <v>3527</v>
      </c>
      <c r="V182" s="2" t="s">
        <v>46</v>
      </c>
      <c r="W182" s="2" t="s">
        <v>3527</v>
      </c>
      <c r="X182" s="2" t="s">
        <v>10787</v>
      </c>
      <c r="Y182" s="2" t="s">
        <v>10801</v>
      </c>
      <c r="Z182" s="2" t="s">
        <v>7864</v>
      </c>
      <c r="AA182" s="2">
        <v>90</v>
      </c>
      <c r="AB182" s="2">
        <v>0</v>
      </c>
      <c r="AC182" s="2" t="s">
        <v>10789</v>
      </c>
      <c r="AD182" s="2" t="s">
        <v>19499</v>
      </c>
      <c r="AE182" s="2" t="s">
        <v>18260</v>
      </c>
      <c r="AF182" s="2"/>
      <c r="AG182" s="2" t="s">
        <v>18250</v>
      </c>
    </row>
    <row r="183" spans="1:33" x14ac:dyDescent="0.45">
      <c r="A183" s="2" t="s">
        <v>19500</v>
      </c>
      <c r="B183" s="2" t="s">
        <v>19501</v>
      </c>
      <c r="C183" s="2" t="s">
        <v>19502</v>
      </c>
      <c r="D183" s="2" t="s">
        <v>19503</v>
      </c>
      <c r="E183" s="2" t="s">
        <v>19504</v>
      </c>
      <c r="F183" s="2" t="s">
        <v>19505</v>
      </c>
      <c r="G183" s="2"/>
      <c r="H183" s="2" t="s">
        <v>312</v>
      </c>
      <c r="I183" s="2" t="s">
        <v>313</v>
      </c>
      <c r="J183" s="2" t="s">
        <v>12386</v>
      </c>
      <c r="K183" s="2" t="s">
        <v>19503</v>
      </c>
      <c r="L183" s="2"/>
      <c r="M183" s="2"/>
      <c r="N183" s="2"/>
      <c r="O183" s="2" t="s">
        <v>312</v>
      </c>
      <c r="P183" s="2" t="s">
        <v>313</v>
      </c>
      <c r="Q183" s="2" t="s">
        <v>12386</v>
      </c>
      <c r="R183" s="2" t="s">
        <v>11905</v>
      </c>
      <c r="S183" s="2" t="s">
        <v>44</v>
      </c>
      <c r="T183" s="2"/>
      <c r="U183" s="2" t="s">
        <v>3527</v>
      </c>
      <c r="V183" s="2" t="s">
        <v>46</v>
      </c>
      <c r="W183" s="2" t="s">
        <v>3527</v>
      </c>
      <c r="X183" s="2" t="s">
        <v>10787</v>
      </c>
      <c r="Y183" s="2" t="s">
        <v>10801</v>
      </c>
      <c r="Z183" s="2" t="s">
        <v>7864</v>
      </c>
      <c r="AA183" s="2">
        <v>100</v>
      </c>
      <c r="AB183" s="2">
        <v>10</v>
      </c>
      <c r="AC183" s="2" t="s">
        <v>10789</v>
      </c>
      <c r="AD183" s="2" t="s">
        <v>19506</v>
      </c>
      <c r="AE183" s="2" t="s">
        <v>18260</v>
      </c>
      <c r="AF183" s="2"/>
      <c r="AG183" s="2" t="s">
        <v>18250</v>
      </c>
    </row>
    <row r="184" spans="1:33" x14ac:dyDescent="0.45">
      <c r="A184" s="2" t="s">
        <v>19507</v>
      </c>
      <c r="B184" s="2" t="s">
        <v>19508</v>
      </c>
      <c r="C184" s="2" t="s">
        <v>19507</v>
      </c>
      <c r="D184" s="2" t="s">
        <v>19509</v>
      </c>
      <c r="E184" s="2" t="s">
        <v>19510</v>
      </c>
      <c r="F184" s="2" t="s">
        <v>19511</v>
      </c>
      <c r="G184" s="2"/>
      <c r="H184" s="2" t="s">
        <v>72</v>
      </c>
      <c r="I184" s="2" t="s">
        <v>73</v>
      </c>
      <c r="J184" s="2" t="s">
        <v>1896</v>
      </c>
      <c r="K184" s="2" t="s">
        <v>19509</v>
      </c>
      <c r="L184" s="2"/>
      <c r="M184" s="2"/>
      <c r="N184" s="2"/>
      <c r="O184" s="2" t="s">
        <v>72</v>
      </c>
      <c r="P184" s="2" t="s">
        <v>73</v>
      </c>
      <c r="Q184" s="2" t="s">
        <v>1896</v>
      </c>
      <c r="R184" s="2" t="s">
        <v>13448</v>
      </c>
      <c r="S184" s="2" t="s">
        <v>44</v>
      </c>
      <c r="T184" s="2"/>
      <c r="U184" s="2" t="s">
        <v>821</v>
      </c>
      <c r="V184" s="2" t="s">
        <v>46</v>
      </c>
      <c r="W184" s="2" t="s">
        <v>821</v>
      </c>
      <c r="X184" s="2" t="s">
        <v>10787</v>
      </c>
      <c r="Y184" s="2" t="s">
        <v>10801</v>
      </c>
      <c r="Z184" s="2" t="s">
        <v>7864</v>
      </c>
      <c r="AA184" s="2">
        <v>100</v>
      </c>
      <c r="AB184" s="2">
        <v>17</v>
      </c>
      <c r="AC184" s="2" t="s">
        <v>10789</v>
      </c>
      <c r="AD184" s="2" t="s">
        <v>19512</v>
      </c>
      <c r="AE184" s="2" t="s">
        <v>18260</v>
      </c>
      <c r="AF184" s="2"/>
      <c r="AG184" s="2" t="s">
        <v>18250</v>
      </c>
    </row>
    <row r="185" spans="1:33" x14ac:dyDescent="0.45">
      <c r="A185" s="2" t="s">
        <v>19513</v>
      </c>
      <c r="B185" s="2" t="s">
        <v>19514</v>
      </c>
      <c r="C185" s="2" t="s">
        <v>19515</v>
      </c>
      <c r="D185" s="2" t="s">
        <v>19516</v>
      </c>
      <c r="E185" s="2" t="s">
        <v>19517</v>
      </c>
      <c r="F185" s="2" t="s">
        <v>19518</v>
      </c>
      <c r="G185" s="2" t="s">
        <v>19518</v>
      </c>
      <c r="H185" s="2" t="s">
        <v>1136</v>
      </c>
      <c r="I185" s="2" t="s">
        <v>1137</v>
      </c>
      <c r="J185" s="2" t="s">
        <v>12962</v>
      </c>
      <c r="K185" s="2" t="s">
        <v>19516</v>
      </c>
      <c r="L185" s="2"/>
      <c r="M185" s="2"/>
      <c r="N185" s="2"/>
      <c r="O185" s="2" t="s">
        <v>1136</v>
      </c>
      <c r="P185" s="2" t="s">
        <v>1137</v>
      </c>
      <c r="Q185" s="2" t="s">
        <v>12962</v>
      </c>
      <c r="R185" s="2" t="s">
        <v>10190</v>
      </c>
      <c r="S185" s="2" t="s">
        <v>44</v>
      </c>
      <c r="T185" s="2"/>
      <c r="U185" s="2" t="s">
        <v>3527</v>
      </c>
      <c r="V185" s="2" t="s">
        <v>46</v>
      </c>
      <c r="W185" s="2" t="s">
        <v>3527</v>
      </c>
      <c r="X185" s="2" t="s">
        <v>10787</v>
      </c>
      <c r="Y185" s="2" t="s">
        <v>10801</v>
      </c>
      <c r="Z185" s="2" t="s">
        <v>7864</v>
      </c>
      <c r="AA185" s="2">
        <v>100</v>
      </c>
      <c r="AB185" s="2">
        <v>5</v>
      </c>
      <c r="AC185" s="2" t="s">
        <v>10789</v>
      </c>
      <c r="AD185" s="2" t="s">
        <v>19519</v>
      </c>
      <c r="AE185" s="2" t="s">
        <v>18260</v>
      </c>
      <c r="AF185" s="2"/>
      <c r="AG185" s="2" t="s">
        <v>18250</v>
      </c>
    </row>
    <row r="186" spans="1:33" x14ac:dyDescent="0.45">
      <c r="A186" s="2" t="s">
        <v>19520</v>
      </c>
      <c r="B186" s="2" t="s">
        <v>19521</v>
      </c>
      <c r="C186" s="2" t="s">
        <v>19520</v>
      </c>
      <c r="D186" s="2" t="s">
        <v>19522</v>
      </c>
      <c r="E186" s="2" t="s">
        <v>19523</v>
      </c>
      <c r="F186" s="2"/>
      <c r="G186" s="2"/>
      <c r="H186" s="2" t="s">
        <v>10776</v>
      </c>
      <c r="I186" s="2" t="s">
        <v>313</v>
      </c>
      <c r="J186" s="2" t="s">
        <v>19524</v>
      </c>
      <c r="K186" s="2" t="s">
        <v>19522</v>
      </c>
      <c r="L186" s="2"/>
      <c r="M186" s="2"/>
      <c r="N186" s="2"/>
      <c r="O186" s="2" t="s">
        <v>10776</v>
      </c>
      <c r="P186" s="2" t="s">
        <v>313</v>
      </c>
      <c r="Q186" s="2" t="s">
        <v>19524</v>
      </c>
      <c r="R186" s="2" t="s">
        <v>2993</v>
      </c>
      <c r="S186" s="2" t="s">
        <v>44</v>
      </c>
      <c r="T186" s="2"/>
      <c r="U186" s="2" t="s">
        <v>3527</v>
      </c>
      <c r="V186" s="2" t="s">
        <v>46</v>
      </c>
      <c r="W186" s="2" t="s">
        <v>3527</v>
      </c>
      <c r="X186" s="2" t="s">
        <v>10787</v>
      </c>
      <c r="Y186" s="2" t="s">
        <v>10801</v>
      </c>
      <c r="Z186" s="2" t="s">
        <v>7864</v>
      </c>
      <c r="AA186" s="2">
        <v>90</v>
      </c>
      <c r="AB186" s="2">
        <v>0</v>
      </c>
      <c r="AC186" s="2" t="s">
        <v>10789</v>
      </c>
      <c r="AD186" s="2" t="s">
        <v>19525</v>
      </c>
      <c r="AE186" s="2" t="s">
        <v>18260</v>
      </c>
      <c r="AF186" s="2"/>
      <c r="AG186" s="2" t="s">
        <v>18250</v>
      </c>
    </row>
    <row r="187" spans="1:33" x14ac:dyDescent="0.45">
      <c r="A187" s="2" t="s">
        <v>19526</v>
      </c>
      <c r="B187" s="2" t="s">
        <v>19527</v>
      </c>
      <c r="C187" s="2" t="s">
        <v>19526</v>
      </c>
      <c r="D187" s="2" t="s">
        <v>19528</v>
      </c>
      <c r="E187" s="2" t="s">
        <v>19529</v>
      </c>
      <c r="F187" s="2" t="s">
        <v>19530</v>
      </c>
      <c r="G187" s="2" t="s">
        <v>19530</v>
      </c>
      <c r="H187" s="2" t="s">
        <v>216</v>
      </c>
      <c r="I187" s="2" t="s">
        <v>217</v>
      </c>
      <c r="J187" s="2" t="s">
        <v>19531</v>
      </c>
      <c r="K187" s="2" t="s">
        <v>19528</v>
      </c>
      <c r="L187" s="2"/>
      <c r="M187" s="2"/>
      <c r="N187" s="2"/>
      <c r="O187" s="2" t="s">
        <v>216</v>
      </c>
      <c r="P187" s="2" t="s">
        <v>217</v>
      </c>
      <c r="Q187" s="2" t="s">
        <v>19531</v>
      </c>
      <c r="R187" s="2" t="s">
        <v>3304</v>
      </c>
      <c r="S187" s="2" t="s">
        <v>44</v>
      </c>
      <c r="T187" s="2"/>
      <c r="U187" s="2" t="s">
        <v>821</v>
      </c>
      <c r="V187" s="2" t="s">
        <v>46</v>
      </c>
      <c r="W187" s="2" t="s">
        <v>821</v>
      </c>
      <c r="X187" s="2" t="s">
        <v>10787</v>
      </c>
      <c r="Y187" s="2" t="s">
        <v>10801</v>
      </c>
      <c r="Z187" s="2" t="s">
        <v>7864</v>
      </c>
      <c r="AA187" s="2">
        <v>100</v>
      </c>
      <c r="AB187" s="2">
        <v>17</v>
      </c>
      <c r="AC187" s="2" t="s">
        <v>10789</v>
      </c>
      <c r="AD187" s="2" t="s">
        <v>19532</v>
      </c>
      <c r="AE187" s="2" t="s">
        <v>18260</v>
      </c>
      <c r="AF187" s="2"/>
      <c r="AG187" s="2" t="s">
        <v>18250</v>
      </c>
    </row>
    <row r="188" spans="1:33" x14ac:dyDescent="0.45">
      <c r="A188" s="2" t="s">
        <v>19533</v>
      </c>
      <c r="B188" s="2" t="s">
        <v>19534</v>
      </c>
      <c r="C188" s="2" t="s">
        <v>19533</v>
      </c>
      <c r="D188" s="2" t="s">
        <v>19535</v>
      </c>
      <c r="E188" s="2" t="s">
        <v>19536</v>
      </c>
      <c r="F188" s="2" t="s">
        <v>19537</v>
      </c>
      <c r="G188" s="2" t="s">
        <v>19537</v>
      </c>
      <c r="H188" s="2" t="s">
        <v>1136</v>
      </c>
      <c r="I188" s="2" t="s">
        <v>1137</v>
      </c>
      <c r="J188" s="2" t="s">
        <v>19538</v>
      </c>
      <c r="K188" s="2" t="s">
        <v>19535</v>
      </c>
      <c r="L188" s="2"/>
      <c r="M188" s="2"/>
      <c r="N188" s="2"/>
      <c r="O188" s="2" t="s">
        <v>1136</v>
      </c>
      <c r="P188" s="2" t="s">
        <v>1137</v>
      </c>
      <c r="Q188" s="2" t="s">
        <v>19538</v>
      </c>
      <c r="R188" s="2" t="s">
        <v>3246</v>
      </c>
      <c r="S188" s="2" t="s">
        <v>44</v>
      </c>
      <c r="T188" s="2"/>
      <c r="U188" s="2" t="s">
        <v>821</v>
      </c>
      <c r="V188" s="2" t="s">
        <v>199</v>
      </c>
      <c r="W188" s="2" t="s">
        <v>821</v>
      </c>
      <c r="X188" s="2" t="s">
        <v>10787</v>
      </c>
      <c r="Y188" s="2" t="s">
        <v>10801</v>
      </c>
      <c r="Z188" s="2" t="s">
        <v>7864</v>
      </c>
      <c r="AA188" s="2">
        <v>100</v>
      </c>
      <c r="AB188" s="2">
        <v>22</v>
      </c>
      <c r="AC188" s="2" t="s">
        <v>10789</v>
      </c>
      <c r="AD188" s="2" t="s">
        <v>19539</v>
      </c>
      <c r="AE188" s="2" t="s">
        <v>18260</v>
      </c>
      <c r="AF188" s="2"/>
      <c r="AG188" s="2" t="s">
        <v>18250</v>
      </c>
    </row>
    <row r="189" spans="1:33" x14ac:dyDescent="0.45">
      <c r="A189" s="2" t="s">
        <v>19533</v>
      </c>
      <c r="B189" s="2" t="s">
        <v>19540</v>
      </c>
      <c r="C189" s="2" t="s">
        <v>19533</v>
      </c>
      <c r="D189" s="2" t="s">
        <v>19541</v>
      </c>
      <c r="E189" s="2" t="s">
        <v>19536</v>
      </c>
      <c r="F189" s="2" t="s">
        <v>19542</v>
      </c>
      <c r="G189" s="2"/>
      <c r="H189" s="2" t="s">
        <v>1136</v>
      </c>
      <c r="I189" s="2" t="s">
        <v>1137</v>
      </c>
      <c r="J189" s="2" t="s">
        <v>19538</v>
      </c>
      <c r="K189" s="2" t="s">
        <v>19541</v>
      </c>
      <c r="L189" s="2"/>
      <c r="M189" s="2"/>
      <c r="N189" s="2"/>
      <c r="O189" s="2" t="s">
        <v>1136</v>
      </c>
      <c r="P189" s="2" t="s">
        <v>1137</v>
      </c>
      <c r="Q189" s="2" t="s">
        <v>19538</v>
      </c>
      <c r="R189" s="2" t="s">
        <v>3226</v>
      </c>
      <c r="S189" s="2" t="s">
        <v>44</v>
      </c>
      <c r="T189" s="2"/>
      <c r="U189" s="2" t="s">
        <v>3527</v>
      </c>
      <c r="V189" s="2" t="s">
        <v>199</v>
      </c>
      <c r="W189" s="2" t="s">
        <v>3527</v>
      </c>
      <c r="X189" s="2" t="s">
        <v>10787</v>
      </c>
      <c r="Y189" s="2" t="s">
        <v>10801</v>
      </c>
      <c r="Z189" s="2" t="s">
        <v>7864</v>
      </c>
      <c r="AA189" s="2">
        <v>100</v>
      </c>
      <c r="AB189" s="2">
        <v>15</v>
      </c>
      <c r="AC189" s="2" t="s">
        <v>10789</v>
      </c>
      <c r="AD189" s="2" t="s">
        <v>19539</v>
      </c>
      <c r="AE189" s="2" t="s">
        <v>18260</v>
      </c>
      <c r="AF189" s="2"/>
      <c r="AG189" s="2" t="s">
        <v>18250</v>
      </c>
    </row>
    <row r="190" spans="1:33" x14ac:dyDescent="0.45">
      <c r="A190" s="2" t="s">
        <v>19543</v>
      </c>
      <c r="B190" s="2" t="s">
        <v>19544</v>
      </c>
      <c r="C190" s="2" t="s">
        <v>19545</v>
      </c>
      <c r="D190" s="2" t="s">
        <v>19546</v>
      </c>
      <c r="E190" s="2" t="s">
        <v>19547</v>
      </c>
      <c r="F190" s="2" t="s">
        <v>709</v>
      </c>
      <c r="G190" s="2" t="s">
        <v>709</v>
      </c>
      <c r="H190" s="2" t="s">
        <v>312</v>
      </c>
      <c r="I190" s="2" t="s">
        <v>313</v>
      </c>
      <c r="J190" s="2" t="s">
        <v>13865</v>
      </c>
      <c r="K190" s="2"/>
      <c r="L190" s="2"/>
      <c r="M190" s="2"/>
      <c r="N190" s="2"/>
      <c r="O190" s="2"/>
      <c r="P190" s="2"/>
      <c r="Q190" s="2"/>
      <c r="R190" s="2" t="s">
        <v>6685</v>
      </c>
      <c r="S190" s="2" t="s">
        <v>44</v>
      </c>
      <c r="T190" s="2"/>
      <c r="U190" s="2" t="s">
        <v>3527</v>
      </c>
      <c r="V190" s="2" t="s">
        <v>46</v>
      </c>
      <c r="W190" s="2" t="s">
        <v>3527</v>
      </c>
      <c r="X190" s="2" t="s">
        <v>10787</v>
      </c>
      <c r="Y190" s="2" t="s">
        <v>10801</v>
      </c>
      <c r="Z190" s="2" t="s">
        <v>7864</v>
      </c>
      <c r="AA190" s="2">
        <v>100</v>
      </c>
      <c r="AB190" s="2">
        <v>10</v>
      </c>
      <c r="AC190" s="2" t="s">
        <v>10789</v>
      </c>
      <c r="AD190" s="2" t="s">
        <v>19548</v>
      </c>
      <c r="AE190" s="2" t="s">
        <v>18260</v>
      </c>
      <c r="AF190" s="2"/>
      <c r="AG190" s="2" t="s">
        <v>18250</v>
      </c>
    </row>
    <row r="191" spans="1:33" x14ac:dyDescent="0.45">
      <c r="A191" s="2" t="s">
        <v>19549</v>
      </c>
      <c r="B191" s="2" t="s">
        <v>19550</v>
      </c>
      <c r="C191" s="2" t="s">
        <v>19551</v>
      </c>
      <c r="D191" s="2" t="s">
        <v>19552</v>
      </c>
      <c r="E191" s="2" t="s">
        <v>19553</v>
      </c>
      <c r="F191" s="2"/>
      <c r="G191" s="2"/>
      <c r="H191" s="2" t="s">
        <v>39</v>
      </c>
      <c r="I191" s="2" t="s">
        <v>40</v>
      </c>
      <c r="J191" s="2" t="s">
        <v>9892</v>
      </c>
      <c r="K191" s="2" t="s">
        <v>19554</v>
      </c>
      <c r="L191" s="2"/>
      <c r="M191" s="2"/>
      <c r="N191" s="2"/>
      <c r="O191" s="2" t="s">
        <v>39</v>
      </c>
      <c r="P191" s="2" t="s">
        <v>40</v>
      </c>
      <c r="Q191" s="2" t="s">
        <v>9892</v>
      </c>
      <c r="R191" s="2" t="s">
        <v>10017</v>
      </c>
      <c r="S191" s="2" t="s">
        <v>44</v>
      </c>
      <c r="T191" s="2"/>
      <c r="U191" s="2" t="s">
        <v>3527</v>
      </c>
      <c r="V191" s="2" t="s">
        <v>46</v>
      </c>
      <c r="W191" s="2" t="s">
        <v>3527</v>
      </c>
      <c r="X191" s="2" t="s">
        <v>11537</v>
      </c>
      <c r="Y191" s="2" t="s">
        <v>10801</v>
      </c>
      <c r="Z191" s="2" t="s">
        <v>7864</v>
      </c>
      <c r="AA191" s="2">
        <v>90</v>
      </c>
      <c r="AB191" s="2">
        <v>0</v>
      </c>
      <c r="AC191" s="2" t="s">
        <v>10789</v>
      </c>
      <c r="AD191" s="2" t="s">
        <v>19555</v>
      </c>
      <c r="AE191" s="2" t="s">
        <v>18260</v>
      </c>
      <c r="AF191" s="2"/>
      <c r="AG191" s="2" t="s">
        <v>18250</v>
      </c>
    </row>
    <row r="192" spans="1:33" x14ac:dyDescent="0.45">
      <c r="A192" s="2" t="s">
        <v>19556</v>
      </c>
      <c r="B192" s="2" t="s">
        <v>19557</v>
      </c>
      <c r="C192" s="2" t="s">
        <v>19558</v>
      </c>
      <c r="D192" s="2" t="s">
        <v>19559</v>
      </c>
      <c r="E192" s="2" t="s">
        <v>19560</v>
      </c>
      <c r="F192" s="2" t="s">
        <v>19561</v>
      </c>
      <c r="G192" s="2"/>
      <c r="H192" s="2" t="s">
        <v>39</v>
      </c>
      <c r="I192" s="2" t="s">
        <v>40</v>
      </c>
      <c r="J192" s="2" t="s">
        <v>1418</v>
      </c>
      <c r="K192" s="2" t="s">
        <v>19559</v>
      </c>
      <c r="L192" s="2"/>
      <c r="M192" s="2"/>
      <c r="N192" s="2"/>
      <c r="O192" s="2" t="s">
        <v>39</v>
      </c>
      <c r="P192" s="2" t="s">
        <v>40</v>
      </c>
      <c r="Q192" s="2" t="s">
        <v>1418</v>
      </c>
      <c r="R192" s="2" t="s">
        <v>5678</v>
      </c>
      <c r="S192" s="2" t="s">
        <v>44</v>
      </c>
      <c r="T192" s="2"/>
      <c r="U192" s="2" t="s">
        <v>3527</v>
      </c>
      <c r="V192" s="2" t="s">
        <v>46</v>
      </c>
      <c r="W192" s="2" t="s">
        <v>3527</v>
      </c>
      <c r="X192" s="2" t="s">
        <v>10787</v>
      </c>
      <c r="Y192" s="2" t="s">
        <v>10801</v>
      </c>
      <c r="Z192" s="2" t="s">
        <v>7864</v>
      </c>
      <c r="AA192" s="2">
        <v>100</v>
      </c>
      <c r="AB192" s="2">
        <v>10</v>
      </c>
      <c r="AC192" s="2" t="s">
        <v>10789</v>
      </c>
      <c r="AD192" s="2" t="s">
        <v>19562</v>
      </c>
      <c r="AE192" s="2" t="s">
        <v>18260</v>
      </c>
      <c r="AF192" s="2"/>
      <c r="AG192" s="2" t="s">
        <v>18250</v>
      </c>
    </row>
    <row r="193" spans="1:33" x14ac:dyDescent="0.45">
      <c r="A193" s="2" t="s">
        <v>19563</v>
      </c>
      <c r="B193" s="2" t="s">
        <v>19564</v>
      </c>
      <c r="C193" s="2" t="s">
        <v>19565</v>
      </c>
      <c r="D193" s="2" t="s">
        <v>19566</v>
      </c>
      <c r="E193" s="2" t="s">
        <v>19567</v>
      </c>
      <c r="F193" s="2" t="s">
        <v>19568</v>
      </c>
      <c r="G193" s="2"/>
      <c r="H193" s="2" t="s">
        <v>277</v>
      </c>
      <c r="I193" s="2" t="s">
        <v>278</v>
      </c>
      <c r="J193" s="2" t="s">
        <v>19569</v>
      </c>
      <c r="K193" s="2"/>
      <c r="L193" s="2"/>
      <c r="M193" s="2"/>
      <c r="N193" s="2"/>
      <c r="O193" s="2"/>
      <c r="P193" s="2"/>
      <c r="Q193" s="2"/>
      <c r="R193" s="2" t="s">
        <v>11004</v>
      </c>
      <c r="S193" s="2" t="s">
        <v>44</v>
      </c>
      <c r="T193" s="2"/>
      <c r="U193" s="2" t="s">
        <v>3527</v>
      </c>
      <c r="V193" s="2" t="s">
        <v>46</v>
      </c>
      <c r="W193" s="2" t="s">
        <v>3527</v>
      </c>
      <c r="X193" s="2" t="s">
        <v>10787</v>
      </c>
      <c r="Y193" s="2" t="s">
        <v>10801</v>
      </c>
      <c r="Z193" s="2" t="s">
        <v>7864</v>
      </c>
      <c r="AA193" s="2">
        <v>100</v>
      </c>
      <c r="AB193" s="2">
        <v>10</v>
      </c>
      <c r="AC193" s="2" t="s">
        <v>10789</v>
      </c>
      <c r="AD193" s="2" t="s">
        <v>19570</v>
      </c>
      <c r="AE193" s="2" t="s">
        <v>18260</v>
      </c>
      <c r="AF193" s="2"/>
      <c r="AG193" s="2" t="s">
        <v>18250</v>
      </c>
    </row>
    <row r="194" spans="1:33" x14ac:dyDescent="0.45">
      <c r="A194" s="2" t="s">
        <v>19571</v>
      </c>
      <c r="B194" s="2" t="s">
        <v>19572</v>
      </c>
      <c r="C194" s="2" t="s">
        <v>19571</v>
      </c>
      <c r="D194" s="2" t="s">
        <v>19573</v>
      </c>
      <c r="E194" s="2" t="s">
        <v>19574</v>
      </c>
      <c r="F194" s="2" t="s">
        <v>19575</v>
      </c>
      <c r="G194" s="2" t="s">
        <v>19575</v>
      </c>
      <c r="H194" s="2" t="s">
        <v>174</v>
      </c>
      <c r="I194" s="2" t="s">
        <v>175</v>
      </c>
      <c r="J194" s="2" t="s">
        <v>19576</v>
      </c>
      <c r="K194" s="2" t="s">
        <v>19573</v>
      </c>
      <c r="L194" s="2"/>
      <c r="M194" s="2"/>
      <c r="N194" s="2"/>
      <c r="O194" s="2" t="s">
        <v>174</v>
      </c>
      <c r="P194" s="2" t="s">
        <v>175</v>
      </c>
      <c r="Q194" s="2" t="s">
        <v>19576</v>
      </c>
      <c r="R194" s="2" t="s">
        <v>3485</v>
      </c>
      <c r="S194" s="2" t="s">
        <v>44</v>
      </c>
      <c r="T194" s="2"/>
      <c r="U194" s="2" t="s">
        <v>3527</v>
      </c>
      <c r="V194" s="2" t="s">
        <v>46</v>
      </c>
      <c r="W194" s="2" t="s">
        <v>3527</v>
      </c>
      <c r="X194" s="2" t="s">
        <v>10787</v>
      </c>
      <c r="Y194" s="2" t="s">
        <v>10801</v>
      </c>
      <c r="Z194" s="2" t="s">
        <v>7864</v>
      </c>
      <c r="AA194" s="2">
        <v>100</v>
      </c>
      <c r="AB194" s="2">
        <v>10</v>
      </c>
      <c r="AC194" s="2" t="s">
        <v>10789</v>
      </c>
      <c r="AD194" s="2" t="s">
        <v>19577</v>
      </c>
      <c r="AE194" s="2" t="s">
        <v>18260</v>
      </c>
      <c r="AF194" s="2"/>
      <c r="AG194" s="2" t="s">
        <v>18250</v>
      </c>
    </row>
    <row r="195" spans="1:33" x14ac:dyDescent="0.45">
      <c r="A195" s="2" t="s">
        <v>19578</v>
      </c>
      <c r="B195" s="2" t="s">
        <v>19579</v>
      </c>
      <c r="C195" s="2" t="s">
        <v>19578</v>
      </c>
      <c r="D195" s="2" t="s">
        <v>19580</v>
      </c>
      <c r="E195" s="2" t="s">
        <v>19581</v>
      </c>
      <c r="F195" s="2" t="s">
        <v>19582</v>
      </c>
      <c r="G195" s="2"/>
      <c r="H195" s="2" t="s">
        <v>2962</v>
      </c>
      <c r="I195" s="2" t="s">
        <v>73</v>
      </c>
      <c r="J195" s="2" t="s">
        <v>16865</v>
      </c>
      <c r="K195" s="2"/>
      <c r="L195" s="2"/>
      <c r="M195" s="2"/>
      <c r="N195" s="2"/>
      <c r="O195" s="2"/>
      <c r="P195" s="2"/>
      <c r="Q195" s="2"/>
      <c r="R195" s="2" t="s">
        <v>18670</v>
      </c>
      <c r="S195" s="2" t="s">
        <v>44</v>
      </c>
      <c r="T195" s="2"/>
      <c r="U195" s="2" t="s">
        <v>3527</v>
      </c>
      <c r="V195" s="2" t="s">
        <v>46</v>
      </c>
      <c r="W195" s="2" t="s">
        <v>3527</v>
      </c>
      <c r="X195" s="2" t="s">
        <v>10787</v>
      </c>
      <c r="Y195" s="2" t="s">
        <v>10801</v>
      </c>
      <c r="Z195" s="2" t="s">
        <v>7864</v>
      </c>
      <c r="AA195" s="2">
        <v>100</v>
      </c>
      <c r="AB195" s="2">
        <v>5</v>
      </c>
      <c r="AC195" s="2" t="s">
        <v>10789</v>
      </c>
      <c r="AD195" s="2" t="s">
        <v>19583</v>
      </c>
      <c r="AE195" s="2" t="s">
        <v>18260</v>
      </c>
      <c r="AF195" s="2"/>
      <c r="AG195" s="2" t="s">
        <v>18250</v>
      </c>
    </row>
    <row r="196" spans="1:33" x14ac:dyDescent="0.45">
      <c r="A196" s="2" t="s">
        <v>19584</v>
      </c>
      <c r="B196" s="2" t="s">
        <v>19585</v>
      </c>
      <c r="C196" s="2" t="s">
        <v>19584</v>
      </c>
      <c r="D196" s="2" t="s">
        <v>19586</v>
      </c>
      <c r="E196" s="2" t="s">
        <v>19587</v>
      </c>
      <c r="F196" s="2" t="s">
        <v>19588</v>
      </c>
      <c r="G196" s="2"/>
      <c r="H196" s="2" t="s">
        <v>174</v>
      </c>
      <c r="I196" s="2" t="s">
        <v>175</v>
      </c>
      <c r="J196" s="2" t="s">
        <v>19589</v>
      </c>
      <c r="K196" s="2"/>
      <c r="L196" s="2"/>
      <c r="M196" s="2"/>
      <c r="N196" s="2"/>
      <c r="O196" s="2"/>
      <c r="P196" s="2"/>
      <c r="Q196" s="2"/>
      <c r="R196" s="2" t="s">
        <v>14840</v>
      </c>
      <c r="S196" s="2" t="s">
        <v>44</v>
      </c>
      <c r="T196" s="2"/>
      <c r="U196" s="2" t="s">
        <v>3527</v>
      </c>
      <c r="V196" s="2" t="s">
        <v>46</v>
      </c>
      <c r="W196" s="2" t="s">
        <v>3527</v>
      </c>
      <c r="X196" s="2" t="s">
        <v>10787</v>
      </c>
      <c r="Y196" s="2" t="s">
        <v>10801</v>
      </c>
      <c r="Z196" s="2" t="s">
        <v>7864</v>
      </c>
      <c r="AA196" s="2">
        <v>100</v>
      </c>
      <c r="AB196" s="2">
        <v>10</v>
      </c>
      <c r="AC196" s="2" t="s">
        <v>10789</v>
      </c>
      <c r="AD196" s="2" t="s">
        <v>19590</v>
      </c>
      <c r="AE196" s="2" t="s">
        <v>18260</v>
      </c>
      <c r="AF196" s="2"/>
      <c r="AG196" s="2" t="s">
        <v>18250</v>
      </c>
    </row>
    <row r="197" spans="1:33" x14ac:dyDescent="0.45">
      <c r="A197" s="2" t="s">
        <v>19591</v>
      </c>
      <c r="B197" s="2" t="s">
        <v>19592</v>
      </c>
      <c r="C197" s="2" t="s">
        <v>19591</v>
      </c>
      <c r="D197" s="2" t="s">
        <v>19593</v>
      </c>
      <c r="E197" s="2" t="s">
        <v>19594</v>
      </c>
      <c r="F197" s="2"/>
      <c r="G197" s="2"/>
      <c r="H197" s="2" t="s">
        <v>19595</v>
      </c>
      <c r="I197" s="2" t="s">
        <v>175</v>
      </c>
      <c r="J197" s="2" t="s">
        <v>19596</v>
      </c>
      <c r="K197" s="2" t="s">
        <v>19593</v>
      </c>
      <c r="L197" s="2"/>
      <c r="M197" s="2"/>
      <c r="N197" s="2"/>
      <c r="O197" s="2" t="s">
        <v>19595</v>
      </c>
      <c r="P197" s="2" t="s">
        <v>175</v>
      </c>
      <c r="Q197" s="2" t="s">
        <v>19596</v>
      </c>
      <c r="R197" s="2" t="s">
        <v>8963</v>
      </c>
      <c r="S197" s="2" t="s">
        <v>44</v>
      </c>
      <c r="T197" s="2"/>
      <c r="U197" s="2" t="s">
        <v>3527</v>
      </c>
      <c r="V197" s="2" t="s">
        <v>46</v>
      </c>
      <c r="W197" s="2" t="s">
        <v>3527</v>
      </c>
      <c r="X197" s="2" t="s">
        <v>10787</v>
      </c>
      <c r="Y197" s="2" t="s">
        <v>10801</v>
      </c>
      <c r="Z197" s="2" t="s">
        <v>7864</v>
      </c>
      <c r="AA197" s="2">
        <v>90</v>
      </c>
      <c r="AB197" s="2">
        <v>0</v>
      </c>
      <c r="AC197" s="2" t="s">
        <v>10789</v>
      </c>
      <c r="AD197" s="2" t="s">
        <v>19597</v>
      </c>
      <c r="AE197" s="2" t="s">
        <v>18260</v>
      </c>
      <c r="AF197" s="2"/>
      <c r="AG197" s="2" t="s">
        <v>18250</v>
      </c>
    </row>
    <row r="198" spans="1:33" x14ac:dyDescent="0.45">
      <c r="A198" s="2" t="s">
        <v>19598</v>
      </c>
      <c r="B198" s="2" t="s">
        <v>19599</v>
      </c>
      <c r="C198" s="2" t="s">
        <v>19600</v>
      </c>
      <c r="D198" s="2" t="s">
        <v>19601</v>
      </c>
      <c r="E198" s="2" t="s">
        <v>19602</v>
      </c>
      <c r="F198" s="2" t="s">
        <v>19603</v>
      </c>
      <c r="G198" s="2"/>
      <c r="H198" s="2" t="s">
        <v>174</v>
      </c>
      <c r="I198" s="2" t="s">
        <v>175</v>
      </c>
      <c r="J198" s="2" t="s">
        <v>19604</v>
      </c>
      <c r="K198" s="2" t="s">
        <v>19601</v>
      </c>
      <c r="L198" s="2"/>
      <c r="M198" s="2"/>
      <c r="N198" s="2"/>
      <c r="O198" s="2" t="s">
        <v>174</v>
      </c>
      <c r="P198" s="2" t="s">
        <v>175</v>
      </c>
      <c r="Q198" s="2" t="s">
        <v>19604</v>
      </c>
      <c r="R198" s="2" t="s">
        <v>4589</v>
      </c>
      <c r="S198" s="2" t="s">
        <v>44</v>
      </c>
      <c r="T198" s="2"/>
      <c r="U198" s="2" t="s">
        <v>3527</v>
      </c>
      <c r="V198" s="2" t="s">
        <v>46</v>
      </c>
      <c r="W198" s="2" t="s">
        <v>3527</v>
      </c>
      <c r="X198" s="2" t="s">
        <v>11537</v>
      </c>
      <c r="Y198" s="2" t="s">
        <v>10801</v>
      </c>
      <c r="Z198" s="2" t="s">
        <v>7864</v>
      </c>
      <c r="AA198" s="2">
        <v>100</v>
      </c>
      <c r="AB198" s="2">
        <v>10</v>
      </c>
      <c r="AC198" s="2" t="s">
        <v>10789</v>
      </c>
      <c r="AD198" s="2" t="s">
        <v>19605</v>
      </c>
      <c r="AE198" s="2" t="s">
        <v>18260</v>
      </c>
      <c r="AF198" s="2"/>
      <c r="AG198" s="2" t="s">
        <v>18250</v>
      </c>
    </row>
    <row r="199" spans="1:33" x14ac:dyDescent="0.45">
      <c r="A199" s="2" t="s">
        <v>19606</v>
      </c>
      <c r="B199" s="2" t="s">
        <v>19607</v>
      </c>
      <c r="C199" s="2" t="s">
        <v>19608</v>
      </c>
      <c r="D199" s="2" t="s">
        <v>19609</v>
      </c>
      <c r="E199" s="2" t="s">
        <v>19610</v>
      </c>
      <c r="F199" s="2" t="s">
        <v>19611</v>
      </c>
      <c r="G199" s="2"/>
      <c r="H199" s="2" t="s">
        <v>536</v>
      </c>
      <c r="I199" s="2" t="s">
        <v>537</v>
      </c>
      <c r="J199" s="2" t="s">
        <v>19612</v>
      </c>
      <c r="K199" s="2" t="s">
        <v>19609</v>
      </c>
      <c r="L199" s="2"/>
      <c r="M199" s="2"/>
      <c r="N199" s="2"/>
      <c r="O199" s="2" t="s">
        <v>536</v>
      </c>
      <c r="P199" s="2" t="s">
        <v>537</v>
      </c>
      <c r="Q199" s="2" t="s">
        <v>19612</v>
      </c>
      <c r="R199" s="2" t="s">
        <v>11047</v>
      </c>
      <c r="S199" s="2" t="s">
        <v>44</v>
      </c>
      <c r="T199" s="2"/>
      <c r="U199" s="2" t="s">
        <v>3527</v>
      </c>
      <c r="V199" s="2" t="s">
        <v>46</v>
      </c>
      <c r="W199" s="2" t="s">
        <v>3527</v>
      </c>
      <c r="X199" s="2" t="s">
        <v>10787</v>
      </c>
      <c r="Y199" s="2" t="s">
        <v>10801</v>
      </c>
      <c r="Z199" s="2" t="s">
        <v>7864</v>
      </c>
      <c r="AA199" s="2">
        <v>100</v>
      </c>
      <c r="AB199" s="2">
        <v>10</v>
      </c>
      <c r="AC199" s="2" t="s">
        <v>10789</v>
      </c>
      <c r="AD199" s="2" t="s">
        <v>19613</v>
      </c>
      <c r="AE199" s="2" t="s">
        <v>18260</v>
      </c>
      <c r="AF199" s="2"/>
      <c r="AG199" s="2" t="s">
        <v>18250</v>
      </c>
    </row>
    <row r="200" spans="1:33" x14ac:dyDescent="0.45">
      <c r="A200" s="2" t="s">
        <v>19614</v>
      </c>
      <c r="B200" s="2" t="s">
        <v>19615</v>
      </c>
      <c r="C200" s="2" t="s">
        <v>19614</v>
      </c>
      <c r="D200" s="2" t="s">
        <v>19616</v>
      </c>
      <c r="E200" s="2" t="s">
        <v>19617</v>
      </c>
      <c r="F200" s="2" t="s">
        <v>19618</v>
      </c>
      <c r="G200" s="2" t="s">
        <v>19618</v>
      </c>
      <c r="H200" s="2" t="s">
        <v>290</v>
      </c>
      <c r="I200" s="2" t="s">
        <v>278</v>
      </c>
      <c r="J200" s="2" t="s">
        <v>19619</v>
      </c>
      <c r="K200" s="2"/>
      <c r="L200" s="2"/>
      <c r="M200" s="2"/>
      <c r="N200" s="2"/>
      <c r="O200" s="2"/>
      <c r="P200" s="2"/>
      <c r="Q200" s="2"/>
      <c r="R200" s="2" t="s">
        <v>19620</v>
      </c>
      <c r="S200" s="2" t="s">
        <v>44</v>
      </c>
      <c r="T200" s="2"/>
      <c r="U200" s="2" t="s">
        <v>3527</v>
      </c>
      <c r="V200" s="2" t="s">
        <v>46</v>
      </c>
      <c r="W200" s="2" t="s">
        <v>3527</v>
      </c>
      <c r="X200" s="2" t="s">
        <v>11537</v>
      </c>
      <c r="Y200" s="2" t="s">
        <v>10801</v>
      </c>
      <c r="Z200" s="2" t="s">
        <v>7864</v>
      </c>
      <c r="AA200" s="2">
        <v>100</v>
      </c>
      <c r="AB200" s="2">
        <v>10</v>
      </c>
      <c r="AC200" s="2" t="s">
        <v>10789</v>
      </c>
      <c r="AD200" s="2" t="s">
        <v>19621</v>
      </c>
      <c r="AE200" s="2" t="s">
        <v>18260</v>
      </c>
      <c r="AF200" s="2"/>
      <c r="AG200" s="2" t="s">
        <v>18250</v>
      </c>
    </row>
    <row r="201" spans="1:33" x14ac:dyDescent="0.45">
      <c r="A201" s="2" t="s">
        <v>19622</v>
      </c>
      <c r="B201" s="2" t="s">
        <v>19623</v>
      </c>
      <c r="C201" s="2" t="s">
        <v>19624</v>
      </c>
      <c r="D201" s="2" t="s">
        <v>19625</v>
      </c>
      <c r="E201" s="2" t="s">
        <v>19626</v>
      </c>
      <c r="F201" s="2"/>
      <c r="G201" s="2"/>
      <c r="H201" s="2" t="s">
        <v>1136</v>
      </c>
      <c r="I201" s="2" t="s">
        <v>1137</v>
      </c>
      <c r="J201" s="2" t="s">
        <v>12962</v>
      </c>
      <c r="K201" s="2" t="s">
        <v>19625</v>
      </c>
      <c r="L201" s="2"/>
      <c r="M201" s="2"/>
      <c r="N201" s="2"/>
      <c r="O201" s="2" t="s">
        <v>1136</v>
      </c>
      <c r="P201" s="2" t="s">
        <v>1137</v>
      </c>
      <c r="Q201" s="2" t="s">
        <v>12962</v>
      </c>
      <c r="R201" s="2" t="s">
        <v>9649</v>
      </c>
      <c r="S201" s="2" t="s">
        <v>44</v>
      </c>
      <c r="T201" s="2"/>
      <c r="U201" s="2" t="s">
        <v>3527</v>
      </c>
      <c r="V201" s="2" t="s">
        <v>46</v>
      </c>
      <c r="W201" s="2" t="s">
        <v>3527</v>
      </c>
      <c r="X201" s="2" t="s">
        <v>10787</v>
      </c>
      <c r="Y201" s="2" t="s">
        <v>10801</v>
      </c>
      <c r="Z201" s="2" t="s">
        <v>7864</v>
      </c>
      <c r="AA201" s="2">
        <v>90</v>
      </c>
      <c r="AB201" s="2">
        <v>0</v>
      </c>
      <c r="AC201" s="2" t="s">
        <v>10789</v>
      </c>
      <c r="AD201" s="2" t="s">
        <v>19627</v>
      </c>
      <c r="AE201" s="2" t="s">
        <v>18260</v>
      </c>
      <c r="AF201" s="2"/>
      <c r="AG201" s="2" t="s">
        <v>18250</v>
      </c>
    </row>
    <row r="202" spans="1:33" x14ac:dyDescent="0.45">
      <c r="A202" s="2" t="s">
        <v>19628</v>
      </c>
      <c r="B202" s="2" t="s">
        <v>19629</v>
      </c>
      <c r="C202" s="2" t="s">
        <v>19630</v>
      </c>
      <c r="D202" s="2" t="s">
        <v>19631</v>
      </c>
      <c r="E202" s="2" t="s">
        <v>19632</v>
      </c>
      <c r="F202" s="2" t="s">
        <v>19633</v>
      </c>
      <c r="G202" s="2" t="s">
        <v>19633</v>
      </c>
      <c r="H202" s="2" t="s">
        <v>19634</v>
      </c>
      <c r="I202" s="2" t="s">
        <v>1281</v>
      </c>
      <c r="J202" s="2" t="s">
        <v>19635</v>
      </c>
      <c r="K202" s="2" t="s">
        <v>19631</v>
      </c>
      <c r="L202" s="2"/>
      <c r="M202" s="2"/>
      <c r="N202" s="2"/>
      <c r="O202" s="2" t="s">
        <v>19634</v>
      </c>
      <c r="P202" s="2" t="s">
        <v>1281</v>
      </c>
      <c r="Q202" s="2" t="s">
        <v>19635</v>
      </c>
      <c r="R202" s="2" t="s">
        <v>19636</v>
      </c>
      <c r="S202" s="2" t="s">
        <v>44</v>
      </c>
      <c r="T202" s="2"/>
      <c r="U202" s="2" t="s">
        <v>821</v>
      </c>
      <c r="V202" s="2" t="s">
        <v>46</v>
      </c>
      <c r="W202" s="2" t="s">
        <v>821</v>
      </c>
      <c r="X202" s="2" t="s">
        <v>10787</v>
      </c>
      <c r="Y202" s="2" t="s">
        <v>10801</v>
      </c>
      <c r="Z202" s="2" t="s">
        <v>7864</v>
      </c>
      <c r="AA202" s="2">
        <v>100</v>
      </c>
      <c r="AB202" s="2">
        <v>12</v>
      </c>
      <c r="AC202" s="2" t="s">
        <v>10789</v>
      </c>
      <c r="AD202" s="2" t="s">
        <v>19637</v>
      </c>
      <c r="AE202" s="2" t="s">
        <v>18260</v>
      </c>
      <c r="AF202" s="2"/>
      <c r="AG202" s="2" t="s">
        <v>18250</v>
      </c>
    </row>
    <row r="203" spans="1:33" x14ac:dyDescent="0.45">
      <c r="A203" s="2" t="s">
        <v>19638</v>
      </c>
      <c r="B203" s="2" t="s">
        <v>19639</v>
      </c>
      <c r="C203" s="2" t="s">
        <v>19640</v>
      </c>
      <c r="D203" s="2" t="s">
        <v>19641</v>
      </c>
      <c r="E203" s="2" t="s">
        <v>19642</v>
      </c>
      <c r="F203" s="2"/>
      <c r="G203" s="2"/>
      <c r="H203" s="2" t="s">
        <v>6029</v>
      </c>
      <c r="I203" s="2" t="s">
        <v>278</v>
      </c>
      <c r="J203" s="2" t="s">
        <v>11222</v>
      </c>
      <c r="K203" s="2" t="s">
        <v>19641</v>
      </c>
      <c r="L203" s="2"/>
      <c r="M203" s="2"/>
      <c r="N203" s="2"/>
      <c r="O203" s="2" t="s">
        <v>6029</v>
      </c>
      <c r="P203" s="2" t="s">
        <v>278</v>
      </c>
      <c r="Q203" s="2" t="s">
        <v>11222</v>
      </c>
      <c r="R203" s="2" t="s">
        <v>2401</v>
      </c>
      <c r="S203" s="2" t="s">
        <v>44</v>
      </c>
      <c r="T203" s="2"/>
      <c r="U203" s="2" t="s">
        <v>3527</v>
      </c>
      <c r="V203" s="2" t="s">
        <v>46</v>
      </c>
      <c r="W203" s="2" t="s">
        <v>3527</v>
      </c>
      <c r="X203" s="2" t="s">
        <v>10787</v>
      </c>
      <c r="Y203" s="2" t="s">
        <v>10801</v>
      </c>
      <c r="Z203" s="2" t="s">
        <v>7864</v>
      </c>
      <c r="AA203" s="2">
        <v>90</v>
      </c>
      <c r="AB203" s="2">
        <v>0</v>
      </c>
      <c r="AC203" s="2" t="s">
        <v>10789</v>
      </c>
      <c r="AD203" s="2" t="s">
        <v>19643</v>
      </c>
      <c r="AE203" s="2" t="s">
        <v>18260</v>
      </c>
      <c r="AF203" s="2"/>
      <c r="AG203" s="2" t="s">
        <v>18250</v>
      </c>
    </row>
    <row r="204" spans="1:33" x14ac:dyDescent="0.45">
      <c r="A204" s="2" t="s">
        <v>19644</v>
      </c>
      <c r="B204" s="2" t="s">
        <v>19645</v>
      </c>
      <c r="C204" s="2" t="s">
        <v>19644</v>
      </c>
      <c r="D204" s="2" t="s">
        <v>19646</v>
      </c>
      <c r="E204" s="2" t="s">
        <v>19647</v>
      </c>
      <c r="F204" s="2" t="s">
        <v>19648</v>
      </c>
      <c r="G204" s="2"/>
      <c r="H204" s="2" t="s">
        <v>384</v>
      </c>
      <c r="I204" s="2" t="s">
        <v>73</v>
      </c>
      <c r="J204" s="2" t="s">
        <v>1837</v>
      </c>
      <c r="K204" s="2" t="s">
        <v>19646</v>
      </c>
      <c r="L204" s="2"/>
      <c r="M204" s="2"/>
      <c r="N204" s="2"/>
      <c r="O204" s="2" t="s">
        <v>384</v>
      </c>
      <c r="P204" s="2" t="s">
        <v>73</v>
      </c>
      <c r="Q204" s="2" t="s">
        <v>1837</v>
      </c>
      <c r="R204" s="2" t="s">
        <v>7034</v>
      </c>
      <c r="S204" s="2" t="s">
        <v>44</v>
      </c>
      <c r="T204" s="2"/>
      <c r="U204" s="2" t="s">
        <v>821</v>
      </c>
      <c r="V204" s="2" t="s">
        <v>46</v>
      </c>
      <c r="W204" s="2" t="s">
        <v>821</v>
      </c>
      <c r="X204" s="2" t="s">
        <v>10787</v>
      </c>
      <c r="Y204" s="2" t="s">
        <v>10801</v>
      </c>
      <c r="Z204" s="2" t="s">
        <v>7864</v>
      </c>
      <c r="AA204" s="2">
        <v>100</v>
      </c>
      <c r="AB204" s="2">
        <v>17</v>
      </c>
      <c r="AC204" s="2" t="s">
        <v>10789</v>
      </c>
      <c r="AD204" s="2" t="s">
        <v>19649</v>
      </c>
      <c r="AE204" s="2" t="s">
        <v>18260</v>
      </c>
      <c r="AF204" s="2"/>
      <c r="AG204" s="2" t="s">
        <v>18250</v>
      </c>
    </row>
    <row r="205" spans="1:33" x14ac:dyDescent="0.45">
      <c r="A205" s="2" t="s">
        <v>19650</v>
      </c>
      <c r="B205" s="2" t="s">
        <v>19651</v>
      </c>
      <c r="C205" s="2" t="s">
        <v>19652</v>
      </c>
      <c r="D205" s="2" t="s">
        <v>19653</v>
      </c>
      <c r="E205" s="2" t="s">
        <v>19654</v>
      </c>
      <c r="F205" s="2" t="s">
        <v>19655</v>
      </c>
      <c r="G205" s="2"/>
      <c r="H205" s="2" t="s">
        <v>1023</v>
      </c>
      <c r="I205" s="2" t="s">
        <v>73</v>
      </c>
      <c r="J205" s="2" t="s">
        <v>9466</v>
      </c>
      <c r="K205" s="2" t="s">
        <v>19656</v>
      </c>
      <c r="L205" s="2"/>
      <c r="M205" s="2"/>
      <c r="N205" s="2"/>
      <c r="O205" s="2" t="s">
        <v>1023</v>
      </c>
      <c r="P205" s="2" t="s">
        <v>73</v>
      </c>
      <c r="Q205" s="2" t="s">
        <v>9466</v>
      </c>
      <c r="R205" s="2" t="s">
        <v>701</v>
      </c>
      <c r="S205" s="2" t="s">
        <v>44</v>
      </c>
      <c r="T205" s="2"/>
      <c r="U205" s="2" t="s">
        <v>3527</v>
      </c>
      <c r="V205" s="2" t="s">
        <v>46</v>
      </c>
      <c r="W205" s="2" t="s">
        <v>3527</v>
      </c>
      <c r="X205" s="2" t="s">
        <v>10787</v>
      </c>
      <c r="Y205" s="2" t="s">
        <v>10801</v>
      </c>
      <c r="Z205" s="2" t="s">
        <v>7864</v>
      </c>
      <c r="AA205" s="2">
        <v>100</v>
      </c>
      <c r="AB205" s="2">
        <v>10</v>
      </c>
      <c r="AC205" s="2" t="s">
        <v>10789</v>
      </c>
      <c r="AD205" s="2" t="s">
        <v>19657</v>
      </c>
      <c r="AE205" s="2" t="s">
        <v>18260</v>
      </c>
      <c r="AF205" s="2"/>
      <c r="AG205" s="2" t="s">
        <v>18250</v>
      </c>
    </row>
    <row r="206" spans="1:33" x14ac:dyDescent="0.45">
      <c r="A206" s="2" t="s">
        <v>19658</v>
      </c>
      <c r="B206" s="2" t="s">
        <v>19659</v>
      </c>
      <c r="C206" s="2" t="s">
        <v>19658</v>
      </c>
      <c r="D206" s="2" t="s">
        <v>19660</v>
      </c>
      <c r="E206" s="2" t="s">
        <v>19661</v>
      </c>
      <c r="F206" s="2" t="s">
        <v>19662</v>
      </c>
      <c r="G206" s="2" t="s">
        <v>19662</v>
      </c>
      <c r="H206" s="2" t="s">
        <v>59</v>
      </c>
      <c r="I206" s="2" t="s">
        <v>60</v>
      </c>
      <c r="J206" s="2" t="s">
        <v>7339</v>
      </c>
      <c r="K206" s="2" t="s">
        <v>19660</v>
      </c>
      <c r="L206" s="2"/>
      <c r="M206" s="2"/>
      <c r="N206" s="2"/>
      <c r="O206" s="2" t="s">
        <v>59</v>
      </c>
      <c r="P206" s="2" t="s">
        <v>60</v>
      </c>
      <c r="Q206" s="2" t="s">
        <v>7339</v>
      </c>
      <c r="R206" s="2" t="s">
        <v>1285</v>
      </c>
      <c r="S206" s="2" t="s">
        <v>44</v>
      </c>
      <c r="T206" s="2"/>
      <c r="U206" s="2" t="s">
        <v>821</v>
      </c>
      <c r="V206" s="2" t="s">
        <v>46</v>
      </c>
      <c r="W206" s="2" t="s">
        <v>821</v>
      </c>
      <c r="X206" s="2" t="s">
        <v>12462</v>
      </c>
      <c r="Y206" s="2" t="s">
        <v>10801</v>
      </c>
      <c r="Z206" s="2" t="s">
        <v>7864</v>
      </c>
      <c r="AA206" s="2">
        <v>100</v>
      </c>
      <c r="AB206" s="2">
        <v>17</v>
      </c>
      <c r="AC206" s="2" t="s">
        <v>10789</v>
      </c>
      <c r="AD206" s="2" t="s">
        <v>19663</v>
      </c>
      <c r="AE206" s="2" t="s">
        <v>18260</v>
      </c>
      <c r="AF206" s="2"/>
      <c r="AG206" s="2" t="s">
        <v>18250</v>
      </c>
    </row>
    <row r="207" spans="1:33" x14ac:dyDescent="0.45">
      <c r="A207" s="2" t="s">
        <v>19664</v>
      </c>
      <c r="B207" s="2" t="s">
        <v>19665</v>
      </c>
      <c r="C207" s="2" t="s">
        <v>19664</v>
      </c>
      <c r="D207" s="2" t="s">
        <v>19666</v>
      </c>
      <c r="E207" s="2" t="s">
        <v>19667</v>
      </c>
      <c r="F207" s="2" t="s">
        <v>19668</v>
      </c>
      <c r="G207" s="2" t="s">
        <v>19668</v>
      </c>
      <c r="H207" s="2" t="s">
        <v>59</v>
      </c>
      <c r="I207" s="2" t="s">
        <v>60</v>
      </c>
      <c r="J207" s="2" t="s">
        <v>5251</v>
      </c>
      <c r="K207" s="2" t="s">
        <v>19666</v>
      </c>
      <c r="L207" s="2"/>
      <c r="M207" s="2"/>
      <c r="N207" s="2"/>
      <c r="O207" s="2" t="s">
        <v>59</v>
      </c>
      <c r="P207" s="2" t="s">
        <v>60</v>
      </c>
      <c r="Q207" s="2" t="s">
        <v>5251</v>
      </c>
      <c r="R207" s="2" t="s">
        <v>5678</v>
      </c>
      <c r="S207" s="2" t="s">
        <v>44</v>
      </c>
      <c r="T207" s="2"/>
      <c r="U207" s="2" t="s">
        <v>3527</v>
      </c>
      <c r="V207" s="2" t="s">
        <v>46</v>
      </c>
      <c r="W207" s="2" t="s">
        <v>3527</v>
      </c>
      <c r="X207" s="2" t="s">
        <v>10787</v>
      </c>
      <c r="Y207" s="2" t="s">
        <v>10801</v>
      </c>
      <c r="Z207" s="2" t="s">
        <v>7864</v>
      </c>
      <c r="AA207" s="2">
        <v>100</v>
      </c>
      <c r="AB207" s="2">
        <v>10</v>
      </c>
      <c r="AC207" s="2" t="s">
        <v>10789</v>
      </c>
      <c r="AD207" s="2" t="s">
        <v>19669</v>
      </c>
      <c r="AE207" s="2" t="s">
        <v>18260</v>
      </c>
      <c r="AF207" s="2"/>
      <c r="AG207" s="2" t="s">
        <v>18250</v>
      </c>
    </row>
    <row r="208" spans="1:33" x14ac:dyDescent="0.45">
      <c r="A208" s="2" t="s">
        <v>19670</v>
      </c>
      <c r="B208" s="2" t="s">
        <v>19671</v>
      </c>
      <c r="C208" s="2" t="s">
        <v>19672</v>
      </c>
      <c r="D208" s="2" t="s">
        <v>19673</v>
      </c>
      <c r="E208" s="2" t="s">
        <v>19674</v>
      </c>
      <c r="F208" s="2"/>
      <c r="G208" s="2"/>
      <c r="H208" s="2" t="s">
        <v>6029</v>
      </c>
      <c r="I208" s="2" t="s">
        <v>278</v>
      </c>
      <c r="J208" s="2" t="s">
        <v>19675</v>
      </c>
      <c r="K208" s="2" t="s">
        <v>19673</v>
      </c>
      <c r="L208" s="2"/>
      <c r="M208" s="2"/>
      <c r="N208" s="2"/>
      <c r="O208" s="2" t="s">
        <v>6029</v>
      </c>
      <c r="P208" s="2" t="s">
        <v>278</v>
      </c>
      <c r="Q208" s="2" t="s">
        <v>19675</v>
      </c>
      <c r="R208" s="2" t="s">
        <v>2289</v>
      </c>
      <c r="S208" s="2" t="s">
        <v>44</v>
      </c>
      <c r="T208" s="2"/>
      <c r="U208" s="2" t="s">
        <v>3527</v>
      </c>
      <c r="V208" s="2" t="s">
        <v>46</v>
      </c>
      <c r="W208" s="2" t="s">
        <v>3527</v>
      </c>
      <c r="X208" s="2" t="s">
        <v>10787</v>
      </c>
      <c r="Y208" s="2" t="s">
        <v>10801</v>
      </c>
      <c r="Z208" s="2" t="s">
        <v>7864</v>
      </c>
      <c r="AA208" s="2">
        <v>90</v>
      </c>
      <c r="AB208" s="2">
        <v>0</v>
      </c>
      <c r="AC208" s="2" t="s">
        <v>10789</v>
      </c>
      <c r="AD208" s="2" t="s">
        <v>19676</v>
      </c>
      <c r="AE208" s="2" t="s">
        <v>18260</v>
      </c>
      <c r="AF208" s="2"/>
      <c r="AG208" s="2" t="s">
        <v>18250</v>
      </c>
    </row>
    <row r="209" spans="1:33" x14ac:dyDescent="0.45">
      <c r="A209" s="2" t="s">
        <v>19677</v>
      </c>
      <c r="B209" s="2" t="s">
        <v>19678</v>
      </c>
      <c r="C209" s="2" t="s">
        <v>19679</v>
      </c>
      <c r="D209" s="2" t="s">
        <v>19680</v>
      </c>
      <c r="E209" s="2" t="s">
        <v>19681</v>
      </c>
      <c r="F209" s="2" t="s">
        <v>19682</v>
      </c>
      <c r="G209" s="2"/>
      <c r="H209" s="2" t="s">
        <v>10473</v>
      </c>
      <c r="I209" s="2" t="s">
        <v>313</v>
      </c>
      <c r="J209" s="2" t="s">
        <v>19683</v>
      </c>
      <c r="K209" s="2" t="s">
        <v>19680</v>
      </c>
      <c r="L209" s="2"/>
      <c r="M209" s="2"/>
      <c r="N209" s="2"/>
      <c r="O209" s="2" t="s">
        <v>10473</v>
      </c>
      <c r="P209" s="2" t="s">
        <v>313</v>
      </c>
      <c r="Q209" s="2" t="s">
        <v>19683</v>
      </c>
      <c r="R209" s="2" t="s">
        <v>5356</v>
      </c>
      <c r="S209" s="2" t="s">
        <v>44</v>
      </c>
      <c r="T209" s="2"/>
      <c r="U209" s="2" t="s">
        <v>3527</v>
      </c>
      <c r="V209" s="2" t="s">
        <v>46</v>
      </c>
      <c r="W209" s="2" t="s">
        <v>3527</v>
      </c>
      <c r="X209" s="2" t="s">
        <v>10787</v>
      </c>
      <c r="Y209" s="2" t="s">
        <v>10801</v>
      </c>
      <c r="Z209" s="2" t="s">
        <v>7864</v>
      </c>
      <c r="AA209" s="2">
        <v>100</v>
      </c>
      <c r="AB209" s="2">
        <v>5</v>
      </c>
      <c r="AC209" s="2" t="s">
        <v>10789</v>
      </c>
      <c r="AD209" s="2" t="s">
        <v>19684</v>
      </c>
      <c r="AE209" s="2" t="s">
        <v>18260</v>
      </c>
      <c r="AF209" s="2"/>
      <c r="AG209" s="2" t="s">
        <v>18250</v>
      </c>
    </row>
    <row r="210" spans="1:33" x14ac:dyDescent="0.45">
      <c r="A210" s="2" t="s">
        <v>19685</v>
      </c>
      <c r="B210" s="2" t="s">
        <v>19686</v>
      </c>
      <c r="C210" s="2" t="s">
        <v>19687</v>
      </c>
      <c r="D210" s="2" t="s">
        <v>19688</v>
      </c>
      <c r="E210" s="2" t="s">
        <v>19689</v>
      </c>
      <c r="F210" s="2"/>
      <c r="G210" s="2"/>
      <c r="H210" s="2" t="s">
        <v>72</v>
      </c>
      <c r="I210" s="2" t="s">
        <v>73</v>
      </c>
      <c r="J210" s="2" t="s">
        <v>5765</v>
      </c>
      <c r="K210" s="2" t="s">
        <v>19688</v>
      </c>
      <c r="L210" s="2"/>
      <c r="M210" s="2"/>
      <c r="N210" s="2"/>
      <c r="O210" s="2" t="s">
        <v>72</v>
      </c>
      <c r="P210" s="2" t="s">
        <v>73</v>
      </c>
      <c r="Q210" s="2" t="s">
        <v>5765</v>
      </c>
      <c r="R210" s="2" t="s">
        <v>19690</v>
      </c>
      <c r="S210" s="2" t="s">
        <v>44</v>
      </c>
      <c r="T210" s="2"/>
      <c r="U210" s="2" t="s">
        <v>3527</v>
      </c>
      <c r="V210" s="2" t="s">
        <v>46</v>
      </c>
      <c r="W210" s="2" t="s">
        <v>3527</v>
      </c>
      <c r="X210" s="2" t="s">
        <v>10787</v>
      </c>
      <c r="Y210" s="2" t="s">
        <v>10801</v>
      </c>
      <c r="Z210" s="2" t="s">
        <v>7864</v>
      </c>
      <c r="AA210" s="2">
        <v>90</v>
      </c>
      <c r="AB210" s="2">
        <v>0</v>
      </c>
      <c r="AC210" s="2" t="s">
        <v>10789</v>
      </c>
      <c r="AD210" s="2" t="s">
        <v>19691</v>
      </c>
      <c r="AE210" s="2" t="s">
        <v>18260</v>
      </c>
      <c r="AF210" s="2"/>
      <c r="AG210" s="2" t="s">
        <v>18250</v>
      </c>
    </row>
    <row r="211" spans="1:33" x14ac:dyDescent="0.45">
      <c r="A211" s="2" t="s">
        <v>19692</v>
      </c>
      <c r="B211" s="2" t="s">
        <v>19693</v>
      </c>
      <c r="C211" s="2" t="s">
        <v>19692</v>
      </c>
      <c r="D211" s="2" t="s">
        <v>19694</v>
      </c>
      <c r="E211" s="2" t="s">
        <v>19695</v>
      </c>
      <c r="F211" s="2" t="s">
        <v>19696</v>
      </c>
      <c r="G211" s="2"/>
      <c r="H211" s="2" t="s">
        <v>8495</v>
      </c>
      <c r="I211" s="2" t="s">
        <v>8496</v>
      </c>
      <c r="J211" s="2" t="s">
        <v>18952</v>
      </c>
      <c r="K211" s="2" t="s">
        <v>19694</v>
      </c>
      <c r="L211" s="2"/>
      <c r="M211" s="2"/>
      <c r="N211" s="2"/>
      <c r="O211" s="2" t="s">
        <v>8495</v>
      </c>
      <c r="P211" s="2" t="s">
        <v>8496</v>
      </c>
      <c r="Q211" s="2" t="s">
        <v>18952</v>
      </c>
      <c r="R211" s="2" t="s">
        <v>3226</v>
      </c>
      <c r="S211" s="2" t="s">
        <v>44</v>
      </c>
      <c r="T211" s="2"/>
      <c r="U211" s="2" t="s">
        <v>3527</v>
      </c>
      <c r="V211" s="2" t="s">
        <v>46</v>
      </c>
      <c r="W211" s="2" t="s">
        <v>3527</v>
      </c>
      <c r="X211" s="2" t="s">
        <v>10787</v>
      </c>
      <c r="Y211" s="2" t="s">
        <v>10801</v>
      </c>
      <c r="Z211" s="2" t="s">
        <v>7864</v>
      </c>
      <c r="AA211" s="2">
        <v>100</v>
      </c>
      <c r="AB211" s="2">
        <v>5</v>
      </c>
      <c r="AC211" s="2" t="s">
        <v>10789</v>
      </c>
      <c r="AD211" s="2" t="s">
        <v>19697</v>
      </c>
      <c r="AE211" s="2" t="s">
        <v>18260</v>
      </c>
      <c r="AF211" s="2"/>
      <c r="AG211" s="2" t="s">
        <v>18250</v>
      </c>
    </row>
    <row r="212" spans="1:33" x14ac:dyDescent="0.45">
      <c r="A212" s="2" t="s">
        <v>19698</v>
      </c>
      <c r="B212" s="2" t="s">
        <v>19699</v>
      </c>
      <c r="C212" s="2" t="s">
        <v>19698</v>
      </c>
      <c r="D212" s="2" t="s">
        <v>19700</v>
      </c>
      <c r="E212" s="2" t="s">
        <v>19701</v>
      </c>
      <c r="F212" s="2"/>
      <c r="G212" s="2"/>
      <c r="H212" s="2" t="s">
        <v>17680</v>
      </c>
      <c r="I212" s="2" t="s">
        <v>17681</v>
      </c>
      <c r="J212" s="2" t="s">
        <v>19702</v>
      </c>
      <c r="K212" s="2"/>
      <c r="L212" s="2"/>
      <c r="M212" s="2"/>
      <c r="N212" s="2"/>
      <c r="O212" s="2"/>
      <c r="P212" s="2"/>
      <c r="Q212" s="2"/>
      <c r="R212" s="2" t="s">
        <v>4186</v>
      </c>
      <c r="S212" s="2" t="s">
        <v>44</v>
      </c>
      <c r="T212" s="2"/>
      <c r="U212" s="2" t="s">
        <v>3527</v>
      </c>
      <c r="V212" s="2" t="s">
        <v>46</v>
      </c>
      <c r="W212" s="2" t="s">
        <v>3527</v>
      </c>
      <c r="X212" s="2" t="s">
        <v>10787</v>
      </c>
      <c r="Y212" s="2" t="s">
        <v>10801</v>
      </c>
      <c r="Z212" s="2" t="s">
        <v>7864</v>
      </c>
      <c r="AA212" s="2">
        <v>90</v>
      </c>
      <c r="AB212" s="2">
        <v>0</v>
      </c>
      <c r="AC212" s="2" t="s">
        <v>10789</v>
      </c>
      <c r="AD212" s="2" t="s">
        <v>19703</v>
      </c>
      <c r="AE212" s="2" t="s">
        <v>18260</v>
      </c>
      <c r="AF212" s="2"/>
      <c r="AG212" s="2" t="s">
        <v>18250</v>
      </c>
    </row>
    <row r="213" spans="1:33" x14ac:dyDescent="0.45">
      <c r="A213" s="2" t="s">
        <v>19704</v>
      </c>
      <c r="B213" s="2" t="s">
        <v>19705</v>
      </c>
      <c r="C213" s="2" t="s">
        <v>19706</v>
      </c>
      <c r="D213" s="2" t="s">
        <v>19707</v>
      </c>
      <c r="E213" s="2" t="s">
        <v>19708</v>
      </c>
      <c r="F213" s="2" t="s">
        <v>19709</v>
      </c>
      <c r="G213" s="2"/>
      <c r="H213" s="2" t="s">
        <v>9743</v>
      </c>
      <c r="I213" s="2" t="s">
        <v>1281</v>
      </c>
      <c r="J213" s="2" t="s">
        <v>19710</v>
      </c>
      <c r="K213" s="2" t="s">
        <v>19707</v>
      </c>
      <c r="L213" s="2"/>
      <c r="M213" s="2"/>
      <c r="N213" s="2"/>
      <c r="O213" s="2" t="s">
        <v>9743</v>
      </c>
      <c r="P213" s="2" t="s">
        <v>1281</v>
      </c>
      <c r="Q213" s="2" t="s">
        <v>19710</v>
      </c>
      <c r="R213" s="2" t="s">
        <v>10712</v>
      </c>
      <c r="S213" s="2" t="s">
        <v>44</v>
      </c>
      <c r="T213" s="2"/>
      <c r="U213" s="2" t="s">
        <v>821</v>
      </c>
      <c r="V213" s="2" t="s">
        <v>46</v>
      </c>
      <c r="W213" s="2" t="s">
        <v>821</v>
      </c>
      <c r="X213" s="2" t="s">
        <v>10787</v>
      </c>
      <c r="Y213" s="2" t="s">
        <v>10801</v>
      </c>
      <c r="Z213" s="2" t="s">
        <v>7864</v>
      </c>
      <c r="AA213" s="2">
        <v>100</v>
      </c>
      <c r="AB213" s="2">
        <v>12</v>
      </c>
      <c r="AC213" s="2" t="s">
        <v>10789</v>
      </c>
      <c r="AD213" s="2" t="s">
        <v>19711</v>
      </c>
      <c r="AE213" s="2" t="s">
        <v>18260</v>
      </c>
      <c r="AF213" s="2"/>
      <c r="AG213" s="2" t="s">
        <v>18250</v>
      </c>
    </row>
    <row r="214" spans="1:33" x14ac:dyDescent="0.45">
      <c r="A214" s="2" t="s">
        <v>19712</v>
      </c>
      <c r="B214" s="2" t="s">
        <v>19713</v>
      </c>
      <c r="C214" s="2" t="s">
        <v>19714</v>
      </c>
      <c r="D214" s="2" t="s">
        <v>19715</v>
      </c>
      <c r="E214" s="2" t="s">
        <v>19716</v>
      </c>
      <c r="F214" s="2" t="s">
        <v>19717</v>
      </c>
      <c r="G214" s="2" t="s">
        <v>19717</v>
      </c>
      <c r="H214" s="2" t="s">
        <v>72</v>
      </c>
      <c r="I214" s="2" t="s">
        <v>73</v>
      </c>
      <c r="J214" s="2" t="s">
        <v>19718</v>
      </c>
      <c r="K214" s="2" t="s">
        <v>19715</v>
      </c>
      <c r="L214" s="2"/>
      <c r="M214" s="2"/>
      <c r="N214" s="2"/>
      <c r="O214" s="2" t="s">
        <v>72</v>
      </c>
      <c r="P214" s="2" t="s">
        <v>73</v>
      </c>
      <c r="Q214" s="2" t="s">
        <v>19718</v>
      </c>
      <c r="R214" s="2" t="s">
        <v>7404</v>
      </c>
      <c r="S214" s="2" t="s">
        <v>44</v>
      </c>
      <c r="T214" s="2"/>
      <c r="U214" s="2" t="s">
        <v>3527</v>
      </c>
      <c r="V214" s="2" t="s">
        <v>46</v>
      </c>
      <c r="W214" s="2" t="s">
        <v>3527</v>
      </c>
      <c r="X214" s="2" t="s">
        <v>10787</v>
      </c>
      <c r="Y214" s="2" t="s">
        <v>10801</v>
      </c>
      <c r="Z214" s="2" t="s">
        <v>7864</v>
      </c>
      <c r="AA214" s="2">
        <v>100</v>
      </c>
      <c r="AB214" s="2">
        <v>10</v>
      </c>
      <c r="AC214" s="2" t="s">
        <v>10789</v>
      </c>
      <c r="AD214" s="2" t="s">
        <v>19719</v>
      </c>
      <c r="AE214" s="2" t="s">
        <v>18260</v>
      </c>
      <c r="AF214" s="2"/>
      <c r="AG214" s="2" t="s">
        <v>18250</v>
      </c>
    </row>
    <row r="215" spans="1:33" x14ac:dyDescent="0.45">
      <c r="A215" s="2" t="s">
        <v>19720</v>
      </c>
      <c r="B215" s="2" t="s">
        <v>19721</v>
      </c>
      <c r="C215" s="2" t="s">
        <v>19722</v>
      </c>
      <c r="D215" s="2" t="s">
        <v>19723</v>
      </c>
      <c r="E215" s="2" t="s">
        <v>19724</v>
      </c>
      <c r="F215" s="2" t="s">
        <v>19725</v>
      </c>
      <c r="G215" s="2"/>
      <c r="H215" s="2" t="s">
        <v>6029</v>
      </c>
      <c r="I215" s="2" t="s">
        <v>278</v>
      </c>
      <c r="J215" s="2" t="s">
        <v>8422</v>
      </c>
      <c r="K215" s="2"/>
      <c r="L215" s="2"/>
      <c r="M215" s="2"/>
      <c r="N215" s="2"/>
      <c r="O215" s="2"/>
      <c r="P215" s="2"/>
      <c r="Q215" s="2"/>
      <c r="R215" s="2" t="s">
        <v>18670</v>
      </c>
      <c r="S215" s="2" t="s">
        <v>44</v>
      </c>
      <c r="T215" s="2"/>
      <c r="U215" s="2" t="s">
        <v>3527</v>
      </c>
      <c r="V215" s="2" t="s">
        <v>46</v>
      </c>
      <c r="W215" s="2" t="s">
        <v>3527</v>
      </c>
      <c r="X215" s="2" t="s">
        <v>10787</v>
      </c>
      <c r="Y215" s="2" t="s">
        <v>10801</v>
      </c>
      <c r="Z215" s="2" t="s">
        <v>7864</v>
      </c>
      <c r="AA215" s="2">
        <v>100</v>
      </c>
      <c r="AB215" s="2">
        <v>5</v>
      </c>
      <c r="AC215" s="2" t="s">
        <v>10789</v>
      </c>
      <c r="AD215" s="2" t="s">
        <v>19726</v>
      </c>
      <c r="AE215" s="2" t="s">
        <v>18260</v>
      </c>
      <c r="AF215" s="2"/>
      <c r="AG215" s="2" t="s">
        <v>18250</v>
      </c>
    </row>
    <row r="216" spans="1:33" x14ac:dyDescent="0.45">
      <c r="A216" s="2" t="s">
        <v>19727</v>
      </c>
      <c r="B216" s="2" t="s">
        <v>19728</v>
      </c>
      <c r="C216" s="2" t="s">
        <v>19727</v>
      </c>
      <c r="D216" s="2" t="s">
        <v>19729</v>
      </c>
      <c r="E216" s="2" t="s">
        <v>19730</v>
      </c>
      <c r="F216" s="2"/>
      <c r="G216" s="2"/>
      <c r="H216" s="2" t="s">
        <v>19731</v>
      </c>
      <c r="I216" s="2" t="s">
        <v>1112</v>
      </c>
      <c r="J216" s="2" t="s">
        <v>19732</v>
      </c>
      <c r="K216" s="2" t="s">
        <v>19733</v>
      </c>
      <c r="L216" s="2"/>
      <c r="M216" s="2"/>
      <c r="N216" s="2"/>
      <c r="O216" s="2" t="s">
        <v>19731</v>
      </c>
      <c r="P216" s="2" t="s">
        <v>1112</v>
      </c>
      <c r="Q216" s="2" t="s">
        <v>19732</v>
      </c>
      <c r="R216" s="2" t="s">
        <v>19734</v>
      </c>
      <c r="S216" s="2" t="s">
        <v>44</v>
      </c>
      <c r="T216" s="2"/>
      <c r="U216" s="2" t="s">
        <v>821</v>
      </c>
      <c r="V216" s="2" t="s">
        <v>46</v>
      </c>
      <c r="W216" s="2" t="s">
        <v>821</v>
      </c>
      <c r="X216" s="2" t="s">
        <v>10787</v>
      </c>
      <c r="Y216" s="2" t="s">
        <v>10801</v>
      </c>
      <c r="Z216" s="2" t="s">
        <v>7864</v>
      </c>
      <c r="AA216" s="2">
        <v>90</v>
      </c>
      <c r="AB216" s="2">
        <v>2</v>
      </c>
      <c r="AC216" s="2" t="s">
        <v>10789</v>
      </c>
      <c r="AD216" s="2" t="s">
        <v>19735</v>
      </c>
      <c r="AE216" s="2" t="s">
        <v>18260</v>
      </c>
      <c r="AF216" s="2"/>
      <c r="AG216" s="2" t="s">
        <v>18250</v>
      </c>
    </row>
    <row r="217" spans="1:33" x14ac:dyDescent="0.45">
      <c r="A217" s="2" t="s">
        <v>19736</v>
      </c>
      <c r="B217" s="2" t="s">
        <v>19737</v>
      </c>
      <c r="C217" s="2" t="s">
        <v>19738</v>
      </c>
      <c r="D217" s="2" t="s">
        <v>19739</v>
      </c>
      <c r="E217" s="2" t="s">
        <v>19740</v>
      </c>
      <c r="F217" s="2" t="s">
        <v>19741</v>
      </c>
      <c r="G217" s="2"/>
      <c r="H217" s="2" t="s">
        <v>72</v>
      </c>
      <c r="I217" s="2" t="s">
        <v>73</v>
      </c>
      <c r="J217" s="2" t="s">
        <v>7553</v>
      </c>
      <c r="K217" s="2" t="s">
        <v>19739</v>
      </c>
      <c r="L217" s="2"/>
      <c r="M217" s="2"/>
      <c r="N217" s="2"/>
      <c r="O217" s="2" t="s">
        <v>72</v>
      </c>
      <c r="P217" s="2" t="s">
        <v>73</v>
      </c>
      <c r="Q217" s="2" t="s">
        <v>7553</v>
      </c>
      <c r="R217" s="2" t="s">
        <v>5224</v>
      </c>
      <c r="S217" s="2" t="s">
        <v>44</v>
      </c>
      <c r="T217" s="2"/>
      <c r="U217" s="2" t="s">
        <v>3527</v>
      </c>
      <c r="V217" s="2" t="s">
        <v>46</v>
      </c>
      <c r="W217" s="2" t="s">
        <v>3527</v>
      </c>
      <c r="X217" s="2" t="s">
        <v>10787</v>
      </c>
      <c r="Y217" s="2" t="s">
        <v>10801</v>
      </c>
      <c r="Z217" s="2" t="s">
        <v>7864</v>
      </c>
      <c r="AA217" s="2">
        <v>100</v>
      </c>
      <c r="AB217" s="2">
        <v>10</v>
      </c>
      <c r="AC217" s="2" t="s">
        <v>10789</v>
      </c>
      <c r="AD217" s="2" t="s">
        <v>19742</v>
      </c>
      <c r="AE217" s="2" t="s">
        <v>18260</v>
      </c>
      <c r="AF217" s="2"/>
      <c r="AG217" s="2" t="s">
        <v>18250</v>
      </c>
    </row>
    <row r="218" spans="1:33" x14ac:dyDescent="0.45">
      <c r="A218" s="2" t="s">
        <v>19743</v>
      </c>
      <c r="B218" s="2" t="s">
        <v>19744</v>
      </c>
      <c r="C218" s="2" t="s">
        <v>19745</v>
      </c>
      <c r="D218" s="2" t="s">
        <v>19746</v>
      </c>
      <c r="E218" s="2" t="s">
        <v>19747</v>
      </c>
      <c r="F218" s="2" t="s">
        <v>19748</v>
      </c>
      <c r="G218" s="2" t="s">
        <v>19748</v>
      </c>
      <c r="H218" s="2" t="s">
        <v>9647</v>
      </c>
      <c r="I218" s="2" t="s">
        <v>73</v>
      </c>
      <c r="J218" s="2" t="s">
        <v>17114</v>
      </c>
      <c r="K218" s="2" t="s">
        <v>19746</v>
      </c>
      <c r="L218" s="2"/>
      <c r="M218" s="2"/>
      <c r="N218" s="2"/>
      <c r="O218" s="2" t="s">
        <v>9647</v>
      </c>
      <c r="P218" s="2" t="s">
        <v>73</v>
      </c>
      <c r="Q218" s="2" t="s">
        <v>17114</v>
      </c>
      <c r="R218" s="2" t="s">
        <v>885</v>
      </c>
      <c r="S218" s="2" t="s">
        <v>44</v>
      </c>
      <c r="T218" s="2"/>
      <c r="U218" s="2" t="s">
        <v>821</v>
      </c>
      <c r="V218" s="2" t="s">
        <v>199</v>
      </c>
      <c r="W218" s="2" t="s">
        <v>821</v>
      </c>
      <c r="X218" s="2" t="s">
        <v>10787</v>
      </c>
      <c r="Y218" s="2" t="s">
        <v>10801</v>
      </c>
      <c r="Z218" s="2" t="s">
        <v>7864</v>
      </c>
      <c r="AA218" s="2">
        <v>100</v>
      </c>
      <c r="AB218" s="2">
        <v>22</v>
      </c>
      <c r="AC218" s="2" t="s">
        <v>10789</v>
      </c>
      <c r="AD218" s="2" t="s">
        <v>19749</v>
      </c>
      <c r="AE218" s="2" t="s">
        <v>18260</v>
      </c>
      <c r="AF218" s="2"/>
      <c r="AG218" s="2" t="s">
        <v>18250</v>
      </c>
    </row>
    <row r="219" spans="1:33" x14ac:dyDescent="0.45">
      <c r="A219" s="2" t="s">
        <v>19743</v>
      </c>
      <c r="B219" s="2" t="s">
        <v>19750</v>
      </c>
      <c r="C219" s="2" t="s">
        <v>19745</v>
      </c>
      <c r="D219" s="2" t="s">
        <v>19751</v>
      </c>
      <c r="E219" s="2" t="s">
        <v>19752</v>
      </c>
      <c r="F219" s="2" t="s">
        <v>19753</v>
      </c>
      <c r="G219" s="2"/>
      <c r="H219" s="2" t="s">
        <v>9647</v>
      </c>
      <c r="I219" s="2" t="s">
        <v>73</v>
      </c>
      <c r="J219" s="2" t="s">
        <v>17114</v>
      </c>
      <c r="K219" s="2" t="s">
        <v>19751</v>
      </c>
      <c r="L219" s="2"/>
      <c r="M219" s="2"/>
      <c r="N219" s="2"/>
      <c r="O219" s="2" t="s">
        <v>9647</v>
      </c>
      <c r="P219" s="2" t="s">
        <v>73</v>
      </c>
      <c r="Q219" s="2" t="s">
        <v>17114</v>
      </c>
      <c r="R219" s="2" t="s">
        <v>4659</v>
      </c>
      <c r="S219" s="2" t="s">
        <v>44</v>
      </c>
      <c r="T219" s="2"/>
      <c r="U219" s="2" t="s">
        <v>3527</v>
      </c>
      <c r="V219" s="2" t="s">
        <v>199</v>
      </c>
      <c r="W219" s="2" t="s">
        <v>3527</v>
      </c>
      <c r="X219" s="2" t="s">
        <v>10787</v>
      </c>
      <c r="Y219" s="2" t="s">
        <v>10801</v>
      </c>
      <c r="Z219" s="2" t="s">
        <v>7864</v>
      </c>
      <c r="AA219" s="2">
        <v>100</v>
      </c>
      <c r="AB219" s="2">
        <v>15</v>
      </c>
      <c r="AC219" s="2" t="s">
        <v>10789</v>
      </c>
      <c r="AD219" s="2" t="s">
        <v>19749</v>
      </c>
      <c r="AE219" s="2" t="s">
        <v>18260</v>
      </c>
      <c r="AF219" s="2"/>
      <c r="AG219" s="2" t="s">
        <v>18250</v>
      </c>
    </row>
    <row r="220" spans="1:33" x14ac:dyDescent="0.45">
      <c r="A220" s="2" t="s">
        <v>19754</v>
      </c>
      <c r="B220" s="2" t="s">
        <v>19755</v>
      </c>
      <c r="C220" s="2" t="s">
        <v>19754</v>
      </c>
      <c r="D220" s="2" t="s">
        <v>19756</v>
      </c>
      <c r="E220" s="2" t="s">
        <v>19757</v>
      </c>
      <c r="F220" s="2"/>
      <c r="G220" s="2"/>
      <c r="H220" s="2" t="s">
        <v>174</v>
      </c>
      <c r="I220" s="2" t="s">
        <v>175</v>
      </c>
      <c r="J220" s="2" t="s">
        <v>18517</v>
      </c>
      <c r="K220" s="2" t="s">
        <v>19756</v>
      </c>
      <c r="L220" s="2"/>
      <c r="M220" s="2"/>
      <c r="N220" s="2"/>
      <c r="O220" s="2" t="s">
        <v>174</v>
      </c>
      <c r="P220" s="2" t="s">
        <v>175</v>
      </c>
      <c r="Q220" s="2" t="s">
        <v>18517</v>
      </c>
      <c r="R220" s="2" t="s">
        <v>14472</v>
      </c>
      <c r="S220" s="2" t="s">
        <v>44</v>
      </c>
      <c r="T220" s="2"/>
      <c r="U220" s="2" t="s">
        <v>3527</v>
      </c>
      <c r="V220" s="2" t="s">
        <v>46</v>
      </c>
      <c r="W220" s="2" t="s">
        <v>3527</v>
      </c>
      <c r="X220" s="2" t="s">
        <v>10787</v>
      </c>
      <c r="Y220" s="2" t="s">
        <v>10801</v>
      </c>
      <c r="Z220" s="2" t="s">
        <v>7864</v>
      </c>
      <c r="AA220" s="2">
        <v>90</v>
      </c>
      <c r="AB220" s="2">
        <v>0</v>
      </c>
      <c r="AC220" s="2" t="s">
        <v>10789</v>
      </c>
      <c r="AD220" s="2" t="s">
        <v>19758</v>
      </c>
      <c r="AE220" s="2" t="s">
        <v>18260</v>
      </c>
      <c r="AF220" s="2"/>
      <c r="AG220" s="2" t="s">
        <v>18250</v>
      </c>
    </row>
    <row r="221" spans="1:33" x14ac:dyDescent="0.45">
      <c r="A221" s="2" t="s">
        <v>19759</v>
      </c>
      <c r="B221" s="2" t="s">
        <v>19760</v>
      </c>
      <c r="C221" s="2" t="s">
        <v>19761</v>
      </c>
      <c r="D221" s="2" t="s">
        <v>19762</v>
      </c>
      <c r="E221" s="2" t="s">
        <v>19763</v>
      </c>
      <c r="F221" s="2" t="s">
        <v>19764</v>
      </c>
      <c r="G221" s="2"/>
      <c r="H221" s="2" t="s">
        <v>10397</v>
      </c>
      <c r="I221" s="2" t="s">
        <v>221</v>
      </c>
      <c r="J221" s="2" t="s">
        <v>19765</v>
      </c>
      <c r="K221" s="2" t="s">
        <v>19762</v>
      </c>
      <c r="L221" s="2"/>
      <c r="M221" s="2"/>
      <c r="N221" s="2"/>
      <c r="O221" s="2" t="s">
        <v>10397</v>
      </c>
      <c r="P221" s="2" t="s">
        <v>221</v>
      </c>
      <c r="Q221" s="2" t="s">
        <v>19765</v>
      </c>
      <c r="R221" s="2" t="s">
        <v>5224</v>
      </c>
      <c r="S221" s="2" t="s">
        <v>44</v>
      </c>
      <c r="T221" s="2"/>
      <c r="U221" s="2" t="s">
        <v>3527</v>
      </c>
      <c r="V221" s="2" t="s">
        <v>46</v>
      </c>
      <c r="W221" s="2" t="s">
        <v>3527</v>
      </c>
      <c r="X221" s="2" t="s">
        <v>10787</v>
      </c>
      <c r="Y221" s="2" t="s">
        <v>10801</v>
      </c>
      <c r="Z221" s="2" t="s">
        <v>7864</v>
      </c>
      <c r="AA221" s="2">
        <v>100</v>
      </c>
      <c r="AB221" s="2">
        <v>5</v>
      </c>
      <c r="AC221" s="2" t="s">
        <v>10789</v>
      </c>
      <c r="AD221" s="2" t="s">
        <v>19766</v>
      </c>
      <c r="AE221" s="2" t="s">
        <v>18260</v>
      </c>
      <c r="AF221" s="2"/>
      <c r="AG221" s="2" t="s">
        <v>18250</v>
      </c>
    </row>
    <row r="222" spans="1:33" x14ac:dyDescent="0.45">
      <c r="A222" s="2" t="s">
        <v>19767</v>
      </c>
      <c r="B222" s="2" t="s">
        <v>19768</v>
      </c>
      <c r="C222" s="2" t="s">
        <v>19767</v>
      </c>
      <c r="D222" s="2" t="s">
        <v>19769</v>
      </c>
      <c r="E222" s="2" t="s">
        <v>19770</v>
      </c>
      <c r="F222" s="2" t="s">
        <v>19771</v>
      </c>
      <c r="G222" s="2"/>
      <c r="H222" s="2" t="s">
        <v>312</v>
      </c>
      <c r="I222" s="2" t="s">
        <v>313</v>
      </c>
      <c r="J222" s="2" t="s">
        <v>11652</v>
      </c>
      <c r="K222" s="2" t="s">
        <v>19769</v>
      </c>
      <c r="L222" s="2"/>
      <c r="M222" s="2"/>
      <c r="N222" s="2"/>
      <c r="O222" s="2" t="s">
        <v>312</v>
      </c>
      <c r="P222" s="2" t="s">
        <v>313</v>
      </c>
      <c r="Q222" s="2" t="s">
        <v>11652</v>
      </c>
      <c r="R222" s="2" t="s">
        <v>1199</v>
      </c>
      <c r="S222" s="2" t="s">
        <v>44</v>
      </c>
      <c r="T222" s="2"/>
      <c r="U222" s="2" t="s">
        <v>3527</v>
      </c>
      <c r="V222" s="2" t="s">
        <v>46</v>
      </c>
      <c r="W222" s="2" t="s">
        <v>3527</v>
      </c>
      <c r="X222" s="2" t="s">
        <v>10787</v>
      </c>
      <c r="Y222" s="2" t="s">
        <v>10801</v>
      </c>
      <c r="Z222" s="2" t="s">
        <v>7864</v>
      </c>
      <c r="AA222" s="2">
        <v>100</v>
      </c>
      <c r="AB222" s="2">
        <v>10</v>
      </c>
      <c r="AC222" s="2" t="s">
        <v>10789</v>
      </c>
      <c r="AD222" s="2" t="s">
        <v>19772</v>
      </c>
      <c r="AE222" s="2" t="s">
        <v>18260</v>
      </c>
      <c r="AF222" s="2"/>
      <c r="AG222" s="2" t="s">
        <v>18250</v>
      </c>
    </row>
    <row r="223" spans="1:33" x14ac:dyDescent="0.45">
      <c r="A223" s="2" t="s">
        <v>19773</v>
      </c>
      <c r="B223" s="2" t="s">
        <v>19774</v>
      </c>
      <c r="C223" s="2" t="s">
        <v>19775</v>
      </c>
      <c r="D223" s="2" t="s">
        <v>19776</v>
      </c>
      <c r="E223" s="2" t="s">
        <v>19777</v>
      </c>
      <c r="F223" s="2" t="s">
        <v>19778</v>
      </c>
      <c r="G223" s="2" t="s">
        <v>19778</v>
      </c>
      <c r="H223" s="2" t="s">
        <v>384</v>
      </c>
      <c r="I223" s="2" t="s">
        <v>73</v>
      </c>
      <c r="J223" s="2" t="s">
        <v>19779</v>
      </c>
      <c r="K223" s="2"/>
      <c r="L223" s="2"/>
      <c r="M223" s="2"/>
      <c r="N223" s="2"/>
      <c r="O223" s="2"/>
      <c r="P223" s="2"/>
      <c r="Q223" s="2"/>
      <c r="R223" s="2" t="s">
        <v>9560</v>
      </c>
      <c r="S223" s="2" t="s">
        <v>44</v>
      </c>
      <c r="T223" s="2"/>
      <c r="U223" s="2" t="s">
        <v>3527</v>
      </c>
      <c r="V223" s="2" t="s">
        <v>46</v>
      </c>
      <c r="W223" s="2" t="s">
        <v>3527</v>
      </c>
      <c r="X223" s="2" t="s">
        <v>10787</v>
      </c>
      <c r="Y223" s="2" t="s">
        <v>10801</v>
      </c>
      <c r="Z223" s="2" t="s">
        <v>7864</v>
      </c>
      <c r="AA223" s="2">
        <v>100</v>
      </c>
      <c r="AB223" s="2">
        <v>10</v>
      </c>
      <c r="AC223" s="2" t="s">
        <v>10789</v>
      </c>
      <c r="AD223" s="2" t="s">
        <v>19780</v>
      </c>
      <c r="AE223" s="2" t="s">
        <v>18260</v>
      </c>
      <c r="AF223" s="2"/>
      <c r="AG223" s="2" t="s">
        <v>18250</v>
      </c>
    </row>
    <row r="224" spans="1:33" x14ac:dyDescent="0.45">
      <c r="A224" s="2" t="s">
        <v>19781</v>
      </c>
      <c r="B224" s="2" t="s">
        <v>19782</v>
      </c>
      <c r="C224" s="2" t="s">
        <v>19783</v>
      </c>
      <c r="D224" s="2" t="s">
        <v>19784</v>
      </c>
      <c r="E224" s="2" t="s">
        <v>19785</v>
      </c>
      <c r="F224" s="2" t="s">
        <v>19786</v>
      </c>
      <c r="G224" s="2" t="s">
        <v>19786</v>
      </c>
      <c r="H224" s="2" t="s">
        <v>72</v>
      </c>
      <c r="I224" s="2" t="s">
        <v>73</v>
      </c>
      <c r="J224" s="2" t="s">
        <v>1046</v>
      </c>
      <c r="K224" s="2" t="s">
        <v>19787</v>
      </c>
      <c r="L224" s="2"/>
      <c r="M224" s="2"/>
      <c r="N224" s="2"/>
      <c r="O224" s="2" t="s">
        <v>72</v>
      </c>
      <c r="P224" s="2" t="s">
        <v>73</v>
      </c>
      <c r="Q224" s="2" t="s">
        <v>1046</v>
      </c>
      <c r="R224" s="2" t="s">
        <v>19788</v>
      </c>
      <c r="S224" s="2" t="s">
        <v>44</v>
      </c>
      <c r="T224" s="2"/>
      <c r="U224" s="2" t="s">
        <v>3527</v>
      </c>
      <c r="V224" s="2" t="s">
        <v>46</v>
      </c>
      <c r="W224" s="2" t="s">
        <v>3527</v>
      </c>
      <c r="X224" s="2" t="s">
        <v>12462</v>
      </c>
      <c r="Y224" s="2" t="s">
        <v>10801</v>
      </c>
      <c r="Z224" s="2" t="s">
        <v>7864</v>
      </c>
      <c r="AA224" s="2">
        <v>100</v>
      </c>
      <c r="AB224" s="2">
        <v>10</v>
      </c>
      <c r="AC224" s="2" t="s">
        <v>10789</v>
      </c>
      <c r="AD224" s="2" t="s">
        <v>19789</v>
      </c>
      <c r="AE224" s="2" t="s">
        <v>18260</v>
      </c>
      <c r="AF224" s="2"/>
      <c r="AG224" s="2" t="s">
        <v>18250</v>
      </c>
    </row>
    <row r="225" spans="1:33" x14ac:dyDescent="0.45">
      <c r="A225" s="2" t="s">
        <v>19790</v>
      </c>
      <c r="B225" s="2" t="s">
        <v>19791</v>
      </c>
      <c r="C225" s="2" t="s">
        <v>19792</v>
      </c>
      <c r="D225" s="2" t="s">
        <v>19793</v>
      </c>
      <c r="E225" s="2" t="s">
        <v>19794</v>
      </c>
      <c r="F225" s="2" t="s">
        <v>19795</v>
      </c>
      <c r="G225" s="2"/>
      <c r="H225" s="2" t="s">
        <v>290</v>
      </c>
      <c r="I225" s="2" t="s">
        <v>278</v>
      </c>
      <c r="J225" s="2" t="s">
        <v>19796</v>
      </c>
      <c r="K225" s="2" t="s">
        <v>19793</v>
      </c>
      <c r="L225" s="2"/>
      <c r="M225" s="2"/>
      <c r="N225" s="2"/>
      <c r="O225" s="2" t="s">
        <v>290</v>
      </c>
      <c r="P225" s="2" t="s">
        <v>278</v>
      </c>
      <c r="Q225" s="2" t="s">
        <v>19796</v>
      </c>
      <c r="R225" s="2" t="s">
        <v>5286</v>
      </c>
      <c r="S225" s="2" t="s">
        <v>44</v>
      </c>
      <c r="T225" s="2"/>
      <c r="U225" s="2" t="s">
        <v>3527</v>
      </c>
      <c r="V225" s="2" t="s">
        <v>46</v>
      </c>
      <c r="W225" s="2" t="s">
        <v>3527</v>
      </c>
      <c r="X225" s="2" t="s">
        <v>10787</v>
      </c>
      <c r="Y225" s="2" t="s">
        <v>10801</v>
      </c>
      <c r="Z225" s="2" t="s">
        <v>7864</v>
      </c>
      <c r="AA225" s="2">
        <v>100</v>
      </c>
      <c r="AB225" s="2">
        <v>10</v>
      </c>
      <c r="AC225" s="2" t="s">
        <v>10789</v>
      </c>
      <c r="AD225" s="2" t="s">
        <v>19797</v>
      </c>
      <c r="AE225" s="2" t="s">
        <v>18260</v>
      </c>
      <c r="AF225" s="2"/>
      <c r="AG225" s="2" t="s">
        <v>18250</v>
      </c>
    </row>
    <row r="226" spans="1:33" x14ac:dyDescent="0.45">
      <c r="A226" s="2" t="s">
        <v>19798</v>
      </c>
      <c r="B226" s="2" t="s">
        <v>19799</v>
      </c>
      <c r="C226" s="2" t="s">
        <v>19798</v>
      </c>
      <c r="D226" s="2" t="s">
        <v>19800</v>
      </c>
      <c r="E226" s="2" t="s">
        <v>19801</v>
      </c>
      <c r="F226" s="2"/>
      <c r="G226" s="2"/>
      <c r="H226" s="2" t="s">
        <v>1280</v>
      </c>
      <c r="I226" s="2" t="s">
        <v>1281</v>
      </c>
      <c r="J226" s="2" t="s">
        <v>6007</v>
      </c>
      <c r="K226" s="2" t="s">
        <v>19802</v>
      </c>
      <c r="L226" s="2"/>
      <c r="M226" s="2"/>
      <c r="N226" s="2"/>
      <c r="O226" s="2" t="s">
        <v>1280</v>
      </c>
      <c r="P226" s="2" t="s">
        <v>1281</v>
      </c>
      <c r="Q226" s="2" t="s">
        <v>6007</v>
      </c>
      <c r="R226" s="2" t="s">
        <v>17975</v>
      </c>
      <c r="S226" s="2" t="s">
        <v>44</v>
      </c>
      <c r="T226" s="2"/>
      <c r="U226" s="2" t="s">
        <v>821</v>
      </c>
      <c r="V226" s="2" t="s">
        <v>46</v>
      </c>
      <c r="W226" s="2" t="s">
        <v>821</v>
      </c>
      <c r="X226" s="2" t="s">
        <v>10787</v>
      </c>
      <c r="Y226" s="2" t="s">
        <v>10801</v>
      </c>
      <c r="Z226" s="2" t="s">
        <v>7864</v>
      </c>
      <c r="AA226" s="2">
        <v>90</v>
      </c>
      <c r="AB226" s="2">
        <v>2</v>
      </c>
      <c r="AC226" s="2" t="s">
        <v>10789</v>
      </c>
      <c r="AD226" s="2" t="s">
        <v>19803</v>
      </c>
      <c r="AE226" s="2" t="s">
        <v>18260</v>
      </c>
      <c r="AF226" s="2"/>
      <c r="AG226" s="2" t="s">
        <v>18250</v>
      </c>
    </row>
    <row r="227" spans="1:33" x14ac:dyDescent="0.45">
      <c r="A227" s="2" t="s">
        <v>19804</v>
      </c>
      <c r="B227" s="2" t="s">
        <v>19805</v>
      </c>
      <c r="C227" s="2" t="s">
        <v>19804</v>
      </c>
      <c r="D227" s="2" t="s">
        <v>19806</v>
      </c>
      <c r="E227" s="2" t="s">
        <v>19807</v>
      </c>
      <c r="F227" s="2" t="s">
        <v>19808</v>
      </c>
      <c r="G227" s="2" t="s">
        <v>19808</v>
      </c>
      <c r="H227" s="2" t="s">
        <v>312</v>
      </c>
      <c r="I227" s="2" t="s">
        <v>313</v>
      </c>
      <c r="J227" s="2" t="s">
        <v>11535</v>
      </c>
      <c r="K227" s="2" t="s">
        <v>19806</v>
      </c>
      <c r="L227" s="2"/>
      <c r="M227" s="2"/>
      <c r="N227" s="2"/>
      <c r="O227" s="2" t="s">
        <v>312</v>
      </c>
      <c r="P227" s="2" t="s">
        <v>313</v>
      </c>
      <c r="Q227" s="2" t="s">
        <v>11535</v>
      </c>
      <c r="R227" s="2" t="s">
        <v>5566</v>
      </c>
      <c r="S227" s="2" t="s">
        <v>44</v>
      </c>
      <c r="T227" s="2"/>
      <c r="U227" s="2" t="s">
        <v>3527</v>
      </c>
      <c r="V227" s="2" t="s">
        <v>46</v>
      </c>
      <c r="W227" s="2" t="s">
        <v>3527</v>
      </c>
      <c r="X227" s="2" t="s">
        <v>10787</v>
      </c>
      <c r="Y227" s="2" t="s">
        <v>10801</v>
      </c>
      <c r="Z227" s="2" t="s">
        <v>7864</v>
      </c>
      <c r="AA227" s="2">
        <v>100</v>
      </c>
      <c r="AB227" s="2">
        <v>10</v>
      </c>
      <c r="AC227" s="2" t="s">
        <v>10789</v>
      </c>
      <c r="AD227" s="2" t="s">
        <v>19809</v>
      </c>
      <c r="AE227" s="2" t="s">
        <v>18260</v>
      </c>
      <c r="AF227" s="2"/>
      <c r="AG227" s="2" t="s">
        <v>18250</v>
      </c>
    </row>
    <row r="228" spans="1:33" x14ac:dyDescent="0.45">
      <c r="A228" s="2" t="s">
        <v>19810</v>
      </c>
      <c r="B228" s="2" t="s">
        <v>19811</v>
      </c>
      <c r="C228" s="2" t="s">
        <v>19810</v>
      </c>
      <c r="D228" s="2" t="s">
        <v>19812</v>
      </c>
      <c r="E228" s="2" t="s">
        <v>19813</v>
      </c>
      <c r="F228" s="2"/>
      <c r="G228" s="2"/>
      <c r="H228" s="2" t="s">
        <v>536</v>
      </c>
      <c r="I228" s="2" t="s">
        <v>537</v>
      </c>
      <c r="J228" s="2" t="s">
        <v>18926</v>
      </c>
      <c r="K228" s="2" t="s">
        <v>19814</v>
      </c>
      <c r="L228" s="2"/>
      <c r="M228" s="2"/>
      <c r="N228" s="2"/>
      <c r="O228" s="2" t="s">
        <v>536</v>
      </c>
      <c r="P228" s="2" t="s">
        <v>537</v>
      </c>
      <c r="Q228" s="2" t="s">
        <v>18926</v>
      </c>
      <c r="R228" s="2" t="s">
        <v>4984</v>
      </c>
      <c r="S228" s="2" t="s">
        <v>44</v>
      </c>
      <c r="T228" s="2"/>
      <c r="U228" s="2" t="s">
        <v>3527</v>
      </c>
      <c r="V228" s="2" t="s">
        <v>46</v>
      </c>
      <c r="W228" s="2" t="s">
        <v>3527</v>
      </c>
      <c r="X228" s="2" t="s">
        <v>10787</v>
      </c>
      <c r="Y228" s="2" t="s">
        <v>10801</v>
      </c>
      <c r="Z228" s="2" t="s">
        <v>7864</v>
      </c>
      <c r="AA228" s="2">
        <v>90</v>
      </c>
      <c r="AB228" s="2">
        <v>0</v>
      </c>
      <c r="AC228" s="2" t="s">
        <v>10789</v>
      </c>
      <c r="AD228" s="2" t="s">
        <v>19815</v>
      </c>
      <c r="AE228" s="2" t="s">
        <v>18260</v>
      </c>
      <c r="AF228" s="2"/>
      <c r="AG228" s="2" t="s">
        <v>18250</v>
      </c>
    </row>
    <row r="229" spans="1:33" x14ac:dyDescent="0.45">
      <c r="A229" s="2" t="s">
        <v>19816</v>
      </c>
      <c r="B229" s="2" t="s">
        <v>19817</v>
      </c>
      <c r="C229" s="2" t="s">
        <v>19816</v>
      </c>
      <c r="D229" s="2" t="s">
        <v>19818</v>
      </c>
      <c r="E229" s="2" t="s">
        <v>19819</v>
      </c>
      <c r="F229" s="2"/>
      <c r="G229" s="2"/>
      <c r="H229" s="2" t="s">
        <v>59</v>
      </c>
      <c r="I229" s="2" t="s">
        <v>60</v>
      </c>
      <c r="J229" s="2" t="s">
        <v>1100</v>
      </c>
      <c r="K229" s="2" t="s">
        <v>19818</v>
      </c>
      <c r="L229" s="2"/>
      <c r="M229" s="2"/>
      <c r="N229" s="2"/>
      <c r="O229" s="2" t="s">
        <v>59</v>
      </c>
      <c r="P229" s="2" t="s">
        <v>60</v>
      </c>
      <c r="Q229" s="2" t="s">
        <v>1100</v>
      </c>
      <c r="R229" s="2" t="s">
        <v>19820</v>
      </c>
      <c r="S229" s="2" t="s">
        <v>44</v>
      </c>
      <c r="T229" s="2"/>
      <c r="U229" s="2" t="s">
        <v>3527</v>
      </c>
      <c r="V229" s="2" t="s">
        <v>46</v>
      </c>
      <c r="W229" s="2" t="s">
        <v>3527</v>
      </c>
      <c r="X229" s="2" t="s">
        <v>11537</v>
      </c>
      <c r="Y229" s="2" t="s">
        <v>10801</v>
      </c>
      <c r="Z229" s="2" t="s">
        <v>7864</v>
      </c>
      <c r="AA229" s="2">
        <v>90</v>
      </c>
      <c r="AB229" s="2">
        <v>0</v>
      </c>
      <c r="AC229" s="2" t="s">
        <v>10789</v>
      </c>
      <c r="AD229" s="2" t="s">
        <v>19821</v>
      </c>
      <c r="AE229" s="2" t="s">
        <v>18260</v>
      </c>
      <c r="AF229" s="2"/>
      <c r="AG229" s="2" t="s">
        <v>18250</v>
      </c>
    </row>
    <row r="230" spans="1:33" x14ac:dyDescent="0.45">
      <c r="A230" s="2" t="s">
        <v>19822</v>
      </c>
      <c r="B230" s="2" t="s">
        <v>19823</v>
      </c>
      <c r="C230" s="2" t="s">
        <v>19824</v>
      </c>
      <c r="D230" s="2" t="s">
        <v>19825</v>
      </c>
      <c r="E230" s="2" t="s">
        <v>19826</v>
      </c>
      <c r="F230" s="2"/>
      <c r="G230" s="2"/>
      <c r="H230" s="2" t="s">
        <v>12898</v>
      </c>
      <c r="I230" s="2" t="s">
        <v>73</v>
      </c>
      <c r="J230" s="2" t="s">
        <v>13603</v>
      </c>
      <c r="K230" s="2" t="s">
        <v>19825</v>
      </c>
      <c r="L230" s="2"/>
      <c r="M230" s="2"/>
      <c r="N230" s="2"/>
      <c r="O230" s="2" t="s">
        <v>12898</v>
      </c>
      <c r="P230" s="2" t="s">
        <v>73</v>
      </c>
      <c r="Q230" s="2" t="s">
        <v>13603</v>
      </c>
      <c r="R230" s="2" t="s">
        <v>560</v>
      </c>
      <c r="S230" s="2" t="s">
        <v>44</v>
      </c>
      <c r="T230" s="2"/>
      <c r="U230" s="2" t="s">
        <v>3527</v>
      </c>
      <c r="V230" s="2" t="s">
        <v>46</v>
      </c>
      <c r="W230" s="2" t="s">
        <v>3527</v>
      </c>
      <c r="X230" s="2" t="s">
        <v>10787</v>
      </c>
      <c r="Y230" s="2" t="s">
        <v>10801</v>
      </c>
      <c r="Z230" s="2" t="s">
        <v>7864</v>
      </c>
      <c r="AA230" s="2">
        <v>90</v>
      </c>
      <c r="AB230" s="2">
        <v>0</v>
      </c>
      <c r="AC230" s="2" t="s">
        <v>10789</v>
      </c>
      <c r="AD230" s="2" t="s">
        <v>19827</v>
      </c>
      <c r="AE230" s="2" t="s">
        <v>18260</v>
      </c>
      <c r="AF230" s="2"/>
      <c r="AG230" s="2" t="s">
        <v>18250</v>
      </c>
    </row>
    <row r="231" spans="1:33" x14ac:dyDescent="0.45">
      <c r="A231" s="2" t="s">
        <v>19828</v>
      </c>
      <c r="B231" s="2" t="s">
        <v>19829</v>
      </c>
      <c r="C231" s="2" t="s">
        <v>19830</v>
      </c>
      <c r="D231" s="2" t="s">
        <v>19831</v>
      </c>
      <c r="E231" s="2" t="s">
        <v>19832</v>
      </c>
      <c r="F231" s="2"/>
      <c r="G231" s="2"/>
      <c r="H231" s="2" t="s">
        <v>290</v>
      </c>
      <c r="I231" s="2" t="s">
        <v>278</v>
      </c>
      <c r="J231" s="2" t="s">
        <v>19833</v>
      </c>
      <c r="K231" s="2" t="s">
        <v>19831</v>
      </c>
      <c r="L231" s="2"/>
      <c r="M231" s="2"/>
      <c r="N231" s="2"/>
      <c r="O231" s="2" t="s">
        <v>290</v>
      </c>
      <c r="P231" s="2" t="s">
        <v>278</v>
      </c>
      <c r="Q231" s="2" t="s">
        <v>19833</v>
      </c>
      <c r="R231" s="2" t="s">
        <v>178</v>
      </c>
      <c r="S231" s="2" t="s">
        <v>44</v>
      </c>
      <c r="T231" s="2"/>
      <c r="U231" s="2" t="s">
        <v>821</v>
      </c>
      <c r="V231" s="2" t="s">
        <v>46</v>
      </c>
      <c r="W231" s="2" t="s">
        <v>821</v>
      </c>
      <c r="X231" s="2" t="s">
        <v>10787</v>
      </c>
      <c r="Y231" s="2" t="s">
        <v>10801</v>
      </c>
      <c r="Z231" s="2" t="s">
        <v>7864</v>
      </c>
      <c r="AA231" s="2">
        <v>90</v>
      </c>
      <c r="AB231" s="2">
        <v>7</v>
      </c>
      <c r="AC231" s="2" t="s">
        <v>10789</v>
      </c>
      <c r="AD231" s="2" t="s">
        <v>19834</v>
      </c>
      <c r="AE231" s="2" t="s">
        <v>18260</v>
      </c>
      <c r="AF231" s="2"/>
      <c r="AG231" s="2" t="s">
        <v>18250</v>
      </c>
    </row>
    <row r="232" spans="1:33" x14ac:dyDescent="0.45">
      <c r="A232" s="2" t="s">
        <v>19835</v>
      </c>
      <c r="B232" s="2" t="s">
        <v>19836</v>
      </c>
      <c r="C232" s="2" t="s">
        <v>19837</v>
      </c>
      <c r="D232" s="2" t="s">
        <v>19838</v>
      </c>
      <c r="E232" s="2" t="s">
        <v>19839</v>
      </c>
      <c r="F232" s="2" t="s">
        <v>19840</v>
      </c>
      <c r="G232" s="2" t="s">
        <v>19840</v>
      </c>
      <c r="H232" s="2" t="s">
        <v>14125</v>
      </c>
      <c r="I232" s="2" t="s">
        <v>8496</v>
      </c>
      <c r="J232" s="2" t="s">
        <v>19841</v>
      </c>
      <c r="K232" s="2"/>
      <c r="L232" s="2"/>
      <c r="M232" s="2"/>
      <c r="N232" s="2"/>
      <c r="O232" s="2"/>
      <c r="P232" s="2"/>
      <c r="Q232" s="2"/>
      <c r="R232" s="2" t="s">
        <v>18896</v>
      </c>
      <c r="S232" s="2" t="s">
        <v>44</v>
      </c>
      <c r="T232" s="2"/>
      <c r="U232" s="2" t="s">
        <v>3527</v>
      </c>
      <c r="V232" s="2" t="s">
        <v>46</v>
      </c>
      <c r="W232" s="2" t="s">
        <v>3527</v>
      </c>
      <c r="X232" s="2" t="s">
        <v>10787</v>
      </c>
      <c r="Y232" s="2" t="s">
        <v>10801</v>
      </c>
      <c r="Z232" s="2" t="s">
        <v>7864</v>
      </c>
      <c r="AA232" s="2">
        <v>100</v>
      </c>
      <c r="AB232" s="2">
        <v>5</v>
      </c>
      <c r="AC232" s="2" t="s">
        <v>10789</v>
      </c>
      <c r="AD232" s="2" t="s">
        <v>19842</v>
      </c>
      <c r="AE232" s="2" t="s">
        <v>18260</v>
      </c>
      <c r="AF232" s="2"/>
      <c r="AG232" s="2" t="s">
        <v>18250</v>
      </c>
    </row>
    <row r="233" spans="1:33" x14ac:dyDescent="0.45">
      <c r="A233" s="2" t="s">
        <v>19843</v>
      </c>
      <c r="B233" s="2" t="s">
        <v>19844</v>
      </c>
      <c r="C233" s="2" t="s">
        <v>19845</v>
      </c>
      <c r="D233" s="2" t="s">
        <v>19846</v>
      </c>
      <c r="E233" s="2" t="s">
        <v>19847</v>
      </c>
      <c r="F233" s="2" t="s">
        <v>19848</v>
      </c>
      <c r="G233" s="2" t="s">
        <v>19848</v>
      </c>
      <c r="H233" s="2" t="s">
        <v>59</v>
      </c>
      <c r="I233" s="2" t="s">
        <v>60</v>
      </c>
      <c r="J233" s="2" t="s">
        <v>5002</v>
      </c>
      <c r="K233" s="2"/>
      <c r="L233" s="2"/>
      <c r="M233" s="2"/>
      <c r="N233" s="2"/>
      <c r="O233" s="2"/>
      <c r="P233" s="2"/>
      <c r="Q233" s="2"/>
      <c r="R233" s="2" t="s">
        <v>5678</v>
      </c>
      <c r="S233" s="2" t="s">
        <v>44</v>
      </c>
      <c r="T233" s="2"/>
      <c r="U233" s="2" t="s">
        <v>3527</v>
      </c>
      <c r="V233" s="2" t="s">
        <v>46</v>
      </c>
      <c r="W233" s="2" t="s">
        <v>3527</v>
      </c>
      <c r="X233" s="2" t="s">
        <v>10787</v>
      </c>
      <c r="Y233" s="2" t="s">
        <v>10801</v>
      </c>
      <c r="Z233" s="2" t="s">
        <v>7864</v>
      </c>
      <c r="AA233" s="2">
        <v>100</v>
      </c>
      <c r="AB233" s="2">
        <v>10</v>
      </c>
      <c r="AC233" s="2" t="s">
        <v>10789</v>
      </c>
      <c r="AD233" s="2" t="s">
        <v>19849</v>
      </c>
      <c r="AE233" s="2" t="s">
        <v>18260</v>
      </c>
      <c r="AF233" s="2"/>
      <c r="AG233" s="2" t="s">
        <v>18250</v>
      </c>
    </row>
    <row r="234" spans="1:33" x14ac:dyDescent="0.45">
      <c r="A234" s="2" t="s">
        <v>19850</v>
      </c>
      <c r="B234" s="2" t="s">
        <v>19851</v>
      </c>
      <c r="C234" s="2" t="s">
        <v>19850</v>
      </c>
      <c r="D234" s="2" t="s">
        <v>19852</v>
      </c>
      <c r="E234" s="2" t="s">
        <v>19853</v>
      </c>
      <c r="F234" s="2" t="s">
        <v>19854</v>
      </c>
      <c r="G234" s="2"/>
      <c r="H234" s="2" t="s">
        <v>5821</v>
      </c>
      <c r="I234" s="2" t="s">
        <v>278</v>
      </c>
      <c r="J234" s="2" t="s">
        <v>19855</v>
      </c>
      <c r="K234" s="2" t="s">
        <v>19856</v>
      </c>
      <c r="L234" s="2"/>
      <c r="M234" s="2"/>
      <c r="N234" s="2"/>
      <c r="O234" s="2" t="s">
        <v>5821</v>
      </c>
      <c r="P234" s="2" t="s">
        <v>278</v>
      </c>
      <c r="Q234" s="2" t="s">
        <v>19855</v>
      </c>
      <c r="R234" s="2" t="s">
        <v>14072</v>
      </c>
      <c r="S234" s="2" t="s">
        <v>44</v>
      </c>
      <c r="T234" s="2"/>
      <c r="U234" s="2" t="s">
        <v>3527</v>
      </c>
      <c r="V234" s="2" t="s">
        <v>46</v>
      </c>
      <c r="W234" s="2" t="s">
        <v>3527</v>
      </c>
      <c r="X234" s="2" t="s">
        <v>10787</v>
      </c>
      <c r="Y234" s="2" t="s">
        <v>10801</v>
      </c>
      <c r="Z234" s="2" t="s">
        <v>7864</v>
      </c>
      <c r="AA234" s="2">
        <v>100</v>
      </c>
      <c r="AB234" s="2">
        <v>5</v>
      </c>
      <c r="AC234" s="2" t="s">
        <v>10789</v>
      </c>
      <c r="AD234" s="2" t="s">
        <v>19857</v>
      </c>
      <c r="AE234" s="2" t="s">
        <v>18260</v>
      </c>
      <c r="AF234" s="2"/>
      <c r="AG234" s="2" t="s">
        <v>18250</v>
      </c>
    </row>
    <row r="235" spans="1:33" x14ac:dyDescent="0.45">
      <c r="A235" s="2" t="s">
        <v>19858</v>
      </c>
      <c r="B235" s="2" t="s">
        <v>19859</v>
      </c>
      <c r="C235" s="2" t="s">
        <v>19860</v>
      </c>
      <c r="D235" s="2" t="s">
        <v>19861</v>
      </c>
      <c r="E235" s="2" t="s">
        <v>19862</v>
      </c>
      <c r="F235" s="2" t="s">
        <v>19863</v>
      </c>
      <c r="G235" s="2" t="s">
        <v>19863</v>
      </c>
      <c r="H235" s="2" t="s">
        <v>13237</v>
      </c>
      <c r="I235" s="2" t="s">
        <v>278</v>
      </c>
      <c r="J235" s="2" t="s">
        <v>19864</v>
      </c>
      <c r="K235" s="2" t="s">
        <v>19865</v>
      </c>
      <c r="L235" s="2"/>
      <c r="M235" s="2"/>
      <c r="N235" s="2"/>
      <c r="O235" s="2" t="s">
        <v>13237</v>
      </c>
      <c r="P235" s="2" t="s">
        <v>278</v>
      </c>
      <c r="Q235" s="2" t="s">
        <v>19864</v>
      </c>
      <c r="R235" s="2" t="s">
        <v>8601</v>
      </c>
      <c r="S235" s="2" t="s">
        <v>44</v>
      </c>
      <c r="T235" s="2"/>
      <c r="U235" s="2" t="s">
        <v>3527</v>
      </c>
      <c r="V235" s="2" t="s">
        <v>46</v>
      </c>
      <c r="W235" s="2" t="s">
        <v>3527</v>
      </c>
      <c r="X235" s="2" t="s">
        <v>10787</v>
      </c>
      <c r="Y235" s="2" t="s">
        <v>10801</v>
      </c>
      <c r="Z235" s="2" t="s">
        <v>7864</v>
      </c>
      <c r="AA235" s="2">
        <v>100</v>
      </c>
      <c r="AB235" s="2">
        <v>5</v>
      </c>
      <c r="AC235" s="2" t="s">
        <v>10789</v>
      </c>
      <c r="AD235" s="2" t="s">
        <v>19866</v>
      </c>
      <c r="AE235" s="2" t="s">
        <v>18260</v>
      </c>
      <c r="AF235" s="2"/>
      <c r="AG235" s="2" t="s">
        <v>18250</v>
      </c>
    </row>
    <row r="236" spans="1:33" x14ac:dyDescent="0.45">
      <c r="A236" s="2" t="s">
        <v>19867</v>
      </c>
      <c r="B236" s="2" t="s">
        <v>19868</v>
      </c>
      <c r="C236" s="2" t="s">
        <v>19867</v>
      </c>
      <c r="D236" s="2" t="s">
        <v>19869</v>
      </c>
      <c r="E236" s="2" t="s">
        <v>19870</v>
      </c>
      <c r="F236" s="2" t="s">
        <v>19871</v>
      </c>
      <c r="G236" s="2"/>
      <c r="H236" s="2" t="s">
        <v>6062</v>
      </c>
      <c r="I236" s="2" t="s">
        <v>217</v>
      </c>
      <c r="J236" s="2" t="s">
        <v>12687</v>
      </c>
      <c r="K236" s="2" t="s">
        <v>19869</v>
      </c>
      <c r="L236" s="2"/>
      <c r="M236" s="2"/>
      <c r="N236" s="2"/>
      <c r="O236" s="2" t="s">
        <v>6062</v>
      </c>
      <c r="P236" s="2" t="s">
        <v>217</v>
      </c>
      <c r="Q236" s="2" t="s">
        <v>12687</v>
      </c>
      <c r="R236" s="2" t="s">
        <v>153</v>
      </c>
      <c r="S236" s="2" t="s">
        <v>44</v>
      </c>
      <c r="T236" s="2"/>
      <c r="U236" s="2" t="s">
        <v>3527</v>
      </c>
      <c r="V236" s="2" t="s">
        <v>46</v>
      </c>
      <c r="W236" s="2" t="s">
        <v>3527</v>
      </c>
      <c r="X236" s="2" t="s">
        <v>10787</v>
      </c>
      <c r="Y236" s="2" t="s">
        <v>10801</v>
      </c>
      <c r="Z236" s="2" t="s">
        <v>7864</v>
      </c>
      <c r="AA236" s="2">
        <v>100</v>
      </c>
      <c r="AB236" s="2">
        <v>5</v>
      </c>
      <c r="AC236" s="2" t="s">
        <v>10789</v>
      </c>
      <c r="AD236" s="2" t="s">
        <v>19872</v>
      </c>
      <c r="AE236" s="2" t="s">
        <v>18260</v>
      </c>
      <c r="AF236" s="2"/>
      <c r="AG236" s="2" t="s">
        <v>18250</v>
      </c>
    </row>
    <row r="237" spans="1:33" x14ac:dyDescent="0.45">
      <c r="A237" s="2" t="s">
        <v>19873</v>
      </c>
      <c r="B237" s="2" t="s">
        <v>19874</v>
      </c>
      <c r="C237" s="2" t="s">
        <v>19873</v>
      </c>
      <c r="D237" s="2" t="s">
        <v>19875</v>
      </c>
      <c r="E237" s="2" t="s">
        <v>19876</v>
      </c>
      <c r="F237" s="2"/>
      <c r="G237" s="2"/>
      <c r="H237" s="2" t="s">
        <v>384</v>
      </c>
      <c r="I237" s="2" t="s">
        <v>73</v>
      </c>
      <c r="J237" s="2" t="s">
        <v>14742</v>
      </c>
      <c r="K237" s="2" t="s">
        <v>19875</v>
      </c>
      <c r="L237" s="2"/>
      <c r="M237" s="2"/>
      <c r="N237" s="2"/>
      <c r="O237" s="2" t="s">
        <v>384</v>
      </c>
      <c r="P237" s="2" t="s">
        <v>73</v>
      </c>
      <c r="Q237" s="2" t="s">
        <v>14742</v>
      </c>
      <c r="R237" s="2" t="s">
        <v>19877</v>
      </c>
      <c r="S237" s="2" t="s">
        <v>44</v>
      </c>
      <c r="T237" s="2"/>
      <c r="U237" s="2" t="s">
        <v>821</v>
      </c>
      <c r="V237" s="2" t="s">
        <v>46</v>
      </c>
      <c r="W237" s="2" t="s">
        <v>821</v>
      </c>
      <c r="X237" s="2" t="s">
        <v>12028</v>
      </c>
      <c r="Y237" s="2" t="s">
        <v>10801</v>
      </c>
      <c r="Z237" s="2" t="s">
        <v>7864</v>
      </c>
      <c r="AA237" s="2">
        <v>90</v>
      </c>
      <c r="AB237" s="2">
        <v>7</v>
      </c>
      <c r="AC237" s="2" t="s">
        <v>10789</v>
      </c>
      <c r="AD237" s="2" t="s">
        <v>19878</v>
      </c>
      <c r="AE237" s="2" t="s">
        <v>18260</v>
      </c>
      <c r="AF237" s="2"/>
      <c r="AG237" s="2" t="s">
        <v>18250</v>
      </c>
    </row>
    <row r="238" spans="1:33" x14ac:dyDescent="0.45">
      <c r="A238" s="2" t="s">
        <v>19879</v>
      </c>
      <c r="B238" s="2" t="s">
        <v>19880</v>
      </c>
      <c r="C238" s="2" t="s">
        <v>19881</v>
      </c>
      <c r="D238" s="2" t="s">
        <v>19882</v>
      </c>
      <c r="E238" s="2" t="s">
        <v>19883</v>
      </c>
      <c r="F238" s="2" t="s">
        <v>19884</v>
      </c>
      <c r="G238" s="2"/>
      <c r="H238" s="2" t="s">
        <v>11291</v>
      </c>
      <c r="I238" s="2" t="s">
        <v>73</v>
      </c>
      <c r="J238" s="2" t="s">
        <v>19885</v>
      </c>
      <c r="K238" s="2" t="s">
        <v>19882</v>
      </c>
      <c r="L238" s="2"/>
      <c r="M238" s="2"/>
      <c r="N238" s="2"/>
      <c r="O238" s="2" t="s">
        <v>11291</v>
      </c>
      <c r="P238" s="2" t="s">
        <v>73</v>
      </c>
      <c r="Q238" s="2" t="s">
        <v>19885</v>
      </c>
      <c r="R238" s="2" t="s">
        <v>10051</v>
      </c>
      <c r="S238" s="2" t="s">
        <v>44</v>
      </c>
      <c r="T238" s="2"/>
      <c r="U238" s="2" t="s">
        <v>3527</v>
      </c>
      <c r="V238" s="2" t="s">
        <v>46</v>
      </c>
      <c r="W238" s="2" t="s">
        <v>3527</v>
      </c>
      <c r="X238" s="2" t="s">
        <v>10787</v>
      </c>
      <c r="Y238" s="2" t="s">
        <v>10801</v>
      </c>
      <c r="Z238" s="2" t="s">
        <v>7864</v>
      </c>
      <c r="AA238" s="2">
        <v>100</v>
      </c>
      <c r="AB238" s="2">
        <v>5</v>
      </c>
      <c r="AC238" s="2" t="s">
        <v>10789</v>
      </c>
      <c r="AD238" s="2" t="s">
        <v>19886</v>
      </c>
      <c r="AE238" s="2" t="s">
        <v>18260</v>
      </c>
      <c r="AF238" s="2"/>
      <c r="AG238" s="2" t="s">
        <v>18250</v>
      </c>
    </row>
    <row r="239" spans="1:33" x14ac:dyDescent="0.45">
      <c r="A239" s="2" t="s">
        <v>19887</v>
      </c>
      <c r="B239" s="2" t="s">
        <v>19888</v>
      </c>
      <c r="C239" s="2" t="s">
        <v>19889</v>
      </c>
      <c r="D239" s="2" t="s">
        <v>19890</v>
      </c>
      <c r="E239" s="2" t="s">
        <v>19891</v>
      </c>
      <c r="F239" s="2"/>
      <c r="G239" s="2"/>
      <c r="H239" s="2" t="s">
        <v>174</v>
      </c>
      <c r="I239" s="2" t="s">
        <v>175</v>
      </c>
      <c r="J239" s="2" t="s">
        <v>19892</v>
      </c>
      <c r="K239" s="2" t="s">
        <v>19890</v>
      </c>
      <c r="L239" s="2"/>
      <c r="M239" s="2"/>
      <c r="N239" s="2"/>
      <c r="O239" s="2" t="s">
        <v>174</v>
      </c>
      <c r="P239" s="2" t="s">
        <v>175</v>
      </c>
      <c r="Q239" s="2" t="s">
        <v>19892</v>
      </c>
      <c r="R239" s="2" t="s">
        <v>11004</v>
      </c>
      <c r="S239" s="2" t="s">
        <v>44</v>
      </c>
      <c r="T239" s="2"/>
      <c r="U239" s="2" t="s">
        <v>3527</v>
      </c>
      <c r="V239" s="2" t="s">
        <v>46</v>
      </c>
      <c r="W239" s="2" t="s">
        <v>3527</v>
      </c>
      <c r="X239" s="2" t="s">
        <v>10787</v>
      </c>
      <c r="Y239" s="2" t="s">
        <v>10801</v>
      </c>
      <c r="Z239" s="2" t="s">
        <v>7864</v>
      </c>
      <c r="AA239" s="2">
        <v>90</v>
      </c>
      <c r="AB239" s="2">
        <v>0</v>
      </c>
      <c r="AC239" s="2" t="s">
        <v>10789</v>
      </c>
      <c r="AD239" s="2" t="s">
        <v>19893</v>
      </c>
      <c r="AE239" s="2" t="s">
        <v>18260</v>
      </c>
      <c r="AF239" s="2"/>
      <c r="AG239" s="2" t="s">
        <v>18250</v>
      </c>
    </row>
    <row r="240" spans="1:33" x14ac:dyDescent="0.45">
      <c r="A240" s="2" t="s">
        <v>15447</v>
      </c>
      <c r="B240" s="2" t="s">
        <v>19894</v>
      </c>
      <c r="C240" s="2" t="s">
        <v>15447</v>
      </c>
      <c r="D240" s="2" t="s">
        <v>19895</v>
      </c>
      <c r="E240" s="2" t="s">
        <v>19896</v>
      </c>
      <c r="F240" s="2" t="s">
        <v>19897</v>
      </c>
      <c r="G240" s="2"/>
      <c r="H240" s="2" t="s">
        <v>1269</v>
      </c>
      <c r="I240" s="2" t="s">
        <v>1176</v>
      </c>
      <c r="J240" s="2" t="s">
        <v>18743</v>
      </c>
      <c r="K240" s="2" t="s">
        <v>19895</v>
      </c>
      <c r="L240" s="2"/>
      <c r="M240" s="2"/>
      <c r="N240" s="2"/>
      <c r="O240" s="2" t="s">
        <v>1269</v>
      </c>
      <c r="P240" s="2" t="s">
        <v>1176</v>
      </c>
      <c r="Q240" s="2" t="s">
        <v>18743</v>
      </c>
      <c r="R240" s="2" t="s">
        <v>11021</v>
      </c>
      <c r="S240" s="2" t="s">
        <v>44</v>
      </c>
      <c r="T240" s="2"/>
      <c r="U240" s="2" t="s">
        <v>3527</v>
      </c>
      <c r="V240" s="2" t="s">
        <v>46</v>
      </c>
      <c r="W240" s="2" t="s">
        <v>3527</v>
      </c>
      <c r="X240" s="2" t="s">
        <v>10787</v>
      </c>
      <c r="Y240" s="2" t="s">
        <v>10801</v>
      </c>
      <c r="Z240" s="2" t="s">
        <v>7864</v>
      </c>
      <c r="AA240" s="2">
        <v>100</v>
      </c>
      <c r="AB240" s="2">
        <v>5</v>
      </c>
      <c r="AC240" s="2" t="s">
        <v>10789</v>
      </c>
      <c r="AD240" s="2" t="s">
        <v>19898</v>
      </c>
      <c r="AE240" s="2" t="s">
        <v>18260</v>
      </c>
      <c r="AF240" s="2"/>
      <c r="AG240" s="2" t="s">
        <v>18250</v>
      </c>
    </row>
    <row r="241" spans="1:33" x14ac:dyDescent="0.45">
      <c r="A241" s="2" t="s">
        <v>19899</v>
      </c>
      <c r="B241" s="2" t="s">
        <v>19900</v>
      </c>
      <c r="C241" s="2" t="s">
        <v>19901</v>
      </c>
      <c r="D241" s="2" t="s">
        <v>19902</v>
      </c>
      <c r="E241" s="2" t="s">
        <v>19903</v>
      </c>
      <c r="F241" s="2" t="s">
        <v>19904</v>
      </c>
      <c r="G241" s="2" t="s">
        <v>19904</v>
      </c>
      <c r="H241" s="2" t="s">
        <v>312</v>
      </c>
      <c r="I241" s="2" t="s">
        <v>313</v>
      </c>
      <c r="J241" s="2" t="s">
        <v>10100</v>
      </c>
      <c r="K241" s="2"/>
      <c r="L241" s="2"/>
      <c r="M241" s="2"/>
      <c r="N241" s="2"/>
      <c r="O241" s="2"/>
      <c r="P241" s="2"/>
      <c r="Q241" s="2"/>
      <c r="R241" s="2" t="s">
        <v>5479</v>
      </c>
      <c r="S241" s="2" t="s">
        <v>44</v>
      </c>
      <c r="T241" s="2"/>
      <c r="U241" s="2" t="s">
        <v>3527</v>
      </c>
      <c r="V241" s="2" t="s">
        <v>46</v>
      </c>
      <c r="W241" s="2" t="s">
        <v>3527</v>
      </c>
      <c r="X241" s="2" t="s">
        <v>10787</v>
      </c>
      <c r="Y241" s="2" t="s">
        <v>10801</v>
      </c>
      <c r="Z241" s="2" t="s">
        <v>7864</v>
      </c>
      <c r="AA241" s="2">
        <v>100</v>
      </c>
      <c r="AB241" s="2">
        <v>10</v>
      </c>
      <c r="AC241" s="2" t="s">
        <v>10789</v>
      </c>
      <c r="AD241" s="2" t="s">
        <v>19905</v>
      </c>
      <c r="AE241" s="2" t="s">
        <v>18260</v>
      </c>
      <c r="AF241" s="2"/>
      <c r="AG241" s="2" t="s">
        <v>18250</v>
      </c>
    </row>
    <row r="242" spans="1:33" x14ac:dyDescent="0.45">
      <c r="A242" s="2" t="s">
        <v>19906</v>
      </c>
      <c r="B242" s="2" t="s">
        <v>19907</v>
      </c>
      <c r="C242" s="2" t="s">
        <v>19908</v>
      </c>
      <c r="D242" s="2" t="s">
        <v>19909</v>
      </c>
      <c r="E242" s="2" t="s">
        <v>19910</v>
      </c>
      <c r="F242" s="2" t="s">
        <v>19911</v>
      </c>
      <c r="G242" s="2"/>
      <c r="H242" s="2" t="s">
        <v>5821</v>
      </c>
      <c r="I242" s="2" t="s">
        <v>278</v>
      </c>
      <c r="J242" s="2" t="s">
        <v>19912</v>
      </c>
      <c r="K242" s="2" t="s">
        <v>19913</v>
      </c>
      <c r="L242" s="2"/>
      <c r="M242" s="2"/>
      <c r="N242" s="2"/>
      <c r="O242" s="2" t="s">
        <v>5821</v>
      </c>
      <c r="P242" s="2" t="s">
        <v>278</v>
      </c>
      <c r="Q242" s="2" t="s">
        <v>19912</v>
      </c>
      <c r="R242" s="2" t="s">
        <v>2811</v>
      </c>
      <c r="S242" s="2" t="s">
        <v>44</v>
      </c>
      <c r="T242" s="2"/>
      <c r="U242" s="2" t="s">
        <v>821</v>
      </c>
      <c r="V242" s="2" t="s">
        <v>46</v>
      </c>
      <c r="W242" s="2" t="s">
        <v>821</v>
      </c>
      <c r="X242" s="2" t="s">
        <v>10787</v>
      </c>
      <c r="Y242" s="2" t="s">
        <v>10801</v>
      </c>
      <c r="Z242" s="2" t="s">
        <v>7864</v>
      </c>
      <c r="AA242" s="2">
        <v>100</v>
      </c>
      <c r="AB242" s="2">
        <v>12</v>
      </c>
      <c r="AC242" s="2" t="s">
        <v>10789</v>
      </c>
      <c r="AD242" s="2" t="s">
        <v>19914</v>
      </c>
      <c r="AE242" s="2" t="s">
        <v>18260</v>
      </c>
      <c r="AF242" s="2"/>
      <c r="AG242" s="2" t="s">
        <v>18250</v>
      </c>
    </row>
    <row r="243" spans="1:33" x14ac:dyDescent="0.45">
      <c r="A243" s="2" t="s">
        <v>19915</v>
      </c>
      <c r="B243" s="2" t="s">
        <v>19916</v>
      </c>
      <c r="C243" s="2" t="s">
        <v>19917</v>
      </c>
      <c r="D243" s="2" t="s">
        <v>19918</v>
      </c>
      <c r="E243" s="2" t="s">
        <v>19919</v>
      </c>
      <c r="F243" s="2" t="s">
        <v>19920</v>
      </c>
      <c r="G243" s="2" t="s">
        <v>19920</v>
      </c>
      <c r="H243" s="2" t="s">
        <v>72</v>
      </c>
      <c r="I243" s="2" t="s">
        <v>73</v>
      </c>
      <c r="J243" s="2" t="s">
        <v>243</v>
      </c>
      <c r="K243" s="2"/>
      <c r="L243" s="2"/>
      <c r="M243" s="2"/>
      <c r="N243" s="2"/>
      <c r="O243" s="2"/>
      <c r="P243" s="2"/>
      <c r="Q243" s="2"/>
      <c r="R243" s="2" t="s">
        <v>801</v>
      </c>
      <c r="S243" s="2" t="s">
        <v>44</v>
      </c>
      <c r="T243" s="2"/>
      <c r="U243" s="2" t="s">
        <v>3527</v>
      </c>
      <c r="V243" s="2" t="s">
        <v>46</v>
      </c>
      <c r="W243" s="2" t="s">
        <v>3527</v>
      </c>
      <c r="X243" s="2" t="s">
        <v>12462</v>
      </c>
      <c r="Y243" s="2" t="s">
        <v>10801</v>
      </c>
      <c r="Z243" s="2" t="s">
        <v>7864</v>
      </c>
      <c r="AA243" s="2">
        <v>100</v>
      </c>
      <c r="AB243" s="2">
        <v>10</v>
      </c>
      <c r="AC243" s="2" t="s">
        <v>10789</v>
      </c>
      <c r="AD243" s="2" t="s">
        <v>19921</v>
      </c>
      <c r="AE243" s="2" t="s">
        <v>18260</v>
      </c>
      <c r="AF243" s="2"/>
      <c r="AG243" s="2" t="s">
        <v>18250</v>
      </c>
    </row>
    <row r="244" spans="1:33" x14ac:dyDescent="0.45">
      <c r="A244" s="2" t="s">
        <v>19922</v>
      </c>
      <c r="B244" s="2" t="s">
        <v>19923</v>
      </c>
      <c r="C244" s="2" t="s">
        <v>19924</v>
      </c>
      <c r="D244" s="2" t="s">
        <v>19925</v>
      </c>
      <c r="E244" s="2" t="s">
        <v>19926</v>
      </c>
      <c r="F244" s="2" t="s">
        <v>19927</v>
      </c>
      <c r="G244" s="2" t="s">
        <v>19927</v>
      </c>
      <c r="H244" s="2" t="s">
        <v>2962</v>
      </c>
      <c r="I244" s="2" t="s">
        <v>73</v>
      </c>
      <c r="J244" s="2" t="s">
        <v>2963</v>
      </c>
      <c r="K244" s="2" t="s">
        <v>19925</v>
      </c>
      <c r="L244" s="2"/>
      <c r="M244" s="2"/>
      <c r="N244" s="2"/>
      <c r="O244" s="2" t="s">
        <v>2962</v>
      </c>
      <c r="P244" s="2" t="s">
        <v>73</v>
      </c>
      <c r="Q244" s="2" t="s">
        <v>2963</v>
      </c>
      <c r="R244" s="2" t="s">
        <v>19928</v>
      </c>
      <c r="S244" s="2" t="s">
        <v>44</v>
      </c>
      <c r="T244" s="2"/>
      <c r="U244" s="2" t="s">
        <v>821</v>
      </c>
      <c r="V244" s="2" t="s">
        <v>46</v>
      </c>
      <c r="W244" s="2" t="s">
        <v>821</v>
      </c>
      <c r="X244" s="2" t="s">
        <v>10787</v>
      </c>
      <c r="Y244" s="2" t="s">
        <v>10801</v>
      </c>
      <c r="Z244" s="2" t="s">
        <v>7864</v>
      </c>
      <c r="AA244" s="2">
        <v>100</v>
      </c>
      <c r="AB244" s="2">
        <v>12</v>
      </c>
      <c r="AC244" s="2" t="s">
        <v>10789</v>
      </c>
      <c r="AD244" s="2" t="s">
        <v>19929</v>
      </c>
      <c r="AE244" s="2" t="s">
        <v>18260</v>
      </c>
      <c r="AF244" s="2"/>
      <c r="AG244" s="2" t="s">
        <v>18250</v>
      </c>
    </row>
    <row r="245" spans="1:33" x14ac:dyDescent="0.45">
      <c r="A245" s="2" t="s">
        <v>19930</v>
      </c>
      <c r="B245" s="2" t="s">
        <v>19931</v>
      </c>
      <c r="C245" s="2" t="s">
        <v>19930</v>
      </c>
      <c r="D245" s="2" t="s">
        <v>19932</v>
      </c>
      <c r="E245" s="2" t="s">
        <v>19933</v>
      </c>
      <c r="F245" s="2" t="s">
        <v>19934</v>
      </c>
      <c r="G245" s="2"/>
      <c r="H245" s="2" t="s">
        <v>1208</v>
      </c>
      <c r="I245" s="2" t="s">
        <v>1209</v>
      </c>
      <c r="J245" s="2" t="s">
        <v>19935</v>
      </c>
      <c r="K245" s="2" t="s">
        <v>19936</v>
      </c>
      <c r="L245" s="2"/>
      <c r="M245" s="2"/>
      <c r="N245" s="2"/>
      <c r="O245" s="2" t="s">
        <v>1208</v>
      </c>
      <c r="P245" s="2" t="s">
        <v>1209</v>
      </c>
      <c r="Q245" s="2" t="s">
        <v>19935</v>
      </c>
      <c r="R245" s="2" t="s">
        <v>19937</v>
      </c>
      <c r="S245" s="2" t="s">
        <v>44</v>
      </c>
      <c r="T245" s="2"/>
      <c r="U245" s="2" t="s">
        <v>3527</v>
      </c>
      <c r="V245" s="2" t="s">
        <v>46</v>
      </c>
      <c r="W245" s="2" t="s">
        <v>3527</v>
      </c>
      <c r="X245" s="2" t="s">
        <v>10787</v>
      </c>
      <c r="Y245" s="2" t="s">
        <v>10801</v>
      </c>
      <c r="Z245" s="2" t="s">
        <v>7864</v>
      </c>
      <c r="AA245" s="2">
        <v>100</v>
      </c>
      <c r="AB245" s="2">
        <v>5</v>
      </c>
      <c r="AC245" s="2" t="s">
        <v>10789</v>
      </c>
      <c r="AD245" s="2" t="s">
        <v>19938</v>
      </c>
      <c r="AE245" s="2" t="s">
        <v>18260</v>
      </c>
      <c r="AF245" s="2"/>
      <c r="AG245" s="2" t="s">
        <v>18250</v>
      </c>
    </row>
    <row r="246" spans="1:33" x14ac:dyDescent="0.45">
      <c r="A246" s="2" t="s">
        <v>19939</v>
      </c>
      <c r="B246" s="2" t="s">
        <v>19940</v>
      </c>
      <c r="C246" s="2" t="s">
        <v>19941</v>
      </c>
      <c r="D246" s="2" t="s">
        <v>19942</v>
      </c>
      <c r="E246" s="2" t="s">
        <v>19943</v>
      </c>
      <c r="F246" s="2" t="s">
        <v>19944</v>
      </c>
      <c r="G246" s="2"/>
      <c r="H246" s="2" t="s">
        <v>1136</v>
      </c>
      <c r="I246" s="2" t="s">
        <v>1137</v>
      </c>
      <c r="J246" s="2" t="s">
        <v>17122</v>
      </c>
      <c r="K246" s="2" t="s">
        <v>19945</v>
      </c>
      <c r="L246" s="2"/>
      <c r="M246" s="2"/>
      <c r="N246" s="2"/>
      <c r="O246" s="2" t="s">
        <v>1136</v>
      </c>
      <c r="P246" s="2" t="s">
        <v>1137</v>
      </c>
      <c r="Q246" s="2" t="s">
        <v>17122</v>
      </c>
      <c r="R246" s="2" t="s">
        <v>19946</v>
      </c>
      <c r="S246" s="2" t="s">
        <v>44</v>
      </c>
      <c r="T246" s="2"/>
      <c r="U246" s="2" t="s">
        <v>821</v>
      </c>
      <c r="V246" s="2" t="s">
        <v>46</v>
      </c>
      <c r="W246" s="2" t="s">
        <v>821</v>
      </c>
      <c r="X246" s="2" t="s">
        <v>10787</v>
      </c>
      <c r="Y246" s="2" t="s">
        <v>10801</v>
      </c>
      <c r="Z246" s="2" t="s">
        <v>7864</v>
      </c>
      <c r="AA246" s="2">
        <v>100</v>
      </c>
      <c r="AB246" s="2">
        <v>12</v>
      </c>
      <c r="AC246" s="2" t="s">
        <v>10789</v>
      </c>
      <c r="AD246" s="2" t="s">
        <v>19947</v>
      </c>
      <c r="AE246" s="2" t="s">
        <v>18260</v>
      </c>
      <c r="AF246" s="2"/>
      <c r="AG246" s="2" t="s">
        <v>18250</v>
      </c>
    </row>
    <row r="247" spans="1:33" x14ac:dyDescent="0.45">
      <c r="A247" s="2" t="s">
        <v>19948</v>
      </c>
      <c r="B247" s="2" t="s">
        <v>19949</v>
      </c>
      <c r="C247" s="2" t="s">
        <v>19948</v>
      </c>
      <c r="D247" s="2" t="s">
        <v>19950</v>
      </c>
      <c r="E247" s="2" t="s">
        <v>19951</v>
      </c>
      <c r="F247" s="2" t="s">
        <v>19952</v>
      </c>
      <c r="G247" s="2" t="s">
        <v>19952</v>
      </c>
      <c r="H247" s="2" t="s">
        <v>324</v>
      </c>
      <c r="I247" s="2" t="s">
        <v>73</v>
      </c>
      <c r="J247" s="2" t="s">
        <v>162</v>
      </c>
      <c r="K247" s="2" t="s">
        <v>19953</v>
      </c>
      <c r="L247" s="2"/>
      <c r="M247" s="2"/>
      <c r="N247" s="2"/>
      <c r="O247" s="2" t="s">
        <v>72</v>
      </c>
      <c r="P247" s="2" t="s">
        <v>73</v>
      </c>
      <c r="Q247" s="2" t="s">
        <v>162</v>
      </c>
      <c r="R247" s="2" t="s">
        <v>6250</v>
      </c>
      <c r="S247" s="2" t="s">
        <v>44</v>
      </c>
      <c r="T247" s="2"/>
      <c r="U247" s="2" t="s">
        <v>3527</v>
      </c>
      <c r="V247" s="2" t="s">
        <v>46</v>
      </c>
      <c r="W247" s="2" t="s">
        <v>3527</v>
      </c>
      <c r="X247" s="2" t="s">
        <v>10787</v>
      </c>
      <c r="Y247" s="2" t="s">
        <v>10801</v>
      </c>
      <c r="Z247" s="2" t="s">
        <v>7864</v>
      </c>
      <c r="AA247" s="2">
        <v>100</v>
      </c>
      <c r="AB247" s="2">
        <v>10</v>
      </c>
      <c r="AC247" s="2" t="s">
        <v>10789</v>
      </c>
      <c r="AD247" s="2" t="s">
        <v>19954</v>
      </c>
      <c r="AE247" s="2" t="s">
        <v>18260</v>
      </c>
      <c r="AF247" s="2"/>
      <c r="AG247" s="2" t="s">
        <v>18250</v>
      </c>
    </row>
    <row r="248" spans="1:33" x14ac:dyDescent="0.45">
      <c r="A248" s="2" t="s">
        <v>19955</v>
      </c>
      <c r="B248" s="2" t="s">
        <v>19956</v>
      </c>
      <c r="C248" s="2" t="s">
        <v>19955</v>
      </c>
      <c r="D248" s="2" t="s">
        <v>19957</v>
      </c>
      <c r="E248" s="2" t="s">
        <v>19958</v>
      </c>
      <c r="F248" s="2" t="s">
        <v>19959</v>
      </c>
      <c r="G248" s="2" t="s">
        <v>19959</v>
      </c>
      <c r="H248" s="2" t="s">
        <v>85</v>
      </c>
      <c r="I248" s="2" t="s">
        <v>86</v>
      </c>
      <c r="J248" s="2" t="s">
        <v>3073</v>
      </c>
      <c r="K248" s="2" t="s">
        <v>19960</v>
      </c>
      <c r="L248" s="2"/>
      <c r="M248" s="2"/>
      <c r="N248" s="2"/>
      <c r="O248" s="2" t="s">
        <v>85</v>
      </c>
      <c r="P248" s="2" t="s">
        <v>86</v>
      </c>
      <c r="Q248" s="2" t="s">
        <v>3073</v>
      </c>
      <c r="R248" s="2" t="s">
        <v>11203</v>
      </c>
      <c r="S248" s="2" t="s">
        <v>44</v>
      </c>
      <c r="T248" s="2"/>
      <c r="U248" s="2" t="s">
        <v>821</v>
      </c>
      <c r="V248" s="2" t="s">
        <v>46</v>
      </c>
      <c r="W248" s="2" t="s">
        <v>821</v>
      </c>
      <c r="X248" s="2" t="s">
        <v>11225</v>
      </c>
      <c r="Y248" s="2" t="s">
        <v>10801</v>
      </c>
      <c r="Z248" s="2" t="s">
        <v>7864</v>
      </c>
      <c r="AA248" s="2">
        <v>100</v>
      </c>
      <c r="AB248" s="2">
        <v>17</v>
      </c>
      <c r="AC248" s="2" t="s">
        <v>10789</v>
      </c>
      <c r="AD248" s="2" t="s">
        <v>19961</v>
      </c>
      <c r="AE248" s="2" t="s">
        <v>18260</v>
      </c>
      <c r="AF248" s="2"/>
      <c r="AG248" s="2" t="s">
        <v>18250</v>
      </c>
    </row>
    <row r="249" spans="1:33" x14ac:dyDescent="0.45">
      <c r="A249" s="2" t="s">
        <v>19962</v>
      </c>
      <c r="B249" s="2" t="s">
        <v>19963</v>
      </c>
      <c r="C249" s="2" t="s">
        <v>19962</v>
      </c>
      <c r="D249" s="2" t="s">
        <v>19964</v>
      </c>
      <c r="E249" s="2" t="s">
        <v>19965</v>
      </c>
      <c r="F249" s="2" t="s">
        <v>19966</v>
      </c>
      <c r="G249" s="2" t="s">
        <v>19966</v>
      </c>
      <c r="H249" s="2" t="s">
        <v>16966</v>
      </c>
      <c r="I249" s="2" t="s">
        <v>221</v>
      </c>
      <c r="J249" s="2" t="s">
        <v>16967</v>
      </c>
      <c r="K249" s="2" t="s">
        <v>19967</v>
      </c>
      <c r="L249" s="2"/>
      <c r="M249" s="2"/>
      <c r="N249" s="2"/>
      <c r="O249" s="2" t="s">
        <v>16966</v>
      </c>
      <c r="P249" s="2" t="s">
        <v>221</v>
      </c>
      <c r="Q249" s="2" t="s">
        <v>16967</v>
      </c>
      <c r="R249" s="2" t="s">
        <v>3920</v>
      </c>
      <c r="S249" s="2" t="s">
        <v>44</v>
      </c>
      <c r="T249" s="2"/>
      <c r="U249" s="2" t="s">
        <v>821</v>
      </c>
      <c r="V249" s="2" t="s">
        <v>46</v>
      </c>
      <c r="W249" s="2" t="s">
        <v>821</v>
      </c>
      <c r="X249" s="2" t="s">
        <v>10787</v>
      </c>
      <c r="Y249" s="2" t="s">
        <v>10801</v>
      </c>
      <c r="Z249" s="2" t="s">
        <v>7864</v>
      </c>
      <c r="AA249" s="2">
        <v>100</v>
      </c>
      <c r="AB249" s="2">
        <v>12</v>
      </c>
      <c r="AC249" s="2" t="s">
        <v>10789</v>
      </c>
      <c r="AD249" s="2" t="s">
        <v>19968</v>
      </c>
      <c r="AE249" s="2" t="s">
        <v>18260</v>
      </c>
      <c r="AF249" s="2"/>
      <c r="AG249" s="2" t="s">
        <v>18250</v>
      </c>
    </row>
    <row r="250" spans="1:33" x14ac:dyDescent="0.45">
      <c r="A250" s="2" t="s">
        <v>19969</v>
      </c>
      <c r="B250" s="2" t="s">
        <v>19970</v>
      </c>
      <c r="C250" s="2"/>
      <c r="D250" s="2" t="s">
        <v>19971</v>
      </c>
      <c r="E250" s="2" t="s">
        <v>19972</v>
      </c>
      <c r="F250" s="2"/>
      <c r="G250" s="2"/>
      <c r="H250" s="2" t="s">
        <v>1161</v>
      </c>
      <c r="I250" s="2" t="s">
        <v>221</v>
      </c>
      <c r="J250" s="2" t="s">
        <v>19973</v>
      </c>
      <c r="K250" s="2"/>
      <c r="L250" s="2"/>
      <c r="M250" s="2"/>
      <c r="N250" s="2"/>
      <c r="O250" s="2"/>
      <c r="P250" s="2"/>
      <c r="Q250" s="2"/>
      <c r="R250" s="2" t="s">
        <v>19974</v>
      </c>
      <c r="S250" s="2" t="s">
        <v>44</v>
      </c>
      <c r="T250" s="2"/>
      <c r="U250" s="2" t="s">
        <v>821</v>
      </c>
      <c r="V250" s="2" t="s">
        <v>46</v>
      </c>
      <c r="W250" s="2" t="s">
        <v>821</v>
      </c>
      <c r="X250" s="2" t="s">
        <v>10787</v>
      </c>
      <c r="Y250" s="2" t="s">
        <v>10801</v>
      </c>
      <c r="Z250" s="2" t="s">
        <v>7864</v>
      </c>
      <c r="AA250" s="2">
        <v>75</v>
      </c>
      <c r="AB250" s="2">
        <v>0</v>
      </c>
      <c r="AC250" s="2" t="s">
        <v>10789</v>
      </c>
      <c r="AD250" s="2" t="s">
        <v>19975</v>
      </c>
      <c r="AE250" s="2" t="s">
        <v>18260</v>
      </c>
      <c r="AF250" s="2"/>
      <c r="AG250" s="2" t="s">
        <v>18250</v>
      </c>
    </row>
    <row r="251" spans="1:33" x14ac:dyDescent="0.45">
      <c r="A251" s="2" t="s">
        <v>19976</v>
      </c>
      <c r="B251" s="2" t="s">
        <v>19977</v>
      </c>
      <c r="C251" s="2" t="s">
        <v>19976</v>
      </c>
      <c r="D251" s="2" t="s">
        <v>19978</v>
      </c>
      <c r="E251" s="2" t="s">
        <v>19979</v>
      </c>
      <c r="F251" s="2" t="s">
        <v>19980</v>
      </c>
      <c r="G251" s="2"/>
      <c r="H251" s="2" t="s">
        <v>290</v>
      </c>
      <c r="I251" s="2" t="s">
        <v>278</v>
      </c>
      <c r="J251" s="2" t="s">
        <v>1460</v>
      </c>
      <c r="K251" s="2" t="s">
        <v>19978</v>
      </c>
      <c r="L251" s="2"/>
      <c r="M251" s="2"/>
      <c r="N251" s="2"/>
      <c r="O251" s="2" t="s">
        <v>290</v>
      </c>
      <c r="P251" s="2" t="s">
        <v>278</v>
      </c>
      <c r="Q251" s="2" t="s">
        <v>1460</v>
      </c>
      <c r="R251" s="2" t="s">
        <v>19981</v>
      </c>
      <c r="S251" s="2" t="s">
        <v>44</v>
      </c>
      <c r="T251" s="2"/>
      <c r="U251" s="2" t="s">
        <v>821</v>
      </c>
      <c r="V251" s="2" t="s">
        <v>46</v>
      </c>
      <c r="W251" s="2" t="s">
        <v>821</v>
      </c>
      <c r="X251" s="2" t="s">
        <v>10787</v>
      </c>
      <c r="Y251" s="2" t="s">
        <v>10801</v>
      </c>
      <c r="Z251" s="2" t="s">
        <v>7864</v>
      </c>
      <c r="AA251" s="2">
        <v>100</v>
      </c>
      <c r="AB251" s="2">
        <v>17</v>
      </c>
      <c r="AC251" s="2" t="s">
        <v>10789</v>
      </c>
      <c r="AD251" s="2" t="s">
        <v>19982</v>
      </c>
      <c r="AE251" s="2" t="s">
        <v>18260</v>
      </c>
      <c r="AF251" s="2"/>
      <c r="AG251" s="2" t="s">
        <v>18250</v>
      </c>
    </row>
    <row r="252" spans="1:33" x14ac:dyDescent="0.45">
      <c r="A252" s="2" t="s">
        <v>19983</v>
      </c>
      <c r="B252" s="2" t="s">
        <v>19984</v>
      </c>
      <c r="C252" s="2" t="s">
        <v>19985</v>
      </c>
      <c r="D252" s="2" t="s">
        <v>19986</v>
      </c>
      <c r="E252" s="2" t="s">
        <v>19987</v>
      </c>
      <c r="F252" s="2"/>
      <c r="G252" s="2"/>
      <c r="H252" s="2" t="s">
        <v>12930</v>
      </c>
      <c r="I252" s="2" t="s">
        <v>73</v>
      </c>
      <c r="J252" s="2" t="s">
        <v>19198</v>
      </c>
      <c r="K252" s="2" t="s">
        <v>19988</v>
      </c>
      <c r="L252" s="2"/>
      <c r="M252" s="2"/>
      <c r="N252" s="2"/>
      <c r="O252" s="2" t="s">
        <v>12930</v>
      </c>
      <c r="P252" s="2" t="s">
        <v>73</v>
      </c>
      <c r="Q252" s="2" t="s">
        <v>19198</v>
      </c>
      <c r="R252" s="2" t="s">
        <v>19989</v>
      </c>
      <c r="S252" s="2" t="s">
        <v>44</v>
      </c>
      <c r="T252" s="2"/>
      <c r="U252" s="2" t="s">
        <v>3527</v>
      </c>
      <c r="V252" s="2" t="s">
        <v>46</v>
      </c>
      <c r="W252" s="2" t="s">
        <v>3527</v>
      </c>
      <c r="X252" s="2" t="s">
        <v>10787</v>
      </c>
      <c r="Y252" s="2" t="s">
        <v>10801</v>
      </c>
      <c r="Z252" s="2" t="s">
        <v>7864</v>
      </c>
      <c r="AA252" s="2">
        <v>90</v>
      </c>
      <c r="AB252" s="2">
        <v>0</v>
      </c>
      <c r="AC252" s="2" t="s">
        <v>10789</v>
      </c>
      <c r="AD252" s="2" t="s">
        <v>19990</v>
      </c>
      <c r="AE252" s="2" t="s">
        <v>18260</v>
      </c>
      <c r="AF252" s="2"/>
      <c r="AG252" s="2" t="s">
        <v>18250</v>
      </c>
    </row>
    <row r="253" spans="1:33" x14ac:dyDescent="0.45">
      <c r="A253" s="2" t="s">
        <v>19991</v>
      </c>
      <c r="B253" s="2" t="s">
        <v>19992</v>
      </c>
      <c r="C253" s="2" t="s">
        <v>19991</v>
      </c>
      <c r="D253" s="2" t="s">
        <v>19993</v>
      </c>
      <c r="E253" s="2" t="s">
        <v>19994</v>
      </c>
      <c r="F253" s="2" t="s">
        <v>19995</v>
      </c>
      <c r="G253" s="2" t="s">
        <v>19995</v>
      </c>
      <c r="H253" s="2" t="s">
        <v>72</v>
      </c>
      <c r="I253" s="2" t="s">
        <v>73</v>
      </c>
      <c r="J253" s="2" t="s">
        <v>1479</v>
      </c>
      <c r="K253" s="2" t="s">
        <v>19993</v>
      </c>
      <c r="L253" s="2"/>
      <c r="M253" s="2"/>
      <c r="N253" s="2"/>
      <c r="O253" s="2" t="s">
        <v>72</v>
      </c>
      <c r="P253" s="2" t="s">
        <v>73</v>
      </c>
      <c r="Q253" s="2" t="s">
        <v>1479</v>
      </c>
      <c r="R253" s="2" t="s">
        <v>19996</v>
      </c>
      <c r="S253" s="2" t="s">
        <v>44</v>
      </c>
      <c r="T253" s="2"/>
      <c r="U253" s="2" t="s">
        <v>821</v>
      </c>
      <c r="V253" s="2" t="s">
        <v>46</v>
      </c>
      <c r="W253" s="2" t="s">
        <v>821</v>
      </c>
      <c r="X253" s="2" t="s">
        <v>10787</v>
      </c>
      <c r="Y253" s="2" t="s">
        <v>10801</v>
      </c>
      <c r="Z253" s="2" t="s">
        <v>7864</v>
      </c>
      <c r="AA253" s="2">
        <v>100</v>
      </c>
      <c r="AB253" s="2">
        <v>17</v>
      </c>
      <c r="AC253" s="2" t="s">
        <v>10789</v>
      </c>
      <c r="AD253" s="2" t="s">
        <v>19997</v>
      </c>
      <c r="AE253" s="2" t="s">
        <v>18260</v>
      </c>
      <c r="AF253" s="2"/>
      <c r="AG253" s="2" t="s">
        <v>18250</v>
      </c>
    </row>
    <row r="254" spans="1:33" x14ac:dyDescent="0.45">
      <c r="A254" s="2" t="s">
        <v>19998</v>
      </c>
      <c r="B254" s="2" t="s">
        <v>19999</v>
      </c>
      <c r="C254" s="2" t="s">
        <v>20000</v>
      </c>
      <c r="D254" s="2" t="s">
        <v>20001</v>
      </c>
      <c r="E254" s="2" t="s">
        <v>20002</v>
      </c>
      <c r="F254" s="2" t="s">
        <v>3562</v>
      </c>
      <c r="G254" s="2" t="s">
        <v>3562</v>
      </c>
      <c r="H254" s="2" t="s">
        <v>384</v>
      </c>
      <c r="I254" s="2" t="s">
        <v>73</v>
      </c>
      <c r="J254" s="2" t="s">
        <v>832</v>
      </c>
      <c r="K254" s="2" t="s">
        <v>20003</v>
      </c>
      <c r="L254" s="2"/>
      <c r="M254" s="2"/>
      <c r="N254" s="2"/>
      <c r="O254" s="2" t="s">
        <v>384</v>
      </c>
      <c r="P254" s="2" t="s">
        <v>73</v>
      </c>
      <c r="Q254" s="2" t="s">
        <v>832</v>
      </c>
      <c r="R254" s="2" t="s">
        <v>763</v>
      </c>
      <c r="S254" s="2" t="s">
        <v>44</v>
      </c>
      <c r="T254" s="2"/>
      <c r="U254" s="2" t="s">
        <v>3527</v>
      </c>
      <c r="V254" s="2" t="s">
        <v>46</v>
      </c>
      <c r="W254" s="2" t="s">
        <v>3527</v>
      </c>
      <c r="X254" s="2" t="s">
        <v>10787</v>
      </c>
      <c r="Y254" s="2" t="s">
        <v>10801</v>
      </c>
      <c r="Z254" s="2" t="s">
        <v>7864</v>
      </c>
      <c r="AA254" s="2">
        <v>100</v>
      </c>
      <c r="AB254" s="2">
        <v>10</v>
      </c>
      <c r="AC254" s="2" t="s">
        <v>10789</v>
      </c>
      <c r="AD254" s="2" t="s">
        <v>20004</v>
      </c>
      <c r="AE254" s="2" t="s">
        <v>18260</v>
      </c>
      <c r="AF254" s="2"/>
      <c r="AG254" s="2" t="s">
        <v>18250</v>
      </c>
    </row>
    <row r="255" spans="1:33" x14ac:dyDescent="0.45">
      <c r="A255" s="2" t="s">
        <v>20005</v>
      </c>
      <c r="B255" s="2" t="s">
        <v>20006</v>
      </c>
      <c r="C255" s="2" t="s">
        <v>20007</v>
      </c>
      <c r="D255" s="2" t="s">
        <v>20008</v>
      </c>
      <c r="E255" s="2" t="s">
        <v>20009</v>
      </c>
      <c r="F255" s="2" t="s">
        <v>20010</v>
      </c>
      <c r="G255" s="2"/>
      <c r="H255" s="2" t="s">
        <v>10513</v>
      </c>
      <c r="I255" s="2" t="s">
        <v>313</v>
      </c>
      <c r="J255" s="2" t="s">
        <v>20011</v>
      </c>
      <c r="K255" s="2" t="s">
        <v>20008</v>
      </c>
      <c r="L255" s="2"/>
      <c r="M255" s="2"/>
      <c r="N255" s="2"/>
      <c r="O255" s="2" t="s">
        <v>10513</v>
      </c>
      <c r="P255" s="2" t="s">
        <v>313</v>
      </c>
      <c r="Q255" s="2" t="s">
        <v>20011</v>
      </c>
      <c r="R255" s="2" t="s">
        <v>13830</v>
      </c>
      <c r="S255" s="2" t="s">
        <v>44</v>
      </c>
      <c r="T255" s="2"/>
      <c r="U255" s="2" t="s">
        <v>3527</v>
      </c>
      <c r="V255" s="2" t="s">
        <v>46</v>
      </c>
      <c r="W255" s="2" t="s">
        <v>3527</v>
      </c>
      <c r="X255" s="2" t="s">
        <v>10787</v>
      </c>
      <c r="Y255" s="2" t="s">
        <v>10801</v>
      </c>
      <c r="Z255" s="2" t="s">
        <v>7864</v>
      </c>
      <c r="AA255" s="2">
        <v>100</v>
      </c>
      <c r="AB255" s="2">
        <v>5</v>
      </c>
      <c r="AC255" s="2" t="s">
        <v>10789</v>
      </c>
      <c r="AD255" s="2" t="s">
        <v>20012</v>
      </c>
      <c r="AE255" s="2" t="s">
        <v>18260</v>
      </c>
      <c r="AF255" s="2"/>
      <c r="AG255" s="2" t="s">
        <v>18250</v>
      </c>
    </row>
    <row r="256" spans="1:33" x14ac:dyDescent="0.45">
      <c r="A256" s="2" t="s">
        <v>20013</v>
      </c>
      <c r="B256" s="2" t="s">
        <v>20014</v>
      </c>
      <c r="C256" s="2" t="s">
        <v>20015</v>
      </c>
      <c r="D256" s="2" t="s">
        <v>20016</v>
      </c>
      <c r="E256" s="2" t="s">
        <v>20017</v>
      </c>
      <c r="F256" s="2" t="s">
        <v>20018</v>
      </c>
      <c r="G256" s="2" t="s">
        <v>20018</v>
      </c>
      <c r="H256" s="2" t="s">
        <v>72</v>
      </c>
      <c r="I256" s="2" t="s">
        <v>73</v>
      </c>
      <c r="J256" s="2" t="s">
        <v>1568</v>
      </c>
      <c r="K256" s="2"/>
      <c r="L256" s="2"/>
      <c r="M256" s="2"/>
      <c r="N256" s="2"/>
      <c r="O256" s="2"/>
      <c r="P256" s="2"/>
      <c r="Q256" s="2"/>
      <c r="R256" s="2" t="s">
        <v>7730</v>
      </c>
      <c r="S256" s="2" t="s">
        <v>44</v>
      </c>
      <c r="T256" s="2"/>
      <c r="U256" s="2" t="s">
        <v>3527</v>
      </c>
      <c r="V256" s="2" t="s">
        <v>46</v>
      </c>
      <c r="W256" s="2" t="s">
        <v>3527</v>
      </c>
      <c r="X256" s="2" t="s">
        <v>10787</v>
      </c>
      <c r="Y256" s="2" t="s">
        <v>10801</v>
      </c>
      <c r="Z256" s="2" t="s">
        <v>7864</v>
      </c>
      <c r="AA256" s="2">
        <v>100</v>
      </c>
      <c r="AB256" s="2">
        <v>10</v>
      </c>
      <c r="AC256" s="2" t="s">
        <v>10789</v>
      </c>
      <c r="AD256" s="2" t="s">
        <v>20019</v>
      </c>
      <c r="AE256" s="2" t="s">
        <v>18260</v>
      </c>
      <c r="AF256" s="2"/>
      <c r="AG256" s="2" t="s">
        <v>18250</v>
      </c>
    </row>
    <row r="257" spans="1:33" x14ac:dyDescent="0.45">
      <c r="A257" s="2" t="s">
        <v>20020</v>
      </c>
      <c r="B257" s="2" t="s">
        <v>20021</v>
      </c>
      <c r="C257" s="2" t="s">
        <v>20022</v>
      </c>
      <c r="D257" s="2" t="s">
        <v>20023</v>
      </c>
      <c r="E257" s="2" t="s">
        <v>20024</v>
      </c>
      <c r="F257" s="2"/>
      <c r="G257" s="2"/>
      <c r="H257" s="2" t="s">
        <v>16854</v>
      </c>
      <c r="I257" s="2" t="s">
        <v>1112</v>
      </c>
      <c r="J257" s="2" t="s">
        <v>20025</v>
      </c>
      <c r="K257" s="2" t="s">
        <v>20023</v>
      </c>
      <c r="L257" s="2"/>
      <c r="M257" s="2"/>
      <c r="N257" s="2"/>
      <c r="O257" s="2" t="s">
        <v>16854</v>
      </c>
      <c r="P257" s="2" t="s">
        <v>1112</v>
      </c>
      <c r="Q257" s="2" t="s">
        <v>20025</v>
      </c>
      <c r="R257" s="2" t="s">
        <v>4965</v>
      </c>
      <c r="S257" s="2" t="s">
        <v>44</v>
      </c>
      <c r="T257" s="2"/>
      <c r="U257" s="2" t="s">
        <v>3527</v>
      </c>
      <c r="V257" s="2" t="s">
        <v>46</v>
      </c>
      <c r="W257" s="2" t="s">
        <v>3527</v>
      </c>
      <c r="X257" s="2" t="s">
        <v>10787</v>
      </c>
      <c r="Y257" s="2" t="s">
        <v>10801</v>
      </c>
      <c r="Z257" s="2" t="s">
        <v>7864</v>
      </c>
      <c r="AA257" s="2">
        <v>90</v>
      </c>
      <c r="AB257" s="2">
        <v>0</v>
      </c>
      <c r="AC257" s="2" t="s">
        <v>10789</v>
      </c>
      <c r="AD257" s="2" t="s">
        <v>20026</v>
      </c>
      <c r="AE257" s="2" t="s">
        <v>18260</v>
      </c>
      <c r="AF257" s="2"/>
      <c r="AG257" s="2" t="s">
        <v>18250</v>
      </c>
    </row>
    <row r="258" spans="1:33" x14ac:dyDescent="0.45">
      <c r="A258" s="2" t="s">
        <v>20027</v>
      </c>
      <c r="B258" s="2" t="s">
        <v>20028</v>
      </c>
      <c r="C258" s="2" t="s">
        <v>20029</v>
      </c>
      <c r="D258" s="2" t="s">
        <v>20030</v>
      </c>
      <c r="E258" s="2" t="s">
        <v>20031</v>
      </c>
      <c r="F258" s="2"/>
      <c r="G258" s="2"/>
      <c r="H258" s="2" t="s">
        <v>290</v>
      </c>
      <c r="I258" s="2" t="s">
        <v>278</v>
      </c>
      <c r="J258" s="2" t="s">
        <v>9867</v>
      </c>
      <c r="K258" s="2" t="s">
        <v>20030</v>
      </c>
      <c r="L258" s="2"/>
      <c r="M258" s="2"/>
      <c r="N258" s="2"/>
      <c r="O258" s="2" t="s">
        <v>290</v>
      </c>
      <c r="P258" s="2" t="s">
        <v>278</v>
      </c>
      <c r="Q258" s="2" t="s">
        <v>9867</v>
      </c>
      <c r="R258" s="2" t="s">
        <v>20032</v>
      </c>
      <c r="S258" s="2" t="s">
        <v>44</v>
      </c>
      <c r="T258" s="2"/>
      <c r="U258" s="2" t="s">
        <v>3527</v>
      </c>
      <c r="V258" s="2" t="s">
        <v>46</v>
      </c>
      <c r="W258" s="2" t="s">
        <v>3527</v>
      </c>
      <c r="X258" s="2" t="s">
        <v>10787</v>
      </c>
      <c r="Y258" s="2" t="s">
        <v>10801</v>
      </c>
      <c r="Z258" s="2" t="s">
        <v>7864</v>
      </c>
      <c r="AA258" s="2">
        <v>90</v>
      </c>
      <c r="AB258" s="2">
        <v>0</v>
      </c>
      <c r="AC258" s="2" t="s">
        <v>10789</v>
      </c>
      <c r="AD258" s="2" t="s">
        <v>20033</v>
      </c>
      <c r="AE258" s="2" t="s">
        <v>18260</v>
      </c>
      <c r="AF258" s="2"/>
      <c r="AG258" s="2" t="s">
        <v>18250</v>
      </c>
    </row>
    <row r="259" spans="1:33" x14ac:dyDescent="0.45">
      <c r="A259" s="2" t="s">
        <v>20034</v>
      </c>
      <c r="B259" s="2" t="s">
        <v>20035</v>
      </c>
      <c r="C259" s="2" t="s">
        <v>20034</v>
      </c>
      <c r="D259" s="2" t="s">
        <v>20036</v>
      </c>
      <c r="E259" s="2" t="s">
        <v>20037</v>
      </c>
      <c r="F259" s="2" t="s">
        <v>20038</v>
      </c>
      <c r="G259" s="2" t="s">
        <v>20038</v>
      </c>
      <c r="H259" s="2" t="s">
        <v>174</v>
      </c>
      <c r="I259" s="2" t="s">
        <v>175</v>
      </c>
      <c r="J259" s="2" t="s">
        <v>20039</v>
      </c>
      <c r="K259" s="2" t="s">
        <v>20040</v>
      </c>
      <c r="L259" s="2"/>
      <c r="M259" s="2"/>
      <c r="N259" s="2"/>
      <c r="O259" s="2" t="s">
        <v>174</v>
      </c>
      <c r="P259" s="2" t="s">
        <v>175</v>
      </c>
      <c r="Q259" s="2" t="s">
        <v>20039</v>
      </c>
      <c r="R259" s="2" t="s">
        <v>43</v>
      </c>
      <c r="S259" s="2" t="s">
        <v>44</v>
      </c>
      <c r="T259" s="2"/>
      <c r="U259" s="2" t="s">
        <v>821</v>
      </c>
      <c r="V259" s="2" t="s">
        <v>46</v>
      </c>
      <c r="W259" s="2" t="s">
        <v>821</v>
      </c>
      <c r="X259" s="2" t="s">
        <v>10787</v>
      </c>
      <c r="Y259" s="2" t="s">
        <v>10801</v>
      </c>
      <c r="Z259" s="2" t="s">
        <v>7864</v>
      </c>
      <c r="AA259" s="2">
        <v>100</v>
      </c>
      <c r="AB259" s="2">
        <v>17</v>
      </c>
      <c r="AC259" s="2" t="s">
        <v>10789</v>
      </c>
      <c r="AD259" s="2" t="s">
        <v>20041</v>
      </c>
      <c r="AE259" s="2" t="s">
        <v>18260</v>
      </c>
      <c r="AF259" s="2"/>
      <c r="AG259" s="2" t="s">
        <v>18250</v>
      </c>
    </row>
    <row r="260" spans="1:33" x14ac:dyDescent="0.45">
      <c r="A260" s="2" t="s">
        <v>20042</v>
      </c>
      <c r="B260" s="2" t="s">
        <v>20043</v>
      </c>
      <c r="C260" s="2"/>
      <c r="D260" s="2" t="s">
        <v>20044</v>
      </c>
      <c r="E260" s="2" t="s">
        <v>20045</v>
      </c>
      <c r="F260" s="2"/>
      <c r="G260" s="2"/>
      <c r="H260" s="2" t="s">
        <v>1023</v>
      </c>
      <c r="I260" s="2" t="s">
        <v>73</v>
      </c>
      <c r="J260" s="2" t="s">
        <v>20046</v>
      </c>
      <c r="K260" s="2" t="s">
        <v>20044</v>
      </c>
      <c r="L260" s="2"/>
      <c r="M260" s="2"/>
      <c r="N260" s="2"/>
      <c r="O260" s="2" t="s">
        <v>1023</v>
      </c>
      <c r="P260" s="2" t="s">
        <v>73</v>
      </c>
      <c r="Q260" s="2" t="s">
        <v>20046</v>
      </c>
      <c r="R260" s="2" t="s">
        <v>20047</v>
      </c>
      <c r="S260" s="2" t="s">
        <v>44</v>
      </c>
      <c r="T260" s="2"/>
      <c r="U260" s="2" t="s">
        <v>3527</v>
      </c>
      <c r="V260" s="2" t="s">
        <v>46</v>
      </c>
      <c r="W260" s="2" t="s">
        <v>3527</v>
      </c>
      <c r="X260" s="2" t="s">
        <v>12417</v>
      </c>
      <c r="Y260" s="2" t="s">
        <v>10801</v>
      </c>
      <c r="Z260" s="2" t="s">
        <v>7864</v>
      </c>
      <c r="AA260" s="2">
        <v>75</v>
      </c>
      <c r="AB260" s="2">
        <v>0</v>
      </c>
      <c r="AC260" s="2" t="s">
        <v>10789</v>
      </c>
      <c r="AD260" s="2" t="s">
        <v>20048</v>
      </c>
      <c r="AE260" s="2" t="s">
        <v>18260</v>
      </c>
      <c r="AF260" s="2"/>
      <c r="AG260" s="2" t="s">
        <v>18250</v>
      </c>
    </row>
    <row r="261" spans="1:33" x14ac:dyDescent="0.45">
      <c r="A261" s="2" t="s">
        <v>15552</v>
      </c>
      <c r="B261" s="2" t="s">
        <v>20049</v>
      </c>
      <c r="C261" s="2" t="s">
        <v>15552</v>
      </c>
      <c r="D261" s="2" t="s">
        <v>20050</v>
      </c>
      <c r="E261" s="2" t="s">
        <v>20051</v>
      </c>
      <c r="F261" s="2" t="s">
        <v>20052</v>
      </c>
      <c r="G261" s="2"/>
      <c r="H261" s="2" t="s">
        <v>19306</v>
      </c>
      <c r="I261" s="2" t="s">
        <v>217</v>
      </c>
      <c r="J261" s="2" t="s">
        <v>20053</v>
      </c>
      <c r="K261" s="2"/>
      <c r="L261" s="2"/>
      <c r="M261" s="2"/>
      <c r="N261" s="2"/>
      <c r="O261" s="2"/>
      <c r="P261" s="2"/>
      <c r="Q261" s="2"/>
      <c r="R261" s="2" t="s">
        <v>7581</v>
      </c>
      <c r="S261" s="2" t="s">
        <v>44</v>
      </c>
      <c r="T261" s="2"/>
      <c r="U261" s="2" t="s">
        <v>3527</v>
      </c>
      <c r="V261" s="2" t="s">
        <v>46</v>
      </c>
      <c r="W261" s="2" t="s">
        <v>3527</v>
      </c>
      <c r="X261" s="2" t="s">
        <v>10787</v>
      </c>
      <c r="Y261" s="2" t="s">
        <v>10801</v>
      </c>
      <c r="Z261" s="2" t="s">
        <v>7864</v>
      </c>
      <c r="AA261" s="2">
        <v>100</v>
      </c>
      <c r="AB261" s="2">
        <v>5</v>
      </c>
      <c r="AC261" s="2" t="s">
        <v>10789</v>
      </c>
      <c r="AD261" s="2" t="s">
        <v>20054</v>
      </c>
      <c r="AE261" s="2" t="s">
        <v>18260</v>
      </c>
      <c r="AF261" s="2"/>
      <c r="AG261" s="2" t="s">
        <v>18250</v>
      </c>
    </row>
    <row r="262" spans="1:33" x14ac:dyDescent="0.45">
      <c r="A262" s="2" t="s">
        <v>20055</v>
      </c>
      <c r="B262" s="2" t="s">
        <v>20056</v>
      </c>
      <c r="C262" s="2" t="s">
        <v>20055</v>
      </c>
      <c r="D262" s="2" t="s">
        <v>20057</v>
      </c>
      <c r="E262" s="2" t="s">
        <v>20058</v>
      </c>
      <c r="F262" s="2" t="s">
        <v>20059</v>
      </c>
      <c r="G262" s="2"/>
      <c r="H262" s="2" t="s">
        <v>1023</v>
      </c>
      <c r="I262" s="2" t="s">
        <v>73</v>
      </c>
      <c r="J262" s="2" t="s">
        <v>20060</v>
      </c>
      <c r="K262" s="2" t="s">
        <v>20061</v>
      </c>
      <c r="L262" s="2"/>
      <c r="M262" s="2"/>
      <c r="N262" s="2"/>
      <c r="O262" s="2" t="s">
        <v>1023</v>
      </c>
      <c r="P262" s="2" t="s">
        <v>73</v>
      </c>
      <c r="Q262" s="2" t="s">
        <v>20060</v>
      </c>
      <c r="R262" s="2" t="s">
        <v>20062</v>
      </c>
      <c r="S262" s="2" t="s">
        <v>44</v>
      </c>
      <c r="T262" s="2"/>
      <c r="U262" s="2" t="s">
        <v>3527</v>
      </c>
      <c r="V262" s="2" t="s">
        <v>46</v>
      </c>
      <c r="W262" s="2" t="s">
        <v>3527</v>
      </c>
      <c r="X262" s="2" t="s">
        <v>10787</v>
      </c>
      <c r="Y262" s="2" t="s">
        <v>10801</v>
      </c>
      <c r="Z262" s="2" t="s">
        <v>7864</v>
      </c>
      <c r="AA262" s="2">
        <v>100</v>
      </c>
      <c r="AB262" s="2">
        <v>10</v>
      </c>
      <c r="AC262" s="2" t="s">
        <v>10789</v>
      </c>
      <c r="AD262" s="2" t="s">
        <v>20063</v>
      </c>
      <c r="AE262" s="2" t="s">
        <v>18260</v>
      </c>
      <c r="AF262" s="2"/>
      <c r="AG262" s="2" t="s">
        <v>18250</v>
      </c>
    </row>
    <row r="263" spans="1:33" x14ac:dyDescent="0.45">
      <c r="A263" s="2" t="s">
        <v>20064</v>
      </c>
      <c r="B263" s="2" t="s">
        <v>20065</v>
      </c>
      <c r="C263" s="2" t="s">
        <v>20066</v>
      </c>
      <c r="D263" s="2" t="s">
        <v>20067</v>
      </c>
      <c r="E263" s="2" t="s">
        <v>20068</v>
      </c>
      <c r="F263" s="2"/>
      <c r="G263" s="2"/>
      <c r="H263" s="2" t="s">
        <v>290</v>
      </c>
      <c r="I263" s="2" t="s">
        <v>278</v>
      </c>
      <c r="J263" s="2" t="s">
        <v>291</v>
      </c>
      <c r="K263" s="2" t="s">
        <v>20067</v>
      </c>
      <c r="L263" s="2"/>
      <c r="M263" s="2"/>
      <c r="N263" s="2"/>
      <c r="O263" s="2" t="s">
        <v>290</v>
      </c>
      <c r="P263" s="2" t="s">
        <v>278</v>
      </c>
      <c r="Q263" s="2" t="s">
        <v>291</v>
      </c>
      <c r="R263" s="2" t="s">
        <v>13759</v>
      </c>
      <c r="S263" s="2" t="s">
        <v>44</v>
      </c>
      <c r="T263" s="2"/>
      <c r="U263" s="2" t="s">
        <v>3527</v>
      </c>
      <c r="V263" s="2" t="s">
        <v>46</v>
      </c>
      <c r="W263" s="2" t="s">
        <v>3527</v>
      </c>
      <c r="X263" s="2" t="s">
        <v>10787</v>
      </c>
      <c r="Y263" s="2" t="s">
        <v>10801</v>
      </c>
      <c r="Z263" s="2" t="s">
        <v>7864</v>
      </c>
      <c r="AA263" s="2">
        <v>90</v>
      </c>
      <c r="AB263" s="2">
        <v>0</v>
      </c>
      <c r="AC263" s="2" t="s">
        <v>10789</v>
      </c>
      <c r="AD263" s="2" t="s">
        <v>20069</v>
      </c>
      <c r="AE263" s="2" t="s">
        <v>18260</v>
      </c>
      <c r="AF263" s="2"/>
      <c r="AG263" s="2" t="s">
        <v>18250</v>
      </c>
    </row>
    <row r="264" spans="1:33" x14ac:dyDescent="0.45">
      <c r="A264" s="2" t="s">
        <v>20070</v>
      </c>
      <c r="B264" s="2" t="s">
        <v>20071</v>
      </c>
      <c r="C264" s="2" t="s">
        <v>20072</v>
      </c>
      <c r="D264" s="2" t="s">
        <v>20073</v>
      </c>
      <c r="E264" s="2" t="s">
        <v>20074</v>
      </c>
      <c r="F264" s="2"/>
      <c r="G264" s="2"/>
      <c r="H264" s="2" t="s">
        <v>6029</v>
      </c>
      <c r="I264" s="2" t="s">
        <v>278</v>
      </c>
      <c r="J264" s="2" t="s">
        <v>19675</v>
      </c>
      <c r="K264" s="2" t="s">
        <v>20073</v>
      </c>
      <c r="L264" s="2"/>
      <c r="M264" s="2"/>
      <c r="N264" s="2"/>
      <c r="O264" s="2" t="s">
        <v>6029</v>
      </c>
      <c r="P264" s="2" t="s">
        <v>278</v>
      </c>
      <c r="Q264" s="2" t="s">
        <v>19675</v>
      </c>
      <c r="R264" s="2" t="s">
        <v>4532</v>
      </c>
      <c r="S264" s="2" t="s">
        <v>44</v>
      </c>
      <c r="T264" s="2"/>
      <c r="U264" s="2" t="s">
        <v>3527</v>
      </c>
      <c r="V264" s="2" t="s">
        <v>46</v>
      </c>
      <c r="W264" s="2" t="s">
        <v>3527</v>
      </c>
      <c r="X264" s="2" t="s">
        <v>20075</v>
      </c>
      <c r="Y264" s="2" t="s">
        <v>10801</v>
      </c>
      <c r="Z264" s="2" t="s">
        <v>7864</v>
      </c>
      <c r="AA264" s="2">
        <v>90</v>
      </c>
      <c r="AB264" s="2">
        <v>0</v>
      </c>
      <c r="AC264" s="2" t="s">
        <v>10789</v>
      </c>
      <c r="AD264" s="2" t="s">
        <v>20076</v>
      </c>
      <c r="AE264" s="2" t="s">
        <v>18260</v>
      </c>
      <c r="AF264" s="2"/>
      <c r="AG264" s="2" t="s">
        <v>18250</v>
      </c>
    </row>
    <row r="265" spans="1:33" x14ac:dyDescent="0.45">
      <c r="A265" s="2" t="s">
        <v>20077</v>
      </c>
      <c r="B265" s="2" t="s">
        <v>20078</v>
      </c>
      <c r="C265" s="2" t="s">
        <v>20079</v>
      </c>
      <c r="D265" s="2" t="s">
        <v>20080</v>
      </c>
      <c r="E265" s="2" t="s">
        <v>20081</v>
      </c>
      <c r="F265" s="2"/>
      <c r="G265" s="2"/>
      <c r="H265" s="2" t="s">
        <v>59</v>
      </c>
      <c r="I265" s="2" t="s">
        <v>60</v>
      </c>
      <c r="J265" s="2" t="s">
        <v>1589</v>
      </c>
      <c r="K265" s="2" t="s">
        <v>20080</v>
      </c>
      <c r="L265" s="2"/>
      <c r="M265" s="2"/>
      <c r="N265" s="2"/>
      <c r="O265" s="2" t="s">
        <v>59</v>
      </c>
      <c r="P265" s="2" t="s">
        <v>60</v>
      </c>
      <c r="Q265" s="2" t="s">
        <v>1589</v>
      </c>
      <c r="R265" s="2" t="s">
        <v>16728</v>
      </c>
      <c r="S265" s="2" t="s">
        <v>44</v>
      </c>
      <c r="T265" s="2"/>
      <c r="U265" s="2" t="s">
        <v>821</v>
      </c>
      <c r="V265" s="2" t="s">
        <v>46</v>
      </c>
      <c r="W265" s="2" t="s">
        <v>821</v>
      </c>
      <c r="X265" s="2" t="s">
        <v>10787</v>
      </c>
      <c r="Y265" s="2" t="s">
        <v>10801</v>
      </c>
      <c r="Z265" s="2" t="s">
        <v>7864</v>
      </c>
      <c r="AA265" s="2">
        <v>90</v>
      </c>
      <c r="AB265" s="2">
        <v>7</v>
      </c>
      <c r="AC265" s="2" t="s">
        <v>10789</v>
      </c>
      <c r="AD265" s="2" t="s">
        <v>20082</v>
      </c>
      <c r="AE265" s="2" t="s">
        <v>18260</v>
      </c>
      <c r="AF265" s="2"/>
      <c r="AG265" s="2" t="s">
        <v>18250</v>
      </c>
    </row>
    <row r="266" spans="1:33" x14ac:dyDescent="0.45">
      <c r="A266" s="2" t="s">
        <v>20083</v>
      </c>
      <c r="B266" s="2" t="s">
        <v>20084</v>
      </c>
      <c r="C266" s="2" t="s">
        <v>20085</v>
      </c>
      <c r="D266" s="2" t="s">
        <v>20086</v>
      </c>
      <c r="E266" s="2" t="s">
        <v>20087</v>
      </c>
      <c r="F266" s="2"/>
      <c r="G266" s="2"/>
      <c r="H266" s="2" t="s">
        <v>59</v>
      </c>
      <c r="I266" s="2" t="s">
        <v>60</v>
      </c>
      <c r="J266" s="2" t="s">
        <v>8113</v>
      </c>
      <c r="K266" s="2" t="s">
        <v>20088</v>
      </c>
      <c r="L266" s="2"/>
      <c r="M266" s="2"/>
      <c r="N266" s="2"/>
      <c r="O266" s="2" t="s">
        <v>59</v>
      </c>
      <c r="P266" s="2" t="s">
        <v>60</v>
      </c>
      <c r="Q266" s="2" t="s">
        <v>8113</v>
      </c>
      <c r="R266" s="2" t="s">
        <v>2848</v>
      </c>
      <c r="S266" s="2" t="s">
        <v>44</v>
      </c>
      <c r="T266" s="2"/>
      <c r="U266" s="2" t="s">
        <v>3527</v>
      </c>
      <c r="V266" s="2" t="s">
        <v>46</v>
      </c>
      <c r="W266" s="2" t="s">
        <v>3527</v>
      </c>
      <c r="X266" s="2" t="s">
        <v>10787</v>
      </c>
      <c r="Y266" s="2" t="s">
        <v>10801</v>
      </c>
      <c r="Z266" s="2" t="s">
        <v>7864</v>
      </c>
      <c r="AA266" s="2">
        <v>90</v>
      </c>
      <c r="AB266" s="2">
        <v>0</v>
      </c>
      <c r="AC266" s="2" t="s">
        <v>10789</v>
      </c>
      <c r="AD266" s="2" t="s">
        <v>20089</v>
      </c>
      <c r="AE266" s="2" t="s">
        <v>18260</v>
      </c>
      <c r="AF266" s="2"/>
      <c r="AG266" s="2" t="s">
        <v>18250</v>
      </c>
    </row>
    <row r="267" spans="1:33" x14ac:dyDescent="0.45">
      <c r="A267" s="2" t="s">
        <v>20090</v>
      </c>
      <c r="B267" s="2" t="s">
        <v>20091</v>
      </c>
      <c r="C267" s="2" t="s">
        <v>20092</v>
      </c>
      <c r="D267" s="2" t="s">
        <v>20093</v>
      </c>
      <c r="E267" s="2" t="s">
        <v>20094</v>
      </c>
      <c r="F267" s="2" t="s">
        <v>20095</v>
      </c>
      <c r="G267" s="2"/>
      <c r="H267" s="2" t="s">
        <v>290</v>
      </c>
      <c r="I267" s="2" t="s">
        <v>278</v>
      </c>
      <c r="J267" s="2" t="s">
        <v>20096</v>
      </c>
      <c r="K267" s="2" t="s">
        <v>20093</v>
      </c>
      <c r="L267" s="2"/>
      <c r="M267" s="2"/>
      <c r="N267" s="2"/>
      <c r="O267" s="2" t="s">
        <v>290</v>
      </c>
      <c r="P267" s="2" t="s">
        <v>278</v>
      </c>
      <c r="Q267" s="2" t="s">
        <v>20096</v>
      </c>
      <c r="R267" s="2" t="s">
        <v>13081</v>
      </c>
      <c r="S267" s="2" t="s">
        <v>44</v>
      </c>
      <c r="T267" s="2"/>
      <c r="U267" s="2" t="s">
        <v>3527</v>
      </c>
      <c r="V267" s="2" t="s">
        <v>46</v>
      </c>
      <c r="W267" s="2" t="s">
        <v>3527</v>
      </c>
      <c r="X267" s="2" t="s">
        <v>10787</v>
      </c>
      <c r="Y267" s="2" t="s">
        <v>10801</v>
      </c>
      <c r="Z267" s="2" t="s">
        <v>7864</v>
      </c>
      <c r="AA267" s="2">
        <v>100</v>
      </c>
      <c r="AB267" s="2">
        <v>10</v>
      </c>
      <c r="AC267" s="2" t="s">
        <v>10789</v>
      </c>
      <c r="AD267" s="2" t="s">
        <v>20097</v>
      </c>
      <c r="AE267" s="2" t="s">
        <v>18260</v>
      </c>
      <c r="AF267" s="2"/>
      <c r="AG267" s="2" t="s">
        <v>18250</v>
      </c>
    </row>
    <row r="268" spans="1:33" x14ac:dyDescent="0.45">
      <c r="A268" s="2" t="s">
        <v>20098</v>
      </c>
      <c r="B268" s="2" t="s">
        <v>20099</v>
      </c>
      <c r="C268" s="2" t="s">
        <v>20100</v>
      </c>
      <c r="D268" s="2" t="s">
        <v>20101</v>
      </c>
      <c r="E268" s="2" t="s">
        <v>20102</v>
      </c>
      <c r="F268" s="2" t="s">
        <v>20103</v>
      </c>
      <c r="G268" s="2" t="s">
        <v>20103</v>
      </c>
      <c r="H268" s="2" t="s">
        <v>20104</v>
      </c>
      <c r="I268" s="2" t="s">
        <v>1281</v>
      </c>
      <c r="J268" s="2" t="s">
        <v>20105</v>
      </c>
      <c r="K268" s="2" t="s">
        <v>20106</v>
      </c>
      <c r="L268" s="2"/>
      <c r="M268" s="2"/>
      <c r="N268" s="2"/>
      <c r="O268" s="2" t="s">
        <v>20104</v>
      </c>
      <c r="P268" s="2" t="s">
        <v>1281</v>
      </c>
      <c r="Q268" s="2" t="s">
        <v>20105</v>
      </c>
      <c r="R268" s="2" t="s">
        <v>14840</v>
      </c>
      <c r="S268" s="2" t="s">
        <v>44</v>
      </c>
      <c r="T268" s="2"/>
      <c r="U268" s="2" t="s">
        <v>821</v>
      </c>
      <c r="V268" s="2" t="s">
        <v>46</v>
      </c>
      <c r="W268" s="2" t="s">
        <v>821</v>
      </c>
      <c r="X268" s="2" t="s">
        <v>10787</v>
      </c>
      <c r="Y268" s="2" t="s">
        <v>10801</v>
      </c>
      <c r="Z268" s="2" t="s">
        <v>7864</v>
      </c>
      <c r="AA268" s="2">
        <v>100</v>
      </c>
      <c r="AB268" s="2">
        <v>12</v>
      </c>
      <c r="AC268" s="2" t="s">
        <v>10789</v>
      </c>
      <c r="AD268" s="2" t="s">
        <v>20107</v>
      </c>
      <c r="AE268" s="2" t="s">
        <v>18260</v>
      </c>
      <c r="AF268" s="2"/>
      <c r="AG268" s="2" t="s">
        <v>18250</v>
      </c>
    </row>
    <row r="269" spans="1:33" x14ac:dyDescent="0.45">
      <c r="A269" s="2" t="s">
        <v>20108</v>
      </c>
      <c r="B269" s="2" t="s">
        <v>20109</v>
      </c>
      <c r="C269" s="2" t="s">
        <v>20108</v>
      </c>
      <c r="D269" s="2" t="s">
        <v>20110</v>
      </c>
      <c r="E269" s="2" t="s">
        <v>20111</v>
      </c>
      <c r="F269" s="2" t="s">
        <v>20112</v>
      </c>
      <c r="G269" s="2"/>
      <c r="H269" s="2" t="s">
        <v>1023</v>
      </c>
      <c r="I269" s="2" t="s">
        <v>73</v>
      </c>
      <c r="J269" s="2" t="s">
        <v>12204</v>
      </c>
      <c r="K269" s="2" t="s">
        <v>20110</v>
      </c>
      <c r="L269" s="2"/>
      <c r="M269" s="2"/>
      <c r="N269" s="2"/>
      <c r="O269" s="2" t="s">
        <v>1023</v>
      </c>
      <c r="P269" s="2" t="s">
        <v>73</v>
      </c>
      <c r="Q269" s="2" t="s">
        <v>12204</v>
      </c>
      <c r="R269" s="2" t="s">
        <v>5913</v>
      </c>
      <c r="S269" s="2" t="s">
        <v>44</v>
      </c>
      <c r="T269" s="2"/>
      <c r="U269" s="2" t="s">
        <v>3527</v>
      </c>
      <c r="V269" s="2" t="s">
        <v>46</v>
      </c>
      <c r="W269" s="2" t="s">
        <v>3527</v>
      </c>
      <c r="X269" s="2" t="s">
        <v>11225</v>
      </c>
      <c r="Y269" s="2" t="s">
        <v>10801</v>
      </c>
      <c r="Z269" s="2" t="s">
        <v>7864</v>
      </c>
      <c r="AA269" s="2">
        <v>100</v>
      </c>
      <c r="AB269" s="2">
        <v>10</v>
      </c>
      <c r="AC269" s="2" t="s">
        <v>10789</v>
      </c>
      <c r="AD269" s="2" t="s">
        <v>20113</v>
      </c>
      <c r="AE269" s="2" t="s">
        <v>18260</v>
      </c>
      <c r="AF269" s="2"/>
      <c r="AG269" s="2" t="s">
        <v>18250</v>
      </c>
    </row>
    <row r="270" spans="1:33" x14ac:dyDescent="0.45">
      <c r="A270" s="2" t="s">
        <v>20114</v>
      </c>
      <c r="B270" s="2" t="s">
        <v>20115</v>
      </c>
      <c r="C270" s="2" t="s">
        <v>20116</v>
      </c>
      <c r="D270" s="2" t="s">
        <v>20117</v>
      </c>
      <c r="E270" s="2" t="s">
        <v>20118</v>
      </c>
      <c r="F270" s="2"/>
      <c r="G270" s="2"/>
      <c r="H270" s="2" t="s">
        <v>10483</v>
      </c>
      <c r="I270" s="2" t="s">
        <v>537</v>
      </c>
      <c r="J270" s="2" t="s">
        <v>20119</v>
      </c>
      <c r="K270" s="2" t="s">
        <v>20117</v>
      </c>
      <c r="L270" s="2"/>
      <c r="M270" s="2"/>
      <c r="N270" s="2"/>
      <c r="O270" s="2" t="s">
        <v>10483</v>
      </c>
      <c r="P270" s="2" t="s">
        <v>537</v>
      </c>
      <c r="Q270" s="2" t="s">
        <v>20119</v>
      </c>
      <c r="R270" s="2" t="s">
        <v>20120</v>
      </c>
      <c r="S270" s="2" t="s">
        <v>44</v>
      </c>
      <c r="T270" s="2"/>
      <c r="U270" s="2" t="s">
        <v>3527</v>
      </c>
      <c r="V270" s="2" t="s">
        <v>46</v>
      </c>
      <c r="W270" s="2" t="s">
        <v>3527</v>
      </c>
      <c r="X270" s="2" t="s">
        <v>10787</v>
      </c>
      <c r="Y270" s="2" t="s">
        <v>10801</v>
      </c>
      <c r="Z270" s="2" t="s">
        <v>7864</v>
      </c>
      <c r="AA270" s="2">
        <v>90</v>
      </c>
      <c r="AB270" s="2">
        <v>0</v>
      </c>
      <c r="AC270" s="2" t="s">
        <v>10789</v>
      </c>
      <c r="AD270" s="2" t="s">
        <v>20121</v>
      </c>
      <c r="AE270" s="2" t="s">
        <v>18260</v>
      </c>
      <c r="AF270" s="2"/>
      <c r="AG270" s="2" t="s">
        <v>18250</v>
      </c>
    </row>
    <row r="271" spans="1:33" x14ac:dyDescent="0.45">
      <c r="A271" s="2" t="s">
        <v>20122</v>
      </c>
      <c r="B271" s="2" t="s">
        <v>20123</v>
      </c>
      <c r="C271" s="2" t="s">
        <v>20124</v>
      </c>
      <c r="D271" s="2" t="s">
        <v>20125</v>
      </c>
      <c r="E271" s="2" t="s">
        <v>20126</v>
      </c>
      <c r="F271" s="2" t="s">
        <v>20127</v>
      </c>
      <c r="G271" s="2" t="s">
        <v>20127</v>
      </c>
      <c r="H271" s="2" t="s">
        <v>72</v>
      </c>
      <c r="I271" s="2" t="s">
        <v>73</v>
      </c>
      <c r="J271" s="2" t="s">
        <v>12899</v>
      </c>
      <c r="K271" s="2" t="s">
        <v>20128</v>
      </c>
      <c r="L271" s="2"/>
      <c r="M271" s="2"/>
      <c r="N271" s="2"/>
      <c r="O271" s="2" t="s">
        <v>72</v>
      </c>
      <c r="P271" s="2" t="s">
        <v>73</v>
      </c>
      <c r="Q271" s="2" t="s">
        <v>12899</v>
      </c>
      <c r="R271" s="2" t="s">
        <v>3199</v>
      </c>
      <c r="S271" s="2" t="s">
        <v>44</v>
      </c>
      <c r="T271" s="2"/>
      <c r="U271" s="2" t="s">
        <v>821</v>
      </c>
      <c r="V271" s="2" t="s">
        <v>46</v>
      </c>
      <c r="W271" s="2" t="s">
        <v>821</v>
      </c>
      <c r="X271" s="2" t="s">
        <v>10787</v>
      </c>
      <c r="Y271" s="2" t="s">
        <v>10801</v>
      </c>
      <c r="Z271" s="2" t="s">
        <v>7864</v>
      </c>
      <c r="AA271" s="2">
        <v>100</v>
      </c>
      <c r="AB271" s="2">
        <v>17</v>
      </c>
      <c r="AC271" s="2" t="s">
        <v>10789</v>
      </c>
      <c r="AD271" s="2" t="s">
        <v>20129</v>
      </c>
      <c r="AE271" s="2" t="s">
        <v>18260</v>
      </c>
      <c r="AF271" s="2"/>
      <c r="AG271" s="2" t="s">
        <v>18250</v>
      </c>
    </row>
    <row r="272" spans="1:33" x14ac:dyDescent="0.45">
      <c r="A272" s="2" t="s">
        <v>20130</v>
      </c>
      <c r="B272" s="2" t="s">
        <v>20131</v>
      </c>
      <c r="C272" s="2" t="s">
        <v>20132</v>
      </c>
      <c r="D272" s="2" t="s">
        <v>20133</v>
      </c>
      <c r="E272" s="2" t="s">
        <v>20134</v>
      </c>
      <c r="F272" s="2" t="s">
        <v>20135</v>
      </c>
      <c r="G272" s="2" t="s">
        <v>20135</v>
      </c>
      <c r="H272" s="2" t="s">
        <v>384</v>
      </c>
      <c r="I272" s="2" t="s">
        <v>73</v>
      </c>
      <c r="J272" s="2" t="s">
        <v>2129</v>
      </c>
      <c r="K272" s="2" t="s">
        <v>20133</v>
      </c>
      <c r="L272" s="2"/>
      <c r="M272" s="2"/>
      <c r="N272" s="2"/>
      <c r="O272" s="2" t="s">
        <v>384</v>
      </c>
      <c r="P272" s="2" t="s">
        <v>73</v>
      </c>
      <c r="Q272" s="2" t="s">
        <v>2129</v>
      </c>
      <c r="R272" s="2" t="s">
        <v>10515</v>
      </c>
      <c r="S272" s="2" t="s">
        <v>44</v>
      </c>
      <c r="T272" s="2"/>
      <c r="U272" s="2" t="s">
        <v>3527</v>
      </c>
      <c r="V272" s="2" t="s">
        <v>46</v>
      </c>
      <c r="W272" s="2" t="s">
        <v>3527</v>
      </c>
      <c r="X272" s="2" t="s">
        <v>12417</v>
      </c>
      <c r="Y272" s="2" t="s">
        <v>10801</v>
      </c>
      <c r="Z272" s="2" t="s">
        <v>7864</v>
      </c>
      <c r="AA272" s="2">
        <v>100</v>
      </c>
      <c r="AB272" s="2">
        <v>10</v>
      </c>
      <c r="AC272" s="2" t="s">
        <v>10789</v>
      </c>
      <c r="AD272" s="2" t="s">
        <v>20136</v>
      </c>
      <c r="AE272" s="2" t="s">
        <v>18260</v>
      </c>
      <c r="AF272" s="2"/>
      <c r="AG272" s="2" t="s">
        <v>18250</v>
      </c>
    </row>
    <row r="273" spans="1:33" x14ac:dyDescent="0.45">
      <c r="A273" s="2" t="s">
        <v>20137</v>
      </c>
      <c r="B273" s="2" t="s">
        <v>20138</v>
      </c>
      <c r="C273" s="2" t="s">
        <v>20137</v>
      </c>
      <c r="D273" s="2" t="s">
        <v>20139</v>
      </c>
      <c r="E273" s="2" t="s">
        <v>20140</v>
      </c>
      <c r="F273" s="2" t="s">
        <v>20141</v>
      </c>
      <c r="G273" s="2"/>
      <c r="H273" s="2" t="s">
        <v>1280</v>
      </c>
      <c r="I273" s="2" t="s">
        <v>1281</v>
      </c>
      <c r="J273" s="2" t="s">
        <v>6007</v>
      </c>
      <c r="K273" s="2" t="s">
        <v>20139</v>
      </c>
      <c r="L273" s="2"/>
      <c r="M273" s="2"/>
      <c r="N273" s="2"/>
      <c r="O273" s="2" t="s">
        <v>1280</v>
      </c>
      <c r="P273" s="2" t="s">
        <v>1281</v>
      </c>
      <c r="Q273" s="2" t="s">
        <v>6007</v>
      </c>
      <c r="R273" s="2" t="s">
        <v>7538</v>
      </c>
      <c r="S273" s="2" t="s">
        <v>44</v>
      </c>
      <c r="T273" s="2"/>
      <c r="U273" s="2" t="s">
        <v>3527</v>
      </c>
      <c r="V273" s="2" t="s">
        <v>46</v>
      </c>
      <c r="W273" s="2" t="s">
        <v>3527</v>
      </c>
      <c r="X273" s="2" t="s">
        <v>10787</v>
      </c>
      <c r="Y273" s="2" t="s">
        <v>10801</v>
      </c>
      <c r="Z273" s="2" t="s">
        <v>7864</v>
      </c>
      <c r="AA273" s="2">
        <v>100</v>
      </c>
      <c r="AB273" s="2">
        <v>5</v>
      </c>
      <c r="AC273" s="2" t="s">
        <v>10789</v>
      </c>
      <c r="AD273" s="2" t="s">
        <v>20142</v>
      </c>
      <c r="AE273" s="2" t="s">
        <v>18260</v>
      </c>
      <c r="AF273" s="2"/>
      <c r="AG273" s="2" t="s">
        <v>18250</v>
      </c>
    </row>
    <row r="274" spans="1:33" x14ac:dyDescent="0.45">
      <c r="A274" s="2" t="s">
        <v>20143</v>
      </c>
      <c r="B274" s="2" t="s">
        <v>20144</v>
      </c>
      <c r="C274" s="2" t="s">
        <v>20143</v>
      </c>
      <c r="D274" s="2" t="s">
        <v>20145</v>
      </c>
      <c r="E274" s="2" t="s">
        <v>20146</v>
      </c>
      <c r="F274" s="2" t="s">
        <v>20147</v>
      </c>
      <c r="G274" s="2" t="s">
        <v>20147</v>
      </c>
      <c r="H274" s="2" t="s">
        <v>651</v>
      </c>
      <c r="I274" s="2" t="s">
        <v>86</v>
      </c>
      <c r="J274" s="2" t="s">
        <v>20148</v>
      </c>
      <c r="K274" s="2"/>
      <c r="L274" s="2"/>
      <c r="M274" s="2"/>
      <c r="N274" s="2"/>
      <c r="O274" s="2"/>
      <c r="P274" s="2"/>
      <c r="Q274" s="2"/>
      <c r="R274" s="2" t="s">
        <v>7816</v>
      </c>
      <c r="S274" s="2" t="s">
        <v>44</v>
      </c>
      <c r="T274" s="2"/>
      <c r="U274" s="2" t="s">
        <v>3527</v>
      </c>
      <c r="V274" s="2" t="s">
        <v>46</v>
      </c>
      <c r="W274" s="2" t="s">
        <v>3527</v>
      </c>
      <c r="X274" s="2" t="s">
        <v>10787</v>
      </c>
      <c r="Y274" s="2" t="s">
        <v>10801</v>
      </c>
      <c r="Z274" s="2" t="s">
        <v>7864</v>
      </c>
      <c r="AA274" s="2">
        <v>100</v>
      </c>
      <c r="AB274" s="2">
        <v>10</v>
      </c>
      <c r="AC274" s="2" t="s">
        <v>10789</v>
      </c>
      <c r="AD274" s="2" t="s">
        <v>20149</v>
      </c>
      <c r="AE274" s="2" t="s">
        <v>18260</v>
      </c>
      <c r="AF274" s="2"/>
      <c r="AG274" s="2" t="s">
        <v>18250</v>
      </c>
    </row>
    <row r="275" spans="1:33" x14ac:dyDescent="0.45">
      <c r="A275" s="2" t="s">
        <v>20150</v>
      </c>
      <c r="B275" s="2" t="s">
        <v>20151</v>
      </c>
      <c r="C275" s="2" t="s">
        <v>20150</v>
      </c>
      <c r="D275" s="2" t="s">
        <v>20152</v>
      </c>
      <c r="E275" s="2" t="s">
        <v>20153</v>
      </c>
      <c r="F275" s="2"/>
      <c r="G275" s="2"/>
      <c r="H275" s="2" t="s">
        <v>10513</v>
      </c>
      <c r="I275" s="2" t="s">
        <v>313</v>
      </c>
      <c r="J275" s="2" t="s">
        <v>20154</v>
      </c>
      <c r="K275" s="2" t="s">
        <v>20155</v>
      </c>
      <c r="L275" s="2"/>
      <c r="M275" s="2"/>
      <c r="N275" s="2"/>
      <c r="O275" s="2" t="s">
        <v>10513</v>
      </c>
      <c r="P275" s="2" t="s">
        <v>313</v>
      </c>
      <c r="Q275" s="2" t="s">
        <v>20154</v>
      </c>
      <c r="R275" s="2" t="s">
        <v>9413</v>
      </c>
      <c r="S275" s="2" t="s">
        <v>44</v>
      </c>
      <c r="T275" s="2"/>
      <c r="U275" s="2" t="s">
        <v>3527</v>
      </c>
      <c r="V275" s="2" t="s">
        <v>46</v>
      </c>
      <c r="W275" s="2" t="s">
        <v>3527</v>
      </c>
      <c r="X275" s="2" t="s">
        <v>10787</v>
      </c>
      <c r="Y275" s="2" t="s">
        <v>10801</v>
      </c>
      <c r="Z275" s="2" t="s">
        <v>7864</v>
      </c>
      <c r="AA275" s="2">
        <v>90</v>
      </c>
      <c r="AB275" s="2">
        <v>0</v>
      </c>
      <c r="AC275" s="2" t="s">
        <v>10789</v>
      </c>
      <c r="AD275" s="2" t="s">
        <v>20156</v>
      </c>
      <c r="AE275" s="2" t="s">
        <v>18260</v>
      </c>
      <c r="AF275" s="2"/>
      <c r="AG275" s="2" t="s">
        <v>18250</v>
      </c>
    </row>
    <row r="276" spans="1:33" x14ac:dyDescent="0.45">
      <c r="A276" s="2" t="s">
        <v>20157</v>
      </c>
      <c r="B276" s="2" t="s">
        <v>20158</v>
      </c>
      <c r="C276" s="2" t="s">
        <v>20157</v>
      </c>
      <c r="D276" s="2" t="s">
        <v>20159</v>
      </c>
      <c r="E276" s="2" t="s">
        <v>20160</v>
      </c>
      <c r="F276" s="2"/>
      <c r="G276" s="2"/>
      <c r="H276" s="2" t="s">
        <v>5984</v>
      </c>
      <c r="I276" s="2" t="s">
        <v>313</v>
      </c>
      <c r="J276" s="2" t="s">
        <v>20161</v>
      </c>
      <c r="K276" s="2" t="s">
        <v>20159</v>
      </c>
      <c r="L276" s="2"/>
      <c r="M276" s="2"/>
      <c r="N276" s="2"/>
      <c r="O276" s="2" t="s">
        <v>5984</v>
      </c>
      <c r="P276" s="2" t="s">
        <v>313</v>
      </c>
      <c r="Q276" s="2" t="s">
        <v>20161</v>
      </c>
      <c r="R276" s="2" t="s">
        <v>14234</v>
      </c>
      <c r="S276" s="2" t="s">
        <v>44</v>
      </c>
      <c r="T276" s="2"/>
      <c r="U276" s="2" t="s">
        <v>3527</v>
      </c>
      <c r="V276" s="2" t="s">
        <v>46</v>
      </c>
      <c r="W276" s="2" t="s">
        <v>3527</v>
      </c>
      <c r="X276" s="2" t="s">
        <v>10787</v>
      </c>
      <c r="Y276" s="2" t="s">
        <v>10801</v>
      </c>
      <c r="Z276" s="2" t="s">
        <v>7864</v>
      </c>
      <c r="AA276" s="2">
        <v>90</v>
      </c>
      <c r="AB276" s="2">
        <v>0</v>
      </c>
      <c r="AC276" s="2" t="s">
        <v>10789</v>
      </c>
      <c r="AD276" s="2" t="s">
        <v>20162</v>
      </c>
      <c r="AE276" s="2" t="s">
        <v>18260</v>
      </c>
      <c r="AF276" s="2"/>
      <c r="AG276" s="2" t="s">
        <v>18250</v>
      </c>
    </row>
    <row r="277" spans="1:33" x14ac:dyDescent="0.45">
      <c r="A277" s="2" t="s">
        <v>20163</v>
      </c>
      <c r="B277" s="2" t="s">
        <v>20164</v>
      </c>
      <c r="C277" s="2" t="s">
        <v>20163</v>
      </c>
      <c r="D277" s="2" t="s">
        <v>20165</v>
      </c>
      <c r="E277" s="2" t="s">
        <v>20166</v>
      </c>
      <c r="F277" s="2"/>
      <c r="G277" s="2"/>
      <c r="H277" s="2" t="s">
        <v>85</v>
      </c>
      <c r="I277" s="2" t="s">
        <v>86</v>
      </c>
      <c r="J277" s="2" t="s">
        <v>631</v>
      </c>
      <c r="K277" s="2" t="s">
        <v>20165</v>
      </c>
      <c r="L277" s="2"/>
      <c r="M277" s="2"/>
      <c r="N277" s="2"/>
      <c r="O277" s="2" t="s">
        <v>85</v>
      </c>
      <c r="P277" s="2" t="s">
        <v>86</v>
      </c>
      <c r="Q277" s="2" t="s">
        <v>631</v>
      </c>
      <c r="R277" s="2" t="s">
        <v>13830</v>
      </c>
      <c r="S277" s="2" t="s">
        <v>44</v>
      </c>
      <c r="T277" s="2"/>
      <c r="U277" s="2" t="s">
        <v>3527</v>
      </c>
      <c r="V277" s="2" t="s">
        <v>46</v>
      </c>
      <c r="W277" s="2" t="s">
        <v>3527</v>
      </c>
      <c r="X277" s="2" t="s">
        <v>10787</v>
      </c>
      <c r="Y277" s="2" t="s">
        <v>10801</v>
      </c>
      <c r="Z277" s="2" t="s">
        <v>7864</v>
      </c>
      <c r="AA277" s="2">
        <v>90</v>
      </c>
      <c r="AB277" s="2">
        <v>0</v>
      </c>
      <c r="AC277" s="2" t="s">
        <v>10789</v>
      </c>
      <c r="AD277" s="2" t="s">
        <v>20167</v>
      </c>
      <c r="AE277" s="2" t="s">
        <v>18260</v>
      </c>
      <c r="AF277" s="2"/>
      <c r="AG277" s="2" t="s">
        <v>18250</v>
      </c>
    </row>
    <row r="278" spans="1:33" x14ac:dyDescent="0.45">
      <c r="A278" s="2" t="s">
        <v>20168</v>
      </c>
      <c r="B278" s="2" t="s">
        <v>20169</v>
      </c>
      <c r="C278" s="2" t="s">
        <v>20170</v>
      </c>
      <c r="D278" s="2" t="s">
        <v>20171</v>
      </c>
      <c r="E278" s="2" t="s">
        <v>20172</v>
      </c>
      <c r="F278" s="2" t="s">
        <v>20173</v>
      </c>
      <c r="G278" s="2"/>
      <c r="H278" s="2" t="s">
        <v>277</v>
      </c>
      <c r="I278" s="2" t="s">
        <v>278</v>
      </c>
      <c r="J278" s="2" t="s">
        <v>279</v>
      </c>
      <c r="K278" s="2" t="s">
        <v>20174</v>
      </c>
      <c r="L278" s="2"/>
      <c r="M278" s="2"/>
      <c r="N278" s="2"/>
      <c r="O278" s="2" t="s">
        <v>277</v>
      </c>
      <c r="P278" s="2" t="s">
        <v>278</v>
      </c>
      <c r="Q278" s="2" t="s">
        <v>279</v>
      </c>
      <c r="R278" s="2" t="s">
        <v>4897</v>
      </c>
      <c r="S278" s="2" t="s">
        <v>44</v>
      </c>
      <c r="T278" s="2"/>
      <c r="U278" s="2" t="s">
        <v>821</v>
      </c>
      <c r="V278" s="2" t="s">
        <v>46</v>
      </c>
      <c r="W278" s="2" t="s">
        <v>821</v>
      </c>
      <c r="X278" s="2" t="s">
        <v>10787</v>
      </c>
      <c r="Y278" s="2" t="s">
        <v>10801</v>
      </c>
      <c r="Z278" s="2" t="s">
        <v>7864</v>
      </c>
      <c r="AA278" s="2">
        <v>100</v>
      </c>
      <c r="AB278" s="2">
        <v>17</v>
      </c>
      <c r="AC278" s="2" t="s">
        <v>10789</v>
      </c>
      <c r="AD278" s="2" t="s">
        <v>20175</v>
      </c>
      <c r="AE278" s="2" t="s">
        <v>18260</v>
      </c>
      <c r="AF278" s="2"/>
      <c r="AG278" s="2" t="s">
        <v>18250</v>
      </c>
    </row>
    <row r="279" spans="1:33" x14ac:dyDescent="0.45">
      <c r="A279" s="2" t="s">
        <v>20176</v>
      </c>
      <c r="B279" s="2" t="s">
        <v>20177</v>
      </c>
      <c r="C279" s="2" t="s">
        <v>20176</v>
      </c>
      <c r="D279" s="2" t="s">
        <v>20178</v>
      </c>
      <c r="E279" s="2" t="s">
        <v>20179</v>
      </c>
      <c r="F279" s="2"/>
      <c r="G279" s="2"/>
      <c r="H279" s="2" t="s">
        <v>536</v>
      </c>
      <c r="I279" s="2" t="s">
        <v>537</v>
      </c>
      <c r="J279" s="2" t="s">
        <v>538</v>
      </c>
      <c r="K279" s="2"/>
      <c r="L279" s="2"/>
      <c r="M279" s="2"/>
      <c r="N279" s="2"/>
      <c r="O279" s="2"/>
      <c r="P279" s="2"/>
      <c r="Q279" s="2"/>
      <c r="R279" s="2" t="s">
        <v>20180</v>
      </c>
      <c r="S279" s="2" t="s">
        <v>44</v>
      </c>
      <c r="T279" s="2"/>
      <c r="U279" s="2" t="s">
        <v>3527</v>
      </c>
      <c r="V279" s="2" t="s">
        <v>46</v>
      </c>
      <c r="W279" s="2" t="s">
        <v>3527</v>
      </c>
      <c r="X279" s="2" t="s">
        <v>10787</v>
      </c>
      <c r="Y279" s="2" t="s">
        <v>10801</v>
      </c>
      <c r="Z279" s="2" t="s">
        <v>7864</v>
      </c>
      <c r="AA279" s="2">
        <v>90</v>
      </c>
      <c r="AB279" s="2">
        <v>0</v>
      </c>
      <c r="AC279" s="2" t="s">
        <v>10789</v>
      </c>
      <c r="AD279" s="2" t="s">
        <v>20181</v>
      </c>
      <c r="AE279" s="2" t="s">
        <v>18260</v>
      </c>
      <c r="AF279" s="2"/>
      <c r="AG279" s="2" t="s">
        <v>18250</v>
      </c>
    </row>
    <row r="280" spans="1:33" x14ac:dyDescent="0.45">
      <c r="A280" s="2" t="s">
        <v>20182</v>
      </c>
      <c r="B280" s="2" t="s">
        <v>20183</v>
      </c>
      <c r="C280" s="2" t="s">
        <v>20184</v>
      </c>
      <c r="D280" s="2" t="s">
        <v>20185</v>
      </c>
      <c r="E280" s="2" t="s">
        <v>20186</v>
      </c>
      <c r="F280" s="2" t="s">
        <v>20187</v>
      </c>
      <c r="G280" s="2" t="s">
        <v>20187</v>
      </c>
      <c r="H280" s="2" t="s">
        <v>312</v>
      </c>
      <c r="I280" s="2" t="s">
        <v>313</v>
      </c>
      <c r="J280" s="2" t="s">
        <v>314</v>
      </c>
      <c r="K280" s="2" t="s">
        <v>20185</v>
      </c>
      <c r="L280" s="2"/>
      <c r="M280" s="2"/>
      <c r="N280" s="2"/>
      <c r="O280" s="2" t="s">
        <v>312</v>
      </c>
      <c r="P280" s="2" t="s">
        <v>313</v>
      </c>
      <c r="Q280" s="2" t="s">
        <v>314</v>
      </c>
      <c r="R280" s="2" t="s">
        <v>6214</v>
      </c>
      <c r="S280" s="2" t="s">
        <v>44</v>
      </c>
      <c r="T280" s="2"/>
      <c r="U280" s="2" t="s">
        <v>3527</v>
      </c>
      <c r="V280" s="2" t="s">
        <v>46</v>
      </c>
      <c r="W280" s="2" t="s">
        <v>3527</v>
      </c>
      <c r="X280" s="2" t="s">
        <v>10787</v>
      </c>
      <c r="Y280" s="2" t="s">
        <v>10801</v>
      </c>
      <c r="Z280" s="2" t="s">
        <v>7864</v>
      </c>
      <c r="AA280" s="2">
        <v>100</v>
      </c>
      <c r="AB280" s="2">
        <v>10</v>
      </c>
      <c r="AC280" s="2" t="s">
        <v>10789</v>
      </c>
      <c r="AD280" s="2" t="s">
        <v>20188</v>
      </c>
      <c r="AE280" s="2" t="s">
        <v>18260</v>
      </c>
      <c r="AF280" s="2"/>
      <c r="AG280" s="2" t="s">
        <v>18250</v>
      </c>
    </row>
    <row r="281" spans="1:33" x14ac:dyDescent="0.45">
      <c r="A281" s="2" t="s">
        <v>20189</v>
      </c>
      <c r="B281" s="2" t="s">
        <v>20190</v>
      </c>
      <c r="C281" s="2" t="s">
        <v>20189</v>
      </c>
      <c r="D281" s="2" t="s">
        <v>20191</v>
      </c>
      <c r="E281" s="2" t="s">
        <v>20192</v>
      </c>
      <c r="F281" s="2"/>
      <c r="G281" s="2"/>
      <c r="H281" s="2" t="s">
        <v>324</v>
      </c>
      <c r="I281" s="2" t="s">
        <v>73</v>
      </c>
      <c r="J281" s="2" t="s">
        <v>6817</v>
      </c>
      <c r="K281" s="2"/>
      <c r="L281" s="2"/>
      <c r="M281" s="2"/>
      <c r="N281" s="2"/>
      <c r="O281" s="2"/>
      <c r="P281" s="2"/>
      <c r="Q281" s="2"/>
      <c r="R281" s="2" t="s">
        <v>20193</v>
      </c>
      <c r="S281" s="2" t="s">
        <v>44</v>
      </c>
      <c r="T281" s="2"/>
      <c r="U281" s="2" t="s">
        <v>3527</v>
      </c>
      <c r="V281" s="2" t="s">
        <v>46</v>
      </c>
      <c r="W281" s="2" t="s">
        <v>3527</v>
      </c>
      <c r="X281" s="2" t="s">
        <v>10787</v>
      </c>
      <c r="Y281" s="2" t="s">
        <v>10801</v>
      </c>
      <c r="Z281" s="2" t="s">
        <v>7864</v>
      </c>
      <c r="AA281" s="2">
        <v>90</v>
      </c>
      <c r="AB281" s="2">
        <v>0</v>
      </c>
      <c r="AC281" s="2" t="s">
        <v>10789</v>
      </c>
      <c r="AD281" s="2" t="s">
        <v>20194</v>
      </c>
      <c r="AE281" s="2" t="s">
        <v>18260</v>
      </c>
      <c r="AF281" s="2"/>
      <c r="AG281" s="2" t="s">
        <v>18250</v>
      </c>
    </row>
    <row r="282" spans="1:33" x14ac:dyDescent="0.45">
      <c r="A282" s="2" t="s">
        <v>20195</v>
      </c>
      <c r="B282" s="2" t="s">
        <v>20196</v>
      </c>
      <c r="C282" s="2" t="s">
        <v>20197</v>
      </c>
      <c r="D282" s="2" t="s">
        <v>20198</v>
      </c>
      <c r="E282" s="2" t="s">
        <v>20199</v>
      </c>
      <c r="F282" s="2"/>
      <c r="G282" s="2"/>
      <c r="H282" s="2" t="s">
        <v>72</v>
      </c>
      <c r="I282" s="2" t="s">
        <v>73</v>
      </c>
      <c r="J282" s="2" t="s">
        <v>6837</v>
      </c>
      <c r="K282" s="2"/>
      <c r="L282" s="2"/>
      <c r="M282" s="2"/>
      <c r="N282" s="2"/>
      <c r="O282" s="2"/>
      <c r="P282" s="2"/>
      <c r="Q282" s="2"/>
      <c r="R282" s="2" t="s">
        <v>20200</v>
      </c>
      <c r="S282" s="2" t="s">
        <v>44</v>
      </c>
      <c r="T282" s="2"/>
      <c r="U282" s="2" t="s">
        <v>3527</v>
      </c>
      <c r="V282" s="2" t="s">
        <v>46</v>
      </c>
      <c r="W282" s="2" t="s">
        <v>3527</v>
      </c>
      <c r="X282" s="2" t="s">
        <v>10787</v>
      </c>
      <c r="Y282" s="2" t="s">
        <v>10801</v>
      </c>
      <c r="Z282" s="2" t="s">
        <v>7864</v>
      </c>
      <c r="AA282" s="2">
        <v>90</v>
      </c>
      <c r="AB282" s="2">
        <v>0</v>
      </c>
      <c r="AC282" s="2" t="s">
        <v>10789</v>
      </c>
      <c r="AD282" s="2" t="s">
        <v>20201</v>
      </c>
      <c r="AE282" s="2" t="s">
        <v>18260</v>
      </c>
      <c r="AF282" s="2"/>
      <c r="AG282" s="2" t="s">
        <v>18250</v>
      </c>
    </row>
    <row r="283" spans="1:33" x14ac:dyDescent="0.45">
      <c r="A283" s="2" t="s">
        <v>20202</v>
      </c>
      <c r="B283" s="2" t="s">
        <v>20203</v>
      </c>
      <c r="C283" s="2" t="s">
        <v>20204</v>
      </c>
      <c r="D283" s="2" t="s">
        <v>20205</v>
      </c>
      <c r="E283" s="2" t="s">
        <v>20206</v>
      </c>
      <c r="F283" s="2" t="s">
        <v>20207</v>
      </c>
      <c r="G283" s="2" t="s">
        <v>20207</v>
      </c>
      <c r="H283" s="2" t="s">
        <v>85</v>
      </c>
      <c r="I283" s="2" t="s">
        <v>86</v>
      </c>
      <c r="J283" s="2" t="s">
        <v>10640</v>
      </c>
      <c r="K283" s="2"/>
      <c r="L283" s="2"/>
      <c r="M283" s="2"/>
      <c r="N283" s="2"/>
      <c r="O283" s="2"/>
      <c r="P283" s="2"/>
      <c r="Q283" s="2"/>
      <c r="R283" s="2" t="s">
        <v>1285</v>
      </c>
      <c r="S283" s="2" t="s">
        <v>44</v>
      </c>
      <c r="T283" s="2"/>
      <c r="U283" s="2" t="s">
        <v>3527</v>
      </c>
      <c r="V283" s="2" t="s">
        <v>46</v>
      </c>
      <c r="W283" s="2" t="s">
        <v>3527</v>
      </c>
      <c r="X283" s="2" t="s">
        <v>10787</v>
      </c>
      <c r="Y283" s="2" t="s">
        <v>10801</v>
      </c>
      <c r="Z283" s="2" t="s">
        <v>7864</v>
      </c>
      <c r="AA283" s="2">
        <v>100</v>
      </c>
      <c r="AB283" s="2">
        <v>10</v>
      </c>
      <c r="AC283" s="2" t="s">
        <v>10789</v>
      </c>
      <c r="AD283" s="2" t="s">
        <v>20208</v>
      </c>
      <c r="AE283" s="2" t="s">
        <v>18260</v>
      </c>
      <c r="AF283" s="2"/>
      <c r="AG283" s="2" t="s">
        <v>18250</v>
      </c>
    </row>
    <row r="284" spans="1:33" x14ac:dyDescent="0.45">
      <c r="A284" s="2" t="s">
        <v>20209</v>
      </c>
      <c r="B284" s="2" t="s">
        <v>20210</v>
      </c>
      <c r="C284" s="2" t="s">
        <v>20209</v>
      </c>
      <c r="D284" s="2" t="s">
        <v>20211</v>
      </c>
      <c r="E284" s="2" t="s">
        <v>20212</v>
      </c>
      <c r="F284" s="2" t="s">
        <v>20213</v>
      </c>
      <c r="G284" s="2"/>
      <c r="H284" s="2" t="s">
        <v>59</v>
      </c>
      <c r="I284" s="2" t="s">
        <v>60</v>
      </c>
      <c r="J284" s="2" t="s">
        <v>12350</v>
      </c>
      <c r="K284" s="2" t="s">
        <v>20214</v>
      </c>
      <c r="L284" s="2"/>
      <c r="M284" s="2"/>
      <c r="N284" s="2"/>
      <c r="O284" s="2" t="s">
        <v>59</v>
      </c>
      <c r="P284" s="2" t="s">
        <v>60</v>
      </c>
      <c r="Q284" s="2" t="s">
        <v>12350</v>
      </c>
      <c r="R284" s="2" t="s">
        <v>5142</v>
      </c>
      <c r="S284" s="2" t="s">
        <v>44</v>
      </c>
      <c r="T284" s="2"/>
      <c r="U284" s="2" t="s">
        <v>3527</v>
      </c>
      <c r="V284" s="2" t="s">
        <v>46</v>
      </c>
      <c r="W284" s="2" t="s">
        <v>3527</v>
      </c>
      <c r="X284" s="2" t="s">
        <v>10787</v>
      </c>
      <c r="Y284" s="2" t="s">
        <v>10801</v>
      </c>
      <c r="Z284" s="2" t="s">
        <v>7864</v>
      </c>
      <c r="AA284" s="2">
        <v>100</v>
      </c>
      <c r="AB284" s="2">
        <v>10</v>
      </c>
      <c r="AC284" s="2" t="s">
        <v>10789</v>
      </c>
      <c r="AD284" s="2" t="s">
        <v>20215</v>
      </c>
      <c r="AE284" s="2" t="s">
        <v>18260</v>
      </c>
      <c r="AF284" s="2"/>
      <c r="AG284" s="2" t="s">
        <v>18250</v>
      </c>
    </row>
    <row r="285" spans="1:33" x14ac:dyDescent="0.45">
      <c r="A285" s="2" t="s">
        <v>20216</v>
      </c>
      <c r="B285" s="2" t="s">
        <v>20217</v>
      </c>
      <c r="C285" s="2" t="s">
        <v>20218</v>
      </c>
      <c r="D285" s="2" t="s">
        <v>20219</v>
      </c>
      <c r="E285" s="2" t="s">
        <v>20220</v>
      </c>
      <c r="F285" s="2" t="s">
        <v>20221</v>
      </c>
      <c r="G285" s="2"/>
      <c r="H285" s="2" t="s">
        <v>11291</v>
      </c>
      <c r="I285" s="2" t="s">
        <v>73</v>
      </c>
      <c r="J285" s="2" t="s">
        <v>20222</v>
      </c>
      <c r="K285" s="2" t="s">
        <v>20219</v>
      </c>
      <c r="L285" s="2"/>
      <c r="M285" s="2"/>
      <c r="N285" s="2"/>
      <c r="O285" s="2" t="s">
        <v>11291</v>
      </c>
      <c r="P285" s="2" t="s">
        <v>73</v>
      </c>
      <c r="Q285" s="2" t="s">
        <v>20222</v>
      </c>
      <c r="R285" s="2" t="s">
        <v>701</v>
      </c>
      <c r="S285" s="2" t="s">
        <v>44</v>
      </c>
      <c r="T285" s="2"/>
      <c r="U285" s="2" t="s">
        <v>3527</v>
      </c>
      <c r="V285" s="2" t="s">
        <v>46</v>
      </c>
      <c r="W285" s="2" t="s">
        <v>3527</v>
      </c>
      <c r="X285" s="2" t="s">
        <v>10787</v>
      </c>
      <c r="Y285" s="2" t="s">
        <v>10801</v>
      </c>
      <c r="Z285" s="2" t="s">
        <v>7864</v>
      </c>
      <c r="AA285" s="2">
        <v>100</v>
      </c>
      <c r="AB285" s="2">
        <v>5</v>
      </c>
      <c r="AC285" s="2" t="s">
        <v>10789</v>
      </c>
      <c r="AD285" s="2" t="s">
        <v>20223</v>
      </c>
      <c r="AE285" s="2" t="s">
        <v>18260</v>
      </c>
      <c r="AF285" s="2"/>
      <c r="AG285" s="2" t="s">
        <v>18250</v>
      </c>
    </row>
    <row r="286" spans="1:33" x14ac:dyDescent="0.45">
      <c r="A286" s="2" t="s">
        <v>20224</v>
      </c>
      <c r="B286" s="2" t="s">
        <v>20225</v>
      </c>
      <c r="C286" s="2" t="s">
        <v>20226</v>
      </c>
      <c r="D286" s="2" t="s">
        <v>20227</v>
      </c>
      <c r="E286" s="2" t="s">
        <v>20228</v>
      </c>
      <c r="F286" s="2"/>
      <c r="G286" s="2"/>
      <c r="H286" s="2" t="s">
        <v>17601</v>
      </c>
      <c r="I286" s="2" t="s">
        <v>17166</v>
      </c>
      <c r="J286" s="2" t="s">
        <v>20229</v>
      </c>
      <c r="K286" s="2" t="s">
        <v>20227</v>
      </c>
      <c r="L286" s="2"/>
      <c r="M286" s="2"/>
      <c r="N286" s="2"/>
      <c r="O286" s="2" t="s">
        <v>17601</v>
      </c>
      <c r="P286" s="2" t="s">
        <v>17166</v>
      </c>
      <c r="Q286" s="2" t="s">
        <v>20229</v>
      </c>
      <c r="R286" s="2" t="s">
        <v>14390</v>
      </c>
      <c r="S286" s="2" t="s">
        <v>44</v>
      </c>
      <c r="T286" s="2"/>
      <c r="U286" s="2" t="s">
        <v>3527</v>
      </c>
      <c r="V286" s="2" t="s">
        <v>46</v>
      </c>
      <c r="W286" s="2" t="s">
        <v>3527</v>
      </c>
      <c r="X286" s="2" t="s">
        <v>10787</v>
      </c>
      <c r="Y286" s="2" t="s">
        <v>10801</v>
      </c>
      <c r="Z286" s="2" t="s">
        <v>7864</v>
      </c>
      <c r="AA286" s="2">
        <v>90</v>
      </c>
      <c r="AB286" s="2">
        <v>0</v>
      </c>
      <c r="AC286" s="2" t="s">
        <v>10789</v>
      </c>
      <c r="AD286" s="2" t="s">
        <v>20230</v>
      </c>
      <c r="AE286" s="2" t="s">
        <v>18260</v>
      </c>
      <c r="AF286" s="2"/>
      <c r="AG286" s="2" t="s">
        <v>18250</v>
      </c>
    </row>
    <row r="287" spans="1:33" x14ac:dyDescent="0.45">
      <c r="A287" s="2" t="s">
        <v>20231</v>
      </c>
      <c r="B287" s="2" t="s">
        <v>20232</v>
      </c>
      <c r="C287" s="2" t="s">
        <v>20233</v>
      </c>
      <c r="D287" s="2" t="s">
        <v>20234</v>
      </c>
      <c r="E287" s="2" t="s">
        <v>20235</v>
      </c>
      <c r="F287" s="2" t="s">
        <v>3562</v>
      </c>
      <c r="G287" s="2" t="s">
        <v>3562</v>
      </c>
      <c r="H287" s="2" t="s">
        <v>20236</v>
      </c>
      <c r="I287" s="2" t="s">
        <v>1281</v>
      </c>
      <c r="J287" s="2" t="s">
        <v>20237</v>
      </c>
      <c r="K287" s="2" t="s">
        <v>20234</v>
      </c>
      <c r="L287" s="2"/>
      <c r="M287" s="2"/>
      <c r="N287" s="2"/>
      <c r="O287" s="2" t="s">
        <v>20236</v>
      </c>
      <c r="P287" s="2" t="s">
        <v>1281</v>
      </c>
      <c r="Q287" s="2" t="s">
        <v>20237</v>
      </c>
      <c r="R287" s="2" t="s">
        <v>20238</v>
      </c>
      <c r="S287" s="2" t="s">
        <v>44</v>
      </c>
      <c r="T287" s="2"/>
      <c r="U287" s="2" t="s">
        <v>3527</v>
      </c>
      <c r="V287" s="2" t="s">
        <v>46</v>
      </c>
      <c r="W287" s="2" t="s">
        <v>3527</v>
      </c>
      <c r="X287" s="2" t="s">
        <v>10787</v>
      </c>
      <c r="Y287" s="2" t="s">
        <v>10801</v>
      </c>
      <c r="Z287" s="2" t="s">
        <v>7864</v>
      </c>
      <c r="AA287" s="2">
        <v>100</v>
      </c>
      <c r="AB287" s="2">
        <v>5</v>
      </c>
      <c r="AC287" s="2" t="s">
        <v>10789</v>
      </c>
      <c r="AD287" s="2" t="s">
        <v>20239</v>
      </c>
      <c r="AE287" s="2" t="s">
        <v>18260</v>
      </c>
      <c r="AF287" s="2"/>
      <c r="AG287" s="2" t="s">
        <v>18250</v>
      </c>
    </row>
    <row r="288" spans="1:33" x14ac:dyDescent="0.45">
      <c r="A288" s="2" t="s">
        <v>20240</v>
      </c>
      <c r="B288" s="2" t="s">
        <v>20241</v>
      </c>
      <c r="C288" s="2" t="s">
        <v>20242</v>
      </c>
      <c r="D288" s="2" t="s">
        <v>20243</v>
      </c>
      <c r="E288" s="2" t="s">
        <v>20244</v>
      </c>
      <c r="F288" s="2" t="s">
        <v>20245</v>
      </c>
      <c r="G288" s="2" t="s">
        <v>20245</v>
      </c>
      <c r="H288" s="2" t="s">
        <v>1188</v>
      </c>
      <c r="I288" s="2" t="s">
        <v>221</v>
      </c>
      <c r="J288" s="2" t="s">
        <v>1189</v>
      </c>
      <c r="K288" s="2" t="s">
        <v>20243</v>
      </c>
      <c r="L288" s="2"/>
      <c r="M288" s="2"/>
      <c r="N288" s="2"/>
      <c r="O288" s="2" t="s">
        <v>1188</v>
      </c>
      <c r="P288" s="2" t="s">
        <v>221</v>
      </c>
      <c r="Q288" s="2" t="s">
        <v>1189</v>
      </c>
      <c r="R288" s="2" t="s">
        <v>3392</v>
      </c>
      <c r="S288" s="2" t="s">
        <v>44</v>
      </c>
      <c r="T288" s="2"/>
      <c r="U288" s="2" t="s">
        <v>821</v>
      </c>
      <c r="V288" s="2" t="s">
        <v>46</v>
      </c>
      <c r="W288" s="2" t="s">
        <v>821</v>
      </c>
      <c r="X288" s="2" t="s">
        <v>10787</v>
      </c>
      <c r="Y288" s="2" t="s">
        <v>10801</v>
      </c>
      <c r="Z288" s="2" t="s">
        <v>7864</v>
      </c>
      <c r="AA288" s="2">
        <v>100</v>
      </c>
      <c r="AB288" s="2">
        <v>17</v>
      </c>
      <c r="AC288" s="2" t="s">
        <v>10789</v>
      </c>
      <c r="AD288" s="2" t="s">
        <v>20246</v>
      </c>
      <c r="AE288" s="2" t="s">
        <v>18260</v>
      </c>
      <c r="AF288" s="2"/>
      <c r="AG288" s="2" t="s">
        <v>18250</v>
      </c>
    </row>
    <row r="289" spans="1:33" x14ac:dyDescent="0.45">
      <c r="A289" s="2" t="s">
        <v>20247</v>
      </c>
      <c r="B289" s="2" t="s">
        <v>20248</v>
      </c>
      <c r="C289" s="2" t="s">
        <v>20249</v>
      </c>
      <c r="D289" s="2" t="s">
        <v>20250</v>
      </c>
      <c r="E289" s="2" t="s">
        <v>20251</v>
      </c>
      <c r="F289" s="2" t="s">
        <v>20252</v>
      </c>
      <c r="G289" s="2" t="s">
        <v>20252</v>
      </c>
      <c r="H289" s="2" t="s">
        <v>72</v>
      </c>
      <c r="I289" s="2" t="s">
        <v>73</v>
      </c>
      <c r="J289" s="2" t="s">
        <v>2270</v>
      </c>
      <c r="K289" s="2" t="s">
        <v>20250</v>
      </c>
      <c r="L289" s="2"/>
      <c r="M289" s="2"/>
      <c r="N289" s="2"/>
      <c r="O289" s="2" t="s">
        <v>72</v>
      </c>
      <c r="P289" s="2" t="s">
        <v>73</v>
      </c>
      <c r="Q289" s="2" t="s">
        <v>2270</v>
      </c>
      <c r="R289" s="2" t="s">
        <v>14999</v>
      </c>
      <c r="S289" s="2" t="s">
        <v>44</v>
      </c>
      <c r="T289" s="2"/>
      <c r="U289" s="2" t="s">
        <v>821</v>
      </c>
      <c r="V289" s="2" t="s">
        <v>46</v>
      </c>
      <c r="W289" s="2" t="s">
        <v>821</v>
      </c>
      <c r="X289" s="2" t="s">
        <v>11225</v>
      </c>
      <c r="Y289" s="2" t="s">
        <v>10801</v>
      </c>
      <c r="Z289" s="2" t="s">
        <v>7864</v>
      </c>
      <c r="AA289" s="2">
        <v>100</v>
      </c>
      <c r="AB289" s="2">
        <v>17</v>
      </c>
      <c r="AC289" s="2" t="s">
        <v>10789</v>
      </c>
      <c r="AD289" s="2" t="s">
        <v>20253</v>
      </c>
      <c r="AE289" s="2" t="s">
        <v>18260</v>
      </c>
      <c r="AF289" s="2"/>
      <c r="AG289" s="2" t="s">
        <v>18250</v>
      </c>
    </row>
    <row r="290" spans="1:33" x14ac:dyDescent="0.45">
      <c r="A290" s="2" t="s">
        <v>20254</v>
      </c>
      <c r="B290" s="2" t="s">
        <v>20255</v>
      </c>
      <c r="C290" s="2" t="s">
        <v>20256</v>
      </c>
      <c r="D290" s="2" t="s">
        <v>20257</v>
      </c>
      <c r="E290" s="2" t="s">
        <v>20258</v>
      </c>
      <c r="F290" s="2" t="s">
        <v>3562</v>
      </c>
      <c r="G290" s="2" t="s">
        <v>3562</v>
      </c>
      <c r="H290" s="2" t="s">
        <v>536</v>
      </c>
      <c r="I290" s="2" t="s">
        <v>537</v>
      </c>
      <c r="J290" s="2" t="s">
        <v>20259</v>
      </c>
      <c r="K290" s="2" t="s">
        <v>20257</v>
      </c>
      <c r="L290" s="2"/>
      <c r="M290" s="2"/>
      <c r="N290" s="2"/>
      <c r="O290" s="2" t="s">
        <v>536</v>
      </c>
      <c r="P290" s="2" t="s">
        <v>537</v>
      </c>
      <c r="Q290" s="2" t="s">
        <v>20259</v>
      </c>
      <c r="R290" s="2" t="s">
        <v>9528</v>
      </c>
      <c r="S290" s="2" t="s">
        <v>44</v>
      </c>
      <c r="T290" s="2"/>
      <c r="U290" s="2" t="s">
        <v>3527</v>
      </c>
      <c r="V290" s="2" t="s">
        <v>46</v>
      </c>
      <c r="W290" s="2" t="s">
        <v>3527</v>
      </c>
      <c r="X290" s="2" t="s">
        <v>10787</v>
      </c>
      <c r="Y290" s="2" t="s">
        <v>10801</v>
      </c>
      <c r="Z290" s="2" t="s">
        <v>7864</v>
      </c>
      <c r="AA290" s="2">
        <v>100</v>
      </c>
      <c r="AB290" s="2">
        <v>10</v>
      </c>
      <c r="AC290" s="2" t="s">
        <v>10789</v>
      </c>
      <c r="AD290" s="2" t="s">
        <v>20260</v>
      </c>
      <c r="AE290" s="2" t="s">
        <v>18260</v>
      </c>
      <c r="AF290" s="2"/>
      <c r="AG290" s="2" t="s">
        <v>18250</v>
      </c>
    </row>
    <row r="291" spans="1:33" x14ac:dyDescent="0.45">
      <c r="A291" s="2" t="s">
        <v>20261</v>
      </c>
      <c r="B291" s="2" t="s">
        <v>20262</v>
      </c>
      <c r="C291" s="2" t="s">
        <v>20263</v>
      </c>
      <c r="D291" s="2" t="s">
        <v>20264</v>
      </c>
      <c r="E291" s="2" t="s">
        <v>20265</v>
      </c>
      <c r="F291" s="2"/>
      <c r="G291" s="2"/>
      <c r="H291" s="2" t="s">
        <v>174</v>
      </c>
      <c r="I291" s="2" t="s">
        <v>175</v>
      </c>
      <c r="J291" s="2" t="s">
        <v>1798</v>
      </c>
      <c r="K291" s="2" t="s">
        <v>20266</v>
      </c>
      <c r="L291" s="2"/>
      <c r="M291" s="2"/>
      <c r="N291" s="2"/>
      <c r="O291" s="2" t="s">
        <v>174</v>
      </c>
      <c r="P291" s="2" t="s">
        <v>175</v>
      </c>
      <c r="Q291" s="2" t="s">
        <v>7013</v>
      </c>
      <c r="R291" s="2" t="s">
        <v>12505</v>
      </c>
      <c r="S291" s="2" t="s">
        <v>44</v>
      </c>
      <c r="T291" s="2"/>
      <c r="U291" s="2" t="s">
        <v>3527</v>
      </c>
      <c r="V291" s="2" t="s">
        <v>46</v>
      </c>
      <c r="W291" s="2" t="s">
        <v>3527</v>
      </c>
      <c r="X291" s="2" t="s">
        <v>11214</v>
      </c>
      <c r="Y291" s="2" t="s">
        <v>10801</v>
      </c>
      <c r="Z291" s="2" t="s">
        <v>7864</v>
      </c>
      <c r="AA291" s="2">
        <v>90</v>
      </c>
      <c r="AB291" s="2">
        <v>0</v>
      </c>
      <c r="AC291" s="2" t="s">
        <v>10789</v>
      </c>
      <c r="AD291" s="2" t="s">
        <v>20267</v>
      </c>
      <c r="AE291" s="2" t="s">
        <v>18260</v>
      </c>
      <c r="AF291" s="2"/>
      <c r="AG291" s="2" t="s">
        <v>18250</v>
      </c>
    </row>
    <row r="292" spans="1:33" x14ac:dyDescent="0.45">
      <c r="A292" s="2" t="s">
        <v>20268</v>
      </c>
      <c r="B292" s="2" t="s">
        <v>20269</v>
      </c>
      <c r="C292" s="2" t="s">
        <v>20270</v>
      </c>
      <c r="D292" s="2" t="s">
        <v>20271</v>
      </c>
      <c r="E292" s="2" t="s">
        <v>20272</v>
      </c>
      <c r="F292" s="2"/>
      <c r="G292" s="2"/>
      <c r="H292" s="2" t="s">
        <v>312</v>
      </c>
      <c r="I292" s="2" t="s">
        <v>313</v>
      </c>
      <c r="J292" s="2" t="s">
        <v>314</v>
      </c>
      <c r="K292" s="2" t="s">
        <v>20273</v>
      </c>
      <c r="L292" s="2"/>
      <c r="M292" s="2"/>
      <c r="N292" s="2"/>
      <c r="O292" s="2" t="s">
        <v>312</v>
      </c>
      <c r="P292" s="2" t="s">
        <v>313</v>
      </c>
      <c r="Q292" s="2" t="s">
        <v>314</v>
      </c>
      <c r="R292" s="2" t="s">
        <v>4984</v>
      </c>
      <c r="S292" s="2" t="s">
        <v>44</v>
      </c>
      <c r="T292" s="2"/>
      <c r="U292" s="2" t="s">
        <v>3527</v>
      </c>
      <c r="V292" s="2" t="s">
        <v>46</v>
      </c>
      <c r="W292" s="2" t="s">
        <v>3527</v>
      </c>
      <c r="X292" s="2" t="s">
        <v>10787</v>
      </c>
      <c r="Y292" s="2" t="s">
        <v>10801</v>
      </c>
      <c r="Z292" s="2" t="s">
        <v>7864</v>
      </c>
      <c r="AA292" s="2">
        <v>90</v>
      </c>
      <c r="AB292" s="2">
        <v>0</v>
      </c>
      <c r="AC292" s="2" t="s">
        <v>10789</v>
      </c>
      <c r="AD292" s="2" t="s">
        <v>20274</v>
      </c>
      <c r="AE292" s="2" t="s">
        <v>18260</v>
      </c>
      <c r="AF292" s="2"/>
      <c r="AG292" s="2" t="s">
        <v>18250</v>
      </c>
    </row>
    <row r="293" spans="1:33" x14ac:dyDescent="0.45">
      <c r="A293" s="2" t="s">
        <v>20275</v>
      </c>
      <c r="B293" s="2" t="s">
        <v>20276</v>
      </c>
      <c r="C293" s="2" t="s">
        <v>20277</v>
      </c>
      <c r="D293" s="2" t="s">
        <v>20278</v>
      </c>
      <c r="E293" s="2" t="s">
        <v>20279</v>
      </c>
      <c r="F293" s="2" t="s">
        <v>20280</v>
      </c>
      <c r="G293" s="2" t="s">
        <v>20280</v>
      </c>
      <c r="H293" s="2" t="s">
        <v>216</v>
      </c>
      <c r="I293" s="2" t="s">
        <v>217</v>
      </c>
      <c r="J293" s="2" t="s">
        <v>4292</v>
      </c>
      <c r="K293" s="2"/>
      <c r="L293" s="2"/>
      <c r="M293" s="2"/>
      <c r="N293" s="2"/>
      <c r="O293" s="2"/>
      <c r="P293" s="2"/>
      <c r="Q293" s="2"/>
      <c r="R293" s="2" t="s">
        <v>6685</v>
      </c>
      <c r="S293" s="2" t="s">
        <v>44</v>
      </c>
      <c r="T293" s="2"/>
      <c r="U293" s="2" t="s">
        <v>3527</v>
      </c>
      <c r="V293" s="2" t="s">
        <v>46</v>
      </c>
      <c r="W293" s="2" t="s">
        <v>3527</v>
      </c>
      <c r="X293" s="2" t="s">
        <v>10787</v>
      </c>
      <c r="Y293" s="2" t="s">
        <v>10801</v>
      </c>
      <c r="Z293" s="2" t="s">
        <v>7864</v>
      </c>
      <c r="AA293" s="2">
        <v>100</v>
      </c>
      <c r="AB293" s="2">
        <v>10</v>
      </c>
      <c r="AC293" s="2" t="s">
        <v>10789</v>
      </c>
      <c r="AD293" s="2" t="s">
        <v>20281</v>
      </c>
      <c r="AE293" s="2" t="s">
        <v>18260</v>
      </c>
      <c r="AF293" s="2"/>
      <c r="AG293" s="2" t="s">
        <v>18250</v>
      </c>
    </row>
    <row r="294" spans="1:33" x14ac:dyDescent="0.45">
      <c r="A294" s="2" t="s">
        <v>20282</v>
      </c>
      <c r="B294" s="2" t="s">
        <v>20283</v>
      </c>
      <c r="C294" s="2" t="s">
        <v>20282</v>
      </c>
      <c r="D294" s="2" t="s">
        <v>20284</v>
      </c>
      <c r="E294" s="2" t="s">
        <v>20285</v>
      </c>
      <c r="F294" s="2" t="s">
        <v>20286</v>
      </c>
      <c r="G294" s="2" t="s">
        <v>20286</v>
      </c>
      <c r="H294" s="2" t="s">
        <v>10766</v>
      </c>
      <c r="I294" s="2" t="s">
        <v>1137</v>
      </c>
      <c r="J294" s="2" t="s">
        <v>10767</v>
      </c>
      <c r="K294" s="2" t="s">
        <v>20284</v>
      </c>
      <c r="L294" s="2"/>
      <c r="M294" s="2"/>
      <c r="N294" s="2"/>
      <c r="O294" s="2" t="s">
        <v>10766</v>
      </c>
      <c r="P294" s="2" t="s">
        <v>1137</v>
      </c>
      <c r="Q294" s="2" t="s">
        <v>10767</v>
      </c>
      <c r="R294" s="2" t="s">
        <v>5233</v>
      </c>
      <c r="S294" s="2" t="s">
        <v>44</v>
      </c>
      <c r="T294" s="2"/>
      <c r="U294" s="2" t="s">
        <v>3527</v>
      </c>
      <c r="V294" s="2" t="s">
        <v>46</v>
      </c>
      <c r="W294" s="2" t="s">
        <v>3527</v>
      </c>
      <c r="X294" s="2" t="s">
        <v>10787</v>
      </c>
      <c r="Y294" s="2" t="s">
        <v>10801</v>
      </c>
      <c r="Z294" s="2" t="s">
        <v>7864</v>
      </c>
      <c r="AA294" s="2">
        <v>100</v>
      </c>
      <c r="AB294" s="2">
        <v>5</v>
      </c>
      <c r="AC294" s="2" t="s">
        <v>10789</v>
      </c>
      <c r="AD294" s="2" t="s">
        <v>20287</v>
      </c>
      <c r="AE294" s="2" t="s">
        <v>18260</v>
      </c>
      <c r="AF294" s="2"/>
      <c r="AG294" s="2" t="s">
        <v>18250</v>
      </c>
    </row>
    <row r="295" spans="1:33" x14ac:dyDescent="0.45">
      <c r="A295" s="2" t="s">
        <v>20288</v>
      </c>
      <c r="B295" s="2" t="s">
        <v>20289</v>
      </c>
      <c r="C295" s="2" t="s">
        <v>20290</v>
      </c>
      <c r="D295" s="2" t="s">
        <v>20291</v>
      </c>
      <c r="E295" s="2" t="s">
        <v>20292</v>
      </c>
      <c r="F295" s="2" t="s">
        <v>20293</v>
      </c>
      <c r="G295" s="2" t="s">
        <v>20293</v>
      </c>
      <c r="H295" s="2" t="s">
        <v>59</v>
      </c>
      <c r="I295" s="2" t="s">
        <v>60</v>
      </c>
      <c r="J295" s="2" t="s">
        <v>20294</v>
      </c>
      <c r="K295" s="2" t="s">
        <v>20291</v>
      </c>
      <c r="L295" s="2"/>
      <c r="M295" s="2"/>
      <c r="N295" s="2"/>
      <c r="O295" s="2" t="s">
        <v>59</v>
      </c>
      <c r="P295" s="2" t="s">
        <v>60</v>
      </c>
      <c r="Q295" s="2" t="s">
        <v>20294</v>
      </c>
      <c r="R295" s="2" t="s">
        <v>10712</v>
      </c>
      <c r="S295" s="2" t="s">
        <v>44</v>
      </c>
      <c r="T295" s="2"/>
      <c r="U295" s="2" t="s">
        <v>3527</v>
      </c>
      <c r="V295" s="2" t="s">
        <v>46</v>
      </c>
      <c r="W295" s="2" t="s">
        <v>3527</v>
      </c>
      <c r="X295" s="2" t="s">
        <v>10787</v>
      </c>
      <c r="Y295" s="2" t="s">
        <v>10801</v>
      </c>
      <c r="Z295" s="2" t="s">
        <v>7864</v>
      </c>
      <c r="AA295" s="2">
        <v>100</v>
      </c>
      <c r="AB295" s="2">
        <v>10</v>
      </c>
      <c r="AC295" s="2" t="s">
        <v>10789</v>
      </c>
      <c r="AD295" s="2" t="s">
        <v>20295</v>
      </c>
      <c r="AE295" s="2" t="s">
        <v>18260</v>
      </c>
      <c r="AF295" s="2"/>
      <c r="AG295" s="2" t="s">
        <v>18250</v>
      </c>
    </row>
    <row r="296" spans="1:33" x14ac:dyDescent="0.45">
      <c r="A296" s="2" t="s">
        <v>20296</v>
      </c>
      <c r="B296" s="2" t="s">
        <v>20297</v>
      </c>
      <c r="C296" s="2" t="s">
        <v>20296</v>
      </c>
      <c r="D296" s="2" t="s">
        <v>20298</v>
      </c>
      <c r="E296" s="2" t="s">
        <v>20299</v>
      </c>
      <c r="F296" s="2"/>
      <c r="G296" s="2"/>
      <c r="H296" s="2" t="s">
        <v>290</v>
      </c>
      <c r="I296" s="2" t="s">
        <v>278</v>
      </c>
      <c r="J296" s="2" t="s">
        <v>291</v>
      </c>
      <c r="K296" s="2" t="s">
        <v>20300</v>
      </c>
      <c r="L296" s="2"/>
      <c r="M296" s="2"/>
      <c r="N296" s="2"/>
      <c r="O296" s="2" t="s">
        <v>290</v>
      </c>
      <c r="P296" s="2" t="s">
        <v>278</v>
      </c>
      <c r="Q296" s="2" t="s">
        <v>20301</v>
      </c>
      <c r="R296" s="2" t="s">
        <v>20302</v>
      </c>
      <c r="S296" s="2" t="s">
        <v>44</v>
      </c>
      <c r="T296" s="2"/>
      <c r="U296" s="2" t="s">
        <v>3527</v>
      </c>
      <c r="V296" s="2" t="s">
        <v>46</v>
      </c>
      <c r="W296" s="2" t="s">
        <v>3527</v>
      </c>
      <c r="X296" s="2" t="s">
        <v>10787</v>
      </c>
      <c r="Y296" s="2" t="s">
        <v>10801</v>
      </c>
      <c r="Z296" s="2" t="s">
        <v>7864</v>
      </c>
      <c r="AA296" s="2">
        <v>90</v>
      </c>
      <c r="AB296" s="2">
        <v>0</v>
      </c>
      <c r="AC296" s="2" t="s">
        <v>10789</v>
      </c>
      <c r="AD296" s="2" t="s">
        <v>20303</v>
      </c>
      <c r="AE296" s="2" t="s">
        <v>18260</v>
      </c>
      <c r="AF296" s="2"/>
      <c r="AG296" s="2" t="s">
        <v>18250</v>
      </c>
    </row>
    <row r="297" spans="1:33" x14ac:dyDescent="0.45">
      <c r="A297" s="2" t="s">
        <v>20304</v>
      </c>
      <c r="B297" s="2" t="s">
        <v>20305</v>
      </c>
      <c r="C297" s="2" t="s">
        <v>20304</v>
      </c>
      <c r="D297" s="2" t="s">
        <v>20306</v>
      </c>
      <c r="E297" s="2" t="s">
        <v>20307</v>
      </c>
      <c r="F297" s="2" t="s">
        <v>20308</v>
      </c>
      <c r="G297" s="2" t="s">
        <v>20308</v>
      </c>
      <c r="H297" s="2" t="s">
        <v>10798</v>
      </c>
      <c r="I297" s="2" t="s">
        <v>1176</v>
      </c>
      <c r="J297" s="2" t="s">
        <v>10799</v>
      </c>
      <c r="K297" s="2"/>
      <c r="L297" s="2"/>
      <c r="M297" s="2"/>
      <c r="N297" s="2"/>
      <c r="O297" s="2"/>
      <c r="P297" s="2"/>
      <c r="Q297" s="2"/>
      <c r="R297" s="2" t="s">
        <v>18896</v>
      </c>
      <c r="S297" s="2" t="s">
        <v>44</v>
      </c>
      <c r="T297" s="2"/>
      <c r="U297" s="2" t="s">
        <v>3527</v>
      </c>
      <c r="V297" s="2" t="s">
        <v>46</v>
      </c>
      <c r="W297" s="2" t="s">
        <v>3527</v>
      </c>
      <c r="X297" s="2" t="s">
        <v>10787</v>
      </c>
      <c r="Y297" s="2" t="s">
        <v>10801</v>
      </c>
      <c r="Z297" s="2" t="s">
        <v>7864</v>
      </c>
      <c r="AA297" s="2">
        <v>100</v>
      </c>
      <c r="AB297" s="2">
        <v>5</v>
      </c>
      <c r="AC297" s="2" t="s">
        <v>10789</v>
      </c>
      <c r="AD297" s="2" t="s">
        <v>20309</v>
      </c>
      <c r="AE297" s="2" t="s">
        <v>18260</v>
      </c>
      <c r="AF297" s="2"/>
      <c r="AG297" s="2" t="s">
        <v>18250</v>
      </c>
    </row>
    <row r="298" spans="1:33" x14ac:dyDescent="0.45">
      <c r="A298" s="2" t="s">
        <v>20310</v>
      </c>
      <c r="B298" s="2" t="s">
        <v>20311</v>
      </c>
      <c r="C298" s="2" t="s">
        <v>20310</v>
      </c>
      <c r="D298" s="2" t="s">
        <v>20312</v>
      </c>
      <c r="E298" s="2" t="s">
        <v>20313</v>
      </c>
      <c r="F298" s="2" t="s">
        <v>20314</v>
      </c>
      <c r="G298" s="2"/>
      <c r="H298" s="2" t="s">
        <v>220</v>
      </c>
      <c r="I298" s="2" t="s">
        <v>221</v>
      </c>
      <c r="J298" s="2" t="s">
        <v>19468</v>
      </c>
      <c r="K298" s="2" t="s">
        <v>20315</v>
      </c>
      <c r="L298" s="2"/>
      <c r="M298" s="2"/>
      <c r="N298" s="2"/>
      <c r="O298" s="2" t="s">
        <v>220</v>
      </c>
      <c r="P298" s="2" t="s">
        <v>221</v>
      </c>
      <c r="Q298" s="2" t="s">
        <v>19468</v>
      </c>
      <c r="R298" s="2" t="s">
        <v>11575</v>
      </c>
      <c r="S298" s="2" t="s">
        <v>44</v>
      </c>
      <c r="T298" s="2"/>
      <c r="U298" s="2" t="s">
        <v>3527</v>
      </c>
      <c r="V298" s="2" t="s">
        <v>46</v>
      </c>
      <c r="W298" s="2" t="s">
        <v>3527</v>
      </c>
      <c r="X298" s="2" t="s">
        <v>10787</v>
      </c>
      <c r="Y298" s="2" t="s">
        <v>10801</v>
      </c>
      <c r="Z298" s="2" t="s">
        <v>7864</v>
      </c>
      <c r="AA298" s="2">
        <v>100</v>
      </c>
      <c r="AB298" s="2">
        <v>5</v>
      </c>
      <c r="AC298" s="2" t="s">
        <v>10789</v>
      </c>
      <c r="AD298" s="2" t="s">
        <v>20316</v>
      </c>
      <c r="AE298" s="2" t="s">
        <v>18260</v>
      </c>
      <c r="AF298" s="2"/>
      <c r="AG298" s="2" t="s">
        <v>18250</v>
      </c>
    </row>
    <row r="299" spans="1:33" x14ac:dyDescent="0.45">
      <c r="A299" s="2" t="s">
        <v>20317</v>
      </c>
      <c r="B299" s="2" t="s">
        <v>20318</v>
      </c>
      <c r="C299" s="2" t="s">
        <v>20319</v>
      </c>
      <c r="D299" s="2" t="s">
        <v>20320</v>
      </c>
      <c r="E299" s="2" t="s">
        <v>20321</v>
      </c>
      <c r="F299" s="2"/>
      <c r="G299" s="2"/>
      <c r="H299" s="2" t="s">
        <v>6029</v>
      </c>
      <c r="I299" s="2" t="s">
        <v>278</v>
      </c>
      <c r="J299" s="2" t="s">
        <v>6030</v>
      </c>
      <c r="K299" s="2" t="s">
        <v>20322</v>
      </c>
      <c r="L299" s="2"/>
      <c r="M299" s="2"/>
      <c r="N299" s="2"/>
      <c r="O299" s="2" t="s">
        <v>6029</v>
      </c>
      <c r="P299" s="2" t="s">
        <v>278</v>
      </c>
      <c r="Q299" s="2" t="s">
        <v>20323</v>
      </c>
      <c r="R299" s="2" t="s">
        <v>20324</v>
      </c>
      <c r="S299" s="2" t="s">
        <v>44</v>
      </c>
      <c r="T299" s="2"/>
      <c r="U299" s="2" t="s">
        <v>821</v>
      </c>
      <c r="V299" s="2" t="s">
        <v>46</v>
      </c>
      <c r="W299" s="2" t="s">
        <v>821</v>
      </c>
      <c r="X299" s="2" t="s">
        <v>10787</v>
      </c>
      <c r="Y299" s="2" t="s">
        <v>10801</v>
      </c>
      <c r="Z299" s="2" t="s">
        <v>7864</v>
      </c>
      <c r="AA299" s="2">
        <v>90</v>
      </c>
      <c r="AB299" s="2">
        <v>2</v>
      </c>
      <c r="AC299" s="2" t="s">
        <v>10789</v>
      </c>
      <c r="AD299" s="2" t="s">
        <v>20325</v>
      </c>
      <c r="AE299" s="2" t="s">
        <v>18260</v>
      </c>
      <c r="AF299" s="2"/>
      <c r="AG299" s="2" t="s">
        <v>18250</v>
      </c>
    </row>
    <row r="300" spans="1:33" x14ac:dyDescent="0.45">
      <c r="A300" s="2" t="s">
        <v>20326</v>
      </c>
      <c r="B300" s="2" t="s">
        <v>20327</v>
      </c>
      <c r="C300" s="2" t="s">
        <v>20326</v>
      </c>
      <c r="D300" s="2" t="s">
        <v>20328</v>
      </c>
      <c r="E300" s="2" t="s">
        <v>20329</v>
      </c>
      <c r="F300" s="2" t="s">
        <v>20330</v>
      </c>
      <c r="G300" s="2" t="s">
        <v>20330</v>
      </c>
      <c r="H300" s="2" t="s">
        <v>277</v>
      </c>
      <c r="I300" s="2" t="s">
        <v>278</v>
      </c>
      <c r="J300" s="2" t="s">
        <v>279</v>
      </c>
      <c r="K300" s="2" t="s">
        <v>20328</v>
      </c>
      <c r="L300" s="2"/>
      <c r="M300" s="2"/>
      <c r="N300" s="2"/>
      <c r="O300" s="2" t="s">
        <v>277</v>
      </c>
      <c r="P300" s="2" t="s">
        <v>278</v>
      </c>
      <c r="Q300" s="2" t="s">
        <v>279</v>
      </c>
      <c r="R300" s="2" t="s">
        <v>5872</v>
      </c>
      <c r="S300" s="2" t="s">
        <v>44</v>
      </c>
      <c r="T300" s="2"/>
      <c r="U300" s="2" t="s">
        <v>3527</v>
      </c>
      <c r="V300" s="2" t="s">
        <v>46</v>
      </c>
      <c r="W300" s="2" t="s">
        <v>3527</v>
      </c>
      <c r="X300" s="2" t="s">
        <v>10787</v>
      </c>
      <c r="Y300" s="2" t="s">
        <v>10801</v>
      </c>
      <c r="Z300" s="2" t="s">
        <v>7864</v>
      </c>
      <c r="AA300" s="2">
        <v>100</v>
      </c>
      <c r="AB300" s="2">
        <v>10</v>
      </c>
      <c r="AC300" s="2" t="s">
        <v>10789</v>
      </c>
      <c r="AD300" s="2" t="s">
        <v>20331</v>
      </c>
      <c r="AE300" s="2" t="s">
        <v>18260</v>
      </c>
      <c r="AF300" s="2"/>
      <c r="AG300" s="2" t="s">
        <v>18250</v>
      </c>
    </row>
    <row r="301" spans="1:33" x14ac:dyDescent="0.45">
      <c r="A301" s="2" t="s">
        <v>20332</v>
      </c>
      <c r="B301" s="2" t="s">
        <v>20333</v>
      </c>
      <c r="C301" s="2" t="s">
        <v>20334</v>
      </c>
      <c r="D301" s="2" t="s">
        <v>20335</v>
      </c>
      <c r="E301" s="2" t="s">
        <v>20336</v>
      </c>
      <c r="F301" s="2"/>
      <c r="G301" s="2"/>
      <c r="H301" s="2" t="s">
        <v>536</v>
      </c>
      <c r="I301" s="2" t="s">
        <v>537</v>
      </c>
      <c r="J301" s="2" t="s">
        <v>20337</v>
      </c>
      <c r="K301" s="2" t="s">
        <v>20335</v>
      </c>
      <c r="L301" s="2"/>
      <c r="M301" s="2"/>
      <c r="N301" s="2"/>
      <c r="O301" s="2" t="s">
        <v>536</v>
      </c>
      <c r="P301" s="2" t="s">
        <v>537</v>
      </c>
      <c r="Q301" s="2" t="s">
        <v>20337</v>
      </c>
      <c r="R301" s="2" t="s">
        <v>7071</v>
      </c>
      <c r="S301" s="2" t="s">
        <v>44</v>
      </c>
      <c r="T301" s="2"/>
      <c r="U301" s="2" t="s">
        <v>3527</v>
      </c>
      <c r="V301" s="2" t="s">
        <v>46</v>
      </c>
      <c r="W301" s="2" t="s">
        <v>3527</v>
      </c>
      <c r="X301" s="2" t="s">
        <v>10787</v>
      </c>
      <c r="Y301" s="2" t="s">
        <v>10801</v>
      </c>
      <c r="Z301" s="2" t="s">
        <v>7864</v>
      </c>
      <c r="AA301" s="2">
        <v>90</v>
      </c>
      <c r="AB301" s="2">
        <v>0</v>
      </c>
      <c r="AC301" s="2" t="s">
        <v>10789</v>
      </c>
      <c r="AD301" s="2" t="s">
        <v>20338</v>
      </c>
      <c r="AE301" s="2" t="s">
        <v>18260</v>
      </c>
      <c r="AF301" s="2"/>
      <c r="AG301" s="2" t="s">
        <v>18250</v>
      </c>
    </row>
    <row r="302" spans="1:33" x14ac:dyDescent="0.45">
      <c r="A302" s="2" t="s">
        <v>20339</v>
      </c>
      <c r="B302" s="2" t="s">
        <v>20340</v>
      </c>
      <c r="C302" s="2" t="s">
        <v>20339</v>
      </c>
      <c r="D302" s="2" t="s">
        <v>20341</v>
      </c>
      <c r="E302" s="2" t="s">
        <v>20342</v>
      </c>
      <c r="F302" s="2"/>
      <c r="G302" s="2"/>
      <c r="H302" s="2" t="s">
        <v>72</v>
      </c>
      <c r="I302" s="2" t="s">
        <v>73</v>
      </c>
      <c r="J302" s="2" t="s">
        <v>3419</v>
      </c>
      <c r="K302" s="2" t="s">
        <v>20341</v>
      </c>
      <c r="L302" s="2"/>
      <c r="M302" s="2"/>
      <c r="N302" s="2"/>
      <c r="O302" s="2" t="s">
        <v>72</v>
      </c>
      <c r="P302" s="2" t="s">
        <v>73</v>
      </c>
      <c r="Q302" s="2" t="s">
        <v>3419</v>
      </c>
      <c r="R302" s="2" t="s">
        <v>20343</v>
      </c>
      <c r="S302" s="2" t="s">
        <v>44</v>
      </c>
      <c r="T302" s="2"/>
      <c r="U302" s="2" t="s">
        <v>3527</v>
      </c>
      <c r="V302" s="2" t="s">
        <v>46</v>
      </c>
      <c r="W302" s="2" t="s">
        <v>3527</v>
      </c>
      <c r="X302" s="2" t="s">
        <v>10787</v>
      </c>
      <c r="Y302" s="2" t="s">
        <v>10801</v>
      </c>
      <c r="Z302" s="2" t="s">
        <v>7864</v>
      </c>
      <c r="AA302" s="2">
        <v>90</v>
      </c>
      <c r="AB302" s="2">
        <v>0</v>
      </c>
      <c r="AC302" s="2" t="s">
        <v>10789</v>
      </c>
      <c r="AD302" s="2" t="s">
        <v>20344</v>
      </c>
      <c r="AE302" s="2" t="s">
        <v>18260</v>
      </c>
      <c r="AF302" s="2"/>
      <c r="AG302" s="2" t="s">
        <v>18250</v>
      </c>
    </row>
    <row r="303" spans="1:33" x14ac:dyDescent="0.45">
      <c r="A303" s="2" t="s">
        <v>20345</v>
      </c>
      <c r="B303" s="2" t="s">
        <v>20346</v>
      </c>
      <c r="C303" s="2" t="s">
        <v>20347</v>
      </c>
      <c r="D303" s="2" t="s">
        <v>20348</v>
      </c>
      <c r="E303" s="2" t="s">
        <v>20349</v>
      </c>
      <c r="F303" s="2"/>
      <c r="G303" s="2"/>
      <c r="H303" s="2" t="s">
        <v>6029</v>
      </c>
      <c r="I303" s="2" t="s">
        <v>278</v>
      </c>
      <c r="J303" s="2" t="s">
        <v>8422</v>
      </c>
      <c r="K303" s="2" t="s">
        <v>20348</v>
      </c>
      <c r="L303" s="2"/>
      <c r="M303" s="2"/>
      <c r="N303" s="2"/>
      <c r="O303" s="2" t="s">
        <v>6029</v>
      </c>
      <c r="P303" s="2" t="s">
        <v>278</v>
      </c>
      <c r="Q303" s="2" t="s">
        <v>8422</v>
      </c>
      <c r="R303" s="2" t="s">
        <v>9369</v>
      </c>
      <c r="S303" s="2" t="s">
        <v>44</v>
      </c>
      <c r="T303" s="2"/>
      <c r="U303" s="2" t="s">
        <v>3527</v>
      </c>
      <c r="V303" s="2" t="s">
        <v>46</v>
      </c>
      <c r="W303" s="2" t="s">
        <v>3527</v>
      </c>
      <c r="X303" s="2" t="s">
        <v>10787</v>
      </c>
      <c r="Y303" s="2" t="s">
        <v>10801</v>
      </c>
      <c r="Z303" s="2" t="s">
        <v>7864</v>
      </c>
      <c r="AA303" s="2">
        <v>90</v>
      </c>
      <c r="AB303" s="2">
        <v>0</v>
      </c>
      <c r="AC303" s="2" t="s">
        <v>10789</v>
      </c>
      <c r="AD303" s="2" t="s">
        <v>20350</v>
      </c>
      <c r="AE303" s="2" t="s">
        <v>18260</v>
      </c>
      <c r="AF303" s="2"/>
      <c r="AG303" s="2" t="s">
        <v>18250</v>
      </c>
    </row>
    <row r="304" spans="1:33" x14ac:dyDescent="0.45">
      <c r="A304" s="2" t="s">
        <v>20351</v>
      </c>
      <c r="B304" s="2" t="s">
        <v>20352</v>
      </c>
      <c r="C304" s="2" t="s">
        <v>20353</v>
      </c>
      <c r="D304" s="2" t="s">
        <v>20354</v>
      </c>
      <c r="E304" s="2" t="s">
        <v>20355</v>
      </c>
      <c r="F304" s="2"/>
      <c r="G304" s="2"/>
      <c r="H304" s="2" t="s">
        <v>59</v>
      </c>
      <c r="I304" s="2" t="s">
        <v>60</v>
      </c>
      <c r="J304" s="2" t="s">
        <v>4241</v>
      </c>
      <c r="K304" s="2" t="s">
        <v>20354</v>
      </c>
      <c r="L304" s="2"/>
      <c r="M304" s="2"/>
      <c r="N304" s="2"/>
      <c r="O304" s="2" t="s">
        <v>59</v>
      </c>
      <c r="P304" s="2" t="s">
        <v>60</v>
      </c>
      <c r="Q304" s="2" t="s">
        <v>4241</v>
      </c>
      <c r="R304" s="2" t="s">
        <v>13365</v>
      </c>
      <c r="S304" s="2" t="s">
        <v>44</v>
      </c>
      <c r="T304" s="2"/>
      <c r="U304" s="2" t="s">
        <v>3527</v>
      </c>
      <c r="V304" s="2" t="s">
        <v>46</v>
      </c>
      <c r="W304" s="2" t="s">
        <v>3527</v>
      </c>
      <c r="X304" s="2" t="s">
        <v>10787</v>
      </c>
      <c r="Y304" s="2" t="s">
        <v>10801</v>
      </c>
      <c r="Z304" s="2" t="s">
        <v>7864</v>
      </c>
      <c r="AA304" s="2">
        <v>90</v>
      </c>
      <c r="AB304" s="2">
        <v>0</v>
      </c>
      <c r="AC304" s="2" t="s">
        <v>10789</v>
      </c>
      <c r="AD304" s="2" t="s">
        <v>20356</v>
      </c>
      <c r="AE304" s="2" t="s">
        <v>18260</v>
      </c>
      <c r="AF304" s="2"/>
      <c r="AG304" s="2" t="s">
        <v>18250</v>
      </c>
    </row>
    <row r="305" spans="1:33" x14ac:dyDescent="0.45">
      <c r="A305" s="2" t="s">
        <v>20357</v>
      </c>
      <c r="B305" s="2" t="s">
        <v>20358</v>
      </c>
      <c r="C305" s="2" t="s">
        <v>20359</v>
      </c>
      <c r="D305" s="2" t="s">
        <v>20360</v>
      </c>
      <c r="E305" s="2" t="s">
        <v>20361</v>
      </c>
      <c r="F305" s="2" t="s">
        <v>20362</v>
      </c>
      <c r="G305" s="2"/>
      <c r="H305" s="2" t="s">
        <v>20236</v>
      </c>
      <c r="I305" s="2" t="s">
        <v>1281</v>
      </c>
      <c r="J305" s="2" t="s">
        <v>20363</v>
      </c>
      <c r="K305" s="2" t="s">
        <v>20360</v>
      </c>
      <c r="L305" s="2"/>
      <c r="M305" s="2"/>
      <c r="N305" s="2"/>
      <c r="O305" s="2" t="s">
        <v>20236</v>
      </c>
      <c r="P305" s="2" t="s">
        <v>1281</v>
      </c>
      <c r="Q305" s="2" t="s">
        <v>20363</v>
      </c>
      <c r="R305" s="2" t="s">
        <v>10445</v>
      </c>
      <c r="S305" s="2" t="s">
        <v>44</v>
      </c>
      <c r="T305" s="2"/>
      <c r="U305" s="2" t="s">
        <v>3527</v>
      </c>
      <c r="V305" s="2" t="s">
        <v>46</v>
      </c>
      <c r="W305" s="2" t="s">
        <v>3527</v>
      </c>
      <c r="X305" s="2" t="s">
        <v>10787</v>
      </c>
      <c r="Y305" s="2" t="s">
        <v>10801</v>
      </c>
      <c r="Z305" s="2" t="s">
        <v>7864</v>
      </c>
      <c r="AA305" s="2">
        <v>100</v>
      </c>
      <c r="AB305" s="2">
        <v>5</v>
      </c>
      <c r="AC305" s="2" t="s">
        <v>10789</v>
      </c>
      <c r="AD305" s="2" t="s">
        <v>20364</v>
      </c>
      <c r="AE305" s="2" t="s">
        <v>18260</v>
      </c>
      <c r="AF305" s="2"/>
      <c r="AG305" s="2" t="s">
        <v>18250</v>
      </c>
    </row>
    <row r="306" spans="1:33" x14ac:dyDescent="0.45">
      <c r="A306" s="2" t="s">
        <v>20365</v>
      </c>
      <c r="B306" s="2" t="s">
        <v>20366</v>
      </c>
      <c r="C306" s="2" t="s">
        <v>20367</v>
      </c>
      <c r="D306" s="2" t="s">
        <v>20368</v>
      </c>
      <c r="E306" s="2" t="s">
        <v>20369</v>
      </c>
      <c r="F306" s="2" t="s">
        <v>3562</v>
      </c>
      <c r="G306" s="2" t="s">
        <v>3562</v>
      </c>
      <c r="H306" s="2" t="s">
        <v>1188</v>
      </c>
      <c r="I306" s="2" t="s">
        <v>221</v>
      </c>
      <c r="J306" s="2" t="s">
        <v>1189</v>
      </c>
      <c r="K306" s="2" t="s">
        <v>20368</v>
      </c>
      <c r="L306" s="2"/>
      <c r="M306" s="2"/>
      <c r="N306" s="2"/>
      <c r="O306" s="2" t="s">
        <v>1188</v>
      </c>
      <c r="P306" s="2" t="s">
        <v>221</v>
      </c>
      <c r="Q306" s="2" t="s">
        <v>1189</v>
      </c>
      <c r="R306" s="2" t="s">
        <v>18248</v>
      </c>
      <c r="S306" s="2" t="s">
        <v>44</v>
      </c>
      <c r="T306" s="2"/>
      <c r="U306" s="2" t="s">
        <v>3527</v>
      </c>
      <c r="V306" s="2" t="s">
        <v>46</v>
      </c>
      <c r="W306" s="2" t="s">
        <v>3527</v>
      </c>
      <c r="X306" s="2" t="s">
        <v>10787</v>
      </c>
      <c r="Y306" s="2" t="s">
        <v>10801</v>
      </c>
      <c r="Z306" s="2" t="s">
        <v>7864</v>
      </c>
      <c r="AA306" s="2">
        <v>100</v>
      </c>
      <c r="AB306" s="2">
        <v>10</v>
      </c>
      <c r="AC306" s="2" t="s">
        <v>10789</v>
      </c>
      <c r="AD306" s="2" t="s">
        <v>20370</v>
      </c>
      <c r="AE306" s="2" t="s">
        <v>18260</v>
      </c>
      <c r="AF306" s="2"/>
      <c r="AG306" s="2" t="s">
        <v>18250</v>
      </c>
    </row>
    <row r="307" spans="1:33" x14ac:dyDescent="0.45">
      <c r="A307" s="2" t="s">
        <v>20371</v>
      </c>
      <c r="B307" s="2" t="s">
        <v>20372</v>
      </c>
      <c r="C307" s="2" t="s">
        <v>20373</v>
      </c>
      <c r="D307" s="2" t="s">
        <v>20374</v>
      </c>
      <c r="E307" s="2" t="s">
        <v>20375</v>
      </c>
      <c r="F307" s="2" t="s">
        <v>20376</v>
      </c>
      <c r="G307" s="2" t="s">
        <v>20376</v>
      </c>
      <c r="H307" s="2" t="s">
        <v>277</v>
      </c>
      <c r="I307" s="2" t="s">
        <v>278</v>
      </c>
      <c r="J307" s="2" t="s">
        <v>20377</v>
      </c>
      <c r="K307" s="2" t="s">
        <v>20374</v>
      </c>
      <c r="L307" s="2"/>
      <c r="M307" s="2"/>
      <c r="N307" s="2"/>
      <c r="O307" s="2" t="s">
        <v>277</v>
      </c>
      <c r="P307" s="2" t="s">
        <v>278</v>
      </c>
      <c r="Q307" s="2" t="s">
        <v>20377</v>
      </c>
      <c r="R307" s="2" t="s">
        <v>7358</v>
      </c>
      <c r="S307" s="2" t="s">
        <v>44</v>
      </c>
      <c r="T307" s="2"/>
      <c r="U307" s="2" t="s">
        <v>3527</v>
      </c>
      <c r="V307" s="2" t="s">
        <v>46</v>
      </c>
      <c r="W307" s="2" t="s">
        <v>3527</v>
      </c>
      <c r="X307" s="2" t="s">
        <v>10787</v>
      </c>
      <c r="Y307" s="2" t="s">
        <v>10801</v>
      </c>
      <c r="Z307" s="2" t="s">
        <v>7864</v>
      </c>
      <c r="AA307" s="2">
        <v>100</v>
      </c>
      <c r="AB307" s="2">
        <v>10</v>
      </c>
      <c r="AC307" s="2" t="s">
        <v>10789</v>
      </c>
      <c r="AD307" s="2" t="s">
        <v>20378</v>
      </c>
      <c r="AE307" s="2" t="s">
        <v>18260</v>
      </c>
      <c r="AF307" s="2"/>
      <c r="AG307" s="2" t="s">
        <v>18250</v>
      </c>
    </row>
    <row r="308" spans="1:33" x14ac:dyDescent="0.45">
      <c r="A308" s="2" t="s">
        <v>20379</v>
      </c>
      <c r="B308" s="2" t="s">
        <v>20380</v>
      </c>
      <c r="C308" s="2" t="s">
        <v>20381</v>
      </c>
      <c r="D308" s="2" t="s">
        <v>20382</v>
      </c>
      <c r="E308" s="2" t="s">
        <v>20383</v>
      </c>
      <c r="F308" s="2"/>
      <c r="G308" s="2"/>
      <c r="H308" s="2" t="s">
        <v>20236</v>
      </c>
      <c r="I308" s="2" t="s">
        <v>1281</v>
      </c>
      <c r="J308" s="2" t="s">
        <v>20384</v>
      </c>
      <c r="K308" s="2" t="s">
        <v>20382</v>
      </c>
      <c r="L308" s="2"/>
      <c r="M308" s="2"/>
      <c r="N308" s="2"/>
      <c r="O308" s="2" t="s">
        <v>20236</v>
      </c>
      <c r="P308" s="2" t="s">
        <v>1281</v>
      </c>
      <c r="Q308" s="2" t="s">
        <v>20384</v>
      </c>
      <c r="R308" s="2" t="s">
        <v>4984</v>
      </c>
      <c r="S308" s="2" t="s">
        <v>44</v>
      </c>
      <c r="T308" s="2"/>
      <c r="U308" s="2" t="s">
        <v>3527</v>
      </c>
      <c r="V308" s="2" t="s">
        <v>46</v>
      </c>
      <c r="W308" s="2" t="s">
        <v>3527</v>
      </c>
      <c r="X308" s="2" t="s">
        <v>10787</v>
      </c>
      <c r="Y308" s="2" t="s">
        <v>10801</v>
      </c>
      <c r="Z308" s="2" t="s">
        <v>7864</v>
      </c>
      <c r="AA308" s="2">
        <v>90</v>
      </c>
      <c r="AB308" s="2">
        <v>0</v>
      </c>
      <c r="AC308" s="2" t="s">
        <v>10789</v>
      </c>
      <c r="AD308" s="2" t="s">
        <v>20385</v>
      </c>
      <c r="AE308" s="2" t="s">
        <v>18260</v>
      </c>
      <c r="AF308" s="2"/>
      <c r="AG308" s="2" t="s">
        <v>18250</v>
      </c>
    </row>
    <row r="309" spans="1:33" x14ac:dyDescent="0.45">
      <c r="A309" s="2" t="s">
        <v>20386</v>
      </c>
      <c r="B309" s="2" t="s">
        <v>20387</v>
      </c>
      <c r="C309" s="2" t="s">
        <v>20388</v>
      </c>
      <c r="D309" s="2" t="s">
        <v>20389</v>
      </c>
      <c r="E309" s="2" t="s">
        <v>20390</v>
      </c>
      <c r="F309" s="2" t="s">
        <v>20391</v>
      </c>
      <c r="G309" s="2" t="s">
        <v>20391</v>
      </c>
      <c r="H309" s="2" t="s">
        <v>1023</v>
      </c>
      <c r="I309" s="2" t="s">
        <v>73</v>
      </c>
      <c r="J309" s="2" t="s">
        <v>326</v>
      </c>
      <c r="K309" s="2" t="s">
        <v>20389</v>
      </c>
      <c r="L309" s="2"/>
      <c r="M309" s="2"/>
      <c r="N309" s="2"/>
      <c r="O309" s="2" t="s">
        <v>1023</v>
      </c>
      <c r="P309" s="2" t="s">
        <v>73</v>
      </c>
      <c r="Q309" s="2" t="s">
        <v>326</v>
      </c>
      <c r="R309" s="2" t="s">
        <v>10559</v>
      </c>
      <c r="S309" s="2" t="s">
        <v>44</v>
      </c>
      <c r="T309" s="2"/>
      <c r="U309" s="2" t="s">
        <v>3527</v>
      </c>
      <c r="V309" s="2" t="s">
        <v>46</v>
      </c>
      <c r="W309" s="2" t="s">
        <v>3527</v>
      </c>
      <c r="X309" s="2" t="s">
        <v>10787</v>
      </c>
      <c r="Y309" s="2" t="s">
        <v>10801</v>
      </c>
      <c r="Z309" s="2" t="s">
        <v>7864</v>
      </c>
      <c r="AA309" s="2">
        <v>100</v>
      </c>
      <c r="AB309" s="2">
        <v>10</v>
      </c>
      <c r="AC309" s="2" t="s">
        <v>10789</v>
      </c>
      <c r="AD309" s="2" t="s">
        <v>20392</v>
      </c>
      <c r="AE309" s="2" t="s">
        <v>18260</v>
      </c>
      <c r="AF309" s="2"/>
      <c r="AG309" s="2" t="s">
        <v>18250</v>
      </c>
    </row>
    <row r="310" spans="1:33" x14ac:dyDescent="0.45">
      <c r="A310" s="2" t="s">
        <v>20393</v>
      </c>
      <c r="B310" s="2" t="s">
        <v>20394</v>
      </c>
      <c r="C310" s="2" t="s">
        <v>20393</v>
      </c>
      <c r="D310" s="2" t="s">
        <v>20395</v>
      </c>
      <c r="E310" s="2" t="s">
        <v>20396</v>
      </c>
      <c r="F310" s="2" t="s">
        <v>20397</v>
      </c>
      <c r="G310" s="2"/>
      <c r="H310" s="2" t="s">
        <v>85</v>
      </c>
      <c r="I310" s="2" t="s">
        <v>86</v>
      </c>
      <c r="J310" s="2" t="s">
        <v>10640</v>
      </c>
      <c r="K310" s="2" t="s">
        <v>20395</v>
      </c>
      <c r="L310" s="2"/>
      <c r="M310" s="2"/>
      <c r="N310" s="2"/>
      <c r="O310" s="2" t="s">
        <v>85</v>
      </c>
      <c r="P310" s="2" t="s">
        <v>86</v>
      </c>
      <c r="Q310" s="2" t="s">
        <v>10640</v>
      </c>
      <c r="R310" s="2" t="s">
        <v>20398</v>
      </c>
      <c r="S310" s="2" t="s">
        <v>44</v>
      </c>
      <c r="T310" s="2"/>
      <c r="U310" s="2" t="s">
        <v>3527</v>
      </c>
      <c r="V310" s="2" t="s">
        <v>46</v>
      </c>
      <c r="W310" s="2" t="s">
        <v>3527</v>
      </c>
      <c r="X310" s="2" t="s">
        <v>11537</v>
      </c>
      <c r="Y310" s="2" t="s">
        <v>10801</v>
      </c>
      <c r="Z310" s="2" t="s">
        <v>7864</v>
      </c>
      <c r="AA310" s="2">
        <v>100</v>
      </c>
      <c r="AB310" s="2">
        <v>10</v>
      </c>
      <c r="AC310" s="2" t="s">
        <v>10789</v>
      </c>
      <c r="AD310" s="2" t="s">
        <v>20399</v>
      </c>
      <c r="AE310" s="2" t="s">
        <v>18260</v>
      </c>
      <c r="AF310" s="2"/>
      <c r="AG310" s="2" t="s">
        <v>18250</v>
      </c>
    </row>
    <row r="311" spans="1:33" x14ac:dyDescent="0.45">
      <c r="A311" s="2" t="s">
        <v>20393</v>
      </c>
      <c r="B311" s="2" t="s">
        <v>20400</v>
      </c>
      <c r="C311" s="2" t="s">
        <v>20393</v>
      </c>
      <c r="D311" s="2" t="s">
        <v>20401</v>
      </c>
      <c r="E311" s="2" t="s">
        <v>20402</v>
      </c>
      <c r="F311" s="2" t="s">
        <v>20403</v>
      </c>
      <c r="G311" s="2" t="s">
        <v>20403</v>
      </c>
      <c r="H311" s="2" t="s">
        <v>651</v>
      </c>
      <c r="I311" s="2"/>
      <c r="J311" s="2" t="s">
        <v>4521</v>
      </c>
      <c r="K311" s="2"/>
      <c r="L311" s="2"/>
      <c r="M311" s="2"/>
      <c r="N311" s="2"/>
      <c r="O311" s="2"/>
      <c r="P311" s="2"/>
      <c r="Q311" s="2"/>
      <c r="R311" s="2" t="s">
        <v>15890</v>
      </c>
      <c r="S311" s="2" t="s">
        <v>44</v>
      </c>
      <c r="T311" s="2"/>
      <c r="U311" s="2" t="s">
        <v>3527</v>
      </c>
      <c r="V311" s="2" t="s">
        <v>46</v>
      </c>
      <c r="W311" s="2" t="s">
        <v>3527</v>
      </c>
      <c r="X311" s="2" t="s">
        <v>10787</v>
      </c>
      <c r="Y311" s="2" t="s">
        <v>10801</v>
      </c>
      <c r="Z311" s="2" t="s">
        <v>7864</v>
      </c>
      <c r="AA311" s="2">
        <v>85</v>
      </c>
      <c r="AB311" s="2">
        <v>10</v>
      </c>
      <c r="AC311" s="2" t="s">
        <v>10789</v>
      </c>
      <c r="AD311" s="2" t="s">
        <v>20399</v>
      </c>
      <c r="AE311" s="2" t="s">
        <v>18260</v>
      </c>
      <c r="AF311" s="2"/>
      <c r="AG311" s="2" t="s">
        <v>18250</v>
      </c>
    </row>
    <row r="312" spans="1:33" x14ac:dyDescent="0.45">
      <c r="A312" s="2" t="s">
        <v>20404</v>
      </c>
      <c r="B312" s="2" t="s">
        <v>20405</v>
      </c>
      <c r="C312" s="2" t="s">
        <v>8872</v>
      </c>
      <c r="D312" s="2" t="s">
        <v>20406</v>
      </c>
      <c r="E312" s="2" t="s">
        <v>20407</v>
      </c>
      <c r="F312" s="2"/>
      <c r="G312" s="2"/>
      <c r="H312" s="2" t="s">
        <v>1188</v>
      </c>
      <c r="I312" s="2" t="s">
        <v>221</v>
      </c>
      <c r="J312" s="2" t="s">
        <v>5612</v>
      </c>
      <c r="K312" s="2" t="s">
        <v>20406</v>
      </c>
      <c r="L312" s="2"/>
      <c r="M312" s="2"/>
      <c r="N312" s="2"/>
      <c r="O312" s="2" t="s">
        <v>1188</v>
      </c>
      <c r="P312" s="2" t="s">
        <v>221</v>
      </c>
      <c r="Q312" s="2" t="s">
        <v>5612</v>
      </c>
      <c r="R312" s="2" t="s">
        <v>13365</v>
      </c>
      <c r="S312" s="2" t="s">
        <v>44</v>
      </c>
      <c r="T312" s="2"/>
      <c r="U312" s="2" t="s">
        <v>821</v>
      </c>
      <c r="V312" s="2" t="s">
        <v>46</v>
      </c>
      <c r="W312" s="2" t="s">
        <v>821</v>
      </c>
      <c r="X312" s="2" t="s">
        <v>10787</v>
      </c>
      <c r="Y312" s="2" t="s">
        <v>10801</v>
      </c>
      <c r="Z312" s="2" t="s">
        <v>7864</v>
      </c>
      <c r="AA312" s="2">
        <v>90</v>
      </c>
      <c r="AB312" s="2">
        <v>7</v>
      </c>
      <c r="AC312" s="2" t="s">
        <v>10789</v>
      </c>
      <c r="AD312" s="2" t="s">
        <v>20408</v>
      </c>
      <c r="AE312" s="2" t="s">
        <v>18260</v>
      </c>
      <c r="AF312" s="2"/>
      <c r="AG312" s="2" t="s">
        <v>18250</v>
      </c>
    </row>
    <row r="313" spans="1:33" x14ac:dyDescent="0.45">
      <c r="A313" s="2" t="s">
        <v>20409</v>
      </c>
      <c r="B313" s="2" t="s">
        <v>20410</v>
      </c>
      <c r="C313" s="2" t="s">
        <v>20409</v>
      </c>
      <c r="D313" s="2" t="s">
        <v>20411</v>
      </c>
      <c r="E313" s="2" t="s">
        <v>20412</v>
      </c>
      <c r="F313" s="2" t="s">
        <v>20413</v>
      </c>
      <c r="G313" s="2"/>
      <c r="H313" s="2" t="s">
        <v>17680</v>
      </c>
      <c r="I313" s="2" t="s">
        <v>17681</v>
      </c>
      <c r="J313" s="2" t="s">
        <v>20414</v>
      </c>
      <c r="K313" s="2" t="s">
        <v>20411</v>
      </c>
      <c r="L313" s="2"/>
      <c r="M313" s="2"/>
      <c r="N313" s="2"/>
      <c r="O313" s="2" t="s">
        <v>17680</v>
      </c>
      <c r="P313" s="2" t="s">
        <v>17681</v>
      </c>
      <c r="Q313" s="2" t="s">
        <v>20414</v>
      </c>
      <c r="R313" s="2" t="s">
        <v>20415</v>
      </c>
      <c r="S313" s="2" t="s">
        <v>44</v>
      </c>
      <c r="T313" s="2"/>
      <c r="U313" s="2" t="s">
        <v>821</v>
      </c>
      <c r="V313" s="2" t="s">
        <v>46</v>
      </c>
      <c r="W313" s="2" t="s">
        <v>821</v>
      </c>
      <c r="X313" s="2" t="s">
        <v>10787</v>
      </c>
      <c r="Y313" s="2" t="s">
        <v>10801</v>
      </c>
      <c r="Z313" s="2" t="s">
        <v>7864</v>
      </c>
      <c r="AA313" s="2">
        <v>100</v>
      </c>
      <c r="AB313" s="2">
        <v>12</v>
      </c>
      <c r="AC313" s="2" t="s">
        <v>10789</v>
      </c>
      <c r="AD313" s="2" t="s">
        <v>20416</v>
      </c>
      <c r="AE313" s="2" t="s">
        <v>18260</v>
      </c>
      <c r="AF313" s="2"/>
      <c r="AG313" s="2" t="s">
        <v>18250</v>
      </c>
    </row>
    <row r="314" spans="1:33" x14ac:dyDescent="0.45">
      <c r="A314" s="2" t="s">
        <v>20417</v>
      </c>
      <c r="B314" s="2" t="s">
        <v>20418</v>
      </c>
      <c r="C314" s="2" t="s">
        <v>20417</v>
      </c>
      <c r="D314" s="2" t="s">
        <v>20419</v>
      </c>
      <c r="E314" s="2" t="s">
        <v>20420</v>
      </c>
      <c r="F314" s="2" t="s">
        <v>20421</v>
      </c>
      <c r="G314" s="2" t="s">
        <v>20421</v>
      </c>
      <c r="H314" s="2" t="s">
        <v>72</v>
      </c>
      <c r="I314" s="2" t="s">
        <v>73</v>
      </c>
      <c r="J314" s="2" t="s">
        <v>1557</v>
      </c>
      <c r="K314" s="2" t="s">
        <v>20422</v>
      </c>
      <c r="L314" s="2"/>
      <c r="M314" s="2"/>
      <c r="N314" s="2"/>
      <c r="O314" s="2" t="s">
        <v>72</v>
      </c>
      <c r="P314" s="2" t="s">
        <v>73</v>
      </c>
      <c r="Q314" s="2" t="s">
        <v>1557</v>
      </c>
      <c r="R314" s="2" t="s">
        <v>15908</v>
      </c>
      <c r="S314" s="2" t="s">
        <v>44</v>
      </c>
      <c r="T314" s="2"/>
      <c r="U314" s="2" t="s">
        <v>821</v>
      </c>
      <c r="V314" s="2" t="s">
        <v>46</v>
      </c>
      <c r="W314" s="2" t="s">
        <v>821</v>
      </c>
      <c r="X314" s="2" t="s">
        <v>10787</v>
      </c>
      <c r="Y314" s="2" t="s">
        <v>10801</v>
      </c>
      <c r="Z314" s="2" t="s">
        <v>7864</v>
      </c>
      <c r="AA314" s="2">
        <v>100</v>
      </c>
      <c r="AB314" s="2">
        <v>17</v>
      </c>
      <c r="AC314" s="2" t="s">
        <v>10789</v>
      </c>
      <c r="AD314" s="2" t="s">
        <v>20423</v>
      </c>
      <c r="AE314" s="2" t="s">
        <v>18260</v>
      </c>
      <c r="AF314" s="2"/>
      <c r="AG314" s="2" t="s">
        <v>18250</v>
      </c>
    </row>
    <row r="315" spans="1:33" x14ac:dyDescent="0.45">
      <c r="A315" s="2" t="s">
        <v>20424</v>
      </c>
      <c r="B315" s="2" t="s">
        <v>20425</v>
      </c>
      <c r="C315" s="2" t="s">
        <v>20426</v>
      </c>
      <c r="D315" s="2" t="s">
        <v>20427</v>
      </c>
      <c r="E315" s="2" t="s">
        <v>20428</v>
      </c>
      <c r="F315" s="2"/>
      <c r="G315" s="2"/>
      <c r="H315" s="2" t="s">
        <v>2962</v>
      </c>
      <c r="I315" s="2" t="s">
        <v>73</v>
      </c>
      <c r="J315" s="2" t="s">
        <v>20429</v>
      </c>
      <c r="K315" s="2" t="s">
        <v>20427</v>
      </c>
      <c r="L315" s="2"/>
      <c r="M315" s="2"/>
      <c r="N315" s="2"/>
      <c r="O315" s="2" t="s">
        <v>2962</v>
      </c>
      <c r="P315" s="2" t="s">
        <v>73</v>
      </c>
      <c r="Q315" s="2" t="s">
        <v>20429</v>
      </c>
      <c r="R315" s="2" t="s">
        <v>2690</v>
      </c>
      <c r="S315" s="2" t="s">
        <v>44</v>
      </c>
      <c r="T315" s="2"/>
      <c r="U315" s="2" t="s">
        <v>3527</v>
      </c>
      <c r="V315" s="2" t="s">
        <v>46</v>
      </c>
      <c r="W315" s="2" t="s">
        <v>3527</v>
      </c>
      <c r="X315" s="2" t="s">
        <v>10787</v>
      </c>
      <c r="Y315" s="2" t="s">
        <v>10801</v>
      </c>
      <c r="Z315" s="2" t="s">
        <v>7864</v>
      </c>
      <c r="AA315" s="2">
        <v>90</v>
      </c>
      <c r="AB315" s="2">
        <v>0</v>
      </c>
      <c r="AC315" s="2" t="s">
        <v>10789</v>
      </c>
      <c r="AD315" s="2" t="s">
        <v>20430</v>
      </c>
      <c r="AE315" s="2" t="s">
        <v>18260</v>
      </c>
      <c r="AF315" s="2"/>
      <c r="AG315" s="2" t="s">
        <v>18250</v>
      </c>
    </row>
    <row r="316" spans="1:33" x14ac:dyDescent="0.45">
      <c r="A316" s="2" t="s">
        <v>20431</v>
      </c>
      <c r="B316" s="2" t="s">
        <v>20432</v>
      </c>
      <c r="C316" s="2" t="s">
        <v>20433</v>
      </c>
      <c r="D316" s="2" t="s">
        <v>20434</v>
      </c>
      <c r="E316" s="2" t="s">
        <v>20435</v>
      </c>
      <c r="F316" s="2"/>
      <c r="G316" s="2"/>
      <c r="H316" s="2" t="s">
        <v>384</v>
      </c>
      <c r="I316" s="2" t="s">
        <v>73</v>
      </c>
      <c r="J316" s="2" t="s">
        <v>20436</v>
      </c>
      <c r="K316" s="2" t="s">
        <v>20434</v>
      </c>
      <c r="L316" s="2"/>
      <c r="M316" s="2"/>
      <c r="N316" s="2"/>
      <c r="O316" s="2" t="s">
        <v>384</v>
      </c>
      <c r="P316" s="2" t="s">
        <v>73</v>
      </c>
      <c r="Q316" s="2" t="s">
        <v>20436</v>
      </c>
      <c r="R316" s="2" t="s">
        <v>20437</v>
      </c>
      <c r="S316" s="2" t="s">
        <v>44</v>
      </c>
      <c r="T316" s="2"/>
      <c r="U316" s="2" t="s">
        <v>3527</v>
      </c>
      <c r="V316" s="2" t="s">
        <v>46</v>
      </c>
      <c r="W316" s="2" t="s">
        <v>3527</v>
      </c>
      <c r="X316" s="2" t="s">
        <v>10787</v>
      </c>
      <c r="Y316" s="2" t="s">
        <v>10801</v>
      </c>
      <c r="Z316" s="2" t="s">
        <v>7864</v>
      </c>
      <c r="AA316" s="2">
        <v>90</v>
      </c>
      <c r="AB316" s="2">
        <v>0</v>
      </c>
      <c r="AC316" s="2" t="s">
        <v>10789</v>
      </c>
      <c r="AD316" s="2" t="s">
        <v>20438</v>
      </c>
      <c r="AE316" s="2" t="s">
        <v>18260</v>
      </c>
      <c r="AF316" s="2"/>
      <c r="AG316" s="2" t="s">
        <v>18250</v>
      </c>
    </row>
    <row r="317" spans="1:33" x14ac:dyDescent="0.45">
      <c r="A317" s="2" t="s">
        <v>20439</v>
      </c>
      <c r="B317" s="2" t="s">
        <v>20440</v>
      </c>
      <c r="C317" s="2" t="s">
        <v>20439</v>
      </c>
      <c r="D317" s="2" t="s">
        <v>20441</v>
      </c>
      <c r="E317" s="2" t="s">
        <v>20442</v>
      </c>
      <c r="F317" s="2" t="s">
        <v>20443</v>
      </c>
      <c r="G317" s="2" t="s">
        <v>20443</v>
      </c>
      <c r="H317" s="2" t="s">
        <v>384</v>
      </c>
      <c r="I317" s="2" t="s">
        <v>73</v>
      </c>
      <c r="J317" s="2" t="s">
        <v>20444</v>
      </c>
      <c r="K317" s="2" t="s">
        <v>20445</v>
      </c>
      <c r="L317" s="2"/>
      <c r="M317" s="2"/>
      <c r="N317" s="2"/>
      <c r="O317" s="2" t="s">
        <v>384</v>
      </c>
      <c r="P317" s="2" t="s">
        <v>73</v>
      </c>
      <c r="Q317" s="2" t="s">
        <v>15624</v>
      </c>
      <c r="R317" s="2" t="s">
        <v>6912</v>
      </c>
      <c r="S317" s="2" t="s">
        <v>44</v>
      </c>
      <c r="T317" s="2"/>
      <c r="U317" s="2" t="s">
        <v>821</v>
      </c>
      <c r="V317" s="2" t="s">
        <v>199</v>
      </c>
      <c r="W317" s="2" t="s">
        <v>821</v>
      </c>
      <c r="X317" s="2" t="s">
        <v>11537</v>
      </c>
      <c r="Y317" s="2" t="s">
        <v>10801</v>
      </c>
      <c r="Z317" s="2" t="s">
        <v>7864</v>
      </c>
      <c r="AA317" s="2">
        <v>100</v>
      </c>
      <c r="AB317" s="2">
        <v>27</v>
      </c>
      <c r="AC317" s="2" t="s">
        <v>10789</v>
      </c>
      <c r="AD317" s="2" t="s">
        <v>20446</v>
      </c>
      <c r="AE317" s="2" t="s">
        <v>18260</v>
      </c>
      <c r="AF317" s="2"/>
      <c r="AG317" s="2" t="s">
        <v>18250</v>
      </c>
    </row>
    <row r="318" spans="1:33" x14ac:dyDescent="0.45">
      <c r="A318" s="2" t="s">
        <v>20439</v>
      </c>
      <c r="B318" s="2" t="s">
        <v>20447</v>
      </c>
      <c r="C318" s="2" t="s">
        <v>20439</v>
      </c>
      <c r="D318" s="2" t="s">
        <v>20448</v>
      </c>
      <c r="E318" s="2" t="s">
        <v>20442</v>
      </c>
      <c r="F318" s="2" t="s">
        <v>20449</v>
      </c>
      <c r="G318" s="2"/>
      <c r="H318" s="2" t="s">
        <v>384</v>
      </c>
      <c r="I318" s="2" t="s">
        <v>73</v>
      </c>
      <c r="J318" s="2" t="s">
        <v>20444</v>
      </c>
      <c r="K318" s="2" t="s">
        <v>20450</v>
      </c>
      <c r="L318" s="2"/>
      <c r="M318" s="2"/>
      <c r="N318" s="2"/>
      <c r="O318" s="2" t="s">
        <v>384</v>
      </c>
      <c r="P318" s="2" t="s">
        <v>73</v>
      </c>
      <c r="Q318" s="2" t="s">
        <v>15624</v>
      </c>
      <c r="R318" s="2" t="s">
        <v>9955</v>
      </c>
      <c r="S318" s="2" t="s">
        <v>44</v>
      </c>
      <c r="T318" s="2"/>
      <c r="U318" s="2" t="s">
        <v>3527</v>
      </c>
      <c r="V318" s="2" t="s">
        <v>199</v>
      </c>
      <c r="W318" s="2" t="s">
        <v>3527</v>
      </c>
      <c r="X318" s="2" t="s">
        <v>11537</v>
      </c>
      <c r="Y318" s="2" t="s">
        <v>10801</v>
      </c>
      <c r="Z318" s="2" t="s">
        <v>7864</v>
      </c>
      <c r="AA318" s="2">
        <v>100</v>
      </c>
      <c r="AB318" s="2">
        <v>20</v>
      </c>
      <c r="AC318" s="2" t="s">
        <v>10789</v>
      </c>
      <c r="AD318" s="2" t="s">
        <v>20446</v>
      </c>
      <c r="AE318" s="2" t="s">
        <v>18260</v>
      </c>
      <c r="AF318" s="2"/>
      <c r="AG318" s="2" t="s">
        <v>18250</v>
      </c>
    </row>
    <row r="319" spans="1:33" x14ac:dyDescent="0.45">
      <c r="A319" s="2" t="s">
        <v>20451</v>
      </c>
      <c r="B319" s="2" t="s">
        <v>20452</v>
      </c>
      <c r="C319" s="2" t="s">
        <v>20451</v>
      </c>
      <c r="D319" s="2" t="s">
        <v>20453</v>
      </c>
      <c r="E319" s="2" t="s">
        <v>20454</v>
      </c>
      <c r="F319" s="2"/>
      <c r="G319" s="2"/>
      <c r="H319" s="2" t="s">
        <v>72</v>
      </c>
      <c r="I319" s="2" t="s">
        <v>73</v>
      </c>
      <c r="J319" s="2" t="s">
        <v>373</v>
      </c>
      <c r="K319" s="2" t="s">
        <v>20453</v>
      </c>
      <c r="L319" s="2"/>
      <c r="M319" s="2"/>
      <c r="N319" s="2"/>
      <c r="O319" s="2" t="s">
        <v>72</v>
      </c>
      <c r="P319" s="2" t="s">
        <v>73</v>
      </c>
      <c r="Q319" s="2" t="s">
        <v>373</v>
      </c>
      <c r="R319" s="2" t="s">
        <v>6993</v>
      </c>
      <c r="S319" s="2" t="s">
        <v>44</v>
      </c>
      <c r="T319" s="2"/>
      <c r="U319" s="2" t="s">
        <v>3527</v>
      </c>
      <c r="V319" s="2" t="s">
        <v>46</v>
      </c>
      <c r="W319" s="2" t="s">
        <v>3527</v>
      </c>
      <c r="X319" s="2" t="s">
        <v>10787</v>
      </c>
      <c r="Y319" s="2" t="s">
        <v>10801</v>
      </c>
      <c r="Z319" s="2" t="s">
        <v>7864</v>
      </c>
      <c r="AA319" s="2">
        <v>90</v>
      </c>
      <c r="AB319" s="2">
        <v>0</v>
      </c>
      <c r="AC319" s="2" t="s">
        <v>10789</v>
      </c>
      <c r="AD319" s="2" t="s">
        <v>20455</v>
      </c>
      <c r="AE319" s="2" t="s">
        <v>18260</v>
      </c>
      <c r="AF319" s="2"/>
      <c r="AG319" s="2" t="s">
        <v>18250</v>
      </c>
    </row>
    <row r="320" spans="1:33" x14ac:dyDescent="0.45">
      <c r="A320" s="2" t="s">
        <v>20456</v>
      </c>
      <c r="B320" s="2" t="s">
        <v>20457</v>
      </c>
      <c r="C320" s="2" t="s">
        <v>20456</v>
      </c>
      <c r="D320" s="2" t="s">
        <v>20458</v>
      </c>
      <c r="E320" s="2" t="s">
        <v>20459</v>
      </c>
      <c r="F320" s="2"/>
      <c r="G320" s="2"/>
      <c r="H320" s="2" t="s">
        <v>1175</v>
      </c>
      <c r="I320" s="2" t="s">
        <v>1176</v>
      </c>
      <c r="J320" s="2" t="s">
        <v>10359</v>
      </c>
      <c r="K320" s="2" t="s">
        <v>20458</v>
      </c>
      <c r="L320" s="2"/>
      <c r="M320" s="2"/>
      <c r="N320" s="2"/>
      <c r="O320" s="2" t="s">
        <v>1175</v>
      </c>
      <c r="P320" s="2" t="s">
        <v>1176</v>
      </c>
      <c r="Q320" s="2" t="s">
        <v>10359</v>
      </c>
      <c r="R320" s="2" t="s">
        <v>9618</v>
      </c>
      <c r="S320" s="2" t="s">
        <v>44</v>
      </c>
      <c r="T320" s="2"/>
      <c r="U320" s="2" t="s">
        <v>3527</v>
      </c>
      <c r="V320" s="2" t="s">
        <v>46</v>
      </c>
      <c r="W320" s="2" t="s">
        <v>3527</v>
      </c>
      <c r="X320" s="2" t="s">
        <v>10787</v>
      </c>
      <c r="Y320" s="2" t="s">
        <v>10801</v>
      </c>
      <c r="Z320" s="2" t="s">
        <v>7864</v>
      </c>
      <c r="AA320" s="2">
        <v>90</v>
      </c>
      <c r="AB320" s="2">
        <v>0</v>
      </c>
      <c r="AC320" s="2" t="s">
        <v>10789</v>
      </c>
      <c r="AD320" s="2" t="s">
        <v>20460</v>
      </c>
      <c r="AE320" s="2" t="s">
        <v>18260</v>
      </c>
      <c r="AF320" s="2"/>
      <c r="AG320" s="2" t="s">
        <v>18250</v>
      </c>
    </row>
    <row r="321" spans="1:33" x14ac:dyDescent="0.45">
      <c r="A321" s="2" t="s">
        <v>20461</v>
      </c>
      <c r="B321" s="2" t="s">
        <v>20462</v>
      </c>
      <c r="C321" s="2" t="s">
        <v>20463</v>
      </c>
      <c r="D321" s="2" t="s">
        <v>20464</v>
      </c>
      <c r="E321" s="2" t="s">
        <v>20465</v>
      </c>
      <c r="F321" s="2" t="s">
        <v>20466</v>
      </c>
      <c r="G321" s="2"/>
      <c r="H321" s="2" t="s">
        <v>8599</v>
      </c>
      <c r="I321" s="2" t="s">
        <v>40</v>
      </c>
      <c r="J321" s="2" t="s">
        <v>20467</v>
      </c>
      <c r="K321" s="2" t="s">
        <v>20464</v>
      </c>
      <c r="L321" s="2"/>
      <c r="M321" s="2"/>
      <c r="N321" s="2"/>
      <c r="O321" s="2" t="s">
        <v>8599</v>
      </c>
      <c r="P321" s="2" t="s">
        <v>40</v>
      </c>
      <c r="Q321" s="2" t="s">
        <v>20467</v>
      </c>
      <c r="R321" s="2" t="s">
        <v>1199</v>
      </c>
      <c r="S321" s="2" t="s">
        <v>44</v>
      </c>
      <c r="T321" s="2"/>
      <c r="U321" s="2" t="s">
        <v>3527</v>
      </c>
      <c r="V321" s="2" t="s">
        <v>46</v>
      </c>
      <c r="W321" s="2" t="s">
        <v>3527</v>
      </c>
      <c r="X321" s="2" t="s">
        <v>10787</v>
      </c>
      <c r="Y321" s="2" t="s">
        <v>10801</v>
      </c>
      <c r="Z321" s="2" t="s">
        <v>7864</v>
      </c>
      <c r="AA321" s="2">
        <v>100</v>
      </c>
      <c r="AB321" s="2">
        <v>5</v>
      </c>
      <c r="AC321" s="2" t="s">
        <v>10789</v>
      </c>
      <c r="AD321" s="2" t="s">
        <v>20468</v>
      </c>
      <c r="AE321" s="2" t="s">
        <v>18260</v>
      </c>
      <c r="AF321" s="2"/>
      <c r="AG321" s="2" t="s">
        <v>18250</v>
      </c>
    </row>
    <row r="322" spans="1:33" x14ac:dyDescent="0.45">
      <c r="A322" s="2" t="s">
        <v>20469</v>
      </c>
      <c r="B322" s="2" t="s">
        <v>20470</v>
      </c>
      <c r="C322" s="2" t="s">
        <v>20471</v>
      </c>
      <c r="D322" s="2" t="s">
        <v>20472</v>
      </c>
      <c r="E322" s="2" t="s">
        <v>20473</v>
      </c>
      <c r="F322" s="2" t="s">
        <v>20474</v>
      </c>
      <c r="G322" s="2"/>
      <c r="H322" s="2" t="s">
        <v>277</v>
      </c>
      <c r="I322" s="2" t="s">
        <v>278</v>
      </c>
      <c r="J322" s="2" t="s">
        <v>12269</v>
      </c>
      <c r="K322" s="2"/>
      <c r="L322" s="2"/>
      <c r="M322" s="2"/>
      <c r="N322" s="2"/>
      <c r="O322" s="2"/>
      <c r="P322" s="2"/>
      <c r="Q322" s="2"/>
      <c r="R322" s="2" t="s">
        <v>1419</v>
      </c>
      <c r="S322" s="2" t="s">
        <v>44</v>
      </c>
      <c r="T322" s="2"/>
      <c r="U322" s="2" t="s">
        <v>3527</v>
      </c>
      <c r="V322" s="2" t="s">
        <v>46</v>
      </c>
      <c r="W322" s="2" t="s">
        <v>3527</v>
      </c>
      <c r="X322" s="2" t="s">
        <v>10787</v>
      </c>
      <c r="Y322" s="2" t="s">
        <v>10801</v>
      </c>
      <c r="Z322" s="2" t="s">
        <v>7864</v>
      </c>
      <c r="AA322" s="2">
        <v>100</v>
      </c>
      <c r="AB322" s="2">
        <v>10</v>
      </c>
      <c r="AC322" s="2" t="s">
        <v>10789</v>
      </c>
      <c r="AD322" s="2" t="s">
        <v>20475</v>
      </c>
      <c r="AE322" s="2" t="s">
        <v>18260</v>
      </c>
      <c r="AF322" s="2"/>
      <c r="AG322" s="2" t="s">
        <v>18250</v>
      </c>
    </row>
    <row r="323" spans="1:33" x14ac:dyDescent="0.45">
      <c r="A323" s="2" t="s">
        <v>20476</v>
      </c>
      <c r="B323" s="2" t="s">
        <v>20477</v>
      </c>
      <c r="C323" s="2" t="s">
        <v>20476</v>
      </c>
      <c r="D323" s="2" t="s">
        <v>20478</v>
      </c>
      <c r="E323" s="2" t="s">
        <v>20479</v>
      </c>
      <c r="F323" s="2"/>
      <c r="G323" s="2"/>
      <c r="H323" s="2" t="s">
        <v>11247</v>
      </c>
      <c r="I323" s="2" t="s">
        <v>1137</v>
      </c>
      <c r="J323" s="2" t="s">
        <v>11248</v>
      </c>
      <c r="K323" s="2" t="s">
        <v>20480</v>
      </c>
      <c r="L323" s="2"/>
      <c r="M323" s="2"/>
      <c r="N323" s="2"/>
      <c r="O323" s="2" t="s">
        <v>11247</v>
      </c>
      <c r="P323" s="2" t="s">
        <v>1137</v>
      </c>
      <c r="Q323" s="2" t="s">
        <v>14172</v>
      </c>
      <c r="R323" s="2" t="s">
        <v>19937</v>
      </c>
      <c r="S323" s="2" t="s">
        <v>44</v>
      </c>
      <c r="T323" s="2"/>
      <c r="U323" s="2" t="s">
        <v>3527</v>
      </c>
      <c r="V323" s="2" t="s">
        <v>46</v>
      </c>
      <c r="W323" s="2" t="s">
        <v>3527</v>
      </c>
      <c r="X323" s="2" t="s">
        <v>10787</v>
      </c>
      <c r="Y323" s="2" t="s">
        <v>10801</v>
      </c>
      <c r="Z323" s="2" t="s">
        <v>7864</v>
      </c>
      <c r="AA323" s="2">
        <v>90</v>
      </c>
      <c r="AB323" s="2">
        <v>0</v>
      </c>
      <c r="AC323" s="2" t="s">
        <v>10789</v>
      </c>
      <c r="AD323" s="2" t="s">
        <v>20481</v>
      </c>
      <c r="AE323" s="2" t="s">
        <v>18260</v>
      </c>
      <c r="AF323" s="2"/>
      <c r="AG323" s="2" t="s">
        <v>18250</v>
      </c>
    </row>
    <row r="324" spans="1:33" x14ac:dyDescent="0.45">
      <c r="A324" s="2" t="s">
        <v>20482</v>
      </c>
      <c r="B324" s="2" t="s">
        <v>20483</v>
      </c>
      <c r="C324" s="2" t="s">
        <v>20484</v>
      </c>
      <c r="D324" s="2" t="s">
        <v>20485</v>
      </c>
      <c r="E324" s="2" t="s">
        <v>20486</v>
      </c>
      <c r="F324" s="2"/>
      <c r="G324" s="2"/>
      <c r="H324" s="2" t="s">
        <v>1280</v>
      </c>
      <c r="I324" s="2" t="s">
        <v>1281</v>
      </c>
      <c r="J324" s="2" t="s">
        <v>20487</v>
      </c>
      <c r="K324" s="2" t="s">
        <v>20485</v>
      </c>
      <c r="L324" s="2"/>
      <c r="M324" s="2"/>
      <c r="N324" s="2"/>
      <c r="O324" s="2" t="s">
        <v>1280</v>
      </c>
      <c r="P324" s="2" t="s">
        <v>1281</v>
      </c>
      <c r="Q324" s="2" t="s">
        <v>20487</v>
      </c>
      <c r="R324" s="2" t="s">
        <v>2280</v>
      </c>
      <c r="S324" s="2" t="s">
        <v>44</v>
      </c>
      <c r="T324" s="2"/>
      <c r="U324" s="2" t="s">
        <v>3527</v>
      </c>
      <c r="V324" s="2" t="s">
        <v>46</v>
      </c>
      <c r="W324" s="2" t="s">
        <v>3527</v>
      </c>
      <c r="X324" s="2" t="s">
        <v>10787</v>
      </c>
      <c r="Y324" s="2" t="s">
        <v>10801</v>
      </c>
      <c r="Z324" s="2" t="s">
        <v>7864</v>
      </c>
      <c r="AA324" s="2">
        <v>90</v>
      </c>
      <c r="AB324" s="2">
        <v>0</v>
      </c>
      <c r="AC324" s="2" t="s">
        <v>10789</v>
      </c>
      <c r="AD324" s="2" t="s">
        <v>20488</v>
      </c>
      <c r="AE324" s="2" t="s">
        <v>18260</v>
      </c>
      <c r="AF324" s="2"/>
      <c r="AG324" s="2" t="s">
        <v>18250</v>
      </c>
    </row>
    <row r="325" spans="1:33" x14ac:dyDescent="0.45">
      <c r="A325" s="2" t="s">
        <v>20489</v>
      </c>
      <c r="B325" s="2" t="s">
        <v>20490</v>
      </c>
      <c r="C325" s="2" t="s">
        <v>20489</v>
      </c>
      <c r="D325" s="2" t="s">
        <v>20491</v>
      </c>
      <c r="E325" s="2" t="s">
        <v>20492</v>
      </c>
      <c r="F325" s="2" t="s">
        <v>20493</v>
      </c>
      <c r="G325" s="2" t="s">
        <v>20493</v>
      </c>
      <c r="H325" s="2" t="s">
        <v>384</v>
      </c>
      <c r="I325" s="2" t="s">
        <v>73</v>
      </c>
      <c r="J325" s="2" t="s">
        <v>20494</v>
      </c>
      <c r="K325" s="2" t="s">
        <v>20495</v>
      </c>
      <c r="L325" s="2"/>
      <c r="M325" s="2"/>
      <c r="N325" s="2"/>
      <c r="O325" s="2" t="s">
        <v>384</v>
      </c>
      <c r="P325" s="2" t="s">
        <v>73</v>
      </c>
      <c r="Q325" s="2" t="s">
        <v>20496</v>
      </c>
      <c r="R325" s="2" t="s">
        <v>20497</v>
      </c>
      <c r="S325" s="2" t="s">
        <v>44</v>
      </c>
      <c r="T325" s="2"/>
      <c r="U325" s="2" t="s">
        <v>821</v>
      </c>
      <c r="V325" s="2" t="s">
        <v>46</v>
      </c>
      <c r="W325" s="2" t="s">
        <v>821</v>
      </c>
      <c r="X325" s="2" t="s">
        <v>10787</v>
      </c>
      <c r="Y325" s="2" t="s">
        <v>10801</v>
      </c>
      <c r="Z325" s="2" t="s">
        <v>7864</v>
      </c>
      <c r="AA325" s="2">
        <v>100</v>
      </c>
      <c r="AB325" s="2">
        <v>17</v>
      </c>
      <c r="AC325" s="2" t="s">
        <v>10789</v>
      </c>
      <c r="AD325" s="2" t="s">
        <v>20498</v>
      </c>
      <c r="AE325" s="2" t="s">
        <v>18260</v>
      </c>
      <c r="AF325" s="2"/>
      <c r="AG325" s="2" t="s">
        <v>18250</v>
      </c>
    </row>
    <row r="326" spans="1:33" x14ac:dyDescent="0.45">
      <c r="A326" s="2" t="s">
        <v>20499</v>
      </c>
      <c r="B326" s="2" t="s">
        <v>20500</v>
      </c>
      <c r="C326" s="2" t="s">
        <v>20501</v>
      </c>
      <c r="D326" s="2" t="s">
        <v>20502</v>
      </c>
      <c r="E326" s="2" t="s">
        <v>20503</v>
      </c>
      <c r="F326" s="2" t="s">
        <v>20504</v>
      </c>
      <c r="G326" s="2" t="s">
        <v>20504</v>
      </c>
      <c r="H326" s="2" t="s">
        <v>290</v>
      </c>
      <c r="I326" s="2" t="s">
        <v>278</v>
      </c>
      <c r="J326" s="2" t="s">
        <v>13959</v>
      </c>
      <c r="K326" s="2"/>
      <c r="L326" s="2"/>
      <c r="M326" s="2"/>
      <c r="N326" s="2"/>
      <c r="O326" s="2"/>
      <c r="P326" s="2"/>
      <c r="Q326" s="2"/>
      <c r="R326" s="2" t="s">
        <v>20505</v>
      </c>
      <c r="S326" s="2" t="s">
        <v>44</v>
      </c>
      <c r="T326" s="2"/>
      <c r="U326" s="2" t="s">
        <v>3527</v>
      </c>
      <c r="V326" s="2" t="s">
        <v>46</v>
      </c>
      <c r="W326" s="2" t="s">
        <v>3527</v>
      </c>
      <c r="X326" s="2" t="s">
        <v>10787</v>
      </c>
      <c r="Y326" s="2" t="s">
        <v>10801</v>
      </c>
      <c r="Z326" s="2" t="s">
        <v>7864</v>
      </c>
      <c r="AA326" s="2">
        <v>100</v>
      </c>
      <c r="AB326" s="2">
        <v>10</v>
      </c>
      <c r="AC326" s="2" t="s">
        <v>10789</v>
      </c>
      <c r="AD326" s="2" t="s">
        <v>20506</v>
      </c>
      <c r="AE326" s="2" t="s">
        <v>18260</v>
      </c>
      <c r="AF326" s="2"/>
      <c r="AG326" s="2" t="s">
        <v>18250</v>
      </c>
    </row>
    <row r="327" spans="1:33" x14ac:dyDescent="0.45">
      <c r="A327" s="2" t="s">
        <v>20507</v>
      </c>
      <c r="B327" s="2" t="s">
        <v>20508</v>
      </c>
      <c r="C327" s="2" t="s">
        <v>20507</v>
      </c>
      <c r="D327" s="2" t="s">
        <v>20509</v>
      </c>
      <c r="E327" s="2" t="s">
        <v>20510</v>
      </c>
      <c r="F327" s="2" t="s">
        <v>20511</v>
      </c>
      <c r="G327" s="2" t="s">
        <v>20511</v>
      </c>
      <c r="H327" s="2" t="s">
        <v>13030</v>
      </c>
      <c r="I327" s="2" t="s">
        <v>313</v>
      </c>
      <c r="J327" s="2" t="s">
        <v>20512</v>
      </c>
      <c r="K327" s="2" t="s">
        <v>20509</v>
      </c>
      <c r="L327" s="2"/>
      <c r="M327" s="2"/>
      <c r="N327" s="2"/>
      <c r="O327" s="2" t="s">
        <v>13030</v>
      </c>
      <c r="P327" s="2" t="s">
        <v>313</v>
      </c>
      <c r="Q327" s="2" t="s">
        <v>20512</v>
      </c>
      <c r="R327" s="2" t="s">
        <v>7704</v>
      </c>
      <c r="S327" s="2" t="s">
        <v>44</v>
      </c>
      <c r="T327" s="2"/>
      <c r="U327" s="2" t="s">
        <v>3527</v>
      </c>
      <c r="V327" s="2" t="s">
        <v>46</v>
      </c>
      <c r="W327" s="2" t="s">
        <v>3527</v>
      </c>
      <c r="X327" s="2" t="s">
        <v>10787</v>
      </c>
      <c r="Y327" s="2" t="s">
        <v>10801</v>
      </c>
      <c r="Z327" s="2" t="s">
        <v>7864</v>
      </c>
      <c r="AA327" s="2">
        <v>100</v>
      </c>
      <c r="AB327" s="2">
        <v>5</v>
      </c>
      <c r="AC327" s="2" t="s">
        <v>10789</v>
      </c>
      <c r="AD327" s="2" t="s">
        <v>20513</v>
      </c>
      <c r="AE327" s="2" t="s">
        <v>18260</v>
      </c>
      <c r="AF327" s="2"/>
      <c r="AG327" s="2" t="s">
        <v>18250</v>
      </c>
    </row>
    <row r="328" spans="1:33" x14ac:dyDescent="0.45">
      <c r="A328" s="2" t="s">
        <v>20514</v>
      </c>
      <c r="B328" s="2" t="s">
        <v>20515</v>
      </c>
      <c r="C328" s="2" t="s">
        <v>20516</v>
      </c>
      <c r="D328" s="2" t="s">
        <v>20517</v>
      </c>
      <c r="E328" s="2" t="s">
        <v>20518</v>
      </c>
      <c r="F328" s="2"/>
      <c r="G328" s="2"/>
      <c r="H328" s="2" t="s">
        <v>59</v>
      </c>
      <c r="I328" s="2" t="s">
        <v>60</v>
      </c>
      <c r="J328" s="2" t="s">
        <v>15541</v>
      </c>
      <c r="K328" s="2" t="s">
        <v>20517</v>
      </c>
      <c r="L328" s="2"/>
      <c r="M328" s="2"/>
      <c r="N328" s="2"/>
      <c r="O328" s="2" t="s">
        <v>59</v>
      </c>
      <c r="P328" s="2" t="s">
        <v>60</v>
      </c>
      <c r="Q328" s="2" t="s">
        <v>15541</v>
      </c>
      <c r="R328" s="2" t="s">
        <v>3546</v>
      </c>
      <c r="S328" s="2" t="s">
        <v>44</v>
      </c>
      <c r="T328" s="2"/>
      <c r="U328" s="2" t="s">
        <v>3527</v>
      </c>
      <c r="V328" s="2" t="s">
        <v>46</v>
      </c>
      <c r="W328" s="2" t="s">
        <v>3527</v>
      </c>
      <c r="X328" s="2" t="s">
        <v>10787</v>
      </c>
      <c r="Y328" s="2" t="s">
        <v>10801</v>
      </c>
      <c r="Z328" s="2" t="s">
        <v>7864</v>
      </c>
      <c r="AA328" s="2">
        <v>90</v>
      </c>
      <c r="AB328" s="2">
        <v>0</v>
      </c>
      <c r="AC328" s="2" t="s">
        <v>10789</v>
      </c>
      <c r="AD328" s="2" t="s">
        <v>20519</v>
      </c>
      <c r="AE328" s="2" t="s">
        <v>18260</v>
      </c>
      <c r="AF328" s="2"/>
      <c r="AG328" s="2" t="s">
        <v>18250</v>
      </c>
    </row>
    <row r="329" spans="1:33" x14ac:dyDescent="0.45">
      <c r="A329" s="2" t="s">
        <v>20520</v>
      </c>
      <c r="B329" s="2" t="s">
        <v>20521</v>
      </c>
      <c r="C329" s="2" t="s">
        <v>20522</v>
      </c>
      <c r="D329" s="2" t="s">
        <v>20523</v>
      </c>
      <c r="E329" s="2" t="s">
        <v>20524</v>
      </c>
      <c r="F329" s="2"/>
      <c r="G329" s="2"/>
      <c r="H329" s="2" t="s">
        <v>10483</v>
      </c>
      <c r="I329" s="2" t="s">
        <v>537</v>
      </c>
      <c r="J329" s="2" t="s">
        <v>20525</v>
      </c>
      <c r="K329" s="2" t="s">
        <v>20523</v>
      </c>
      <c r="L329" s="2"/>
      <c r="M329" s="2"/>
      <c r="N329" s="2"/>
      <c r="O329" s="2" t="s">
        <v>10483</v>
      </c>
      <c r="P329" s="2" t="s">
        <v>537</v>
      </c>
      <c r="Q329" s="2" t="s">
        <v>20525</v>
      </c>
      <c r="R329" s="2" t="s">
        <v>7071</v>
      </c>
      <c r="S329" s="2" t="s">
        <v>44</v>
      </c>
      <c r="T329" s="2"/>
      <c r="U329" s="2" t="s">
        <v>3527</v>
      </c>
      <c r="V329" s="2" t="s">
        <v>46</v>
      </c>
      <c r="W329" s="2" t="s">
        <v>3527</v>
      </c>
      <c r="X329" s="2" t="s">
        <v>10787</v>
      </c>
      <c r="Y329" s="2" t="s">
        <v>10801</v>
      </c>
      <c r="Z329" s="2" t="s">
        <v>7864</v>
      </c>
      <c r="AA329" s="2">
        <v>90</v>
      </c>
      <c r="AB329" s="2">
        <v>0</v>
      </c>
      <c r="AC329" s="2" t="s">
        <v>10789</v>
      </c>
      <c r="AD329" s="2" t="s">
        <v>20526</v>
      </c>
      <c r="AE329" s="2" t="s">
        <v>18260</v>
      </c>
      <c r="AF329" s="2"/>
      <c r="AG329" s="2" t="s">
        <v>18250</v>
      </c>
    </row>
    <row r="330" spans="1:33" x14ac:dyDescent="0.45">
      <c r="A330" s="2" t="s">
        <v>20527</v>
      </c>
      <c r="B330" s="2" t="s">
        <v>20528</v>
      </c>
      <c r="C330" s="2" t="s">
        <v>20529</v>
      </c>
      <c r="D330" s="2" t="s">
        <v>20530</v>
      </c>
      <c r="E330" s="2" t="s">
        <v>20531</v>
      </c>
      <c r="F330" s="2" t="s">
        <v>20532</v>
      </c>
      <c r="G330" s="2"/>
      <c r="H330" s="2" t="s">
        <v>1175</v>
      </c>
      <c r="I330" s="2" t="s">
        <v>1176</v>
      </c>
      <c r="J330" s="2" t="s">
        <v>20533</v>
      </c>
      <c r="K330" s="2" t="s">
        <v>20534</v>
      </c>
      <c r="L330" s="2"/>
      <c r="M330" s="2"/>
      <c r="N330" s="2"/>
      <c r="O330" s="2" t="s">
        <v>1175</v>
      </c>
      <c r="P330" s="2" t="s">
        <v>1176</v>
      </c>
      <c r="Q330" s="2" t="s">
        <v>20533</v>
      </c>
      <c r="R330" s="2" t="s">
        <v>18636</v>
      </c>
      <c r="S330" s="2" t="s">
        <v>44</v>
      </c>
      <c r="T330" s="2"/>
      <c r="U330" s="2" t="s">
        <v>821</v>
      </c>
      <c r="V330" s="2" t="s">
        <v>46</v>
      </c>
      <c r="W330" s="2" t="s">
        <v>821</v>
      </c>
      <c r="X330" s="2" t="s">
        <v>10787</v>
      </c>
      <c r="Y330" s="2" t="s">
        <v>10801</v>
      </c>
      <c r="Z330" s="2" t="s">
        <v>7864</v>
      </c>
      <c r="AA330" s="2">
        <v>100</v>
      </c>
      <c r="AB330" s="2">
        <v>12</v>
      </c>
      <c r="AC330" s="2" t="s">
        <v>10789</v>
      </c>
      <c r="AD330" s="2" t="s">
        <v>20535</v>
      </c>
      <c r="AE330" s="2" t="s">
        <v>18260</v>
      </c>
      <c r="AF330" s="2"/>
      <c r="AG330" s="2" t="s">
        <v>18250</v>
      </c>
    </row>
    <row r="331" spans="1:33" x14ac:dyDescent="0.45">
      <c r="A331" s="2" t="s">
        <v>20536</v>
      </c>
      <c r="B331" s="2" t="s">
        <v>20537</v>
      </c>
      <c r="C331" s="2" t="s">
        <v>20538</v>
      </c>
      <c r="D331" s="2" t="s">
        <v>20539</v>
      </c>
      <c r="E331" s="2" t="s">
        <v>20540</v>
      </c>
      <c r="F331" s="2" t="s">
        <v>20541</v>
      </c>
      <c r="G331" s="2" t="s">
        <v>20541</v>
      </c>
      <c r="H331" s="2" t="s">
        <v>1136</v>
      </c>
      <c r="I331" s="2" t="s">
        <v>1137</v>
      </c>
      <c r="J331" s="2" t="s">
        <v>18215</v>
      </c>
      <c r="K331" s="2" t="s">
        <v>20539</v>
      </c>
      <c r="L331" s="2"/>
      <c r="M331" s="2"/>
      <c r="N331" s="2"/>
      <c r="O331" s="2" t="s">
        <v>1136</v>
      </c>
      <c r="P331" s="2" t="s">
        <v>1137</v>
      </c>
      <c r="Q331" s="2" t="s">
        <v>18215</v>
      </c>
      <c r="R331" s="2" t="s">
        <v>13081</v>
      </c>
      <c r="S331" s="2" t="s">
        <v>44</v>
      </c>
      <c r="T331" s="2"/>
      <c r="U331" s="2" t="s">
        <v>3527</v>
      </c>
      <c r="V331" s="2" t="s">
        <v>46</v>
      </c>
      <c r="W331" s="2" t="s">
        <v>3527</v>
      </c>
      <c r="X331" s="2" t="s">
        <v>10787</v>
      </c>
      <c r="Y331" s="2" t="s">
        <v>10801</v>
      </c>
      <c r="Z331" s="2" t="s">
        <v>7864</v>
      </c>
      <c r="AA331" s="2">
        <v>100</v>
      </c>
      <c r="AB331" s="2">
        <v>5</v>
      </c>
      <c r="AC331" s="2" t="s">
        <v>10789</v>
      </c>
      <c r="AD331" s="2" t="s">
        <v>20542</v>
      </c>
      <c r="AE331" s="2" t="s">
        <v>18260</v>
      </c>
      <c r="AF331" s="2"/>
      <c r="AG331" s="2" t="s">
        <v>18250</v>
      </c>
    </row>
    <row r="332" spans="1:33" x14ac:dyDescent="0.45">
      <c r="A332" s="2" t="s">
        <v>20543</v>
      </c>
      <c r="B332" s="2" t="s">
        <v>20544</v>
      </c>
      <c r="C332" s="2" t="s">
        <v>20543</v>
      </c>
      <c r="D332" s="2" t="s">
        <v>20545</v>
      </c>
      <c r="E332" s="2" t="s">
        <v>20546</v>
      </c>
      <c r="F332" s="2"/>
      <c r="G332" s="2"/>
      <c r="H332" s="2" t="s">
        <v>8495</v>
      </c>
      <c r="I332" s="2" t="s">
        <v>8496</v>
      </c>
      <c r="J332" s="2" t="s">
        <v>20547</v>
      </c>
      <c r="K332" s="2" t="s">
        <v>20545</v>
      </c>
      <c r="L332" s="2"/>
      <c r="M332" s="2"/>
      <c r="N332" s="2"/>
      <c r="O332" s="2" t="s">
        <v>8495</v>
      </c>
      <c r="P332" s="2" t="s">
        <v>8496</v>
      </c>
      <c r="Q332" s="2" t="s">
        <v>20547</v>
      </c>
      <c r="R332" s="2" t="s">
        <v>4984</v>
      </c>
      <c r="S332" s="2" t="s">
        <v>44</v>
      </c>
      <c r="T332" s="2"/>
      <c r="U332" s="2" t="s">
        <v>3527</v>
      </c>
      <c r="V332" s="2" t="s">
        <v>46</v>
      </c>
      <c r="W332" s="2" t="s">
        <v>3527</v>
      </c>
      <c r="X332" s="2" t="s">
        <v>10787</v>
      </c>
      <c r="Y332" s="2" t="s">
        <v>10801</v>
      </c>
      <c r="Z332" s="2" t="s">
        <v>7864</v>
      </c>
      <c r="AA332" s="2">
        <v>90</v>
      </c>
      <c r="AB332" s="2">
        <v>0</v>
      </c>
      <c r="AC332" s="2" t="s">
        <v>10789</v>
      </c>
      <c r="AD332" s="2" t="s">
        <v>20548</v>
      </c>
      <c r="AE332" s="2" t="s">
        <v>18260</v>
      </c>
      <c r="AF332" s="2"/>
      <c r="AG332" s="2" t="s">
        <v>18250</v>
      </c>
    </row>
    <row r="333" spans="1:33" x14ac:dyDescent="0.45">
      <c r="A333" s="2" t="s">
        <v>20549</v>
      </c>
      <c r="B333" s="2" t="s">
        <v>20550</v>
      </c>
      <c r="C333" s="2" t="s">
        <v>20549</v>
      </c>
      <c r="D333" s="2" t="s">
        <v>20551</v>
      </c>
      <c r="E333" s="2" t="s">
        <v>20552</v>
      </c>
      <c r="F333" s="2"/>
      <c r="G333" s="2"/>
      <c r="H333" s="2" t="s">
        <v>39</v>
      </c>
      <c r="I333" s="2" t="s">
        <v>40</v>
      </c>
      <c r="J333" s="2" t="s">
        <v>20553</v>
      </c>
      <c r="K333" s="2" t="s">
        <v>20551</v>
      </c>
      <c r="L333" s="2"/>
      <c r="M333" s="2"/>
      <c r="N333" s="2"/>
      <c r="O333" s="2" t="s">
        <v>39</v>
      </c>
      <c r="P333" s="2" t="s">
        <v>40</v>
      </c>
      <c r="Q333" s="2" t="s">
        <v>20553</v>
      </c>
      <c r="R333" s="2" t="s">
        <v>4417</v>
      </c>
      <c r="S333" s="2" t="s">
        <v>44</v>
      </c>
      <c r="T333" s="2"/>
      <c r="U333" s="2" t="s">
        <v>821</v>
      </c>
      <c r="V333" s="2" t="s">
        <v>46</v>
      </c>
      <c r="W333" s="2" t="s">
        <v>821</v>
      </c>
      <c r="X333" s="2" t="s">
        <v>10787</v>
      </c>
      <c r="Y333" s="2" t="s">
        <v>10801</v>
      </c>
      <c r="Z333" s="2" t="s">
        <v>7864</v>
      </c>
      <c r="AA333" s="2">
        <v>90</v>
      </c>
      <c r="AB333" s="2">
        <v>7</v>
      </c>
      <c r="AC333" s="2" t="s">
        <v>10789</v>
      </c>
      <c r="AD333" s="2" t="s">
        <v>20554</v>
      </c>
      <c r="AE333" s="2" t="s">
        <v>18260</v>
      </c>
      <c r="AF333" s="2"/>
      <c r="AG333" s="2" t="s">
        <v>18250</v>
      </c>
    </row>
    <row r="334" spans="1:33" x14ac:dyDescent="0.45">
      <c r="A334" s="2" t="s">
        <v>15823</v>
      </c>
      <c r="B334" s="2" t="s">
        <v>20555</v>
      </c>
      <c r="C334" s="2" t="s">
        <v>15823</v>
      </c>
      <c r="D334" s="2" t="s">
        <v>20556</v>
      </c>
      <c r="E334" s="2" t="s">
        <v>20557</v>
      </c>
      <c r="F334" s="2" t="s">
        <v>20558</v>
      </c>
      <c r="G334" s="2"/>
      <c r="H334" s="2" t="s">
        <v>424</v>
      </c>
      <c r="I334" s="2" t="s">
        <v>217</v>
      </c>
      <c r="J334" s="2" t="s">
        <v>4569</v>
      </c>
      <c r="K334" s="2" t="s">
        <v>20559</v>
      </c>
      <c r="L334" s="2"/>
      <c r="M334" s="2"/>
      <c r="N334" s="2"/>
      <c r="O334" s="2" t="s">
        <v>424</v>
      </c>
      <c r="P334" s="2" t="s">
        <v>217</v>
      </c>
      <c r="Q334" s="2" t="s">
        <v>4569</v>
      </c>
      <c r="R334" s="2" t="s">
        <v>2698</v>
      </c>
      <c r="S334" s="2" t="s">
        <v>44</v>
      </c>
      <c r="T334" s="2"/>
      <c r="U334" s="2" t="s">
        <v>821</v>
      </c>
      <c r="V334" s="2" t="s">
        <v>46</v>
      </c>
      <c r="W334" s="2" t="s">
        <v>821</v>
      </c>
      <c r="X334" s="2" t="s">
        <v>10787</v>
      </c>
      <c r="Y334" s="2" t="s">
        <v>10801</v>
      </c>
      <c r="Z334" s="2" t="s">
        <v>7864</v>
      </c>
      <c r="AA334" s="2">
        <v>100</v>
      </c>
      <c r="AB334" s="2">
        <v>17</v>
      </c>
      <c r="AC334" s="2" t="s">
        <v>10789</v>
      </c>
      <c r="AD334" s="2" t="s">
        <v>20560</v>
      </c>
      <c r="AE334" s="2" t="s">
        <v>18260</v>
      </c>
      <c r="AF334" s="2"/>
      <c r="AG334" s="2" t="s">
        <v>18250</v>
      </c>
    </row>
    <row r="335" spans="1:33" x14ac:dyDescent="0.45">
      <c r="A335" s="2" t="s">
        <v>20561</v>
      </c>
      <c r="B335" s="2" t="s">
        <v>20562</v>
      </c>
      <c r="C335" s="2" t="s">
        <v>20561</v>
      </c>
      <c r="D335" s="2" t="s">
        <v>20563</v>
      </c>
      <c r="E335" s="2" t="s">
        <v>20564</v>
      </c>
      <c r="F335" s="2" t="s">
        <v>20565</v>
      </c>
      <c r="G335" s="2"/>
      <c r="H335" s="2" t="s">
        <v>312</v>
      </c>
      <c r="I335" s="2" t="s">
        <v>313</v>
      </c>
      <c r="J335" s="2" t="s">
        <v>7463</v>
      </c>
      <c r="K335" s="2" t="s">
        <v>20563</v>
      </c>
      <c r="L335" s="2"/>
      <c r="M335" s="2"/>
      <c r="N335" s="2"/>
      <c r="O335" s="2" t="s">
        <v>312</v>
      </c>
      <c r="P335" s="2" t="s">
        <v>313</v>
      </c>
      <c r="Q335" s="2" t="s">
        <v>7463</v>
      </c>
      <c r="R335" s="2" t="s">
        <v>14187</v>
      </c>
      <c r="S335" s="2" t="s">
        <v>44</v>
      </c>
      <c r="T335" s="2"/>
      <c r="U335" s="2" t="s">
        <v>3527</v>
      </c>
      <c r="V335" s="2" t="s">
        <v>46</v>
      </c>
      <c r="W335" s="2" t="s">
        <v>3527</v>
      </c>
      <c r="X335" s="2" t="s">
        <v>10787</v>
      </c>
      <c r="Y335" s="2" t="s">
        <v>10801</v>
      </c>
      <c r="Z335" s="2" t="s">
        <v>7864</v>
      </c>
      <c r="AA335" s="2">
        <v>100</v>
      </c>
      <c r="AB335" s="2">
        <v>10</v>
      </c>
      <c r="AC335" s="2" t="s">
        <v>10789</v>
      </c>
      <c r="AD335" s="2" t="s">
        <v>20566</v>
      </c>
      <c r="AE335" s="2" t="s">
        <v>18260</v>
      </c>
      <c r="AF335" s="2"/>
      <c r="AG335" s="2" t="s">
        <v>18250</v>
      </c>
    </row>
    <row r="336" spans="1:33" x14ac:dyDescent="0.45">
      <c r="A336" s="2" t="s">
        <v>20567</v>
      </c>
      <c r="B336" s="2" t="s">
        <v>20568</v>
      </c>
      <c r="C336" s="2" t="s">
        <v>20567</v>
      </c>
      <c r="D336" s="2" t="s">
        <v>20569</v>
      </c>
      <c r="E336" s="2" t="s">
        <v>20570</v>
      </c>
      <c r="F336" s="2"/>
      <c r="G336" s="2"/>
      <c r="H336" s="2" t="s">
        <v>651</v>
      </c>
      <c r="I336" s="2" t="s">
        <v>86</v>
      </c>
      <c r="J336" s="2" t="s">
        <v>9191</v>
      </c>
      <c r="K336" s="2" t="s">
        <v>20571</v>
      </c>
      <c r="L336" s="2"/>
      <c r="M336" s="2"/>
      <c r="N336" s="2"/>
      <c r="O336" s="2" t="s">
        <v>324</v>
      </c>
      <c r="P336" s="2" t="s">
        <v>73</v>
      </c>
      <c r="Q336" s="2" t="s">
        <v>4463</v>
      </c>
      <c r="R336" s="2" t="s">
        <v>19067</v>
      </c>
      <c r="S336" s="2" t="s">
        <v>44</v>
      </c>
      <c r="T336" s="2"/>
      <c r="U336" s="2" t="s">
        <v>3527</v>
      </c>
      <c r="V336" s="2" t="s">
        <v>46</v>
      </c>
      <c r="W336" s="2" t="s">
        <v>3527</v>
      </c>
      <c r="X336" s="2" t="s">
        <v>10787</v>
      </c>
      <c r="Y336" s="2" t="s">
        <v>10801</v>
      </c>
      <c r="Z336" s="2" t="s">
        <v>7864</v>
      </c>
      <c r="AA336" s="2">
        <v>90</v>
      </c>
      <c r="AB336" s="2">
        <v>0</v>
      </c>
      <c r="AC336" s="2" t="s">
        <v>10789</v>
      </c>
      <c r="AD336" s="2" t="s">
        <v>20572</v>
      </c>
      <c r="AE336" s="2" t="s">
        <v>18260</v>
      </c>
      <c r="AF336" s="2"/>
      <c r="AG336" s="2" t="s">
        <v>18250</v>
      </c>
    </row>
    <row r="337" spans="1:33" x14ac:dyDescent="0.45">
      <c r="A337" s="2" t="s">
        <v>20573</v>
      </c>
      <c r="B337" s="2" t="s">
        <v>20574</v>
      </c>
      <c r="C337" s="2" t="s">
        <v>20575</v>
      </c>
      <c r="D337" s="2" t="s">
        <v>20576</v>
      </c>
      <c r="E337" s="2" t="s">
        <v>20577</v>
      </c>
      <c r="F337" s="2" t="s">
        <v>20578</v>
      </c>
      <c r="G337" s="2"/>
      <c r="H337" s="2" t="s">
        <v>17610</v>
      </c>
      <c r="I337" s="2" t="s">
        <v>1112</v>
      </c>
      <c r="J337" s="2" t="s">
        <v>20579</v>
      </c>
      <c r="K337" s="2" t="s">
        <v>20576</v>
      </c>
      <c r="L337" s="2"/>
      <c r="M337" s="2"/>
      <c r="N337" s="2"/>
      <c r="O337" s="2" t="s">
        <v>17610</v>
      </c>
      <c r="P337" s="2" t="s">
        <v>1112</v>
      </c>
      <c r="Q337" s="2" t="s">
        <v>20579</v>
      </c>
      <c r="R337" s="2" t="s">
        <v>3246</v>
      </c>
      <c r="S337" s="2" t="s">
        <v>44</v>
      </c>
      <c r="T337" s="2"/>
      <c r="U337" s="2" t="s">
        <v>3527</v>
      </c>
      <c r="V337" s="2" t="s">
        <v>46</v>
      </c>
      <c r="W337" s="2" t="s">
        <v>3527</v>
      </c>
      <c r="X337" s="2" t="s">
        <v>10787</v>
      </c>
      <c r="Y337" s="2" t="s">
        <v>10801</v>
      </c>
      <c r="Z337" s="2" t="s">
        <v>7864</v>
      </c>
      <c r="AA337" s="2">
        <v>100</v>
      </c>
      <c r="AB337" s="2">
        <v>5</v>
      </c>
      <c r="AC337" s="2" t="s">
        <v>10789</v>
      </c>
      <c r="AD337" s="2" t="s">
        <v>20580</v>
      </c>
      <c r="AE337" s="2" t="s">
        <v>18260</v>
      </c>
      <c r="AF337" s="2"/>
      <c r="AG337" s="2" t="s">
        <v>18250</v>
      </c>
    </row>
    <row r="338" spans="1:33" x14ac:dyDescent="0.45">
      <c r="A338" s="2" t="s">
        <v>20581</v>
      </c>
      <c r="B338" s="2" t="s">
        <v>20582</v>
      </c>
      <c r="C338" s="2" t="s">
        <v>20581</v>
      </c>
      <c r="D338" s="2" t="s">
        <v>20583</v>
      </c>
      <c r="E338" s="2" t="s">
        <v>20584</v>
      </c>
      <c r="F338" s="2"/>
      <c r="G338" s="2"/>
      <c r="H338" s="2" t="s">
        <v>20585</v>
      </c>
      <c r="I338" s="2" t="s">
        <v>221</v>
      </c>
      <c r="J338" s="2" t="s">
        <v>20586</v>
      </c>
      <c r="K338" s="2" t="s">
        <v>20583</v>
      </c>
      <c r="L338" s="2"/>
      <c r="M338" s="2"/>
      <c r="N338" s="2"/>
      <c r="O338" s="2" t="s">
        <v>20585</v>
      </c>
      <c r="P338" s="2" t="s">
        <v>221</v>
      </c>
      <c r="Q338" s="2" t="s">
        <v>20586</v>
      </c>
      <c r="R338" s="2" t="s">
        <v>580</v>
      </c>
      <c r="S338" s="2" t="s">
        <v>44</v>
      </c>
      <c r="T338" s="2"/>
      <c r="U338" s="2" t="s">
        <v>3527</v>
      </c>
      <c r="V338" s="2" t="s">
        <v>46</v>
      </c>
      <c r="W338" s="2" t="s">
        <v>3527</v>
      </c>
      <c r="X338" s="2" t="s">
        <v>10787</v>
      </c>
      <c r="Y338" s="2" t="s">
        <v>10801</v>
      </c>
      <c r="Z338" s="2" t="s">
        <v>7864</v>
      </c>
      <c r="AA338" s="2">
        <v>90</v>
      </c>
      <c r="AB338" s="2">
        <v>0</v>
      </c>
      <c r="AC338" s="2" t="s">
        <v>10789</v>
      </c>
      <c r="AD338" s="2" t="s">
        <v>20587</v>
      </c>
      <c r="AE338" s="2" t="s">
        <v>18260</v>
      </c>
      <c r="AF338" s="2"/>
      <c r="AG338" s="2" t="s">
        <v>18250</v>
      </c>
    </row>
    <row r="339" spans="1:33" x14ac:dyDescent="0.45">
      <c r="A339" s="2" t="s">
        <v>20588</v>
      </c>
      <c r="B339" s="2" t="s">
        <v>20589</v>
      </c>
      <c r="C339" s="2" t="s">
        <v>20588</v>
      </c>
      <c r="D339" s="2" t="s">
        <v>20590</v>
      </c>
      <c r="E339" s="2" t="s">
        <v>20591</v>
      </c>
      <c r="F339" s="2" t="s">
        <v>20592</v>
      </c>
      <c r="G339" s="2"/>
      <c r="H339" s="2" t="s">
        <v>39</v>
      </c>
      <c r="I339" s="2" t="s">
        <v>40</v>
      </c>
      <c r="J339" s="2" t="s">
        <v>20593</v>
      </c>
      <c r="K339" s="2" t="s">
        <v>20590</v>
      </c>
      <c r="L339" s="2"/>
      <c r="M339" s="2"/>
      <c r="N339" s="2"/>
      <c r="O339" s="2" t="s">
        <v>39</v>
      </c>
      <c r="P339" s="2" t="s">
        <v>40</v>
      </c>
      <c r="Q339" s="2" t="s">
        <v>20593</v>
      </c>
      <c r="R339" s="2" t="s">
        <v>2973</v>
      </c>
      <c r="S339" s="2" t="s">
        <v>44</v>
      </c>
      <c r="T339" s="2"/>
      <c r="U339" s="2" t="s">
        <v>821</v>
      </c>
      <c r="V339" s="2" t="s">
        <v>46</v>
      </c>
      <c r="W339" s="2" t="s">
        <v>821</v>
      </c>
      <c r="X339" s="2" t="s">
        <v>10787</v>
      </c>
      <c r="Y339" s="2" t="s">
        <v>10801</v>
      </c>
      <c r="Z339" s="2" t="s">
        <v>7864</v>
      </c>
      <c r="AA339" s="2">
        <v>100</v>
      </c>
      <c r="AB339" s="2">
        <v>17</v>
      </c>
      <c r="AC339" s="2" t="s">
        <v>10789</v>
      </c>
      <c r="AD339" s="2" t="s">
        <v>20594</v>
      </c>
      <c r="AE339" s="2" t="s">
        <v>18260</v>
      </c>
      <c r="AF339" s="2"/>
      <c r="AG339" s="2" t="s">
        <v>18250</v>
      </c>
    </row>
    <row r="340" spans="1:33" x14ac:dyDescent="0.45">
      <c r="A340" s="2" t="s">
        <v>20595</v>
      </c>
      <c r="B340" s="2" t="s">
        <v>20596</v>
      </c>
      <c r="C340" s="2" t="s">
        <v>20595</v>
      </c>
      <c r="D340" s="2" t="s">
        <v>20597</v>
      </c>
      <c r="E340" s="2" t="s">
        <v>20598</v>
      </c>
      <c r="F340" s="2" t="s">
        <v>20599</v>
      </c>
      <c r="G340" s="2"/>
      <c r="H340" s="2" t="s">
        <v>20600</v>
      </c>
      <c r="I340" s="2" t="s">
        <v>9680</v>
      </c>
      <c r="J340" s="2" t="s">
        <v>20601</v>
      </c>
      <c r="K340" s="2"/>
      <c r="L340" s="2"/>
      <c r="M340" s="2"/>
      <c r="N340" s="2"/>
      <c r="O340" s="2"/>
      <c r="P340" s="2"/>
      <c r="Q340" s="2"/>
      <c r="R340" s="2" t="s">
        <v>14999</v>
      </c>
      <c r="S340" s="2" t="s">
        <v>44</v>
      </c>
      <c r="T340" s="2"/>
      <c r="U340" s="2" t="s">
        <v>3527</v>
      </c>
      <c r="V340" s="2" t="s">
        <v>46</v>
      </c>
      <c r="W340" s="2" t="s">
        <v>3527</v>
      </c>
      <c r="X340" s="2" t="s">
        <v>10787</v>
      </c>
      <c r="Y340" s="2" t="s">
        <v>10801</v>
      </c>
      <c r="Z340" s="2" t="s">
        <v>7864</v>
      </c>
      <c r="AA340" s="2">
        <v>100</v>
      </c>
      <c r="AB340" s="2">
        <v>5</v>
      </c>
      <c r="AC340" s="2" t="s">
        <v>10789</v>
      </c>
      <c r="AD340" s="2" t="s">
        <v>20602</v>
      </c>
      <c r="AE340" s="2" t="s">
        <v>18260</v>
      </c>
      <c r="AF340" s="2"/>
      <c r="AG340" s="2" t="s">
        <v>18250</v>
      </c>
    </row>
    <row r="341" spans="1:33" x14ac:dyDescent="0.45">
      <c r="A341" s="2" t="s">
        <v>20603</v>
      </c>
      <c r="B341" s="2" t="s">
        <v>20604</v>
      </c>
      <c r="C341" s="2" t="s">
        <v>20605</v>
      </c>
      <c r="D341" s="2" t="s">
        <v>20606</v>
      </c>
      <c r="E341" s="2" t="s">
        <v>20607</v>
      </c>
      <c r="F341" s="2" t="s">
        <v>20608</v>
      </c>
      <c r="G341" s="2" t="s">
        <v>20608</v>
      </c>
      <c r="H341" s="2" t="s">
        <v>8544</v>
      </c>
      <c r="I341" s="2" t="s">
        <v>73</v>
      </c>
      <c r="J341" s="2" t="s">
        <v>15793</v>
      </c>
      <c r="K341" s="2" t="s">
        <v>20609</v>
      </c>
      <c r="L341" s="2"/>
      <c r="M341" s="2"/>
      <c r="N341" s="2"/>
      <c r="O341" s="2" t="s">
        <v>8544</v>
      </c>
      <c r="P341" s="2" t="s">
        <v>73</v>
      </c>
      <c r="Q341" s="2" t="s">
        <v>15793</v>
      </c>
      <c r="R341" s="2" t="s">
        <v>3226</v>
      </c>
      <c r="S341" s="2" t="s">
        <v>44</v>
      </c>
      <c r="T341" s="2"/>
      <c r="U341" s="2" t="s">
        <v>821</v>
      </c>
      <c r="V341" s="2" t="s">
        <v>46</v>
      </c>
      <c r="W341" s="2" t="s">
        <v>821</v>
      </c>
      <c r="X341" s="2" t="s">
        <v>10787</v>
      </c>
      <c r="Y341" s="2" t="s">
        <v>10801</v>
      </c>
      <c r="Z341" s="2" t="s">
        <v>7864</v>
      </c>
      <c r="AA341" s="2">
        <v>100</v>
      </c>
      <c r="AB341" s="2">
        <v>12</v>
      </c>
      <c r="AC341" s="2" t="s">
        <v>10789</v>
      </c>
      <c r="AD341" s="2" t="s">
        <v>20610</v>
      </c>
      <c r="AE341" s="2" t="s">
        <v>18260</v>
      </c>
      <c r="AF341" s="2"/>
      <c r="AG341" s="2" t="s">
        <v>18250</v>
      </c>
    </row>
    <row r="342" spans="1:33" x14ac:dyDescent="0.45">
      <c r="A342" s="2" t="s">
        <v>20611</v>
      </c>
      <c r="B342" s="2" t="s">
        <v>20612</v>
      </c>
      <c r="C342" s="2" t="s">
        <v>20613</v>
      </c>
      <c r="D342" s="2" t="s">
        <v>20614</v>
      </c>
      <c r="E342" s="2" t="s">
        <v>20615</v>
      </c>
      <c r="F342" s="2" t="s">
        <v>20616</v>
      </c>
      <c r="G342" s="2"/>
      <c r="H342" s="2" t="s">
        <v>10798</v>
      </c>
      <c r="I342" s="2" t="s">
        <v>1176</v>
      </c>
      <c r="J342" s="2" t="s">
        <v>10799</v>
      </c>
      <c r="K342" s="2" t="s">
        <v>20614</v>
      </c>
      <c r="L342" s="2"/>
      <c r="M342" s="2"/>
      <c r="N342" s="2"/>
      <c r="O342" s="2" t="s">
        <v>10798</v>
      </c>
      <c r="P342" s="2" t="s">
        <v>1176</v>
      </c>
      <c r="Q342" s="2" t="s">
        <v>10799</v>
      </c>
      <c r="R342" s="2" t="s">
        <v>3199</v>
      </c>
      <c r="S342" s="2" t="s">
        <v>44</v>
      </c>
      <c r="T342" s="2"/>
      <c r="U342" s="2" t="s">
        <v>821</v>
      </c>
      <c r="V342" s="2" t="s">
        <v>46</v>
      </c>
      <c r="W342" s="2" t="s">
        <v>821</v>
      </c>
      <c r="X342" s="2" t="s">
        <v>10787</v>
      </c>
      <c r="Y342" s="2" t="s">
        <v>10801</v>
      </c>
      <c r="Z342" s="2" t="s">
        <v>7864</v>
      </c>
      <c r="AA342" s="2">
        <v>100</v>
      </c>
      <c r="AB342" s="2">
        <v>12</v>
      </c>
      <c r="AC342" s="2" t="s">
        <v>10789</v>
      </c>
      <c r="AD342" s="2" t="s">
        <v>20617</v>
      </c>
      <c r="AE342" s="2" t="s">
        <v>18260</v>
      </c>
      <c r="AF342" s="2"/>
      <c r="AG342" s="2" t="s">
        <v>18250</v>
      </c>
    </row>
    <row r="343" spans="1:33" x14ac:dyDescent="0.45">
      <c r="A343" s="2" t="s">
        <v>20618</v>
      </c>
      <c r="B343" s="2" t="s">
        <v>20619</v>
      </c>
      <c r="C343" s="2" t="s">
        <v>20618</v>
      </c>
      <c r="D343" s="2" t="s">
        <v>20620</v>
      </c>
      <c r="E343" s="2" t="s">
        <v>20621</v>
      </c>
      <c r="F343" s="2"/>
      <c r="G343" s="2"/>
      <c r="H343" s="2" t="s">
        <v>85</v>
      </c>
      <c r="I343" s="2" t="s">
        <v>86</v>
      </c>
      <c r="J343" s="2" t="s">
        <v>629</v>
      </c>
      <c r="K343" s="2" t="s">
        <v>20620</v>
      </c>
      <c r="L343" s="2"/>
      <c r="M343" s="2"/>
      <c r="N343" s="2"/>
      <c r="O343" s="2" t="s">
        <v>85</v>
      </c>
      <c r="P343" s="2" t="s">
        <v>86</v>
      </c>
      <c r="Q343" s="2" t="s">
        <v>629</v>
      </c>
      <c r="R343" s="2" t="s">
        <v>20622</v>
      </c>
      <c r="S343" s="2" t="s">
        <v>44</v>
      </c>
      <c r="T343" s="2"/>
      <c r="U343" s="2" t="s">
        <v>821</v>
      </c>
      <c r="V343" s="2" t="s">
        <v>46</v>
      </c>
      <c r="W343" s="2" t="s">
        <v>821</v>
      </c>
      <c r="X343" s="2" t="s">
        <v>12462</v>
      </c>
      <c r="Y343" s="2" t="s">
        <v>10801</v>
      </c>
      <c r="Z343" s="2" t="s">
        <v>7864</v>
      </c>
      <c r="AA343" s="2">
        <v>90</v>
      </c>
      <c r="AB343" s="2">
        <v>7</v>
      </c>
      <c r="AC343" s="2" t="s">
        <v>10789</v>
      </c>
      <c r="AD343" s="2" t="s">
        <v>20623</v>
      </c>
      <c r="AE343" s="2" t="s">
        <v>18260</v>
      </c>
      <c r="AF343" s="2"/>
      <c r="AG343" s="2" t="s">
        <v>18250</v>
      </c>
    </row>
    <row r="344" spans="1:33" x14ac:dyDescent="0.45">
      <c r="A344" s="2" t="s">
        <v>20624</v>
      </c>
      <c r="B344" s="2" t="s">
        <v>20625</v>
      </c>
      <c r="C344" s="2" t="s">
        <v>20626</v>
      </c>
      <c r="D344" s="2" t="s">
        <v>20627</v>
      </c>
      <c r="E344" s="2" t="s">
        <v>20628</v>
      </c>
      <c r="F344" s="2" t="s">
        <v>20629</v>
      </c>
      <c r="G344" s="2"/>
      <c r="H344" s="2" t="s">
        <v>59</v>
      </c>
      <c r="I344" s="2" t="s">
        <v>60</v>
      </c>
      <c r="J344" s="2" t="s">
        <v>4338</v>
      </c>
      <c r="K344" s="2" t="s">
        <v>20627</v>
      </c>
      <c r="L344" s="2"/>
      <c r="M344" s="2"/>
      <c r="N344" s="2"/>
      <c r="O344" s="2" t="s">
        <v>59</v>
      </c>
      <c r="P344" s="2" t="s">
        <v>60</v>
      </c>
      <c r="Q344" s="2" t="s">
        <v>4338</v>
      </c>
      <c r="R344" s="2" t="s">
        <v>7404</v>
      </c>
      <c r="S344" s="2" t="s">
        <v>44</v>
      </c>
      <c r="T344" s="2"/>
      <c r="U344" s="2" t="s">
        <v>3527</v>
      </c>
      <c r="V344" s="2" t="s">
        <v>46</v>
      </c>
      <c r="W344" s="2" t="s">
        <v>3527</v>
      </c>
      <c r="X344" s="2" t="s">
        <v>10787</v>
      </c>
      <c r="Y344" s="2" t="s">
        <v>10801</v>
      </c>
      <c r="Z344" s="2" t="s">
        <v>7864</v>
      </c>
      <c r="AA344" s="2">
        <v>100</v>
      </c>
      <c r="AB344" s="2">
        <v>10</v>
      </c>
      <c r="AC344" s="2" t="s">
        <v>10789</v>
      </c>
      <c r="AD344" s="2" t="s">
        <v>20630</v>
      </c>
      <c r="AE344" s="2" t="s">
        <v>18260</v>
      </c>
      <c r="AF344" s="2"/>
      <c r="AG344" s="2" t="s">
        <v>18250</v>
      </c>
    </row>
    <row r="345" spans="1:33" x14ac:dyDescent="0.45">
      <c r="A345" s="2" t="s">
        <v>20631</v>
      </c>
      <c r="B345" s="2" t="s">
        <v>20632</v>
      </c>
      <c r="C345" s="2" t="s">
        <v>20633</v>
      </c>
      <c r="D345" s="2" t="s">
        <v>20634</v>
      </c>
      <c r="E345" s="2" t="s">
        <v>20635</v>
      </c>
      <c r="F345" s="2" t="s">
        <v>20636</v>
      </c>
      <c r="G345" s="2"/>
      <c r="H345" s="2" t="s">
        <v>6029</v>
      </c>
      <c r="I345" s="2" t="s">
        <v>278</v>
      </c>
      <c r="J345" s="2" t="s">
        <v>20637</v>
      </c>
      <c r="K345" s="2" t="s">
        <v>20634</v>
      </c>
      <c r="L345" s="2"/>
      <c r="M345" s="2"/>
      <c r="N345" s="2"/>
      <c r="O345" s="2" t="s">
        <v>6029</v>
      </c>
      <c r="P345" s="2" t="s">
        <v>278</v>
      </c>
      <c r="Q345" s="2" t="s">
        <v>20637</v>
      </c>
      <c r="R345" s="2" t="s">
        <v>7404</v>
      </c>
      <c r="S345" s="2" t="s">
        <v>44</v>
      </c>
      <c r="T345" s="2"/>
      <c r="U345" s="2" t="s">
        <v>3527</v>
      </c>
      <c r="V345" s="2" t="s">
        <v>46</v>
      </c>
      <c r="W345" s="2" t="s">
        <v>3527</v>
      </c>
      <c r="X345" s="2" t="s">
        <v>10787</v>
      </c>
      <c r="Y345" s="2" t="s">
        <v>10801</v>
      </c>
      <c r="Z345" s="2" t="s">
        <v>7864</v>
      </c>
      <c r="AA345" s="2">
        <v>100</v>
      </c>
      <c r="AB345" s="2">
        <v>5</v>
      </c>
      <c r="AC345" s="2" t="s">
        <v>10789</v>
      </c>
      <c r="AD345" s="2" t="s">
        <v>20638</v>
      </c>
      <c r="AE345" s="2" t="s">
        <v>18260</v>
      </c>
      <c r="AF345" s="2"/>
      <c r="AG345" s="2" t="s">
        <v>18250</v>
      </c>
    </row>
    <row r="346" spans="1:33" x14ac:dyDescent="0.45">
      <c r="A346" s="2" t="s">
        <v>20639</v>
      </c>
      <c r="B346" s="2" t="s">
        <v>20640</v>
      </c>
      <c r="C346" s="2" t="s">
        <v>20641</v>
      </c>
      <c r="D346" s="2" t="s">
        <v>20642</v>
      </c>
      <c r="E346" s="2" t="s">
        <v>20643</v>
      </c>
      <c r="F346" s="2" t="s">
        <v>20644</v>
      </c>
      <c r="G346" s="2" t="s">
        <v>20644</v>
      </c>
      <c r="H346" s="2" t="s">
        <v>72</v>
      </c>
      <c r="I346" s="2" t="s">
        <v>73</v>
      </c>
      <c r="J346" s="2" t="s">
        <v>7023</v>
      </c>
      <c r="K346" s="2" t="s">
        <v>20645</v>
      </c>
      <c r="L346" s="2"/>
      <c r="M346" s="2"/>
      <c r="N346" s="2"/>
      <c r="O346" s="2" t="s">
        <v>72</v>
      </c>
      <c r="P346" s="2" t="s">
        <v>73</v>
      </c>
      <c r="Q346" s="2" t="s">
        <v>7023</v>
      </c>
      <c r="R346" s="2" t="s">
        <v>20646</v>
      </c>
      <c r="S346" s="2" t="s">
        <v>44</v>
      </c>
      <c r="T346" s="2"/>
      <c r="U346" s="2" t="s">
        <v>821</v>
      </c>
      <c r="V346" s="2" t="s">
        <v>46</v>
      </c>
      <c r="W346" s="2" t="s">
        <v>821</v>
      </c>
      <c r="X346" s="2" t="s">
        <v>10787</v>
      </c>
      <c r="Y346" s="2" t="s">
        <v>10801</v>
      </c>
      <c r="Z346" s="2" t="s">
        <v>7864</v>
      </c>
      <c r="AA346" s="2">
        <v>100</v>
      </c>
      <c r="AB346" s="2">
        <v>17</v>
      </c>
      <c r="AC346" s="2" t="s">
        <v>10789</v>
      </c>
      <c r="AD346" s="2" t="s">
        <v>20647</v>
      </c>
      <c r="AE346" s="2" t="s">
        <v>18260</v>
      </c>
      <c r="AF346" s="2"/>
      <c r="AG346" s="2" t="s">
        <v>18250</v>
      </c>
    </row>
    <row r="347" spans="1:33" x14ac:dyDescent="0.45">
      <c r="A347" s="2" t="s">
        <v>20648</v>
      </c>
      <c r="B347" s="2" t="s">
        <v>20649</v>
      </c>
      <c r="C347" s="2" t="s">
        <v>20650</v>
      </c>
      <c r="D347" s="2" t="s">
        <v>20651</v>
      </c>
      <c r="E347" s="2" t="s">
        <v>20652</v>
      </c>
      <c r="F347" s="2" t="s">
        <v>20653</v>
      </c>
      <c r="G347" s="2" t="s">
        <v>20653</v>
      </c>
      <c r="H347" s="2" t="s">
        <v>9712</v>
      </c>
      <c r="I347" s="2" t="s">
        <v>9712</v>
      </c>
      <c r="J347" s="2" t="s">
        <v>20654</v>
      </c>
      <c r="K347" s="2" t="s">
        <v>20651</v>
      </c>
      <c r="L347" s="2"/>
      <c r="M347" s="2"/>
      <c r="N347" s="2"/>
      <c r="O347" s="2" t="s">
        <v>9712</v>
      </c>
      <c r="P347" s="2" t="s">
        <v>9712</v>
      </c>
      <c r="Q347" s="2" t="s">
        <v>20654</v>
      </c>
      <c r="R347" s="2" t="s">
        <v>13081</v>
      </c>
      <c r="S347" s="2" t="s">
        <v>44</v>
      </c>
      <c r="T347" s="2"/>
      <c r="U347" s="2" t="s">
        <v>821</v>
      </c>
      <c r="V347" s="2" t="s">
        <v>46</v>
      </c>
      <c r="W347" s="2" t="s">
        <v>821</v>
      </c>
      <c r="X347" s="2" t="s">
        <v>10787</v>
      </c>
      <c r="Y347" s="2" t="s">
        <v>10801</v>
      </c>
      <c r="Z347" s="2" t="s">
        <v>7864</v>
      </c>
      <c r="AA347" s="2">
        <v>100</v>
      </c>
      <c r="AB347" s="2">
        <v>12</v>
      </c>
      <c r="AC347" s="2" t="s">
        <v>10789</v>
      </c>
      <c r="AD347" s="2" t="s">
        <v>20655</v>
      </c>
      <c r="AE347" s="2" t="s">
        <v>18260</v>
      </c>
      <c r="AF347" s="2"/>
      <c r="AG347" s="2" t="s">
        <v>18250</v>
      </c>
    </row>
    <row r="348" spans="1:33" x14ac:dyDescent="0.45">
      <c r="A348" s="2" t="s">
        <v>20656</v>
      </c>
      <c r="B348" s="2" t="s">
        <v>20657</v>
      </c>
      <c r="C348" s="2" t="s">
        <v>20656</v>
      </c>
      <c r="D348" s="2" t="s">
        <v>20658</v>
      </c>
      <c r="E348" s="2" t="s">
        <v>20659</v>
      </c>
      <c r="F348" s="2" t="s">
        <v>20660</v>
      </c>
      <c r="G348" s="2"/>
      <c r="H348" s="2" t="s">
        <v>290</v>
      </c>
      <c r="I348" s="2" t="s">
        <v>278</v>
      </c>
      <c r="J348" s="2" t="s">
        <v>13477</v>
      </c>
      <c r="K348" s="2" t="s">
        <v>20658</v>
      </c>
      <c r="L348" s="2"/>
      <c r="M348" s="2"/>
      <c r="N348" s="2"/>
      <c r="O348" s="2" t="s">
        <v>290</v>
      </c>
      <c r="P348" s="2" t="s">
        <v>278</v>
      </c>
      <c r="Q348" s="2" t="s">
        <v>13477</v>
      </c>
      <c r="R348" s="2" t="s">
        <v>924</v>
      </c>
      <c r="S348" s="2" t="s">
        <v>44</v>
      </c>
      <c r="T348" s="2"/>
      <c r="U348" s="2" t="s">
        <v>3527</v>
      </c>
      <c r="V348" s="2" t="s">
        <v>46</v>
      </c>
      <c r="W348" s="2" t="s">
        <v>3527</v>
      </c>
      <c r="X348" s="2" t="s">
        <v>10787</v>
      </c>
      <c r="Y348" s="2" t="s">
        <v>10801</v>
      </c>
      <c r="Z348" s="2" t="s">
        <v>7864</v>
      </c>
      <c r="AA348" s="2">
        <v>100</v>
      </c>
      <c r="AB348" s="2">
        <v>10</v>
      </c>
      <c r="AC348" s="2" t="s">
        <v>10789</v>
      </c>
      <c r="AD348" s="2" t="s">
        <v>20661</v>
      </c>
      <c r="AE348" s="2" t="s">
        <v>18260</v>
      </c>
      <c r="AF348" s="2"/>
      <c r="AG348" s="2" t="s">
        <v>18250</v>
      </c>
    </row>
    <row r="349" spans="1:33" x14ac:dyDescent="0.45">
      <c r="A349" s="2" t="s">
        <v>20662</v>
      </c>
      <c r="B349" s="2" t="s">
        <v>20663</v>
      </c>
      <c r="C349" s="2" t="s">
        <v>20664</v>
      </c>
      <c r="D349" s="2" t="s">
        <v>20665</v>
      </c>
      <c r="E349" s="2" t="s">
        <v>20666</v>
      </c>
      <c r="F349" s="2"/>
      <c r="G349" s="2"/>
      <c r="H349" s="2" t="s">
        <v>10502</v>
      </c>
      <c r="I349" s="2" t="s">
        <v>1112</v>
      </c>
      <c r="J349" s="2" t="s">
        <v>20667</v>
      </c>
      <c r="K349" s="2" t="s">
        <v>20665</v>
      </c>
      <c r="L349" s="2"/>
      <c r="M349" s="2"/>
      <c r="N349" s="2"/>
      <c r="O349" s="2" t="s">
        <v>10502</v>
      </c>
      <c r="P349" s="2" t="s">
        <v>1112</v>
      </c>
      <c r="Q349" s="2" t="s">
        <v>20667</v>
      </c>
      <c r="R349" s="2" t="s">
        <v>20668</v>
      </c>
      <c r="S349" s="2" t="s">
        <v>44</v>
      </c>
      <c r="T349" s="2"/>
      <c r="U349" s="2" t="s">
        <v>3527</v>
      </c>
      <c r="V349" s="2" t="s">
        <v>46</v>
      </c>
      <c r="W349" s="2" t="s">
        <v>3527</v>
      </c>
      <c r="X349" s="2" t="s">
        <v>10787</v>
      </c>
      <c r="Y349" s="2" t="s">
        <v>10801</v>
      </c>
      <c r="Z349" s="2" t="s">
        <v>7864</v>
      </c>
      <c r="AA349" s="2">
        <v>90</v>
      </c>
      <c r="AB349" s="2">
        <v>0</v>
      </c>
      <c r="AC349" s="2" t="s">
        <v>10789</v>
      </c>
      <c r="AD349" s="2" t="s">
        <v>20669</v>
      </c>
      <c r="AE349" s="2" t="s">
        <v>18260</v>
      </c>
      <c r="AF349" s="2"/>
      <c r="AG349" s="2" t="s">
        <v>18250</v>
      </c>
    </row>
    <row r="350" spans="1:33" x14ac:dyDescent="0.45">
      <c r="A350" s="2" t="s">
        <v>20670</v>
      </c>
      <c r="B350" s="2" t="s">
        <v>20671</v>
      </c>
      <c r="C350" s="2" t="s">
        <v>20670</v>
      </c>
      <c r="D350" s="2" t="s">
        <v>20672</v>
      </c>
      <c r="E350" s="2" t="s">
        <v>20673</v>
      </c>
      <c r="F350" s="2"/>
      <c r="G350" s="2"/>
      <c r="H350" s="2" t="s">
        <v>9568</v>
      </c>
      <c r="I350" s="2" t="s">
        <v>73</v>
      </c>
      <c r="J350" s="2" t="s">
        <v>8190</v>
      </c>
      <c r="K350" s="2" t="s">
        <v>20674</v>
      </c>
      <c r="L350" s="2"/>
      <c r="M350" s="2"/>
      <c r="N350" s="2"/>
      <c r="O350" s="2" t="s">
        <v>9568</v>
      </c>
      <c r="P350" s="2" t="s">
        <v>73</v>
      </c>
      <c r="Q350" s="2" t="s">
        <v>8190</v>
      </c>
      <c r="R350" s="2" t="s">
        <v>1799</v>
      </c>
      <c r="S350" s="2" t="s">
        <v>44</v>
      </c>
      <c r="T350" s="2"/>
      <c r="U350" s="2" t="s">
        <v>821</v>
      </c>
      <c r="V350" s="2" t="s">
        <v>46</v>
      </c>
      <c r="W350" s="2" t="s">
        <v>821</v>
      </c>
      <c r="X350" s="2" t="s">
        <v>10787</v>
      </c>
      <c r="Y350" s="2" t="s">
        <v>10801</v>
      </c>
      <c r="Z350" s="2" t="s">
        <v>7864</v>
      </c>
      <c r="AA350" s="2">
        <v>90</v>
      </c>
      <c r="AB350" s="2">
        <v>2</v>
      </c>
      <c r="AC350" s="2" t="s">
        <v>10789</v>
      </c>
      <c r="AD350" s="2" t="s">
        <v>20675</v>
      </c>
      <c r="AE350" s="2" t="s">
        <v>18260</v>
      </c>
      <c r="AF350" s="2"/>
      <c r="AG350" s="2" t="s">
        <v>18250</v>
      </c>
    </row>
    <row r="351" spans="1:33" x14ac:dyDescent="0.45">
      <c r="A351" s="2" t="s">
        <v>20676</v>
      </c>
      <c r="B351" s="2" t="s">
        <v>20677</v>
      </c>
      <c r="C351" s="2" t="s">
        <v>20678</v>
      </c>
      <c r="D351" s="2" t="s">
        <v>20679</v>
      </c>
      <c r="E351" s="2" t="s">
        <v>20680</v>
      </c>
      <c r="F351" s="2"/>
      <c r="G351" s="2"/>
      <c r="H351" s="2" t="s">
        <v>72</v>
      </c>
      <c r="I351" s="2" t="s">
        <v>73</v>
      </c>
      <c r="J351" s="2" t="s">
        <v>20681</v>
      </c>
      <c r="K351" s="2" t="s">
        <v>20679</v>
      </c>
      <c r="L351" s="2"/>
      <c r="M351" s="2"/>
      <c r="N351" s="2"/>
      <c r="O351" s="2" t="s">
        <v>72</v>
      </c>
      <c r="P351" s="2" t="s">
        <v>73</v>
      </c>
      <c r="Q351" s="2" t="s">
        <v>20681</v>
      </c>
      <c r="R351" s="2" t="s">
        <v>1713</v>
      </c>
      <c r="S351" s="2" t="s">
        <v>44</v>
      </c>
      <c r="T351" s="2"/>
      <c r="U351" s="2" t="s">
        <v>3527</v>
      </c>
      <c r="V351" s="2" t="s">
        <v>46</v>
      </c>
      <c r="W351" s="2" t="s">
        <v>3527</v>
      </c>
      <c r="X351" s="2" t="s">
        <v>10787</v>
      </c>
      <c r="Y351" s="2" t="s">
        <v>10801</v>
      </c>
      <c r="Z351" s="2" t="s">
        <v>7864</v>
      </c>
      <c r="AA351" s="2">
        <v>90</v>
      </c>
      <c r="AB351" s="2">
        <v>0</v>
      </c>
      <c r="AC351" s="2" t="s">
        <v>10789</v>
      </c>
      <c r="AD351" s="2" t="s">
        <v>20682</v>
      </c>
      <c r="AE351" s="2" t="s">
        <v>18260</v>
      </c>
      <c r="AF351" s="2"/>
      <c r="AG351" s="2" t="s">
        <v>18250</v>
      </c>
    </row>
    <row r="352" spans="1:33" x14ac:dyDescent="0.45">
      <c r="A352" s="2" t="s">
        <v>20683</v>
      </c>
      <c r="B352" s="2" t="s">
        <v>20684</v>
      </c>
      <c r="C352" s="2" t="s">
        <v>20685</v>
      </c>
      <c r="D352" s="2" t="s">
        <v>20686</v>
      </c>
      <c r="E352" s="2" t="s">
        <v>20687</v>
      </c>
      <c r="F352" s="2" t="s">
        <v>20688</v>
      </c>
      <c r="G352" s="2" t="s">
        <v>20688</v>
      </c>
      <c r="H352" s="2" t="s">
        <v>11346</v>
      </c>
      <c r="I352" s="2" t="s">
        <v>11347</v>
      </c>
      <c r="J352" s="2" t="s">
        <v>20689</v>
      </c>
      <c r="K352" s="2"/>
      <c r="L352" s="2"/>
      <c r="M352" s="2"/>
      <c r="N352" s="2"/>
      <c r="O352" s="2"/>
      <c r="P352" s="2"/>
      <c r="Q352" s="2"/>
      <c r="R352" s="2" t="s">
        <v>8601</v>
      </c>
      <c r="S352" s="2" t="s">
        <v>44</v>
      </c>
      <c r="T352" s="2"/>
      <c r="U352" s="2" t="s">
        <v>3527</v>
      </c>
      <c r="V352" s="2" t="s">
        <v>46</v>
      </c>
      <c r="W352" s="2" t="s">
        <v>3527</v>
      </c>
      <c r="X352" s="2" t="s">
        <v>10787</v>
      </c>
      <c r="Y352" s="2" t="s">
        <v>10801</v>
      </c>
      <c r="Z352" s="2" t="s">
        <v>7864</v>
      </c>
      <c r="AA352" s="2">
        <v>100</v>
      </c>
      <c r="AB352" s="2">
        <v>5</v>
      </c>
      <c r="AC352" s="2" t="s">
        <v>10789</v>
      </c>
      <c r="AD352" s="2" t="s">
        <v>20690</v>
      </c>
      <c r="AE352" s="2" t="s">
        <v>18260</v>
      </c>
      <c r="AF352" s="2"/>
      <c r="AG352" s="2" t="s">
        <v>18250</v>
      </c>
    </row>
    <row r="353" spans="1:33" x14ac:dyDescent="0.45">
      <c r="A353" s="2" t="s">
        <v>20691</v>
      </c>
      <c r="B353" s="2" t="s">
        <v>20692</v>
      </c>
      <c r="C353" s="2" t="s">
        <v>20691</v>
      </c>
      <c r="D353" s="2" t="s">
        <v>20693</v>
      </c>
      <c r="E353" s="2" t="s">
        <v>20694</v>
      </c>
      <c r="F353" s="2" t="s">
        <v>20695</v>
      </c>
      <c r="G353" s="2"/>
      <c r="H353" s="2" t="s">
        <v>9829</v>
      </c>
      <c r="I353" s="2" t="s">
        <v>278</v>
      </c>
      <c r="J353" s="2" t="s">
        <v>1225</v>
      </c>
      <c r="K353" s="2" t="s">
        <v>20693</v>
      </c>
      <c r="L353" s="2"/>
      <c r="M353" s="2"/>
      <c r="N353" s="2"/>
      <c r="O353" s="2" t="s">
        <v>9829</v>
      </c>
      <c r="P353" s="2" t="s">
        <v>278</v>
      </c>
      <c r="Q353" s="2" t="s">
        <v>1225</v>
      </c>
      <c r="R353" s="2" t="s">
        <v>11746</v>
      </c>
      <c r="S353" s="2" t="s">
        <v>44</v>
      </c>
      <c r="T353" s="2"/>
      <c r="U353" s="2" t="s">
        <v>3527</v>
      </c>
      <c r="V353" s="2" t="s">
        <v>46</v>
      </c>
      <c r="W353" s="2" t="s">
        <v>3527</v>
      </c>
      <c r="X353" s="2" t="s">
        <v>10787</v>
      </c>
      <c r="Y353" s="2" t="s">
        <v>10801</v>
      </c>
      <c r="Z353" s="2" t="s">
        <v>7864</v>
      </c>
      <c r="AA353" s="2">
        <v>100</v>
      </c>
      <c r="AB353" s="2">
        <v>5</v>
      </c>
      <c r="AC353" s="2" t="s">
        <v>10789</v>
      </c>
      <c r="AD353" s="2" t="s">
        <v>20696</v>
      </c>
      <c r="AE353" s="2" t="s">
        <v>18260</v>
      </c>
      <c r="AF353" s="2"/>
      <c r="AG353" s="2" t="s">
        <v>18250</v>
      </c>
    </row>
    <row r="354" spans="1:33" x14ac:dyDescent="0.45">
      <c r="A354" s="2" t="s">
        <v>20697</v>
      </c>
      <c r="B354" s="2" t="s">
        <v>20698</v>
      </c>
      <c r="C354" s="2" t="s">
        <v>20697</v>
      </c>
      <c r="D354" s="2" t="s">
        <v>20699</v>
      </c>
      <c r="E354" s="2" t="s">
        <v>20700</v>
      </c>
      <c r="F354" s="2" t="s">
        <v>20701</v>
      </c>
      <c r="G354" s="2" t="s">
        <v>20701</v>
      </c>
      <c r="H354" s="2" t="s">
        <v>72</v>
      </c>
      <c r="I354" s="2" t="s">
        <v>73</v>
      </c>
      <c r="J354" s="2" t="s">
        <v>913</v>
      </c>
      <c r="K354" s="2" t="s">
        <v>20702</v>
      </c>
      <c r="L354" s="2"/>
      <c r="M354" s="2"/>
      <c r="N354" s="2"/>
      <c r="O354" s="2" t="s">
        <v>72</v>
      </c>
      <c r="P354" s="2" t="s">
        <v>73</v>
      </c>
      <c r="Q354" s="2" t="s">
        <v>913</v>
      </c>
      <c r="R354" s="2" t="s">
        <v>1441</v>
      </c>
      <c r="S354" s="2" t="s">
        <v>44</v>
      </c>
      <c r="T354" s="2"/>
      <c r="U354" s="2" t="s">
        <v>821</v>
      </c>
      <c r="V354" s="2" t="s">
        <v>46</v>
      </c>
      <c r="W354" s="2" t="s">
        <v>821</v>
      </c>
      <c r="X354" s="2" t="s">
        <v>11537</v>
      </c>
      <c r="Y354" s="2" t="s">
        <v>10801</v>
      </c>
      <c r="Z354" s="2" t="s">
        <v>7864</v>
      </c>
      <c r="AA354" s="2">
        <v>100</v>
      </c>
      <c r="AB354" s="2">
        <v>17</v>
      </c>
      <c r="AC354" s="2" t="s">
        <v>10789</v>
      </c>
      <c r="AD354" s="2" t="s">
        <v>20703</v>
      </c>
      <c r="AE354" s="2" t="s">
        <v>18260</v>
      </c>
      <c r="AF354" s="2"/>
      <c r="AG354" s="2" t="s">
        <v>18250</v>
      </c>
    </row>
    <row r="355" spans="1:33" x14ac:dyDescent="0.45">
      <c r="A355" s="2" t="s">
        <v>20704</v>
      </c>
      <c r="B355" s="2" t="s">
        <v>20705</v>
      </c>
      <c r="C355" s="2" t="s">
        <v>20706</v>
      </c>
      <c r="D355" s="2" t="s">
        <v>20707</v>
      </c>
      <c r="E355" s="2" t="s">
        <v>20708</v>
      </c>
      <c r="F355" s="2" t="s">
        <v>20709</v>
      </c>
      <c r="G355" s="2"/>
      <c r="H355" s="2" t="s">
        <v>5842</v>
      </c>
      <c r="I355" s="2" t="s">
        <v>221</v>
      </c>
      <c r="J355" s="2" t="s">
        <v>20710</v>
      </c>
      <c r="K355" s="2" t="s">
        <v>20711</v>
      </c>
      <c r="L355" s="2"/>
      <c r="M355" s="2"/>
      <c r="N355" s="2"/>
      <c r="O355" s="2" t="s">
        <v>5842</v>
      </c>
      <c r="P355" s="2" t="s">
        <v>221</v>
      </c>
      <c r="Q355" s="2" t="s">
        <v>20710</v>
      </c>
      <c r="R355" s="2" t="s">
        <v>7483</v>
      </c>
      <c r="S355" s="2" t="s">
        <v>44</v>
      </c>
      <c r="T355" s="2"/>
      <c r="U355" s="2" t="s">
        <v>3527</v>
      </c>
      <c r="V355" s="2" t="s">
        <v>46</v>
      </c>
      <c r="W355" s="2" t="s">
        <v>3527</v>
      </c>
      <c r="X355" s="2" t="s">
        <v>10787</v>
      </c>
      <c r="Y355" s="2" t="s">
        <v>10801</v>
      </c>
      <c r="Z355" s="2" t="s">
        <v>7864</v>
      </c>
      <c r="AA355" s="2">
        <v>100</v>
      </c>
      <c r="AB355" s="2">
        <v>5</v>
      </c>
      <c r="AC355" s="2" t="s">
        <v>10789</v>
      </c>
      <c r="AD355" s="2" t="s">
        <v>20712</v>
      </c>
      <c r="AE355" s="2" t="s">
        <v>18260</v>
      </c>
      <c r="AF355" s="2"/>
      <c r="AG355" s="2" t="s">
        <v>18250</v>
      </c>
    </row>
    <row r="356" spans="1:33" x14ac:dyDescent="0.45">
      <c r="A356" s="2" t="s">
        <v>20713</v>
      </c>
      <c r="B356" s="2" t="s">
        <v>20714</v>
      </c>
      <c r="C356" s="2" t="s">
        <v>20713</v>
      </c>
      <c r="D356" s="2" t="s">
        <v>20715</v>
      </c>
      <c r="E356" s="2" t="s">
        <v>20716</v>
      </c>
      <c r="F356" s="2" t="s">
        <v>20717</v>
      </c>
      <c r="G356" s="2" t="s">
        <v>20717</v>
      </c>
      <c r="H356" s="2" t="s">
        <v>72</v>
      </c>
      <c r="I356" s="2" t="s">
        <v>73</v>
      </c>
      <c r="J356" s="2" t="s">
        <v>1557</v>
      </c>
      <c r="K356" s="2" t="s">
        <v>20718</v>
      </c>
      <c r="L356" s="2"/>
      <c r="M356" s="2"/>
      <c r="N356" s="2"/>
      <c r="O356" s="2" t="s">
        <v>72</v>
      </c>
      <c r="P356" s="2" t="s">
        <v>73</v>
      </c>
      <c r="Q356" s="2" t="s">
        <v>1557</v>
      </c>
      <c r="R356" s="2" t="s">
        <v>20719</v>
      </c>
      <c r="S356" s="2" t="s">
        <v>44</v>
      </c>
      <c r="T356" s="2"/>
      <c r="U356" s="2" t="s">
        <v>3527</v>
      </c>
      <c r="V356" s="2" t="s">
        <v>46</v>
      </c>
      <c r="W356" s="2" t="s">
        <v>3527</v>
      </c>
      <c r="X356" s="2" t="s">
        <v>10787</v>
      </c>
      <c r="Y356" s="2" t="s">
        <v>10801</v>
      </c>
      <c r="Z356" s="2" t="s">
        <v>7864</v>
      </c>
      <c r="AA356" s="2">
        <v>100</v>
      </c>
      <c r="AB356" s="2">
        <v>10</v>
      </c>
      <c r="AC356" s="2" t="s">
        <v>10789</v>
      </c>
      <c r="AD356" s="2" t="s">
        <v>20720</v>
      </c>
      <c r="AE356" s="2" t="s">
        <v>18260</v>
      </c>
      <c r="AF356" s="2"/>
      <c r="AG356" s="2" t="s">
        <v>18250</v>
      </c>
    </row>
    <row r="357" spans="1:33" x14ac:dyDescent="0.45">
      <c r="A357" s="2" t="s">
        <v>20721</v>
      </c>
      <c r="B357" s="2" t="s">
        <v>20722</v>
      </c>
      <c r="C357" s="2" t="s">
        <v>20723</v>
      </c>
      <c r="D357" s="2" t="s">
        <v>20724</v>
      </c>
      <c r="E357" s="2" t="s">
        <v>12854</v>
      </c>
      <c r="F357" s="2" t="s">
        <v>20725</v>
      </c>
      <c r="G357" s="2"/>
      <c r="H357" s="2" t="s">
        <v>11247</v>
      </c>
      <c r="I357" s="2" t="s">
        <v>1137</v>
      </c>
      <c r="J357" s="2" t="s">
        <v>11248</v>
      </c>
      <c r="K357" s="2" t="s">
        <v>20724</v>
      </c>
      <c r="L357" s="2"/>
      <c r="M357" s="2"/>
      <c r="N357" s="2"/>
      <c r="O357" s="2" t="s">
        <v>11247</v>
      </c>
      <c r="P357" s="2" t="s">
        <v>1137</v>
      </c>
      <c r="Q357" s="2" t="s">
        <v>11248</v>
      </c>
      <c r="R357" s="2" t="s">
        <v>7199</v>
      </c>
      <c r="S357" s="2" t="s">
        <v>44</v>
      </c>
      <c r="T357" s="2"/>
      <c r="U357" s="2" t="s">
        <v>821</v>
      </c>
      <c r="V357" s="2" t="s">
        <v>46</v>
      </c>
      <c r="W357" s="2" t="s">
        <v>821</v>
      </c>
      <c r="X357" s="2" t="s">
        <v>10787</v>
      </c>
      <c r="Y357" s="2" t="s">
        <v>10801</v>
      </c>
      <c r="Z357" s="2" t="s">
        <v>7864</v>
      </c>
      <c r="AA357" s="2">
        <v>100</v>
      </c>
      <c r="AB357" s="2">
        <v>12</v>
      </c>
      <c r="AC357" s="2" t="s">
        <v>10789</v>
      </c>
      <c r="AD357" s="2" t="s">
        <v>20726</v>
      </c>
      <c r="AE357" s="2" t="s">
        <v>18260</v>
      </c>
      <c r="AF357" s="2"/>
      <c r="AG357" s="2" t="s">
        <v>18250</v>
      </c>
    </row>
    <row r="358" spans="1:33" x14ac:dyDescent="0.45">
      <c r="A358" s="2" t="s">
        <v>20727</v>
      </c>
      <c r="B358" s="2" t="s">
        <v>20728</v>
      </c>
      <c r="C358" s="2" t="s">
        <v>20729</v>
      </c>
      <c r="D358" s="2" t="s">
        <v>20730</v>
      </c>
      <c r="E358" s="2" t="s">
        <v>20731</v>
      </c>
      <c r="F358" s="2" t="s">
        <v>20732</v>
      </c>
      <c r="G358" s="2" t="s">
        <v>20732</v>
      </c>
      <c r="H358" s="2" t="s">
        <v>174</v>
      </c>
      <c r="I358" s="2" t="s">
        <v>175</v>
      </c>
      <c r="J358" s="2" t="s">
        <v>6703</v>
      </c>
      <c r="K358" s="2" t="s">
        <v>20730</v>
      </c>
      <c r="L358" s="2"/>
      <c r="M358" s="2"/>
      <c r="N358" s="2"/>
      <c r="O358" s="2" t="s">
        <v>174</v>
      </c>
      <c r="P358" s="2" t="s">
        <v>175</v>
      </c>
      <c r="Q358" s="2" t="s">
        <v>6703</v>
      </c>
      <c r="R358" s="2" t="s">
        <v>3341</v>
      </c>
      <c r="S358" s="2" t="s">
        <v>44</v>
      </c>
      <c r="T358" s="2"/>
      <c r="U358" s="2" t="s">
        <v>3527</v>
      </c>
      <c r="V358" s="2" t="s">
        <v>46</v>
      </c>
      <c r="W358" s="2" t="s">
        <v>3527</v>
      </c>
      <c r="X358" s="2" t="s">
        <v>10787</v>
      </c>
      <c r="Y358" s="2" t="s">
        <v>10801</v>
      </c>
      <c r="Z358" s="2" t="s">
        <v>7864</v>
      </c>
      <c r="AA358" s="2">
        <v>100</v>
      </c>
      <c r="AB358" s="2">
        <v>10</v>
      </c>
      <c r="AC358" s="2" t="s">
        <v>10789</v>
      </c>
      <c r="AD358" s="2" t="s">
        <v>20733</v>
      </c>
      <c r="AE358" s="2" t="s">
        <v>18260</v>
      </c>
      <c r="AF358" s="2"/>
      <c r="AG358" s="2" t="s">
        <v>18250</v>
      </c>
    </row>
    <row r="359" spans="1:33" x14ac:dyDescent="0.45">
      <c r="A359" s="2" t="s">
        <v>20734</v>
      </c>
      <c r="B359" s="2" t="s">
        <v>20735</v>
      </c>
      <c r="C359" s="2" t="s">
        <v>20736</v>
      </c>
      <c r="D359" s="2" t="s">
        <v>20737</v>
      </c>
      <c r="E359" s="2" t="s">
        <v>20738</v>
      </c>
      <c r="F359" s="2"/>
      <c r="G359" s="2"/>
      <c r="H359" s="2" t="s">
        <v>6029</v>
      </c>
      <c r="I359" s="2" t="s">
        <v>278</v>
      </c>
      <c r="J359" s="2" t="s">
        <v>11222</v>
      </c>
      <c r="K359" s="2" t="s">
        <v>20737</v>
      </c>
      <c r="L359" s="2"/>
      <c r="M359" s="2"/>
      <c r="N359" s="2"/>
      <c r="O359" s="2" t="s">
        <v>6029</v>
      </c>
      <c r="P359" s="2" t="s">
        <v>278</v>
      </c>
      <c r="Q359" s="2" t="s">
        <v>11222</v>
      </c>
      <c r="R359" s="2" t="s">
        <v>9240</v>
      </c>
      <c r="S359" s="2" t="s">
        <v>44</v>
      </c>
      <c r="T359" s="2"/>
      <c r="U359" s="2" t="s">
        <v>3527</v>
      </c>
      <c r="V359" s="2" t="s">
        <v>46</v>
      </c>
      <c r="W359" s="2" t="s">
        <v>3527</v>
      </c>
      <c r="X359" s="2" t="s">
        <v>11537</v>
      </c>
      <c r="Y359" s="2" t="s">
        <v>10801</v>
      </c>
      <c r="Z359" s="2" t="s">
        <v>7864</v>
      </c>
      <c r="AA359" s="2">
        <v>90</v>
      </c>
      <c r="AB359" s="2">
        <v>0</v>
      </c>
      <c r="AC359" s="2" t="s">
        <v>10789</v>
      </c>
      <c r="AD359" s="2" t="s">
        <v>20739</v>
      </c>
      <c r="AE359" s="2" t="s">
        <v>18260</v>
      </c>
      <c r="AF359" s="2"/>
      <c r="AG359" s="2" t="s">
        <v>18250</v>
      </c>
    </row>
    <row r="360" spans="1:33" x14ac:dyDescent="0.45">
      <c r="A360" s="2" t="s">
        <v>20740</v>
      </c>
      <c r="B360" s="2" t="s">
        <v>20741</v>
      </c>
      <c r="C360" s="2" t="s">
        <v>20740</v>
      </c>
      <c r="D360" s="2" t="s">
        <v>20742</v>
      </c>
      <c r="E360" s="2" t="s">
        <v>20743</v>
      </c>
      <c r="F360" s="2" t="s">
        <v>20744</v>
      </c>
      <c r="G360" s="2"/>
      <c r="H360" s="2" t="s">
        <v>10376</v>
      </c>
      <c r="I360" s="2" t="s">
        <v>1137</v>
      </c>
      <c r="J360" s="2" t="s">
        <v>10427</v>
      </c>
      <c r="K360" s="2" t="s">
        <v>20742</v>
      </c>
      <c r="L360" s="2"/>
      <c r="M360" s="2"/>
      <c r="N360" s="2"/>
      <c r="O360" s="2" t="s">
        <v>10376</v>
      </c>
      <c r="P360" s="2" t="s">
        <v>1137</v>
      </c>
      <c r="Q360" s="2" t="s">
        <v>10427</v>
      </c>
      <c r="R360" s="2" t="s">
        <v>5913</v>
      </c>
      <c r="S360" s="2" t="s">
        <v>44</v>
      </c>
      <c r="T360" s="2"/>
      <c r="U360" s="2" t="s">
        <v>3527</v>
      </c>
      <c r="V360" s="2" t="s">
        <v>46</v>
      </c>
      <c r="W360" s="2" t="s">
        <v>3527</v>
      </c>
      <c r="X360" s="2" t="s">
        <v>10787</v>
      </c>
      <c r="Y360" s="2" t="s">
        <v>10801</v>
      </c>
      <c r="Z360" s="2" t="s">
        <v>7864</v>
      </c>
      <c r="AA360" s="2">
        <v>100</v>
      </c>
      <c r="AB360" s="2">
        <v>5</v>
      </c>
      <c r="AC360" s="2" t="s">
        <v>10789</v>
      </c>
      <c r="AD360" s="2" t="s">
        <v>20745</v>
      </c>
      <c r="AE360" s="2" t="s">
        <v>18260</v>
      </c>
      <c r="AF360" s="2"/>
      <c r="AG360" s="2" t="s">
        <v>18250</v>
      </c>
    </row>
    <row r="361" spans="1:33" x14ac:dyDescent="0.45">
      <c r="A361" s="2" t="s">
        <v>20746</v>
      </c>
      <c r="B361" s="2" t="s">
        <v>20747</v>
      </c>
      <c r="C361" s="2" t="s">
        <v>20746</v>
      </c>
      <c r="D361" s="2" t="s">
        <v>20748</v>
      </c>
      <c r="E361" s="2" t="s">
        <v>20749</v>
      </c>
      <c r="F361" s="2"/>
      <c r="G361" s="2"/>
      <c r="H361" s="2" t="s">
        <v>290</v>
      </c>
      <c r="I361" s="2" t="s">
        <v>278</v>
      </c>
      <c r="J361" s="2" t="s">
        <v>291</v>
      </c>
      <c r="K361" s="2"/>
      <c r="L361" s="2"/>
      <c r="M361" s="2"/>
      <c r="N361" s="2"/>
      <c r="O361" s="2"/>
      <c r="P361" s="2"/>
      <c r="Q361" s="2"/>
      <c r="R361" s="2" t="s">
        <v>9955</v>
      </c>
      <c r="S361" s="2" t="s">
        <v>44</v>
      </c>
      <c r="T361" s="2"/>
      <c r="U361" s="2" t="s">
        <v>3527</v>
      </c>
      <c r="V361" s="2" t="s">
        <v>46</v>
      </c>
      <c r="W361" s="2" t="s">
        <v>3527</v>
      </c>
      <c r="X361" s="2" t="s">
        <v>10787</v>
      </c>
      <c r="Y361" s="2" t="s">
        <v>10801</v>
      </c>
      <c r="Z361" s="2" t="s">
        <v>7864</v>
      </c>
      <c r="AA361" s="2">
        <v>90</v>
      </c>
      <c r="AB361" s="2">
        <v>0</v>
      </c>
      <c r="AC361" s="2" t="s">
        <v>10789</v>
      </c>
      <c r="AD361" s="2" t="s">
        <v>20750</v>
      </c>
      <c r="AE361" s="2" t="s">
        <v>18260</v>
      </c>
      <c r="AF361" s="2"/>
      <c r="AG361" s="2" t="s">
        <v>18250</v>
      </c>
    </row>
    <row r="362" spans="1:33" x14ac:dyDescent="0.45">
      <c r="A362" s="2" t="s">
        <v>20751</v>
      </c>
      <c r="B362" s="2" t="s">
        <v>20752</v>
      </c>
      <c r="C362" s="2" t="s">
        <v>20751</v>
      </c>
      <c r="D362" s="2" t="s">
        <v>20753</v>
      </c>
      <c r="E362" s="2" t="s">
        <v>20754</v>
      </c>
      <c r="F362" s="2"/>
      <c r="G362" s="2"/>
      <c r="H362" s="2" t="s">
        <v>1136</v>
      </c>
      <c r="I362" s="2" t="s">
        <v>1137</v>
      </c>
      <c r="J362" s="2" t="s">
        <v>20755</v>
      </c>
      <c r="K362" s="2" t="s">
        <v>20753</v>
      </c>
      <c r="L362" s="2"/>
      <c r="M362" s="2"/>
      <c r="N362" s="2"/>
      <c r="O362" s="2" t="s">
        <v>1136</v>
      </c>
      <c r="P362" s="2" t="s">
        <v>1137</v>
      </c>
      <c r="Q362" s="2" t="s">
        <v>20755</v>
      </c>
      <c r="R362" s="2" t="s">
        <v>4984</v>
      </c>
      <c r="S362" s="2" t="s">
        <v>44</v>
      </c>
      <c r="T362" s="2"/>
      <c r="U362" s="2" t="s">
        <v>3527</v>
      </c>
      <c r="V362" s="2" t="s">
        <v>46</v>
      </c>
      <c r="W362" s="2" t="s">
        <v>3527</v>
      </c>
      <c r="X362" s="2" t="s">
        <v>10787</v>
      </c>
      <c r="Y362" s="2" t="s">
        <v>10801</v>
      </c>
      <c r="Z362" s="2" t="s">
        <v>7864</v>
      </c>
      <c r="AA362" s="2">
        <v>90</v>
      </c>
      <c r="AB362" s="2">
        <v>0</v>
      </c>
      <c r="AC362" s="2" t="s">
        <v>10789</v>
      </c>
      <c r="AD362" s="2" t="s">
        <v>20756</v>
      </c>
      <c r="AE362" s="2" t="s">
        <v>18260</v>
      </c>
      <c r="AF362" s="2"/>
      <c r="AG362" s="2" t="s">
        <v>18250</v>
      </c>
    </row>
    <row r="363" spans="1:33" x14ac:dyDescent="0.45">
      <c r="A363" s="2" t="s">
        <v>20757</v>
      </c>
      <c r="B363" s="2" t="s">
        <v>20758</v>
      </c>
      <c r="C363" s="2" t="s">
        <v>20757</v>
      </c>
      <c r="D363" s="2" t="s">
        <v>20759</v>
      </c>
      <c r="E363" s="2" t="s">
        <v>20760</v>
      </c>
      <c r="F363" s="2"/>
      <c r="G363" s="2"/>
      <c r="H363" s="2" t="s">
        <v>536</v>
      </c>
      <c r="I363" s="2" t="s">
        <v>537</v>
      </c>
      <c r="J363" s="2" t="s">
        <v>18722</v>
      </c>
      <c r="K363" s="2" t="s">
        <v>20759</v>
      </c>
      <c r="L363" s="2"/>
      <c r="M363" s="2"/>
      <c r="N363" s="2"/>
      <c r="O363" s="2" t="s">
        <v>536</v>
      </c>
      <c r="P363" s="2" t="s">
        <v>537</v>
      </c>
      <c r="Q363" s="2" t="s">
        <v>18722</v>
      </c>
      <c r="R363" s="2" t="s">
        <v>14200</v>
      </c>
      <c r="S363" s="2" t="s">
        <v>44</v>
      </c>
      <c r="T363" s="2"/>
      <c r="U363" s="2" t="s">
        <v>3527</v>
      </c>
      <c r="V363" s="2" t="s">
        <v>46</v>
      </c>
      <c r="W363" s="2" t="s">
        <v>3527</v>
      </c>
      <c r="X363" s="2" t="s">
        <v>10787</v>
      </c>
      <c r="Y363" s="2" t="s">
        <v>10801</v>
      </c>
      <c r="Z363" s="2" t="s">
        <v>7864</v>
      </c>
      <c r="AA363" s="2">
        <v>90</v>
      </c>
      <c r="AB363" s="2">
        <v>0</v>
      </c>
      <c r="AC363" s="2" t="s">
        <v>10789</v>
      </c>
      <c r="AD363" s="2" t="s">
        <v>20761</v>
      </c>
      <c r="AE363" s="2" t="s">
        <v>18260</v>
      </c>
      <c r="AF363" s="2"/>
      <c r="AG363" s="2" t="s">
        <v>18250</v>
      </c>
    </row>
    <row r="364" spans="1:33" x14ac:dyDescent="0.45">
      <c r="A364" s="2" t="s">
        <v>20762</v>
      </c>
      <c r="B364" s="2" t="s">
        <v>20763</v>
      </c>
      <c r="C364" s="2" t="s">
        <v>20764</v>
      </c>
      <c r="D364" s="2" t="s">
        <v>20765</v>
      </c>
      <c r="E364" s="2" t="s">
        <v>20766</v>
      </c>
      <c r="F364" s="2" t="s">
        <v>20767</v>
      </c>
      <c r="G364" s="2" t="s">
        <v>20767</v>
      </c>
      <c r="H364" s="2" t="s">
        <v>72</v>
      </c>
      <c r="I364" s="2" t="s">
        <v>73</v>
      </c>
      <c r="J364" s="2" t="s">
        <v>484</v>
      </c>
      <c r="K364" s="2"/>
      <c r="L364" s="2"/>
      <c r="M364" s="2"/>
      <c r="N364" s="2"/>
      <c r="O364" s="2"/>
      <c r="P364" s="2"/>
      <c r="Q364" s="2"/>
      <c r="R364" s="2" t="s">
        <v>7597</v>
      </c>
      <c r="S364" s="2" t="s">
        <v>44</v>
      </c>
      <c r="T364" s="2"/>
      <c r="U364" s="2" t="s">
        <v>3527</v>
      </c>
      <c r="V364" s="2" t="s">
        <v>46</v>
      </c>
      <c r="W364" s="2" t="s">
        <v>3527</v>
      </c>
      <c r="X364" s="2" t="s">
        <v>10787</v>
      </c>
      <c r="Y364" s="2" t="s">
        <v>10801</v>
      </c>
      <c r="Z364" s="2" t="s">
        <v>7864</v>
      </c>
      <c r="AA364" s="2">
        <v>100</v>
      </c>
      <c r="AB364" s="2">
        <v>10</v>
      </c>
      <c r="AC364" s="2" t="s">
        <v>10789</v>
      </c>
      <c r="AD364" s="2" t="s">
        <v>20768</v>
      </c>
      <c r="AE364" s="2" t="s">
        <v>18260</v>
      </c>
      <c r="AF364" s="2"/>
      <c r="AG364" s="2" t="s">
        <v>18250</v>
      </c>
    </row>
    <row r="365" spans="1:33" x14ac:dyDescent="0.45">
      <c r="A365" s="2" t="s">
        <v>13534</v>
      </c>
      <c r="B365" s="2" t="s">
        <v>20769</v>
      </c>
      <c r="C365" s="2" t="s">
        <v>20770</v>
      </c>
      <c r="D365" s="2" t="s">
        <v>20771</v>
      </c>
      <c r="E365" s="2" t="s">
        <v>20772</v>
      </c>
      <c r="F365" s="2" t="s">
        <v>20773</v>
      </c>
      <c r="G365" s="2" t="s">
        <v>20773</v>
      </c>
      <c r="H365" s="2" t="s">
        <v>8495</v>
      </c>
      <c r="I365" s="2" t="s">
        <v>8496</v>
      </c>
      <c r="J365" s="2" t="s">
        <v>14128</v>
      </c>
      <c r="K365" s="2" t="s">
        <v>20771</v>
      </c>
      <c r="L365" s="2"/>
      <c r="M365" s="2"/>
      <c r="N365" s="2"/>
      <c r="O365" s="2" t="s">
        <v>8495</v>
      </c>
      <c r="P365" s="2" t="s">
        <v>8496</v>
      </c>
      <c r="Q365" s="2" t="s">
        <v>14128</v>
      </c>
      <c r="R365" s="2" t="s">
        <v>773</v>
      </c>
      <c r="S365" s="2" t="s">
        <v>44</v>
      </c>
      <c r="T365" s="2"/>
      <c r="U365" s="2" t="s">
        <v>3527</v>
      </c>
      <c r="V365" s="2" t="s">
        <v>46</v>
      </c>
      <c r="W365" s="2" t="s">
        <v>3527</v>
      </c>
      <c r="X365" s="2" t="s">
        <v>10787</v>
      </c>
      <c r="Y365" s="2" t="s">
        <v>10801</v>
      </c>
      <c r="Z365" s="2" t="s">
        <v>7864</v>
      </c>
      <c r="AA365" s="2">
        <v>100</v>
      </c>
      <c r="AB365" s="2">
        <v>5</v>
      </c>
      <c r="AC365" s="2" t="s">
        <v>10789</v>
      </c>
      <c r="AD365" s="2" t="s">
        <v>20774</v>
      </c>
      <c r="AE365" s="2" t="s">
        <v>18260</v>
      </c>
      <c r="AF365" s="2"/>
      <c r="AG365" s="2" t="s">
        <v>18250</v>
      </c>
    </row>
    <row r="366" spans="1:33" x14ac:dyDescent="0.45">
      <c r="A366" s="2" t="s">
        <v>20775</v>
      </c>
      <c r="B366" s="2" t="s">
        <v>20776</v>
      </c>
      <c r="C366" s="2" t="s">
        <v>20775</v>
      </c>
      <c r="D366" s="2" t="s">
        <v>20777</v>
      </c>
      <c r="E366" s="2" t="s">
        <v>20778</v>
      </c>
      <c r="F366" s="2" t="s">
        <v>20779</v>
      </c>
      <c r="G366" s="2"/>
      <c r="H366" s="2" t="s">
        <v>324</v>
      </c>
      <c r="I366" s="2" t="s">
        <v>73</v>
      </c>
      <c r="J366" s="2" t="s">
        <v>6817</v>
      </c>
      <c r="K366" s="2" t="s">
        <v>20777</v>
      </c>
      <c r="L366" s="2"/>
      <c r="M366" s="2"/>
      <c r="N366" s="2"/>
      <c r="O366" s="2" t="s">
        <v>324</v>
      </c>
      <c r="P366" s="2" t="s">
        <v>73</v>
      </c>
      <c r="Q366" s="2" t="s">
        <v>6817</v>
      </c>
      <c r="R366" s="2" t="s">
        <v>20780</v>
      </c>
      <c r="S366" s="2" t="s">
        <v>44</v>
      </c>
      <c r="T366" s="2"/>
      <c r="U366" s="2" t="s">
        <v>821</v>
      </c>
      <c r="V366" s="2" t="s">
        <v>46</v>
      </c>
      <c r="W366" s="2" t="s">
        <v>821</v>
      </c>
      <c r="X366" s="2" t="s">
        <v>11537</v>
      </c>
      <c r="Y366" s="2" t="s">
        <v>10801</v>
      </c>
      <c r="Z366" s="2" t="s">
        <v>7864</v>
      </c>
      <c r="AA366" s="2">
        <v>100</v>
      </c>
      <c r="AB366" s="2">
        <v>17</v>
      </c>
      <c r="AC366" s="2" t="s">
        <v>10789</v>
      </c>
      <c r="AD366" s="2" t="s">
        <v>20781</v>
      </c>
      <c r="AE366" s="2" t="s">
        <v>18260</v>
      </c>
      <c r="AF366" s="2"/>
      <c r="AG366" s="2" t="s">
        <v>18250</v>
      </c>
    </row>
    <row r="367" spans="1:33" x14ac:dyDescent="0.45">
      <c r="A367" s="2" t="s">
        <v>20782</v>
      </c>
      <c r="B367" s="2" t="s">
        <v>20783</v>
      </c>
      <c r="C367" s="2" t="s">
        <v>20782</v>
      </c>
      <c r="D367" s="2" t="s">
        <v>20784</v>
      </c>
      <c r="E367" s="2" t="s">
        <v>20785</v>
      </c>
      <c r="F367" s="2"/>
      <c r="G367" s="2"/>
      <c r="H367" s="2" t="s">
        <v>220</v>
      </c>
      <c r="I367" s="2" t="s">
        <v>221</v>
      </c>
      <c r="J367" s="2" t="s">
        <v>20786</v>
      </c>
      <c r="K367" s="2" t="s">
        <v>20784</v>
      </c>
      <c r="L367" s="2"/>
      <c r="M367" s="2"/>
      <c r="N367" s="2"/>
      <c r="O367" s="2" t="s">
        <v>220</v>
      </c>
      <c r="P367" s="2" t="s">
        <v>221</v>
      </c>
      <c r="Q367" s="2" t="s">
        <v>20786</v>
      </c>
      <c r="R367" s="2" t="s">
        <v>4116</v>
      </c>
      <c r="S367" s="2" t="s">
        <v>44</v>
      </c>
      <c r="T367" s="2"/>
      <c r="U367" s="2" t="s">
        <v>3527</v>
      </c>
      <c r="V367" s="2" t="s">
        <v>46</v>
      </c>
      <c r="W367" s="2" t="s">
        <v>3527</v>
      </c>
      <c r="X367" s="2" t="s">
        <v>10787</v>
      </c>
      <c r="Y367" s="2" t="s">
        <v>10801</v>
      </c>
      <c r="Z367" s="2" t="s">
        <v>7864</v>
      </c>
      <c r="AA367" s="2">
        <v>90</v>
      </c>
      <c r="AB367" s="2">
        <v>0</v>
      </c>
      <c r="AC367" s="2" t="s">
        <v>10789</v>
      </c>
      <c r="AD367" s="2" t="s">
        <v>20787</v>
      </c>
      <c r="AE367" s="2" t="s">
        <v>18260</v>
      </c>
      <c r="AF367" s="2"/>
      <c r="AG367" s="2" t="s">
        <v>18250</v>
      </c>
    </row>
    <row r="368" spans="1:33" x14ac:dyDescent="0.45">
      <c r="A368" s="2" t="s">
        <v>20788</v>
      </c>
      <c r="B368" s="2" t="s">
        <v>20789</v>
      </c>
      <c r="C368" s="2" t="s">
        <v>20788</v>
      </c>
      <c r="D368" s="2" t="s">
        <v>20790</v>
      </c>
      <c r="E368" s="2" t="s">
        <v>20791</v>
      </c>
      <c r="F368" s="2"/>
      <c r="G368" s="2"/>
      <c r="H368" s="2" t="s">
        <v>220</v>
      </c>
      <c r="I368" s="2" t="s">
        <v>221</v>
      </c>
      <c r="J368" s="2" t="s">
        <v>222</v>
      </c>
      <c r="K368" s="2" t="s">
        <v>20790</v>
      </c>
      <c r="L368" s="2"/>
      <c r="M368" s="2"/>
      <c r="N368" s="2"/>
      <c r="O368" s="2" t="s">
        <v>220</v>
      </c>
      <c r="P368" s="2" t="s">
        <v>221</v>
      </c>
      <c r="Q368" s="2" t="s">
        <v>222</v>
      </c>
      <c r="R368" s="2" t="s">
        <v>20792</v>
      </c>
      <c r="S368" s="2" t="s">
        <v>44</v>
      </c>
      <c r="T368" s="2"/>
      <c r="U368" s="2" t="s">
        <v>3527</v>
      </c>
      <c r="V368" s="2" t="s">
        <v>46</v>
      </c>
      <c r="W368" s="2" t="s">
        <v>3527</v>
      </c>
      <c r="X368" s="2" t="s">
        <v>10787</v>
      </c>
      <c r="Y368" s="2" t="s">
        <v>10801</v>
      </c>
      <c r="Z368" s="2" t="s">
        <v>7864</v>
      </c>
      <c r="AA368" s="2">
        <v>90</v>
      </c>
      <c r="AB368" s="2">
        <v>0</v>
      </c>
      <c r="AC368" s="2" t="s">
        <v>10789</v>
      </c>
      <c r="AD368" s="2" t="s">
        <v>20793</v>
      </c>
      <c r="AE368" s="2" t="s">
        <v>18260</v>
      </c>
      <c r="AF368" s="2"/>
      <c r="AG368" s="2" t="s">
        <v>18250</v>
      </c>
    </row>
    <row r="369" spans="1:33" x14ac:dyDescent="0.45">
      <c r="A369" s="2" t="s">
        <v>20794</v>
      </c>
      <c r="B369" s="2" t="s">
        <v>20795</v>
      </c>
      <c r="C369" s="2" t="s">
        <v>20794</v>
      </c>
      <c r="D369" s="2" t="s">
        <v>20796</v>
      </c>
      <c r="E369" s="2" t="s">
        <v>20797</v>
      </c>
      <c r="F369" s="2"/>
      <c r="G369" s="2"/>
      <c r="H369" s="2" t="s">
        <v>72</v>
      </c>
      <c r="I369" s="2" t="s">
        <v>73</v>
      </c>
      <c r="J369" s="2" t="s">
        <v>1599</v>
      </c>
      <c r="K369" s="2" t="s">
        <v>20798</v>
      </c>
      <c r="L369" s="2"/>
      <c r="M369" s="2"/>
      <c r="N369" s="2"/>
      <c r="O369" s="2" t="s">
        <v>72</v>
      </c>
      <c r="P369" s="2" t="s">
        <v>73</v>
      </c>
      <c r="Q369" s="2" t="s">
        <v>1599</v>
      </c>
      <c r="R369" s="2" t="s">
        <v>20799</v>
      </c>
      <c r="S369" s="2" t="s">
        <v>44</v>
      </c>
      <c r="T369" s="2"/>
      <c r="U369" s="2" t="s">
        <v>821</v>
      </c>
      <c r="V369" s="2" t="s">
        <v>46</v>
      </c>
      <c r="W369" s="2" t="s">
        <v>821</v>
      </c>
      <c r="X369" s="2" t="s">
        <v>10787</v>
      </c>
      <c r="Y369" s="2" t="s">
        <v>10801</v>
      </c>
      <c r="Z369" s="2" t="s">
        <v>7864</v>
      </c>
      <c r="AA369" s="2">
        <v>90</v>
      </c>
      <c r="AB369" s="2">
        <v>7</v>
      </c>
      <c r="AC369" s="2" t="s">
        <v>10789</v>
      </c>
      <c r="AD369" s="2" t="s">
        <v>20800</v>
      </c>
      <c r="AE369" s="2" t="s">
        <v>18260</v>
      </c>
      <c r="AF369" s="2"/>
      <c r="AG369" s="2" t="s">
        <v>18250</v>
      </c>
    </row>
    <row r="370" spans="1:33" x14ac:dyDescent="0.45">
      <c r="A370" s="2" t="s">
        <v>20801</v>
      </c>
      <c r="B370" s="2" t="s">
        <v>20802</v>
      </c>
      <c r="C370" s="2" t="s">
        <v>20803</v>
      </c>
      <c r="D370" s="2" t="s">
        <v>20804</v>
      </c>
      <c r="E370" s="2" t="s">
        <v>20805</v>
      </c>
      <c r="F370" s="2"/>
      <c r="G370" s="2"/>
      <c r="H370" s="2" t="s">
        <v>72</v>
      </c>
      <c r="I370" s="2" t="s">
        <v>73</v>
      </c>
      <c r="J370" s="2" t="s">
        <v>3571</v>
      </c>
      <c r="K370" s="2" t="s">
        <v>20804</v>
      </c>
      <c r="L370" s="2"/>
      <c r="M370" s="2"/>
      <c r="N370" s="2"/>
      <c r="O370" s="2" t="s">
        <v>72</v>
      </c>
      <c r="P370" s="2" t="s">
        <v>73</v>
      </c>
      <c r="Q370" s="2" t="s">
        <v>3571</v>
      </c>
      <c r="R370" s="2" t="s">
        <v>18730</v>
      </c>
      <c r="S370" s="2" t="s">
        <v>44</v>
      </c>
      <c r="T370" s="2"/>
      <c r="U370" s="2" t="s">
        <v>3527</v>
      </c>
      <c r="V370" s="2" t="s">
        <v>46</v>
      </c>
      <c r="W370" s="2" t="s">
        <v>3527</v>
      </c>
      <c r="X370" s="2" t="s">
        <v>10787</v>
      </c>
      <c r="Y370" s="2" t="s">
        <v>10801</v>
      </c>
      <c r="Z370" s="2" t="s">
        <v>7864</v>
      </c>
      <c r="AA370" s="2">
        <v>90</v>
      </c>
      <c r="AB370" s="2">
        <v>0</v>
      </c>
      <c r="AC370" s="2" t="s">
        <v>10789</v>
      </c>
      <c r="AD370" s="2" t="s">
        <v>20806</v>
      </c>
      <c r="AE370" s="2" t="s">
        <v>18260</v>
      </c>
      <c r="AF370" s="2"/>
      <c r="AG370" s="2" t="s">
        <v>18250</v>
      </c>
    </row>
    <row r="371" spans="1:33" x14ac:dyDescent="0.45">
      <c r="A371" s="2" t="s">
        <v>20807</v>
      </c>
      <c r="B371" s="2" t="s">
        <v>20808</v>
      </c>
      <c r="C371" s="2" t="s">
        <v>20807</v>
      </c>
      <c r="D371" s="2" t="s">
        <v>20809</v>
      </c>
      <c r="E371" s="2" t="s">
        <v>20810</v>
      </c>
      <c r="F371" s="2"/>
      <c r="G371" s="2"/>
      <c r="H371" s="2" t="s">
        <v>220</v>
      </c>
      <c r="I371" s="2" t="s">
        <v>221</v>
      </c>
      <c r="J371" s="2" t="s">
        <v>20811</v>
      </c>
      <c r="K371" s="2" t="s">
        <v>20809</v>
      </c>
      <c r="L371" s="2"/>
      <c r="M371" s="2"/>
      <c r="N371" s="2"/>
      <c r="O371" s="2" t="s">
        <v>220</v>
      </c>
      <c r="P371" s="2" t="s">
        <v>221</v>
      </c>
      <c r="Q371" s="2" t="s">
        <v>20811</v>
      </c>
      <c r="R371" s="2" t="s">
        <v>4984</v>
      </c>
      <c r="S371" s="2" t="s">
        <v>44</v>
      </c>
      <c r="T371" s="2"/>
      <c r="U371" s="2" t="s">
        <v>3527</v>
      </c>
      <c r="V371" s="2" t="s">
        <v>46</v>
      </c>
      <c r="W371" s="2" t="s">
        <v>3527</v>
      </c>
      <c r="X371" s="2" t="s">
        <v>10787</v>
      </c>
      <c r="Y371" s="2" t="s">
        <v>10801</v>
      </c>
      <c r="Z371" s="2" t="s">
        <v>7864</v>
      </c>
      <c r="AA371" s="2">
        <v>90</v>
      </c>
      <c r="AB371" s="2">
        <v>0</v>
      </c>
      <c r="AC371" s="2" t="s">
        <v>10789</v>
      </c>
      <c r="AD371" s="2" t="s">
        <v>20812</v>
      </c>
      <c r="AE371" s="2" t="s">
        <v>18260</v>
      </c>
      <c r="AF371" s="2"/>
      <c r="AG371" s="2" t="s">
        <v>18250</v>
      </c>
    </row>
    <row r="372" spans="1:33" x14ac:dyDescent="0.45">
      <c r="A372" s="2" t="s">
        <v>20813</v>
      </c>
      <c r="B372" s="2" t="s">
        <v>20814</v>
      </c>
      <c r="C372" s="2" t="s">
        <v>20813</v>
      </c>
      <c r="D372" s="2" t="s">
        <v>20815</v>
      </c>
      <c r="E372" s="2" t="s">
        <v>20816</v>
      </c>
      <c r="F372" s="2" t="s">
        <v>20817</v>
      </c>
      <c r="G372" s="2"/>
      <c r="H372" s="2" t="s">
        <v>651</v>
      </c>
      <c r="I372" s="2" t="s">
        <v>86</v>
      </c>
      <c r="J372" s="2" t="s">
        <v>2260</v>
      </c>
      <c r="K372" s="2" t="s">
        <v>20815</v>
      </c>
      <c r="L372" s="2"/>
      <c r="M372" s="2"/>
      <c r="N372" s="2"/>
      <c r="O372" s="2" t="s">
        <v>651</v>
      </c>
      <c r="P372" s="2" t="s">
        <v>86</v>
      </c>
      <c r="Q372" s="2" t="s">
        <v>2260</v>
      </c>
      <c r="R372" s="2" t="s">
        <v>20818</v>
      </c>
      <c r="S372" s="2" t="s">
        <v>44</v>
      </c>
      <c r="T372" s="2"/>
      <c r="U372" s="2" t="s">
        <v>3527</v>
      </c>
      <c r="V372" s="2" t="s">
        <v>46</v>
      </c>
      <c r="W372" s="2" t="s">
        <v>3527</v>
      </c>
      <c r="X372" s="2" t="s">
        <v>10787</v>
      </c>
      <c r="Y372" s="2" t="s">
        <v>10801</v>
      </c>
      <c r="Z372" s="2" t="s">
        <v>7864</v>
      </c>
      <c r="AA372" s="2">
        <v>100</v>
      </c>
      <c r="AB372" s="2">
        <v>10</v>
      </c>
      <c r="AC372" s="2" t="s">
        <v>10789</v>
      </c>
      <c r="AD372" s="2" t="s">
        <v>20819</v>
      </c>
      <c r="AE372" s="2" t="s">
        <v>18260</v>
      </c>
      <c r="AF372" s="2"/>
      <c r="AG372" s="2" t="s">
        <v>18250</v>
      </c>
    </row>
    <row r="373" spans="1:33" x14ac:dyDescent="0.45">
      <c r="A373" s="2" t="s">
        <v>20820</v>
      </c>
      <c r="B373" s="2" t="s">
        <v>20821</v>
      </c>
      <c r="C373" s="2" t="s">
        <v>20822</v>
      </c>
      <c r="D373" s="2" t="s">
        <v>20823</v>
      </c>
      <c r="E373" s="2" t="s">
        <v>20824</v>
      </c>
      <c r="F373" s="2"/>
      <c r="G373" s="2"/>
      <c r="H373" s="2" t="s">
        <v>1175</v>
      </c>
      <c r="I373" s="2" t="s">
        <v>1176</v>
      </c>
      <c r="J373" s="2" t="s">
        <v>10359</v>
      </c>
      <c r="K373" s="2" t="s">
        <v>20823</v>
      </c>
      <c r="L373" s="2"/>
      <c r="M373" s="2"/>
      <c r="N373" s="2"/>
      <c r="O373" s="2" t="s">
        <v>1175</v>
      </c>
      <c r="P373" s="2" t="s">
        <v>1176</v>
      </c>
      <c r="Q373" s="2" t="s">
        <v>10359</v>
      </c>
      <c r="R373" s="2" t="s">
        <v>20825</v>
      </c>
      <c r="S373" s="2" t="s">
        <v>44</v>
      </c>
      <c r="T373" s="2"/>
      <c r="U373" s="2" t="s">
        <v>821</v>
      </c>
      <c r="V373" s="2" t="s">
        <v>46</v>
      </c>
      <c r="W373" s="2" t="s">
        <v>821</v>
      </c>
      <c r="X373" s="2" t="s">
        <v>10787</v>
      </c>
      <c r="Y373" s="2" t="s">
        <v>10801</v>
      </c>
      <c r="Z373" s="2" t="s">
        <v>7864</v>
      </c>
      <c r="AA373" s="2">
        <v>90</v>
      </c>
      <c r="AB373" s="2">
        <v>2</v>
      </c>
      <c r="AC373" s="2" t="s">
        <v>10789</v>
      </c>
      <c r="AD373" s="2" t="s">
        <v>20826</v>
      </c>
      <c r="AE373" s="2" t="s">
        <v>18260</v>
      </c>
      <c r="AF373" s="2"/>
      <c r="AG373" s="2" t="s">
        <v>18250</v>
      </c>
    </row>
    <row r="374" spans="1:33" x14ac:dyDescent="0.45">
      <c r="A374" s="2" t="s">
        <v>20827</v>
      </c>
      <c r="B374" s="2" t="s">
        <v>20828</v>
      </c>
      <c r="C374" s="2" t="s">
        <v>20829</v>
      </c>
      <c r="D374" s="2" t="s">
        <v>20830</v>
      </c>
      <c r="E374" s="2" t="s">
        <v>20831</v>
      </c>
      <c r="F374" s="2"/>
      <c r="G374" s="2"/>
      <c r="H374" s="2" t="s">
        <v>72</v>
      </c>
      <c r="I374" s="2" t="s">
        <v>73</v>
      </c>
      <c r="J374" s="2" t="s">
        <v>3571</v>
      </c>
      <c r="K374" s="2" t="s">
        <v>20832</v>
      </c>
      <c r="L374" s="2"/>
      <c r="M374" s="2"/>
      <c r="N374" s="2"/>
      <c r="O374" s="2" t="s">
        <v>72</v>
      </c>
      <c r="P374" s="2" t="s">
        <v>73</v>
      </c>
      <c r="Q374" s="2" t="s">
        <v>3571</v>
      </c>
      <c r="R374" s="2" t="s">
        <v>4560</v>
      </c>
      <c r="S374" s="2" t="s">
        <v>44</v>
      </c>
      <c r="T374" s="2"/>
      <c r="U374" s="2" t="s">
        <v>821</v>
      </c>
      <c r="V374" s="2" t="s">
        <v>46</v>
      </c>
      <c r="W374" s="2" t="s">
        <v>821</v>
      </c>
      <c r="X374" s="2" t="s">
        <v>12417</v>
      </c>
      <c r="Y374" s="2" t="s">
        <v>10801</v>
      </c>
      <c r="Z374" s="2" t="s">
        <v>7864</v>
      </c>
      <c r="AA374" s="2">
        <v>90</v>
      </c>
      <c r="AB374" s="2">
        <v>7</v>
      </c>
      <c r="AC374" s="2" t="s">
        <v>10789</v>
      </c>
      <c r="AD374" s="2" t="s">
        <v>20833</v>
      </c>
      <c r="AE374" s="2" t="s">
        <v>18260</v>
      </c>
      <c r="AF374" s="2"/>
      <c r="AG374" s="2" t="s">
        <v>18250</v>
      </c>
    </row>
    <row r="375" spans="1:33" x14ac:dyDescent="0.45">
      <c r="A375" s="2" t="s">
        <v>20834</v>
      </c>
      <c r="B375" s="2" t="s">
        <v>20835</v>
      </c>
      <c r="C375" s="2" t="s">
        <v>20834</v>
      </c>
      <c r="D375" s="2" t="s">
        <v>20836</v>
      </c>
      <c r="E375" s="2" t="s">
        <v>20837</v>
      </c>
      <c r="F375" s="2" t="s">
        <v>20838</v>
      </c>
      <c r="G375" s="2" t="s">
        <v>20838</v>
      </c>
      <c r="H375" s="2" t="s">
        <v>19291</v>
      </c>
      <c r="I375" s="2" t="s">
        <v>1137</v>
      </c>
      <c r="J375" s="2" t="s">
        <v>20839</v>
      </c>
      <c r="K375" s="2" t="s">
        <v>20836</v>
      </c>
      <c r="L375" s="2"/>
      <c r="M375" s="2"/>
      <c r="N375" s="2"/>
      <c r="O375" s="2" t="s">
        <v>19291</v>
      </c>
      <c r="P375" s="2" t="s">
        <v>1137</v>
      </c>
      <c r="Q375" s="2" t="s">
        <v>20839</v>
      </c>
      <c r="R375" s="2" t="s">
        <v>5421</v>
      </c>
      <c r="S375" s="2" t="s">
        <v>44</v>
      </c>
      <c r="T375" s="2"/>
      <c r="U375" s="2" t="s">
        <v>821</v>
      </c>
      <c r="V375" s="2" t="s">
        <v>46</v>
      </c>
      <c r="W375" s="2" t="s">
        <v>821</v>
      </c>
      <c r="X375" s="2" t="s">
        <v>10787</v>
      </c>
      <c r="Y375" s="2" t="s">
        <v>10801</v>
      </c>
      <c r="Z375" s="2" t="s">
        <v>7864</v>
      </c>
      <c r="AA375" s="2">
        <v>100</v>
      </c>
      <c r="AB375" s="2">
        <v>12</v>
      </c>
      <c r="AC375" s="2" t="s">
        <v>10789</v>
      </c>
      <c r="AD375" s="2" t="s">
        <v>20840</v>
      </c>
      <c r="AE375" s="2" t="s">
        <v>18260</v>
      </c>
      <c r="AF375" s="2"/>
      <c r="AG375" s="2" t="s">
        <v>18250</v>
      </c>
    </row>
    <row r="376" spans="1:33" x14ac:dyDescent="0.45">
      <c r="A376" s="2" t="s">
        <v>20841</v>
      </c>
      <c r="B376" s="2" t="s">
        <v>20842</v>
      </c>
      <c r="C376" s="2" t="s">
        <v>20841</v>
      </c>
      <c r="D376" s="2" t="s">
        <v>20843</v>
      </c>
      <c r="E376" s="2" t="s">
        <v>20844</v>
      </c>
      <c r="F376" s="2" t="s">
        <v>3562</v>
      </c>
      <c r="G376" s="2" t="s">
        <v>3562</v>
      </c>
      <c r="H376" s="2" t="s">
        <v>5984</v>
      </c>
      <c r="I376" s="2" t="s">
        <v>313</v>
      </c>
      <c r="J376" s="2" t="s">
        <v>20161</v>
      </c>
      <c r="K376" s="2"/>
      <c r="L376" s="2"/>
      <c r="M376" s="2"/>
      <c r="N376" s="2"/>
      <c r="O376" s="2"/>
      <c r="P376" s="2"/>
      <c r="Q376" s="2"/>
      <c r="R376" s="2" t="s">
        <v>16575</v>
      </c>
      <c r="S376" s="2" t="s">
        <v>44</v>
      </c>
      <c r="T376" s="2"/>
      <c r="U376" s="2" t="s">
        <v>3527</v>
      </c>
      <c r="V376" s="2" t="s">
        <v>46</v>
      </c>
      <c r="W376" s="2" t="s">
        <v>3527</v>
      </c>
      <c r="X376" s="2" t="s">
        <v>10787</v>
      </c>
      <c r="Y376" s="2" t="s">
        <v>10801</v>
      </c>
      <c r="Z376" s="2" t="s">
        <v>7864</v>
      </c>
      <c r="AA376" s="2">
        <v>100</v>
      </c>
      <c r="AB376" s="2">
        <v>5</v>
      </c>
      <c r="AC376" s="2" t="s">
        <v>10789</v>
      </c>
      <c r="AD376" s="2" t="s">
        <v>20845</v>
      </c>
      <c r="AE376" s="2" t="s">
        <v>18260</v>
      </c>
      <c r="AF376" s="2"/>
      <c r="AG376" s="2" t="s">
        <v>18250</v>
      </c>
    </row>
    <row r="377" spans="1:33" x14ac:dyDescent="0.45">
      <c r="A377" s="2" t="s">
        <v>20846</v>
      </c>
      <c r="B377" s="2" t="s">
        <v>20847</v>
      </c>
      <c r="C377" s="2" t="s">
        <v>20848</v>
      </c>
      <c r="D377" s="2" t="s">
        <v>20849</v>
      </c>
      <c r="E377" s="2" t="s">
        <v>20850</v>
      </c>
      <c r="F377" s="2" t="s">
        <v>20851</v>
      </c>
      <c r="G377" s="2"/>
      <c r="H377" s="2" t="s">
        <v>72</v>
      </c>
      <c r="I377" s="2" t="s">
        <v>73</v>
      </c>
      <c r="J377" s="2" t="s">
        <v>2800</v>
      </c>
      <c r="K377" s="2" t="s">
        <v>20849</v>
      </c>
      <c r="L377" s="2"/>
      <c r="M377" s="2"/>
      <c r="N377" s="2"/>
      <c r="O377" s="2" t="s">
        <v>72</v>
      </c>
      <c r="P377" s="2" t="s">
        <v>73</v>
      </c>
      <c r="Q377" s="2" t="s">
        <v>2800</v>
      </c>
      <c r="R377" s="2" t="s">
        <v>653</v>
      </c>
      <c r="S377" s="2" t="s">
        <v>44</v>
      </c>
      <c r="T377" s="2"/>
      <c r="U377" s="2" t="s">
        <v>3527</v>
      </c>
      <c r="V377" s="2" t="s">
        <v>46</v>
      </c>
      <c r="W377" s="2" t="s">
        <v>3527</v>
      </c>
      <c r="X377" s="2" t="s">
        <v>10787</v>
      </c>
      <c r="Y377" s="2" t="s">
        <v>10801</v>
      </c>
      <c r="Z377" s="2" t="s">
        <v>7864</v>
      </c>
      <c r="AA377" s="2">
        <v>100</v>
      </c>
      <c r="AB377" s="2">
        <v>10</v>
      </c>
      <c r="AC377" s="2" t="s">
        <v>10789</v>
      </c>
      <c r="AD377" s="2" t="s">
        <v>20852</v>
      </c>
      <c r="AE377" s="2" t="s">
        <v>18260</v>
      </c>
      <c r="AF377" s="2"/>
      <c r="AG377" s="2" t="s">
        <v>18250</v>
      </c>
    </row>
    <row r="378" spans="1:33" x14ac:dyDescent="0.45">
      <c r="A378" s="2" t="s">
        <v>20853</v>
      </c>
      <c r="B378" s="2" t="s">
        <v>20854</v>
      </c>
      <c r="C378" s="2" t="s">
        <v>20855</v>
      </c>
      <c r="D378" s="2" t="s">
        <v>20856</v>
      </c>
      <c r="E378" s="2" t="s">
        <v>20857</v>
      </c>
      <c r="F378" s="2" t="s">
        <v>3562</v>
      </c>
      <c r="G378" s="2" t="s">
        <v>3562</v>
      </c>
      <c r="H378" s="2" t="s">
        <v>72</v>
      </c>
      <c r="I378" s="2" t="s">
        <v>73</v>
      </c>
      <c r="J378" s="2" t="s">
        <v>2222</v>
      </c>
      <c r="K378" s="2" t="s">
        <v>20856</v>
      </c>
      <c r="L378" s="2"/>
      <c r="M378" s="2"/>
      <c r="N378" s="2"/>
      <c r="O378" s="2" t="s">
        <v>72</v>
      </c>
      <c r="P378" s="2" t="s">
        <v>73</v>
      </c>
      <c r="Q378" s="2" t="s">
        <v>2222</v>
      </c>
      <c r="R378" s="2" t="s">
        <v>3467</v>
      </c>
      <c r="S378" s="2" t="s">
        <v>44</v>
      </c>
      <c r="T378" s="2"/>
      <c r="U378" s="2" t="s">
        <v>3527</v>
      </c>
      <c r="V378" s="2" t="s">
        <v>46</v>
      </c>
      <c r="W378" s="2" t="s">
        <v>3527</v>
      </c>
      <c r="X378" s="2" t="s">
        <v>10787</v>
      </c>
      <c r="Y378" s="2" t="s">
        <v>10801</v>
      </c>
      <c r="Z378" s="2" t="s">
        <v>7864</v>
      </c>
      <c r="AA378" s="2">
        <v>100</v>
      </c>
      <c r="AB378" s="2">
        <v>10</v>
      </c>
      <c r="AC378" s="2" t="s">
        <v>10789</v>
      </c>
      <c r="AD378" s="2" t="s">
        <v>20858</v>
      </c>
      <c r="AE378" s="2" t="s">
        <v>18260</v>
      </c>
      <c r="AF378" s="2"/>
      <c r="AG378" s="2" t="s">
        <v>18250</v>
      </c>
    </row>
    <row r="379" spans="1:33" x14ac:dyDescent="0.45">
      <c r="A379" s="2" t="s">
        <v>20859</v>
      </c>
      <c r="B379" s="2" t="s">
        <v>20860</v>
      </c>
      <c r="C379" s="2" t="s">
        <v>20859</v>
      </c>
      <c r="D379" s="2" t="s">
        <v>20861</v>
      </c>
      <c r="E379" s="2" t="s">
        <v>20862</v>
      </c>
      <c r="F379" s="2"/>
      <c r="G379" s="2"/>
      <c r="H379" s="2" t="s">
        <v>2962</v>
      </c>
      <c r="I379" s="2" t="s">
        <v>73</v>
      </c>
      <c r="J379" s="2" t="s">
        <v>20863</v>
      </c>
      <c r="K379" s="2" t="s">
        <v>20864</v>
      </c>
      <c r="L379" s="2"/>
      <c r="M379" s="2"/>
      <c r="N379" s="2"/>
      <c r="O379" s="2" t="s">
        <v>2962</v>
      </c>
      <c r="P379" s="2" t="s">
        <v>73</v>
      </c>
      <c r="Q379" s="2" t="s">
        <v>20863</v>
      </c>
      <c r="R379" s="2" t="s">
        <v>8105</v>
      </c>
      <c r="S379" s="2" t="s">
        <v>44</v>
      </c>
      <c r="T379" s="2"/>
      <c r="U379" s="2" t="s">
        <v>821</v>
      </c>
      <c r="V379" s="2" t="s">
        <v>46</v>
      </c>
      <c r="W379" s="2" t="s">
        <v>821</v>
      </c>
      <c r="X379" s="2" t="s">
        <v>10787</v>
      </c>
      <c r="Y379" s="2" t="s">
        <v>10801</v>
      </c>
      <c r="Z379" s="2" t="s">
        <v>7864</v>
      </c>
      <c r="AA379" s="2">
        <v>90</v>
      </c>
      <c r="AB379" s="2">
        <v>2</v>
      </c>
      <c r="AC379" s="2" t="s">
        <v>10789</v>
      </c>
      <c r="AD379" s="2" t="s">
        <v>20865</v>
      </c>
      <c r="AE379" s="2" t="s">
        <v>18260</v>
      </c>
      <c r="AF379" s="2"/>
      <c r="AG379" s="2" t="s">
        <v>18250</v>
      </c>
    </row>
    <row r="380" spans="1:33" x14ac:dyDescent="0.45">
      <c r="A380" s="2" t="s">
        <v>20866</v>
      </c>
      <c r="B380" s="2" t="s">
        <v>20867</v>
      </c>
      <c r="C380" s="2" t="s">
        <v>20868</v>
      </c>
      <c r="D380" s="2" t="s">
        <v>20869</v>
      </c>
      <c r="E380" s="2" t="s">
        <v>20870</v>
      </c>
      <c r="F380" s="2" t="s">
        <v>20871</v>
      </c>
      <c r="G380" s="2" t="s">
        <v>20871</v>
      </c>
      <c r="H380" s="2" t="s">
        <v>72</v>
      </c>
      <c r="I380" s="2" t="s">
        <v>73</v>
      </c>
      <c r="J380" s="2" t="s">
        <v>9117</v>
      </c>
      <c r="K380" s="2" t="s">
        <v>20869</v>
      </c>
      <c r="L380" s="2"/>
      <c r="M380" s="2"/>
      <c r="N380" s="2"/>
      <c r="O380" s="2" t="s">
        <v>72</v>
      </c>
      <c r="P380" s="2" t="s">
        <v>73</v>
      </c>
      <c r="Q380" s="2" t="s">
        <v>9117</v>
      </c>
      <c r="R380" s="2" t="s">
        <v>16265</v>
      </c>
      <c r="S380" s="2" t="s">
        <v>44</v>
      </c>
      <c r="T380" s="2"/>
      <c r="U380" s="2" t="s">
        <v>3527</v>
      </c>
      <c r="V380" s="2" t="s">
        <v>46</v>
      </c>
      <c r="W380" s="2" t="s">
        <v>3527</v>
      </c>
      <c r="X380" s="2" t="s">
        <v>10787</v>
      </c>
      <c r="Y380" s="2" t="s">
        <v>10801</v>
      </c>
      <c r="Z380" s="2" t="s">
        <v>7864</v>
      </c>
      <c r="AA380" s="2">
        <v>100</v>
      </c>
      <c r="AB380" s="2">
        <v>10</v>
      </c>
      <c r="AC380" s="2" t="s">
        <v>10789</v>
      </c>
      <c r="AD380" s="2" t="s">
        <v>20872</v>
      </c>
      <c r="AE380" s="2" t="s">
        <v>18260</v>
      </c>
      <c r="AF380" s="2"/>
      <c r="AG380" s="2" t="s">
        <v>18250</v>
      </c>
    </row>
    <row r="381" spans="1:33" x14ac:dyDescent="0.45">
      <c r="A381" s="2" t="s">
        <v>20873</v>
      </c>
      <c r="B381" s="2" t="s">
        <v>20874</v>
      </c>
      <c r="C381" s="2" t="s">
        <v>20875</v>
      </c>
      <c r="D381" s="2" t="s">
        <v>20876</v>
      </c>
      <c r="E381" s="2" t="s">
        <v>20877</v>
      </c>
      <c r="F381" s="2" t="s">
        <v>20878</v>
      </c>
      <c r="G381" s="2"/>
      <c r="H381" s="2" t="s">
        <v>5931</v>
      </c>
      <c r="I381" s="2" t="s">
        <v>1112</v>
      </c>
      <c r="J381" s="2" t="s">
        <v>20879</v>
      </c>
      <c r="K381" s="2" t="s">
        <v>20876</v>
      </c>
      <c r="L381" s="2"/>
      <c r="M381" s="2"/>
      <c r="N381" s="2"/>
      <c r="O381" s="2" t="s">
        <v>5931</v>
      </c>
      <c r="P381" s="2" t="s">
        <v>1112</v>
      </c>
      <c r="Q381" s="2" t="s">
        <v>20879</v>
      </c>
      <c r="R381" s="2" t="s">
        <v>7483</v>
      </c>
      <c r="S381" s="2" t="s">
        <v>44</v>
      </c>
      <c r="T381" s="2"/>
      <c r="U381" s="2" t="s">
        <v>3527</v>
      </c>
      <c r="V381" s="2" t="s">
        <v>46</v>
      </c>
      <c r="W381" s="2" t="s">
        <v>3527</v>
      </c>
      <c r="X381" s="2" t="s">
        <v>10787</v>
      </c>
      <c r="Y381" s="2" t="s">
        <v>10801</v>
      </c>
      <c r="Z381" s="2" t="s">
        <v>7864</v>
      </c>
      <c r="AA381" s="2">
        <v>100</v>
      </c>
      <c r="AB381" s="2">
        <v>5</v>
      </c>
      <c r="AC381" s="2" t="s">
        <v>10789</v>
      </c>
      <c r="AD381" s="2" t="s">
        <v>20880</v>
      </c>
      <c r="AE381" s="2" t="s">
        <v>18260</v>
      </c>
      <c r="AF381" s="2"/>
      <c r="AG381" s="2" t="s">
        <v>18250</v>
      </c>
    </row>
    <row r="382" spans="1:33" x14ac:dyDescent="0.45">
      <c r="A382" s="2" t="s">
        <v>20881</v>
      </c>
      <c r="B382" s="2" t="s">
        <v>20882</v>
      </c>
      <c r="C382" s="2" t="s">
        <v>20883</v>
      </c>
      <c r="D382" s="2" t="s">
        <v>20884</v>
      </c>
      <c r="E382" s="2" t="s">
        <v>20885</v>
      </c>
      <c r="F382" s="2"/>
      <c r="G382" s="2"/>
      <c r="H382" s="2" t="s">
        <v>220</v>
      </c>
      <c r="I382" s="2" t="s">
        <v>221</v>
      </c>
      <c r="J382" s="2" t="s">
        <v>222</v>
      </c>
      <c r="K382" s="2" t="s">
        <v>20886</v>
      </c>
      <c r="L382" s="2"/>
      <c r="M382" s="2"/>
      <c r="N382" s="2"/>
      <c r="O382" s="2" t="s">
        <v>220</v>
      </c>
      <c r="P382" s="2" t="s">
        <v>221</v>
      </c>
      <c r="Q382" s="2" t="s">
        <v>222</v>
      </c>
      <c r="R382" s="2" t="s">
        <v>6873</v>
      </c>
      <c r="S382" s="2" t="s">
        <v>44</v>
      </c>
      <c r="T382" s="2"/>
      <c r="U382" s="2" t="s">
        <v>3527</v>
      </c>
      <c r="V382" s="2" t="s">
        <v>46</v>
      </c>
      <c r="W382" s="2" t="s">
        <v>3527</v>
      </c>
      <c r="X382" s="2" t="s">
        <v>10787</v>
      </c>
      <c r="Y382" s="2" t="s">
        <v>10801</v>
      </c>
      <c r="Z382" s="2" t="s">
        <v>7864</v>
      </c>
      <c r="AA382" s="2">
        <v>90</v>
      </c>
      <c r="AB382" s="2">
        <v>0</v>
      </c>
      <c r="AC382" s="2" t="s">
        <v>10789</v>
      </c>
      <c r="AD382" s="2" t="s">
        <v>20887</v>
      </c>
      <c r="AE382" s="2" t="s">
        <v>18260</v>
      </c>
      <c r="AF382" s="2"/>
      <c r="AG382" s="2" t="s">
        <v>18250</v>
      </c>
    </row>
    <row r="383" spans="1:33" x14ac:dyDescent="0.45">
      <c r="A383" s="2" t="s">
        <v>20888</v>
      </c>
      <c r="B383" s="2" t="s">
        <v>20889</v>
      </c>
      <c r="C383" s="2" t="s">
        <v>20888</v>
      </c>
      <c r="D383" s="2" t="s">
        <v>20890</v>
      </c>
      <c r="E383" s="2" t="s">
        <v>20891</v>
      </c>
      <c r="F383" s="2" t="s">
        <v>20187</v>
      </c>
      <c r="G383" s="2" t="s">
        <v>20187</v>
      </c>
      <c r="H383" s="2" t="s">
        <v>18323</v>
      </c>
      <c r="I383" s="2" t="s">
        <v>221</v>
      </c>
      <c r="J383" s="2" t="s">
        <v>20892</v>
      </c>
      <c r="K383" s="2" t="s">
        <v>20890</v>
      </c>
      <c r="L383" s="2"/>
      <c r="M383" s="2"/>
      <c r="N383" s="2"/>
      <c r="O383" s="2" t="s">
        <v>18323</v>
      </c>
      <c r="P383" s="2" t="s">
        <v>221</v>
      </c>
      <c r="Q383" s="2" t="s">
        <v>20892</v>
      </c>
      <c r="R383" s="2" t="s">
        <v>13105</v>
      </c>
      <c r="S383" s="2" t="s">
        <v>44</v>
      </c>
      <c r="T383" s="2"/>
      <c r="U383" s="2" t="s">
        <v>3527</v>
      </c>
      <c r="V383" s="2" t="s">
        <v>46</v>
      </c>
      <c r="W383" s="2" t="s">
        <v>3527</v>
      </c>
      <c r="X383" s="2" t="s">
        <v>10787</v>
      </c>
      <c r="Y383" s="2" t="s">
        <v>10801</v>
      </c>
      <c r="Z383" s="2" t="s">
        <v>7864</v>
      </c>
      <c r="AA383" s="2">
        <v>100</v>
      </c>
      <c r="AB383" s="2">
        <v>5</v>
      </c>
      <c r="AC383" s="2" t="s">
        <v>10789</v>
      </c>
      <c r="AD383" s="2" t="s">
        <v>20893</v>
      </c>
      <c r="AE383" s="2" t="s">
        <v>18260</v>
      </c>
      <c r="AF383" s="2"/>
      <c r="AG383" s="2" t="s">
        <v>18250</v>
      </c>
    </row>
    <row r="384" spans="1:33" x14ac:dyDescent="0.45">
      <c r="A384" s="2" t="s">
        <v>20894</v>
      </c>
      <c r="B384" s="2" t="s">
        <v>20895</v>
      </c>
      <c r="C384" s="2" t="s">
        <v>20894</v>
      </c>
      <c r="D384" s="2" t="s">
        <v>20896</v>
      </c>
      <c r="E384" s="2" t="s">
        <v>20897</v>
      </c>
      <c r="F384" s="2" t="s">
        <v>20898</v>
      </c>
      <c r="G384" s="2" t="s">
        <v>20898</v>
      </c>
      <c r="H384" s="2" t="s">
        <v>424</v>
      </c>
      <c r="I384" s="2" t="s">
        <v>217</v>
      </c>
      <c r="J384" s="2" t="s">
        <v>7420</v>
      </c>
      <c r="K384" s="2" t="s">
        <v>20899</v>
      </c>
      <c r="L384" s="2"/>
      <c r="M384" s="2"/>
      <c r="N384" s="2"/>
      <c r="O384" s="2" t="s">
        <v>72</v>
      </c>
      <c r="P384" s="2" t="s">
        <v>73</v>
      </c>
      <c r="Q384" s="2" t="s">
        <v>1479</v>
      </c>
      <c r="R384" s="2" t="s">
        <v>20900</v>
      </c>
      <c r="S384" s="2" t="s">
        <v>44</v>
      </c>
      <c r="T384" s="2"/>
      <c r="U384" s="2" t="s">
        <v>821</v>
      </c>
      <c r="V384" s="2" t="s">
        <v>46</v>
      </c>
      <c r="W384" s="2" t="s">
        <v>821</v>
      </c>
      <c r="X384" s="2" t="s">
        <v>10787</v>
      </c>
      <c r="Y384" s="2" t="s">
        <v>10801</v>
      </c>
      <c r="Z384" s="2" t="s">
        <v>7864</v>
      </c>
      <c r="AA384" s="2">
        <v>100</v>
      </c>
      <c r="AB384" s="2">
        <v>17</v>
      </c>
      <c r="AC384" s="2" t="s">
        <v>10789</v>
      </c>
      <c r="AD384" s="2" t="s">
        <v>20901</v>
      </c>
      <c r="AE384" s="2" t="s">
        <v>18260</v>
      </c>
      <c r="AF384" s="2"/>
      <c r="AG384" s="2" t="s">
        <v>18250</v>
      </c>
    </row>
    <row r="385" spans="1:33" x14ac:dyDescent="0.45">
      <c r="A385" s="2" t="s">
        <v>20902</v>
      </c>
      <c r="B385" s="2" t="s">
        <v>20903</v>
      </c>
      <c r="C385" s="2" t="s">
        <v>20904</v>
      </c>
      <c r="D385" s="2" t="s">
        <v>20905</v>
      </c>
      <c r="E385" s="2" t="s">
        <v>20906</v>
      </c>
      <c r="F385" s="2"/>
      <c r="G385" s="2"/>
      <c r="H385" s="2" t="s">
        <v>72</v>
      </c>
      <c r="I385" s="2" t="s">
        <v>73</v>
      </c>
      <c r="J385" s="2" t="s">
        <v>1568</v>
      </c>
      <c r="K385" s="2" t="s">
        <v>20907</v>
      </c>
      <c r="L385" s="2"/>
      <c r="M385" s="2"/>
      <c r="N385" s="2"/>
      <c r="O385" s="2" t="s">
        <v>72</v>
      </c>
      <c r="P385" s="2" t="s">
        <v>73</v>
      </c>
      <c r="Q385" s="2" t="s">
        <v>1568</v>
      </c>
      <c r="R385" s="2" t="s">
        <v>4532</v>
      </c>
      <c r="S385" s="2" t="s">
        <v>44</v>
      </c>
      <c r="T385" s="2"/>
      <c r="U385" s="2" t="s">
        <v>3527</v>
      </c>
      <c r="V385" s="2" t="s">
        <v>46</v>
      </c>
      <c r="W385" s="2" t="s">
        <v>3527</v>
      </c>
      <c r="X385" s="2" t="s">
        <v>10787</v>
      </c>
      <c r="Y385" s="2" t="s">
        <v>10801</v>
      </c>
      <c r="Z385" s="2" t="s">
        <v>7864</v>
      </c>
      <c r="AA385" s="2">
        <v>90</v>
      </c>
      <c r="AB385" s="2">
        <v>0</v>
      </c>
      <c r="AC385" s="2" t="s">
        <v>10789</v>
      </c>
      <c r="AD385" s="2" t="s">
        <v>20908</v>
      </c>
      <c r="AE385" s="2" t="s">
        <v>18260</v>
      </c>
      <c r="AF385" s="2"/>
      <c r="AG385" s="2" t="s">
        <v>18250</v>
      </c>
    </row>
    <row r="386" spans="1:33" x14ac:dyDescent="0.45">
      <c r="A386" s="2" t="s">
        <v>20909</v>
      </c>
      <c r="B386" s="2" t="s">
        <v>20910</v>
      </c>
      <c r="C386" s="2" t="s">
        <v>20909</v>
      </c>
      <c r="D386" s="2" t="s">
        <v>20911</v>
      </c>
      <c r="E386" s="2" t="s">
        <v>20912</v>
      </c>
      <c r="F386" s="2" t="s">
        <v>20913</v>
      </c>
      <c r="G386" s="2"/>
      <c r="H386" s="2" t="s">
        <v>1188</v>
      </c>
      <c r="I386" s="2" t="s">
        <v>221</v>
      </c>
      <c r="J386" s="2" t="s">
        <v>18793</v>
      </c>
      <c r="K386" s="2" t="s">
        <v>20911</v>
      </c>
      <c r="L386" s="2"/>
      <c r="M386" s="2"/>
      <c r="N386" s="2"/>
      <c r="O386" s="2" t="s">
        <v>1188</v>
      </c>
      <c r="P386" s="2" t="s">
        <v>221</v>
      </c>
      <c r="Q386" s="2" t="s">
        <v>18793</v>
      </c>
      <c r="R386" s="2" t="s">
        <v>5261</v>
      </c>
      <c r="S386" s="2" t="s">
        <v>44</v>
      </c>
      <c r="T386" s="2"/>
      <c r="U386" s="2" t="s">
        <v>3527</v>
      </c>
      <c r="V386" s="2" t="s">
        <v>46</v>
      </c>
      <c r="W386" s="2" t="s">
        <v>3527</v>
      </c>
      <c r="X386" s="2" t="s">
        <v>10787</v>
      </c>
      <c r="Y386" s="2" t="s">
        <v>10801</v>
      </c>
      <c r="Z386" s="2" t="s">
        <v>7864</v>
      </c>
      <c r="AA386" s="2">
        <v>100</v>
      </c>
      <c r="AB386" s="2">
        <v>10</v>
      </c>
      <c r="AC386" s="2" t="s">
        <v>10789</v>
      </c>
      <c r="AD386" s="2" t="s">
        <v>20914</v>
      </c>
      <c r="AE386" s="2" t="s">
        <v>18260</v>
      </c>
      <c r="AF386" s="2"/>
      <c r="AG386" s="2" t="s">
        <v>18250</v>
      </c>
    </row>
    <row r="387" spans="1:33" x14ac:dyDescent="0.45">
      <c r="A387" s="2" t="s">
        <v>20915</v>
      </c>
      <c r="B387" s="2" t="s">
        <v>20916</v>
      </c>
      <c r="C387" s="2" t="s">
        <v>20915</v>
      </c>
      <c r="D387" s="2" t="s">
        <v>20917</v>
      </c>
      <c r="E387" s="2" t="s">
        <v>20918</v>
      </c>
      <c r="F387" s="2"/>
      <c r="G387" s="2"/>
      <c r="H387" s="2" t="s">
        <v>5972</v>
      </c>
      <c r="I387" s="2" t="s">
        <v>221</v>
      </c>
      <c r="J387" s="2" t="s">
        <v>5973</v>
      </c>
      <c r="K387" s="2" t="s">
        <v>20917</v>
      </c>
      <c r="L387" s="2"/>
      <c r="M387" s="2"/>
      <c r="N387" s="2"/>
      <c r="O387" s="2" t="s">
        <v>5972</v>
      </c>
      <c r="P387" s="2" t="s">
        <v>221</v>
      </c>
      <c r="Q387" s="2" t="s">
        <v>5973</v>
      </c>
      <c r="R387" s="2" t="s">
        <v>13838</v>
      </c>
      <c r="S387" s="2" t="s">
        <v>44</v>
      </c>
      <c r="T387" s="2"/>
      <c r="U387" s="2" t="s">
        <v>3527</v>
      </c>
      <c r="V387" s="2" t="s">
        <v>46</v>
      </c>
      <c r="W387" s="2" t="s">
        <v>3527</v>
      </c>
      <c r="X387" s="2" t="s">
        <v>10787</v>
      </c>
      <c r="Y387" s="2" t="s">
        <v>10801</v>
      </c>
      <c r="Z387" s="2" t="s">
        <v>7864</v>
      </c>
      <c r="AA387" s="2">
        <v>90</v>
      </c>
      <c r="AB387" s="2">
        <v>0</v>
      </c>
      <c r="AC387" s="2" t="s">
        <v>10789</v>
      </c>
      <c r="AD387" s="2" t="s">
        <v>20919</v>
      </c>
      <c r="AE387" s="2" t="s">
        <v>18260</v>
      </c>
      <c r="AF387" s="2"/>
      <c r="AG387" s="2" t="s">
        <v>18250</v>
      </c>
    </row>
    <row r="388" spans="1:33" x14ac:dyDescent="0.45">
      <c r="A388" s="2" t="s">
        <v>20920</v>
      </c>
      <c r="B388" s="2" t="s">
        <v>20921</v>
      </c>
      <c r="C388" s="2" t="s">
        <v>20920</v>
      </c>
      <c r="D388" s="2" t="s">
        <v>20922</v>
      </c>
      <c r="E388" s="2" t="s">
        <v>20923</v>
      </c>
      <c r="F388" s="2"/>
      <c r="G388" s="2"/>
      <c r="H388" s="2" t="s">
        <v>85</v>
      </c>
      <c r="I388" s="2" t="s">
        <v>86</v>
      </c>
      <c r="J388" s="2" t="s">
        <v>12119</v>
      </c>
      <c r="K388" s="2" t="s">
        <v>20922</v>
      </c>
      <c r="L388" s="2"/>
      <c r="M388" s="2"/>
      <c r="N388" s="2"/>
      <c r="O388" s="2" t="s">
        <v>85</v>
      </c>
      <c r="P388" s="2" t="s">
        <v>86</v>
      </c>
      <c r="Q388" s="2" t="s">
        <v>12119</v>
      </c>
      <c r="R388" s="2" t="s">
        <v>14187</v>
      </c>
      <c r="S388" s="2" t="s">
        <v>44</v>
      </c>
      <c r="T388" s="2"/>
      <c r="U388" s="2" t="s">
        <v>3527</v>
      </c>
      <c r="V388" s="2" t="s">
        <v>46</v>
      </c>
      <c r="W388" s="2" t="s">
        <v>3527</v>
      </c>
      <c r="X388" s="2" t="s">
        <v>10787</v>
      </c>
      <c r="Y388" s="2" t="s">
        <v>10801</v>
      </c>
      <c r="Z388" s="2" t="s">
        <v>7864</v>
      </c>
      <c r="AA388" s="2">
        <v>90</v>
      </c>
      <c r="AB388" s="2">
        <v>0</v>
      </c>
      <c r="AC388" s="2" t="s">
        <v>10789</v>
      </c>
      <c r="AD388" s="2" t="s">
        <v>20924</v>
      </c>
      <c r="AE388" s="2" t="s">
        <v>18260</v>
      </c>
      <c r="AF388" s="2"/>
      <c r="AG388" s="2" t="s">
        <v>18250</v>
      </c>
    </row>
    <row r="389" spans="1:33" x14ac:dyDescent="0.45">
      <c r="A389" s="2" t="s">
        <v>20925</v>
      </c>
      <c r="B389" s="2" t="s">
        <v>20926</v>
      </c>
      <c r="C389" s="2" t="s">
        <v>20927</v>
      </c>
      <c r="D389" s="2" t="s">
        <v>20928</v>
      </c>
      <c r="E389" s="2" t="s">
        <v>20929</v>
      </c>
      <c r="F389" s="2" t="s">
        <v>20930</v>
      </c>
      <c r="G389" s="2" t="s">
        <v>20930</v>
      </c>
      <c r="H389" s="2" t="s">
        <v>59</v>
      </c>
      <c r="I389" s="2" t="s">
        <v>60</v>
      </c>
      <c r="J389" s="2" t="s">
        <v>108</v>
      </c>
      <c r="K389" s="2" t="s">
        <v>20928</v>
      </c>
      <c r="L389" s="2"/>
      <c r="M389" s="2"/>
      <c r="N389" s="2"/>
      <c r="O389" s="2" t="s">
        <v>59</v>
      </c>
      <c r="P389" s="2" t="s">
        <v>60</v>
      </c>
      <c r="Q389" s="2" t="s">
        <v>108</v>
      </c>
      <c r="R389" s="2" t="s">
        <v>6808</v>
      </c>
      <c r="S389" s="2" t="s">
        <v>44</v>
      </c>
      <c r="T389" s="2"/>
      <c r="U389" s="2" t="s">
        <v>3527</v>
      </c>
      <c r="V389" s="2" t="s">
        <v>46</v>
      </c>
      <c r="W389" s="2" t="s">
        <v>3527</v>
      </c>
      <c r="X389" s="2" t="s">
        <v>10787</v>
      </c>
      <c r="Y389" s="2" t="s">
        <v>10801</v>
      </c>
      <c r="Z389" s="2" t="s">
        <v>7864</v>
      </c>
      <c r="AA389" s="2">
        <v>100</v>
      </c>
      <c r="AB389" s="2">
        <v>10</v>
      </c>
      <c r="AC389" s="2" t="s">
        <v>10789</v>
      </c>
      <c r="AD389" s="2" t="s">
        <v>20931</v>
      </c>
      <c r="AE389" s="2" t="s">
        <v>18260</v>
      </c>
      <c r="AF389" s="2"/>
      <c r="AG389" s="2" t="s">
        <v>18250</v>
      </c>
    </row>
    <row r="390" spans="1:33" x14ac:dyDescent="0.45">
      <c r="A390" s="2" t="s">
        <v>20932</v>
      </c>
      <c r="B390" s="2" t="s">
        <v>20933</v>
      </c>
      <c r="C390" s="2" t="s">
        <v>20932</v>
      </c>
      <c r="D390" s="2" t="s">
        <v>20934</v>
      </c>
      <c r="E390" s="2" t="s">
        <v>20935</v>
      </c>
      <c r="F390" s="2" t="s">
        <v>20936</v>
      </c>
      <c r="G390" s="2"/>
      <c r="H390" s="2" t="s">
        <v>59</v>
      </c>
      <c r="I390" s="2" t="s">
        <v>60</v>
      </c>
      <c r="J390" s="2" t="s">
        <v>5002</v>
      </c>
      <c r="K390" s="2" t="s">
        <v>20934</v>
      </c>
      <c r="L390" s="2"/>
      <c r="M390" s="2"/>
      <c r="N390" s="2"/>
      <c r="O390" s="2" t="s">
        <v>59</v>
      </c>
      <c r="P390" s="2" t="s">
        <v>60</v>
      </c>
      <c r="Q390" s="2" t="s">
        <v>5002</v>
      </c>
      <c r="R390" s="2" t="s">
        <v>20937</v>
      </c>
      <c r="S390" s="2" t="s">
        <v>44</v>
      </c>
      <c r="T390" s="2"/>
      <c r="U390" s="2" t="s">
        <v>821</v>
      </c>
      <c r="V390" s="2" t="s">
        <v>46</v>
      </c>
      <c r="W390" s="2" t="s">
        <v>821</v>
      </c>
      <c r="X390" s="2" t="s">
        <v>10787</v>
      </c>
      <c r="Y390" s="2" t="s">
        <v>10801</v>
      </c>
      <c r="Z390" s="2" t="s">
        <v>7864</v>
      </c>
      <c r="AA390" s="2">
        <v>100</v>
      </c>
      <c r="AB390" s="2">
        <v>17</v>
      </c>
      <c r="AC390" s="2" t="s">
        <v>10789</v>
      </c>
      <c r="AD390" s="2" t="s">
        <v>20938</v>
      </c>
      <c r="AE390" s="2" t="s">
        <v>18260</v>
      </c>
      <c r="AF390" s="2"/>
      <c r="AG390" s="2" t="s">
        <v>18250</v>
      </c>
    </row>
    <row r="391" spans="1:33" x14ac:dyDescent="0.45">
      <c r="A391" s="2" t="s">
        <v>20939</v>
      </c>
      <c r="B391" s="2" t="s">
        <v>20940</v>
      </c>
      <c r="C391" s="2" t="s">
        <v>20941</v>
      </c>
      <c r="D391" s="2" t="s">
        <v>20942</v>
      </c>
      <c r="E391" s="2" t="s">
        <v>20943</v>
      </c>
      <c r="F391" s="2" t="s">
        <v>3562</v>
      </c>
      <c r="G391" s="2" t="s">
        <v>3562</v>
      </c>
      <c r="H391" s="2" t="s">
        <v>312</v>
      </c>
      <c r="I391" s="2" t="s">
        <v>313</v>
      </c>
      <c r="J391" s="2" t="s">
        <v>7647</v>
      </c>
      <c r="K391" s="2"/>
      <c r="L391" s="2"/>
      <c r="M391" s="2"/>
      <c r="N391" s="2"/>
      <c r="O391" s="2"/>
      <c r="P391" s="2"/>
      <c r="Q391" s="2"/>
      <c r="R391" s="2" t="s">
        <v>7704</v>
      </c>
      <c r="S391" s="2" t="s">
        <v>44</v>
      </c>
      <c r="T391" s="2"/>
      <c r="U391" s="2" t="s">
        <v>3527</v>
      </c>
      <c r="V391" s="2" t="s">
        <v>46</v>
      </c>
      <c r="W391" s="2" t="s">
        <v>3527</v>
      </c>
      <c r="X391" s="2" t="s">
        <v>10787</v>
      </c>
      <c r="Y391" s="2" t="s">
        <v>10801</v>
      </c>
      <c r="Z391" s="2" t="s">
        <v>7864</v>
      </c>
      <c r="AA391" s="2">
        <v>100</v>
      </c>
      <c r="AB391" s="2">
        <v>10</v>
      </c>
      <c r="AC391" s="2" t="s">
        <v>10789</v>
      </c>
      <c r="AD391" s="2" t="s">
        <v>20944</v>
      </c>
      <c r="AE391" s="2" t="s">
        <v>18260</v>
      </c>
      <c r="AF391" s="2"/>
      <c r="AG391" s="2" t="s">
        <v>18250</v>
      </c>
    </row>
    <row r="392" spans="1:33" x14ac:dyDescent="0.45">
      <c r="A392" s="2" t="s">
        <v>20945</v>
      </c>
      <c r="B392" s="2" t="s">
        <v>20946</v>
      </c>
      <c r="C392" s="2" t="s">
        <v>20945</v>
      </c>
      <c r="D392" s="2" t="s">
        <v>20947</v>
      </c>
      <c r="E392" s="2" t="s">
        <v>20948</v>
      </c>
      <c r="F392" s="2" t="s">
        <v>20949</v>
      </c>
      <c r="G392" s="2" t="s">
        <v>20949</v>
      </c>
      <c r="H392" s="2" t="s">
        <v>72</v>
      </c>
      <c r="I392" s="2" t="s">
        <v>73</v>
      </c>
      <c r="J392" s="2" t="s">
        <v>2372</v>
      </c>
      <c r="K392" s="2" t="s">
        <v>20950</v>
      </c>
      <c r="L392" s="2"/>
      <c r="M392" s="2"/>
      <c r="N392" s="2"/>
      <c r="O392" s="2" t="s">
        <v>72</v>
      </c>
      <c r="P392" s="2" t="s">
        <v>73</v>
      </c>
      <c r="Q392" s="2" t="s">
        <v>2372</v>
      </c>
      <c r="R392" s="2" t="s">
        <v>6883</v>
      </c>
      <c r="S392" s="2" t="s">
        <v>44</v>
      </c>
      <c r="T392" s="2"/>
      <c r="U392" s="2" t="s">
        <v>3527</v>
      </c>
      <c r="V392" s="2" t="s">
        <v>46</v>
      </c>
      <c r="W392" s="2" t="s">
        <v>3527</v>
      </c>
      <c r="X392" s="2" t="s">
        <v>10787</v>
      </c>
      <c r="Y392" s="2" t="s">
        <v>10801</v>
      </c>
      <c r="Z392" s="2" t="s">
        <v>7864</v>
      </c>
      <c r="AA392" s="2">
        <v>100</v>
      </c>
      <c r="AB392" s="2">
        <v>10</v>
      </c>
      <c r="AC392" s="2" t="s">
        <v>10789</v>
      </c>
      <c r="AD392" s="2" t="s">
        <v>20951</v>
      </c>
      <c r="AE392" s="2" t="s">
        <v>18260</v>
      </c>
      <c r="AF392" s="2"/>
      <c r="AG392" s="2" t="s">
        <v>18250</v>
      </c>
    </row>
    <row r="393" spans="1:33" x14ac:dyDescent="0.45">
      <c r="A393" s="2" t="s">
        <v>20952</v>
      </c>
      <c r="B393" s="2" t="s">
        <v>20953</v>
      </c>
      <c r="C393" s="2" t="s">
        <v>20954</v>
      </c>
      <c r="D393" s="2" t="s">
        <v>20955</v>
      </c>
      <c r="E393" s="2" t="s">
        <v>20956</v>
      </c>
      <c r="F393" s="2" t="s">
        <v>20957</v>
      </c>
      <c r="G393" s="2"/>
      <c r="H393" s="2" t="s">
        <v>72</v>
      </c>
      <c r="I393" s="2" t="s">
        <v>73</v>
      </c>
      <c r="J393" s="2" t="s">
        <v>1808</v>
      </c>
      <c r="K393" s="2" t="s">
        <v>20958</v>
      </c>
      <c r="L393" s="2"/>
      <c r="M393" s="2"/>
      <c r="N393" s="2"/>
      <c r="O393" s="2" t="s">
        <v>72</v>
      </c>
      <c r="P393" s="2" t="s">
        <v>73</v>
      </c>
      <c r="Q393" s="2" t="s">
        <v>1808</v>
      </c>
      <c r="R393" s="2" t="s">
        <v>2698</v>
      </c>
      <c r="S393" s="2" t="s">
        <v>44</v>
      </c>
      <c r="T393" s="2"/>
      <c r="U393" s="2" t="s">
        <v>821</v>
      </c>
      <c r="V393" s="2" t="s">
        <v>46</v>
      </c>
      <c r="W393" s="2" t="s">
        <v>821</v>
      </c>
      <c r="X393" s="2" t="s">
        <v>10787</v>
      </c>
      <c r="Y393" s="2" t="s">
        <v>10801</v>
      </c>
      <c r="Z393" s="2" t="s">
        <v>7864</v>
      </c>
      <c r="AA393" s="2">
        <v>100</v>
      </c>
      <c r="AB393" s="2">
        <v>17</v>
      </c>
      <c r="AC393" s="2" t="s">
        <v>10789</v>
      </c>
      <c r="AD393" s="2" t="s">
        <v>20959</v>
      </c>
      <c r="AE393" s="2" t="s">
        <v>18260</v>
      </c>
      <c r="AF393" s="2"/>
      <c r="AG393" s="2" t="s">
        <v>18250</v>
      </c>
    </row>
    <row r="394" spans="1:33" x14ac:dyDescent="0.45">
      <c r="A394" s="2" t="s">
        <v>20960</v>
      </c>
      <c r="B394" s="2" t="s">
        <v>20961</v>
      </c>
      <c r="C394" s="2" t="s">
        <v>20960</v>
      </c>
      <c r="D394" s="2" t="s">
        <v>20962</v>
      </c>
      <c r="E394" s="2" t="s">
        <v>20963</v>
      </c>
      <c r="F394" s="2" t="s">
        <v>20964</v>
      </c>
      <c r="G394" s="2" t="s">
        <v>20964</v>
      </c>
      <c r="H394" s="2" t="s">
        <v>1175</v>
      </c>
      <c r="I394" s="2" t="s">
        <v>1176</v>
      </c>
      <c r="J394" s="2" t="s">
        <v>10359</v>
      </c>
      <c r="K394" s="2" t="s">
        <v>20965</v>
      </c>
      <c r="L394" s="2"/>
      <c r="M394" s="2"/>
      <c r="N394" s="2"/>
      <c r="O394" s="2" t="s">
        <v>1175</v>
      </c>
      <c r="P394" s="2" t="s">
        <v>1176</v>
      </c>
      <c r="Q394" s="2" t="s">
        <v>10359</v>
      </c>
      <c r="R394" s="2" t="s">
        <v>8601</v>
      </c>
      <c r="S394" s="2" t="s">
        <v>44</v>
      </c>
      <c r="T394" s="2"/>
      <c r="U394" s="2" t="s">
        <v>3527</v>
      </c>
      <c r="V394" s="2" t="s">
        <v>46</v>
      </c>
      <c r="W394" s="2" t="s">
        <v>3527</v>
      </c>
      <c r="X394" s="2" t="s">
        <v>10787</v>
      </c>
      <c r="Y394" s="2" t="s">
        <v>10801</v>
      </c>
      <c r="Z394" s="2" t="s">
        <v>7864</v>
      </c>
      <c r="AA394" s="2">
        <v>100</v>
      </c>
      <c r="AB394" s="2">
        <v>5</v>
      </c>
      <c r="AC394" s="2" t="s">
        <v>10789</v>
      </c>
      <c r="AD394" s="2" t="s">
        <v>20966</v>
      </c>
      <c r="AE394" s="2" t="s">
        <v>18260</v>
      </c>
      <c r="AF394" s="2"/>
      <c r="AG394" s="2" t="s">
        <v>18250</v>
      </c>
    </row>
    <row r="395" spans="1:33" x14ac:dyDescent="0.45">
      <c r="A395" s="2" t="s">
        <v>20967</v>
      </c>
      <c r="B395" s="2" t="s">
        <v>20968</v>
      </c>
      <c r="C395" s="2" t="s">
        <v>20967</v>
      </c>
      <c r="D395" s="2" t="s">
        <v>20969</v>
      </c>
      <c r="E395" s="2" t="s">
        <v>20970</v>
      </c>
      <c r="F395" s="2"/>
      <c r="G395" s="2"/>
      <c r="H395" s="2" t="s">
        <v>14070</v>
      </c>
      <c r="I395" s="2" t="s">
        <v>313</v>
      </c>
      <c r="J395" s="2" t="s">
        <v>20154</v>
      </c>
      <c r="K395" s="2" t="s">
        <v>20969</v>
      </c>
      <c r="L395" s="2"/>
      <c r="M395" s="2"/>
      <c r="N395" s="2"/>
      <c r="O395" s="2" t="s">
        <v>14070</v>
      </c>
      <c r="P395" s="2" t="s">
        <v>313</v>
      </c>
      <c r="Q395" s="2" t="s">
        <v>20154</v>
      </c>
      <c r="R395" s="2" t="s">
        <v>2213</v>
      </c>
      <c r="S395" s="2" t="s">
        <v>44</v>
      </c>
      <c r="T395" s="2"/>
      <c r="U395" s="2" t="s">
        <v>3527</v>
      </c>
      <c r="V395" s="2" t="s">
        <v>46</v>
      </c>
      <c r="W395" s="2" t="s">
        <v>3527</v>
      </c>
      <c r="X395" s="2" t="s">
        <v>10787</v>
      </c>
      <c r="Y395" s="2" t="s">
        <v>10801</v>
      </c>
      <c r="Z395" s="2" t="s">
        <v>7864</v>
      </c>
      <c r="AA395" s="2">
        <v>90</v>
      </c>
      <c r="AB395" s="2">
        <v>0</v>
      </c>
      <c r="AC395" s="2" t="s">
        <v>10789</v>
      </c>
      <c r="AD395" s="2" t="s">
        <v>20971</v>
      </c>
      <c r="AE395" s="2" t="s">
        <v>18260</v>
      </c>
      <c r="AF395" s="2"/>
      <c r="AG395" s="2" t="s">
        <v>18250</v>
      </c>
    </row>
    <row r="396" spans="1:33" x14ac:dyDescent="0.45">
      <c r="A396" s="2" t="s">
        <v>20972</v>
      </c>
      <c r="B396" s="2" t="s">
        <v>20973</v>
      </c>
      <c r="C396" s="2" t="s">
        <v>20972</v>
      </c>
      <c r="D396" s="2" t="s">
        <v>20974</v>
      </c>
      <c r="E396" s="2" t="s">
        <v>20975</v>
      </c>
      <c r="F396" s="2" t="s">
        <v>20976</v>
      </c>
      <c r="G396" s="2" t="s">
        <v>20976</v>
      </c>
      <c r="H396" s="2" t="s">
        <v>277</v>
      </c>
      <c r="I396" s="2" t="s">
        <v>278</v>
      </c>
      <c r="J396" s="2" t="s">
        <v>12269</v>
      </c>
      <c r="K396" s="2" t="s">
        <v>20974</v>
      </c>
      <c r="L396" s="2"/>
      <c r="M396" s="2"/>
      <c r="N396" s="2"/>
      <c r="O396" s="2" t="s">
        <v>277</v>
      </c>
      <c r="P396" s="2" t="s">
        <v>278</v>
      </c>
      <c r="Q396" s="2" t="s">
        <v>12269</v>
      </c>
      <c r="R396" s="2" t="s">
        <v>7071</v>
      </c>
      <c r="S396" s="2" t="s">
        <v>44</v>
      </c>
      <c r="T396" s="2"/>
      <c r="U396" s="2" t="s">
        <v>3527</v>
      </c>
      <c r="V396" s="2" t="s">
        <v>46</v>
      </c>
      <c r="W396" s="2" t="s">
        <v>3527</v>
      </c>
      <c r="X396" s="2" t="s">
        <v>10787</v>
      </c>
      <c r="Y396" s="2" t="s">
        <v>10801</v>
      </c>
      <c r="Z396" s="2" t="s">
        <v>7864</v>
      </c>
      <c r="AA396" s="2">
        <v>100</v>
      </c>
      <c r="AB396" s="2">
        <v>10</v>
      </c>
      <c r="AC396" s="2" t="s">
        <v>10789</v>
      </c>
      <c r="AD396" s="2" t="s">
        <v>20977</v>
      </c>
      <c r="AE396" s="2" t="s">
        <v>18260</v>
      </c>
      <c r="AF396" s="2"/>
      <c r="AG396" s="2" t="s">
        <v>18250</v>
      </c>
    </row>
    <row r="397" spans="1:33" x14ac:dyDescent="0.45">
      <c r="A397" s="2" t="s">
        <v>20978</v>
      </c>
      <c r="B397" s="2" t="s">
        <v>20979</v>
      </c>
      <c r="C397" s="2" t="s">
        <v>20980</v>
      </c>
      <c r="D397" s="2" t="s">
        <v>20981</v>
      </c>
      <c r="E397" s="2" t="s">
        <v>20982</v>
      </c>
      <c r="F397" s="2" t="s">
        <v>20983</v>
      </c>
      <c r="G397" s="2"/>
      <c r="H397" s="2" t="s">
        <v>6202</v>
      </c>
      <c r="I397" s="2" t="s">
        <v>40</v>
      </c>
      <c r="J397" s="2" t="s">
        <v>20984</v>
      </c>
      <c r="K397" s="2" t="s">
        <v>20981</v>
      </c>
      <c r="L397" s="2"/>
      <c r="M397" s="2"/>
      <c r="N397" s="2"/>
      <c r="O397" s="2" t="s">
        <v>6202</v>
      </c>
      <c r="P397" s="2" t="s">
        <v>40</v>
      </c>
      <c r="Q397" s="2" t="s">
        <v>20984</v>
      </c>
      <c r="R397" s="2" t="s">
        <v>11283</v>
      </c>
      <c r="S397" s="2" t="s">
        <v>44</v>
      </c>
      <c r="T397" s="2"/>
      <c r="U397" s="2" t="s">
        <v>821</v>
      </c>
      <c r="V397" s="2" t="s">
        <v>46</v>
      </c>
      <c r="W397" s="2" t="s">
        <v>821</v>
      </c>
      <c r="X397" s="2" t="s">
        <v>10787</v>
      </c>
      <c r="Y397" s="2" t="s">
        <v>10801</v>
      </c>
      <c r="Z397" s="2" t="s">
        <v>7864</v>
      </c>
      <c r="AA397" s="2">
        <v>100</v>
      </c>
      <c r="AB397" s="2">
        <v>12</v>
      </c>
      <c r="AC397" s="2" t="s">
        <v>10789</v>
      </c>
      <c r="AD397" s="2" t="s">
        <v>20985</v>
      </c>
      <c r="AE397" s="2" t="s">
        <v>18260</v>
      </c>
      <c r="AF397" s="2"/>
      <c r="AG397" s="2" t="s">
        <v>18250</v>
      </c>
    </row>
    <row r="398" spans="1:33" x14ac:dyDescent="0.45">
      <c r="A398" s="2" t="s">
        <v>20986</v>
      </c>
      <c r="B398" s="2" t="s">
        <v>20987</v>
      </c>
      <c r="C398" s="2" t="s">
        <v>20988</v>
      </c>
      <c r="D398" s="2" t="s">
        <v>20989</v>
      </c>
      <c r="E398" s="2" t="s">
        <v>20990</v>
      </c>
      <c r="F398" s="2" t="s">
        <v>20991</v>
      </c>
      <c r="G398" s="2"/>
      <c r="H398" s="2" t="s">
        <v>11330</v>
      </c>
      <c r="I398" s="2" t="s">
        <v>73</v>
      </c>
      <c r="J398" s="2" t="s">
        <v>20992</v>
      </c>
      <c r="K398" s="2" t="s">
        <v>20989</v>
      </c>
      <c r="L398" s="2"/>
      <c r="M398" s="2"/>
      <c r="N398" s="2"/>
      <c r="O398" s="2" t="s">
        <v>11330</v>
      </c>
      <c r="P398" s="2" t="s">
        <v>73</v>
      </c>
      <c r="Q398" s="2" t="s">
        <v>20992</v>
      </c>
      <c r="R398" s="2" t="s">
        <v>5913</v>
      </c>
      <c r="S398" s="2" t="s">
        <v>44</v>
      </c>
      <c r="T398" s="2"/>
      <c r="U398" s="2" t="s">
        <v>3527</v>
      </c>
      <c r="V398" s="2" t="s">
        <v>46</v>
      </c>
      <c r="W398" s="2" t="s">
        <v>3527</v>
      </c>
      <c r="X398" s="2" t="s">
        <v>10787</v>
      </c>
      <c r="Y398" s="2" t="s">
        <v>10801</v>
      </c>
      <c r="Z398" s="2" t="s">
        <v>7864</v>
      </c>
      <c r="AA398" s="2">
        <v>100</v>
      </c>
      <c r="AB398" s="2">
        <v>5</v>
      </c>
      <c r="AC398" s="2" t="s">
        <v>10789</v>
      </c>
      <c r="AD398" s="2" t="s">
        <v>20993</v>
      </c>
      <c r="AE398" s="2" t="s">
        <v>18260</v>
      </c>
      <c r="AF398" s="2"/>
      <c r="AG398" s="2" t="s">
        <v>18250</v>
      </c>
    </row>
    <row r="399" spans="1:33" x14ac:dyDescent="0.45">
      <c r="A399" s="2" t="s">
        <v>20994</v>
      </c>
      <c r="B399" s="2" t="s">
        <v>20995</v>
      </c>
      <c r="C399" s="2" t="s">
        <v>20996</v>
      </c>
      <c r="D399" s="2" t="s">
        <v>20997</v>
      </c>
      <c r="E399" s="2" t="s">
        <v>20998</v>
      </c>
      <c r="F399" s="2"/>
      <c r="G399" s="2"/>
      <c r="H399" s="2" t="s">
        <v>1115</v>
      </c>
      <c r="I399" s="2" t="s">
        <v>1112</v>
      </c>
      <c r="J399" s="2" t="s">
        <v>20999</v>
      </c>
      <c r="K399" s="2" t="s">
        <v>20997</v>
      </c>
      <c r="L399" s="2"/>
      <c r="M399" s="2"/>
      <c r="N399" s="2"/>
      <c r="O399" s="2" t="s">
        <v>1115</v>
      </c>
      <c r="P399" s="2" t="s">
        <v>1112</v>
      </c>
      <c r="Q399" s="2" t="s">
        <v>20999</v>
      </c>
      <c r="R399" s="2" t="s">
        <v>21000</v>
      </c>
      <c r="S399" s="2" t="s">
        <v>44</v>
      </c>
      <c r="T399" s="2"/>
      <c r="U399" s="2" t="s">
        <v>3527</v>
      </c>
      <c r="V399" s="2" t="s">
        <v>46</v>
      </c>
      <c r="W399" s="2" t="s">
        <v>3527</v>
      </c>
      <c r="X399" s="2" t="s">
        <v>10787</v>
      </c>
      <c r="Y399" s="2" t="s">
        <v>10801</v>
      </c>
      <c r="Z399" s="2" t="s">
        <v>7864</v>
      </c>
      <c r="AA399" s="2">
        <v>90</v>
      </c>
      <c r="AB399" s="2">
        <v>0</v>
      </c>
      <c r="AC399" s="2" t="s">
        <v>10789</v>
      </c>
      <c r="AD399" s="2" t="s">
        <v>21001</v>
      </c>
      <c r="AE399" s="2" t="s">
        <v>18260</v>
      </c>
      <c r="AF399" s="2"/>
      <c r="AG399" s="2" t="s">
        <v>18250</v>
      </c>
    </row>
    <row r="400" spans="1:33" x14ac:dyDescent="0.45">
      <c r="A400" s="2" t="s">
        <v>21002</v>
      </c>
      <c r="B400" s="2" t="s">
        <v>21003</v>
      </c>
      <c r="C400" s="2" t="s">
        <v>21004</v>
      </c>
      <c r="D400" s="2" t="s">
        <v>21005</v>
      </c>
      <c r="E400" s="2" t="s">
        <v>21006</v>
      </c>
      <c r="F400" s="2" t="s">
        <v>21007</v>
      </c>
      <c r="G400" s="2"/>
      <c r="H400" s="2" t="s">
        <v>59</v>
      </c>
      <c r="I400" s="2" t="s">
        <v>60</v>
      </c>
      <c r="J400" s="2" t="s">
        <v>9495</v>
      </c>
      <c r="K400" s="2" t="s">
        <v>21005</v>
      </c>
      <c r="L400" s="2"/>
      <c r="M400" s="2"/>
      <c r="N400" s="2"/>
      <c r="O400" s="2" t="s">
        <v>59</v>
      </c>
      <c r="P400" s="2" t="s">
        <v>60</v>
      </c>
      <c r="Q400" s="2" t="s">
        <v>9495</v>
      </c>
      <c r="R400" s="2" t="s">
        <v>3189</v>
      </c>
      <c r="S400" s="2" t="s">
        <v>44</v>
      </c>
      <c r="T400" s="2"/>
      <c r="U400" s="2" t="s">
        <v>3527</v>
      </c>
      <c r="V400" s="2" t="s">
        <v>46</v>
      </c>
      <c r="W400" s="2" t="s">
        <v>3527</v>
      </c>
      <c r="X400" s="2" t="s">
        <v>10787</v>
      </c>
      <c r="Y400" s="2" t="s">
        <v>10801</v>
      </c>
      <c r="Z400" s="2" t="s">
        <v>7864</v>
      </c>
      <c r="AA400" s="2">
        <v>100</v>
      </c>
      <c r="AB400" s="2">
        <v>10</v>
      </c>
      <c r="AC400" s="2" t="s">
        <v>10789</v>
      </c>
      <c r="AD400" s="2" t="s">
        <v>21008</v>
      </c>
      <c r="AE400" s="2" t="s">
        <v>18260</v>
      </c>
      <c r="AF400" s="2"/>
      <c r="AG400" s="2" t="s">
        <v>18250</v>
      </c>
    </row>
    <row r="401" spans="1:33" x14ac:dyDescent="0.45">
      <c r="A401" s="2" t="s">
        <v>21009</v>
      </c>
      <c r="B401" s="2" t="s">
        <v>21010</v>
      </c>
      <c r="C401" s="2" t="s">
        <v>21009</v>
      </c>
      <c r="D401" s="2" t="s">
        <v>21011</v>
      </c>
      <c r="E401" s="2" t="s">
        <v>21012</v>
      </c>
      <c r="F401" s="2" t="s">
        <v>21013</v>
      </c>
      <c r="G401" s="2" t="s">
        <v>21013</v>
      </c>
      <c r="H401" s="2" t="s">
        <v>72</v>
      </c>
      <c r="I401" s="2" t="s">
        <v>73</v>
      </c>
      <c r="J401" s="2" t="s">
        <v>722</v>
      </c>
      <c r="K401" s="2"/>
      <c r="L401" s="2"/>
      <c r="M401" s="2"/>
      <c r="N401" s="2"/>
      <c r="O401" s="2"/>
      <c r="P401" s="2"/>
      <c r="Q401" s="2"/>
      <c r="R401" s="2" t="s">
        <v>21014</v>
      </c>
      <c r="S401" s="2" t="s">
        <v>44</v>
      </c>
      <c r="T401" s="2"/>
      <c r="U401" s="2" t="s">
        <v>821</v>
      </c>
      <c r="V401" s="2" t="s">
        <v>46</v>
      </c>
      <c r="W401" s="2" t="s">
        <v>821</v>
      </c>
      <c r="X401" s="2" t="s">
        <v>10787</v>
      </c>
      <c r="Y401" s="2" t="s">
        <v>10801</v>
      </c>
      <c r="Z401" s="2" t="s">
        <v>7864</v>
      </c>
      <c r="AA401" s="2">
        <v>100</v>
      </c>
      <c r="AB401" s="2">
        <v>17</v>
      </c>
      <c r="AC401" s="2" t="s">
        <v>10789</v>
      </c>
      <c r="AD401" s="2" t="s">
        <v>21015</v>
      </c>
      <c r="AE401" s="2" t="s">
        <v>18260</v>
      </c>
      <c r="AF401" s="2"/>
      <c r="AG401" s="2" t="s">
        <v>18250</v>
      </c>
    </row>
    <row r="402" spans="1:33" x14ac:dyDescent="0.45">
      <c r="A402" s="2" t="s">
        <v>21016</v>
      </c>
      <c r="B402" s="2" t="s">
        <v>21017</v>
      </c>
      <c r="C402" s="2" t="s">
        <v>21018</v>
      </c>
      <c r="D402" s="2" t="s">
        <v>21019</v>
      </c>
      <c r="E402" s="2" t="s">
        <v>21020</v>
      </c>
      <c r="F402" s="2" t="s">
        <v>21021</v>
      </c>
      <c r="G402" s="2" t="s">
        <v>21021</v>
      </c>
      <c r="H402" s="2" t="s">
        <v>21022</v>
      </c>
      <c r="I402" s="2" t="s">
        <v>278</v>
      </c>
      <c r="J402" s="2" t="s">
        <v>21023</v>
      </c>
      <c r="K402" s="2" t="s">
        <v>21024</v>
      </c>
      <c r="L402" s="2"/>
      <c r="M402" s="2"/>
      <c r="N402" s="2"/>
      <c r="O402" s="2" t="s">
        <v>21022</v>
      </c>
      <c r="P402" s="2" t="s">
        <v>278</v>
      </c>
      <c r="Q402" s="2" t="s">
        <v>21023</v>
      </c>
      <c r="R402" s="2" t="s">
        <v>21025</v>
      </c>
      <c r="S402" s="2" t="s">
        <v>44</v>
      </c>
      <c r="T402" s="2"/>
      <c r="U402" s="2" t="s">
        <v>3527</v>
      </c>
      <c r="V402" s="2" t="s">
        <v>46</v>
      </c>
      <c r="W402" s="2" t="s">
        <v>3527</v>
      </c>
      <c r="X402" s="2" t="s">
        <v>10787</v>
      </c>
      <c r="Y402" s="2" t="s">
        <v>10801</v>
      </c>
      <c r="Z402" s="2" t="s">
        <v>7864</v>
      </c>
      <c r="AA402" s="2">
        <v>100</v>
      </c>
      <c r="AB402" s="2">
        <v>5</v>
      </c>
      <c r="AC402" s="2" t="s">
        <v>10789</v>
      </c>
      <c r="AD402" s="2" t="s">
        <v>21026</v>
      </c>
      <c r="AE402" s="2" t="s">
        <v>18260</v>
      </c>
      <c r="AF402" s="2"/>
      <c r="AG402" s="2" t="s">
        <v>18250</v>
      </c>
    </row>
    <row r="403" spans="1:33" x14ac:dyDescent="0.45">
      <c r="A403" s="2" t="s">
        <v>21027</v>
      </c>
      <c r="B403" s="2" t="s">
        <v>21028</v>
      </c>
      <c r="C403" s="2" t="s">
        <v>21027</v>
      </c>
      <c r="D403" s="2" t="s">
        <v>21029</v>
      </c>
      <c r="E403" s="2" t="s">
        <v>21030</v>
      </c>
      <c r="F403" s="2" t="s">
        <v>21031</v>
      </c>
      <c r="G403" s="2" t="s">
        <v>21031</v>
      </c>
      <c r="H403" s="2" t="s">
        <v>72</v>
      </c>
      <c r="I403" s="2" t="s">
        <v>73</v>
      </c>
      <c r="J403" s="2" t="s">
        <v>1599</v>
      </c>
      <c r="K403" s="2" t="s">
        <v>21032</v>
      </c>
      <c r="L403" s="2"/>
      <c r="M403" s="2"/>
      <c r="N403" s="2"/>
      <c r="O403" s="2" t="s">
        <v>72</v>
      </c>
      <c r="P403" s="2" t="s">
        <v>73</v>
      </c>
      <c r="Q403" s="2" t="s">
        <v>1599</v>
      </c>
      <c r="R403" s="2" t="s">
        <v>21033</v>
      </c>
      <c r="S403" s="2" t="s">
        <v>44</v>
      </c>
      <c r="T403" s="2"/>
      <c r="U403" s="2" t="s">
        <v>821</v>
      </c>
      <c r="V403" s="2" t="s">
        <v>46</v>
      </c>
      <c r="W403" s="2" t="s">
        <v>821</v>
      </c>
      <c r="X403" s="2" t="s">
        <v>10787</v>
      </c>
      <c r="Y403" s="2" t="s">
        <v>10801</v>
      </c>
      <c r="Z403" s="2" t="s">
        <v>7864</v>
      </c>
      <c r="AA403" s="2">
        <v>100</v>
      </c>
      <c r="AB403" s="2">
        <v>17</v>
      </c>
      <c r="AC403" s="2" t="s">
        <v>10789</v>
      </c>
      <c r="AD403" s="2" t="s">
        <v>21034</v>
      </c>
      <c r="AE403" s="2" t="s">
        <v>18260</v>
      </c>
      <c r="AF403" s="2"/>
      <c r="AG403" s="2" t="s">
        <v>18250</v>
      </c>
    </row>
    <row r="404" spans="1:33" x14ac:dyDescent="0.45">
      <c r="A404" s="2" t="s">
        <v>21035</v>
      </c>
      <c r="B404" s="2" t="s">
        <v>21036</v>
      </c>
      <c r="C404" s="2" t="s">
        <v>21035</v>
      </c>
      <c r="D404" s="2" t="s">
        <v>21037</v>
      </c>
      <c r="E404" s="2" t="s">
        <v>21038</v>
      </c>
      <c r="F404" s="2"/>
      <c r="G404" s="2"/>
      <c r="H404" s="2" t="s">
        <v>312</v>
      </c>
      <c r="I404" s="2" t="s">
        <v>313</v>
      </c>
      <c r="J404" s="2" t="s">
        <v>7647</v>
      </c>
      <c r="K404" s="2" t="s">
        <v>21037</v>
      </c>
      <c r="L404" s="2"/>
      <c r="M404" s="2"/>
      <c r="N404" s="2"/>
      <c r="O404" s="2" t="s">
        <v>312</v>
      </c>
      <c r="P404" s="2" t="s">
        <v>313</v>
      </c>
      <c r="Q404" s="2" t="s">
        <v>7647</v>
      </c>
      <c r="R404" s="2" t="s">
        <v>21039</v>
      </c>
      <c r="S404" s="2" t="s">
        <v>44</v>
      </c>
      <c r="T404" s="2"/>
      <c r="U404" s="2" t="s">
        <v>3527</v>
      </c>
      <c r="V404" s="2" t="s">
        <v>46</v>
      </c>
      <c r="W404" s="2" t="s">
        <v>3527</v>
      </c>
      <c r="X404" s="2" t="s">
        <v>10787</v>
      </c>
      <c r="Y404" s="2" t="s">
        <v>10801</v>
      </c>
      <c r="Z404" s="2" t="s">
        <v>7864</v>
      </c>
      <c r="AA404" s="2">
        <v>90</v>
      </c>
      <c r="AB404" s="2">
        <v>0</v>
      </c>
      <c r="AC404" s="2" t="s">
        <v>10789</v>
      </c>
      <c r="AD404" s="2" t="s">
        <v>21040</v>
      </c>
      <c r="AE404" s="2" t="s">
        <v>18260</v>
      </c>
      <c r="AF404" s="2"/>
      <c r="AG404" s="2" t="s">
        <v>18250</v>
      </c>
    </row>
    <row r="405" spans="1:33" x14ac:dyDescent="0.45">
      <c r="A405" s="2" t="s">
        <v>21041</v>
      </c>
      <c r="B405" s="2" t="s">
        <v>21042</v>
      </c>
      <c r="C405" s="2" t="s">
        <v>21041</v>
      </c>
      <c r="D405" s="2" t="s">
        <v>21043</v>
      </c>
      <c r="E405" s="2" t="s">
        <v>21044</v>
      </c>
      <c r="F405" s="2" t="s">
        <v>3562</v>
      </c>
      <c r="G405" s="2" t="s">
        <v>3562</v>
      </c>
      <c r="H405" s="2" t="s">
        <v>1136</v>
      </c>
      <c r="I405" s="2" t="s">
        <v>1137</v>
      </c>
      <c r="J405" s="2" t="s">
        <v>17139</v>
      </c>
      <c r="K405" s="2"/>
      <c r="L405" s="2"/>
      <c r="M405" s="2"/>
      <c r="N405" s="2"/>
      <c r="O405" s="2"/>
      <c r="P405" s="2"/>
      <c r="Q405" s="2"/>
      <c r="R405" s="2" t="s">
        <v>10182</v>
      </c>
      <c r="S405" s="2" t="s">
        <v>44</v>
      </c>
      <c r="T405" s="2"/>
      <c r="U405" s="2" t="s">
        <v>3527</v>
      </c>
      <c r="V405" s="2" t="s">
        <v>46</v>
      </c>
      <c r="W405" s="2" t="s">
        <v>3527</v>
      </c>
      <c r="X405" s="2" t="s">
        <v>10787</v>
      </c>
      <c r="Y405" s="2" t="s">
        <v>10801</v>
      </c>
      <c r="Z405" s="2" t="s">
        <v>7864</v>
      </c>
      <c r="AA405" s="2">
        <v>100</v>
      </c>
      <c r="AB405" s="2">
        <v>5</v>
      </c>
      <c r="AC405" s="2" t="s">
        <v>10789</v>
      </c>
      <c r="AD405" s="2" t="s">
        <v>21045</v>
      </c>
      <c r="AE405" s="2" t="s">
        <v>18260</v>
      </c>
      <c r="AF405" s="2"/>
      <c r="AG405" s="2" t="s">
        <v>18250</v>
      </c>
    </row>
    <row r="406" spans="1:33" x14ac:dyDescent="0.45">
      <c r="A406" s="2" t="s">
        <v>21046</v>
      </c>
      <c r="B406" s="2" t="s">
        <v>21047</v>
      </c>
      <c r="C406" s="2" t="s">
        <v>21048</v>
      </c>
      <c r="D406" s="2" t="s">
        <v>21049</v>
      </c>
      <c r="E406" s="2" t="s">
        <v>21050</v>
      </c>
      <c r="F406" s="2" t="s">
        <v>21051</v>
      </c>
      <c r="G406" s="2"/>
      <c r="H406" s="2" t="s">
        <v>290</v>
      </c>
      <c r="I406" s="2" t="s">
        <v>278</v>
      </c>
      <c r="J406" s="2" t="s">
        <v>21052</v>
      </c>
      <c r="K406" s="2"/>
      <c r="L406" s="2"/>
      <c r="M406" s="2"/>
      <c r="N406" s="2"/>
      <c r="O406" s="2"/>
      <c r="P406" s="2"/>
      <c r="Q406" s="2"/>
      <c r="R406" s="2" t="s">
        <v>18670</v>
      </c>
      <c r="S406" s="2" t="s">
        <v>44</v>
      </c>
      <c r="T406" s="2"/>
      <c r="U406" s="2" t="s">
        <v>3527</v>
      </c>
      <c r="V406" s="2" t="s">
        <v>46</v>
      </c>
      <c r="W406" s="2" t="s">
        <v>3527</v>
      </c>
      <c r="X406" s="2" t="s">
        <v>10787</v>
      </c>
      <c r="Y406" s="2" t="s">
        <v>10801</v>
      </c>
      <c r="Z406" s="2" t="s">
        <v>7864</v>
      </c>
      <c r="AA406" s="2">
        <v>100</v>
      </c>
      <c r="AB406" s="2">
        <v>10</v>
      </c>
      <c r="AC406" s="2" t="s">
        <v>10789</v>
      </c>
      <c r="AD406" s="2" t="s">
        <v>21053</v>
      </c>
      <c r="AE406" s="2" t="s">
        <v>18260</v>
      </c>
      <c r="AF406" s="2"/>
      <c r="AG406" s="2" t="s">
        <v>18250</v>
      </c>
    </row>
    <row r="407" spans="1:33" x14ac:dyDescent="0.45">
      <c r="A407" s="2" t="s">
        <v>21054</v>
      </c>
      <c r="B407" s="2" t="s">
        <v>21055</v>
      </c>
      <c r="C407" s="2" t="s">
        <v>21054</v>
      </c>
      <c r="D407" s="2" t="s">
        <v>21056</v>
      </c>
      <c r="E407" s="2" t="s">
        <v>21057</v>
      </c>
      <c r="F407" s="2"/>
      <c r="G407" s="2"/>
      <c r="H407" s="2" t="s">
        <v>12645</v>
      </c>
      <c r="I407" s="2" t="s">
        <v>1176</v>
      </c>
      <c r="J407" s="2" t="s">
        <v>21058</v>
      </c>
      <c r="K407" s="2" t="s">
        <v>21056</v>
      </c>
      <c r="L407" s="2"/>
      <c r="M407" s="2"/>
      <c r="N407" s="2"/>
      <c r="O407" s="2" t="s">
        <v>12645</v>
      </c>
      <c r="P407" s="2" t="s">
        <v>1176</v>
      </c>
      <c r="Q407" s="2" t="s">
        <v>21058</v>
      </c>
      <c r="R407" s="2" t="s">
        <v>2829</v>
      </c>
      <c r="S407" s="2" t="s">
        <v>44</v>
      </c>
      <c r="T407" s="2"/>
      <c r="U407" s="2" t="s">
        <v>3527</v>
      </c>
      <c r="V407" s="2" t="s">
        <v>46</v>
      </c>
      <c r="W407" s="2" t="s">
        <v>3527</v>
      </c>
      <c r="X407" s="2" t="s">
        <v>10787</v>
      </c>
      <c r="Y407" s="2" t="s">
        <v>10801</v>
      </c>
      <c r="Z407" s="2" t="s">
        <v>7864</v>
      </c>
      <c r="AA407" s="2">
        <v>90</v>
      </c>
      <c r="AB407" s="2">
        <v>0</v>
      </c>
      <c r="AC407" s="2" t="s">
        <v>10789</v>
      </c>
      <c r="AD407" s="2" t="s">
        <v>21059</v>
      </c>
      <c r="AE407" s="2" t="s">
        <v>18260</v>
      </c>
      <c r="AF407" s="2"/>
      <c r="AG407" s="2" t="s">
        <v>18250</v>
      </c>
    </row>
    <row r="408" spans="1:33" x14ac:dyDescent="0.45">
      <c r="A408" s="2" t="s">
        <v>21060</v>
      </c>
      <c r="B408" s="2" t="s">
        <v>21061</v>
      </c>
      <c r="C408" s="2" t="s">
        <v>21060</v>
      </c>
      <c r="D408" s="2" t="s">
        <v>21062</v>
      </c>
      <c r="E408" s="2" t="s">
        <v>21063</v>
      </c>
      <c r="F408" s="2" t="s">
        <v>21064</v>
      </c>
      <c r="G408" s="2" t="s">
        <v>21064</v>
      </c>
      <c r="H408" s="2" t="s">
        <v>324</v>
      </c>
      <c r="I408" s="2" t="s">
        <v>73</v>
      </c>
      <c r="J408" s="2" t="s">
        <v>14233</v>
      </c>
      <c r="K408" s="2" t="s">
        <v>21062</v>
      </c>
      <c r="L408" s="2"/>
      <c r="M408" s="2"/>
      <c r="N408" s="2"/>
      <c r="O408" s="2" t="s">
        <v>324</v>
      </c>
      <c r="P408" s="2" t="s">
        <v>73</v>
      </c>
      <c r="Q408" s="2" t="s">
        <v>14233</v>
      </c>
      <c r="R408" s="2" t="s">
        <v>7704</v>
      </c>
      <c r="S408" s="2" t="s">
        <v>44</v>
      </c>
      <c r="T408" s="2"/>
      <c r="U408" s="2" t="s">
        <v>3527</v>
      </c>
      <c r="V408" s="2" t="s">
        <v>46</v>
      </c>
      <c r="W408" s="2" t="s">
        <v>3527</v>
      </c>
      <c r="X408" s="2" t="s">
        <v>11537</v>
      </c>
      <c r="Y408" s="2" t="s">
        <v>10801</v>
      </c>
      <c r="Z408" s="2" t="s">
        <v>7864</v>
      </c>
      <c r="AA408" s="2">
        <v>100</v>
      </c>
      <c r="AB408" s="2">
        <v>10</v>
      </c>
      <c r="AC408" s="2" t="s">
        <v>10789</v>
      </c>
      <c r="AD408" s="2" t="s">
        <v>21065</v>
      </c>
      <c r="AE408" s="2" t="s">
        <v>18260</v>
      </c>
      <c r="AF408" s="2"/>
      <c r="AG408" s="2" t="s">
        <v>18250</v>
      </c>
    </row>
    <row r="409" spans="1:33" x14ac:dyDescent="0.45">
      <c r="A409" s="2" t="s">
        <v>21066</v>
      </c>
      <c r="B409" s="2" t="s">
        <v>21067</v>
      </c>
      <c r="C409" s="2" t="s">
        <v>21068</v>
      </c>
      <c r="D409" s="2" t="s">
        <v>21069</v>
      </c>
      <c r="E409" s="2" t="s">
        <v>21070</v>
      </c>
      <c r="F409" s="2"/>
      <c r="G409" s="2"/>
      <c r="H409" s="2" t="s">
        <v>20236</v>
      </c>
      <c r="I409" s="2" t="s">
        <v>1281</v>
      </c>
      <c r="J409" s="2" t="s">
        <v>21071</v>
      </c>
      <c r="K409" s="2" t="s">
        <v>21069</v>
      </c>
      <c r="L409" s="2"/>
      <c r="M409" s="2"/>
      <c r="N409" s="2"/>
      <c r="O409" s="2" t="s">
        <v>20236</v>
      </c>
      <c r="P409" s="2" t="s">
        <v>1281</v>
      </c>
      <c r="Q409" s="2" t="s">
        <v>21071</v>
      </c>
      <c r="R409" s="2" t="s">
        <v>21072</v>
      </c>
      <c r="S409" s="2" t="s">
        <v>44</v>
      </c>
      <c r="T409" s="2"/>
      <c r="U409" s="2" t="s">
        <v>3527</v>
      </c>
      <c r="V409" s="2" t="s">
        <v>46</v>
      </c>
      <c r="W409" s="2" t="s">
        <v>3527</v>
      </c>
      <c r="X409" s="2" t="s">
        <v>10787</v>
      </c>
      <c r="Y409" s="2" t="s">
        <v>10801</v>
      </c>
      <c r="Z409" s="2" t="s">
        <v>7864</v>
      </c>
      <c r="AA409" s="2">
        <v>90</v>
      </c>
      <c r="AB409" s="2">
        <v>0</v>
      </c>
      <c r="AC409" s="2" t="s">
        <v>10789</v>
      </c>
      <c r="AD409" s="2" t="s">
        <v>21073</v>
      </c>
      <c r="AE409" s="2" t="s">
        <v>18260</v>
      </c>
      <c r="AF409" s="2"/>
      <c r="AG409" s="2" t="s">
        <v>18250</v>
      </c>
    </row>
    <row r="410" spans="1:33" x14ac:dyDescent="0.45">
      <c r="A410" s="2" t="s">
        <v>21074</v>
      </c>
      <c r="B410" s="2" t="s">
        <v>21075</v>
      </c>
      <c r="C410" s="2" t="s">
        <v>21076</v>
      </c>
      <c r="D410" s="2" t="s">
        <v>21077</v>
      </c>
      <c r="E410" s="2" t="s">
        <v>21078</v>
      </c>
      <c r="F410" s="2" t="s">
        <v>21079</v>
      </c>
      <c r="G410" s="2" t="s">
        <v>21079</v>
      </c>
      <c r="H410" s="2" t="s">
        <v>290</v>
      </c>
      <c r="I410" s="2" t="s">
        <v>278</v>
      </c>
      <c r="J410" s="2" t="s">
        <v>291</v>
      </c>
      <c r="K410" s="2" t="s">
        <v>21080</v>
      </c>
      <c r="L410" s="2"/>
      <c r="M410" s="2"/>
      <c r="N410" s="2"/>
      <c r="O410" s="2" t="s">
        <v>290</v>
      </c>
      <c r="P410" s="2" t="s">
        <v>278</v>
      </c>
      <c r="Q410" s="2" t="s">
        <v>852</v>
      </c>
      <c r="R410" s="2" t="s">
        <v>21081</v>
      </c>
      <c r="S410" s="2" t="s">
        <v>44</v>
      </c>
      <c r="T410" s="2"/>
      <c r="U410" s="2" t="s">
        <v>3527</v>
      </c>
      <c r="V410" s="2" t="s">
        <v>46</v>
      </c>
      <c r="W410" s="2" t="s">
        <v>3527</v>
      </c>
      <c r="X410" s="2" t="s">
        <v>11225</v>
      </c>
      <c r="Y410" s="2" t="s">
        <v>10801</v>
      </c>
      <c r="Z410" s="2" t="s">
        <v>7864</v>
      </c>
      <c r="AA410" s="2">
        <v>100</v>
      </c>
      <c r="AB410" s="2">
        <v>10</v>
      </c>
      <c r="AC410" s="2" t="s">
        <v>10789</v>
      </c>
      <c r="AD410" s="2" t="s">
        <v>21082</v>
      </c>
      <c r="AE410" s="2" t="s">
        <v>18260</v>
      </c>
      <c r="AF410" s="2"/>
      <c r="AG410" s="2" t="s">
        <v>18250</v>
      </c>
    </row>
    <row r="411" spans="1:33" x14ac:dyDescent="0.45">
      <c r="A411" s="2" t="s">
        <v>21083</v>
      </c>
      <c r="B411" s="2" t="s">
        <v>21084</v>
      </c>
      <c r="C411" s="2" t="s">
        <v>21083</v>
      </c>
      <c r="D411" s="2" t="s">
        <v>21085</v>
      </c>
      <c r="E411" s="2" t="s">
        <v>21086</v>
      </c>
      <c r="F411" s="2"/>
      <c r="G411" s="2"/>
      <c r="H411" s="2" t="s">
        <v>6029</v>
      </c>
      <c r="I411" s="2" t="s">
        <v>278</v>
      </c>
      <c r="J411" s="2" t="s">
        <v>21087</v>
      </c>
      <c r="K411" s="2" t="s">
        <v>21085</v>
      </c>
      <c r="L411" s="2"/>
      <c r="M411" s="2"/>
      <c r="N411" s="2"/>
      <c r="O411" s="2" t="s">
        <v>6029</v>
      </c>
      <c r="P411" s="2" t="s">
        <v>278</v>
      </c>
      <c r="Q411" s="2" t="s">
        <v>21087</v>
      </c>
      <c r="R411" s="2" t="s">
        <v>6993</v>
      </c>
      <c r="S411" s="2" t="s">
        <v>44</v>
      </c>
      <c r="T411" s="2"/>
      <c r="U411" s="2" t="s">
        <v>3527</v>
      </c>
      <c r="V411" s="2" t="s">
        <v>46</v>
      </c>
      <c r="W411" s="2" t="s">
        <v>3527</v>
      </c>
      <c r="X411" s="2" t="s">
        <v>10787</v>
      </c>
      <c r="Y411" s="2" t="s">
        <v>10801</v>
      </c>
      <c r="Z411" s="2" t="s">
        <v>7864</v>
      </c>
      <c r="AA411" s="2">
        <v>90</v>
      </c>
      <c r="AB411" s="2">
        <v>0</v>
      </c>
      <c r="AC411" s="2" t="s">
        <v>10789</v>
      </c>
      <c r="AD411" s="2" t="s">
        <v>21088</v>
      </c>
      <c r="AE411" s="2" t="s">
        <v>18260</v>
      </c>
      <c r="AF411" s="2"/>
      <c r="AG411" s="2" t="s">
        <v>18250</v>
      </c>
    </row>
    <row r="412" spans="1:33" x14ac:dyDescent="0.45">
      <c r="A412" s="2" t="s">
        <v>21089</v>
      </c>
      <c r="B412" s="2" t="s">
        <v>21090</v>
      </c>
      <c r="C412" s="2" t="s">
        <v>21091</v>
      </c>
      <c r="D412" s="2" t="s">
        <v>21092</v>
      </c>
      <c r="E412" s="2" t="s">
        <v>21093</v>
      </c>
      <c r="F412" s="2"/>
      <c r="G412" s="2"/>
      <c r="H412" s="2" t="s">
        <v>1175</v>
      </c>
      <c r="I412" s="2" t="s">
        <v>1176</v>
      </c>
      <c r="J412" s="2" t="s">
        <v>10359</v>
      </c>
      <c r="K412" s="2" t="s">
        <v>21092</v>
      </c>
      <c r="L412" s="2"/>
      <c r="M412" s="2"/>
      <c r="N412" s="2"/>
      <c r="O412" s="2" t="s">
        <v>1175</v>
      </c>
      <c r="P412" s="2" t="s">
        <v>1176</v>
      </c>
      <c r="Q412" s="2" t="s">
        <v>10359</v>
      </c>
      <c r="R412" s="2" t="s">
        <v>21094</v>
      </c>
      <c r="S412" s="2" t="s">
        <v>44</v>
      </c>
      <c r="T412" s="2"/>
      <c r="U412" s="2" t="s">
        <v>3527</v>
      </c>
      <c r="V412" s="2" t="s">
        <v>46</v>
      </c>
      <c r="W412" s="2" t="s">
        <v>3527</v>
      </c>
      <c r="X412" s="2" t="s">
        <v>10787</v>
      </c>
      <c r="Y412" s="2" t="s">
        <v>10801</v>
      </c>
      <c r="Z412" s="2" t="s">
        <v>7864</v>
      </c>
      <c r="AA412" s="2">
        <v>90</v>
      </c>
      <c r="AB412" s="2">
        <v>0</v>
      </c>
      <c r="AC412" s="2" t="s">
        <v>10789</v>
      </c>
      <c r="AD412" s="2" t="s">
        <v>21095</v>
      </c>
      <c r="AE412" s="2" t="s">
        <v>18260</v>
      </c>
      <c r="AF412" s="2"/>
      <c r="AG412" s="2" t="s">
        <v>18250</v>
      </c>
    </row>
    <row r="413" spans="1:33" x14ac:dyDescent="0.45">
      <c r="A413" s="2" t="s">
        <v>21096</v>
      </c>
      <c r="B413" s="2" t="s">
        <v>21097</v>
      </c>
      <c r="C413" s="2" t="s">
        <v>21096</v>
      </c>
      <c r="D413" s="2" t="s">
        <v>21098</v>
      </c>
      <c r="E413" s="2" t="s">
        <v>21099</v>
      </c>
      <c r="F413" s="2" t="s">
        <v>21100</v>
      </c>
      <c r="G413" s="2" t="s">
        <v>21100</v>
      </c>
      <c r="H413" s="2" t="s">
        <v>5984</v>
      </c>
      <c r="I413" s="2" t="s">
        <v>313</v>
      </c>
      <c r="J413" s="2" t="s">
        <v>12526</v>
      </c>
      <c r="K413" s="2"/>
      <c r="L413" s="2"/>
      <c r="M413" s="2"/>
      <c r="N413" s="2"/>
      <c r="O413" s="2"/>
      <c r="P413" s="2"/>
      <c r="Q413" s="2"/>
      <c r="R413" s="2" t="s">
        <v>7730</v>
      </c>
      <c r="S413" s="2" t="s">
        <v>44</v>
      </c>
      <c r="T413" s="2"/>
      <c r="U413" s="2" t="s">
        <v>821</v>
      </c>
      <c r="V413" s="2" t="s">
        <v>46</v>
      </c>
      <c r="W413" s="2" t="s">
        <v>821</v>
      </c>
      <c r="X413" s="2" t="s">
        <v>10787</v>
      </c>
      <c r="Y413" s="2" t="s">
        <v>10801</v>
      </c>
      <c r="Z413" s="2" t="s">
        <v>7864</v>
      </c>
      <c r="AA413" s="2">
        <v>100</v>
      </c>
      <c r="AB413" s="2">
        <v>12</v>
      </c>
      <c r="AC413" s="2" t="s">
        <v>10789</v>
      </c>
      <c r="AD413" s="2" t="s">
        <v>21101</v>
      </c>
      <c r="AE413" s="2" t="s">
        <v>18260</v>
      </c>
      <c r="AF413" s="2"/>
      <c r="AG413" s="2" t="s">
        <v>18250</v>
      </c>
    </row>
    <row r="414" spans="1:33" x14ac:dyDescent="0.45">
      <c r="A414" s="2" t="s">
        <v>21102</v>
      </c>
      <c r="B414" s="2" t="s">
        <v>21103</v>
      </c>
      <c r="C414" s="2" t="s">
        <v>21104</v>
      </c>
      <c r="D414" s="2" t="s">
        <v>21105</v>
      </c>
      <c r="E414" s="2" t="s">
        <v>21106</v>
      </c>
      <c r="F414" s="2" t="s">
        <v>21107</v>
      </c>
      <c r="G414" s="2"/>
      <c r="H414" s="2" t="s">
        <v>21108</v>
      </c>
      <c r="I414" s="2" t="s">
        <v>73</v>
      </c>
      <c r="J414" s="2" t="s">
        <v>21109</v>
      </c>
      <c r="K414" s="2" t="s">
        <v>21105</v>
      </c>
      <c r="L414" s="2"/>
      <c r="M414" s="2"/>
      <c r="N414" s="2"/>
      <c r="O414" s="2" t="s">
        <v>21108</v>
      </c>
      <c r="P414" s="2" t="s">
        <v>73</v>
      </c>
      <c r="Q414" s="2" t="s">
        <v>21109</v>
      </c>
      <c r="R414" s="2" t="s">
        <v>21110</v>
      </c>
      <c r="S414" s="2" t="s">
        <v>44</v>
      </c>
      <c r="T414" s="2"/>
      <c r="U414" s="2" t="s">
        <v>3527</v>
      </c>
      <c r="V414" s="2" t="s">
        <v>46</v>
      </c>
      <c r="W414" s="2" t="s">
        <v>3527</v>
      </c>
      <c r="X414" s="2" t="s">
        <v>10787</v>
      </c>
      <c r="Y414" s="2" t="s">
        <v>10801</v>
      </c>
      <c r="Z414" s="2" t="s">
        <v>7864</v>
      </c>
      <c r="AA414" s="2">
        <v>100</v>
      </c>
      <c r="AB414" s="2">
        <v>5</v>
      </c>
      <c r="AC414" s="2" t="s">
        <v>10789</v>
      </c>
      <c r="AD414" s="2" t="s">
        <v>21111</v>
      </c>
      <c r="AE414" s="2" t="s">
        <v>18260</v>
      </c>
      <c r="AF414" s="2"/>
      <c r="AG414" s="2" t="s">
        <v>18250</v>
      </c>
    </row>
    <row r="415" spans="1:33" x14ac:dyDescent="0.45">
      <c r="A415" s="2" t="s">
        <v>21112</v>
      </c>
      <c r="B415" s="2" t="s">
        <v>21113</v>
      </c>
      <c r="C415" s="2" t="s">
        <v>21114</v>
      </c>
      <c r="D415" s="2" t="s">
        <v>21115</v>
      </c>
      <c r="E415" s="2" t="s">
        <v>21116</v>
      </c>
      <c r="F415" s="2" t="s">
        <v>21117</v>
      </c>
      <c r="G415" s="2" t="s">
        <v>21117</v>
      </c>
      <c r="H415" s="2" t="s">
        <v>72</v>
      </c>
      <c r="I415" s="2" t="s">
        <v>73</v>
      </c>
      <c r="J415" s="2" t="s">
        <v>5401</v>
      </c>
      <c r="K415" s="2" t="s">
        <v>21118</v>
      </c>
      <c r="L415" s="2"/>
      <c r="M415" s="2"/>
      <c r="N415" s="2"/>
      <c r="O415" s="2" t="s">
        <v>72</v>
      </c>
      <c r="P415" s="2" t="s">
        <v>73</v>
      </c>
      <c r="Q415" s="2" t="s">
        <v>5401</v>
      </c>
      <c r="R415" s="2" t="s">
        <v>15501</v>
      </c>
      <c r="S415" s="2" t="s">
        <v>44</v>
      </c>
      <c r="T415" s="2"/>
      <c r="U415" s="2" t="s">
        <v>821</v>
      </c>
      <c r="V415" s="2" t="s">
        <v>46</v>
      </c>
      <c r="W415" s="2" t="s">
        <v>821</v>
      </c>
      <c r="X415" s="2" t="s">
        <v>12417</v>
      </c>
      <c r="Y415" s="2" t="s">
        <v>10801</v>
      </c>
      <c r="Z415" s="2" t="s">
        <v>7864</v>
      </c>
      <c r="AA415" s="2">
        <v>100</v>
      </c>
      <c r="AB415" s="2">
        <v>17</v>
      </c>
      <c r="AC415" s="2" t="s">
        <v>10789</v>
      </c>
      <c r="AD415" s="2" t="s">
        <v>21119</v>
      </c>
      <c r="AE415" s="2" t="s">
        <v>18260</v>
      </c>
      <c r="AF415" s="2"/>
      <c r="AG415" s="2" t="s">
        <v>18250</v>
      </c>
    </row>
    <row r="416" spans="1:33" x14ac:dyDescent="0.45">
      <c r="A416" s="2" t="s">
        <v>21120</v>
      </c>
      <c r="B416" s="2" t="s">
        <v>21121</v>
      </c>
      <c r="C416" s="2" t="s">
        <v>21122</v>
      </c>
      <c r="D416" s="2" t="s">
        <v>21123</v>
      </c>
      <c r="E416" s="2" t="s">
        <v>21124</v>
      </c>
      <c r="F416" s="2"/>
      <c r="G416" s="2"/>
      <c r="H416" s="2" t="s">
        <v>12870</v>
      </c>
      <c r="I416" s="2" t="s">
        <v>278</v>
      </c>
      <c r="J416" s="2" t="s">
        <v>12871</v>
      </c>
      <c r="K416" s="2" t="s">
        <v>21123</v>
      </c>
      <c r="L416" s="2"/>
      <c r="M416" s="2"/>
      <c r="N416" s="2"/>
      <c r="O416" s="2" t="s">
        <v>12870</v>
      </c>
      <c r="P416" s="2" t="s">
        <v>278</v>
      </c>
      <c r="Q416" s="2" t="s">
        <v>12871</v>
      </c>
      <c r="R416" s="2" t="s">
        <v>21125</v>
      </c>
      <c r="S416" s="2" t="s">
        <v>44</v>
      </c>
      <c r="T416" s="2"/>
      <c r="U416" s="2" t="s">
        <v>821</v>
      </c>
      <c r="V416" s="2" t="s">
        <v>46</v>
      </c>
      <c r="W416" s="2" t="s">
        <v>821</v>
      </c>
      <c r="X416" s="2" t="s">
        <v>12417</v>
      </c>
      <c r="Y416" s="2" t="s">
        <v>10801</v>
      </c>
      <c r="Z416" s="2" t="s">
        <v>7864</v>
      </c>
      <c r="AA416" s="2">
        <v>90</v>
      </c>
      <c r="AB416" s="2">
        <v>2</v>
      </c>
      <c r="AC416" s="2" t="s">
        <v>10789</v>
      </c>
      <c r="AD416" s="2" t="s">
        <v>21126</v>
      </c>
      <c r="AE416" s="2" t="s">
        <v>18260</v>
      </c>
      <c r="AF416" s="2"/>
      <c r="AG416" s="2" t="s">
        <v>18250</v>
      </c>
    </row>
    <row r="417" spans="1:33" x14ac:dyDescent="0.45">
      <c r="A417" s="2" t="s">
        <v>21127</v>
      </c>
      <c r="B417" s="2" t="s">
        <v>21128</v>
      </c>
      <c r="C417" s="2" t="s">
        <v>21129</v>
      </c>
      <c r="D417" s="2" t="s">
        <v>21130</v>
      </c>
      <c r="E417" s="2" t="s">
        <v>21131</v>
      </c>
      <c r="F417" s="2"/>
      <c r="G417" s="2"/>
      <c r="H417" s="2" t="s">
        <v>8544</v>
      </c>
      <c r="I417" s="2" t="s">
        <v>73</v>
      </c>
      <c r="J417" s="2" t="s">
        <v>12735</v>
      </c>
      <c r="K417" s="2" t="s">
        <v>21132</v>
      </c>
      <c r="L417" s="2"/>
      <c r="M417" s="2"/>
      <c r="N417" s="2"/>
      <c r="O417" s="2" t="s">
        <v>8544</v>
      </c>
      <c r="P417" s="2" t="s">
        <v>73</v>
      </c>
      <c r="Q417" s="2" t="s">
        <v>12735</v>
      </c>
      <c r="R417" s="2" t="s">
        <v>9053</v>
      </c>
      <c r="S417" s="2" t="s">
        <v>44</v>
      </c>
      <c r="T417" s="2"/>
      <c r="U417" s="2" t="s">
        <v>3527</v>
      </c>
      <c r="V417" s="2" t="s">
        <v>46</v>
      </c>
      <c r="W417" s="2" t="s">
        <v>3527</v>
      </c>
      <c r="X417" s="2" t="s">
        <v>10787</v>
      </c>
      <c r="Y417" s="2" t="s">
        <v>10801</v>
      </c>
      <c r="Z417" s="2" t="s">
        <v>7864</v>
      </c>
      <c r="AA417" s="2">
        <v>90</v>
      </c>
      <c r="AB417" s="2">
        <v>0</v>
      </c>
      <c r="AC417" s="2" t="s">
        <v>10789</v>
      </c>
      <c r="AD417" s="2" t="s">
        <v>21133</v>
      </c>
      <c r="AE417" s="2" t="s">
        <v>18260</v>
      </c>
      <c r="AF417" s="2"/>
      <c r="AG417" s="2" t="s">
        <v>18250</v>
      </c>
    </row>
    <row r="418" spans="1:33" x14ac:dyDescent="0.45">
      <c r="A418" s="2" t="s">
        <v>21134</v>
      </c>
      <c r="B418" s="2" t="s">
        <v>21135</v>
      </c>
      <c r="C418" s="2" t="s">
        <v>21136</v>
      </c>
      <c r="D418" s="2" t="s">
        <v>21137</v>
      </c>
      <c r="E418" s="2" t="s">
        <v>21138</v>
      </c>
      <c r="F418" s="2"/>
      <c r="G418" s="2"/>
      <c r="H418" s="2" t="s">
        <v>18516</v>
      </c>
      <c r="I418" s="2" t="s">
        <v>175</v>
      </c>
      <c r="J418" s="2" t="s">
        <v>21139</v>
      </c>
      <c r="K418" s="2" t="s">
        <v>21140</v>
      </c>
      <c r="L418" s="2"/>
      <c r="M418" s="2"/>
      <c r="N418" s="2"/>
      <c r="O418" s="2" t="s">
        <v>18516</v>
      </c>
      <c r="P418" s="2" t="s">
        <v>175</v>
      </c>
      <c r="Q418" s="2" t="s">
        <v>21139</v>
      </c>
      <c r="R418" s="2" t="s">
        <v>8456</v>
      </c>
      <c r="S418" s="2" t="s">
        <v>44</v>
      </c>
      <c r="T418" s="2"/>
      <c r="U418" s="2" t="s">
        <v>3527</v>
      </c>
      <c r="V418" s="2" t="s">
        <v>46</v>
      </c>
      <c r="W418" s="2" t="s">
        <v>3527</v>
      </c>
      <c r="X418" s="2" t="s">
        <v>10787</v>
      </c>
      <c r="Y418" s="2" t="s">
        <v>10801</v>
      </c>
      <c r="Z418" s="2" t="s">
        <v>7864</v>
      </c>
      <c r="AA418" s="2">
        <v>90</v>
      </c>
      <c r="AB418" s="2">
        <v>0</v>
      </c>
      <c r="AC418" s="2" t="s">
        <v>10789</v>
      </c>
      <c r="AD418" s="2" t="s">
        <v>21141</v>
      </c>
      <c r="AE418" s="2" t="s">
        <v>18260</v>
      </c>
      <c r="AF418" s="2"/>
      <c r="AG418" s="2" t="s">
        <v>18250</v>
      </c>
    </row>
    <row r="419" spans="1:33" x14ac:dyDescent="0.45">
      <c r="A419" s="2" t="s">
        <v>21142</v>
      </c>
      <c r="B419" s="2" t="s">
        <v>21143</v>
      </c>
      <c r="C419" s="2" t="s">
        <v>21144</v>
      </c>
      <c r="D419" s="2" t="s">
        <v>21145</v>
      </c>
      <c r="E419" s="2" t="s">
        <v>21146</v>
      </c>
      <c r="F419" s="2"/>
      <c r="G419" s="2"/>
      <c r="H419" s="2" t="s">
        <v>72</v>
      </c>
      <c r="I419" s="2" t="s">
        <v>73</v>
      </c>
      <c r="J419" s="2" t="s">
        <v>9973</v>
      </c>
      <c r="K419" s="2" t="s">
        <v>21147</v>
      </c>
      <c r="L419" s="2"/>
      <c r="M419" s="2"/>
      <c r="N419" s="2"/>
      <c r="O419" s="2" t="s">
        <v>72</v>
      </c>
      <c r="P419" s="2" t="s">
        <v>73</v>
      </c>
      <c r="Q419" s="2" t="s">
        <v>9973</v>
      </c>
      <c r="R419" s="2" t="s">
        <v>21148</v>
      </c>
      <c r="S419" s="2" t="s">
        <v>44</v>
      </c>
      <c r="T419" s="2"/>
      <c r="U419" s="2" t="s">
        <v>821</v>
      </c>
      <c r="V419" s="2" t="s">
        <v>46</v>
      </c>
      <c r="W419" s="2" t="s">
        <v>821</v>
      </c>
      <c r="X419" s="2" t="s">
        <v>10787</v>
      </c>
      <c r="Y419" s="2" t="s">
        <v>10801</v>
      </c>
      <c r="Z419" s="2" t="s">
        <v>7864</v>
      </c>
      <c r="AA419" s="2">
        <v>90</v>
      </c>
      <c r="AB419" s="2">
        <v>7</v>
      </c>
      <c r="AC419" s="2" t="s">
        <v>10789</v>
      </c>
      <c r="AD419" s="2" t="s">
        <v>21149</v>
      </c>
      <c r="AE419" s="2" t="s">
        <v>18260</v>
      </c>
      <c r="AF419" s="2"/>
      <c r="AG419" s="2" t="s">
        <v>18250</v>
      </c>
    </row>
    <row r="420" spans="1:33" x14ac:dyDescent="0.45">
      <c r="A420" s="2" t="s">
        <v>21150</v>
      </c>
      <c r="B420" s="2" t="s">
        <v>21151</v>
      </c>
      <c r="C420" s="2" t="s">
        <v>21152</v>
      </c>
      <c r="D420" s="2" t="s">
        <v>21153</v>
      </c>
      <c r="E420" s="2" t="s">
        <v>21154</v>
      </c>
      <c r="F420" s="2" t="s">
        <v>21155</v>
      </c>
      <c r="G420" s="2"/>
      <c r="H420" s="2" t="s">
        <v>290</v>
      </c>
      <c r="I420" s="2" t="s">
        <v>278</v>
      </c>
      <c r="J420" s="2" t="s">
        <v>291</v>
      </c>
      <c r="K420" s="2" t="s">
        <v>21156</v>
      </c>
      <c r="L420" s="2"/>
      <c r="M420" s="2"/>
      <c r="N420" s="2"/>
      <c r="O420" s="2" t="s">
        <v>290</v>
      </c>
      <c r="P420" s="2" t="s">
        <v>278</v>
      </c>
      <c r="Q420" s="2" t="s">
        <v>291</v>
      </c>
      <c r="R420" s="2" t="s">
        <v>4800</v>
      </c>
      <c r="S420" s="2" t="s">
        <v>44</v>
      </c>
      <c r="T420" s="2"/>
      <c r="U420" s="2" t="s">
        <v>821</v>
      </c>
      <c r="V420" s="2" t="s">
        <v>46</v>
      </c>
      <c r="W420" s="2" t="s">
        <v>821</v>
      </c>
      <c r="X420" s="2" t="s">
        <v>10787</v>
      </c>
      <c r="Y420" s="2" t="s">
        <v>10801</v>
      </c>
      <c r="Z420" s="2" t="s">
        <v>7864</v>
      </c>
      <c r="AA420" s="2">
        <v>100</v>
      </c>
      <c r="AB420" s="2">
        <v>17</v>
      </c>
      <c r="AC420" s="2" t="s">
        <v>10789</v>
      </c>
      <c r="AD420" s="2" t="s">
        <v>21157</v>
      </c>
      <c r="AE420" s="2" t="s">
        <v>18260</v>
      </c>
      <c r="AF420" s="2"/>
      <c r="AG420" s="2" t="s">
        <v>18250</v>
      </c>
    </row>
    <row r="421" spans="1:33" x14ac:dyDescent="0.45">
      <c r="A421" s="2" t="s">
        <v>21158</v>
      </c>
      <c r="B421" s="2" t="s">
        <v>21159</v>
      </c>
      <c r="C421" s="2" t="s">
        <v>21160</v>
      </c>
      <c r="D421" s="2" t="s">
        <v>21161</v>
      </c>
      <c r="E421" s="2" t="s">
        <v>21162</v>
      </c>
      <c r="F421" s="2"/>
      <c r="G421" s="2"/>
      <c r="H421" s="2" t="s">
        <v>72</v>
      </c>
      <c r="I421" s="2" t="s">
        <v>73</v>
      </c>
      <c r="J421" s="2" t="s">
        <v>7033</v>
      </c>
      <c r="K421" s="2" t="s">
        <v>21161</v>
      </c>
      <c r="L421" s="2"/>
      <c r="M421" s="2"/>
      <c r="N421" s="2"/>
      <c r="O421" s="2" t="s">
        <v>72</v>
      </c>
      <c r="P421" s="2" t="s">
        <v>73</v>
      </c>
      <c r="Q421" s="2" t="s">
        <v>7033</v>
      </c>
      <c r="R421" s="2" t="s">
        <v>21163</v>
      </c>
      <c r="S421" s="2" t="s">
        <v>44</v>
      </c>
      <c r="T421" s="2"/>
      <c r="U421" s="2" t="s">
        <v>3527</v>
      </c>
      <c r="V421" s="2" t="s">
        <v>46</v>
      </c>
      <c r="W421" s="2" t="s">
        <v>3527</v>
      </c>
      <c r="X421" s="2" t="s">
        <v>10787</v>
      </c>
      <c r="Y421" s="2" t="s">
        <v>10801</v>
      </c>
      <c r="Z421" s="2" t="s">
        <v>7864</v>
      </c>
      <c r="AA421" s="2">
        <v>90</v>
      </c>
      <c r="AB421" s="2">
        <v>0</v>
      </c>
      <c r="AC421" s="2" t="s">
        <v>10789</v>
      </c>
      <c r="AD421" s="2" t="s">
        <v>21164</v>
      </c>
      <c r="AE421" s="2" t="s">
        <v>18260</v>
      </c>
      <c r="AF421" s="2"/>
      <c r="AG421" s="2" t="s">
        <v>18250</v>
      </c>
    </row>
    <row r="422" spans="1:33" x14ac:dyDescent="0.45">
      <c r="A422" s="2" t="s">
        <v>21165</v>
      </c>
      <c r="B422" s="2" t="s">
        <v>21166</v>
      </c>
      <c r="C422" s="2" t="s">
        <v>21165</v>
      </c>
      <c r="D422" s="2" t="s">
        <v>21167</v>
      </c>
      <c r="E422" s="2" t="s">
        <v>21168</v>
      </c>
      <c r="F422" s="2"/>
      <c r="G422" s="2"/>
      <c r="H422" s="2" t="s">
        <v>12989</v>
      </c>
      <c r="I422" s="2" t="s">
        <v>313</v>
      </c>
      <c r="J422" s="2" t="s">
        <v>12990</v>
      </c>
      <c r="K422" s="2" t="s">
        <v>21167</v>
      </c>
      <c r="L422" s="2"/>
      <c r="M422" s="2"/>
      <c r="N422" s="2"/>
      <c r="O422" s="2" t="s">
        <v>12989</v>
      </c>
      <c r="P422" s="2" t="s">
        <v>313</v>
      </c>
      <c r="Q422" s="2" t="s">
        <v>12990</v>
      </c>
      <c r="R422" s="2" t="s">
        <v>21169</v>
      </c>
      <c r="S422" s="2" t="s">
        <v>44</v>
      </c>
      <c r="T422" s="2"/>
      <c r="U422" s="2" t="s">
        <v>821</v>
      </c>
      <c r="V422" s="2" t="s">
        <v>46</v>
      </c>
      <c r="W422" s="2" t="s">
        <v>821</v>
      </c>
      <c r="X422" s="2" t="s">
        <v>10787</v>
      </c>
      <c r="Y422" s="2" t="s">
        <v>10801</v>
      </c>
      <c r="Z422" s="2" t="s">
        <v>7864</v>
      </c>
      <c r="AA422" s="2">
        <v>90</v>
      </c>
      <c r="AB422" s="2">
        <v>2</v>
      </c>
      <c r="AC422" s="2" t="s">
        <v>10789</v>
      </c>
      <c r="AD422" s="2" t="s">
        <v>21170</v>
      </c>
      <c r="AE422" s="2" t="s">
        <v>18260</v>
      </c>
      <c r="AF422" s="2"/>
      <c r="AG422" s="2" t="s">
        <v>18250</v>
      </c>
    </row>
    <row r="423" spans="1:33" x14ac:dyDescent="0.45">
      <c r="A423" s="2" t="s">
        <v>21171</v>
      </c>
      <c r="B423" s="2" t="s">
        <v>21172</v>
      </c>
      <c r="C423" s="2" t="s">
        <v>21173</v>
      </c>
      <c r="D423" s="2" t="s">
        <v>21174</v>
      </c>
      <c r="E423" s="2" t="s">
        <v>21175</v>
      </c>
      <c r="F423" s="2"/>
      <c r="G423" s="2"/>
      <c r="H423" s="2" t="s">
        <v>59</v>
      </c>
      <c r="I423" s="2" t="s">
        <v>60</v>
      </c>
      <c r="J423" s="2" t="s">
        <v>151</v>
      </c>
      <c r="K423" s="2" t="s">
        <v>21174</v>
      </c>
      <c r="L423" s="2"/>
      <c r="M423" s="2"/>
      <c r="N423" s="2"/>
      <c r="O423" s="2" t="s">
        <v>59</v>
      </c>
      <c r="P423" s="2" t="s">
        <v>60</v>
      </c>
      <c r="Q423" s="2" t="s">
        <v>151</v>
      </c>
      <c r="R423" s="2" t="s">
        <v>20398</v>
      </c>
      <c r="S423" s="2" t="s">
        <v>44</v>
      </c>
      <c r="T423" s="2"/>
      <c r="U423" s="2" t="s">
        <v>821</v>
      </c>
      <c r="V423" s="2" t="s">
        <v>46</v>
      </c>
      <c r="W423" s="2" t="s">
        <v>821</v>
      </c>
      <c r="X423" s="2" t="s">
        <v>12462</v>
      </c>
      <c r="Y423" s="2" t="s">
        <v>10801</v>
      </c>
      <c r="Z423" s="2" t="s">
        <v>7864</v>
      </c>
      <c r="AA423" s="2">
        <v>90</v>
      </c>
      <c r="AB423" s="2">
        <v>7</v>
      </c>
      <c r="AC423" s="2" t="s">
        <v>10789</v>
      </c>
      <c r="AD423" s="2" t="s">
        <v>21176</v>
      </c>
      <c r="AE423" s="2" t="s">
        <v>18260</v>
      </c>
      <c r="AF423" s="2"/>
      <c r="AG423" s="2" t="s">
        <v>18250</v>
      </c>
    </row>
    <row r="424" spans="1:33" x14ac:dyDescent="0.45">
      <c r="A424" s="2" t="s">
        <v>21177</v>
      </c>
      <c r="B424" s="2" t="s">
        <v>21178</v>
      </c>
      <c r="C424" s="2" t="s">
        <v>21179</v>
      </c>
      <c r="D424" s="2" t="s">
        <v>21180</v>
      </c>
      <c r="E424" s="2" t="s">
        <v>21181</v>
      </c>
      <c r="F424" s="2" t="s">
        <v>21182</v>
      </c>
      <c r="G424" s="2" t="s">
        <v>21182</v>
      </c>
      <c r="H424" s="2" t="s">
        <v>8599</v>
      </c>
      <c r="I424" s="2" t="s">
        <v>40</v>
      </c>
      <c r="J424" s="2" t="s">
        <v>5466</v>
      </c>
      <c r="K424" s="2" t="s">
        <v>21183</v>
      </c>
      <c r="L424" s="2"/>
      <c r="M424" s="2"/>
      <c r="N424" s="2"/>
      <c r="O424" s="2" t="s">
        <v>8599</v>
      </c>
      <c r="P424" s="2" t="s">
        <v>40</v>
      </c>
      <c r="Q424" s="2" t="s">
        <v>5466</v>
      </c>
      <c r="R424" s="2" t="s">
        <v>2623</v>
      </c>
      <c r="S424" s="2" t="s">
        <v>44</v>
      </c>
      <c r="T424" s="2"/>
      <c r="U424" s="2" t="s">
        <v>821</v>
      </c>
      <c r="V424" s="2" t="s">
        <v>46</v>
      </c>
      <c r="W424" s="2" t="s">
        <v>821</v>
      </c>
      <c r="X424" s="2" t="s">
        <v>10787</v>
      </c>
      <c r="Y424" s="2" t="s">
        <v>10801</v>
      </c>
      <c r="Z424" s="2" t="s">
        <v>7864</v>
      </c>
      <c r="AA424" s="2">
        <v>100</v>
      </c>
      <c r="AB424" s="2">
        <v>12</v>
      </c>
      <c r="AC424" s="2" t="s">
        <v>10789</v>
      </c>
      <c r="AD424" s="2" t="s">
        <v>21184</v>
      </c>
      <c r="AE424" s="2" t="s">
        <v>18260</v>
      </c>
      <c r="AF424" s="2"/>
      <c r="AG424" s="2" t="s">
        <v>18250</v>
      </c>
    </row>
    <row r="425" spans="1:33" x14ac:dyDescent="0.45">
      <c r="A425" s="2" t="s">
        <v>21185</v>
      </c>
      <c r="B425" s="2" t="s">
        <v>21186</v>
      </c>
      <c r="C425" s="2" t="s">
        <v>21185</v>
      </c>
      <c r="D425" s="2" t="s">
        <v>21187</v>
      </c>
      <c r="E425" s="2" t="s">
        <v>21188</v>
      </c>
      <c r="F425" s="2" t="s">
        <v>21189</v>
      </c>
      <c r="G425" s="2" t="s">
        <v>21189</v>
      </c>
      <c r="H425" s="2" t="s">
        <v>12913</v>
      </c>
      <c r="I425" s="2" t="s">
        <v>60</v>
      </c>
      <c r="J425" s="2" t="s">
        <v>21190</v>
      </c>
      <c r="K425" s="2"/>
      <c r="L425" s="2"/>
      <c r="M425" s="2"/>
      <c r="N425" s="2"/>
      <c r="O425" s="2"/>
      <c r="P425" s="2"/>
      <c r="Q425" s="2"/>
      <c r="R425" s="2" t="s">
        <v>7824</v>
      </c>
      <c r="S425" s="2" t="s">
        <v>44</v>
      </c>
      <c r="T425" s="2"/>
      <c r="U425" s="2" t="s">
        <v>3527</v>
      </c>
      <c r="V425" s="2" t="s">
        <v>46</v>
      </c>
      <c r="W425" s="2" t="s">
        <v>3527</v>
      </c>
      <c r="X425" s="2" t="s">
        <v>10787</v>
      </c>
      <c r="Y425" s="2" t="s">
        <v>10801</v>
      </c>
      <c r="Z425" s="2" t="s">
        <v>7864</v>
      </c>
      <c r="AA425" s="2">
        <v>100</v>
      </c>
      <c r="AB425" s="2">
        <v>5</v>
      </c>
      <c r="AC425" s="2" t="s">
        <v>10789</v>
      </c>
      <c r="AD425" s="2" t="s">
        <v>21191</v>
      </c>
      <c r="AE425" s="2" t="s">
        <v>18260</v>
      </c>
      <c r="AF425" s="2"/>
      <c r="AG425" s="2" t="s">
        <v>18250</v>
      </c>
    </row>
    <row r="426" spans="1:33" x14ac:dyDescent="0.45">
      <c r="A426" s="2" t="s">
        <v>21192</v>
      </c>
      <c r="B426" s="2" t="s">
        <v>21193</v>
      </c>
      <c r="C426" s="2" t="s">
        <v>21194</v>
      </c>
      <c r="D426" s="2" t="s">
        <v>21195</v>
      </c>
      <c r="E426" s="2" t="s">
        <v>21196</v>
      </c>
      <c r="F426" s="2"/>
      <c r="G426" s="2"/>
      <c r="H426" s="2" t="s">
        <v>21197</v>
      </c>
      <c r="I426" s="2" t="s">
        <v>11362</v>
      </c>
      <c r="J426" s="2" t="s">
        <v>21198</v>
      </c>
      <c r="K426" s="2" t="s">
        <v>21195</v>
      </c>
      <c r="L426" s="2"/>
      <c r="M426" s="2"/>
      <c r="N426" s="2"/>
      <c r="O426" s="2" t="s">
        <v>21197</v>
      </c>
      <c r="P426" s="2" t="s">
        <v>11362</v>
      </c>
      <c r="Q426" s="2" t="s">
        <v>21198</v>
      </c>
      <c r="R426" s="2" t="s">
        <v>11415</v>
      </c>
      <c r="S426" s="2" t="s">
        <v>44</v>
      </c>
      <c r="T426" s="2"/>
      <c r="U426" s="2" t="s">
        <v>3527</v>
      </c>
      <c r="V426" s="2" t="s">
        <v>46</v>
      </c>
      <c r="W426" s="2" t="s">
        <v>3527</v>
      </c>
      <c r="X426" s="2" t="s">
        <v>12028</v>
      </c>
      <c r="Y426" s="2" t="s">
        <v>10801</v>
      </c>
      <c r="Z426" s="2" t="s">
        <v>7864</v>
      </c>
      <c r="AA426" s="2">
        <v>90</v>
      </c>
      <c r="AB426" s="2">
        <v>0</v>
      </c>
      <c r="AC426" s="2" t="s">
        <v>10789</v>
      </c>
      <c r="AD426" s="2" t="s">
        <v>21199</v>
      </c>
      <c r="AE426" s="2" t="s">
        <v>18260</v>
      </c>
      <c r="AF426" s="2"/>
      <c r="AG426" s="2" t="s">
        <v>18250</v>
      </c>
    </row>
    <row r="427" spans="1:33" x14ac:dyDescent="0.45">
      <c r="A427" s="2" t="s">
        <v>21200</v>
      </c>
      <c r="B427" s="2" t="s">
        <v>21201</v>
      </c>
      <c r="C427" s="2" t="s">
        <v>21202</v>
      </c>
      <c r="D427" s="2" t="s">
        <v>21203</v>
      </c>
      <c r="E427" s="2" t="s">
        <v>21204</v>
      </c>
      <c r="F427" s="2" t="s">
        <v>21205</v>
      </c>
      <c r="G427" s="2"/>
      <c r="H427" s="2" t="s">
        <v>277</v>
      </c>
      <c r="I427" s="2" t="s">
        <v>278</v>
      </c>
      <c r="J427" s="2" t="s">
        <v>1060</v>
      </c>
      <c r="K427" s="2"/>
      <c r="L427" s="2"/>
      <c r="M427" s="2"/>
      <c r="N427" s="2"/>
      <c r="O427" s="2"/>
      <c r="P427" s="2"/>
      <c r="Q427" s="2"/>
      <c r="R427" s="2" t="s">
        <v>1419</v>
      </c>
      <c r="S427" s="2" t="s">
        <v>44</v>
      </c>
      <c r="T427" s="2"/>
      <c r="U427" s="2" t="s">
        <v>3527</v>
      </c>
      <c r="V427" s="2" t="s">
        <v>46</v>
      </c>
      <c r="W427" s="2" t="s">
        <v>3527</v>
      </c>
      <c r="X427" s="2" t="s">
        <v>10787</v>
      </c>
      <c r="Y427" s="2" t="s">
        <v>10801</v>
      </c>
      <c r="Z427" s="2" t="s">
        <v>7864</v>
      </c>
      <c r="AA427" s="2">
        <v>100</v>
      </c>
      <c r="AB427" s="2">
        <v>10</v>
      </c>
      <c r="AC427" s="2" t="s">
        <v>10789</v>
      </c>
      <c r="AD427" s="2" t="s">
        <v>21206</v>
      </c>
      <c r="AE427" s="2" t="s">
        <v>18260</v>
      </c>
      <c r="AF427" s="2"/>
      <c r="AG427" s="2" t="s">
        <v>18250</v>
      </c>
    </row>
    <row r="428" spans="1:33" x14ac:dyDescent="0.45">
      <c r="A428" s="2" t="s">
        <v>21207</v>
      </c>
      <c r="B428" s="2" t="s">
        <v>21208</v>
      </c>
      <c r="C428" s="2" t="s">
        <v>21207</v>
      </c>
      <c r="D428" s="2" t="s">
        <v>21209</v>
      </c>
      <c r="E428" s="2" t="s">
        <v>21210</v>
      </c>
      <c r="F428" s="2" t="s">
        <v>21211</v>
      </c>
      <c r="G428" s="2"/>
      <c r="H428" s="2" t="s">
        <v>85</v>
      </c>
      <c r="I428" s="2" t="s">
        <v>86</v>
      </c>
      <c r="J428" s="2" t="s">
        <v>2021</v>
      </c>
      <c r="K428" s="2" t="s">
        <v>21209</v>
      </c>
      <c r="L428" s="2"/>
      <c r="M428" s="2"/>
      <c r="N428" s="2"/>
      <c r="O428" s="2" t="s">
        <v>85</v>
      </c>
      <c r="P428" s="2" t="s">
        <v>86</v>
      </c>
      <c r="Q428" s="2" t="s">
        <v>2021</v>
      </c>
      <c r="R428" s="2" t="s">
        <v>11131</v>
      </c>
      <c r="S428" s="2" t="s">
        <v>44</v>
      </c>
      <c r="T428" s="2"/>
      <c r="U428" s="2" t="s">
        <v>3527</v>
      </c>
      <c r="V428" s="2" t="s">
        <v>46</v>
      </c>
      <c r="W428" s="2" t="s">
        <v>3527</v>
      </c>
      <c r="X428" s="2" t="s">
        <v>11225</v>
      </c>
      <c r="Y428" s="2" t="s">
        <v>10801</v>
      </c>
      <c r="Z428" s="2" t="s">
        <v>7864</v>
      </c>
      <c r="AA428" s="2">
        <v>100</v>
      </c>
      <c r="AB428" s="2">
        <v>10</v>
      </c>
      <c r="AC428" s="2" t="s">
        <v>10789</v>
      </c>
      <c r="AD428" s="2" t="s">
        <v>21212</v>
      </c>
      <c r="AE428" s="2" t="s">
        <v>18260</v>
      </c>
      <c r="AF428" s="2"/>
      <c r="AG428" s="2" t="s">
        <v>18250</v>
      </c>
    </row>
    <row r="429" spans="1:33" x14ac:dyDescent="0.45">
      <c r="A429" s="2" t="s">
        <v>21213</v>
      </c>
      <c r="B429" s="2" t="s">
        <v>21214</v>
      </c>
      <c r="C429" s="2" t="s">
        <v>21215</v>
      </c>
      <c r="D429" s="2" t="s">
        <v>21216</v>
      </c>
      <c r="E429" s="2" t="s">
        <v>21217</v>
      </c>
      <c r="F429" s="2"/>
      <c r="G429" s="2"/>
      <c r="H429" s="2" t="s">
        <v>72</v>
      </c>
      <c r="I429" s="2" t="s">
        <v>73</v>
      </c>
      <c r="J429" s="2" t="s">
        <v>6376</v>
      </c>
      <c r="K429" s="2" t="s">
        <v>21218</v>
      </c>
      <c r="L429" s="2"/>
      <c r="M429" s="2"/>
      <c r="N429" s="2"/>
      <c r="O429" s="2" t="s">
        <v>72</v>
      </c>
      <c r="P429" s="2" t="s">
        <v>73</v>
      </c>
      <c r="Q429" s="2" t="s">
        <v>6376</v>
      </c>
      <c r="R429" s="2" t="s">
        <v>16030</v>
      </c>
      <c r="S429" s="2" t="s">
        <v>44</v>
      </c>
      <c r="T429" s="2"/>
      <c r="U429" s="2" t="s">
        <v>3527</v>
      </c>
      <c r="V429" s="2" t="s">
        <v>46</v>
      </c>
      <c r="W429" s="2" t="s">
        <v>3527</v>
      </c>
      <c r="X429" s="2" t="s">
        <v>10787</v>
      </c>
      <c r="Y429" s="2" t="s">
        <v>10801</v>
      </c>
      <c r="Z429" s="2" t="s">
        <v>7864</v>
      </c>
      <c r="AA429" s="2">
        <v>90</v>
      </c>
      <c r="AB429" s="2">
        <v>0</v>
      </c>
      <c r="AC429" s="2" t="s">
        <v>10789</v>
      </c>
      <c r="AD429" s="2" t="s">
        <v>21219</v>
      </c>
      <c r="AE429" s="2" t="s">
        <v>18260</v>
      </c>
      <c r="AF429" s="2"/>
      <c r="AG429" s="2" t="s">
        <v>18250</v>
      </c>
    </row>
    <row r="430" spans="1:33" x14ac:dyDescent="0.45">
      <c r="A430" s="2" t="s">
        <v>21220</v>
      </c>
      <c r="B430" s="2" t="s">
        <v>21221</v>
      </c>
      <c r="C430" s="2" t="s">
        <v>21220</v>
      </c>
      <c r="D430" s="2" t="s">
        <v>21222</v>
      </c>
      <c r="E430" s="2" t="s">
        <v>21223</v>
      </c>
      <c r="F430" s="2"/>
      <c r="G430" s="2"/>
      <c r="H430" s="2" t="s">
        <v>85</v>
      </c>
      <c r="I430" s="2" t="s">
        <v>86</v>
      </c>
      <c r="J430" s="2" t="s">
        <v>9191</v>
      </c>
      <c r="K430" s="2" t="s">
        <v>21224</v>
      </c>
      <c r="L430" s="2"/>
      <c r="M430" s="2"/>
      <c r="N430" s="2"/>
      <c r="O430" s="2" t="s">
        <v>651</v>
      </c>
      <c r="P430" s="2" t="s">
        <v>86</v>
      </c>
      <c r="Q430" s="2" t="s">
        <v>9191</v>
      </c>
      <c r="R430" s="2" t="s">
        <v>20780</v>
      </c>
      <c r="S430" s="2" t="s">
        <v>44</v>
      </c>
      <c r="T430" s="2"/>
      <c r="U430" s="2" t="s">
        <v>3527</v>
      </c>
      <c r="V430" s="2" t="s">
        <v>46</v>
      </c>
      <c r="W430" s="2" t="s">
        <v>3527</v>
      </c>
      <c r="X430" s="2" t="s">
        <v>10787</v>
      </c>
      <c r="Y430" s="2" t="s">
        <v>10801</v>
      </c>
      <c r="Z430" s="2" t="s">
        <v>7864</v>
      </c>
      <c r="AA430" s="2">
        <v>90</v>
      </c>
      <c r="AB430" s="2">
        <v>0</v>
      </c>
      <c r="AC430" s="2" t="s">
        <v>10789</v>
      </c>
      <c r="AD430" s="2" t="s">
        <v>21225</v>
      </c>
      <c r="AE430" s="2" t="s">
        <v>18260</v>
      </c>
      <c r="AF430" s="2"/>
      <c r="AG430" s="2" t="s">
        <v>18250</v>
      </c>
    </row>
    <row r="431" spans="1:33" x14ac:dyDescent="0.45">
      <c r="A431" s="2" t="s">
        <v>21226</v>
      </c>
      <c r="B431" s="2" t="s">
        <v>21227</v>
      </c>
      <c r="C431" s="2" t="s">
        <v>21226</v>
      </c>
      <c r="D431" s="2" t="s">
        <v>21228</v>
      </c>
      <c r="E431" s="2" t="s">
        <v>21229</v>
      </c>
      <c r="F431" s="2" t="s">
        <v>709</v>
      </c>
      <c r="G431" s="2" t="s">
        <v>709</v>
      </c>
      <c r="H431" s="2" t="s">
        <v>312</v>
      </c>
      <c r="I431" s="2" t="s">
        <v>313</v>
      </c>
      <c r="J431" s="2" t="s">
        <v>7647</v>
      </c>
      <c r="K431" s="2"/>
      <c r="L431" s="2"/>
      <c r="M431" s="2"/>
      <c r="N431" s="2"/>
      <c r="O431" s="2"/>
      <c r="P431" s="2"/>
      <c r="Q431" s="2"/>
      <c r="R431" s="2" t="s">
        <v>20505</v>
      </c>
      <c r="S431" s="2" t="s">
        <v>44</v>
      </c>
      <c r="T431" s="2"/>
      <c r="U431" s="2" t="s">
        <v>3527</v>
      </c>
      <c r="V431" s="2" t="s">
        <v>46</v>
      </c>
      <c r="W431" s="2" t="s">
        <v>3527</v>
      </c>
      <c r="X431" s="2" t="s">
        <v>10787</v>
      </c>
      <c r="Y431" s="2" t="s">
        <v>10801</v>
      </c>
      <c r="Z431" s="2" t="s">
        <v>7864</v>
      </c>
      <c r="AA431" s="2">
        <v>100</v>
      </c>
      <c r="AB431" s="2">
        <v>10</v>
      </c>
      <c r="AC431" s="2" t="s">
        <v>10789</v>
      </c>
      <c r="AD431" s="2" t="s">
        <v>21230</v>
      </c>
      <c r="AE431" s="2" t="s">
        <v>18260</v>
      </c>
      <c r="AF431" s="2"/>
      <c r="AG431" s="2" t="s">
        <v>18250</v>
      </c>
    </row>
    <row r="432" spans="1:33" x14ac:dyDescent="0.45">
      <c r="A432" s="2" t="s">
        <v>21231</v>
      </c>
      <c r="B432" s="2" t="s">
        <v>21232</v>
      </c>
      <c r="C432" s="2" t="s">
        <v>21233</v>
      </c>
      <c r="D432" s="2" t="s">
        <v>21234</v>
      </c>
      <c r="E432" s="2" t="s">
        <v>21235</v>
      </c>
      <c r="F432" s="2" t="s">
        <v>21236</v>
      </c>
      <c r="G432" s="2" t="s">
        <v>21236</v>
      </c>
      <c r="H432" s="2" t="s">
        <v>12556</v>
      </c>
      <c r="I432" s="2" t="s">
        <v>278</v>
      </c>
      <c r="J432" s="2" t="s">
        <v>21237</v>
      </c>
      <c r="K432" s="2"/>
      <c r="L432" s="2"/>
      <c r="M432" s="2"/>
      <c r="N432" s="2"/>
      <c r="O432" s="2"/>
      <c r="P432" s="2"/>
      <c r="Q432" s="2"/>
      <c r="R432" s="2" t="s">
        <v>7816</v>
      </c>
      <c r="S432" s="2" t="s">
        <v>44</v>
      </c>
      <c r="T432" s="2"/>
      <c r="U432" s="2" t="s">
        <v>3527</v>
      </c>
      <c r="V432" s="2" t="s">
        <v>46</v>
      </c>
      <c r="W432" s="2" t="s">
        <v>3527</v>
      </c>
      <c r="X432" s="2" t="s">
        <v>10787</v>
      </c>
      <c r="Y432" s="2" t="s">
        <v>10801</v>
      </c>
      <c r="Z432" s="2" t="s">
        <v>7864</v>
      </c>
      <c r="AA432" s="2">
        <v>100</v>
      </c>
      <c r="AB432" s="2">
        <v>5</v>
      </c>
      <c r="AC432" s="2" t="s">
        <v>10789</v>
      </c>
      <c r="AD432" s="2" t="s">
        <v>21238</v>
      </c>
      <c r="AE432" s="2" t="s">
        <v>18260</v>
      </c>
      <c r="AF432" s="2"/>
      <c r="AG432" s="2" t="s">
        <v>18250</v>
      </c>
    </row>
    <row r="433" spans="1:33" x14ac:dyDescent="0.45">
      <c r="A433" s="2" t="s">
        <v>21239</v>
      </c>
      <c r="B433" s="2" t="s">
        <v>21240</v>
      </c>
      <c r="C433" s="2" t="s">
        <v>21241</v>
      </c>
      <c r="D433" s="2" t="s">
        <v>21242</v>
      </c>
      <c r="E433" s="2" t="s">
        <v>21243</v>
      </c>
      <c r="F433" s="2" t="s">
        <v>21244</v>
      </c>
      <c r="G433" s="2"/>
      <c r="H433" s="2" t="s">
        <v>72</v>
      </c>
      <c r="I433" s="2" t="s">
        <v>73</v>
      </c>
      <c r="J433" s="2" t="s">
        <v>830</v>
      </c>
      <c r="K433" s="2"/>
      <c r="L433" s="2"/>
      <c r="M433" s="2"/>
      <c r="N433" s="2"/>
      <c r="O433" s="2"/>
      <c r="P433" s="2"/>
      <c r="Q433" s="2"/>
      <c r="R433" s="2" t="s">
        <v>12981</v>
      </c>
      <c r="S433" s="2" t="s">
        <v>44</v>
      </c>
      <c r="T433" s="2"/>
      <c r="U433" s="2" t="s">
        <v>3527</v>
      </c>
      <c r="V433" s="2" t="s">
        <v>46</v>
      </c>
      <c r="W433" s="2" t="s">
        <v>3527</v>
      </c>
      <c r="X433" s="2" t="s">
        <v>10787</v>
      </c>
      <c r="Y433" s="2" t="s">
        <v>10801</v>
      </c>
      <c r="Z433" s="2" t="s">
        <v>7864</v>
      </c>
      <c r="AA433" s="2">
        <v>100</v>
      </c>
      <c r="AB433" s="2">
        <v>10</v>
      </c>
      <c r="AC433" s="2" t="s">
        <v>10789</v>
      </c>
      <c r="AD433" s="2" t="s">
        <v>21245</v>
      </c>
      <c r="AE433" s="2" t="s">
        <v>18260</v>
      </c>
      <c r="AF433" s="2"/>
      <c r="AG433" s="2" t="s">
        <v>18250</v>
      </c>
    </row>
    <row r="434" spans="1:33" x14ac:dyDescent="0.45">
      <c r="A434" s="2" t="s">
        <v>21246</v>
      </c>
      <c r="B434" s="2" t="s">
        <v>21247</v>
      </c>
      <c r="C434" s="2" t="s">
        <v>21248</v>
      </c>
      <c r="D434" s="2" t="s">
        <v>21249</v>
      </c>
      <c r="E434" s="2" t="s">
        <v>21250</v>
      </c>
      <c r="F434" s="2" t="s">
        <v>21251</v>
      </c>
      <c r="G434" s="2" t="s">
        <v>21251</v>
      </c>
      <c r="H434" s="2" t="s">
        <v>59</v>
      </c>
      <c r="I434" s="2" t="s">
        <v>60</v>
      </c>
      <c r="J434" s="2" t="s">
        <v>18331</v>
      </c>
      <c r="K434" s="2" t="s">
        <v>21249</v>
      </c>
      <c r="L434" s="2"/>
      <c r="M434" s="2"/>
      <c r="N434" s="2"/>
      <c r="O434" s="2" t="s">
        <v>59</v>
      </c>
      <c r="P434" s="2" t="s">
        <v>60</v>
      </c>
      <c r="Q434" s="2" t="s">
        <v>18331</v>
      </c>
      <c r="R434" s="2" t="s">
        <v>5233</v>
      </c>
      <c r="S434" s="2" t="s">
        <v>44</v>
      </c>
      <c r="T434" s="2"/>
      <c r="U434" s="2" t="s">
        <v>3527</v>
      </c>
      <c r="V434" s="2" t="s">
        <v>46</v>
      </c>
      <c r="W434" s="2" t="s">
        <v>3527</v>
      </c>
      <c r="X434" s="2" t="s">
        <v>10787</v>
      </c>
      <c r="Y434" s="2" t="s">
        <v>10801</v>
      </c>
      <c r="Z434" s="2" t="s">
        <v>7864</v>
      </c>
      <c r="AA434" s="2">
        <v>100</v>
      </c>
      <c r="AB434" s="2">
        <v>10</v>
      </c>
      <c r="AC434" s="2" t="s">
        <v>10789</v>
      </c>
      <c r="AD434" s="2" t="s">
        <v>21252</v>
      </c>
      <c r="AE434" s="2" t="s">
        <v>18260</v>
      </c>
      <c r="AF434" s="2"/>
      <c r="AG434" s="2" t="s">
        <v>18250</v>
      </c>
    </row>
    <row r="435" spans="1:33" x14ac:dyDescent="0.45">
      <c r="A435" s="2" t="s">
        <v>21253</v>
      </c>
      <c r="B435" s="2" t="s">
        <v>21254</v>
      </c>
      <c r="C435" s="2" t="s">
        <v>21253</v>
      </c>
      <c r="D435" s="2" t="s">
        <v>21255</v>
      </c>
      <c r="E435" s="2" t="s">
        <v>21256</v>
      </c>
      <c r="F435" s="2"/>
      <c r="G435" s="2"/>
      <c r="H435" s="2" t="s">
        <v>220</v>
      </c>
      <c r="I435" s="2" t="s">
        <v>221</v>
      </c>
      <c r="J435" s="2" t="s">
        <v>10250</v>
      </c>
      <c r="K435" s="2" t="s">
        <v>21255</v>
      </c>
      <c r="L435" s="2"/>
      <c r="M435" s="2"/>
      <c r="N435" s="2"/>
      <c r="O435" s="2" t="s">
        <v>220</v>
      </c>
      <c r="P435" s="2" t="s">
        <v>221</v>
      </c>
      <c r="Q435" s="2" t="s">
        <v>10250</v>
      </c>
      <c r="R435" s="2" t="s">
        <v>13574</v>
      </c>
      <c r="S435" s="2" t="s">
        <v>44</v>
      </c>
      <c r="T435" s="2"/>
      <c r="U435" s="2" t="s">
        <v>3527</v>
      </c>
      <c r="V435" s="2" t="s">
        <v>46</v>
      </c>
      <c r="W435" s="2" t="s">
        <v>3527</v>
      </c>
      <c r="X435" s="2" t="s">
        <v>10787</v>
      </c>
      <c r="Y435" s="2" t="s">
        <v>10801</v>
      </c>
      <c r="Z435" s="2" t="s">
        <v>7864</v>
      </c>
      <c r="AA435" s="2">
        <v>90</v>
      </c>
      <c r="AB435" s="2">
        <v>0</v>
      </c>
      <c r="AC435" s="2" t="s">
        <v>10789</v>
      </c>
      <c r="AD435" s="2" t="s">
        <v>21257</v>
      </c>
      <c r="AE435" s="2" t="s">
        <v>18260</v>
      </c>
      <c r="AF435" s="2"/>
      <c r="AG435" s="2" t="s">
        <v>18250</v>
      </c>
    </row>
    <row r="436" spans="1:33" x14ac:dyDescent="0.45">
      <c r="A436" s="2" t="s">
        <v>21258</v>
      </c>
      <c r="B436" s="2" t="s">
        <v>21259</v>
      </c>
      <c r="C436" s="2" t="s">
        <v>21258</v>
      </c>
      <c r="D436" s="2" t="s">
        <v>21260</v>
      </c>
      <c r="E436" s="2" t="s">
        <v>21261</v>
      </c>
      <c r="F436" s="2"/>
      <c r="G436" s="2"/>
      <c r="H436" s="2" t="s">
        <v>72</v>
      </c>
      <c r="I436" s="2" t="s">
        <v>73</v>
      </c>
      <c r="J436" s="2" t="s">
        <v>2222</v>
      </c>
      <c r="K436" s="2" t="s">
        <v>21260</v>
      </c>
      <c r="L436" s="2"/>
      <c r="M436" s="2"/>
      <c r="N436" s="2"/>
      <c r="O436" s="2" t="s">
        <v>72</v>
      </c>
      <c r="P436" s="2" t="s">
        <v>73</v>
      </c>
      <c r="Q436" s="2" t="s">
        <v>2222</v>
      </c>
      <c r="R436" s="2" t="s">
        <v>21262</v>
      </c>
      <c r="S436" s="2" t="s">
        <v>44</v>
      </c>
      <c r="T436" s="2"/>
      <c r="U436" s="2" t="s">
        <v>821</v>
      </c>
      <c r="V436" s="2" t="s">
        <v>46</v>
      </c>
      <c r="W436" s="2" t="s">
        <v>821</v>
      </c>
      <c r="X436" s="2" t="s">
        <v>10787</v>
      </c>
      <c r="Y436" s="2" t="s">
        <v>10801</v>
      </c>
      <c r="Z436" s="2" t="s">
        <v>7864</v>
      </c>
      <c r="AA436" s="2">
        <v>90</v>
      </c>
      <c r="AB436" s="2">
        <v>7</v>
      </c>
      <c r="AC436" s="2" t="s">
        <v>10789</v>
      </c>
      <c r="AD436" s="2" t="s">
        <v>21263</v>
      </c>
      <c r="AE436" s="2" t="s">
        <v>18260</v>
      </c>
      <c r="AF436" s="2"/>
      <c r="AG436" s="2" t="s">
        <v>18250</v>
      </c>
    </row>
    <row r="437" spans="1:33" x14ac:dyDescent="0.45">
      <c r="A437" s="2" t="s">
        <v>21264</v>
      </c>
      <c r="B437" s="2" t="s">
        <v>21265</v>
      </c>
      <c r="C437" s="2" t="s">
        <v>21266</v>
      </c>
      <c r="D437" s="2" t="s">
        <v>21267</v>
      </c>
      <c r="E437" s="2" t="s">
        <v>21268</v>
      </c>
      <c r="F437" s="2" t="s">
        <v>21269</v>
      </c>
      <c r="G437" s="2"/>
      <c r="H437" s="2" t="s">
        <v>312</v>
      </c>
      <c r="I437" s="2" t="s">
        <v>313</v>
      </c>
      <c r="J437" s="2" t="s">
        <v>314</v>
      </c>
      <c r="K437" s="2"/>
      <c r="L437" s="2"/>
      <c r="M437" s="2"/>
      <c r="N437" s="2"/>
      <c r="O437" s="2"/>
      <c r="P437" s="2"/>
      <c r="Q437" s="2"/>
      <c r="R437" s="2" t="s">
        <v>10144</v>
      </c>
      <c r="S437" s="2" t="s">
        <v>44</v>
      </c>
      <c r="T437" s="2"/>
      <c r="U437" s="2" t="s">
        <v>3527</v>
      </c>
      <c r="V437" s="2" t="s">
        <v>46</v>
      </c>
      <c r="W437" s="2" t="s">
        <v>3527</v>
      </c>
      <c r="X437" s="2" t="s">
        <v>10787</v>
      </c>
      <c r="Y437" s="2" t="s">
        <v>10801</v>
      </c>
      <c r="Z437" s="2" t="s">
        <v>7864</v>
      </c>
      <c r="AA437" s="2">
        <v>100</v>
      </c>
      <c r="AB437" s="2">
        <v>10</v>
      </c>
      <c r="AC437" s="2" t="s">
        <v>10789</v>
      </c>
      <c r="AD437" s="2" t="s">
        <v>21270</v>
      </c>
      <c r="AE437" s="2" t="s">
        <v>18260</v>
      </c>
      <c r="AF437" s="2"/>
      <c r="AG437" s="2" t="s">
        <v>18250</v>
      </c>
    </row>
    <row r="438" spans="1:33" x14ac:dyDescent="0.45">
      <c r="A438" s="2" t="s">
        <v>21271</v>
      </c>
      <c r="B438" s="2" t="s">
        <v>21272</v>
      </c>
      <c r="C438" s="2" t="s">
        <v>21271</v>
      </c>
      <c r="D438" s="2" t="s">
        <v>21273</v>
      </c>
      <c r="E438" s="2" t="s">
        <v>21274</v>
      </c>
      <c r="F438" s="2" t="s">
        <v>21275</v>
      </c>
      <c r="G438" s="2"/>
      <c r="H438" s="2" t="s">
        <v>174</v>
      </c>
      <c r="I438" s="2" t="s">
        <v>175</v>
      </c>
      <c r="J438" s="2" t="s">
        <v>21276</v>
      </c>
      <c r="K438" s="2" t="s">
        <v>21273</v>
      </c>
      <c r="L438" s="2"/>
      <c r="M438" s="2"/>
      <c r="N438" s="2"/>
      <c r="O438" s="2" t="s">
        <v>174</v>
      </c>
      <c r="P438" s="2" t="s">
        <v>175</v>
      </c>
      <c r="Q438" s="2" t="s">
        <v>21276</v>
      </c>
      <c r="R438" s="2" t="s">
        <v>12050</v>
      </c>
      <c r="S438" s="2" t="s">
        <v>44</v>
      </c>
      <c r="T438" s="2"/>
      <c r="U438" s="2" t="s">
        <v>3527</v>
      </c>
      <c r="V438" s="2" t="s">
        <v>46</v>
      </c>
      <c r="W438" s="2" t="s">
        <v>3527</v>
      </c>
      <c r="X438" s="2" t="s">
        <v>10787</v>
      </c>
      <c r="Y438" s="2" t="s">
        <v>10801</v>
      </c>
      <c r="Z438" s="2" t="s">
        <v>7864</v>
      </c>
      <c r="AA438" s="2">
        <v>100</v>
      </c>
      <c r="AB438" s="2">
        <v>10</v>
      </c>
      <c r="AC438" s="2" t="s">
        <v>10789</v>
      </c>
      <c r="AD438" s="2" t="s">
        <v>21277</v>
      </c>
      <c r="AE438" s="2" t="s">
        <v>18260</v>
      </c>
      <c r="AF438" s="2"/>
      <c r="AG438" s="2" t="s">
        <v>18250</v>
      </c>
    </row>
    <row r="439" spans="1:33" x14ac:dyDescent="0.45">
      <c r="A439" s="2" t="s">
        <v>21278</v>
      </c>
      <c r="B439" s="2" t="s">
        <v>21279</v>
      </c>
      <c r="C439" s="2" t="s">
        <v>21280</v>
      </c>
      <c r="D439" s="2" t="s">
        <v>21281</v>
      </c>
      <c r="E439" s="2" t="s">
        <v>21282</v>
      </c>
      <c r="F439" s="2"/>
      <c r="G439" s="2"/>
      <c r="H439" s="2" t="s">
        <v>277</v>
      </c>
      <c r="I439" s="2" t="s">
        <v>278</v>
      </c>
      <c r="J439" s="2" t="s">
        <v>21283</v>
      </c>
      <c r="K439" s="2" t="s">
        <v>21281</v>
      </c>
      <c r="L439" s="2"/>
      <c r="M439" s="2"/>
      <c r="N439" s="2"/>
      <c r="O439" s="2" t="s">
        <v>277</v>
      </c>
      <c r="P439" s="2" t="s">
        <v>278</v>
      </c>
      <c r="Q439" s="2" t="s">
        <v>21283</v>
      </c>
      <c r="R439" s="2" t="s">
        <v>2614</v>
      </c>
      <c r="S439" s="2" t="s">
        <v>44</v>
      </c>
      <c r="T439" s="2"/>
      <c r="U439" s="2" t="s">
        <v>3527</v>
      </c>
      <c r="V439" s="2" t="s">
        <v>46</v>
      </c>
      <c r="W439" s="2" t="s">
        <v>3527</v>
      </c>
      <c r="X439" s="2" t="s">
        <v>10787</v>
      </c>
      <c r="Y439" s="2" t="s">
        <v>10801</v>
      </c>
      <c r="Z439" s="2" t="s">
        <v>7864</v>
      </c>
      <c r="AA439" s="2">
        <v>90</v>
      </c>
      <c r="AB439" s="2">
        <v>0</v>
      </c>
      <c r="AC439" s="2" t="s">
        <v>10789</v>
      </c>
      <c r="AD439" s="2" t="s">
        <v>21284</v>
      </c>
      <c r="AE439" s="2" t="s">
        <v>18260</v>
      </c>
      <c r="AF439" s="2"/>
      <c r="AG439" s="2" t="s">
        <v>18250</v>
      </c>
    </row>
    <row r="440" spans="1:33" x14ac:dyDescent="0.45">
      <c r="A440" s="2" t="s">
        <v>21285</v>
      </c>
      <c r="B440" s="2" t="s">
        <v>21286</v>
      </c>
      <c r="C440" s="2" t="s">
        <v>21287</v>
      </c>
      <c r="D440" s="2" t="s">
        <v>21288</v>
      </c>
      <c r="E440" s="2" t="s">
        <v>21289</v>
      </c>
      <c r="F440" s="2"/>
      <c r="G440" s="2"/>
      <c r="H440" s="2" t="s">
        <v>290</v>
      </c>
      <c r="I440" s="2" t="s">
        <v>278</v>
      </c>
      <c r="J440" s="2" t="s">
        <v>291</v>
      </c>
      <c r="K440" s="2" t="s">
        <v>21290</v>
      </c>
      <c r="L440" s="2"/>
      <c r="M440" s="2"/>
      <c r="N440" s="2"/>
      <c r="O440" s="2" t="s">
        <v>290</v>
      </c>
      <c r="P440" s="2" t="s">
        <v>278</v>
      </c>
      <c r="Q440" s="2" t="s">
        <v>291</v>
      </c>
      <c r="R440" s="2" t="s">
        <v>8023</v>
      </c>
      <c r="S440" s="2" t="s">
        <v>44</v>
      </c>
      <c r="T440" s="2"/>
      <c r="U440" s="2" t="s">
        <v>3527</v>
      </c>
      <c r="V440" s="2" t="s">
        <v>46</v>
      </c>
      <c r="W440" s="2" t="s">
        <v>3527</v>
      </c>
      <c r="X440" s="2" t="s">
        <v>10787</v>
      </c>
      <c r="Y440" s="2" t="s">
        <v>10801</v>
      </c>
      <c r="Z440" s="2" t="s">
        <v>7864</v>
      </c>
      <c r="AA440" s="2">
        <v>90</v>
      </c>
      <c r="AB440" s="2">
        <v>0</v>
      </c>
      <c r="AC440" s="2" t="s">
        <v>10789</v>
      </c>
      <c r="AD440" s="2" t="s">
        <v>21291</v>
      </c>
      <c r="AE440" s="2" t="s">
        <v>18260</v>
      </c>
      <c r="AF440" s="2"/>
      <c r="AG440" s="2" t="s">
        <v>18250</v>
      </c>
    </row>
    <row r="441" spans="1:33" x14ac:dyDescent="0.45">
      <c r="A441" s="2" t="s">
        <v>21292</v>
      </c>
      <c r="B441" s="2" t="s">
        <v>21293</v>
      </c>
      <c r="C441" s="2" t="s">
        <v>21292</v>
      </c>
      <c r="D441" s="2" t="s">
        <v>21294</v>
      </c>
      <c r="E441" s="2" t="s">
        <v>21295</v>
      </c>
      <c r="F441" s="2"/>
      <c r="G441" s="2"/>
      <c r="H441" s="2" t="s">
        <v>21296</v>
      </c>
      <c r="I441" s="2" t="s">
        <v>73</v>
      </c>
      <c r="J441" s="2" t="s">
        <v>21297</v>
      </c>
      <c r="K441" s="2" t="s">
        <v>21294</v>
      </c>
      <c r="L441" s="2"/>
      <c r="M441" s="2"/>
      <c r="N441" s="2"/>
      <c r="O441" s="2" t="s">
        <v>21296</v>
      </c>
      <c r="P441" s="2" t="s">
        <v>73</v>
      </c>
      <c r="Q441" s="2" t="s">
        <v>21297</v>
      </c>
      <c r="R441" s="2" t="s">
        <v>2289</v>
      </c>
      <c r="S441" s="2" t="s">
        <v>44</v>
      </c>
      <c r="T441" s="2"/>
      <c r="U441" s="2" t="s">
        <v>3527</v>
      </c>
      <c r="V441" s="2" t="s">
        <v>46</v>
      </c>
      <c r="W441" s="2" t="s">
        <v>3527</v>
      </c>
      <c r="X441" s="2" t="s">
        <v>10787</v>
      </c>
      <c r="Y441" s="2" t="s">
        <v>10801</v>
      </c>
      <c r="Z441" s="2" t="s">
        <v>7864</v>
      </c>
      <c r="AA441" s="2">
        <v>90</v>
      </c>
      <c r="AB441" s="2">
        <v>0</v>
      </c>
      <c r="AC441" s="2" t="s">
        <v>10789</v>
      </c>
      <c r="AD441" s="2" t="s">
        <v>21298</v>
      </c>
      <c r="AE441" s="2" t="s">
        <v>18260</v>
      </c>
      <c r="AF441" s="2"/>
      <c r="AG441" s="2" t="s">
        <v>18250</v>
      </c>
    </row>
    <row r="442" spans="1:33" x14ac:dyDescent="0.45">
      <c r="A442" s="2" t="s">
        <v>21299</v>
      </c>
      <c r="B442" s="2" t="s">
        <v>21300</v>
      </c>
      <c r="C442" s="2" t="s">
        <v>21299</v>
      </c>
      <c r="D442" s="2" t="s">
        <v>21301</v>
      </c>
      <c r="E442" s="2" t="s">
        <v>21302</v>
      </c>
      <c r="F442" s="2"/>
      <c r="G442" s="2"/>
      <c r="H442" s="2" t="s">
        <v>1188</v>
      </c>
      <c r="I442" s="2" t="s">
        <v>221</v>
      </c>
      <c r="J442" s="2" t="s">
        <v>1189</v>
      </c>
      <c r="K442" s="2" t="s">
        <v>21301</v>
      </c>
      <c r="L442" s="2"/>
      <c r="M442" s="2"/>
      <c r="N442" s="2"/>
      <c r="O442" s="2" t="s">
        <v>1188</v>
      </c>
      <c r="P442" s="2" t="s">
        <v>221</v>
      </c>
      <c r="Q442" s="2" t="s">
        <v>1189</v>
      </c>
      <c r="R442" s="2" t="s">
        <v>9053</v>
      </c>
      <c r="S442" s="2" t="s">
        <v>44</v>
      </c>
      <c r="T442" s="2"/>
      <c r="U442" s="2" t="s">
        <v>3527</v>
      </c>
      <c r="V442" s="2" t="s">
        <v>46</v>
      </c>
      <c r="W442" s="2" t="s">
        <v>3527</v>
      </c>
      <c r="X442" s="2" t="s">
        <v>10787</v>
      </c>
      <c r="Y442" s="2" t="s">
        <v>10801</v>
      </c>
      <c r="Z442" s="2" t="s">
        <v>7864</v>
      </c>
      <c r="AA442" s="2">
        <v>90</v>
      </c>
      <c r="AB442" s="2">
        <v>0</v>
      </c>
      <c r="AC442" s="2" t="s">
        <v>10789</v>
      </c>
      <c r="AD442" s="2" t="s">
        <v>21303</v>
      </c>
      <c r="AE442" s="2" t="s">
        <v>18260</v>
      </c>
      <c r="AF442" s="2"/>
      <c r="AG442" s="2" t="s">
        <v>18250</v>
      </c>
    </row>
    <row r="443" spans="1:33" x14ac:dyDescent="0.45">
      <c r="A443" s="2" t="s">
        <v>21304</v>
      </c>
      <c r="B443" s="2" t="s">
        <v>21305</v>
      </c>
      <c r="C443" s="2" t="s">
        <v>21304</v>
      </c>
      <c r="D443" s="2" t="s">
        <v>21306</v>
      </c>
      <c r="E443" s="2" t="s">
        <v>21307</v>
      </c>
      <c r="F443" s="2" t="s">
        <v>21308</v>
      </c>
      <c r="G443" s="2"/>
      <c r="H443" s="2" t="s">
        <v>72</v>
      </c>
      <c r="I443" s="2" t="s">
        <v>73</v>
      </c>
      <c r="J443" s="2" t="s">
        <v>2725</v>
      </c>
      <c r="K443" s="2" t="s">
        <v>21309</v>
      </c>
      <c r="L443" s="2"/>
      <c r="M443" s="2"/>
      <c r="N443" s="2"/>
      <c r="O443" s="2" t="s">
        <v>72</v>
      </c>
      <c r="P443" s="2" t="s">
        <v>73</v>
      </c>
      <c r="Q443" s="2" t="s">
        <v>2725</v>
      </c>
      <c r="R443" s="2" t="s">
        <v>3962</v>
      </c>
      <c r="S443" s="2" t="s">
        <v>44</v>
      </c>
      <c r="T443" s="2"/>
      <c r="U443" s="2" t="s">
        <v>821</v>
      </c>
      <c r="V443" s="2" t="s">
        <v>46</v>
      </c>
      <c r="W443" s="2" t="s">
        <v>821</v>
      </c>
      <c r="X443" s="2" t="s">
        <v>10787</v>
      </c>
      <c r="Y443" s="2" t="s">
        <v>10801</v>
      </c>
      <c r="Z443" s="2" t="s">
        <v>7864</v>
      </c>
      <c r="AA443" s="2">
        <v>100</v>
      </c>
      <c r="AB443" s="2">
        <v>17</v>
      </c>
      <c r="AC443" s="2" t="s">
        <v>10789</v>
      </c>
      <c r="AD443" s="2" t="s">
        <v>21310</v>
      </c>
      <c r="AE443" s="2" t="s">
        <v>18260</v>
      </c>
      <c r="AF443" s="2"/>
      <c r="AG443" s="2" t="s">
        <v>18250</v>
      </c>
    </row>
    <row r="444" spans="1:33" x14ac:dyDescent="0.45">
      <c r="A444" s="2" t="s">
        <v>21311</v>
      </c>
      <c r="B444" s="2" t="s">
        <v>21312</v>
      </c>
      <c r="C444" s="2" t="s">
        <v>21311</v>
      </c>
      <c r="D444" s="2" t="s">
        <v>21313</v>
      </c>
      <c r="E444" s="2" t="s">
        <v>21314</v>
      </c>
      <c r="F444" s="2" t="s">
        <v>21315</v>
      </c>
      <c r="G444" s="2" t="s">
        <v>21315</v>
      </c>
      <c r="H444" s="2" t="s">
        <v>72</v>
      </c>
      <c r="I444" s="2" t="s">
        <v>73</v>
      </c>
      <c r="J444" s="2" t="s">
        <v>119</v>
      </c>
      <c r="K444" s="2" t="s">
        <v>21316</v>
      </c>
      <c r="L444" s="2"/>
      <c r="M444" s="2"/>
      <c r="N444" s="2"/>
      <c r="O444" s="2" t="s">
        <v>72</v>
      </c>
      <c r="P444" s="2" t="s">
        <v>73</v>
      </c>
      <c r="Q444" s="2" t="s">
        <v>119</v>
      </c>
      <c r="R444" s="2" t="s">
        <v>21317</v>
      </c>
      <c r="S444" s="2" t="s">
        <v>44</v>
      </c>
      <c r="T444" s="2"/>
      <c r="U444" s="2" t="s">
        <v>3527</v>
      </c>
      <c r="V444" s="2" t="s">
        <v>46</v>
      </c>
      <c r="W444" s="2" t="s">
        <v>3527</v>
      </c>
      <c r="X444" s="2" t="s">
        <v>11005</v>
      </c>
      <c r="Y444" s="2" t="s">
        <v>10801</v>
      </c>
      <c r="Z444" s="2" t="s">
        <v>7864</v>
      </c>
      <c r="AA444" s="2">
        <v>100</v>
      </c>
      <c r="AB444" s="2">
        <v>10</v>
      </c>
      <c r="AC444" s="2" t="s">
        <v>10789</v>
      </c>
      <c r="AD444" s="2" t="s">
        <v>21318</v>
      </c>
      <c r="AE444" s="2" t="s">
        <v>18260</v>
      </c>
      <c r="AF444" s="2"/>
      <c r="AG444" s="2" t="s">
        <v>18250</v>
      </c>
    </row>
    <row r="445" spans="1:33" x14ac:dyDescent="0.45">
      <c r="A445" s="2" t="s">
        <v>21319</v>
      </c>
      <c r="B445" s="2" t="s">
        <v>21320</v>
      </c>
      <c r="C445" s="2" t="s">
        <v>21319</v>
      </c>
      <c r="D445" s="2" t="s">
        <v>21321</v>
      </c>
      <c r="E445" s="2" t="s">
        <v>21322</v>
      </c>
      <c r="F445" s="2" t="s">
        <v>21323</v>
      </c>
      <c r="G445" s="2"/>
      <c r="H445" s="2" t="s">
        <v>651</v>
      </c>
      <c r="I445" s="2" t="s">
        <v>86</v>
      </c>
      <c r="J445" s="2" t="s">
        <v>2353</v>
      </c>
      <c r="K445" s="2" t="s">
        <v>21321</v>
      </c>
      <c r="L445" s="2"/>
      <c r="M445" s="2"/>
      <c r="N445" s="2"/>
      <c r="O445" s="2" t="s">
        <v>651</v>
      </c>
      <c r="P445" s="2" t="s">
        <v>86</v>
      </c>
      <c r="Q445" s="2" t="s">
        <v>2353</v>
      </c>
      <c r="R445" s="2" t="s">
        <v>5178</v>
      </c>
      <c r="S445" s="2" t="s">
        <v>44</v>
      </c>
      <c r="T445" s="2"/>
      <c r="U445" s="2" t="s">
        <v>3527</v>
      </c>
      <c r="V445" s="2" t="s">
        <v>46</v>
      </c>
      <c r="W445" s="2" t="s">
        <v>3527</v>
      </c>
      <c r="X445" s="2" t="s">
        <v>10787</v>
      </c>
      <c r="Y445" s="2" t="s">
        <v>10801</v>
      </c>
      <c r="Z445" s="2" t="s">
        <v>7864</v>
      </c>
      <c r="AA445" s="2">
        <v>100</v>
      </c>
      <c r="AB445" s="2">
        <v>10</v>
      </c>
      <c r="AC445" s="2" t="s">
        <v>10789</v>
      </c>
      <c r="AD445" s="2" t="s">
        <v>21324</v>
      </c>
      <c r="AE445" s="2" t="s">
        <v>18260</v>
      </c>
      <c r="AF445" s="2"/>
      <c r="AG445" s="2" t="s">
        <v>18250</v>
      </c>
    </row>
    <row r="446" spans="1:33" x14ac:dyDescent="0.45">
      <c r="A446" s="2" t="s">
        <v>21325</v>
      </c>
      <c r="B446" s="2" t="s">
        <v>21326</v>
      </c>
      <c r="C446" s="2" t="s">
        <v>21327</v>
      </c>
      <c r="D446" s="2" t="s">
        <v>21328</v>
      </c>
      <c r="E446" s="2" t="s">
        <v>21329</v>
      </c>
      <c r="F446" s="2" t="s">
        <v>21330</v>
      </c>
      <c r="G446" s="2" t="s">
        <v>21330</v>
      </c>
      <c r="H446" s="2" t="s">
        <v>6029</v>
      </c>
      <c r="I446" s="2" t="s">
        <v>278</v>
      </c>
      <c r="J446" s="2" t="s">
        <v>21331</v>
      </c>
      <c r="K446" s="2"/>
      <c r="L446" s="2"/>
      <c r="M446" s="2"/>
      <c r="N446" s="2"/>
      <c r="O446" s="2"/>
      <c r="P446" s="2"/>
      <c r="Q446" s="2"/>
      <c r="R446" s="2" t="s">
        <v>9560</v>
      </c>
      <c r="S446" s="2" t="s">
        <v>44</v>
      </c>
      <c r="T446" s="2"/>
      <c r="U446" s="2" t="s">
        <v>3527</v>
      </c>
      <c r="V446" s="2" t="s">
        <v>46</v>
      </c>
      <c r="W446" s="2" t="s">
        <v>3527</v>
      </c>
      <c r="X446" s="2" t="s">
        <v>10787</v>
      </c>
      <c r="Y446" s="2" t="s">
        <v>10801</v>
      </c>
      <c r="Z446" s="2" t="s">
        <v>7864</v>
      </c>
      <c r="AA446" s="2">
        <v>100</v>
      </c>
      <c r="AB446" s="2">
        <v>5</v>
      </c>
      <c r="AC446" s="2" t="s">
        <v>10789</v>
      </c>
      <c r="AD446" s="2" t="s">
        <v>21332</v>
      </c>
      <c r="AE446" s="2" t="s">
        <v>18260</v>
      </c>
      <c r="AF446" s="2"/>
      <c r="AG446" s="2" t="s">
        <v>18250</v>
      </c>
    </row>
    <row r="447" spans="1:33" x14ac:dyDescent="0.45">
      <c r="A447" s="2" t="s">
        <v>21333</v>
      </c>
      <c r="B447" s="2" t="s">
        <v>21334</v>
      </c>
      <c r="C447" s="2" t="s">
        <v>21335</v>
      </c>
      <c r="D447" s="2" t="s">
        <v>21336</v>
      </c>
      <c r="E447" s="2" t="s">
        <v>21337</v>
      </c>
      <c r="F447" s="2"/>
      <c r="G447" s="2"/>
      <c r="H447" s="2" t="s">
        <v>6029</v>
      </c>
      <c r="I447" s="2" t="s">
        <v>278</v>
      </c>
      <c r="J447" s="2" t="s">
        <v>11222</v>
      </c>
      <c r="K447" s="2" t="s">
        <v>21338</v>
      </c>
      <c r="L447" s="2"/>
      <c r="M447" s="2"/>
      <c r="N447" s="2"/>
      <c r="O447" s="2" t="s">
        <v>6029</v>
      </c>
      <c r="P447" s="2" t="s">
        <v>278</v>
      </c>
      <c r="Q447" s="2" t="s">
        <v>11222</v>
      </c>
      <c r="R447" s="2" t="s">
        <v>13838</v>
      </c>
      <c r="S447" s="2" t="s">
        <v>44</v>
      </c>
      <c r="T447" s="2"/>
      <c r="U447" s="2" t="s">
        <v>3527</v>
      </c>
      <c r="V447" s="2" t="s">
        <v>46</v>
      </c>
      <c r="W447" s="2" t="s">
        <v>3527</v>
      </c>
      <c r="X447" s="2" t="s">
        <v>10787</v>
      </c>
      <c r="Y447" s="2" t="s">
        <v>10801</v>
      </c>
      <c r="Z447" s="2" t="s">
        <v>7864</v>
      </c>
      <c r="AA447" s="2">
        <v>90</v>
      </c>
      <c r="AB447" s="2">
        <v>0</v>
      </c>
      <c r="AC447" s="2" t="s">
        <v>10789</v>
      </c>
      <c r="AD447" s="2" t="s">
        <v>21339</v>
      </c>
      <c r="AE447" s="2" t="s">
        <v>18260</v>
      </c>
      <c r="AF447" s="2"/>
      <c r="AG447" s="2" t="s">
        <v>18250</v>
      </c>
    </row>
    <row r="448" spans="1:33" x14ac:dyDescent="0.45">
      <c r="A448" s="2" t="s">
        <v>21340</v>
      </c>
      <c r="B448" s="2" t="s">
        <v>21341</v>
      </c>
      <c r="C448" s="2" t="s">
        <v>21342</v>
      </c>
      <c r="D448" s="2" t="s">
        <v>21343</v>
      </c>
      <c r="E448" s="2" t="s">
        <v>21344</v>
      </c>
      <c r="F448" s="2" t="s">
        <v>21345</v>
      </c>
      <c r="G448" s="2" t="s">
        <v>21345</v>
      </c>
      <c r="H448" s="2" t="s">
        <v>384</v>
      </c>
      <c r="I448" s="2" t="s">
        <v>73</v>
      </c>
      <c r="J448" s="2" t="s">
        <v>21346</v>
      </c>
      <c r="K448" s="2" t="s">
        <v>21347</v>
      </c>
      <c r="L448" s="2"/>
      <c r="M448" s="2"/>
      <c r="N448" s="2"/>
      <c r="O448" s="2" t="s">
        <v>384</v>
      </c>
      <c r="P448" s="2" t="s">
        <v>73</v>
      </c>
      <c r="Q448" s="2" t="s">
        <v>21346</v>
      </c>
      <c r="R448" s="2" t="s">
        <v>21348</v>
      </c>
      <c r="S448" s="2" t="s">
        <v>44</v>
      </c>
      <c r="T448" s="2"/>
      <c r="U448" s="2" t="s">
        <v>3527</v>
      </c>
      <c r="V448" s="2" t="s">
        <v>46</v>
      </c>
      <c r="W448" s="2" t="s">
        <v>3527</v>
      </c>
      <c r="X448" s="2" t="s">
        <v>10787</v>
      </c>
      <c r="Y448" s="2" t="s">
        <v>10801</v>
      </c>
      <c r="Z448" s="2" t="s">
        <v>7864</v>
      </c>
      <c r="AA448" s="2">
        <v>100</v>
      </c>
      <c r="AB448" s="2">
        <v>10</v>
      </c>
      <c r="AC448" s="2" t="s">
        <v>10789</v>
      </c>
      <c r="AD448" s="2" t="s">
        <v>21349</v>
      </c>
      <c r="AE448" s="2" t="s">
        <v>18260</v>
      </c>
      <c r="AF448" s="2"/>
      <c r="AG448" s="2" t="s">
        <v>18250</v>
      </c>
    </row>
    <row r="449" spans="1:33" x14ac:dyDescent="0.45">
      <c r="A449" s="2" t="s">
        <v>21350</v>
      </c>
      <c r="B449" s="2" t="s">
        <v>21351</v>
      </c>
      <c r="C449" s="2" t="s">
        <v>21350</v>
      </c>
      <c r="D449" s="2" t="s">
        <v>21352</v>
      </c>
      <c r="E449" s="2" t="s">
        <v>21353</v>
      </c>
      <c r="F449" s="2" t="s">
        <v>21354</v>
      </c>
      <c r="G449" s="2"/>
      <c r="H449" s="2" t="s">
        <v>21355</v>
      </c>
      <c r="I449" s="2" t="s">
        <v>8496</v>
      </c>
      <c r="J449" s="2" t="s">
        <v>21356</v>
      </c>
      <c r="K449" s="2" t="s">
        <v>21352</v>
      </c>
      <c r="L449" s="2"/>
      <c r="M449" s="2"/>
      <c r="N449" s="2"/>
      <c r="O449" s="2" t="s">
        <v>21355</v>
      </c>
      <c r="P449" s="2" t="s">
        <v>8496</v>
      </c>
      <c r="Q449" s="2" t="s">
        <v>21356</v>
      </c>
      <c r="R449" s="2" t="s">
        <v>11949</v>
      </c>
      <c r="S449" s="2" t="s">
        <v>44</v>
      </c>
      <c r="T449" s="2"/>
      <c r="U449" s="2" t="s">
        <v>3527</v>
      </c>
      <c r="V449" s="2" t="s">
        <v>46</v>
      </c>
      <c r="W449" s="2" t="s">
        <v>3527</v>
      </c>
      <c r="X449" s="2" t="s">
        <v>10787</v>
      </c>
      <c r="Y449" s="2" t="s">
        <v>10801</v>
      </c>
      <c r="Z449" s="2" t="s">
        <v>7864</v>
      </c>
      <c r="AA449" s="2">
        <v>100</v>
      </c>
      <c r="AB449" s="2">
        <v>5</v>
      </c>
      <c r="AC449" s="2" t="s">
        <v>10789</v>
      </c>
      <c r="AD449" s="2" t="s">
        <v>21357</v>
      </c>
      <c r="AE449" s="2" t="s">
        <v>18260</v>
      </c>
      <c r="AF449" s="2"/>
      <c r="AG449" s="2" t="s">
        <v>18250</v>
      </c>
    </row>
    <row r="450" spans="1:33" x14ac:dyDescent="0.45">
      <c r="A450" s="2" t="s">
        <v>21358</v>
      </c>
      <c r="B450" s="2" t="s">
        <v>21359</v>
      </c>
      <c r="C450" s="2" t="s">
        <v>21360</v>
      </c>
      <c r="D450" s="2" t="s">
        <v>21361</v>
      </c>
      <c r="E450" s="2" t="s">
        <v>21362</v>
      </c>
      <c r="F450" s="2" t="s">
        <v>21363</v>
      </c>
      <c r="G450" s="2" t="s">
        <v>21363</v>
      </c>
      <c r="H450" s="2" t="s">
        <v>16854</v>
      </c>
      <c r="I450" s="2" t="s">
        <v>1112</v>
      </c>
      <c r="J450" s="2" t="s">
        <v>21364</v>
      </c>
      <c r="K450" s="2" t="s">
        <v>21361</v>
      </c>
      <c r="L450" s="2"/>
      <c r="M450" s="2"/>
      <c r="N450" s="2"/>
      <c r="O450" s="2" t="s">
        <v>16854</v>
      </c>
      <c r="P450" s="2" t="s">
        <v>1112</v>
      </c>
      <c r="Q450" s="2" t="s">
        <v>21364</v>
      </c>
      <c r="R450" s="2" t="s">
        <v>18670</v>
      </c>
      <c r="S450" s="2" t="s">
        <v>44</v>
      </c>
      <c r="T450" s="2"/>
      <c r="U450" s="2" t="s">
        <v>821</v>
      </c>
      <c r="V450" s="2" t="s">
        <v>46</v>
      </c>
      <c r="W450" s="2" t="s">
        <v>821</v>
      </c>
      <c r="X450" s="2" t="s">
        <v>10787</v>
      </c>
      <c r="Y450" s="2" t="s">
        <v>10801</v>
      </c>
      <c r="Z450" s="2" t="s">
        <v>7864</v>
      </c>
      <c r="AA450" s="2">
        <v>100</v>
      </c>
      <c r="AB450" s="2">
        <v>12</v>
      </c>
      <c r="AC450" s="2" t="s">
        <v>10789</v>
      </c>
      <c r="AD450" s="2" t="s">
        <v>21365</v>
      </c>
      <c r="AE450" s="2" t="s">
        <v>18260</v>
      </c>
      <c r="AF450" s="2"/>
      <c r="AG450" s="2" t="s">
        <v>18250</v>
      </c>
    </row>
    <row r="451" spans="1:33" x14ac:dyDescent="0.45">
      <c r="A451" s="2" t="s">
        <v>21366</v>
      </c>
      <c r="B451" s="2" t="s">
        <v>21367</v>
      </c>
      <c r="C451" s="2" t="s">
        <v>21366</v>
      </c>
      <c r="D451" s="2" t="s">
        <v>21368</v>
      </c>
      <c r="E451" s="2" t="s">
        <v>21369</v>
      </c>
      <c r="F451" s="2" t="s">
        <v>21370</v>
      </c>
      <c r="G451" s="2"/>
      <c r="H451" s="2" t="s">
        <v>19291</v>
      </c>
      <c r="I451" s="2" t="s">
        <v>1137</v>
      </c>
      <c r="J451" s="2" t="s">
        <v>20839</v>
      </c>
      <c r="K451" s="2" t="s">
        <v>21368</v>
      </c>
      <c r="L451" s="2"/>
      <c r="M451" s="2"/>
      <c r="N451" s="2"/>
      <c r="O451" s="2" t="s">
        <v>19291</v>
      </c>
      <c r="P451" s="2" t="s">
        <v>1137</v>
      </c>
      <c r="Q451" s="2" t="s">
        <v>20839</v>
      </c>
      <c r="R451" s="2" t="s">
        <v>10041</v>
      </c>
      <c r="S451" s="2" t="s">
        <v>44</v>
      </c>
      <c r="T451" s="2"/>
      <c r="U451" s="2" t="s">
        <v>3527</v>
      </c>
      <c r="V451" s="2" t="s">
        <v>46</v>
      </c>
      <c r="W451" s="2" t="s">
        <v>3527</v>
      </c>
      <c r="X451" s="2" t="s">
        <v>10787</v>
      </c>
      <c r="Y451" s="2" t="s">
        <v>10801</v>
      </c>
      <c r="Z451" s="2" t="s">
        <v>7864</v>
      </c>
      <c r="AA451" s="2">
        <v>100</v>
      </c>
      <c r="AB451" s="2">
        <v>5</v>
      </c>
      <c r="AC451" s="2" t="s">
        <v>10789</v>
      </c>
      <c r="AD451" s="2" t="s">
        <v>21371</v>
      </c>
      <c r="AE451" s="2" t="s">
        <v>18260</v>
      </c>
      <c r="AF451" s="2"/>
      <c r="AG451" s="2" t="s">
        <v>18250</v>
      </c>
    </row>
    <row r="452" spans="1:33" x14ac:dyDescent="0.45">
      <c r="A452" s="2" t="s">
        <v>21372</v>
      </c>
      <c r="B452" s="2" t="s">
        <v>21373</v>
      </c>
      <c r="C452" s="2" t="s">
        <v>21372</v>
      </c>
      <c r="D452" s="2" t="s">
        <v>21374</v>
      </c>
      <c r="E452" s="2" t="s">
        <v>21375</v>
      </c>
      <c r="F452" s="2"/>
      <c r="G452" s="2"/>
      <c r="H452" s="2" t="s">
        <v>424</v>
      </c>
      <c r="I452" s="2" t="s">
        <v>217</v>
      </c>
      <c r="J452" s="2" t="s">
        <v>2410</v>
      </c>
      <c r="K452" s="2" t="s">
        <v>21376</v>
      </c>
      <c r="L452" s="2"/>
      <c r="M452" s="2"/>
      <c r="N452" s="2"/>
      <c r="O452" s="2" t="s">
        <v>424</v>
      </c>
      <c r="P452" s="2" t="s">
        <v>217</v>
      </c>
      <c r="Q452" s="2" t="s">
        <v>2410</v>
      </c>
      <c r="R452" s="2" t="s">
        <v>8869</v>
      </c>
      <c r="S452" s="2" t="s">
        <v>44</v>
      </c>
      <c r="T452" s="2"/>
      <c r="U452" s="2" t="s">
        <v>3527</v>
      </c>
      <c r="V452" s="2" t="s">
        <v>46</v>
      </c>
      <c r="W452" s="2" t="s">
        <v>3527</v>
      </c>
      <c r="X452" s="2" t="s">
        <v>10787</v>
      </c>
      <c r="Y452" s="2" t="s">
        <v>10801</v>
      </c>
      <c r="Z452" s="2" t="s">
        <v>7864</v>
      </c>
      <c r="AA452" s="2">
        <v>90</v>
      </c>
      <c r="AB452" s="2">
        <v>0</v>
      </c>
      <c r="AC452" s="2" t="s">
        <v>10789</v>
      </c>
      <c r="AD452" s="2" t="s">
        <v>21377</v>
      </c>
      <c r="AE452" s="2" t="s">
        <v>18260</v>
      </c>
      <c r="AF452" s="2"/>
      <c r="AG452" s="2" t="s">
        <v>18250</v>
      </c>
    </row>
    <row r="453" spans="1:33" x14ac:dyDescent="0.45">
      <c r="A453" s="2" t="s">
        <v>21378</v>
      </c>
      <c r="B453" s="2" t="s">
        <v>21379</v>
      </c>
      <c r="C453" s="2" t="s">
        <v>21378</v>
      </c>
      <c r="D453" s="2" t="s">
        <v>21380</v>
      </c>
      <c r="E453" s="2" t="s">
        <v>21381</v>
      </c>
      <c r="F453" s="2"/>
      <c r="G453" s="2"/>
      <c r="H453" s="2" t="s">
        <v>651</v>
      </c>
      <c r="I453" s="2" t="s">
        <v>86</v>
      </c>
      <c r="J453" s="2" t="s">
        <v>12027</v>
      </c>
      <c r="K453" s="2" t="s">
        <v>21380</v>
      </c>
      <c r="L453" s="2"/>
      <c r="M453" s="2"/>
      <c r="N453" s="2"/>
      <c r="O453" s="2" t="s">
        <v>651</v>
      </c>
      <c r="P453" s="2" t="s">
        <v>86</v>
      </c>
      <c r="Q453" s="2" t="s">
        <v>12027</v>
      </c>
      <c r="R453" s="2" t="s">
        <v>17334</v>
      </c>
      <c r="S453" s="2" t="s">
        <v>44</v>
      </c>
      <c r="T453" s="2"/>
      <c r="U453" s="2" t="s">
        <v>3527</v>
      </c>
      <c r="V453" s="2" t="s">
        <v>46</v>
      </c>
      <c r="W453" s="2" t="s">
        <v>3527</v>
      </c>
      <c r="X453" s="2" t="s">
        <v>11005</v>
      </c>
      <c r="Y453" s="2" t="s">
        <v>10801</v>
      </c>
      <c r="Z453" s="2" t="s">
        <v>7864</v>
      </c>
      <c r="AA453" s="2">
        <v>90</v>
      </c>
      <c r="AB453" s="2">
        <v>0</v>
      </c>
      <c r="AC453" s="2" t="s">
        <v>10789</v>
      </c>
      <c r="AD453" s="2" t="s">
        <v>21382</v>
      </c>
      <c r="AE453" s="2" t="s">
        <v>18260</v>
      </c>
      <c r="AF453" s="2"/>
      <c r="AG453" s="2" t="s">
        <v>18250</v>
      </c>
    </row>
    <row r="454" spans="1:33" x14ac:dyDescent="0.45">
      <c r="A454" s="2" t="s">
        <v>21383</v>
      </c>
      <c r="B454" s="2" t="s">
        <v>21384</v>
      </c>
      <c r="C454" s="2" t="s">
        <v>21385</v>
      </c>
      <c r="D454" s="2" t="s">
        <v>21386</v>
      </c>
      <c r="E454" s="2" t="s">
        <v>21387</v>
      </c>
      <c r="F454" s="2"/>
      <c r="G454" s="2"/>
      <c r="H454" s="2" t="s">
        <v>19595</v>
      </c>
      <c r="I454" s="2" t="s">
        <v>175</v>
      </c>
      <c r="J454" s="2" t="s">
        <v>21388</v>
      </c>
      <c r="K454" s="2" t="s">
        <v>21389</v>
      </c>
      <c r="L454" s="2"/>
      <c r="M454" s="2"/>
      <c r="N454" s="2"/>
      <c r="O454" s="2" t="s">
        <v>59</v>
      </c>
      <c r="P454" s="2" t="s">
        <v>60</v>
      </c>
      <c r="Q454" s="2" t="s">
        <v>10241</v>
      </c>
      <c r="R454" s="2" t="s">
        <v>21390</v>
      </c>
      <c r="S454" s="2" t="s">
        <v>44</v>
      </c>
      <c r="T454" s="2"/>
      <c r="U454" s="2" t="s">
        <v>3527</v>
      </c>
      <c r="V454" s="2" t="s">
        <v>46</v>
      </c>
      <c r="W454" s="2" t="s">
        <v>3527</v>
      </c>
      <c r="X454" s="2" t="s">
        <v>10787</v>
      </c>
      <c r="Y454" s="2" t="s">
        <v>10801</v>
      </c>
      <c r="Z454" s="2" t="s">
        <v>7864</v>
      </c>
      <c r="AA454" s="2">
        <v>90</v>
      </c>
      <c r="AB454" s="2">
        <v>0</v>
      </c>
      <c r="AC454" s="2" t="s">
        <v>10789</v>
      </c>
      <c r="AD454" s="2" t="s">
        <v>21391</v>
      </c>
      <c r="AE454" s="2" t="s">
        <v>18260</v>
      </c>
      <c r="AF454" s="2"/>
      <c r="AG454" s="2" t="s">
        <v>18250</v>
      </c>
    </row>
    <row r="455" spans="1:33" x14ac:dyDescent="0.45">
      <c r="A455" s="2" t="s">
        <v>21392</v>
      </c>
      <c r="B455" s="2" t="s">
        <v>21393</v>
      </c>
      <c r="C455" s="2" t="s">
        <v>21392</v>
      </c>
      <c r="D455" s="2" t="s">
        <v>21394</v>
      </c>
      <c r="E455" s="2" t="s">
        <v>21395</v>
      </c>
      <c r="F455" s="2"/>
      <c r="G455" s="2"/>
      <c r="H455" s="2" t="s">
        <v>21396</v>
      </c>
      <c r="I455" s="2" t="s">
        <v>8496</v>
      </c>
      <c r="J455" s="2" t="s">
        <v>21397</v>
      </c>
      <c r="K455" s="2"/>
      <c r="L455" s="2"/>
      <c r="M455" s="2"/>
      <c r="N455" s="2"/>
      <c r="O455" s="2"/>
      <c r="P455" s="2"/>
      <c r="Q455" s="2"/>
      <c r="R455" s="2" t="s">
        <v>1251</v>
      </c>
      <c r="S455" s="2" t="s">
        <v>44</v>
      </c>
      <c r="T455" s="2"/>
      <c r="U455" s="2" t="s">
        <v>3527</v>
      </c>
      <c r="V455" s="2" t="s">
        <v>46</v>
      </c>
      <c r="W455" s="2" t="s">
        <v>3527</v>
      </c>
      <c r="X455" s="2" t="s">
        <v>10787</v>
      </c>
      <c r="Y455" s="2" t="s">
        <v>10801</v>
      </c>
      <c r="Z455" s="2" t="s">
        <v>7864</v>
      </c>
      <c r="AA455" s="2">
        <v>90</v>
      </c>
      <c r="AB455" s="2">
        <v>0</v>
      </c>
      <c r="AC455" s="2" t="s">
        <v>10789</v>
      </c>
      <c r="AD455" s="2" t="s">
        <v>21398</v>
      </c>
      <c r="AE455" s="2" t="s">
        <v>18260</v>
      </c>
      <c r="AF455" s="2"/>
      <c r="AG455" s="2" t="s">
        <v>18250</v>
      </c>
    </row>
    <row r="456" spans="1:33" x14ac:dyDescent="0.45">
      <c r="A456" s="2" t="s">
        <v>21399</v>
      </c>
      <c r="B456" s="2" t="s">
        <v>21400</v>
      </c>
      <c r="C456" s="2" t="s">
        <v>21399</v>
      </c>
      <c r="D456" s="2" t="s">
        <v>21401</v>
      </c>
      <c r="E456" s="2" t="s">
        <v>21402</v>
      </c>
      <c r="F456" s="2" t="s">
        <v>21403</v>
      </c>
      <c r="G456" s="2"/>
      <c r="H456" s="2" t="s">
        <v>384</v>
      </c>
      <c r="I456" s="2" t="s">
        <v>73</v>
      </c>
      <c r="J456" s="2" t="s">
        <v>951</v>
      </c>
      <c r="K456" s="2" t="s">
        <v>21401</v>
      </c>
      <c r="L456" s="2"/>
      <c r="M456" s="2"/>
      <c r="N456" s="2"/>
      <c r="O456" s="2" t="s">
        <v>384</v>
      </c>
      <c r="P456" s="2" t="s">
        <v>73</v>
      </c>
      <c r="Q456" s="2" t="s">
        <v>951</v>
      </c>
      <c r="R456" s="2" t="s">
        <v>3199</v>
      </c>
      <c r="S456" s="2" t="s">
        <v>44</v>
      </c>
      <c r="T456" s="2"/>
      <c r="U456" s="2" t="s">
        <v>821</v>
      </c>
      <c r="V456" s="2" t="s">
        <v>46</v>
      </c>
      <c r="W456" s="2" t="s">
        <v>821</v>
      </c>
      <c r="X456" s="2" t="s">
        <v>10787</v>
      </c>
      <c r="Y456" s="2" t="s">
        <v>10801</v>
      </c>
      <c r="Z456" s="2" t="s">
        <v>7864</v>
      </c>
      <c r="AA456" s="2">
        <v>100</v>
      </c>
      <c r="AB456" s="2">
        <v>17</v>
      </c>
      <c r="AC456" s="2" t="s">
        <v>10789</v>
      </c>
      <c r="AD456" s="2" t="s">
        <v>21404</v>
      </c>
      <c r="AE456" s="2" t="s">
        <v>18260</v>
      </c>
      <c r="AF456" s="2"/>
      <c r="AG456" s="2" t="s">
        <v>18250</v>
      </c>
    </row>
    <row r="457" spans="1:33" x14ac:dyDescent="0.45">
      <c r="A457" s="2" t="s">
        <v>21405</v>
      </c>
      <c r="B457" s="2" t="s">
        <v>21406</v>
      </c>
      <c r="C457" s="2" t="s">
        <v>21407</v>
      </c>
      <c r="D457" s="2" t="s">
        <v>21408</v>
      </c>
      <c r="E457" s="2" t="s">
        <v>21409</v>
      </c>
      <c r="F457" s="2" t="s">
        <v>21410</v>
      </c>
      <c r="G457" s="2"/>
      <c r="H457" s="2" t="s">
        <v>1161</v>
      </c>
      <c r="I457" s="2" t="s">
        <v>221</v>
      </c>
      <c r="J457" s="2" t="s">
        <v>1162</v>
      </c>
      <c r="K457" s="2" t="s">
        <v>21408</v>
      </c>
      <c r="L457" s="2"/>
      <c r="M457" s="2"/>
      <c r="N457" s="2"/>
      <c r="O457" s="2" t="s">
        <v>1161</v>
      </c>
      <c r="P457" s="2" t="s">
        <v>221</v>
      </c>
      <c r="Q457" s="2" t="s">
        <v>1162</v>
      </c>
      <c r="R457" s="2" t="s">
        <v>12720</v>
      </c>
      <c r="S457" s="2" t="s">
        <v>44</v>
      </c>
      <c r="T457" s="2"/>
      <c r="U457" s="2" t="s">
        <v>3527</v>
      </c>
      <c r="V457" s="2" t="s">
        <v>46</v>
      </c>
      <c r="W457" s="2" t="s">
        <v>3527</v>
      </c>
      <c r="X457" s="2" t="s">
        <v>10787</v>
      </c>
      <c r="Y457" s="2" t="s">
        <v>10801</v>
      </c>
      <c r="Z457" s="2" t="s">
        <v>7864</v>
      </c>
      <c r="AA457" s="2">
        <v>100</v>
      </c>
      <c r="AB457" s="2">
        <v>5</v>
      </c>
      <c r="AC457" s="2" t="s">
        <v>10789</v>
      </c>
      <c r="AD457" s="2" t="s">
        <v>21411</v>
      </c>
      <c r="AE457" s="2" t="s">
        <v>18260</v>
      </c>
      <c r="AF457" s="2"/>
      <c r="AG457" s="2" t="s">
        <v>18250</v>
      </c>
    </row>
    <row r="458" spans="1:33" x14ac:dyDescent="0.45">
      <c r="A458" s="2" t="s">
        <v>21412</v>
      </c>
      <c r="B458" s="2" t="s">
        <v>21413</v>
      </c>
      <c r="C458" s="2" t="s">
        <v>21414</v>
      </c>
      <c r="D458" s="2" t="s">
        <v>21415</v>
      </c>
      <c r="E458" s="2" t="s">
        <v>21416</v>
      </c>
      <c r="F458" s="2"/>
      <c r="G458" s="2"/>
      <c r="H458" s="2" t="s">
        <v>72</v>
      </c>
      <c r="I458" s="2" t="s">
        <v>73</v>
      </c>
      <c r="J458" s="2" t="s">
        <v>6817</v>
      </c>
      <c r="K458" s="2" t="s">
        <v>21417</v>
      </c>
      <c r="L458" s="2"/>
      <c r="M458" s="2"/>
      <c r="N458" s="2"/>
      <c r="O458" s="2" t="s">
        <v>72</v>
      </c>
      <c r="P458" s="2" t="s">
        <v>73</v>
      </c>
      <c r="Q458" s="2" t="s">
        <v>6817</v>
      </c>
      <c r="R458" s="2" t="s">
        <v>580</v>
      </c>
      <c r="S458" s="2" t="s">
        <v>44</v>
      </c>
      <c r="T458" s="2"/>
      <c r="U458" s="2" t="s">
        <v>3527</v>
      </c>
      <c r="V458" s="2" t="s">
        <v>46</v>
      </c>
      <c r="W458" s="2" t="s">
        <v>3527</v>
      </c>
      <c r="X458" s="2" t="s">
        <v>10787</v>
      </c>
      <c r="Y458" s="2" t="s">
        <v>10801</v>
      </c>
      <c r="Z458" s="2" t="s">
        <v>7864</v>
      </c>
      <c r="AA458" s="2">
        <v>90</v>
      </c>
      <c r="AB458" s="2">
        <v>0</v>
      </c>
      <c r="AC458" s="2" t="s">
        <v>10789</v>
      </c>
      <c r="AD458" s="2" t="s">
        <v>21418</v>
      </c>
      <c r="AE458" s="2" t="s">
        <v>18260</v>
      </c>
      <c r="AF458" s="2"/>
      <c r="AG458" s="2" t="s">
        <v>18250</v>
      </c>
    </row>
    <row r="459" spans="1:33" x14ac:dyDescent="0.45">
      <c r="A459" s="2" t="s">
        <v>21419</v>
      </c>
      <c r="B459" s="2" t="s">
        <v>21420</v>
      </c>
      <c r="C459" s="2" t="s">
        <v>21419</v>
      </c>
      <c r="D459" s="2" t="s">
        <v>21421</v>
      </c>
      <c r="E459" s="2" t="s">
        <v>21422</v>
      </c>
      <c r="F459" s="2" t="s">
        <v>21423</v>
      </c>
      <c r="G459" s="2" t="s">
        <v>21423</v>
      </c>
      <c r="H459" s="2" t="s">
        <v>59</v>
      </c>
      <c r="I459" s="2" t="s">
        <v>60</v>
      </c>
      <c r="J459" s="2" t="s">
        <v>1102</v>
      </c>
      <c r="K459" s="2"/>
      <c r="L459" s="2"/>
      <c r="M459" s="2"/>
      <c r="N459" s="2"/>
      <c r="O459" s="2"/>
      <c r="P459" s="2"/>
      <c r="Q459" s="2"/>
      <c r="R459" s="2" t="s">
        <v>6685</v>
      </c>
      <c r="S459" s="2" t="s">
        <v>44</v>
      </c>
      <c r="T459" s="2"/>
      <c r="U459" s="2" t="s">
        <v>3527</v>
      </c>
      <c r="V459" s="2" t="s">
        <v>46</v>
      </c>
      <c r="W459" s="2" t="s">
        <v>3527</v>
      </c>
      <c r="X459" s="2" t="s">
        <v>10787</v>
      </c>
      <c r="Y459" s="2" t="s">
        <v>10801</v>
      </c>
      <c r="Z459" s="2" t="s">
        <v>7864</v>
      </c>
      <c r="AA459" s="2">
        <v>100</v>
      </c>
      <c r="AB459" s="2">
        <v>10</v>
      </c>
      <c r="AC459" s="2" t="s">
        <v>10789</v>
      </c>
      <c r="AD459" s="2" t="s">
        <v>21424</v>
      </c>
      <c r="AE459" s="2" t="s">
        <v>18260</v>
      </c>
      <c r="AF459" s="2"/>
      <c r="AG459" s="2" t="s">
        <v>18250</v>
      </c>
    </row>
    <row r="460" spans="1:33" x14ac:dyDescent="0.45">
      <c r="A460" s="2" t="s">
        <v>21425</v>
      </c>
      <c r="B460" s="2" t="s">
        <v>21426</v>
      </c>
      <c r="C460" s="2" t="s">
        <v>21425</v>
      </c>
      <c r="D460" s="2" t="s">
        <v>21427</v>
      </c>
      <c r="E460" s="2" t="s">
        <v>21428</v>
      </c>
      <c r="F460" s="2" t="s">
        <v>21429</v>
      </c>
      <c r="G460" s="2"/>
      <c r="H460" s="2" t="s">
        <v>174</v>
      </c>
      <c r="I460" s="2" t="s">
        <v>175</v>
      </c>
      <c r="J460" s="2" t="s">
        <v>18635</v>
      </c>
      <c r="K460" s="2" t="s">
        <v>21427</v>
      </c>
      <c r="L460" s="2"/>
      <c r="M460" s="2"/>
      <c r="N460" s="2"/>
      <c r="O460" s="2" t="s">
        <v>174</v>
      </c>
      <c r="P460" s="2" t="s">
        <v>175</v>
      </c>
      <c r="Q460" s="2" t="s">
        <v>18635</v>
      </c>
      <c r="R460" s="2" t="s">
        <v>16054</v>
      </c>
      <c r="S460" s="2" t="s">
        <v>44</v>
      </c>
      <c r="T460" s="2"/>
      <c r="U460" s="2" t="s">
        <v>3527</v>
      </c>
      <c r="V460" s="2" t="s">
        <v>46</v>
      </c>
      <c r="W460" s="2" t="s">
        <v>3527</v>
      </c>
      <c r="X460" s="2" t="s">
        <v>10787</v>
      </c>
      <c r="Y460" s="2" t="s">
        <v>10801</v>
      </c>
      <c r="Z460" s="2" t="s">
        <v>7864</v>
      </c>
      <c r="AA460" s="2">
        <v>100</v>
      </c>
      <c r="AB460" s="2">
        <v>10</v>
      </c>
      <c r="AC460" s="2" t="s">
        <v>10789</v>
      </c>
      <c r="AD460" s="2" t="s">
        <v>21430</v>
      </c>
      <c r="AE460" s="2" t="s">
        <v>18260</v>
      </c>
      <c r="AF460" s="2"/>
      <c r="AG460" s="2" t="s">
        <v>18250</v>
      </c>
    </row>
    <row r="461" spans="1:33" x14ac:dyDescent="0.45">
      <c r="A461" s="2" t="s">
        <v>21431</v>
      </c>
      <c r="B461" s="2" t="s">
        <v>21432</v>
      </c>
      <c r="C461" s="2" t="s">
        <v>21433</v>
      </c>
      <c r="D461" s="2" t="s">
        <v>21434</v>
      </c>
      <c r="E461" s="2" t="s">
        <v>21435</v>
      </c>
      <c r="F461" s="2"/>
      <c r="G461" s="2"/>
      <c r="H461" s="2" t="s">
        <v>85</v>
      </c>
      <c r="I461" s="2" t="s">
        <v>86</v>
      </c>
      <c r="J461" s="2" t="s">
        <v>18347</v>
      </c>
      <c r="K461" s="2" t="s">
        <v>21434</v>
      </c>
      <c r="L461" s="2"/>
      <c r="M461" s="2"/>
      <c r="N461" s="2"/>
      <c r="O461" s="2" t="s">
        <v>85</v>
      </c>
      <c r="P461" s="2" t="s">
        <v>86</v>
      </c>
      <c r="Q461" s="2" t="s">
        <v>18347</v>
      </c>
      <c r="R461" s="2" t="s">
        <v>9639</v>
      </c>
      <c r="S461" s="2" t="s">
        <v>44</v>
      </c>
      <c r="T461" s="2"/>
      <c r="U461" s="2" t="s">
        <v>3527</v>
      </c>
      <c r="V461" s="2" t="s">
        <v>46</v>
      </c>
      <c r="W461" s="2" t="s">
        <v>3527</v>
      </c>
      <c r="X461" s="2" t="s">
        <v>10787</v>
      </c>
      <c r="Y461" s="2" t="s">
        <v>10801</v>
      </c>
      <c r="Z461" s="2" t="s">
        <v>7864</v>
      </c>
      <c r="AA461" s="2">
        <v>90</v>
      </c>
      <c r="AB461" s="2">
        <v>0</v>
      </c>
      <c r="AC461" s="2" t="s">
        <v>10789</v>
      </c>
      <c r="AD461" s="2" t="s">
        <v>21436</v>
      </c>
      <c r="AE461" s="2" t="s">
        <v>18260</v>
      </c>
      <c r="AF461" s="2"/>
      <c r="AG461" s="2" t="s">
        <v>18250</v>
      </c>
    </row>
    <row r="462" spans="1:33" x14ac:dyDescent="0.45">
      <c r="A462" s="2" t="s">
        <v>21437</v>
      </c>
      <c r="B462" s="2" t="s">
        <v>21438</v>
      </c>
      <c r="C462" s="2" t="s">
        <v>21439</v>
      </c>
      <c r="D462" s="2" t="s">
        <v>21440</v>
      </c>
      <c r="E462" s="2" t="s">
        <v>21441</v>
      </c>
      <c r="F462" s="2"/>
      <c r="G462" s="2"/>
      <c r="H462" s="2" t="s">
        <v>72</v>
      </c>
      <c r="I462" s="2" t="s">
        <v>73</v>
      </c>
      <c r="J462" s="2" t="s">
        <v>6376</v>
      </c>
      <c r="K462" s="2" t="s">
        <v>21440</v>
      </c>
      <c r="L462" s="2"/>
      <c r="M462" s="2"/>
      <c r="N462" s="2"/>
      <c r="O462" s="2" t="s">
        <v>72</v>
      </c>
      <c r="P462" s="2" t="s">
        <v>73</v>
      </c>
      <c r="Q462" s="2" t="s">
        <v>6376</v>
      </c>
      <c r="R462" s="2" t="s">
        <v>21442</v>
      </c>
      <c r="S462" s="2" t="s">
        <v>44</v>
      </c>
      <c r="T462" s="2"/>
      <c r="U462" s="2" t="s">
        <v>3527</v>
      </c>
      <c r="V462" s="2" t="s">
        <v>46</v>
      </c>
      <c r="W462" s="2" t="s">
        <v>3527</v>
      </c>
      <c r="X462" s="2" t="s">
        <v>10787</v>
      </c>
      <c r="Y462" s="2" t="s">
        <v>10801</v>
      </c>
      <c r="Z462" s="2" t="s">
        <v>7864</v>
      </c>
      <c r="AA462" s="2">
        <v>90</v>
      </c>
      <c r="AB462" s="2">
        <v>0</v>
      </c>
      <c r="AC462" s="2" t="s">
        <v>10789</v>
      </c>
      <c r="AD462" s="2" t="s">
        <v>21443</v>
      </c>
      <c r="AE462" s="2" t="s">
        <v>18260</v>
      </c>
      <c r="AF462" s="2"/>
      <c r="AG462" s="2" t="s">
        <v>18250</v>
      </c>
    </row>
    <row r="463" spans="1:33" x14ac:dyDescent="0.45">
      <c r="A463" s="2" t="s">
        <v>21444</v>
      </c>
      <c r="B463" s="2" t="s">
        <v>21445</v>
      </c>
      <c r="C463" s="2" t="s">
        <v>21444</v>
      </c>
      <c r="D463" s="2" t="s">
        <v>21446</v>
      </c>
      <c r="E463" s="2" t="s">
        <v>21447</v>
      </c>
      <c r="F463" s="2" t="s">
        <v>21448</v>
      </c>
      <c r="G463" s="2" t="s">
        <v>21448</v>
      </c>
      <c r="H463" s="2" t="s">
        <v>1188</v>
      </c>
      <c r="I463" s="2" t="s">
        <v>221</v>
      </c>
      <c r="J463" s="2" t="s">
        <v>1189</v>
      </c>
      <c r="K463" s="2" t="s">
        <v>21449</v>
      </c>
      <c r="L463" s="2"/>
      <c r="M463" s="2"/>
      <c r="N463" s="2"/>
      <c r="O463" s="2" t="s">
        <v>1188</v>
      </c>
      <c r="P463" s="2" t="s">
        <v>221</v>
      </c>
      <c r="Q463" s="2" t="s">
        <v>1189</v>
      </c>
      <c r="R463" s="2" t="s">
        <v>6530</v>
      </c>
      <c r="S463" s="2" t="s">
        <v>44</v>
      </c>
      <c r="T463" s="2"/>
      <c r="U463" s="2" t="s">
        <v>3527</v>
      </c>
      <c r="V463" s="2" t="s">
        <v>46</v>
      </c>
      <c r="W463" s="2" t="s">
        <v>3527</v>
      </c>
      <c r="X463" s="2" t="s">
        <v>10787</v>
      </c>
      <c r="Y463" s="2" t="s">
        <v>10801</v>
      </c>
      <c r="Z463" s="2" t="s">
        <v>7864</v>
      </c>
      <c r="AA463" s="2">
        <v>100</v>
      </c>
      <c r="AB463" s="2">
        <v>10</v>
      </c>
      <c r="AC463" s="2" t="s">
        <v>10789</v>
      </c>
      <c r="AD463" s="2" t="s">
        <v>21450</v>
      </c>
      <c r="AE463" s="2" t="s">
        <v>18260</v>
      </c>
      <c r="AF463" s="2"/>
      <c r="AG463" s="2" t="s">
        <v>18250</v>
      </c>
    </row>
    <row r="464" spans="1:33" x14ac:dyDescent="0.45">
      <c r="A464" s="2" t="s">
        <v>21451</v>
      </c>
      <c r="B464" s="2" t="s">
        <v>21452</v>
      </c>
      <c r="C464" s="2" t="s">
        <v>21453</v>
      </c>
      <c r="D464" s="2" t="s">
        <v>21454</v>
      </c>
      <c r="E464" s="2" t="s">
        <v>21455</v>
      </c>
      <c r="F464" s="2" t="s">
        <v>21456</v>
      </c>
      <c r="G464" s="2" t="s">
        <v>21456</v>
      </c>
      <c r="H464" s="2" t="s">
        <v>277</v>
      </c>
      <c r="I464" s="2" t="s">
        <v>278</v>
      </c>
      <c r="J464" s="2" t="s">
        <v>21457</v>
      </c>
      <c r="K464" s="2" t="s">
        <v>21454</v>
      </c>
      <c r="L464" s="2"/>
      <c r="M464" s="2"/>
      <c r="N464" s="2"/>
      <c r="O464" s="2" t="s">
        <v>277</v>
      </c>
      <c r="P464" s="2" t="s">
        <v>278</v>
      </c>
      <c r="Q464" s="2" t="s">
        <v>21457</v>
      </c>
      <c r="R464" s="2" t="s">
        <v>12720</v>
      </c>
      <c r="S464" s="2" t="s">
        <v>44</v>
      </c>
      <c r="T464" s="2"/>
      <c r="U464" s="2" t="s">
        <v>3527</v>
      </c>
      <c r="V464" s="2" t="s">
        <v>46</v>
      </c>
      <c r="W464" s="2" t="s">
        <v>3527</v>
      </c>
      <c r="X464" s="2" t="s">
        <v>10787</v>
      </c>
      <c r="Y464" s="2" t="s">
        <v>10801</v>
      </c>
      <c r="Z464" s="2" t="s">
        <v>7864</v>
      </c>
      <c r="AA464" s="2">
        <v>100</v>
      </c>
      <c r="AB464" s="2">
        <v>10</v>
      </c>
      <c r="AC464" s="2" t="s">
        <v>10789</v>
      </c>
      <c r="AD464" s="2" t="s">
        <v>21458</v>
      </c>
      <c r="AE464" s="2" t="s">
        <v>18260</v>
      </c>
      <c r="AF464" s="2"/>
      <c r="AG464" s="2" t="s">
        <v>18250</v>
      </c>
    </row>
    <row r="465" spans="1:33" x14ac:dyDescent="0.45">
      <c r="A465" s="2" t="s">
        <v>21459</v>
      </c>
      <c r="B465" s="2" t="s">
        <v>21460</v>
      </c>
      <c r="C465" s="2" t="s">
        <v>21459</v>
      </c>
      <c r="D465" s="2" t="s">
        <v>21461</v>
      </c>
      <c r="E465" s="2" t="s">
        <v>21462</v>
      </c>
      <c r="F465" s="2"/>
      <c r="G465" s="2"/>
      <c r="H465" s="2" t="s">
        <v>18569</v>
      </c>
      <c r="I465" s="2" t="s">
        <v>175</v>
      </c>
      <c r="J465" s="2" t="s">
        <v>18570</v>
      </c>
      <c r="K465" s="2" t="s">
        <v>21461</v>
      </c>
      <c r="L465" s="2"/>
      <c r="M465" s="2"/>
      <c r="N465" s="2"/>
      <c r="O465" s="2" t="s">
        <v>18569</v>
      </c>
      <c r="P465" s="2" t="s">
        <v>175</v>
      </c>
      <c r="Q465" s="2" t="s">
        <v>18570</v>
      </c>
      <c r="R465" s="2" t="s">
        <v>7957</v>
      </c>
      <c r="S465" s="2" t="s">
        <v>44</v>
      </c>
      <c r="T465" s="2"/>
      <c r="U465" s="2" t="s">
        <v>821</v>
      </c>
      <c r="V465" s="2" t="s">
        <v>46</v>
      </c>
      <c r="W465" s="2" t="s">
        <v>821</v>
      </c>
      <c r="X465" s="2" t="s">
        <v>10787</v>
      </c>
      <c r="Y465" s="2" t="s">
        <v>10801</v>
      </c>
      <c r="Z465" s="2" t="s">
        <v>7864</v>
      </c>
      <c r="AA465" s="2">
        <v>90</v>
      </c>
      <c r="AB465" s="2">
        <v>2</v>
      </c>
      <c r="AC465" s="2" t="s">
        <v>10789</v>
      </c>
      <c r="AD465" s="2" t="s">
        <v>21463</v>
      </c>
      <c r="AE465" s="2" t="s">
        <v>18260</v>
      </c>
      <c r="AF465" s="2"/>
      <c r="AG465" s="2" t="s">
        <v>18250</v>
      </c>
    </row>
    <row r="466" spans="1:33" x14ac:dyDescent="0.45">
      <c r="A466" s="2" t="s">
        <v>21464</v>
      </c>
      <c r="B466" s="2" t="s">
        <v>21465</v>
      </c>
      <c r="C466" s="2" t="s">
        <v>21464</v>
      </c>
      <c r="D466" s="2" t="s">
        <v>21466</v>
      </c>
      <c r="E466" s="2" t="s">
        <v>21467</v>
      </c>
      <c r="F466" s="2" t="s">
        <v>21468</v>
      </c>
      <c r="G466" s="2"/>
      <c r="H466" s="2" t="s">
        <v>72</v>
      </c>
      <c r="I466" s="2" t="s">
        <v>73</v>
      </c>
      <c r="J466" s="2" t="s">
        <v>607</v>
      </c>
      <c r="K466" s="2" t="s">
        <v>21466</v>
      </c>
      <c r="L466" s="2"/>
      <c r="M466" s="2"/>
      <c r="N466" s="2"/>
      <c r="O466" s="2" t="s">
        <v>72</v>
      </c>
      <c r="P466" s="2" t="s">
        <v>73</v>
      </c>
      <c r="Q466" s="2" t="s">
        <v>607</v>
      </c>
      <c r="R466" s="2" t="s">
        <v>21469</v>
      </c>
      <c r="S466" s="2" t="s">
        <v>44</v>
      </c>
      <c r="T466" s="2"/>
      <c r="U466" s="2" t="s">
        <v>821</v>
      </c>
      <c r="V466" s="2" t="s">
        <v>46</v>
      </c>
      <c r="W466" s="2" t="s">
        <v>821</v>
      </c>
      <c r="X466" s="2" t="s">
        <v>10787</v>
      </c>
      <c r="Y466" s="2" t="s">
        <v>10801</v>
      </c>
      <c r="Z466" s="2" t="s">
        <v>7864</v>
      </c>
      <c r="AA466" s="2">
        <v>100</v>
      </c>
      <c r="AB466" s="2">
        <v>17</v>
      </c>
      <c r="AC466" s="2" t="s">
        <v>10789</v>
      </c>
      <c r="AD466" s="2" t="s">
        <v>21470</v>
      </c>
      <c r="AE466" s="2" t="s">
        <v>18260</v>
      </c>
      <c r="AF466" s="2"/>
      <c r="AG466" s="2" t="s">
        <v>18250</v>
      </c>
    </row>
    <row r="467" spans="1:33" x14ac:dyDescent="0.45">
      <c r="A467" s="2" t="s">
        <v>21471</v>
      </c>
      <c r="B467" s="2" t="s">
        <v>21472</v>
      </c>
      <c r="C467" s="2" t="s">
        <v>21473</v>
      </c>
      <c r="D467" s="2" t="s">
        <v>21474</v>
      </c>
      <c r="E467" s="2" t="s">
        <v>21475</v>
      </c>
      <c r="F467" s="2"/>
      <c r="G467" s="2"/>
      <c r="H467" s="2" t="s">
        <v>6029</v>
      </c>
      <c r="I467" s="2" t="s">
        <v>278</v>
      </c>
      <c r="J467" s="2" t="s">
        <v>8422</v>
      </c>
      <c r="K467" s="2" t="s">
        <v>21474</v>
      </c>
      <c r="L467" s="2"/>
      <c r="M467" s="2"/>
      <c r="N467" s="2"/>
      <c r="O467" s="2" t="s">
        <v>6029</v>
      </c>
      <c r="P467" s="2" t="s">
        <v>278</v>
      </c>
      <c r="Q467" s="2" t="s">
        <v>8422</v>
      </c>
      <c r="R467" s="2" t="s">
        <v>21476</v>
      </c>
      <c r="S467" s="2" t="s">
        <v>44</v>
      </c>
      <c r="T467" s="2"/>
      <c r="U467" s="2" t="s">
        <v>3527</v>
      </c>
      <c r="V467" s="2" t="s">
        <v>46</v>
      </c>
      <c r="W467" s="2" t="s">
        <v>3527</v>
      </c>
      <c r="X467" s="2" t="s">
        <v>10787</v>
      </c>
      <c r="Y467" s="2" t="s">
        <v>10801</v>
      </c>
      <c r="Z467" s="2" t="s">
        <v>7864</v>
      </c>
      <c r="AA467" s="2">
        <v>90</v>
      </c>
      <c r="AB467" s="2">
        <v>0</v>
      </c>
      <c r="AC467" s="2" t="s">
        <v>10789</v>
      </c>
      <c r="AD467" s="2" t="s">
        <v>21477</v>
      </c>
      <c r="AE467" s="2" t="s">
        <v>18260</v>
      </c>
      <c r="AF467" s="2"/>
      <c r="AG467" s="2" t="s">
        <v>18250</v>
      </c>
    </row>
    <row r="468" spans="1:33" x14ac:dyDescent="0.45">
      <c r="A468" s="2" t="s">
        <v>21478</v>
      </c>
      <c r="B468" s="2" t="s">
        <v>21479</v>
      </c>
      <c r="C468" s="2" t="s">
        <v>21480</v>
      </c>
      <c r="D468" s="2" t="s">
        <v>21481</v>
      </c>
      <c r="E468" s="2" t="s">
        <v>21482</v>
      </c>
      <c r="F468" s="2" t="s">
        <v>21483</v>
      </c>
      <c r="G468" s="2"/>
      <c r="H468" s="2" t="s">
        <v>72</v>
      </c>
      <c r="I468" s="2" t="s">
        <v>73</v>
      </c>
      <c r="J468" s="2" t="s">
        <v>12218</v>
      </c>
      <c r="K468" s="2" t="s">
        <v>21481</v>
      </c>
      <c r="L468" s="2"/>
      <c r="M468" s="2"/>
      <c r="N468" s="2"/>
      <c r="O468" s="2" t="s">
        <v>72</v>
      </c>
      <c r="P468" s="2" t="s">
        <v>73</v>
      </c>
      <c r="Q468" s="2" t="s">
        <v>12218</v>
      </c>
      <c r="R468" s="2" t="s">
        <v>1260</v>
      </c>
      <c r="S468" s="2" t="s">
        <v>44</v>
      </c>
      <c r="T468" s="2"/>
      <c r="U468" s="2" t="s">
        <v>3527</v>
      </c>
      <c r="V468" s="2" t="s">
        <v>46</v>
      </c>
      <c r="W468" s="2" t="s">
        <v>3527</v>
      </c>
      <c r="X468" s="2" t="s">
        <v>10787</v>
      </c>
      <c r="Y468" s="2" t="s">
        <v>10801</v>
      </c>
      <c r="Z468" s="2" t="s">
        <v>7864</v>
      </c>
      <c r="AA468" s="2">
        <v>100</v>
      </c>
      <c r="AB468" s="2">
        <v>10</v>
      </c>
      <c r="AC468" s="2" t="s">
        <v>10789</v>
      </c>
      <c r="AD468" s="2" t="s">
        <v>21484</v>
      </c>
      <c r="AE468" s="2" t="s">
        <v>18260</v>
      </c>
      <c r="AF468" s="2"/>
      <c r="AG468" s="2" t="s">
        <v>18250</v>
      </c>
    </row>
    <row r="469" spans="1:33" x14ac:dyDescent="0.45">
      <c r="A469" s="2" t="s">
        <v>21485</v>
      </c>
      <c r="B469" s="2" t="s">
        <v>21486</v>
      </c>
      <c r="C469" s="2" t="s">
        <v>21487</v>
      </c>
      <c r="D469" s="2" t="s">
        <v>21488</v>
      </c>
      <c r="E469" s="2" t="s">
        <v>21489</v>
      </c>
      <c r="F469" s="2" t="s">
        <v>21490</v>
      </c>
      <c r="G469" s="2"/>
      <c r="H469" s="2" t="s">
        <v>72</v>
      </c>
      <c r="I469" s="2" t="s">
        <v>73</v>
      </c>
      <c r="J469" s="2" t="s">
        <v>607</v>
      </c>
      <c r="K469" s="2"/>
      <c r="L469" s="2"/>
      <c r="M469" s="2"/>
      <c r="N469" s="2"/>
      <c r="O469" s="2"/>
      <c r="P469" s="2"/>
      <c r="Q469" s="2"/>
      <c r="R469" s="2" t="s">
        <v>3341</v>
      </c>
      <c r="S469" s="2" t="s">
        <v>44</v>
      </c>
      <c r="T469" s="2"/>
      <c r="U469" s="2" t="s">
        <v>3527</v>
      </c>
      <c r="V469" s="2" t="s">
        <v>46</v>
      </c>
      <c r="W469" s="2" t="s">
        <v>3527</v>
      </c>
      <c r="X469" s="2" t="s">
        <v>10787</v>
      </c>
      <c r="Y469" s="2" t="s">
        <v>10801</v>
      </c>
      <c r="Z469" s="2" t="s">
        <v>7864</v>
      </c>
      <c r="AA469" s="2">
        <v>100</v>
      </c>
      <c r="AB469" s="2">
        <v>10</v>
      </c>
      <c r="AC469" s="2" t="s">
        <v>10789</v>
      </c>
      <c r="AD469" s="2" t="s">
        <v>21491</v>
      </c>
      <c r="AE469" s="2" t="s">
        <v>18260</v>
      </c>
      <c r="AF469" s="2"/>
      <c r="AG469" s="2" t="s">
        <v>18250</v>
      </c>
    </row>
    <row r="470" spans="1:33" x14ac:dyDescent="0.45">
      <c r="A470" s="2" t="s">
        <v>21492</v>
      </c>
      <c r="B470" s="2" t="s">
        <v>21493</v>
      </c>
      <c r="C470" s="2" t="s">
        <v>21494</v>
      </c>
      <c r="D470" s="2" t="s">
        <v>21495</v>
      </c>
      <c r="E470" s="2" t="s">
        <v>21496</v>
      </c>
      <c r="F470" s="2" t="s">
        <v>21497</v>
      </c>
      <c r="G470" s="2"/>
      <c r="H470" s="2" t="s">
        <v>2962</v>
      </c>
      <c r="I470" s="2" t="s">
        <v>73</v>
      </c>
      <c r="J470" s="2" t="s">
        <v>21498</v>
      </c>
      <c r="K470" s="2" t="s">
        <v>21499</v>
      </c>
      <c r="L470" s="2"/>
      <c r="M470" s="2"/>
      <c r="N470" s="2"/>
      <c r="O470" s="2" t="s">
        <v>2962</v>
      </c>
      <c r="P470" s="2" t="s">
        <v>73</v>
      </c>
      <c r="Q470" s="2" t="s">
        <v>21498</v>
      </c>
      <c r="R470" s="2" t="s">
        <v>17745</v>
      </c>
      <c r="S470" s="2" t="s">
        <v>44</v>
      </c>
      <c r="T470" s="2"/>
      <c r="U470" s="2" t="s">
        <v>3527</v>
      </c>
      <c r="V470" s="2" t="s">
        <v>46</v>
      </c>
      <c r="W470" s="2" t="s">
        <v>3527</v>
      </c>
      <c r="X470" s="2" t="s">
        <v>10787</v>
      </c>
      <c r="Y470" s="2" t="s">
        <v>10801</v>
      </c>
      <c r="Z470" s="2" t="s">
        <v>7864</v>
      </c>
      <c r="AA470" s="2">
        <v>100</v>
      </c>
      <c r="AB470" s="2">
        <v>5</v>
      </c>
      <c r="AC470" s="2" t="s">
        <v>10789</v>
      </c>
      <c r="AD470" s="2" t="s">
        <v>21500</v>
      </c>
      <c r="AE470" s="2" t="s">
        <v>18260</v>
      </c>
      <c r="AF470" s="2"/>
      <c r="AG470" s="2" t="s">
        <v>18250</v>
      </c>
    </row>
    <row r="471" spans="1:33" x14ac:dyDescent="0.45">
      <c r="A471" s="2" t="s">
        <v>21501</v>
      </c>
      <c r="B471" s="2" t="s">
        <v>21502</v>
      </c>
      <c r="C471" s="2" t="s">
        <v>21503</v>
      </c>
      <c r="D471" s="2" t="s">
        <v>21504</v>
      </c>
      <c r="E471" s="2" t="s">
        <v>21505</v>
      </c>
      <c r="F471" s="2" t="s">
        <v>21506</v>
      </c>
      <c r="G471" s="2"/>
      <c r="H471" s="2" t="s">
        <v>324</v>
      </c>
      <c r="I471" s="2" t="s">
        <v>73</v>
      </c>
      <c r="J471" s="2" t="s">
        <v>3302</v>
      </c>
      <c r="K471" s="2" t="s">
        <v>21504</v>
      </c>
      <c r="L471" s="2"/>
      <c r="M471" s="2"/>
      <c r="N471" s="2"/>
      <c r="O471" s="2" t="s">
        <v>324</v>
      </c>
      <c r="P471" s="2" t="s">
        <v>73</v>
      </c>
      <c r="Q471" s="2" t="s">
        <v>3302</v>
      </c>
      <c r="R471" s="2" t="s">
        <v>6090</v>
      </c>
      <c r="S471" s="2" t="s">
        <v>44</v>
      </c>
      <c r="T471" s="2"/>
      <c r="U471" s="2" t="s">
        <v>3527</v>
      </c>
      <c r="V471" s="2" t="s">
        <v>46</v>
      </c>
      <c r="W471" s="2" t="s">
        <v>3527</v>
      </c>
      <c r="X471" s="2" t="s">
        <v>10787</v>
      </c>
      <c r="Y471" s="2" t="s">
        <v>10801</v>
      </c>
      <c r="Z471" s="2" t="s">
        <v>7864</v>
      </c>
      <c r="AA471" s="2">
        <v>100</v>
      </c>
      <c r="AB471" s="2">
        <v>10</v>
      </c>
      <c r="AC471" s="2" t="s">
        <v>10789</v>
      </c>
      <c r="AD471" s="2" t="s">
        <v>21507</v>
      </c>
      <c r="AE471" s="2" t="s">
        <v>18260</v>
      </c>
      <c r="AF471" s="2"/>
      <c r="AG471" s="2" t="s">
        <v>18250</v>
      </c>
    </row>
    <row r="472" spans="1:33" x14ac:dyDescent="0.45">
      <c r="A472" s="2" t="s">
        <v>21508</v>
      </c>
      <c r="B472" s="2" t="s">
        <v>21509</v>
      </c>
      <c r="C472" s="2" t="s">
        <v>21510</v>
      </c>
      <c r="D472" s="2" t="s">
        <v>21511</v>
      </c>
      <c r="E472" s="2" t="s">
        <v>21512</v>
      </c>
      <c r="F472" s="2"/>
      <c r="G472" s="2"/>
      <c r="H472" s="2" t="s">
        <v>59</v>
      </c>
      <c r="I472" s="2" t="s">
        <v>60</v>
      </c>
      <c r="J472" s="2" t="s">
        <v>15541</v>
      </c>
      <c r="K472" s="2" t="s">
        <v>21511</v>
      </c>
      <c r="L472" s="2"/>
      <c r="M472" s="2"/>
      <c r="N472" s="2"/>
      <c r="O472" s="2" t="s">
        <v>59</v>
      </c>
      <c r="P472" s="2" t="s">
        <v>60</v>
      </c>
      <c r="Q472" s="2" t="s">
        <v>15541</v>
      </c>
      <c r="R472" s="2" t="s">
        <v>8039</v>
      </c>
      <c r="S472" s="2" t="s">
        <v>44</v>
      </c>
      <c r="T472" s="2"/>
      <c r="U472" s="2" t="s">
        <v>3527</v>
      </c>
      <c r="V472" s="2" t="s">
        <v>46</v>
      </c>
      <c r="W472" s="2" t="s">
        <v>3527</v>
      </c>
      <c r="X472" s="2" t="s">
        <v>11537</v>
      </c>
      <c r="Y472" s="2" t="s">
        <v>10801</v>
      </c>
      <c r="Z472" s="2" t="s">
        <v>7864</v>
      </c>
      <c r="AA472" s="2">
        <v>90</v>
      </c>
      <c r="AB472" s="2">
        <v>0</v>
      </c>
      <c r="AC472" s="2" t="s">
        <v>10789</v>
      </c>
      <c r="AD472" s="2" t="s">
        <v>21513</v>
      </c>
      <c r="AE472" s="2" t="s">
        <v>18260</v>
      </c>
      <c r="AF472" s="2"/>
      <c r="AG472" s="2" t="s">
        <v>18250</v>
      </c>
    </row>
    <row r="473" spans="1:33" x14ac:dyDescent="0.45">
      <c r="A473" s="2" t="s">
        <v>21514</v>
      </c>
      <c r="B473" s="2" t="s">
        <v>21515</v>
      </c>
      <c r="C473" s="2" t="s">
        <v>21516</v>
      </c>
      <c r="D473" s="2" t="s">
        <v>21517</v>
      </c>
      <c r="E473" s="2" t="s">
        <v>21518</v>
      </c>
      <c r="F473" s="2" t="s">
        <v>21519</v>
      </c>
      <c r="G473" s="2" t="s">
        <v>21519</v>
      </c>
      <c r="H473" s="2" t="s">
        <v>72</v>
      </c>
      <c r="I473" s="2" t="s">
        <v>73</v>
      </c>
      <c r="J473" s="2" t="s">
        <v>1035</v>
      </c>
      <c r="K473" s="2" t="s">
        <v>21520</v>
      </c>
      <c r="L473" s="2"/>
      <c r="M473" s="2"/>
      <c r="N473" s="2"/>
      <c r="O473" s="2" t="s">
        <v>72</v>
      </c>
      <c r="P473" s="2" t="s">
        <v>73</v>
      </c>
      <c r="Q473" s="2" t="s">
        <v>1035</v>
      </c>
      <c r="R473" s="2" t="s">
        <v>21521</v>
      </c>
      <c r="S473" s="2" t="s">
        <v>44</v>
      </c>
      <c r="T473" s="2"/>
      <c r="U473" s="2" t="s">
        <v>821</v>
      </c>
      <c r="V473" s="2" t="s">
        <v>46</v>
      </c>
      <c r="W473" s="2" t="s">
        <v>821</v>
      </c>
      <c r="X473" s="2" t="s">
        <v>10787</v>
      </c>
      <c r="Y473" s="2" t="s">
        <v>10801</v>
      </c>
      <c r="Z473" s="2" t="s">
        <v>7864</v>
      </c>
      <c r="AA473" s="2">
        <v>100</v>
      </c>
      <c r="AB473" s="2">
        <v>17</v>
      </c>
      <c r="AC473" s="2" t="s">
        <v>10789</v>
      </c>
      <c r="AD473" s="2" t="s">
        <v>21522</v>
      </c>
      <c r="AE473" s="2" t="s">
        <v>18260</v>
      </c>
      <c r="AF473" s="2"/>
      <c r="AG473" s="2" t="s">
        <v>18250</v>
      </c>
    </row>
    <row r="474" spans="1:33" x14ac:dyDescent="0.45">
      <c r="A474" s="2" t="s">
        <v>21523</v>
      </c>
      <c r="B474" s="2" t="s">
        <v>21524</v>
      </c>
      <c r="C474" s="2" t="s">
        <v>21523</v>
      </c>
      <c r="D474" s="2" t="s">
        <v>21525</v>
      </c>
      <c r="E474" s="2" t="s">
        <v>21526</v>
      </c>
      <c r="F474" s="2" t="s">
        <v>21527</v>
      </c>
      <c r="G474" s="2"/>
      <c r="H474" s="2" t="s">
        <v>59</v>
      </c>
      <c r="I474" s="2" t="s">
        <v>60</v>
      </c>
      <c r="J474" s="2" t="s">
        <v>21528</v>
      </c>
      <c r="K474" s="2" t="s">
        <v>21525</v>
      </c>
      <c r="L474" s="2"/>
      <c r="M474" s="2"/>
      <c r="N474" s="2"/>
      <c r="O474" s="2" t="s">
        <v>59</v>
      </c>
      <c r="P474" s="2" t="s">
        <v>60</v>
      </c>
      <c r="Q474" s="2" t="s">
        <v>21528</v>
      </c>
      <c r="R474" s="2" t="s">
        <v>11669</v>
      </c>
      <c r="S474" s="2" t="s">
        <v>44</v>
      </c>
      <c r="T474" s="2"/>
      <c r="U474" s="2" t="s">
        <v>821</v>
      </c>
      <c r="V474" s="2" t="s">
        <v>46</v>
      </c>
      <c r="W474" s="2" t="s">
        <v>821</v>
      </c>
      <c r="X474" s="2" t="s">
        <v>10787</v>
      </c>
      <c r="Y474" s="2" t="s">
        <v>10801</v>
      </c>
      <c r="Z474" s="2" t="s">
        <v>7864</v>
      </c>
      <c r="AA474" s="2">
        <v>100</v>
      </c>
      <c r="AB474" s="2">
        <v>17</v>
      </c>
      <c r="AC474" s="2" t="s">
        <v>10789</v>
      </c>
      <c r="AD474" s="2" t="s">
        <v>21529</v>
      </c>
      <c r="AE474" s="2" t="s">
        <v>18260</v>
      </c>
      <c r="AF474" s="2"/>
      <c r="AG474" s="2" t="s">
        <v>18250</v>
      </c>
    </row>
    <row r="475" spans="1:33" x14ac:dyDescent="0.45">
      <c r="A475" s="2" t="s">
        <v>21530</v>
      </c>
      <c r="B475" s="2" t="s">
        <v>21531</v>
      </c>
      <c r="C475" s="2" t="s">
        <v>21532</v>
      </c>
      <c r="D475" s="2" t="s">
        <v>21533</v>
      </c>
      <c r="E475" s="2" t="s">
        <v>21534</v>
      </c>
      <c r="F475" s="2" t="s">
        <v>21535</v>
      </c>
      <c r="G475" s="2" t="s">
        <v>21535</v>
      </c>
      <c r="H475" s="2" t="s">
        <v>12979</v>
      </c>
      <c r="I475" s="2" t="s">
        <v>73</v>
      </c>
      <c r="J475" s="2" t="s">
        <v>21536</v>
      </c>
      <c r="K475" s="2" t="s">
        <v>21533</v>
      </c>
      <c r="L475" s="2"/>
      <c r="M475" s="2"/>
      <c r="N475" s="2"/>
      <c r="O475" s="2" t="s">
        <v>12979</v>
      </c>
      <c r="P475" s="2" t="s">
        <v>73</v>
      </c>
      <c r="Q475" s="2" t="s">
        <v>21536</v>
      </c>
      <c r="R475" s="2" t="s">
        <v>4984</v>
      </c>
      <c r="S475" s="2" t="s">
        <v>44</v>
      </c>
      <c r="T475" s="2"/>
      <c r="U475" s="2" t="s">
        <v>3527</v>
      </c>
      <c r="V475" s="2" t="s">
        <v>46</v>
      </c>
      <c r="W475" s="2" t="s">
        <v>3527</v>
      </c>
      <c r="X475" s="2" t="s">
        <v>10787</v>
      </c>
      <c r="Y475" s="2" t="s">
        <v>10801</v>
      </c>
      <c r="Z475" s="2" t="s">
        <v>7864</v>
      </c>
      <c r="AA475" s="2">
        <v>100</v>
      </c>
      <c r="AB475" s="2">
        <v>5</v>
      </c>
      <c r="AC475" s="2" t="s">
        <v>10789</v>
      </c>
      <c r="AD475" s="2" t="s">
        <v>21537</v>
      </c>
      <c r="AE475" s="2" t="s">
        <v>18260</v>
      </c>
      <c r="AF475" s="2"/>
      <c r="AG475" s="2" t="s">
        <v>18250</v>
      </c>
    </row>
    <row r="476" spans="1:33" x14ac:dyDescent="0.45">
      <c r="A476" s="2" t="s">
        <v>21538</v>
      </c>
      <c r="B476" s="2" t="s">
        <v>21539</v>
      </c>
      <c r="C476" s="2" t="s">
        <v>21538</v>
      </c>
      <c r="D476" s="2" t="s">
        <v>21540</v>
      </c>
      <c r="E476" s="2" t="s">
        <v>21541</v>
      </c>
      <c r="F476" s="2" t="s">
        <v>21542</v>
      </c>
      <c r="G476" s="2"/>
      <c r="H476" s="2" t="s">
        <v>536</v>
      </c>
      <c r="I476" s="2" t="s">
        <v>537</v>
      </c>
      <c r="J476" s="2" t="s">
        <v>18722</v>
      </c>
      <c r="K476" s="2" t="s">
        <v>21540</v>
      </c>
      <c r="L476" s="2"/>
      <c r="M476" s="2"/>
      <c r="N476" s="2"/>
      <c r="O476" s="2" t="s">
        <v>536</v>
      </c>
      <c r="P476" s="2" t="s">
        <v>537</v>
      </c>
      <c r="Q476" s="2" t="s">
        <v>18722</v>
      </c>
      <c r="R476" s="2" t="s">
        <v>5678</v>
      </c>
      <c r="S476" s="2" t="s">
        <v>44</v>
      </c>
      <c r="T476" s="2"/>
      <c r="U476" s="2" t="s">
        <v>3527</v>
      </c>
      <c r="V476" s="2" t="s">
        <v>46</v>
      </c>
      <c r="W476" s="2" t="s">
        <v>3527</v>
      </c>
      <c r="X476" s="2" t="s">
        <v>10787</v>
      </c>
      <c r="Y476" s="2" t="s">
        <v>10801</v>
      </c>
      <c r="Z476" s="2" t="s">
        <v>7864</v>
      </c>
      <c r="AA476" s="2">
        <v>100</v>
      </c>
      <c r="AB476" s="2">
        <v>10</v>
      </c>
      <c r="AC476" s="2" t="s">
        <v>10789</v>
      </c>
      <c r="AD476" s="2" t="s">
        <v>21543</v>
      </c>
      <c r="AE476" s="2" t="s">
        <v>18260</v>
      </c>
      <c r="AF476" s="2"/>
      <c r="AG476" s="2" t="s">
        <v>18250</v>
      </c>
    </row>
    <row r="477" spans="1:33" x14ac:dyDescent="0.45">
      <c r="A477" s="2" t="s">
        <v>21544</v>
      </c>
      <c r="B477" s="2" t="s">
        <v>21545</v>
      </c>
      <c r="C477" s="2" t="s">
        <v>21544</v>
      </c>
      <c r="D477" s="2" t="s">
        <v>21546</v>
      </c>
      <c r="E477" s="2" t="s">
        <v>21547</v>
      </c>
      <c r="F477" s="2"/>
      <c r="G477" s="2"/>
      <c r="H477" s="2" t="s">
        <v>174</v>
      </c>
      <c r="I477" s="2" t="s">
        <v>175</v>
      </c>
      <c r="J477" s="2" t="s">
        <v>19059</v>
      </c>
      <c r="K477" s="2" t="s">
        <v>21546</v>
      </c>
      <c r="L477" s="2"/>
      <c r="M477" s="2"/>
      <c r="N477" s="2"/>
      <c r="O477" s="2" t="s">
        <v>174</v>
      </c>
      <c r="P477" s="2" t="s">
        <v>175</v>
      </c>
      <c r="Q477" s="2" t="s">
        <v>19059</v>
      </c>
      <c r="R477" s="2" t="s">
        <v>21548</v>
      </c>
      <c r="S477" s="2" t="s">
        <v>44</v>
      </c>
      <c r="T477" s="2"/>
      <c r="U477" s="2" t="s">
        <v>3527</v>
      </c>
      <c r="V477" s="2" t="s">
        <v>46</v>
      </c>
      <c r="W477" s="2" t="s">
        <v>3527</v>
      </c>
      <c r="X477" s="2" t="s">
        <v>10787</v>
      </c>
      <c r="Y477" s="2" t="s">
        <v>10801</v>
      </c>
      <c r="Z477" s="2" t="s">
        <v>7864</v>
      </c>
      <c r="AA477" s="2">
        <v>90</v>
      </c>
      <c r="AB477" s="2">
        <v>0</v>
      </c>
      <c r="AC477" s="2" t="s">
        <v>10789</v>
      </c>
      <c r="AD477" s="2" t="s">
        <v>21277</v>
      </c>
      <c r="AE477" s="2" t="s">
        <v>18260</v>
      </c>
      <c r="AF477" s="2"/>
      <c r="AG477" s="2" t="s">
        <v>18250</v>
      </c>
    </row>
    <row r="478" spans="1:33" x14ac:dyDescent="0.45">
      <c r="A478" s="2" t="s">
        <v>21549</v>
      </c>
      <c r="B478" s="2" t="s">
        <v>21550</v>
      </c>
      <c r="C478" s="2" t="s">
        <v>21549</v>
      </c>
      <c r="D478" s="2" t="s">
        <v>21551</v>
      </c>
      <c r="E478" s="2" t="s">
        <v>21552</v>
      </c>
      <c r="F478" s="2" t="s">
        <v>21553</v>
      </c>
      <c r="G478" s="2"/>
      <c r="H478" s="2" t="s">
        <v>174</v>
      </c>
      <c r="I478" s="2" t="s">
        <v>175</v>
      </c>
      <c r="J478" s="2" t="s">
        <v>21554</v>
      </c>
      <c r="K478" s="2" t="s">
        <v>21551</v>
      </c>
      <c r="L478" s="2"/>
      <c r="M478" s="2"/>
      <c r="N478" s="2"/>
      <c r="O478" s="2" t="s">
        <v>174</v>
      </c>
      <c r="P478" s="2" t="s">
        <v>175</v>
      </c>
      <c r="Q478" s="2" t="s">
        <v>21554</v>
      </c>
      <c r="R478" s="2" t="s">
        <v>21025</v>
      </c>
      <c r="S478" s="2" t="s">
        <v>44</v>
      </c>
      <c r="T478" s="2"/>
      <c r="U478" s="2" t="s">
        <v>3527</v>
      </c>
      <c r="V478" s="2" t="s">
        <v>46</v>
      </c>
      <c r="W478" s="2" t="s">
        <v>3527</v>
      </c>
      <c r="X478" s="2" t="s">
        <v>10787</v>
      </c>
      <c r="Y478" s="2" t="s">
        <v>10801</v>
      </c>
      <c r="Z478" s="2" t="s">
        <v>7864</v>
      </c>
      <c r="AA478" s="2">
        <v>100</v>
      </c>
      <c r="AB478" s="2">
        <v>10</v>
      </c>
      <c r="AC478" s="2" t="s">
        <v>10789</v>
      </c>
      <c r="AD478" s="2" t="s">
        <v>21555</v>
      </c>
      <c r="AE478" s="2" t="s">
        <v>18260</v>
      </c>
      <c r="AF478" s="2"/>
      <c r="AG478" s="2" t="s">
        <v>18250</v>
      </c>
    </row>
    <row r="479" spans="1:33" x14ac:dyDescent="0.45">
      <c r="A479" s="2" t="s">
        <v>21556</v>
      </c>
      <c r="B479" s="2" t="s">
        <v>21557</v>
      </c>
      <c r="C479" s="2" t="s">
        <v>21558</v>
      </c>
      <c r="D479" s="2" t="s">
        <v>21559</v>
      </c>
      <c r="E479" s="2" t="s">
        <v>21560</v>
      </c>
      <c r="F479" s="2" t="s">
        <v>21561</v>
      </c>
      <c r="G479" s="2"/>
      <c r="H479" s="2" t="s">
        <v>384</v>
      </c>
      <c r="I479" s="2" t="s">
        <v>73</v>
      </c>
      <c r="J479" s="2" t="s">
        <v>5642</v>
      </c>
      <c r="K479" s="2" t="s">
        <v>21559</v>
      </c>
      <c r="L479" s="2"/>
      <c r="M479" s="2"/>
      <c r="N479" s="2"/>
      <c r="O479" s="2" t="s">
        <v>384</v>
      </c>
      <c r="P479" s="2" t="s">
        <v>73</v>
      </c>
      <c r="Q479" s="2" t="s">
        <v>5642</v>
      </c>
      <c r="R479" s="2" t="s">
        <v>4659</v>
      </c>
      <c r="S479" s="2" t="s">
        <v>44</v>
      </c>
      <c r="T479" s="2"/>
      <c r="U479" s="2" t="s">
        <v>821</v>
      </c>
      <c r="V479" s="2" t="s">
        <v>46</v>
      </c>
      <c r="W479" s="2" t="s">
        <v>821</v>
      </c>
      <c r="X479" s="2" t="s">
        <v>10787</v>
      </c>
      <c r="Y479" s="2" t="s">
        <v>10801</v>
      </c>
      <c r="Z479" s="2" t="s">
        <v>7864</v>
      </c>
      <c r="AA479" s="2">
        <v>100</v>
      </c>
      <c r="AB479" s="2">
        <v>17</v>
      </c>
      <c r="AC479" s="2" t="s">
        <v>10789</v>
      </c>
      <c r="AD479" s="2" t="s">
        <v>21562</v>
      </c>
      <c r="AE479" s="2" t="s">
        <v>18260</v>
      </c>
      <c r="AF479" s="2"/>
      <c r="AG479" s="2" t="s">
        <v>18250</v>
      </c>
    </row>
    <row r="480" spans="1:33" x14ac:dyDescent="0.45">
      <c r="A480" s="2" t="s">
        <v>21563</v>
      </c>
      <c r="B480" s="2" t="s">
        <v>21564</v>
      </c>
      <c r="C480" s="2" t="s">
        <v>21565</v>
      </c>
      <c r="D480" s="2" t="s">
        <v>21566</v>
      </c>
      <c r="E480" s="2" t="s">
        <v>21567</v>
      </c>
      <c r="F480" s="2" t="s">
        <v>21568</v>
      </c>
      <c r="G480" s="2" t="s">
        <v>21568</v>
      </c>
      <c r="H480" s="2" t="s">
        <v>39</v>
      </c>
      <c r="I480" s="2" t="s">
        <v>40</v>
      </c>
      <c r="J480" s="2" t="s">
        <v>21569</v>
      </c>
      <c r="K480" s="2" t="s">
        <v>21566</v>
      </c>
      <c r="L480" s="2"/>
      <c r="M480" s="2"/>
      <c r="N480" s="2"/>
      <c r="O480" s="2" t="s">
        <v>39</v>
      </c>
      <c r="P480" s="2" t="s">
        <v>40</v>
      </c>
      <c r="Q480" s="2" t="s">
        <v>21569</v>
      </c>
      <c r="R480" s="2" t="s">
        <v>18531</v>
      </c>
      <c r="S480" s="2" t="s">
        <v>44</v>
      </c>
      <c r="T480" s="2"/>
      <c r="U480" s="2" t="s">
        <v>3527</v>
      </c>
      <c r="V480" s="2" t="s">
        <v>46</v>
      </c>
      <c r="W480" s="2" t="s">
        <v>3527</v>
      </c>
      <c r="X480" s="2" t="s">
        <v>10787</v>
      </c>
      <c r="Y480" s="2" t="s">
        <v>10801</v>
      </c>
      <c r="Z480" s="2" t="s">
        <v>7864</v>
      </c>
      <c r="AA480" s="2">
        <v>100</v>
      </c>
      <c r="AB480" s="2">
        <v>10</v>
      </c>
      <c r="AC480" s="2" t="s">
        <v>10789</v>
      </c>
      <c r="AD480" s="2" t="s">
        <v>21570</v>
      </c>
      <c r="AE480" s="2" t="s">
        <v>18260</v>
      </c>
      <c r="AF480" s="2"/>
      <c r="AG480" s="2" t="s">
        <v>18250</v>
      </c>
    </row>
    <row r="481" spans="1:33" x14ac:dyDescent="0.45">
      <c r="A481" s="2" t="s">
        <v>21571</v>
      </c>
      <c r="B481" s="2" t="s">
        <v>21572</v>
      </c>
      <c r="C481" s="2" t="s">
        <v>21571</v>
      </c>
      <c r="D481" s="2" t="s">
        <v>21573</v>
      </c>
      <c r="E481" s="2" t="s">
        <v>21574</v>
      </c>
      <c r="F481" s="2"/>
      <c r="G481" s="2"/>
      <c r="H481" s="2" t="s">
        <v>72</v>
      </c>
      <c r="I481" s="2" t="s">
        <v>73</v>
      </c>
      <c r="J481" s="2" t="s">
        <v>232</v>
      </c>
      <c r="K481" s="2" t="s">
        <v>21573</v>
      </c>
      <c r="L481" s="2"/>
      <c r="M481" s="2"/>
      <c r="N481" s="2"/>
      <c r="O481" s="2" t="s">
        <v>72</v>
      </c>
      <c r="P481" s="2" t="s">
        <v>73</v>
      </c>
      <c r="Q481" s="2" t="s">
        <v>232</v>
      </c>
      <c r="R481" s="2" t="s">
        <v>21575</v>
      </c>
      <c r="S481" s="2" t="s">
        <v>44</v>
      </c>
      <c r="T481" s="2"/>
      <c r="U481" s="2" t="s">
        <v>821</v>
      </c>
      <c r="V481" s="2" t="s">
        <v>46</v>
      </c>
      <c r="W481" s="2" t="s">
        <v>821</v>
      </c>
      <c r="X481" s="2" t="s">
        <v>10787</v>
      </c>
      <c r="Y481" s="2" t="s">
        <v>10801</v>
      </c>
      <c r="Z481" s="2" t="s">
        <v>7864</v>
      </c>
      <c r="AA481" s="2">
        <v>90</v>
      </c>
      <c r="AB481" s="2">
        <v>7</v>
      </c>
      <c r="AC481" s="2" t="s">
        <v>10789</v>
      </c>
      <c r="AD481" s="2" t="s">
        <v>21576</v>
      </c>
      <c r="AE481" s="2" t="s">
        <v>18260</v>
      </c>
      <c r="AF481" s="2"/>
      <c r="AG481" s="2" t="s">
        <v>18250</v>
      </c>
    </row>
    <row r="482" spans="1:33" x14ac:dyDescent="0.45">
      <c r="A482" s="2" t="s">
        <v>21577</v>
      </c>
      <c r="B482" s="2" t="s">
        <v>21578</v>
      </c>
      <c r="C482" s="2" t="s">
        <v>21579</v>
      </c>
      <c r="D482" s="2" t="s">
        <v>21580</v>
      </c>
      <c r="E482" s="2" t="s">
        <v>21581</v>
      </c>
      <c r="F482" s="2"/>
      <c r="G482" s="2"/>
      <c r="H482" s="2" t="s">
        <v>384</v>
      </c>
      <c r="I482" s="2" t="s">
        <v>73</v>
      </c>
      <c r="J482" s="2" t="s">
        <v>385</v>
      </c>
      <c r="K482" s="2" t="s">
        <v>21580</v>
      </c>
      <c r="L482" s="2"/>
      <c r="M482" s="2"/>
      <c r="N482" s="2"/>
      <c r="O482" s="2" t="s">
        <v>384</v>
      </c>
      <c r="P482" s="2" t="s">
        <v>73</v>
      </c>
      <c r="Q482" s="2" t="s">
        <v>385</v>
      </c>
      <c r="R482" s="2" t="s">
        <v>21582</v>
      </c>
      <c r="S482" s="2" t="s">
        <v>44</v>
      </c>
      <c r="T482" s="2"/>
      <c r="U482" s="2" t="s">
        <v>821</v>
      </c>
      <c r="V482" s="2" t="s">
        <v>46</v>
      </c>
      <c r="W482" s="2" t="s">
        <v>821</v>
      </c>
      <c r="X482" s="2" t="s">
        <v>10787</v>
      </c>
      <c r="Y482" s="2" t="s">
        <v>10801</v>
      </c>
      <c r="Z482" s="2" t="s">
        <v>7864</v>
      </c>
      <c r="AA482" s="2">
        <v>90</v>
      </c>
      <c r="AB482" s="2">
        <v>7</v>
      </c>
      <c r="AC482" s="2" t="s">
        <v>10789</v>
      </c>
      <c r="AD482" s="2" t="s">
        <v>21583</v>
      </c>
      <c r="AE482" s="2" t="s">
        <v>18260</v>
      </c>
      <c r="AF482" s="2"/>
      <c r="AG482" s="2" t="s">
        <v>18250</v>
      </c>
    </row>
    <row r="483" spans="1:33" x14ac:dyDescent="0.45">
      <c r="A483" s="2" t="s">
        <v>21584</v>
      </c>
      <c r="B483" s="2" t="s">
        <v>21585</v>
      </c>
      <c r="C483" s="2" t="s">
        <v>21584</v>
      </c>
      <c r="D483" s="2" t="s">
        <v>21586</v>
      </c>
      <c r="E483" s="2" t="s">
        <v>21587</v>
      </c>
      <c r="F483" s="2" t="s">
        <v>21588</v>
      </c>
      <c r="G483" s="2"/>
      <c r="H483" s="2" t="s">
        <v>8475</v>
      </c>
      <c r="I483" s="2" t="s">
        <v>221</v>
      </c>
      <c r="J483" s="2" t="s">
        <v>8476</v>
      </c>
      <c r="K483" s="2" t="s">
        <v>21586</v>
      </c>
      <c r="L483" s="2"/>
      <c r="M483" s="2"/>
      <c r="N483" s="2"/>
      <c r="O483" s="2" t="s">
        <v>8475</v>
      </c>
      <c r="P483" s="2" t="s">
        <v>221</v>
      </c>
      <c r="Q483" s="2" t="s">
        <v>8476</v>
      </c>
      <c r="R483" s="2" t="s">
        <v>2964</v>
      </c>
      <c r="S483" s="2" t="s">
        <v>44</v>
      </c>
      <c r="T483" s="2"/>
      <c r="U483" s="2" t="s">
        <v>3527</v>
      </c>
      <c r="V483" s="2" t="s">
        <v>46</v>
      </c>
      <c r="W483" s="2" t="s">
        <v>3527</v>
      </c>
      <c r="X483" s="2" t="s">
        <v>10787</v>
      </c>
      <c r="Y483" s="2" t="s">
        <v>10801</v>
      </c>
      <c r="Z483" s="2" t="s">
        <v>7864</v>
      </c>
      <c r="AA483" s="2">
        <v>100</v>
      </c>
      <c r="AB483" s="2">
        <v>5</v>
      </c>
      <c r="AC483" s="2" t="s">
        <v>10789</v>
      </c>
      <c r="AD483" s="2" t="s">
        <v>21589</v>
      </c>
      <c r="AE483" s="2" t="s">
        <v>18260</v>
      </c>
      <c r="AF483" s="2"/>
      <c r="AG483" s="2" t="s">
        <v>18250</v>
      </c>
    </row>
    <row r="484" spans="1:33" x14ac:dyDescent="0.45">
      <c r="A484" s="2" t="s">
        <v>21590</v>
      </c>
      <c r="B484" s="2" t="s">
        <v>21591</v>
      </c>
      <c r="C484" s="2" t="s">
        <v>21592</v>
      </c>
      <c r="D484" s="2" t="s">
        <v>21593</v>
      </c>
      <c r="E484" s="2" t="s">
        <v>21594</v>
      </c>
      <c r="F484" s="2" t="s">
        <v>21595</v>
      </c>
      <c r="G484" s="2"/>
      <c r="H484" s="2" t="s">
        <v>17680</v>
      </c>
      <c r="I484" s="2" t="s">
        <v>17681</v>
      </c>
      <c r="J484" s="2" t="s">
        <v>21596</v>
      </c>
      <c r="K484" s="2" t="s">
        <v>21593</v>
      </c>
      <c r="L484" s="2"/>
      <c r="M484" s="2"/>
      <c r="N484" s="2"/>
      <c r="O484" s="2" t="s">
        <v>17680</v>
      </c>
      <c r="P484" s="2" t="s">
        <v>17681</v>
      </c>
      <c r="Q484" s="2" t="s">
        <v>21596</v>
      </c>
      <c r="R484" s="2" t="s">
        <v>1768</v>
      </c>
      <c r="S484" s="2" t="s">
        <v>44</v>
      </c>
      <c r="T484" s="2"/>
      <c r="U484" s="2" t="s">
        <v>821</v>
      </c>
      <c r="V484" s="2" t="s">
        <v>46</v>
      </c>
      <c r="W484" s="2" t="s">
        <v>821</v>
      </c>
      <c r="X484" s="2" t="s">
        <v>10787</v>
      </c>
      <c r="Y484" s="2" t="s">
        <v>10801</v>
      </c>
      <c r="Z484" s="2" t="s">
        <v>7864</v>
      </c>
      <c r="AA484" s="2">
        <v>100</v>
      </c>
      <c r="AB484" s="2">
        <v>12</v>
      </c>
      <c r="AC484" s="2" t="s">
        <v>10789</v>
      </c>
      <c r="AD484" s="2" t="s">
        <v>21597</v>
      </c>
      <c r="AE484" s="2" t="s">
        <v>18260</v>
      </c>
      <c r="AF484" s="2"/>
      <c r="AG484" s="2" t="s">
        <v>18250</v>
      </c>
    </row>
    <row r="485" spans="1:33" x14ac:dyDescent="0.45">
      <c r="A485" s="2" t="s">
        <v>21598</v>
      </c>
      <c r="B485" s="2" t="s">
        <v>21599</v>
      </c>
      <c r="C485" s="2" t="s">
        <v>21600</v>
      </c>
      <c r="D485" s="2" t="s">
        <v>21601</v>
      </c>
      <c r="E485" s="2" t="s">
        <v>21602</v>
      </c>
      <c r="F485" s="2" t="s">
        <v>21603</v>
      </c>
      <c r="G485" s="2"/>
      <c r="H485" s="2" t="s">
        <v>312</v>
      </c>
      <c r="I485" s="2" t="s">
        <v>313</v>
      </c>
      <c r="J485" s="2" t="s">
        <v>11721</v>
      </c>
      <c r="K485" s="2" t="s">
        <v>21601</v>
      </c>
      <c r="L485" s="2"/>
      <c r="M485" s="2"/>
      <c r="N485" s="2"/>
      <c r="O485" s="2" t="s">
        <v>312</v>
      </c>
      <c r="P485" s="2" t="s">
        <v>313</v>
      </c>
      <c r="Q485" s="2" t="s">
        <v>11721</v>
      </c>
      <c r="R485" s="2" t="s">
        <v>4984</v>
      </c>
      <c r="S485" s="2" t="s">
        <v>44</v>
      </c>
      <c r="T485" s="2"/>
      <c r="U485" s="2" t="s">
        <v>3527</v>
      </c>
      <c r="V485" s="2" t="s">
        <v>46</v>
      </c>
      <c r="W485" s="2" t="s">
        <v>3527</v>
      </c>
      <c r="X485" s="2" t="s">
        <v>10787</v>
      </c>
      <c r="Y485" s="2" t="s">
        <v>10801</v>
      </c>
      <c r="Z485" s="2" t="s">
        <v>7864</v>
      </c>
      <c r="AA485" s="2">
        <v>100</v>
      </c>
      <c r="AB485" s="2">
        <v>10</v>
      </c>
      <c r="AC485" s="2" t="s">
        <v>10789</v>
      </c>
      <c r="AD485" s="2" t="s">
        <v>21604</v>
      </c>
      <c r="AE485" s="2" t="s">
        <v>18260</v>
      </c>
      <c r="AF485" s="2"/>
      <c r="AG485" s="2" t="s">
        <v>18250</v>
      </c>
    </row>
    <row r="486" spans="1:33" x14ac:dyDescent="0.45">
      <c r="A486" s="2" t="s">
        <v>21605</v>
      </c>
      <c r="B486" s="2" t="s">
        <v>21606</v>
      </c>
      <c r="C486" s="2" t="s">
        <v>21607</v>
      </c>
      <c r="D486" s="2" t="s">
        <v>21608</v>
      </c>
      <c r="E486" s="2" t="s">
        <v>21609</v>
      </c>
      <c r="F486" s="2"/>
      <c r="G486" s="2"/>
      <c r="H486" s="2" t="s">
        <v>1115</v>
      </c>
      <c r="I486" s="2" t="s">
        <v>1112</v>
      </c>
      <c r="J486" s="2" t="s">
        <v>7843</v>
      </c>
      <c r="K486" s="2" t="s">
        <v>21608</v>
      </c>
      <c r="L486" s="2"/>
      <c r="M486" s="2"/>
      <c r="N486" s="2"/>
      <c r="O486" s="2" t="s">
        <v>1115</v>
      </c>
      <c r="P486" s="2" t="s">
        <v>1112</v>
      </c>
      <c r="Q486" s="2" t="s">
        <v>7843</v>
      </c>
      <c r="R486" s="2" t="s">
        <v>4831</v>
      </c>
      <c r="S486" s="2" t="s">
        <v>44</v>
      </c>
      <c r="T486" s="2"/>
      <c r="U486" s="2" t="s">
        <v>3527</v>
      </c>
      <c r="V486" s="2" t="s">
        <v>46</v>
      </c>
      <c r="W486" s="2" t="s">
        <v>3527</v>
      </c>
      <c r="X486" s="2" t="s">
        <v>10787</v>
      </c>
      <c r="Y486" s="2" t="s">
        <v>10801</v>
      </c>
      <c r="Z486" s="2" t="s">
        <v>7864</v>
      </c>
      <c r="AA486" s="2">
        <v>90</v>
      </c>
      <c r="AB486" s="2">
        <v>0</v>
      </c>
      <c r="AC486" s="2" t="s">
        <v>10789</v>
      </c>
      <c r="AD486" s="2" t="s">
        <v>21610</v>
      </c>
      <c r="AE486" s="2" t="s">
        <v>18260</v>
      </c>
      <c r="AF486" s="2"/>
      <c r="AG486" s="2" t="s">
        <v>18250</v>
      </c>
    </row>
    <row r="487" spans="1:33" x14ac:dyDescent="0.45">
      <c r="A487" s="2" t="s">
        <v>21611</v>
      </c>
      <c r="B487" s="2" t="s">
        <v>21612</v>
      </c>
      <c r="C487" s="2" t="s">
        <v>21611</v>
      </c>
      <c r="D487" s="2" t="s">
        <v>21613</v>
      </c>
      <c r="E487" s="2" t="s">
        <v>21614</v>
      </c>
      <c r="F487" s="2" t="s">
        <v>21615</v>
      </c>
      <c r="G487" s="2" t="s">
        <v>21615</v>
      </c>
      <c r="H487" s="2" t="s">
        <v>312</v>
      </c>
      <c r="I487" s="2" t="s">
        <v>313</v>
      </c>
      <c r="J487" s="2" t="s">
        <v>7463</v>
      </c>
      <c r="K487" s="2"/>
      <c r="L487" s="2"/>
      <c r="M487" s="2"/>
      <c r="N487" s="2"/>
      <c r="O487" s="2"/>
      <c r="P487" s="2"/>
      <c r="Q487" s="2"/>
      <c r="R487" s="2" t="s">
        <v>9560</v>
      </c>
      <c r="S487" s="2" t="s">
        <v>44</v>
      </c>
      <c r="T487" s="2"/>
      <c r="U487" s="2" t="s">
        <v>3527</v>
      </c>
      <c r="V487" s="2" t="s">
        <v>46</v>
      </c>
      <c r="W487" s="2" t="s">
        <v>3527</v>
      </c>
      <c r="X487" s="2" t="s">
        <v>10787</v>
      </c>
      <c r="Y487" s="2" t="s">
        <v>10801</v>
      </c>
      <c r="Z487" s="2" t="s">
        <v>7864</v>
      </c>
      <c r="AA487" s="2">
        <v>100</v>
      </c>
      <c r="AB487" s="2">
        <v>10</v>
      </c>
      <c r="AC487" s="2" t="s">
        <v>10789</v>
      </c>
      <c r="AD487" s="2" t="s">
        <v>21616</v>
      </c>
      <c r="AE487" s="2" t="s">
        <v>18260</v>
      </c>
      <c r="AF487" s="2"/>
      <c r="AG487" s="2" t="s">
        <v>18250</v>
      </c>
    </row>
    <row r="488" spans="1:33" x14ac:dyDescent="0.45">
      <c r="A488" s="2" t="s">
        <v>21617</v>
      </c>
      <c r="B488" s="2" t="s">
        <v>21618</v>
      </c>
      <c r="C488" s="2" t="s">
        <v>21617</v>
      </c>
      <c r="D488" s="2" t="s">
        <v>21619</v>
      </c>
      <c r="E488" s="2" t="s">
        <v>21620</v>
      </c>
      <c r="F488" s="2" t="s">
        <v>21621</v>
      </c>
      <c r="G488" s="2"/>
      <c r="H488" s="2" t="s">
        <v>17659</v>
      </c>
      <c r="I488" s="2" t="s">
        <v>217</v>
      </c>
      <c r="J488" s="2" t="s">
        <v>21622</v>
      </c>
      <c r="K488" s="2" t="s">
        <v>21619</v>
      </c>
      <c r="L488" s="2"/>
      <c r="M488" s="2"/>
      <c r="N488" s="2"/>
      <c r="O488" s="2" t="s">
        <v>17659</v>
      </c>
      <c r="P488" s="2" t="s">
        <v>217</v>
      </c>
      <c r="Q488" s="2" t="s">
        <v>21622</v>
      </c>
      <c r="R488" s="2" t="s">
        <v>580</v>
      </c>
      <c r="S488" s="2" t="s">
        <v>44</v>
      </c>
      <c r="T488" s="2"/>
      <c r="U488" s="2" t="s">
        <v>3527</v>
      </c>
      <c r="V488" s="2" t="s">
        <v>46</v>
      </c>
      <c r="W488" s="2" t="s">
        <v>3527</v>
      </c>
      <c r="X488" s="2" t="s">
        <v>10787</v>
      </c>
      <c r="Y488" s="2" t="s">
        <v>10801</v>
      </c>
      <c r="Z488" s="2" t="s">
        <v>7864</v>
      </c>
      <c r="AA488" s="2">
        <v>100</v>
      </c>
      <c r="AB488" s="2">
        <v>5</v>
      </c>
      <c r="AC488" s="2" t="s">
        <v>10789</v>
      </c>
      <c r="AD488" s="2" t="s">
        <v>21623</v>
      </c>
      <c r="AE488" s="2" t="s">
        <v>18260</v>
      </c>
      <c r="AF488" s="2"/>
      <c r="AG488" s="2" t="s">
        <v>18250</v>
      </c>
    </row>
    <row r="489" spans="1:33" x14ac:dyDescent="0.45">
      <c r="A489" s="2" t="s">
        <v>21624</v>
      </c>
      <c r="B489" s="2" t="s">
        <v>21625</v>
      </c>
      <c r="C489" s="2" t="s">
        <v>21624</v>
      </c>
      <c r="D489" s="2" t="s">
        <v>21626</v>
      </c>
      <c r="E489" s="2" t="s">
        <v>21627</v>
      </c>
      <c r="F489" s="2"/>
      <c r="G489" s="2"/>
      <c r="H489" s="2" t="s">
        <v>72</v>
      </c>
      <c r="I489" s="2" t="s">
        <v>73</v>
      </c>
      <c r="J489" s="2" t="s">
        <v>7492</v>
      </c>
      <c r="K489" s="2" t="s">
        <v>21626</v>
      </c>
      <c r="L489" s="2"/>
      <c r="M489" s="2"/>
      <c r="N489" s="2"/>
      <c r="O489" s="2" t="s">
        <v>72</v>
      </c>
      <c r="P489" s="2" t="s">
        <v>73</v>
      </c>
      <c r="Q489" s="2" t="s">
        <v>7492</v>
      </c>
      <c r="R489" s="2" t="s">
        <v>21628</v>
      </c>
      <c r="S489" s="2" t="s">
        <v>44</v>
      </c>
      <c r="T489" s="2"/>
      <c r="U489" s="2" t="s">
        <v>3527</v>
      </c>
      <c r="V489" s="2" t="s">
        <v>46</v>
      </c>
      <c r="W489" s="2" t="s">
        <v>3527</v>
      </c>
      <c r="X489" s="2" t="s">
        <v>10787</v>
      </c>
      <c r="Y489" s="2" t="s">
        <v>10801</v>
      </c>
      <c r="Z489" s="2" t="s">
        <v>7864</v>
      </c>
      <c r="AA489" s="2">
        <v>90</v>
      </c>
      <c r="AB489" s="2">
        <v>0</v>
      </c>
      <c r="AC489" s="2" t="s">
        <v>10789</v>
      </c>
      <c r="AD489" s="2" t="s">
        <v>21629</v>
      </c>
      <c r="AE489" s="2" t="s">
        <v>18260</v>
      </c>
      <c r="AF489" s="2"/>
      <c r="AG489" s="2" t="s">
        <v>18250</v>
      </c>
    </row>
    <row r="490" spans="1:33" x14ac:dyDescent="0.45">
      <c r="A490" s="2" t="s">
        <v>21630</v>
      </c>
      <c r="B490" s="2" t="s">
        <v>21631</v>
      </c>
      <c r="C490" s="2" t="s">
        <v>21630</v>
      </c>
      <c r="D490" s="2" t="s">
        <v>21632</v>
      </c>
      <c r="E490" s="2" t="s">
        <v>21633</v>
      </c>
      <c r="F490" s="2" t="s">
        <v>3562</v>
      </c>
      <c r="G490" s="2" t="s">
        <v>3562</v>
      </c>
      <c r="H490" s="2" t="s">
        <v>651</v>
      </c>
      <c r="I490" s="2" t="s">
        <v>86</v>
      </c>
      <c r="J490" s="2" t="s">
        <v>21634</v>
      </c>
      <c r="K490" s="2" t="s">
        <v>21632</v>
      </c>
      <c r="L490" s="2"/>
      <c r="M490" s="2"/>
      <c r="N490" s="2"/>
      <c r="O490" s="2" t="s">
        <v>651</v>
      </c>
      <c r="P490" s="2" t="s">
        <v>86</v>
      </c>
      <c r="Q490" s="2" t="s">
        <v>21634</v>
      </c>
      <c r="R490" s="2" t="s">
        <v>8580</v>
      </c>
      <c r="S490" s="2" t="s">
        <v>44</v>
      </c>
      <c r="T490" s="2"/>
      <c r="U490" s="2" t="s">
        <v>3527</v>
      </c>
      <c r="V490" s="2" t="s">
        <v>46</v>
      </c>
      <c r="W490" s="2" t="s">
        <v>3527</v>
      </c>
      <c r="X490" s="2" t="s">
        <v>10787</v>
      </c>
      <c r="Y490" s="2" t="s">
        <v>10801</v>
      </c>
      <c r="Z490" s="2" t="s">
        <v>7864</v>
      </c>
      <c r="AA490" s="2">
        <v>100</v>
      </c>
      <c r="AB490" s="2">
        <v>10</v>
      </c>
      <c r="AC490" s="2" t="s">
        <v>10789</v>
      </c>
      <c r="AD490" s="2" t="s">
        <v>21635</v>
      </c>
      <c r="AE490" s="2" t="s">
        <v>18260</v>
      </c>
      <c r="AF490" s="2"/>
      <c r="AG490" s="2" t="s">
        <v>18250</v>
      </c>
    </row>
    <row r="491" spans="1:33" x14ac:dyDescent="0.45">
      <c r="A491" s="2" t="s">
        <v>21636</v>
      </c>
      <c r="B491" s="2" t="s">
        <v>21637</v>
      </c>
      <c r="C491" s="2" t="s">
        <v>21638</v>
      </c>
      <c r="D491" s="2" t="s">
        <v>21639</v>
      </c>
      <c r="E491" s="2" t="s">
        <v>21640</v>
      </c>
      <c r="F491" s="2"/>
      <c r="G491" s="2"/>
      <c r="H491" s="2" t="s">
        <v>384</v>
      </c>
      <c r="I491" s="2" t="s">
        <v>73</v>
      </c>
      <c r="J491" s="2" t="s">
        <v>20494</v>
      </c>
      <c r="K491" s="2" t="s">
        <v>21639</v>
      </c>
      <c r="L491" s="2"/>
      <c r="M491" s="2"/>
      <c r="N491" s="2"/>
      <c r="O491" s="2" t="s">
        <v>384</v>
      </c>
      <c r="P491" s="2" t="s">
        <v>73</v>
      </c>
      <c r="Q491" s="2" t="s">
        <v>20494</v>
      </c>
      <c r="R491" s="2" t="s">
        <v>7071</v>
      </c>
      <c r="S491" s="2" t="s">
        <v>44</v>
      </c>
      <c r="T491" s="2"/>
      <c r="U491" s="2" t="s">
        <v>3527</v>
      </c>
      <c r="V491" s="2" t="s">
        <v>46</v>
      </c>
      <c r="W491" s="2" t="s">
        <v>3527</v>
      </c>
      <c r="X491" s="2" t="s">
        <v>11537</v>
      </c>
      <c r="Y491" s="2" t="s">
        <v>10801</v>
      </c>
      <c r="Z491" s="2" t="s">
        <v>7864</v>
      </c>
      <c r="AA491" s="2">
        <v>90</v>
      </c>
      <c r="AB491" s="2">
        <v>0</v>
      </c>
      <c r="AC491" s="2" t="s">
        <v>10789</v>
      </c>
      <c r="AD491" s="2" t="s">
        <v>21641</v>
      </c>
      <c r="AE491" s="2" t="s">
        <v>18260</v>
      </c>
      <c r="AF491" s="2"/>
      <c r="AG491" s="2" t="s">
        <v>18250</v>
      </c>
    </row>
    <row r="492" spans="1:33" x14ac:dyDescent="0.45">
      <c r="A492" s="2" t="s">
        <v>21642</v>
      </c>
      <c r="B492" s="2" t="s">
        <v>21643</v>
      </c>
      <c r="C492" s="2" t="s">
        <v>21644</v>
      </c>
      <c r="D492" s="2" t="s">
        <v>21645</v>
      </c>
      <c r="E492" s="2" t="s">
        <v>21646</v>
      </c>
      <c r="F492" s="2"/>
      <c r="G492" s="2"/>
      <c r="H492" s="2" t="s">
        <v>1115</v>
      </c>
      <c r="I492" s="2" t="s">
        <v>1112</v>
      </c>
      <c r="J492" s="2" t="s">
        <v>21647</v>
      </c>
      <c r="K492" s="2" t="s">
        <v>21645</v>
      </c>
      <c r="L492" s="2"/>
      <c r="M492" s="2"/>
      <c r="N492" s="2"/>
      <c r="O492" s="2" t="s">
        <v>1115</v>
      </c>
      <c r="P492" s="2" t="s">
        <v>1112</v>
      </c>
      <c r="Q492" s="2" t="s">
        <v>21647</v>
      </c>
      <c r="R492" s="2" t="s">
        <v>21648</v>
      </c>
      <c r="S492" s="2" t="s">
        <v>44</v>
      </c>
      <c r="T492" s="2"/>
      <c r="U492" s="2" t="s">
        <v>3527</v>
      </c>
      <c r="V492" s="2" t="s">
        <v>46</v>
      </c>
      <c r="W492" s="2" t="s">
        <v>3527</v>
      </c>
      <c r="X492" s="2" t="s">
        <v>10787</v>
      </c>
      <c r="Y492" s="2" t="s">
        <v>10801</v>
      </c>
      <c r="Z492" s="2" t="s">
        <v>7864</v>
      </c>
      <c r="AA492" s="2">
        <v>90</v>
      </c>
      <c r="AB492" s="2">
        <v>0</v>
      </c>
      <c r="AC492" s="2" t="s">
        <v>10789</v>
      </c>
      <c r="AD492" s="2" t="s">
        <v>21649</v>
      </c>
      <c r="AE492" s="2" t="s">
        <v>18260</v>
      </c>
      <c r="AF492" s="2"/>
      <c r="AG492" s="2" t="s">
        <v>18250</v>
      </c>
    </row>
    <row r="493" spans="1:33" x14ac:dyDescent="0.45">
      <c r="A493" s="2" t="s">
        <v>21650</v>
      </c>
      <c r="B493" s="2" t="s">
        <v>21651</v>
      </c>
      <c r="C493" s="2" t="s">
        <v>21652</v>
      </c>
      <c r="D493" s="2" t="s">
        <v>21653</v>
      </c>
      <c r="E493" s="2" t="s">
        <v>21654</v>
      </c>
      <c r="F493" s="2"/>
      <c r="G493" s="2"/>
      <c r="H493" s="2" t="s">
        <v>39</v>
      </c>
      <c r="I493" s="2" t="s">
        <v>40</v>
      </c>
      <c r="J493" s="2" t="s">
        <v>10962</v>
      </c>
      <c r="K493" s="2" t="s">
        <v>21653</v>
      </c>
      <c r="L493" s="2"/>
      <c r="M493" s="2"/>
      <c r="N493" s="2"/>
      <c r="O493" s="2" t="s">
        <v>39</v>
      </c>
      <c r="P493" s="2" t="s">
        <v>40</v>
      </c>
      <c r="Q493" s="2" t="s">
        <v>10962</v>
      </c>
      <c r="R493" s="2" t="s">
        <v>21655</v>
      </c>
      <c r="S493" s="2" t="s">
        <v>44</v>
      </c>
      <c r="T493" s="2"/>
      <c r="U493" s="2" t="s">
        <v>3527</v>
      </c>
      <c r="V493" s="2" t="s">
        <v>46</v>
      </c>
      <c r="W493" s="2" t="s">
        <v>3527</v>
      </c>
      <c r="X493" s="2" t="s">
        <v>10787</v>
      </c>
      <c r="Y493" s="2" t="s">
        <v>10801</v>
      </c>
      <c r="Z493" s="2" t="s">
        <v>7864</v>
      </c>
      <c r="AA493" s="2">
        <v>90</v>
      </c>
      <c r="AB493" s="2">
        <v>0</v>
      </c>
      <c r="AC493" s="2" t="s">
        <v>10789</v>
      </c>
      <c r="AD493" s="2" t="s">
        <v>21656</v>
      </c>
      <c r="AE493" s="2" t="s">
        <v>18260</v>
      </c>
      <c r="AF493" s="2"/>
      <c r="AG493" s="2" t="s">
        <v>18250</v>
      </c>
    </row>
    <row r="494" spans="1:33" x14ac:dyDescent="0.45">
      <c r="A494" s="2" t="s">
        <v>21657</v>
      </c>
      <c r="B494" s="2" t="s">
        <v>21658</v>
      </c>
      <c r="C494" s="2" t="s">
        <v>21657</v>
      </c>
      <c r="D494" s="2" t="s">
        <v>21659</v>
      </c>
      <c r="E494" s="2" t="s">
        <v>21660</v>
      </c>
      <c r="F494" s="2" t="s">
        <v>21661</v>
      </c>
      <c r="G494" s="2"/>
      <c r="H494" s="2" t="s">
        <v>21662</v>
      </c>
      <c r="I494" s="2" t="s">
        <v>11347</v>
      </c>
      <c r="J494" s="2" t="s">
        <v>21663</v>
      </c>
      <c r="K494" s="2" t="s">
        <v>21659</v>
      </c>
      <c r="L494" s="2"/>
      <c r="M494" s="2"/>
      <c r="N494" s="2"/>
      <c r="O494" s="2" t="s">
        <v>21662</v>
      </c>
      <c r="P494" s="2" t="s">
        <v>11347</v>
      </c>
      <c r="Q494" s="2" t="s">
        <v>21663</v>
      </c>
      <c r="R494" s="2" t="s">
        <v>5178</v>
      </c>
      <c r="S494" s="2" t="s">
        <v>44</v>
      </c>
      <c r="T494" s="2"/>
      <c r="U494" s="2" t="s">
        <v>3527</v>
      </c>
      <c r="V494" s="2" t="s">
        <v>46</v>
      </c>
      <c r="W494" s="2" t="s">
        <v>3527</v>
      </c>
      <c r="X494" s="2" t="s">
        <v>10787</v>
      </c>
      <c r="Y494" s="2" t="s">
        <v>10801</v>
      </c>
      <c r="Z494" s="2" t="s">
        <v>7864</v>
      </c>
      <c r="AA494" s="2">
        <v>100</v>
      </c>
      <c r="AB494" s="2">
        <v>5</v>
      </c>
      <c r="AC494" s="2" t="s">
        <v>10789</v>
      </c>
      <c r="AD494" s="2" t="s">
        <v>21664</v>
      </c>
      <c r="AE494" s="2" t="s">
        <v>18260</v>
      </c>
      <c r="AF494" s="2"/>
      <c r="AG494" s="2" t="s">
        <v>18250</v>
      </c>
    </row>
    <row r="495" spans="1:33" x14ac:dyDescent="0.45">
      <c r="A495" s="2" t="s">
        <v>21665</v>
      </c>
      <c r="B495" s="2" t="s">
        <v>21666</v>
      </c>
      <c r="C495" s="2" t="s">
        <v>21667</v>
      </c>
      <c r="D495" s="2" t="s">
        <v>21668</v>
      </c>
      <c r="E495" s="2" t="s">
        <v>21669</v>
      </c>
      <c r="F495" s="2"/>
      <c r="G495" s="2"/>
      <c r="H495" s="2" t="s">
        <v>72</v>
      </c>
      <c r="I495" s="2" t="s">
        <v>73</v>
      </c>
      <c r="J495" s="2" t="s">
        <v>21670</v>
      </c>
      <c r="K495" s="2" t="s">
        <v>21668</v>
      </c>
      <c r="L495" s="2"/>
      <c r="M495" s="2"/>
      <c r="N495" s="2"/>
      <c r="O495" s="2" t="s">
        <v>72</v>
      </c>
      <c r="P495" s="2" t="s">
        <v>73</v>
      </c>
      <c r="Q495" s="2" t="s">
        <v>21670</v>
      </c>
      <c r="R495" s="2" t="s">
        <v>3546</v>
      </c>
      <c r="S495" s="2" t="s">
        <v>44</v>
      </c>
      <c r="T495" s="2"/>
      <c r="U495" s="2" t="s">
        <v>3527</v>
      </c>
      <c r="V495" s="2" t="s">
        <v>46</v>
      </c>
      <c r="W495" s="2" t="s">
        <v>3527</v>
      </c>
      <c r="X495" s="2" t="s">
        <v>10787</v>
      </c>
      <c r="Y495" s="2" t="s">
        <v>10801</v>
      </c>
      <c r="Z495" s="2" t="s">
        <v>7864</v>
      </c>
      <c r="AA495" s="2">
        <v>90</v>
      </c>
      <c r="AB495" s="2">
        <v>0</v>
      </c>
      <c r="AC495" s="2" t="s">
        <v>10789</v>
      </c>
      <c r="AD495" s="2" t="s">
        <v>21671</v>
      </c>
      <c r="AE495" s="2" t="s">
        <v>18260</v>
      </c>
      <c r="AF495" s="2"/>
      <c r="AG495" s="2" t="s">
        <v>18250</v>
      </c>
    </row>
    <row r="496" spans="1:33" x14ac:dyDescent="0.45">
      <c r="A496" s="2" t="s">
        <v>21672</v>
      </c>
      <c r="B496" s="2" t="s">
        <v>21673</v>
      </c>
      <c r="C496" s="2" t="s">
        <v>21672</v>
      </c>
      <c r="D496" s="2" t="s">
        <v>21674</v>
      </c>
      <c r="E496" s="2" t="s">
        <v>21675</v>
      </c>
      <c r="F496" s="2" t="s">
        <v>21676</v>
      </c>
      <c r="G496" s="2"/>
      <c r="H496" s="2" t="s">
        <v>8544</v>
      </c>
      <c r="I496" s="2" t="s">
        <v>73</v>
      </c>
      <c r="J496" s="2" t="s">
        <v>21677</v>
      </c>
      <c r="K496" s="2" t="s">
        <v>21678</v>
      </c>
      <c r="L496" s="2"/>
      <c r="M496" s="2"/>
      <c r="N496" s="2"/>
      <c r="O496" s="2" t="s">
        <v>8544</v>
      </c>
      <c r="P496" s="2" t="s">
        <v>73</v>
      </c>
      <c r="Q496" s="2" t="s">
        <v>21677</v>
      </c>
      <c r="R496" s="2" t="s">
        <v>1251</v>
      </c>
      <c r="S496" s="2" t="s">
        <v>44</v>
      </c>
      <c r="T496" s="2"/>
      <c r="U496" s="2" t="s">
        <v>3527</v>
      </c>
      <c r="V496" s="2" t="s">
        <v>46</v>
      </c>
      <c r="W496" s="2" t="s">
        <v>3527</v>
      </c>
      <c r="X496" s="2" t="s">
        <v>10787</v>
      </c>
      <c r="Y496" s="2" t="s">
        <v>10801</v>
      </c>
      <c r="Z496" s="2" t="s">
        <v>7864</v>
      </c>
      <c r="AA496" s="2">
        <v>100</v>
      </c>
      <c r="AB496" s="2">
        <v>5</v>
      </c>
      <c r="AC496" s="2" t="s">
        <v>10789</v>
      </c>
      <c r="AD496" s="2" t="s">
        <v>21679</v>
      </c>
      <c r="AE496" s="2" t="s">
        <v>18260</v>
      </c>
      <c r="AF496" s="2"/>
      <c r="AG496" s="2" t="s">
        <v>18250</v>
      </c>
    </row>
    <row r="497" spans="1:33" x14ac:dyDescent="0.45">
      <c r="A497" s="2" t="s">
        <v>21680</v>
      </c>
      <c r="B497" s="2" t="s">
        <v>21681</v>
      </c>
      <c r="C497" s="2" t="s">
        <v>21682</v>
      </c>
      <c r="D497" s="2" t="s">
        <v>21683</v>
      </c>
      <c r="E497" s="2" t="s">
        <v>21684</v>
      </c>
      <c r="F497" s="2"/>
      <c r="G497" s="2"/>
      <c r="H497" s="2" t="s">
        <v>72</v>
      </c>
      <c r="I497" s="2" t="s">
        <v>73</v>
      </c>
      <c r="J497" s="2" t="s">
        <v>3875</v>
      </c>
      <c r="K497" s="2" t="s">
        <v>21683</v>
      </c>
      <c r="L497" s="2"/>
      <c r="M497" s="2"/>
      <c r="N497" s="2"/>
      <c r="O497" s="2" t="s">
        <v>72</v>
      </c>
      <c r="P497" s="2" t="s">
        <v>73</v>
      </c>
      <c r="Q497" s="2" t="s">
        <v>3875</v>
      </c>
      <c r="R497" s="2" t="s">
        <v>6883</v>
      </c>
      <c r="S497" s="2" t="s">
        <v>44</v>
      </c>
      <c r="T497" s="2"/>
      <c r="U497" s="2" t="s">
        <v>3527</v>
      </c>
      <c r="V497" s="2" t="s">
        <v>46</v>
      </c>
      <c r="W497" s="2" t="s">
        <v>3527</v>
      </c>
      <c r="X497" s="2" t="s">
        <v>11537</v>
      </c>
      <c r="Y497" s="2" t="s">
        <v>10801</v>
      </c>
      <c r="Z497" s="2" t="s">
        <v>7864</v>
      </c>
      <c r="AA497" s="2">
        <v>90</v>
      </c>
      <c r="AB497" s="2">
        <v>0</v>
      </c>
      <c r="AC497" s="2" t="s">
        <v>10789</v>
      </c>
      <c r="AD497" s="2" t="s">
        <v>21685</v>
      </c>
      <c r="AE497" s="2" t="s">
        <v>18260</v>
      </c>
      <c r="AF497" s="2"/>
      <c r="AG497" s="2" t="s">
        <v>18250</v>
      </c>
    </row>
    <row r="498" spans="1:33" x14ac:dyDescent="0.45">
      <c r="A498" s="2" t="s">
        <v>21686</v>
      </c>
      <c r="B498" s="2" t="s">
        <v>21687</v>
      </c>
      <c r="C498" s="2" t="s">
        <v>21688</v>
      </c>
      <c r="D498" s="2" t="s">
        <v>21689</v>
      </c>
      <c r="E498" s="2" t="s">
        <v>21690</v>
      </c>
      <c r="F498" s="2" t="s">
        <v>21691</v>
      </c>
      <c r="G498" s="2" t="s">
        <v>21691</v>
      </c>
      <c r="H498" s="2" t="s">
        <v>85</v>
      </c>
      <c r="I498" s="2" t="s">
        <v>86</v>
      </c>
      <c r="J498" s="2" t="s">
        <v>21692</v>
      </c>
      <c r="K498" s="2"/>
      <c r="L498" s="2"/>
      <c r="M498" s="2"/>
      <c r="N498" s="2"/>
      <c r="O498" s="2"/>
      <c r="P498" s="2"/>
      <c r="Q498" s="2"/>
      <c r="R498" s="2" t="s">
        <v>10182</v>
      </c>
      <c r="S498" s="2" t="s">
        <v>44</v>
      </c>
      <c r="T498" s="2"/>
      <c r="U498" s="2" t="s">
        <v>3527</v>
      </c>
      <c r="V498" s="2" t="s">
        <v>46</v>
      </c>
      <c r="W498" s="2" t="s">
        <v>3527</v>
      </c>
      <c r="X498" s="2" t="s">
        <v>10787</v>
      </c>
      <c r="Y498" s="2" t="s">
        <v>10801</v>
      </c>
      <c r="Z498" s="2" t="s">
        <v>7864</v>
      </c>
      <c r="AA498" s="2">
        <v>100</v>
      </c>
      <c r="AB498" s="2">
        <v>10</v>
      </c>
      <c r="AC498" s="2" t="s">
        <v>10789</v>
      </c>
      <c r="AD498" s="2" t="s">
        <v>21693</v>
      </c>
      <c r="AE498" s="2" t="s">
        <v>18260</v>
      </c>
      <c r="AF498" s="2"/>
      <c r="AG498" s="2" t="s">
        <v>18250</v>
      </c>
    </row>
    <row r="499" spans="1:33" x14ac:dyDescent="0.45">
      <c r="A499" s="2" t="s">
        <v>21694</v>
      </c>
      <c r="B499" s="2" t="s">
        <v>21695</v>
      </c>
      <c r="C499" s="2" t="s">
        <v>21694</v>
      </c>
      <c r="D499" s="2" t="s">
        <v>21696</v>
      </c>
      <c r="E499" s="2" t="s">
        <v>21697</v>
      </c>
      <c r="F499" s="2"/>
      <c r="G499" s="2"/>
      <c r="H499" s="2" t="s">
        <v>59</v>
      </c>
      <c r="I499" s="2" t="s">
        <v>60</v>
      </c>
      <c r="J499" s="2" t="s">
        <v>21698</v>
      </c>
      <c r="K499" s="2" t="s">
        <v>21696</v>
      </c>
      <c r="L499" s="2"/>
      <c r="M499" s="2"/>
      <c r="N499" s="2"/>
      <c r="O499" s="2" t="s">
        <v>59</v>
      </c>
      <c r="P499" s="2" t="s">
        <v>60</v>
      </c>
      <c r="Q499" s="2" t="s">
        <v>21698</v>
      </c>
      <c r="R499" s="2" t="s">
        <v>21699</v>
      </c>
      <c r="S499" s="2" t="s">
        <v>44</v>
      </c>
      <c r="T499" s="2"/>
      <c r="U499" s="2" t="s">
        <v>821</v>
      </c>
      <c r="V499" s="2" t="s">
        <v>46</v>
      </c>
      <c r="W499" s="2" t="s">
        <v>821</v>
      </c>
      <c r="X499" s="2" t="s">
        <v>10787</v>
      </c>
      <c r="Y499" s="2" t="s">
        <v>10801</v>
      </c>
      <c r="Z499" s="2" t="s">
        <v>7864</v>
      </c>
      <c r="AA499" s="2">
        <v>90</v>
      </c>
      <c r="AB499" s="2">
        <v>7</v>
      </c>
      <c r="AC499" s="2" t="s">
        <v>10789</v>
      </c>
      <c r="AD499" s="2" t="s">
        <v>21700</v>
      </c>
      <c r="AE499" s="2" t="s">
        <v>18260</v>
      </c>
      <c r="AF499" s="2"/>
      <c r="AG499" s="2" t="s">
        <v>18250</v>
      </c>
    </row>
    <row r="500" spans="1:33" x14ac:dyDescent="0.45">
      <c r="A500" s="2" t="s">
        <v>21701</v>
      </c>
      <c r="B500" s="2" t="s">
        <v>21702</v>
      </c>
      <c r="C500" s="2" t="s">
        <v>21703</v>
      </c>
      <c r="D500" s="2" t="s">
        <v>21704</v>
      </c>
      <c r="E500" s="2" t="s">
        <v>21705</v>
      </c>
      <c r="F500" s="2"/>
      <c r="G500" s="2"/>
      <c r="H500" s="2" t="s">
        <v>39</v>
      </c>
      <c r="I500" s="2" t="s">
        <v>40</v>
      </c>
      <c r="J500" s="2" t="s">
        <v>21706</v>
      </c>
      <c r="K500" s="2" t="s">
        <v>21707</v>
      </c>
      <c r="L500" s="2"/>
      <c r="M500" s="2"/>
      <c r="N500" s="2"/>
      <c r="O500" s="2" t="s">
        <v>39</v>
      </c>
      <c r="P500" s="2" t="s">
        <v>40</v>
      </c>
      <c r="Q500" s="2" t="s">
        <v>21706</v>
      </c>
      <c r="R500" s="2" t="s">
        <v>21708</v>
      </c>
      <c r="S500" s="2" t="s">
        <v>44</v>
      </c>
      <c r="T500" s="2"/>
      <c r="U500" s="2" t="s">
        <v>3527</v>
      </c>
      <c r="V500" s="2" t="s">
        <v>46</v>
      </c>
      <c r="W500" s="2" t="s">
        <v>3527</v>
      </c>
      <c r="X500" s="2" t="s">
        <v>10787</v>
      </c>
      <c r="Y500" s="2" t="s">
        <v>10801</v>
      </c>
      <c r="Z500" s="2" t="s">
        <v>7864</v>
      </c>
      <c r="AA500" s="2">
        <v>90</v>
      </c>
      <c r="AB500" s="2">
        <v>0</v>
      </c>
      <c r="AC500" s="2" t="s">
        <v>10789</v>
      </c>
      <c r="AD500" s="2" t="s">
        <v>21709</v>
      </c>
      <c r="AE500" s="2" t="s">
        <v>18260</v>
      </c>
      <c r="AF500" s="2"/>
      <c r="AG500" s="2" t="s">
        <v>18250</v>
      </c>
    </row>
    <row r="501" spans="1:33" x14ac:dyDescent="0.45">
      <c r="A501" s="2" t="s">
        <v>21710</v>
      </c>
      <c r="B501" s="2" t="s">
        <v>21711</v>
      </c>
      <c r="C501" s="2" t="s">
        <v>21712</v>
      </c>
      <c r="D501" s="2" t="s">
        <v>21713</v>
      </c>
      <c r="E501" s="2" t="s">
        <v>21714</v>
      </c>
      <c r="F501" s="2" t="s">
        <v>21715</v>
      </c>
      <c r="G501" s="2" t="s">
        <v>21715</v>
      </c>
      <c r="H501" s="2" t="s">
        <v>5984</v>
      </c>
      <c r="I501" s="2" t="s">
        <v>313</v>
      </c>
      <c r="J501" s="2" t="s">
        <v>21716</v>
      </c>
      <c r="K501" s="2"/>
      <c r="L501" s="2"/>
      <c r="M501" s="2"/>
      <c r="N501" s="2"/>
      <c r="O501" s="2"/>
      <c r="P501" s="2"/>
      <c r="Q501" s="2"/>
      <c r="R501" s="2" t="s">
        <v>9560</v>
      </c>
      <c r="S501" s="2" t="s">
        <v>44</v>
      </c>
      <c r="T501" s="2"/>
      <c r="U501" s="2" t="s">
        <v>3527</v>
      </c>
      <c r="V501" s="2" t="s">
        <v>46</v>
      </c>
      <c r="W501" s="2" t="s">
        <v>3527</v>
      </c>
      <c r="X501" s="2" t="s">
        <v>10787</v>
      </c>
      <c r="Y501" s="2" t="s">
        <v>10801</v>
      </c>
      <c r="Z501" s="2" t="s">
        <v>7864</v>
      </c>
      <c r="AA501" s="2">
        <v>100</v>
      </c>
      <c r="AB501" s="2">
        <v>5</v>
      </c>
      <c r="AC501" s="2" t="s">
        <v>10789</v>
      </c>
      <c r="AD501" s="2" t="s">
        <v>21717</v>
      </c>
      <c r="AE501" s="2" t="s">
        <v>18260</v>
      </c>
      <c r="AF501" s="2"/>
      <c r="AG501" s="2" t="s">
        <v>18250</v>
      </c>
    </row>
    <row r="502" spans="1:33" x14ac:dyDescent="0.45">
      <c r="A502" s="2" t="s">
        <v>21718</v>
      </c>
      <c r="B502" s="2" t="s">
        <v>21719</v>
      </c>
      <c r="C502" s="2" t="s">
        <v>21720</v>
      </c>
      <c r="D502" s="2" t="s">
        <v>21721</v>
      </c>
      <c r="E502" s="2" t="s">
        <v>21722</v>
      </c>
      <c r="F502" s="2" t="s">
        <v>21723</v>
      </c>
      <c r="G502" s="2" t="s">
        <v>21723</v>
      </c>
      <c r="H502" s="2" t="s">
        <v>6029</v>
      </c>
      <c r="I502" s="2" t="s">
        <v>278</v>
      </c>
      <c r="J502" s="2" t="s">
        <v>21724</v>
      </c>
      <c r="K502" s="2" t="s">
        <v>21721</v>
      </c>
      <c r="L502" s="2"/>
      <c r="M502" s="2"/>
      <c r="N502" s="2"/>
      <c r="O502" s="2" t="s">
        <v>6029</v>
      </c>
      <c r="P502" s="2" t="s">
        <v>278</v>
      </c>
      <c r="Q502" s="2" t="s">
        <v>21724</v>
      </c>
      <c r="R502" s="2" t="s">
        <v>20505</v>
      </c>
      <c r="S502" s="2" t="s">
        <v>44</v>
      </c>
      <c r="T502" s="2"/>
      <c r="U502" s="2" t="s">
        <v>3527</v>
      </c>
      <c r="V502" s="2" t="s">
        <v>46</v>
      </c>
      <c r="W502" s="2" t="s">
        <v>3527</v>
      </c>
      <c r="X502" s="2" t="s">
        <v>10787</v>
      </c>
      <c r="Y502" s="2" t="s">
        <v>10801</v>
      </c>
      <c r="Z502" s="2" t="s">
        <v>7864</v>
      </c>
      <c r="AA502" s="2">
        <v>100</v>
      </c>
      <c r="AB502" s="2">
        <v>5</v>
      </c>
      <c r="AC502" s="2" t="s">
        <v>10789</v>
      </c>
      <c r="AD502" s="2" t="s">
        <v>21725</v>
      </c>
      <c r="AE502" s="2" t="s">
        <v>18260</v>
      </c>
      <c r="AF502" s="2"/>
      <c r="AG502" s="2" t="s">
        <v>18250</v>
      </c>
    </row>
    <row r="503" spans="1:33" x14ac:dyDescent="0.45">
      <c r="A503" s="2" t="s">
        <v>21726</v>
      </c>
      <c r="B503" s="2" t="s">
        <v>21727</v>
      </c>
      <c r="C503" s="2" t="s">
        <v>21726</v>
      </c>
      <c r="D503" s="2" t="s">
        <v>21728</v>
      </c>
      <c r="E503" s="2" t="s">
        <v>21729</v>
      </c>
      <c r="F503" s="2" t="s">
        <v>21730</v>
      </c>
      <c r="G503" s="2" t="s">
        <v>21730</v>
      </c>
      <c r="H503" s="2" t="s">
        <v>312</v>
      </c>
      <c r="I503" s="2" t="s">
        <v>313</v>
      </c>
      <c r="J503" s="2" t="s">
        <v>10207</v>
      </c>
      <c r="K503" s="2" t="s">
        <v>21728</v>
      </c>
      <c r="L503" s="2"/>
      <c r="M503" s="2"/>
      <c r="N503" s="2"/>
      <c r="O503" s="2" t="s">
        <v>312</v>
      </c>
      <c r="P503" s="2" t="s">
        <v>313</v>
      </c>
      <c r="Q503" s="2" t="s">
        <v>10207</v>
      </c>
      <c r="R503" s="2" t="s">
        <v>12351</v>
      </c>
      <c r="S503" s="2" t="s">
        <v>44</v>
      </c>
      <c r="T503" s="2"/>
      <c r="U503" s="2" t="s">
        <v>3527</v>
      </c>
      <c r="V503" s="2" t="s">
        <v>46</v>
      </c>
      <c r="W503" s="2" t="s">
        <v>3527</v>
      </c>
      <c r="X503" s="2" t="s">
        <v>10787</v>
      </c>
      <c r="Y503" s="2" t="s">
        <v>10801</v>
      </c>
      <c r="Z503" s="2" t="s">
        <v>7864</v>
      </c>
      <c r="AA503" s="2">
        <v>100</v>
      </c>
      <c r="AB503" s="2">
        <v>10</v>
      </c>
      <c r="AC503" s="2" t="s">
        <v>10789</v>
      </c>
      <c r="AD503" s="2" t="s">
        <v>21731</v>
      </c>
      <c r="AE503" s="2" t="s">
        <v>18260</v>
      </c>
      <c r="AF503" s="2"/>
      <c r="AG503" s="2" t="s">
        <v>18250</v>
      </c>
    </row>
    <row r="504" spans="1:33" x14ac:dyDescent="0.45">
      <c r="A504" s="2" t="s">
        <v>21732</v>
      </c>
      <c r="B504" s="2" t="s">
        <v>21733</v>
      </c>
      <c r="C504" s="2" t="s">
        <v>21734</v>
      </c>
      <c r="D504" s="2" t="s">
        <v>21735</v>
      </c>
      <c r="E504" s="2" t="s">
        <v>21736</v>
      </c>
      <c r="F504" s="2"/>
      <c r="G504" s="2"/>
      <c r="H504" s="2" t="s">
        <v>21737</v>
      </c>
      <c r="I504" s="2" t="s">
        <v>40</v>
      </c>
      <c r="J504" s="2" t="s">
        <v>21738</v>
      </c>
      <c r="K504" s="2" t="s">
        <v>21739</v>
      </c>
      <c r="L504" s="2"/>
      <c r="M504" s="2"/>
      <c r="N504" s="2"/>
      <c r="O504" s="2" t="s">
        <v>21737</v>
      </c>
      <c r="P504" s="2" t="s">
        <v>40</v>
      </c>
      <c r="Q504" s="2" t="s">
        <v>21738</v>
      </c>
      <c r="R504" s="2" t="s">
        <v>21740</v>
      </c>
      <c r="S504" s="2" t="s">
        <v>44</v>
      </c>
      <c r="T504" s="2"/>
      <c r="U504" s="2" t="s">
        <v>3527</v>
      </c>
      <c r="V504" s="2" t="s">
        <v>46</v>
      </c>
      <c r="W504" s="2" t="s">
        <v>3527</v>
      </c>
      <c r="X504" s="2" t="s">
        <v>10787</v>
      </c>
      <c r="Y504" s="2" t="s">
        <v>10801</v>
      </c>
      <c r="Z504" s="2" t="s">
        <v>7864</v>
      </c>
      <c r="AA504" s="2">
        <v>90</v>
      </c>
      <c r="AB504" s="2">
        <v>0</v>
      </c>
      <c r="AC504" s="2" t="s">
        <v>10789</v>
      </c>
      <c r="AD504" s="2" t="s">
        <v>21741</v>
      </c>
      <c r="AE504" s="2" t="s">
        <v>18260</v>
      </c>
      <c r="AF504" s="2"/>
      <c r="AG504" s="2" t="s">
        <v>18250</v>
      </c>
    </row>
    <row r="505" spans="1:33" x14ac:dyDescent="0.45">
      <c r="A505" s="2" t="s">
        <v>21742</v>
      </c>
      <c r="B505" s="2" t="s">
        <v>21743</v>
      </c>
      <c r="C505" s="2" t="s">
        <v>21744</v>
      </c>
      <c r="D505" s="2" t="s">
        <v>21745</v>
      </c>
      <c r="E505" s="2" t="s">
        <v>21746</v>
      </c>
      <c r="F505" s="2" t="s">
        <v>21747</v>
      </c>
      <c r="G505" s="2" t="s">
        <v>21747</v>
      </c>
      <c r="H505" s="2" t="s">
        <v>39</v>
      </c>
      <c r="I505" s="2" t="s">
        <v>40</v>
      </c>
      <c r="J505" s="2" t="s">
        <v>21748</v>
      </c>
      <c r="K505" s="2" t="s">
        <v>21745</v>
      </c>
      <c r="L505" s="2"/>
      <c r="M505" s="2"/>
      <c r="N505" s="2"/>
      <c r="O505" s="2" t="s">
        <v>39</v>
      </c>
      <c r="P505" s="2" t="s">
        <v>40</v>
      </c>
      <c r="Q505" s="2" t="s">
        <v>21748</v>
      </c>
      <c r="R505" s="2" t="s">
        <v>8580</v>
      </c>
      <c r="S505" s="2" t="s">
        <v>44</v>
      </c>
      <c r="T505" s="2"/>
      <c r="U505" s="2" t="s">
        <v>3527</v>
      </c>
      <c r="V505" s="2" t="s">
        <v>46</v>
      </c>
      <c r="W505" s="2" t="s">
        <v>3527</v>
      </c>
      <c r="X505" s="2" t="s">
        <v>10787</v>
      </c>
      <c r="Y505" s="2" t="s">
        <v>10801</v>
      </c>
      <c r="Z505" s="2" t="s">
        <v>7864</v>
      </c>
      <c r="AA505" s="2">
        <v>100</v>
      </c>
      <c r="AB505" s="2">
        <v>10</v>
      </c>
      <c r="AC505" s="2" t="s">
        <v>10789</v>
      </c>
      <c r="AD505" s="2" t="s">
        <v>21749</v>
      </c>
      <c r="AE505" s="2" t="s">
        <v>18260</v>
      </c>
      <c r="AF505" s="2"/>
      <c r="AG505" s="2" t="s">
        <v>18250</v>
      </c>
    </row>
    <row r="506" spans="1:33" x14ac:dyDescent="0.45">
      <c r="A506" s="2" t="s">
        <v>21750</v>
      </c>
      <c r="B506" s="2" t="s">
        <v>21751</v>
      </c>
      <c r="C506" s="2" t="s">
        <v>21752</v>
      </c>
      <c r="D506" s="2" t="s">
        <v>21753</v>
      </c>
      <c r="E506" s="2" t="s">
        <v>21754</v>
      </c>
      <c r="F506" s="2" t="s">
        <v>21755</v>
      </c>
      <c r="G506" s="2"/>
      <c r="H506" s="2" t="s">
        <v>8647</v>
      </c>
      <c r="I506" s="2" t="s">
        <v>537</v>
      </c>
      <c r="J506" s="2" t="s">
        <v>21756</v>
      </c>
      <c r="K506" s="2"/>
      <c r="L506" s="2"/>
      <c r="M506" s="2"/>
      <c r="N506" s="2"/>
      <c r="O506" s="2"/>
      <c r="P506" s="2"/>
      <c r="Q506" s="2"/>
      <c r="R506" s="2" t="s">
        <v>14840</v>
      </c>
      <c r="S506" s="2" t="s">
        <v>44</v>
      </c>
      <c r="T506" s="2"/>
      <c r="U506" s="2" t="s">
        <v>3527</v>
      </c>
      <c r="V506" s="2" t="s">
        <v>46</v>
      </c>
      <c r="W506" s="2" t="s">
        <v>3527</v>
      </c>
      <c r="X506" s="2" t="s">
        <v>10787</v>
      </c>
      <c r="Y506" s="2" t="s">
        <v>10801</v>
      </c>
      <c r="Z506" s="2" t="s">
        <v>7864</v>
      </c>
      <c r="AA506" s="2">
        <v>100</v>
      </c>
      <c r="AB506" s="2">
        <v>5</v>
      </c>
      <c r="AC506" s="2" t="s">
        <v>10789</v>
      </c>
      <c r="AD506" s="2" t="s">
        <v>21757</v>
      </c>
      <c r="AE506" s="2" t="s">
        <v>18260</v>
      </c>
      <c r="AF506" s="2"/>
      <c r="AG506" s="2" t="s">
        <v>18250</v>
      </c>
    </row>
    <row r="507" spans="1:33" x14ac:dyDescent="0.45">
      <c r="A507" s="2" t="s">
        <v>21758</v>
      </c>
      <c r="B507" s="2" t="s">
        <v>21759</v>
      </c>
      <c r="C507" s="2" t="s">
        <v>21760</v>
      </c>
      <c r="D507" s="2" t="s">
        <v>21761</v>
      </c>
      <c r="E507" s="2" t="s">
        <v>21762</v>
      </c>
      <c r="F507" s="2"/>
      <c r="G507" s="2"/>
      <c r="H507" s="2" t="s">
        <v>1023</v>
      </c>
      <c r="I507" s="2" t="s">
        <v>73</v>
      </c>
      <c r="J507" s="2" t="s">
        <v>20046</v>
      </c>
      <c r="K507" s="2" t="s">
        <v>21761</v>
      </c>
      <c r="L507" s="2"/>
      <c r="M507" s="2"/>
      <c r="N507" s="2"/>
      <c r="O507" s="2" t="s">
        <v>1023</v>
      </c>
      <c r="P507" s="2" t="s">
        <v>73</v>
      </c>
      <c r="Q507" s="2" t="s">
        <v>20046</v>
      </c>
      <c r="R507" s="2" t="s">
        <v>1014</v>
      </c>
      <c r="S507" s="2" t="s">
        <v>44</v>
      </c>
      <c r="T507" s="2"/>
      <c r="U507" s="2" t="s">
        <v>3527</v>
      </c>
      <c r="V507" s="2" t="s">
        <v>46</v>
      </c>
      <c r="W507" s="2" t="s">
        <v>3527</v>
      </c>
      <c r="X507" s="2" t="s">
        <v>10787</v>
      </c>
      <c r="Y507" s="2" t="s">
        <v>10801</v>
      </c>
      <c r="Z507" s="2" t="s">
        <v>7864</v>
      </c>
      <c r="AA507" s="2">
        <v>90</v>
      </c>
      <c r="AB507" s="2">
        <v>0</v>
      </c>
      <c r="AC507" s="2" t="s">
        <v>10789</v>
      </c>
      <c r="AD507" s="2" t="s">
        <v>21763</v>
      </c>
      <c r="AE507" s="2" t="s">
        <v>18260</v>
      </c>
      <c r="AF507" s="2"/>
      <c r="AG507" s="2" t="s">
        <v>18250</v>
      </c>
    </row>
    <row r="508" spans="1:33" x14ac:dyDescent="0.45">
      <c r="A508" s="2" t="s">
        <v>21764</v>
      </c>
      <c r="B508" s="2" t="s">
        <v>21765</v>
      </c>
      <c r="C508" s="2" t="s">
        <v>21764</v>
      </c>
      <c r="D508" s="2" t="s">
        <v>21766</v>
      </c>
      <c r="E508" s="2" t="s">
        <v>21767</v>
      </c>
      <c r="F508" s="2"/>
      <c r="G508" s="2"/>
      <c r="H508" s="2" t="s">
        <v>19595</v>
      </c>
      <c r="I508" s="2" t="s">
        <v>175</v>
      </c>
      <c r="J508" s="2" t="s">
        <v>21768</v>
      </c>
      <c r="K508" s="2" t="s">
        <v>21769</v>
      </c>
      <c r="L508" s="2"/>
      <c r="M508" s="2"/>
      <c r="N508" s="2"/>
      <c r="O508" s="2" t="s">
        <v>19595</v>
      </c>
      <c r="P508" s="2" t="s">
        <v>175</v>
      </c>
      <c r="Q508" s="2" t="s">
        <v>21768</v>
      </c>
      <c r="R508" s="2" t="s">
        <v>14955</v>
      </c>
      <c r="S508" s="2" t="s">
        <v>44</v>
      </c>
      <c r="T508" s="2"/>
      <c r="U508" s="2" t="s">
        <v>3527</v>
      </c>
      <c r="V508" s="2" t="s">
        <v>46</v>
      </c>
      <c r="W508" s="2" t="s">
        <v>3527</v>
      </c>
      <c r="X508" s="2" t="s">
        <v>10787</v>
      </c>
      <c r="Y508" s="2" t="s">
        <v>10801</v>
      </c>
      <c r="Z508" s="2" t="s">
        <v>7864</v>
      </c>
      <c r="AA508" s="2">
        <v>90</v>
      </c>
      <c r="AB508" s="2">
        <v>0</v>
      </c>
      <c r="AC508" s="2" t="s">
        <v>10789</v>
      </c>
      <c r="AD508" s="2" t="s">
        <v>21770</v>
      </c>
      <c r="AE508" s="2" t="s">
        <v>18260</v>
      </c>
      <c r="AF508" s="2"/>
      <c r="AG508" s="2" t="s">
        <v>18250</v>
      </c>
    </row>
    <row r="509" spans="1:33" x14ac:dyDescent="0.45">
      <c r="A509" s="2" t="s">
        <v>21771</v>
      </c>
      <c r="B509" s="2" t="s">
        <v>21772</v>
      </c>
      <c r="C509" s="2" t="s">
        <v>21771</v>
      </c>
      <c r="D509" s="2" t="s">
        <v>21773</v>
      </c>
      <c r="E509" s="2" t="s">
        <v>21774</v>
      </c>
      <c r="F509" s="2" t="s">
        <v>21775</v>
      </c>
      <c r="G509" s="2" t="s">
        <v>21775</v>
      </c>
      <c r="H509" s="2" t="s">
        <v>1136</v>
      </c>
      <c r="I509" s="2" t="s">
        <v>1137</v>
      </c>
      <c r="J509" s="2" t="s">
        <v>8637</v>
      </c>
      <c r="K509" s="2" t="s">
        <v>21773</v>
      </c>
      <c r="L509" s="2"/>
      <c r="M509" s="2"/>
      <c r="N509" s="2"/>
      <c r="O509" s="2" t="s">
        <v>1136</v>
      </c>
      <c r="P509" s="2" t="s">
        <v>1137</v>
      </c>
      <c r="Q509" s="2" t="s">
        <v>8637</v>
      </c>
      <c r="R509" s="2" t="s">
        <v>21776</v>
      </c>
      <c r="S509" s="2" t="s">
        <v>44</v>
      </c>
      <c r="T509" s="2"/>
      <c r="U509" s="2" t="s">
        <v>821</v>
      </c>
      <c r="V509" s="2" t="s">
        <v>46</v>
      </c>
      <c r="W509" s="2" t="s">
        <v>821</v>
      </c>
      <c r="X509" s="2" t="s">
        <v>10787</v>
      </c>
      <c r="Y509" s="2" t="s">
        <v>10801</v>
      </c>
      <c r="Z509" s="2" t="s">
        <v>7864</v>
      </c>
      <c r="AA509" s="2">
        <v>100</v>
      </c>
      <c r="AB509" s="2">
        <v>12</v>
      </c>
      <c r="AC509" s="2" t="s">
        <v>10789</v>
      </c>
      <c r="AD509" s="2" t="s">
        <v>21777</v>
      </c>
      <c r="AE509" s="2" t="s">
        <v>18260</v>
      </c>
      <c r="AF509" s="2"/>
      <c r="AG509" s="2" t="s">
        <v>18250</v>
      </c>
    </row>
    <row r="510" spans="1:33" x14ac:dyDescent="0.45">
      <c r="A510" s="2" t="s">
        <v>21778</v>
      </c>
      <c r="B510" s="2" t="s">
        <v>21779</v>
      </c>
      <c r="C510" s="2" t="s">
        <v>21778</v>
      </c>
      <c r="D510" s="2" t="s">
        <v>21780</v>
      </c>
      <c r="E510" s="2" t="s">
        <v>21781</v>
      </c>
      <c r="F510" s="2" t="s">
        <v>21782</v>
      </c>
      <c r="G510" s="2" t="s">
        <v>21782</v>
      </c>
      <c r="H510" s="2"/>
      <c r="I510" s="2" t="s">
        <v>1137</v>
      </c>
      <c r="J510" s="2" t="s">
        <v>21783</v>
      </c>
      <c r="K510" s="2" t="s">
        <v>21784</v>
      </c>
      <c r="L510" s="2"/>
      <c r="M510" s="2"/>
      <c r="N510" s="2"/>
      <c r="O510" s="2"/>
      <c r="P510" s="2" t="s">
        <v>1137</v>
      </c>
      <c r="Q510" s="2" t="s">
        <v>21783</v>
      </c>
      <c r="R510" s="2" t="s">
        <v>21785</v>
      </c>
      <c r="S510" s="2" t="s">
        <v>44</v>
      </c>
      <c r="T510" s="2"/>
      <c r="U510" s="2" t="s">
        <v>3527</v>
      </c>
      <c r="V510" s="2" t="s">
        <v>46</v>
      </c>
      <c r="W510" s="2" t="s">
        <v>3527</v>
      </c>
      <c r="X510" s="2" t="s">
        <v>11537</v>
      </c>
      <c r="Y510" s="2" t="s">
        <v>10801</v>
      </c>
      <c r="Z510" s="2" t="s">
        <v>7864</v>
      </c>
      <c r="AA510" s="2">
        <v>85</v>
      </c>
      <c r="AB510" s="2">
        <v>5</v>
      </c>
      <c r="AC510" s="2" t="s">
        <v>10789</v>
      </c>
      <c r="AD510" s="2" t="s">
        <v>21786</v>
      </c>
      <c r="AE510" s="2" t="s">
        <v>18260</v>
      </c>
      <c r="AF510" s="2"/>
      <c r="AG510" s="2" t="s">
        <v>18250</v>
      </c>
    </row>
    <row r="511" spans="1:33" x14ac:dyDescent="0.45">
      <c r="A511" s="2" t="s">
        <v>21787</v>
      </c>
      <c r="B511" s="2" t="s">
        <v>21788</v>
      </c>
      <c r="C511" s="2" t="s">
        <v>21789</v>
      </c>
      <c r="D511" s="2" t="s">
        <v>21790</v>
      </c>
      <c r="E511" s="2" t="s">
        <v>21791</v>
      </c>
      <c r="F511" s="2"/>
      <c r="G511" s="2"/>
      <c r="H511" s="2" t="s">
        <v>1136</v>
      </c>
      <c r="I511" s="2" t="s">
        <v>1137</v>
      </c>
      <c r="J511" s="2" t="s">
        <v>1138</v>
      </c>
      <c r="K511" s="2"/>
      <c r="L511" s="2"/>
      <c r="M511" s="2"/>
      <c r="N511" s="2"/>
      <c r="O511" s="2"/>
      <c r="P511" s="2"/>
      <c r="Q511" s="2"/>
      <c r="R511" s="2" t="s">
        <v>1014</v>
      </c>
      <c r="S511" s="2" t="s">
        <v>44</v>
      </c>
      <c r="T511" s="2"/>
      <c r="U511" s="2" t="s">
        <v>3527</v>
      </c>
      <c r="V511" s="2" t="s">
        <v>46</v>
      </c>
      <c r="W511" s="2" t="s">
        <v>3527</v>
      </c>
      <c r="X511" s="2" t="s">
        <v>10787</v>
      </c>
      <c r="Y511" s="2" t="s">
        <v>10801</v>
      </c>
      <c r="Z511" s="2" t="s">
        <v>7864</v>
      </c>
      <c r="AA511" s="2">
        <v>90</v>
      </c>
      <c r="AB511" s="2">
        <v>0</v>
      </c>
      <c r="AC511" s="2" t="s">
        <v>10789</v>
      </c>
      <c r="AD511" s="2" t="s">
        <v>21792</v>
      </c>
      <c r="AE511" s="2" t="s">
        <v>18260</v>
      </c>
      <c r="AF511" s="2"/>
      <c r="AG511" s="2" t="s">
        <v>18250</v>
      </c>
    </row>
    <row r="512" spans="1:33" x14ac:dyDescent="0.45">
      <c r="A512" s="2" t="s">
        <v>21793</v>
      </c>
      <c r="B512" s="2" t="s">
        <v>21794</v>
      </c>
      <c r="C512" s="2" t="s">
        <v>21793</v>
      </c>
      <c r="D512" s="2" t="s">
        <v>21795</v>
      </c>
      <c r="E512" s="2" t="s">
        <v>21796</v>
      </c>
      <c r="F512" s="2" t="s">
        <v>21797</v>
      </c>
      <c r="G512" s="2" t="s">
        <v>21797</v>
      </c>
      <c r="H512" s="2" t="s">
        <v>19731</v>
      </c>
      <c r="I512" s="2" t="s">
        <v>1112</v>
      </c>
      <c r="J512" s="2" t="s">
        <v>21798</v>
      </c>
      <c r="K512" s="2" t="s">
        <v>21795</v>
      </c>
      <c r="L512" s="2"/>
      <c r="M512" s="2"/>
      <c r="N512" s="2"/>
      <c r="O512" s="2" t="s">
        <v>19731</v>
      </c>
      <c r="P512" s="2" t="s">
        <v>1112</v>
      </c>
      <c r="Q512" s="2" t="s">
        <v>21798</v>
      </c>
      <c r="R512" s="2" t="s">
        <v>13081</v>
      </c>
      <c r="S512" s="2" t="s">
        <v>44</v>
      </c>
      <c r="T512" s="2"/>
      <c r="U512" s="2" t="s">
        <v>821</v>
      </c>
      <c r="V512" s="2" t="s">
        <v>46</v>
      </c>
      <c r="W512" s="2" t="s">
        <v>821</v>
      </c>
      <c r="X512" s="2" t="s">
        <v>10787</v>
      </c>
      <c r="Y512" s="2" t="s">
        <v>10801</v>
      </c>
      <c r="Z512" s="2" t="s">
        <v>7864</v>
      </c>
      <c r="AA512" s="2">
        <v>100</v>
      </c>
      <c r="AB512" s="2">
        <v>12</v>
      </c>
      <c r="AC512" s="2" t="s">
        <v>10789</v>
      </c>
      <c r="AD512" s="2" t="s">
        <v>21799</v>
      </c>
      <c r="AE512" s="2" t="s">
        <v>18260</v>
      </c>
      <c r="AF512" s="2"/>
      <c r="AG512" s="2" t="s">
        <v>18250</v>
      </c>
    </row>
    <row r="513" spans="1:33" x14ac:dyDescent="0.45">
      <c r="A513" s="2" t="s">
        <v>21800</v>
      </c>
      <c r="B513" s="2" t="s">
        <v>21801</v>
      </c>
      <c r="C513" s="2" t="s">
        <v>21802</v>
      </c>
      <c r="D513" s="2" t="s">
        <v>21803</v>
      </c>
      <c r="E513" s="2" t="s">
        <v>21804</v>
      </c>
      <c r="F513" s="2"/>
      <c r="G513" s="2"/>
      <c r="H513" s="2" t="s">
        <v>72</v>
      </c>
      <c r="I513" s="2" t="s">
        <v>73</v>
      </c>
      <c r="J513" s="2" t="s">
        <v>2270</v>
      </c>
      <c r="K513" s="2" t="s">
        <v>21805</v>
      </c>
      <c r="L513" s="2"/>
      <c r="M513" s="2"/>
      <c r="N513" s="2"/>
      <c r="O513" s="2" t="s">
        <v>72</v>
      </c>
      <c r="P513" s="2" t="s">
        <v>73</v>
      </c>
      <c r="Q513" s="2" t="s">
        <v>2270</v>
      </c>
      <c r="R513" s="2" t="s">
        <v>21806</v>
      </c>
      <c r="S513" s="2" t="s">
        <v>44</v>
      </c>
      <c r="T513" s="2"/>
      <c r="U513" s="2" t="s">
        <v>3527</v>
      </c>
      <c r="V513" s="2" t="s">
        <v>46</v>
      </c>
      <c r="W513" s="2" t="s">
        <v>3527</v>
      </c>
      <c r="X513" s="2" t="s">
        <v>10787</v>
      </c>
      <c r="Y513" s="2" t="s">
        <v>10801</v>
      </c>
      <c r="Z513" s="2" t="s">
        <v>7864</v>
      </c>
      <c r="AA513" s="2">
        <v>90</v>
      </c>
      <c r="AB513" s="2">
        <v>0</v>
      </c>
      <c r="AC513" s="2" t="s">
        <v>10789</v>
      </c>
      <c r="AD513" s="2" t="s">
        <v>21807</v>
      </c>
      <c r="AE513" s="2" t="s">
        <v>18260</v>
      </c>
      <c r="AF513" s="2"/>
      <c r="AG513" s="2" t="s">
        <v>18250</v>
      </c>
    </row>
    <row r="514" spans="1:33" x14ac:dyDescent="0.45">
      <c r="A514" s="2" t="s">
        <v>21808</v>
      </c>
      <c r="B514" s="2" t="s">
        <v>21809</v>
      </c>
      <c r="C514" s="2" t="s">
        <v>21808</v>
      </c>
      <c r="D514" s="2" t="s">
        <v>21810</v>
      </c>
      <c r="E514" s="2" t="s">
        <v>21811</v>
      </c>
      <c r="F514" s="2" t="s">
        <v>21812</v>
      </c>
      <c r="G514" s="2"/>
      <c r="H514" s="2" t="s">
        <v>384</v>
      </c>
      <c r="I514" s="2" t="s">
        <v>73</v>
      </c>
      <c r="J514" s="2" t="s">
        <v>4885</v>
      </c>
      <c r="K514" s="2"/>
      <c r="L514" s="2"/>
      <c r="M514" s="2"/>
      <c r="N514" s="2"/>
      <c r="O514" s="2"/>
      <c r="P514" s="2"/>
      <c r="Q514" s="2"/>
      <c r="R514" s="2" t="s">
        <v>5411</v>
      </c>
      <c r="S514" s="2" t="s">
        <v>44</v>
      </c>
      <c r="T514" s="2"/>
      <c r="U514" s="2" t="s">
        <v>3527</v>
      </c>
      <c r="V514" s="2" t="s">
        <v>46</v>
      </c>
      <c r="W514" s="2" t="s">
        <v>3527</v>
      </c>
      <c r="X514" s="2" t="s">
        <v>10787</v>
      </c>
      <c r="Y514" s="2" t="s">
        <v>10801</v>
      </c>
      <c r="Z514" s="2" t="s">
        <v>7864</v>
      </c>
      <c r="AA514" s="2">
        <v>100</v>
      </c>
      <c r="AB514" s="2">
        <v>10</v>
      </c>
      <c r="AC514" s="2" t="s">
        <v>10789</v>
      </c>
      <c r="AD514" s="2" t="s">
        <v>21813</v>
      </c>
      <c r="AE514" s="2" t="s">
        <v>18260</v>
      </c>
      <c r="AF514" s="2"/>
      <c r="AG514" s="2" t="s">
        <v>18250</v>
      </c>
    </row>
    <row r="515" spans="1:33" x14ac:dyDescent="0.45">
      <c r="A515" s="2" t="s">
        <v>21814</v>
      </c>
      <c r="B515" s="2" t="s">
        <v>21815</v>
      </c>
      <c r="C515" s="2" t="s">
        <v>21816</v>
      </c>
      <c r="D515" s="2" t="s">
        <v>21817</v>
      </c>
      <c r="E515" s="2" t="s">
        <v>21818</v>
      </c>
      <c r="F515" s="2" t="s">
        <v>21819</v>
      </c>
      <c r="G515" s="2" t="s">
        <v>21819</v>
      </c>
      <c r="H515" s="2" t="s">
        <v>220</v>
      </c>
      <c r="I515" s="2" t="s">
        <v>221</v>
      </c>
      <c r="J515" s="2" t="s">
        <v>19468</v>
      </c>
      <c r="K515" s="2" t="s">
        <v>21817</v>
      </c>
      <c r="L515" s="2"/>
      <c r="M515" s="2"/>
      <c r="N515" s="2"/>
      <c r="O515" s="2" t="s">
        <v>220</v>
      </c>
      <c r="P515" s="2" t="s">
        <v>221</v>
      </c>
      <c r="Q515" s="2" t="s">
        <v>19468</v>
      </c>
      <c r="R515" s="2" t="s">
        <v>12387</v>
      </c>
      <c r="S515" s="2" t="s">
        <v>44</v>
      </c>
      <c r="T515" s="2"/>
      <c r="U515" s="2" t="s">
        <v>3527</v>
      </c>
      <c r="V515" s="2" t="s">
        <v>46</v>
      </c>
      <c r="W515" s="2" t="s">
        <v>3527</v>
      </c>
      <c r="X515" s="2" t="s">
        <v>10787</v>
      </c>
      <c r="Y515" s="2" t="s">
        <v>10801</v>
      </c>
      <c r="Z515" s="2" t="s">
        <v>7864</v>
      </c>
      <c r="AA515" s="2">
        <v>100</v>
      </c>
      <c r="AB515" s="2">
        <v>5</v>
      </c>
      <c r="AC515" s="2" t="s">
        <v>10789</v>
      </c>
      <c r="AD515" s="2" t="s">
        <v>21820</v>
      </c>
      <c r="AE515" s="2" t="s">
        <v>18260</v>
      </c>
      <c r="AF515" s="2"/>
      <c r="AG515" s="2" t="s">
        <v>18250</v>
      </c>
    </row>
    <row r="516" spans="1:33" x14ac:dyDescent="0.45">
      <c r="A516" s="2" t="s">
        <v>21821</v>
      </c>
      <c r="B516" s="2" t="s">
        <v>21822</v>
      </c>
      <c r="C516" s="2" t="s">
        <v>21823</v>
      </c>
      <c r="D516" s="2" t="s">
        <v>21824</v>
      </c>
      <c r="E516" s="2" t="s">
        <v>21825</v>
      </c>
      <c r="F516" s="2" t="s">
        <v>21826</v>
      </c>
      <c r="G516" s="2" t="s">
        <v>21826</v>
      </c>
      <c r="H516" s="2" t="s">
        <v>5931</v>
      </c>
      <c r="I516" s="2" t="s">
        <v>1112</v>
      </c>
      <c r="J516" s="2" t="s">
        <v>17055</v>
      </c>
      <c r="K516" s="2" t="s">
        <v>21824</v>
      </c>
      <c r="L516" s="2"/>
      <c r="M516" s="2"/>
      <c r="N516" s="2"/>
      <c r="O516" s="2" t="s">
        <v>5931</v>
      </c>
      <c r="P516" s="2" t="s">
        <v>1112</v>
      </c>
      <c r="Q516" s="2" t="s">
        <v>17055</v>
      </c>
      <c r="R516" s="2" t="s">
        <v>773</v>
      </c>
      <c r="S516" s="2" t="s">
        <v>44</v>
      </c>
      <c r="T516" s="2"/>
      <c r="U516" s="2" t="s">
        <v>3527</v>
      </c>
      <c r="V516" s="2" t="s">
        <v>46</v>
      </c>
      <c r="W516" s="2" t="s">
        <v>3527</v>
      </c>
      <c r="X516" s="2" t="s">
        <v>11537</v>
      </c>
      <c r="Y516" s="2" t="s">
        <v>10801</v>
      </c>
      <c r="Z516" s="2" t="s">
        <v>7864</v>
      </c>
      <c r="AA516" s="2">
        <v>100</v>
      </c>
      <c r="AB516" s="2">
        <v>5</v>
      </c>
      <c r="AC516" s="2" t="s">
        <v>10789</v>
      </c>
      <c r="AD516" s="2" t="s">
        <v>21827</v>
      </c>
      <c r="AE516" s="2" t="s">
        <v>18260</v>
      </c>
      <c r="AF516" s="2"/>
      <c r="AG516" s="2" t="s">
        <v>18250</v>
      </c>
    </row>
    <row r="517" spans="1:33" x14ac:dyDescent="0.45">
      <c r="A517" s="2" t="s">
        <v>21828</v>
      </c>
      <c r="B517" s="2" t="s">
        <v>21829</v>
      </c>
      <c r="C517" s="2" t="s">
        <v>21830</v>
      </c>
      <c r="D517" s="2" t="s">
        <v>21831</v>
      </c>
      <c r="E517" s="2" t="s">
        <v>21832</v>
      </c>
      <c r="F517" s="2" t="s">
        <v>21833</v>
      </c>
      <c r="G517" s="2"/>
      <c r="H517" s="2" t="s">
        <v>59</v>
      </c>
      <c r="I517" s="2" t="s">
        <v>60</v>
      </c>
      <c r="J517" s="2" t="s">
        <v>8999</v>
      </c>
      <c r="K517" s="2" t="s">
        <v>21831</v>
      </c>
      <c r="L517" s="2"/>
      <c r="M517" s="2"/>
      <c r="N517" s="2"/>
      <c r="O517" s="2" t="s">
        <v>59</v>
      </c>
      <c r="P517" s="2" t="s">
        <v>60</v>
      </c>
      <c r="Q517" s="2" t="s">
        <v>8999</v>
      </c>
      <c r="R517" s="2" t="s">
        <v>7269</v>
      </c>
      <c r="S517" s="2" t="s">
        <v>44</v>
      </c>
      <c r="T517" s="2"/>
      <c r="U517" s="2" t="s">
        <v>3527</v>
      </c>
      <c r="V517" s="2" t="s">
        <v>46</v>
      </c>
      <c r="W517" s="2" t="s">
        <v>3527</v>
      </c>
      <c r="X517" s="2" t="s">
        <v>10787</v>
      </c>
      <c r="Y517" s="2" t="s">
        <v>10801</v>
      </c>
      <c r="Z517" s="2" t="s">
        <v>7864</v>
      </c>
      <c r="AA517" s="2">
        <v>100</v>
      </c>
      <c r="AB517" s="2">
        <v>10</v>
      </c>
      <c r="AC517" s="2" t="s">
        <v>10789</v>
      </c>
      <c r="AD517" s="2" t="s">
        <v>21834</v>
      </c>
      <c r="AE517" s="2" t="s">
        <v>18260</v>
      </c>
      <c r="AF517" s="2"/>
      <c r="AG517" s="2" t="s">
        <v>18250</v>
      </c>
    </row>
    <row r="518" spans="1:33" x14ac:dyDescent="0.45">
      <c r="A518" s="2" t="s">
        <v>21835</v>
      </c>
      <c r="B518" s="2" t="s">
        <v>21836</v>
      </c>
      <c r="C518" s="2" t="s">
        <v>21837</v>
      </c>
      <c r="D518" s="2" t="s">
        <v>21838</v>
      </c>
      <c r="E518" s="2" t="s">
        <v>21839</v>
      </c>
      <c r="F518" s="2" t="s">
        <v>21840</v>
      </c>
      <c r="G518" s="2" t="s">
        <v>21840</v>
      </c>
      <c r="H518" s="2" t="s">
        <v>8431</v>
      </c>
      <c r="I518" s="2" t="s">
        <v>175</v>
      </c>
      <c r="J518" s="2" t="s">
        <v>21841</v>
      </c>
      <c r="K518" s="2" t="s">
        <v>21838</v>
      </c>
      <c r="L518" s="2"/>
      <c r="M518" s="2"/>
      <c r="N518" s="2"/>
      <c r="O518" s="2" t="s">
        <v>8431</v>
      </c>
      <c r="P518" s="2" t="s">
        <v>175</v>
      </c>
      <c r="Q518" s="2" t="s">
        <v>21841</v>
      </c>
      <c r="R518" s="2" t="s">
        <v>963</v>
      </c>
      <c r="S518" s="2" t="s">
        <v>44</v>
      </c>
      <c r="T518" s="2"/>
      <c r="U518" s="2" t="s">
        <v>3527</v>
      </c>
      <c r="V518" s="2" t="s">
        <v>46</v>
      </c>
      <c r="W518" s="2" t="s">
        <v>3527</v>
      </c>
      <c r="X518" s="2" t="s">
        <v>10787</v>
      </c>
      <c r="Y518" s="2" t="s">
        <v>10801</v>
      </c>
      <c r="Z518" s="2" t="s">
        <v>7864</v>
      </c>
      <c r="AA518" s="2">
        <v>100</v>
      </c>
      <c r="AB518" s="2">
        <v>5</v>
      </c>
      <c r="AC518" s="2" t="s">
        <v>10789</v>
      </c>
      <c r="AD518" s="2" t="s">
        <v>21842</v>
      </c>
      <c r="AE518" s="2" t="s">
        <v>18260</v>
      </c>
      <c r="AF518" s="2"/>
      <c r="AG518" s="2" t="s">
        <v>18250</v>
      </c>
    </row>
    <row r="519" spans="1:33" x14ac:dyDescent="0.45">
      <c r="A519" s="2" t="s">
        <v>21843</v>
      </c>
      <c r="B519" s="2" t="s">
        <v>21844</v>
      </c>
      <c r="C519" s="2" t="s">
        <v>21843</v>
      </c>
      <c r="D519" s="2" t="s">
        <v>21845</v>
      </c>
      <c r="E519" s="2" t="s">
        <v>21846</v>
      </c>
      <c r="F519" s="2"/>
      <c r="G519" s="2"/>
      <c r="H519" s="2" t="s">
        <v>59</v>
      </c>
      <c r="I519" s="2" t="s">
        <v>60</v>
      </c>
      <c r="J519" s="2" t="s">
        <v>4840</v>
      </c>
      <c r="K519" s="2" t="s">
        <v>21845</v>
      </c>
      <c r="L519" s="2"/>
      <c r="M519" s="2"/>
      <c r="N519" s="2"/>
      <c r="O519" s="2" t="s">
        <v>59</v>
      </c>
      <c r="P519" s="2" t="s">
        <v>60</v>
      </c>
      <c r="Q519" s="2" t="s">
        <v>4840</v>
      </c>
      <c r="R519" s="2" t="s">
        <v>21847</v>
      </c>
      <c r="S519" s="2" t="s">
        <v>44</v>
      </c>
      <c r="T519" s="2"/>
      <c r="U519" s="2" t="s">
        <v>821</v>
      </c>
      <c r="V519" s="2" t="s">
        <v>46</v>
      </c>
      <c r="W519" s="2" t="s">
        <v>821</v>
      </c>
      <c r="X519" s="2" t="s">
        <v>10787</v>
      </c>
      <c r="Y519" s="2" t="s">
        <v>10801</v>
      </c>
      <c r="Z519" s="2" t="s">
        <v>7864</v>
      </c>
      <c r="AA519" s="2">
        <v>90</v>
      </c>
      <c r="AB519" s="2">
        <v>7</v>
      </c>
      <c r="AC519" s="2" t="s">
        <v>10789</v>
      </c>
      <c r="AD519" s="2" t="s">
        <v>21848</v>
      </c>
      <c r="AE519" s="2" t="s">
        <v>18260</v>
      </c>
      <c r="AF519" s="2"/>
      <c r="AG519" s="2" t="s">
        <v>18250</v>
      </c>
    </row>
    <row r="520" spans="1:33" x14ac:dyDescent="0.45">
      <c r="A520" s="2" t="s">
        <v>21849</v>
      </c>
      <c r="B520" s="2" t="s">
        <v>21850</v>
      </c>
      <c r="C520" s="2" t="s">
        <v>21851</v>
      </c>
      <c r="D520" s="2" t="s">
        <v>21852</v>
      </c>
      <c r="E520" s="2" t="s">
        <v>21853</v>
      </c>
      <c r="F520" s="2" t="s">
        <v>21854</v>
      </c>
      <c r="G520" s="2" t="s">
        <v>21854</v>
      </c>
      <c r="H520" s="2" t="s">
        <v>1208</v>
      </c>
      <c r="I520" s="2" t="s">
        <v>1209</v>
      </c>
      <c r="J520" s="2" t="s">
        <v>1210</v>
      </c>
      <c r="K520" s="2" t="s">
        <v>21852</v>
      </c>
      <c r="L520" s="2"/>
      <c r="M520" s="2"/>
      <c r="N520" s="2"/>
      <c r="O520" s="2" t="s">
        <v>1208</v>
      </c>
      <c r="P520" s="2" t="s">
        <v>1209</v>
      </c>
      <c r="Q520" s="2" t="s">
        <v>1210</v>
      </c>
      <c r="R520" s="2" t="s">
        <v>21855</v>
      </c>
      <c r="S520" s="2" t="s">
        <v>44</v>
      </c>
      <c r="T520" s="2"/>
      <c r="U520" s="2" t="s">
        <v>3527</v>
      </c>
      <c r="V520" s="2" t="s">
        <v>46</v>
      </c>
      <c r="W520" s="2" t="s">
        <v>3527</v>
      </c>
      <c r="X520" s="2" t="s">
        <v>10787</v>
      </c>
      <c r="Y520" s="2" t="s">
        <v>10801</v>
      </c>
      <c r="Z520" s="2" t="s">
        <v>7864</v>
      </c>
      <c r="AA520" s="2">
        <v>100</v>
      </c>
      <c r="AB520" s="2">
        <v>5</v>
      </c>
      <c r="AC520" s="2" t="s">
        <v>10789</v>
      </c>
      <c r="AD520" s="2" t="s">
        <v>21856</v>
      </c>
      <c r="AE520" s="2" t="s">
        <v>18260</v>
      </c>
      <c r="AF520" s="2"/>
      <c r="AG520" s="2" t="s">
        <v>18250</v>
      </c>
    </row>
    <row r="521" spans="1:33" x14ac:dyDescent="0.45">
      <c r="A521" s="2" t="s">
        <v>21857</v>
      </c>
      <c r="B521" s="2" t="s">
        <v>21858</v>
      </c>
      <c r="C521" s="2" t="s">
        <v>21857</v>
      </c>
      <c r="D521" s="2" t="s">
        <v>21859</v>
      </c>
      <c r="E521" s="2" t="s">
        <v>21860</v>
      </c>
      <c r="F521" s="2" t="s">
        <v>21861</v>
      </c>
      <c r="G521" s="2"/>
      <c r="H521" s="2" t="s">
        <v>1136</v>
      </c>
      <c r="I521" s="2" t="s">
        <v>1137</v>
      </c>
      <c r="J521" s="2" t="s">
        <v>18229</v>
      </c>
      <c r="K521" s="2" t="s">
        <v>21859</v>
      </c>
      <c r="L521" s="2"/>
      <c r="M521" s="2"/>
      <c r="N521" s="2"/>
      <c r="O521" s="2" t="s">
        <v>1136</v>
      </c>
      <c r="P521" s="2" t="s">
        <v>1137</v>
      </c>
      <c r="Q521" s="2" t="s">
        <v>18229</v>
      </c>
      <c r="R521" s="2" t="s">
        <v>21862</v>
      </c>
      <c r="S521" s="2" t="s">
        <v>44</v>
      </c>
      <c r="T521" s="2"/>
      <c r="U521" s="2" t="s">
        <v>3527</v>
      </c>
      <c r="V521" s="2" t="s">
        <v>46</v>
      </c>
      <c r="W521" s="2" t="s">
        <v>3527</v>
      </c>
      <c r="X521" s="2" t="s">
        <v>10787</v>
      </c>
      <c r="Y521" s="2" t="s">
        <v>10801</v>
      </c>
      <c r="Z521" s="2" t="s">
        <v>7864</v>
      </c>
      <c r="AA521" s="2">
        <v>100</v>
      </c>
      <c r="AB521" s="2">
        <v>5</v>
      </c>
      <c r="AC521" s="2" t="s">
        <v>10789</v>
      </c>
      <c r="AD521" s="2" t="s">
        <v>21863</v>
      </c>
      <c r="AE521" s="2" t="s">
        <v>18260</v>
      </c>
      <c r="AF521" s="2"/>
      <c r="AG521" s="2" t="s">
        <v>18250</v>
      </c>
    </row>
    <row r="522" spans="1:33" x14ac:dyDescent="0.45">
      <c r="A522" s="2" t="s">
        <v>21864</v>
      </c>
      <c r="B522" s="2" t="s">
        <v>21865</v>
      </c>
      <c r="C522" s="2" t="s">
        <v>21864</v>
      </c>
      <c r="D522" s="2" t="s">
        <v>21866</v>
      </c>
      <c r="E522" s="2" t="s">
        <v>21867</v>
      </c>
      <c r="F522" s="2"/>
      <c r="G522" s="2"/>
      <c r="H522" s="2" t="s">
        <v>9679</v>
      </c>
      <c r="I522" s="2" t="s">
        <v>9680</v>
      </c>
      <c r="J522" s="2" t="s">
        <v>21868</v>
      </c>
      <c r="K522" s="2" t="s">
        <v>21866</v>
      </c>
      <c r="L522" s="2"/>
      <c r="M522" s="2"/>
      <c r="N522" s="2"/>
      <c r="O522" s="2" t="s">
        <v>9679</v>
      </c>
      <c r="P522" s="2" t="s">
        <v>9680</v>
      </c>
      <c r="Q522" s="2" t="s">
        <v>21868</v>
      </c>
      <c r="R522" s="2" t="s">
        <v>924</v>
      </c>
      <c r="S522" s="2" t="s">
        <v>44</v>
      </c>
      <c r="T522" s="2"/>
      <c r="U522" s="2" t="s">
        <v>3527</v>
      </c>
      <c r="V522" s="2" t="s">
        <v>46</v>
      </c>
      <c r="W522" s="2" t="s">
        <v>3527</v>
      </c>
      <c r="X522" s="2" t="s">
        <v>10787</v>
      </c>
      <c r="Y522" s="2" t="s">
        <v>10801</v>
      </c>
      <c r="Z522" s="2" t="s">
        <v>7864</v>
      </c>
      <c r="AA522" s="2">
        <v>90</v>
      </c>
      <c r="AB522" s="2">
        <v>0</v>
      </c>
      <c r="AC522" s="2" t="s">
        <v>10789</v>
      </c>
      <c r="AD522" s="2" t="s">
        <v>21869</v>
      </c>
      <c r="AE522" s="2" t="s">
        <v>18260</v>
      </c>
      <c r="AF522" s="2"/>
      <c r="AG522" s="2" t="s">
        <v>18250</v>
      </c>
    </row>
    <row r="523" spans="1:33" x14ac:dyDescent="0.45">
      <c r="A523" s="2" t="s">
        <v>21870</v>
      </c>
      <c r="B523" s="2" t="s">
        <v>21871</v>
      </c>
      <c r="C523" s="2" t="s">
        <v>21872</v>
      </c>
      <c r="D523" s="2" t="s">
        <v>21873</v>
      </c>
      <c r="E523" s="2" t="s">
        <v>21874</v>
      </c>
      <c r="F523" s="2" t="s">
        <v>21875</v>
      </c>
      <c r="G523" s="2"/>
      <c r="H523" s="2" t="s">
        <v>6029</v>
      </c>
      <c r="I523" s="2" t="s">
        <v>278</v>
      </c>
      <c r="J523" s="2" t="s">
        <v>19675</v>
      </c>
      <c r="K523" s="2" t="s">
        <v>21876</v>
      </c>
      <c r="L523" s="2"/>
      <c r="M523" s="2"/>
      <c r="N523" s="2"/>
      <c r="O523" s="2" t="s">
        <v>6029</v>
      </c>
      <c r="P523" s="2" t="s">
        <v>278</v>
      </c>
      <c r="Q523" s="2" t="s">
        <v>19675</v>
      </c>
      <c r="R523" s="2" t="s">
        <v>14840</v>
      </c>
      <c r="S523" s="2" t="s">
        <v>44</v>
      </c>
      <c r="T523" s="2"/>
      <c r="U523" s="2" t="s">
        <v>3527</v>
      </c>
      <c r="V523" s="2" t="s">
        <v>46</v>
      </c>
      <c r="W523" s="2" t="s">
        <v>3527</v>
      </c>
      <c r="X523" s="2" t="s">
        <v>10787</v>
      </c>
      <c r="Y523" s="2" t="s">
        <v>10801</v>
      </c>
      <c r="Z523" s="2" t="s">
        <v>7864</v>
      </c>
      <c r="AA523" s="2">
        <v>100</v>
      </c>
      <c r="AB523" s="2">
        <v>5</v>
      </c>
      <c r="AC523" s="2" t="s">
        <v>10789</v>
      </c>
      <c r="AD523" s="2" t="s">
        <v>21877</v>
      </c>
      <c r="AE523" s="2" t="s">
        <v>18260</v>
      </c>
      <c r="AF523" s="2"/>
      <c r="AG523" s="2" t="s">
        <v>18250</v>
      </c>
    </row>
    <row r="524" spans="1:33" x14ac:dyDescent="0.45">
      <c r="A524" s="2" t="s">
        <v>21878</v>
      </c>
      <c r="B524" s="2" t="s">
        <v>21879</v>
      </c>
      <c r="C524" s="2" t="s">
        <v>21880</v>
      </c>
      <c r="D524" s="2" t="s">
        <v>21881</v>
      </c>
      <c r="E524" s="2" t="s">
        <v>21882</v>
      </c>
      <c r="F524" s="2" t="s">
        <v>3562</v>
      </c>
      <c r="G524" s="2" t="s">
        <v>3562</v>
      </c>
      <c r="H524" s="2" t="s">
        <v>9829</v>
      </c>
      <c r="I524" s="2" t="s">
        <v>278</v>
      </c>
      <c r="J524" s="2" t="s">
        <v>21883</v>
      </c>
      <c r="K524" s="2"/>
      <c r="L524" s="2"/>
      <c r="M524" s="2"/>
      <c r="N524" s="2"/>
      <c r="O524" s="2"/>
      <c r="P524" s="2"/>
      <c r="Q524" s="2"/>
      <c r="R524" s="2" t="s">
        <v>12277</v>
      </c>
      <c r="S524" s="2" t="s">
        <v>44</v>
      </c>
      <c r="T524" s="2"/>
      <c r="U524" s="2" t="s">
        <v>3527</v>
      </c>
      <c r="V524" s="2" t="s">
        <v>46</v>
      </c>
      <c r="W524" s="2" t="s">
        <v>3527</v>
      </c>
      <c r="X524" s="2" t="s">
        <v>10787</v>
      </c>
      <c r="Y524" s="2" t="s">
        <v>10801</v>
      </c>
      <c r="Z524" s="2" t="s">
        <v>7864</v>
      </c>
      <c r="AA524" s="2">
        <v>100</v>
      </c>
      <c r="AB524" s="2">
        <v>5</v>
      </c>
      <c r="AC524" s="2" t="s">
        <v>10789</v>
      </c>
      <c r="AD524" s="2" t="s">
        <v>21884</v>
      </c>
      <c r="AE524" s="2" t="s">
        <v>18260</v>
      </c>
      <c r="AF524" s="2"/>
      <c r="AG524" s="2" t="s">
        <v>18250</v>
      </c>
    </row>
    <row r="525" spans="1:33" x14ac:dyDescent="0.45">
      <c r="A525" s="2" t="s">
        <v>21885</v>
      </c>
      <c r="B525" s="2" t="s">
        <v>21886</v>
      </c>
      <c r="C525" s="2" t="s">
        <v>21887</v>
      </c>
      <c r="D525" s="2" t="s">
        <v>21888</v>
      </c>
      <c r="E525" s="2" t="s">
        <v>21889</v>
      </c>
      <c r="F525" s="2" t="s">
        <v>21890</v>
      </c>
      <c r="G525" s="2" t="s">
        <v>21890</v>
      </c>
      <c r="H525" s="2" t="s">
        <v>72</v>
      </c>
      <c r="I525" s="2" t="s">
        <v>73</v>
      </c>
      <c r="J525" s="2" t="s">
        <v>2270</v>
      </c>
      <c r="K525" s="2" t="s">
        <v>21891</v>
      </c>
      <c r="L525" s="2"/>
      <c r="M525" s="2"/>
      <c r="N525" s="2"/>
      <c r="O525" s="2" t="s">
        <v>72</v>
      </c>
      <c r="P525" s="2" t="s">
        <v>73</v>
      </c>
      <c r="Q525" s="2" t="s">
        <v>2270</v>
      </c>
      <c r="R525" s="2" t="s">
        <v>21892</v>
      </c>
      <c r="S525" s="2" t="s">
        <v>44</v>
      </c>
      <c r="T525" s="2"/>
      <c r="U525" s="2" t="s">
        <v>3527</v>
      </c>
      <c r="V525" s="2" t="s">
        <v>46</v>
      </c>
      <c r="W525" s="2" t="s">
        <v>3527</v>
      </c>
      <c r="X525" s="2" t="s">
        <v>11225</v>
      </c>
      <c r="Y525" s="2" t="s">
        <v>10801</v>
      </c>
      <c r="Z525" s="2" t="s">
        <v>7864</v>
      </c>
      <c r="AA525" s="2">
        <v>100</v>
      </c>
      <c r="AB525" s="2">
        <v>10</v>
      </c>
      <c r="AC525" s="2" t="s">
        <v>10789</v>
      </c>
      <c r="AD525" s="2" t="s">
        <v>21893</v>
      </c>
      <c r="AE525" s="2" t="s">
        <v>18260</v>
      </c>
      <c r="AF525" s="2"/>
      <c r="AG525" s="2" t="s">
        <v>18250</v>
      </c>
    </row>
    <row r="526" spans="1:33" x14ac:dyDescent="0.45">
      <c r="A526" s="2" t="s">
        <v>21894</v>
      </c>
      <c r="B526" s="2" t="s">
        <v>21895</v>
      </c>
      <c r="C526" s="2" t="s">
        <v>21894</v>
      </c>
      <c r="D526" s="2" t="s">
        <v>21896</v>
      </c>
      <c r="E526" s="2" t="s">
        <v>21897</v>
      </c>
      <c r="F526" s="2" t="s">
        <v>21898</v>
      </c>
      <c r="G526" s="2"/>
      <c r="H526" s="2" t="s">
        <v>13097</v>
      </c>
      <c r="I526" s="2" t="s">
        <v>221</v>
      </c>
      <c r="J526" s="2" t="s">
        <v>8507</v>
      </c>
      <c r="K526" s="2" t="s">
        <v>21896</v>
      </c>
      <c r="L526" s="2"/>
      <c r="M526" s="2"/>
      <c r="N526" s="2"/>
      <c r="O526" s="2" t="s">
        <v>13097</v>
      </c>
      <c r="P526" s="2" t="s">
        <v>221</v>
      </c>
      <c r="Q526" s="2" t="s">
        <v>8507</v>
      </c>
      <c r="R526" s="2" t="s">
        <v>1199</v>
      </c>
      <c r="S526" s="2" t="s">
        <v>44</v>
      </c>
      <c r="T526" s="2"/>
      <c r="U526" s="2" t="s">
        <v>3527</v>
      </c>
      <c r="V526" s="2" t="s">
        <v>46</v>
      </c>
      <c r="W526" s="2" t="s">
        <v>3527</v>
      </c>
      <c r="X526" s="2" t="s">
        <v>10787</v>
      </c>
      <c r="Y526" s="2" t="s">
        <v>10801</v>
      </c>
      <c r="Z526" s="2" t="s">
        <v>7864</v>
      </c>
      <c r="AA526" s="2">
        <v>100</v>
      </c>
      <c r="AB526" s="2">
        <v>5</v>
      </c>
      <c r="AC526" s="2" t="s">
        <v>10789</v>
      </c>
      <c r="AD526" s="2" t="s">
        <v>21899</v>
      </c>
      <c r="AE526" s="2" t="s">
        <v>18260</v>
      </c>
      <c r="AF526" s="2"/>
      <c r="AG526" s="2" t="s">
        <v>18250</v>
      </c>
    </row>
    <row r="527" spans="1:33" x14ac:dyDescent="0.45">
      <c r="A527" s="2" t="s">
        <v>21900</v>
      </c>
      <c r="B527" s="2" t="s">
        <v>21901</v>
      </c>
      <c r="C527" s="2" t="s">
        <v>21902</v>
      </c>
      <c r="D527" s="2" t="s">
        <v>21903</v>
      </c>
      <c r="E527" s="2" t="s">
        <v>21904</v>
      </c>
      <c r="F527" s="2"/>
      <c r="G527" s="2"/>
      <c r="H527" s="2" t="s">
        <v>2962</v>
      </c>
      <c r="I527" s="2" t="s">
        <v>73</v>
      </c>
      <c r="J527" s="2" t="s">
        <v>18288</v>
      </c>
      <c r="K527" s="2" t="s">
        <v>21903</v>
      </c>
      <c r="L527" s="2"/>
      <c r="M527" s="2"/>
      <c r="N527" s="2"/>
      <c r="O527" s="2" t="s">
        <v>2962</v>
      </c>
      <c r="P527" s="2" t="s">
        <v>73</v>
      </c>
      <c r="Q527" s="2" t="s">
        <v>18288</v>
      </c>
      <c r="R527" s="2" t="s">
        <v>15045</v>
      </c>
      <c r="S527" s="2" t="s">
        <v>44</v>
      </c>
      <c r="T527" s="2"/>
      <c r="U527" s="2" t="s">
        <v>3527</v>
      </c>
      <c r="V527" s="2" t="s">
        <v>46</v>
      </c>
      <c r="W527" s="2" t="s">
        <v>3527</v>
      </c>
      <c r="X527" s="2" t="s">
        <v>10787</v>
      </c>
      <c r="Y527" s="2" t="s">
        <v>10801</v>
      </c>
      <c r="Z527" s="2" t="s">
        <v>7864</v>
      </c>
      <c r="AA527" s="2">
        <v>90</v>
      </c>
      <c r="AB527" s="2">
        <v>0</v>
      </c>
      <c r="AC527" s="2" t="s">
        <v>10789</v>
      </c>
      <c r="AD527" s="2" t="s">
        <v>21905</v>
      </c>
      <c r="AE527" s="2" t="s">
        <v>18260</v>
      </c>
      <c r="AF527" s="2"/>
      <c r="AG527" s="2" t="s">
        <v>18250</v>
      </c>
    </row>
    <row r="528" spans="1:33" x14ac:dyDescent="0.45">
      <c r="A528" s="2" t="s">
        <v>21906</v>
      </c>
      <c r="B528" s="2" t="s">
        <v>21907</v>
      </c>
      <c r="C528" s="2" t="s">
        <v>21908</v>
      </c>
      <c r="D528" s="2" t="s">
        <v>21909</v>
      </c>
      <c r="E528" s="2" t="s">
        <v>21910</v>
      </c>
      <c r="F528" s="2" t="s">
        <v>21911</v>
      </c>
      <c r="G528" s="2" t="s">
        <v>21911</v>
      </c>
      <c r="H528" s="2" t="s">
        <v>5842</v>
      </c>
      <c r="I528" s="2" t="s">
        <v>221</v>
      </c>
      <c r="J528" s="2" t="s">
        <v>21912</v>
      </c>
      <c r="K528" s="2" t="s">
        <v>21909</v>
      </c>
      <c r="L528" s="2"/>
      <c r="M528" s="2"/>
      <c r="N528" s="2"/>
      <c r="O528" s="2" t="s">
        <v>5842</v>
      </c>
      <c r="P528" s="2" t="s">
        <v>221</v>
      </c>
      <c r="Q528" s="2" t="s">
        <v>21912</v>
      </c>
      <c r="R528" s="2" t="s">
        <v>21913</v>
      </c>
      <c r="S528" s="2" t="s">
        <v>44</v>
      </c>
      <c r="T528" s="2"/>
      <c r="U528" s="2" t="s">
        <v>3527</v>
      </c>
      <c r="V528" s="2" t="s">
        <v>46</v>
      </c>
      <c r="W528" s="2" t="s">
        <v>3527</v>
      </c>
      <c r="X528" s="2" t="s">
        <v>10787</v>
      </c>
      <c r="Y528" s="2" t="s">
        <v>10801</v>
      </c>
      <c r="Z528" s="2" t="s">
        <v>7864</v>
      </c>
      <c r="AA528" s="2">
        <v>100</v>
      </c>
      <c r="AB528" s="2">
        <v>5</v>
      </c>
      <c r="AC528" s="2" t="s">
        <v>10789</v>
      </c>
      <c r="AD528" s="2" t="s">
        <v>21914</v>
      </c>
      <c r="AE528" s="2" t="s">
        <v>18260</v>
      </c>
      <c r="AF528" s="2"/>
      <c r="AG528" s="2" t="s">
        <v>18250</v>
      </c>
    </row>
    <row r="529" spans="1:33" x14ac:dyDescent="0.45">
      <c r="A529" s="2" t="s">
        <v>21915</v>
      </c>
      <c r="B529" s="2" t="s">
        <v>21916</v>
      </c>
      <c r="C529" s="2" t="s">
        <v>21917</v>
      </c>
      <c r="D529" s="2" t="s">
        <v>21918</v>
      </c>
      <c r="E529" s="2" t="s">
        <v>21919</v>
      </c>
      <c r="F529" s="2" t="s">
        <v>21920</v>
      </c>
      <c r="G529" s="2"/>
      <c r="H529" s="2" t="s">
        <v>72</v>
      </c>
      <c r="I529" s="2" t="s">
        <v>73</v>
      </c>
      <c r="J529" s="2" t="s">
        <v>16359</v>
      </c>
      <c r="K529" s="2"/>
      <c r="L529" s="2"/>
      <c r="M529" s="2"/>
      <c r="N529" s="2"/>
      <c r="O529" s="2"/>
      <c r="P529" s="2"/>
      <c r="Q529" s="2"/>
      <c r="R529" s="2" t="s">
        <v>12050</v>
      </c>
      <c r="S529" s="2" t="s">
        <v>44</v>
      </c>
      <c r="T529" s="2"/>
      <c r="U529" s="2" t="s">
        <v>3527</v>
      </c>
      <c r="V529" s="2" t="s">
        <v>46</v>
      </c>
      <c r="W529" s="2" t="s">
        <v>3527</v>
      </c>
      <c r="X529" s="2" t="s">
        <v>10787</v>
      </c>
      <c r="Y529" s="2" t="s">
        <v>10801</v>
      </c>
      <c r="Z529" s="2" t="s">
        <v>7864</v>
      </c>
      <c r="AA529" s="2">
        <v>100</v>
      </c>
      <c r="AB529" s="2">
        <v>10</v>
      </c>
      <c r="AC529" s="2" t="s">
        <v>10789</v>
      </c>
      <c r="AD529" s="2" t="s">
        <v>21921</v>
      </c>
      <c r="AE529" s="2" t="s">
        <v>18260</v>
      </c>
      <c r="AF529" s="2"/>
      <c r="AG529" s="2" t="s">
        <v>18250</v>
      </c>
    </row>
    <row r="530" spans="1:33" x14ac:dyDescent="0.45">
      <c r="A530" s="2" t="s">
        <v>21922</v>
      </c>
      <c r="B530" s="2" t="s">
        <v>21923</v>
      </c>
      <c r="C530" s="2" t="s">
        <v>21924</v>
      </c>
      <c r="D530" s="2" t="s">
        <v>21925</v>
      </c>
      <c r="E530" s="2" t="s">
        <v>21926</v>
      </c>
      <c r="F530" s="2" t="s">
        <v>21927</v>
      </c>
      <c r="G530" s="2"/>
      <c r="H530" s="2" t="s">
        <v>72</v>
      </c>
      <c r="I530" s="2" t="s">
        <v>73</v>
      </c>
      <c r="J530" s="2" t="s">
        <v>607</v>
      </c>
      <c r="K530" s="2" t="s">
        <v>21925</v>
      </c>
      <c r="L530" s="2"/>
      <c r="M530" s="2"/>
      <c r="N530" s="2"/>
      <c r="O530" s="2" t="s">
        <v>72</v>
      </c>
      <c r="P530" s="2" t="s">
        <v>73</v>
      </c>
      <c r="Q530" s="2" t="s">
        <v>607</v>
      </c>
      <c r="R530" s="2" t="s">
        <v>5496</v>
      </c>
      <c r="S530" s="2" t="s">
        <v>44</v>
      </c>
      <c r="T530" s="2"/>
      <c r="U530" s="2" t="s">
        <v>821</v>
      </c>
      <c r="V530" s="2" t="s">
        <v>46</v>
      </c>
      <c r="W530" s="2" t="s">
        <v>821</v>
      </c>
      <c r="X530" s="2" t="s">
        <v>10787</v>
      </c>
      <c r="Y530" s="2" t="s">
        <v>10801</v>
      </c>
      <c r="Z530" s="2" t="s">
        <v>7864</v>
      </c>
      <c r="AA530" s="2">
        <v>100</v>
      </c>
      <c r="AB530" s="2">
        <v>17</v>
      </c>
      <c r="AC530" s="2" t="s">
        <v>10789</v>
      </c>
      <c r="AD530" s="2" t="s">
        <v>21928</v>
      </c>
      <c r="AE530" s="2" t="s">
        <v>18260</v>
      </c>
      <c r="AF530" s="2"/>
      <c r="AG530" s="2" t="s">
        <v>18250</v>
      </c>
    </row>
    <row r="531" spans="1:33" x14ac:dyDescent="0.45">
      <c r="A531" s="2" t="s">
        <v>21929</v>
      </c>
      <c r="B531" s="2" t="s">
        <v>21930</v>
      </c>
      <c r="C531" s="2" t="s">
        <v>21929</v>
      </c>
      <c r="D531" s="2" t="s">
        <v>21931</v>
      </c>
      <c r="E531" s="2" t="s">
        <v>21932</v>
      </c>
      <c r="F531" s="2" t="s">
        <v>21933</v>
      </c>
      <c r="G531" s="2" t="s">
        <v>21933</v>
      </c>
      <c r="H531" s="2" t="s">
        <v>2962</v>
      </c>
      <c r="I531" s="2" t="s">
        <v>73</v>
      </c>
      <c r="J531" s="2" t="s">
        <v>21934</v>
      </c>
      <c r="K531" s="2" t="s">
        <v>21931</v>
      </c>
      <c r="L531" s="2"/>
      <c r="M531" s="2"/>
      <c r="N531" s="2"/>
      <c r="O531" s="2" t="s">
        <v>2962</v>
      </c>
      <c r="P531" s="2" t="s">
        <v>73</v>
      </c>
      <c r="Q531" s="2" t="s">
        <v>21934</v>
      </c>
      <c r="R531" s="2" t="s">
        <v>7816</v>
      </c>
      <c r="S531" s="2" t="s">
        <v>44</v>
      </c>
      <c r="T531" s="2"/>
      <c r="U531" s="2" t="s">
        <v>3527</v>
      </c>
      <c r="V531" s="2" t="s">
        <v>46</v>
      </c>
      <c r="W531" s="2" t="s">
        <v>3527</v>
      </c>
      <c r="X531" s="2" t="s">
        <v>10787</v>
      </c>
      <c r="Y531" s="2" t="s">
        <v>10801</v>
      </c>
      <c r="Z531" s="2" t="s">
        <v>7864</v>
      </c>
      <c r="AA531" s="2">
        <v>100</v>
      </c>
      <c r="AB531" s="2">
        <v>5</v>
      </c>
      <c r="AC531" s="2" t="s">
        <v>10789</v>
      </c>
      <c r="AD531" s="2" t="s">
        <v>21935</v>
      </c>
      <c r="AE531" s="2" t="s">
        <v>18260</v>
      </c>
      <c r="AF531" s="2"/>
      <c r="AG531" s="2" t="s">
        <v>18250</v>
      </c>
    </row>
    <row r="532" spans="1:33" x14ac:dyDescent="0.45">
      <c r="A532" s="2" t="s">
        <v>21936</v>
      </c>
      <c r="B532" s="2" t="s">
        <v>21937</v>
      </c>
      <c r="C532" s="2" t="s">
        <v>21938</v>
      </c>
      <c r="D532" s="2" t="s">
        <v>21939</v>
      </c>
      <c r="E532" s="2" t="s">
        <v>21940</v>
      </c>
      <c r="F532" s="2" t="s">
        <v>21941</v>
      </c>
      <c r="G532" s="2"/>
      <c r="H532" s="2" t="s">
        <v>277</v>
      </c>
      <c r="I532" s="2" t="s">
        <v>278</v>
      </c>
      <c r="J532" s="2" t="s">
        <v>21942</v>
      </c>
      <c r="K532" s="2" t="s">
        <v>21939</v>
      </c>
      <c r="L532" s="2"/>
      <c r="M532" s="2"/>
      <c r="N532" s="2"/>
      <c r="O532" s="2" t="s">
        <v>277</v>
      </c>
      <c r="P532" s="2" t="s">
        <v>278</v>
      </c>
      <c r="Q532" s="2" t="s">
        <v>21942</v>
      </c>
      <c r="R532" s="2" t="s">
        <v>10994</v>
      </c>
      <c r="S532" s="2" t="s">
        <v>44</v>
      </c>
      <c r="T532" s="2"/>
      <c r="U532" s="2" t="s">
        <v>3527</v>
      </c>
      <c r="V532" s="2" t="s">
        <v>46</v>
      </c>
      <c r="W532" s="2" t="s">
        <v>3527</v>
      </c>
      <c r="X532" s="2" t="s">
        <v>10787</v>
      </c>
      <c r="Y532" s="2" t="s">
        <v>10801</v>
      </c>
      <c r="Z532" s="2" t="s">
        <v>7864</v>
      </c>
      <c r="AA532" s="2">
        <v>100</v>
      </c>
      <c r="AB532" s="2">
        <v>10</v>
      </c>
      <c r="AC532" s="2" t="s">
        <v>10789</v>
      </c>
      <c r="AD532" s="2" t="s">
        <v>21943</v>
      </c>
      <c r="AE532" s="2" t="s">
        <v>18260</v>
      </c>
      <c r="AF532" s="2"/>
      <c r="AG532" s="2" t="s">
        <v>18250</v>
      </c>
    </row>
    <row r="533" spans="1:33" x14ac:dyDescent="0.45">
      <c r="A533" s="2" t="s">
        <v>21944</v>
      </c>
      <c r="B533" s="2" t="s">
        <v>21945</v>
      </c>
      <c r="C533" s="2" t="s">
        <v>21944</v>
      </c>
      <c r="D533" s="2" t="s">
        <v>21946</v>
      </c>
      <c r="E533" s="2" t="s">
        <v>21947</v>
      </c>
      <c r="F533" s="2" t="s">
        <v>21948</v>
      </c>
      <c r="G533" s="2"/>
      <c r="H533" s="2" t="s">
        <v>59</v>
      </c>
      <c r="I533" s="2" t="s">
        <v>60</v>
      </c>
      <c r="J533" s="2" t="s">
        <v>5251</v>
      </c>
      <c r="K533" s="2"/>
      <c r="L533" s="2"/>
      <c r="M533" s="2"/>
      <c r="N533" s="2"/>
      <c r="O533" s="2"/>
      <c r="P533" s="2"/>
      <c r="Q533" s="2"/>
      <c r="R533" s="2" t="s">
        <v>4876</v>
      </c>
      <c r="S533" s="2" t="s">
        <v>44</v>
      </c>
      <c r="T533" s="2"/>
      <c r="U533" s="2" t="s">
        <v>3527</v>
      </c>
      <c r="V533" s="2" t="s">
        <v>46</v>
      </c>
      <c r="W533" s="2" t="s">
        <v>3527</v>
      </c>
      <c r="X533" s="2" t="s">
        <v>10787</v>
      </c>
      <c r="Y533" s="2" t="s">
        <v>10801</v>
      </c>
      <c r="Z533" s="2" t="s">
        <v>7864</v>
      </c>
      <c r="AA533" s="2">
        <v>100</v>
      </c>
      <c r="AB533" s="2">
        <v>10</v>
      </c>
      <c r="AC533" s="2" t="s">
        <v>10789</v>
      </c>
      <c r="AD533" s="2" t="s">
        <v>21949</v>
      </c>
      <c r="AE533" s="2" t="s">
        <v>18260</v>
      </c>
      <c r="AF533" s="2"/>
      <c r="AG533" s="2" t="s">
        <v>18250</v>
      </c>
    </row>
    <row r="534" spans="1:33" x14ac:dyDescent="0.45">
      <c r="A534" s="2" t="s">
        <v>21950</v>
      </c>
      <c r="B534" s="2" t="s">
        <v>21951</v>
      </c>
      <c r="C534" s="2" t="s">
        <v>21952</v>
      </c>
      <c r="D534" s="2" t="s">
        <v>21953</v>
      </c>
      <c r="E534" s="2" t="s">
        <v>21954</v>
      </c>
      <c r="F534" s="2"/>
      <c r="G534" s="2"/>
      <c r="H534" s="2" t="s">
        <v>2962</v>
      </c>
      <c r="I534" s="2" t="s">
        <v>73</v>
      </c>
      <c r="J534" s="2" t="s">
        <v>15154</v>
      </c>
      <c r="K534" s="2" t="s">
        <v>21953</v>
      </c>
      <c r="L534" s="2"/>
      <c r="M534" s="2"/>
      <c r="N534" s="2"/>
      <c r="O534" s="2" t="s">
        <v>2962</v>
      </c>
      <c r="P534" s="2" t="s">
        <v>73</v>
      </c>
      <c r="Q534" s="2" t="s">
        <v>15154</v>
      </c>
      <c r="R534" s="2" t="s">
        <v>13566</v>
      </c>
      <c r="S534" s="2" t="s">
        <v>44</v>
      </c>
      <c r="T534" s="2"/>
      <c r="U534" s="2" t="s">
        <v>3527</v>
      </c>
      <c r="V534" s="2" t="s">
        <v>46</v>
      </c>
      <c r="W534" s="2" t="s">
        <v>3527</v>
      </c>
      <c r="X534" s="2" t="s">
        <v>10787</v>
      </c>
      <c r="Y534" s="2" t="s">
        <v>10801</v>
      </c>
      <c r="Z534" s="2" t="s">
        <v>7864</v>
      </c>
      <c r="AA534" s="2">
        <v>90</v>
      </c>
      <c r="AB534" s="2">
        <v>0</v>
      </c>
      <c r="AC534" s="2" t="s">
        <v>10789</v>
      </c>
      <c r="AD534" s="2" t="s">
        <v>21955</v>
      </c>
      <c r="AE534" s="2" t="s">
        <v>18260</v>
      </c>
      <c r="AF534" s="2"/>
      <c r="AG534" s="2" t="s">
        <v>18250</v>
      </c>
    </row>
    <row r="535" spans="1:33" x14ac:dyDescent="0.45">
      <c r="A535" s="2" t="s">
        <v>21956</v>
      </c>
      <c r="B535" s="2" t="s">
        <v>21957</v>
      </c>
      <c r="C535" s="2" t="s">
        <v>21956</v>
      </c>
      <c r="D535" s="2" t="s">
        <v>21958</v>
      </c>
      <c r="E535" s="2" t="s">
        <v>21959</v>
      </c>
      <c r="F535" s="2" t="s">
        <v>21960</v>
      </c>
      <c r="G535" s="2"/>
      <c r="H535" s="2" t="s">
        <v>1269</v>
      </c>
      <c r="I535" s="2" t="s">
        <v>1176</v>
      </c>
      <c r="J535" s="2" t="s">
        <v>18743</v>
      </c>
      <c r="K535" s="2"/>
      <c r="L535" s="2"/>
      <c r="M535" s="2"/>
      <c r="N535" s="2"/>
      <c r="O535" s="2"/>
      <c r="P535" s="2"/>
      <c r="Q535" s="2"/>
      <c r="R535" s="2" t="s">
        <v>3332</v>
      </c>
      <c r="S535" s="2" t="s">
        <v>44</v>
      </c>
      <c r="T535" s="2"/>
      <c r="U535" s="2" t="s">
        <v>3527</v>
      </c>
      <c r="V535" s="2" t="s">
        <v>46</v>
      </c>
      <c r="W535" s="2" t="s">
        <v>3527</v>
      </c>
      <c r="X535" s="2" t="s">
        <v>10787</v>
      </c>
      <c r="Y535" s="2" t="s">
        <v>10801</v>
      </c>
      <c r="Z535" s="2" t="s">
        <v>7864</v>
      </c>
      <c r="AA535" s="2">
        <v>100</v>
      </c>
      <c r="AB535" s="2">
        <v>5</v>
      </c>
      <c r="AC535" s="2" t="s">
        <v>10789</v>
      </c>
      <c r="AD535" s="2" t="s">
        <v>21961</v>
      </c>
      <c r="AE535" s="2" t="s">
        <v>18260</v>
      </c>
      <c r="AF535" s="2"/>
      <c r="AG535" s="2" t="s">
        <v>18250</v>
      </c>
    </row>
    <row r="536" spans="1:33" x14ac:dyDescent="0.45">
      <c r="A536" s="2" t="s">
        <v>21962</v>
      </c>
      <c r="B536" s="2" t="s">
        <v>21963</v>
      </c>
      <c r="C536" s="2" t="s">
        <v>21962</v>
      </c>
      <c r="D536" s="2" t="s">
        <v>21964</v>
      </c>
      <c r="E536" s="2" t="s">
        <v>21965</v>
      </c>
      <c r="F536" s="2" t="s">
        <v>21966</v>
      </c>
      <c r="G536" s="2" t="s">
        <v>21966</v>
      </c>
      <c r="H536" s="2" t="s">
        <v>72</v>
      </c>
      <c r="I536" s="2" t="s">
        <v>73</v>
      </c>
      <c r="J536" s="2" t="s">
        <v>1430</v>
      </c>
      <c r="K536" s="2" t="s">
        <v>21967</v>
      </c>
      <c r="L536" s="2"/>
      <c r="M536" s="2"/>
      <c r="N536" s="2"/>
      <c r="O536" s="2" t="s">
        <v>72</v>
      </c>
      <c r="P536" s="2" t="s">
        <v>73</v>
      </c>
      <c r="Q536" s="2" t="s">
        <v>1430</v>
      </c>
      <c r="R536" s="2" t="s">
        <v>1441</v>
      </c>
      <c r="S536" s="2" t="s">
        <v>44</v>
      </c>
      <c r="T536" s="2"/>
      <c r="U536" s="2" t="s">
        <v>3527</v>
      </c>
      <c r="V536" s="2" t="s">
        <v>46</v>
      </c>
      <c r="W536" s="2" t="s">
        <v>3527</v>
      </c>
      <c r="X536" s="2" t="s">
        <v>10787</v>
      </c>
      <c r="Y536" s="2" t="s">
        <v>10801</v>
      </c>
      <c r="Z536" s="2" t="s">
        <v>7864</v>
      </c>
      <c r="AA536" s="2">
        <v>100</v>
      </c>
      <c r="AB536" s="2">
        <v>10</v>
      </c>
      <c r="AC536" s="2" t="s">
        <v>10789</v>
      </c>
      <c r="AD536" s="2" t="s">
        <v>21968</v>
      </c>
      <c r="AE536" s="2" t="s">
        <v>18260</v>
      </c>
      <c r="AF536" s="2"/>
      <c r="AG536" s="2" t="s">
        <v>18250</v>
      </c>
    </row>
    <row r="537" spans="1:33" x14ac:dyDescent="0.45">
      <c r="A537" s="2" t="s">
        <v>21969</v>
      </c>
      <c r="B537" s="2" t="s">
        <v>21970</v>
      </c>
      <c r="C537" s="2" t="s">
        <v>21971</v>
      </c>
      <c r="D537" s="2" t="s">
        <v>21972</v>
      </c>
      <c r="E537" s="2" t="s">
        <v>21973</v>
      </c>
      <c r="F537" s="2" t="s">
        <v>21974</v>
      </c>
      <c r="G537" s="2"/>
      <c r="H537" s="2" t="s">
        <v>59</v>
      </c>
      <c r="I537" s="2" t="s">
        <v>60</v>
      </c>
      <c r="J537" s="2" t="s">
        <v>9210</v>
      </c>
      <c r="K537" s="2" t="s">
        <v>21972</v>
      </c>
      <c r="L537" s="2"/>
      <c r="M537" s="2"/>
      <c r="N537" s="2"/>
      <c r="O537" s="2" t="s">
        <v>59</v>
      </c>
      <c r="P537" s="2" t="s">
        <v>60</v>
      </c>
      <c r="Q537" s="2" t="s">
        <v>9210</v>
      </c>
      <c r="R537" s="2" t="s">
        <v>752</v>
      </c>
      <c r="S537" s="2" t="s">
        <v>44</v>
      </c>
      <c r="T537" s="2"/>
      <c r="U537" s="2" t="s">
        <v>3527</v>
      </c>
      <c r="V537" s="2" t="s">
        <v>46</v>
      </c>
      <c r="W537" s="2" t="s">
        <v>3527</v>
      </c>
      <c r="X537" s="2" t="s">
        <v>10787</v>
      </c>
      <c r="Y537" s="2" t="s">
        <v>10801</v>
      </c>
      <c r="Z537" s="2" t="s">
        <v>7864</v>
      </c>
      <c r="AA537" s="2">
        <v>100</v>
      </c>
      <c r="AB537" s="2">
        <v>10</v>
      </c>
      <c r="AC537" s="2" t="s">
        <v>10789</v>
      </c>
      <c r="AD537" s="2" t="s">
        <v>21975</v>
      </c>
      <c r="AE537" s="2" t="s">
        <v>18260</v>
      </c>
      <c r="AF537" s="2"/>
      <c r="AG537" s="2" t="s">
        <v>18250</v>
      </c>
    </row>
    <row r="538" spans="1:33" x14ac:dyDescent="0.45">
      <c r="A538" s="2" t="s">
        <v>21976</v>
      </c>
      <c r="B538" s="2" t="s">
        <v>21977</v>
      </c>
      <c r="C538" s="2"/>
      <c r="D538" s="2" t="s">
        <v>21978</v>
      </c>
      <c r="E538" s="2" t="s">
        <v>21979</v>
      </c>
      <c r="F538" s="2" t="s">
        <v>21980</v>
      </c>
      <c r="G538" s="2" t="s">
        <v>21980</v>
      </c>
      <c r="H538" s="2"/>
      <c r="I538" s="2"/>
      <c r="J538" s="2" t="s">
        <v>21981</v>
      </c>
      <c r="K538" s="2"/>
      <c r="L538" s="2"/>
      <c r="M538" s="2"/>
      <c r="N538" s="2"/>
      <c r="O538" s="2"/>
      <c r="P538" s="2"/>
      <c r="Q538" s="2"/>
      <c r="R538" s="2" t="s">
        <v>1389</v>
      </c>
      <c r="S538" s="2" t="s">
        <v>44</v>
      </c>
      <c r="T538" s="2"/>
      <c r="U538" s="2" t="s">
        <v>821</v>
      </c>
      <c r="V538" s="2" t="s">
        <v>46</v>
      </c>
      <c r="W538" s="2" t="s">
        <v>821</v>
      </c>
      <c r="X538" s="2" t="s">
        <v>10787</v>
      </c>
      <c r="Y538" s="2" t="s">
        <v>10801</v>
      </c>
      <c r="Z538" s="2" t="s">
        <v>7864</v>
      </c>
      <c r="AA538" s="2">
        <v>55</v>
      </c>
      <c r="AB538" s="2">
        <v>2</v>
      </c>
      <c r="AC538" s="2" t="s">
        <v>10789</v>
      </c>
      <c r="AD538" s="2" t="s">
        <v>21982</v>
      </c>
      <c r="AE538" s="2" t="s">
        <v>18260</v>
      </c>
      <c r="AF538" s="2"/>
      <c r="AG538" s="2" t="s">
        <v>18250</v>
      </c>
    </row>
    <row r="539" spans="1:33" x14ac:dyDescent="0.45">
      <c r="A539" s="2" t="s">
        <v>21983</v>
      </c>
      <c r="B539" s="2" t="s">
        <v>21984</v>
      </c>
      <c r="C539" s="2" t="s">
        <v>21983</v>
      </c>
      <c r="D539" s="2" t="s">
        <v>21985</v>
      </c>
      <c r="E539" s="2" t="s">
        <v>21986</v>
      </c>
      <c r="F539" s="2" t="s">
        <v>21987</v>
      </c>
      <c r="G539" s="2" t="s">
        <v>21987</v>
      </c>
      <c r="H539" s="2" t="s">
        <v>5984</v>
      </c>
      <c r="I539" s="2" t="s">
        <v>313</v>
      </c>
      <c r="J539" s="2" t="s">
        <v>21988</v>
      </c>
      <c r="K539" s="2" t="s">
        <v>21985</v>
      </c>
      <c r="L539" s="2"/>
      <c r="M539" s="2"/>
      <c r="N539" s="2"/>
      <c r="O539" s="2" t="s">
        <v>5984</v>
      </c>
      <c r="P539" s="2" t="s">
        <v>313</v>
      </c>
      <c r="Q539" s="2" t="s">
        <v>21988</v>
      </c>
      <c r="R539" s="2" t="s">
        <v>5594</v>
      </c>
      <c r="S539" s="2" t="s">
        <v>44</v>
      </c>
      <c r="T539" s="2"/>
      <c r="U539" s="2" t="s">
        <v>3527</v>
      </c>
      <c r="V539" s="2" t="s">
        <v>46</v>
      </c>
      <c r="W539" s="2" t="s">
        <v>3527</v>
      </c>
      <c r="X539" s="2" t="s">
        <v>10787</v>
      </c>
      <c r="Y539" s="2" t="s">
        <v>10801</v>
      </c>
      <c r="Z539" s="2" t="s">
        <v>7864</v>
      </c>
      <c r="AA539" s="2">
        <v>100</v>
      </c>
      <c r="AB539" s="2">
        <v>5</v>
      </c>
      <c r="AC539" s="2" t="s">
        <v>10789</v>
      </c>
      <c r="AD539" s="2" t="s">
        <v>21989</v>
      </c>
      <c r="AE539" s="2" t="s">
        <v>18260</v>
      </c>
      <c r="AF539" s="2"/>
      <c r="AG539" s="2" t="s">
        <v>18250</v>
      </c>
    </row>
    <row r="540" spans="1:33" x14ac:dyDescent="0.45">
      <c r="A540" s="2" t="s">
        <v>21990</v>
      </c>
      <c r="B540" s="2" t="s">
        <v>21991</v>
      </c>
      <c r="C540" s="2" t="s">
        <v>21990</v>
      </c>
      <c r="D540" s="2" t="s">
        <v>21992</v>
      </c>
      <c r="E540" s="2" t="s">
        <v>21993</v>
      </c>
      <c r="F540" s="2" t="s">
        <v>21994</v>
      </c>
      <c r="G540" s="2" t="s">
        <v>21994</v>
      </c>
      <c r="H540" s="2" t="s">
        <v>72</v>
      </c>
      <c r="I540" s="2" t="s">
        <v>73</v>
      </c>
      <c r="J540" s="2" t="s">
        <v>7023</v>
      </c>
      <c r="K540" s="2" t="s">
        <v>21995</v>
      </c>
      <c r="L540" s="2"/>
      <c r="M540" s="2"/>
      <c r="N540" s="2"/>
      <c r="O540" s="2" t="s">
        <v>72</v>
      </c>
      <c r="P540" s="2" t="s">
        <v>73</v>
      </c>
      <c r="Q540" s="2" t="s">
        <v>7023</v>
      </c>
      <c r="R540" s="2" t="s">
        <v>21996</v>
      </c>
      <c r="S540" s="2" t="s">
        <v>44</v>
      </c>
      <c r="T540" s="2"/>
      <c r="U540" s="2" t="s">
        <v>821</v>
      </c>
      <c r="V540" s="2" t="s">
        <v>46</v>
      </c>
      <c r="W540" s="2" t="s">
        <v>821</v>
      </c>
      <c r="X540" s="2" t="s">
        <v>10787</v>
      </c>
      <c r="Y540" s="2" t="s">
        <v>10801</v>
      </c>
      <c r="Z540" s="2" t="s">
        <v>7864</v>
      </c>
      <c r="AA540" s="2">
        <v>100</v>
      </c>
      <c r="AB540" s="2">
        <v>17</v>
      </c>
      <c r="AC540" s="2" t="s">
        <v>10789</v>
      </c>
      <c r="AD540" s="2" t="s">
        <v>21997</v>
      </c>
      <c r="AE540" s="2" t="s">
        <v>18260</v>
      </c>
      <c r="AF540" s="2"/>
      <c r="AG540" s="2" t="s">
        <v>18250</v>
      </c>
    </row>
    <row r="541" spans="1:33" x14ac:dyDescent="0.45">
      <c r="A541" s="2" t="s">
        <v>21998</v>
      </c>
      <c r="B541" s="2" t="s">
        <v>21999</v>
      </c>
      <c r="C541" s="2" t="s">
        <v>22000</v>
      </c>
      <c r="D541" s="2" t="s">
        <v>22001</v>
      </c>
      <c r="E541" s="2" t="s">
        <v>22002</v>
      </c>
      <c r="F541" s="2" t="s">
        <v>22003</v>
      </c>
      <c r="G541" s="2" t="s">
        <v>22003</v>
      </c>
      <c r="H541" s="2" t="s">
        <v>1280</v>
      </c>
      <c r="I541" s="2" t="s">
        <v>1281</v>
      </c>
      <c r="J541" s="2" t="s">
        <v>22004</v>
      </c>
      <c r="K541" s="2" t="s">
        <v>22005</v>
      </c>
      <c r="L541" s="2"/>
      <c r="M541" s="2"/>
      <c r="N541" s="2"/>
      <c r="O541" s="2" t="s">
        <v>1280</v>
      </c>
      <c r="P541" s="2" t="s">
        <v>1281</v>
      </c>
      <c r="Q541" s="2" t="s">
        <v>22004</v>
      </c>
      <c r="R541" s="2" t="s">
        <v>9804</v>
      </c>
      <c r="S541" s="2" t="s">
        <v>44</v>
      </c>
      <c r="T541" s="2"/>
      <c r="U541" s="2" t="s">
        <v>821</v>
      </c>
      <c r="V541" s="2" t="s">
        <v>199</v>
      </c>
      <c r="W541" s="2" t="s">
        <v>821</v>
      </c>
      <c r="X541" s="2" t="s">
        <v>10787</v>
      </c>
      <c r="Y541" s="2" t="s">
        <v>10801</v>
      </c>
      <c r="Z541" s="2" t="s">
        <v>7864</v>
      </c>
      <c r="AA541" s="2">
        <v>100</v>
      </c>
      <c r="AB541" s="2">
        <v>22</v>
      </c>
      <c r="AC541" s="2" t="s">
        <v>10789</v>
      </c>
      <c r="AD541" s="2" t="s">
        <v>22006</v>
      </c>
      <c r="AE541" s="2" t="s">
        <v>18260</v>
      </c>
      <c r="AF541" s="2"/>
      <c r="AG541" s="2" t="s">
        <v>18250</v>
      </c>
    </row>
    <row r="542" spans="1:33" x14ac:dyDescent="0.45">
      <c r="A542" s="2" t="s">
        <v>21998</v>
      </c>
      <c r="B542" s="2" t="s">
        <v>22007</v>
      </c>
      <c r="C542" s="2" t="s">
        <v>22008</v>
      </c>
      <c r="D542" s="2" t="s">
        <v>22009</v>
      </c>
      <c r="E542" s="2" t="s">
        <v>22010</v>
      </c>
      <c r="F542" s="2" t="s">
        <v>22011</v>
      </c>
      <c r="G542" s="2"/>
      <c r="H542" s="2" t="s">
        <v>1280</v>
      </c>
      <c r="I542" s="2" t="s">
        <v>1281</v>
      </c>
      <c r="J542" s="2" t="s">
        <v>22004</v>
      </c>
      <c r="K542" s="2"/>
      <c r="L542" s="2"/>
      <c r="M542" s="2"/>
      <c r="N542" s="2"/>
      <c r="O542" s="2"/>
      <c r="P542" s="2"/>
      <c r="Q542" s="2"/>
      <c r="R542" s="2" t="s">
        <v>22012</v>
      </c>
      <c r="S542" s="2" t="s">
        <v>44</v>
      </c>
      <c r="T542" s="2"/>
      <c r="U542" s="2" t="s">
        <v>3527</v>
      </c>
      <c r="V542" s="2" t="s">
        <v>199</v>
      </c>
      <c r="W542" s="2" t="s">
        <v>3527</v>
      </c>
      <c r="X542" s="2" t="s">
        <v>10787</v>
      </c>
      <c r="Y542" s="2" t="s">
        <v>10801</v>
      </c>
      <c r="Z542" s="2" t="s">
        <v>7864</v>
      </c>
      <c r="AA542" s="2">
        <v>100</v>
      </c>
      <c r="AB542" s="2">
        <v>15</v>
      </c>
      <c r="AC542" s="2" t="s">
        <v>10789</v>
      </c>
      <c r="AD542" s="2" t="s">
        <v>22006</v>
      </c>
      <c r="AE542" s="2" t="s">
        <v>18260</v>
      </c>
      <c r="AF542" s="2"/>
      <c r="AG542" s="2" t="s">
        <v>18250</v>
      </c>
    </row>
    <row r="543" spans="1:33" x14ac:dyDescent="0.45">
      <c r="A543" s="2" t="s">
        <v>22013</v>
      </c>
      <c r="B543" s="2" t="s">
        <v>22014</v>
      </c>
      <c r="C543" s="2" t="s">
        <v>22013</v>
      </c>
      <c r="D543" s="2" t="s">
        <v>22015</v>
      </c>
      <c r="E543" s="2" t="s">
        <v>22016</v>
      </c>
      <c r="F543" s="2"/>
      <c r="G543" s="2"/>
      <c r="H543" s="2" t="s">
        <v>9712</v>
      </c>
      <c r="I543" s="2" t="s">
        <v>9712</v>
      </c>
      <c r="J543" s="2" t="s">
        <v>22017</v>
      </c>
      <c r="K543" s="2" t="s">
        <v>22015</v>
      </c>
      <c r="L543" s="2"/>
      <c r="M543" s="2"/>
      <c r="N543" s="2"/>
      <c r="O543" s="2" t="s">
        <v>9712</v>
      </c>
      <c r="P543" s="2" t="s">
        <v>9712</v>
      </c>
      <c r="Q543" s="2" t="s">
        <v>22017</v>
      </c>
      <c r="R543" s="2" t="s">
        <v>22018</v>
      </c>
      <c r="S543" s="2" t="s">
        <v>44</v>
      </c>
      <c r="T543" s="2"/>
      <c r="U543" s="2" t="s">
        <v>3527</v>
      </c>
      <c r="V543" s="2" t="s">
        <v>46</v>
      </c>
      <c r="W543" s="2" t="s">
        <v>3527</v>
      </c>
      <c r="X543" s="2" t="s">
        <v>10787</v>
      </c>
      <c r="Y543" s="2" t="s">
        <v>10801</v>
      </c>
      <c r="Z543" s="2" t="s">
        <v>7864</v>
      </c>
      <c r="AA543" s="2">
        <v>90</v>
      </c>
      <c r="AB543" s="2">
        <v>0</v>
      </c>
      <c r="AC543" s="2" t="s">
        <v>10789</v>
      </c>
      <c r="AD543" s="2" t="s">
        <v>22019</v>
      </c>
      <c r="AE543" s="2" t="s">
        <v>18260</v>
      </c>
      <c r="AF543" s="2"/>
      <c r="AG543" s="2" t="s">
        <v>18250</v>
      </c>
    </row>
    <row r="544" spans="1:33" x14ac:dyDescent="0.45">
      <c r="A544" s="2" t="s">
        <v>22020</v>
      </c>
      <c r="B544" s="2" t="s">
        <v>22021</v>
      </c>
      <c r="C544" s="2" t="s">
        <v>22022</v>
      </c>
      <c r="D544" s="2" t="s">
        <v>22023</v>
      </c>
      <c r="E544" s="2" t="s">
        <v>22024</v>
      </c>
      <c r="F544" s="2"/>
      <c r="G544" s="2"/>
      <c r="H544" s="2" t="s">
        <v>22025</v>
      </c>
      <c r="I544" s="2" t="s">
        <v>217</v>
      </c>
      <c r="J544" s="2" t="s">
        <v>22026</v>
      </c>
      <c r="K544" s="2" t="s">
        <v>22023</v>
      </c>
      <c r="L544" s="2"/>
      <c r="M544" s="2"/>
      <c r="N544" s="2"/>
      <c r="O544" s="2" t="s">
        <v>22025</v>
      </c>
      <c r="P544" s="2" t="s">
        <v>217</v>
      </c>
      <c r="Q544" s="2" t="s">
        <v>22026</v>
      </c>
      <c r="R544" s="2" t="s">
        <v>22027</v>
      </c>
      <c r="S544" s="2" t="s">
        <v>44</v>
      </c>
      <c r="T544" s="2"/>
      <c r="U544" s="2" t="s">
        <v>3527</v>
      </c>
      <c r="V544" s="2" t="s">
        <v>46</v>
      </c>
      <c r="W544" s="2" t="s">
        <v>3527</v>
      </c>
      <c r="X544" s="2" t="s">
        <v>10787</v>
      </c>
      <c r="Y544" s="2" t="s">
        <v>10801</v>
      </c>
      <c r="Z544" s="2" t="s">
        <v>7864</v>
      </c>
      <c r="AA544" s="2">
        <v>90</v>
      </c>
      <c r="AB544" s="2">
        <v>0</v>
      </c>
      <c r="AC544" s="2" t="s">
        <v>10789</v>
      </c>
      <c r="AD544" s="2" t="s">
        <v>22028</v>
      </c>
      <c r="AE544" s="2" t="s">
        <v>18260</v>
      </c>
      <c r="AF544" s="2"/>
      <c r="AG544" s="2" t="s">
        <v>18250</v>
      </c>
    </row>
    <row r="545" spans="1:33" x14ac:dyDescent="0.45">
      <c r="A545" s="2" t="s">
        <v>22029</v>
      </c>
      <c r="B545" s="2" t="s">
        <v>22030</v>
      </c>
      <c r="C545" s="2" t="s">
        <v>22031</v>
      </c>
      <c r="D545" s="2" t="s">
        <v>22032</v>
      </c>
      <c r="E545" s="2" t="s">
        <v>22033</v>
      </c>
      <c r="F545" s="2"/>
      <c r="G545" s="2"/>
      <c r="H545" s="2" t="s">
        <v>651</v>
      </c>
      <c r="I545" s="2" t="s">
        <v>86</v>
      </c>
      <c r="J545" s="2" t="s">
        <v>3948</v>
      </c>
      <c r="K545" s="2" t="s">
        <v>22034</v>
      </c>
      <c r="L545" s="2"/>
      <c r="M545" s="2"/>
      <c r="N545" s="2"/>
      <c r="O545" s="2" t="s">
        <v>651</v>
      </c>
      <c r="P545" s="2" t="s">
        <v>86</v>
      </c>
      <c r="Q545" s="2" t="s">
        <v>3948</v>
      </c>
      <c r="R545" s="2" t="s">
        <v>22035</v>
      </c>
      <c r="S545" s="2" t="s">
        <v>44</v>
      </c>
      <c r="T545" s="2"/>
      <c r="U545" s="2" t="s">
        <v>3527</v>
      </c>
      <c r="V545" s="2" t="s">
        <v>46</v>
      </c>
      <c r="W545" s="2" t="s">
        <v>3527</v>
      </c>
      <c r="X545" s="2" t="s">
        <v>10787</v>
      </c>
      <c r="Y545" s="2" t="s">
        <v>10801</v>
      </c>
      <c r="Z545" s="2" t="s">
        <v>7864</v>
      </c>
      <c r="AA545" s="2">
        <v>90</v>
      </c>
      <c r="AB545" s="2">
        <v>0</v>
      </c>
      <c r="AC545" s="2" t="s">
        <v>10789</v>
      </c>
      <c r="AD545" s="2" t="s">
        <v>22036</v>
      </c>
      <c r="AE545" s="2" t="s">
        <v>18260</v>
      </c>
      <c r="AF545" s="2"/>
      <c r="AG545" s="2" t="s">
        <v>18250</v>
      </c>
    </row>
    <row r="546" spans="1:33" x14ac:dyDescent="0.45">
      <c r="A546" s="2" t="s">
        <v>22037</v>
      </c>
      <c r="B546" s="2" t="s">
        <v>22038</v>
      </c>
      <c r="C546" s="2" t="s">
        <v>22037</v>
      </c>
      <c r="D546" s="2" t="s">
        <v>22039</v>
      </c>
      <c r="E546" s="2" t="s">
        <v>22040</v>
      </c>
      <c r="F546" s="2" t="s">
        <v>22041</v>
      </c>
      <c r="G546" s="2"/>
      <c r="H546" s="2" t="s">
        <v>19291</v>
      </c>
      <c r="I546" s="2" t="s">
        <v>1137</v>
      </c>
      <c r="J546" s="2" t="s">
        <v>20839</v>
      </c>
      <c r="K546" s="2" t="s">
        <v>22039</v>
      </c>
      <c r="L546" s="2"/>
      <c r="M546" s="2"/>
      <c r="N546" s="2"/>
      <c r="O546" s="2" t="s">
        <v>19291</v>
      </c>
      <c r="P546" s="2" t="s">
        <v>1137</v>
      </c>
      <c r="Q546" s="2" t="s">
        <v>20839</v>
      </c>
      <c r="R546" s="2" t="s">
        <v>18531</v>
      </c>
      <c r="S546" s="2" t="s">
        <v>44</v>
      </c>
      <c r="T546" s="2"/>
      <c r="U546" s="2" t="s">
        <v>3527</v>
      </c>
      <c r="V546" s="2" t="s">
        <v>46</v>
      </c>
      <c r="W546" s="2" t="s">
        <v>3527</v>
      </c>
      <c r="X546" s="2" t="s">
        <v>10787</v>
      </c>
      <c r="Y546" s="2" t="s">
        <v>10801</v>
      </c>
      <c r="Z546" s="2" t="s">
        <v>7864</v>
      </c>
      <c r="AA546" s="2">
        <v>100</v>
      </c>
      <c r="AB546" s="2">
        <v>5</v>
      </c>
      <c r="AC546" s="2" t="s">
        <v>10789</v>
      </c>
      <c r="AD546" s="2" t="s">
        <v>22042</v>
      </c>
      <c r="AE546" s="2" t="s">
        <v>18260</v>
      </c>
      <c r="AF546" s="2"/>
      <c r="AG546" s="2" t="s">
        <v>18250</v>
      </c>
    </row>
    <row r="547" spans="1:33" x14ac:dyDescent="0.45">
      <c r="A547" s="2" t="s">
        <v>22043</v>
      </c>
      <c r="B547" s="2" t="s">
        <v>22044</v>
      </c>
      <c r="C547" s="2" t="s">
        <v>22043</v>
      </c>
      <c r="D547" s="2" t="s">
        <v>22045</v>
      </c>
      <c r="E547" s="2" t="s">
        <v>22046</v>
      </c>
      <c r="F547" s="2" t="s">
        <v>3562</v>
      </c>
      <c r="G547" s="2" t="s">
        <v>3562</v>
      </c>
      <c r="H547" s="2" t="s">
        <v>10513</v>
      </c>
      <c r="I547" s="2" t="s">
        <v>313</v>
      </c>
      <c r="J547" s="2" t="s">
        <v>22047</v>
      </c>
      <c r="K547" s="2" t="s">
        <v>22045</v>
      </c>
      <c r="L547" s="2"/>
      <c r="M547" s="2"/>
      <c r="N547" s="2"/>
      <c r="O547" s="2" t="s">
        <v>10513</v>
      </c>
      <c r="P547" s="2" t="s">
        <v>313</v>
      </c>
      <c r="Q547" s="2" t="s">
        <v>22047</v>
      </c>
      <c r="R547" s="2" t="s">
        <v>5594</v>
      </c>
      <c r="S547" s="2" t="s">
        <v>44</v>
      </c>
      <c r="T547" s="2"/>
      <c r="U547" s="2" t="s">
        <v>3527</v>
      </c>
      <c r="V547" s="2" t="s">
        <v>46</v>
      </c>
      <c r="W547" s="2" t="s">
        <v>3527</v>
      </c>
      <c r="X547" s="2" t="s">
        <v>10787</v>
      </c>
      <c r="Y547" s="2" t="s">
        <v>10801</v>
      </c>
      <c r="Z547" s="2" t="s">
        <v>7864</v>
      </c>
      <c r="AA547" s="2">
        <v>100</v>
      </c>
      <c r="AB547" s="2">
        <v>5</v>
      </c>
      <c r="AC547" s="2" t="s">
        <v>10789</v>
      </c>
      <c r="AD547" s="2" t="s">
        <v>22048</v>
      </c>
      <c r="AE547" s="2" t="s">
        <v>18260</v>
      </c>
      <c r="AF547" s="2"/>
      <c r="AG547" s="2" t="s">
        <v>18250</v>
      </c>
    </row>
    <row r="548" spans="1:33" x14ac:dyDescent="0.45">
      <c r="A548" s="2" t="s">
        <v>22049</v>
      </c>
      <c r="B548" s="2" t="s">
        <v>22050</v>
      </c>
      <c r="C548" s="2" t="s">
        <v>22051</v>
      </c>
      <c r="D548" s="2" t="s">
        <v>22052</v>
      </c>
      <c r="E548" s="2" t="s">
        <v>22053</v>
      </c>
      <c r="F548" s="2" t="s">
        <v>22054</v>
      </c>
      <c r="G548" s="2"/>
      <c r="H548" s="2" t="s">
        <v>13237</v>
      </c>
      <c r="I548" s="2" t="s">
        <v>278</v>
      </c>
      <c r="J548" s="2" t="s">
        <v>13238</v>
      </c>
      <c r="K548" s="2" t="s">
        <v>22052</v>
      </c>
      <c r="L548" s="2"/>
      <c r="M548" s="2"/>
      <c r="N548" s="2"/>
      <c r="O548" s="2" t="s">
        <v>13237</v>
      </c>
      <c r="P548" s="2" t="s">
        <v>278</v>
      </c>
      <c r="Q548" s="2" t="s">
        <v>13238</v>
      </c>
      <c r="R548" s="2" t="s">
        <v>5133</v>
      </c>
      <c r="S548" s="2" t="s">
        <v>44</v>
      </c>
      <c r="T548" s="2"/>
      <c r="U548" s="2" t="s">
        <v>3527</v>
      </c>
      <c r="V548" s="2" t="s">
        <v>46</v>
      </c>
      <c r="W548" s="2" t="s">
        <v>3527</v>
      </c>
      <c r="X548" s="2" t="s">
        <v>10787</v>
      </c>
      <c r="Y548" s="2" t="s">
        <v>10801</v>
      </c>
      <c r="Z548" s="2" t="s">
        <v>7864</v>
      </c>
      <c r="AA548" s="2">
        <v>100</v>
      </c>
      <c r="AB548" s="2">
        <v>5</v>
      </c>
      <c r="AC548" s="2" t="s">
        <v>10789</v>
      </c>
      <c r="AD548" s="2" t="s">
        <v>22055</v>
      </c>
      <c r="AE548" s="2" t="s">
        <v>18260</v>
      </c>
      <c r="AF548" s="2"/>
      <c r="AG548" s="2" t="s">
        <v>18250</v>
      </c>
    </row>
    <row r="549" spans="1:33" x14ac:dyDescent="0.45">
      <c r="A549" s="2" t="s">
        <v>22056</v>
      </c>
      <c r="B549" s="2" t="s">
        <v>22057</v>
      </c>
      <c r="C549" s="2" t="s">
        <v>22058</v>
      </c>
      <c r="D549" s="2" t="s">
        <v>22059</v>
      </c>
      <c r="E549" s="2" t="s">
        <v>22060</v>
      </c>
      <c r="F549" s="2" t="s">
        <v>22061</v>
      </c>
      <c r="G549" s="2" t="s">
        <v>22061</v>
      </c>
      <c r="H549" s="2" t="s">
        <v>384</v>
      </c>
      <c r="I549" s="2" t="s">
        <v>73</v>
      </c>
      <c r="J549" s="2" t="s">
        <v>17461</v>
      </c>
      <c r="K549" s="2" t="s">
        <v>22059</v>
      </c>
      <c r="L549" s="2"/>
      <c r="M549" s="2"/>
      <c r="N549" s="2"/>
      <c r="O549" s="2" t="s">
        <v>384</v>
      </c>
      <c r="P549" s="2" t="s">
        <v>73</v>
      </c>
      <c r="Q549" s="2" t="s">
        <v>17461</v>
      </c>
      <c r="R549" s="2" t="s">
        <v>12786</v>
      </c>
      <c r="S549" s="2" t="s">
        <v>44</v>
      </c>
      <c r="T549" s="2"/>
      <c r="U549" s="2" t="s">
        <v>3527</v>
      </c>
      <c r="V549" s="2" t="s">
        <v>46</v>
      </c>
      <c r="W549" s="2" t="s">
        <v>3527</v>
      </c>
      <c r="X549" s="2" t="s">
        <v>10787</v>
      </c>
      <c r="Y549" s="2" t="s">
        <v>10801</v>
      </c>
      <c r="Z549" s="2" t="s">
        <v>7864</v>
      </c>
      <c r="AA549" s="2">
        <v>100</v>
      </c>
      <c r="AB549" s="2">
        <v>10</v>
      </c>
      <c r="AC549" s="2" t="s">
        <v>10789</v>
      </c>
      <c r="AD549" s="2" t="s">
        <v>22062</v>
      </c>
      <c r="AE549" s="2" t="s">
        <v>18260</v>
      </c>
      <c r="AF549" s="2"/>
      <c r="AG549" s="2" t="s">
        <v>18250</v>
      </c>
    </row>
    <row r="550" spans="1:33" x14ac:dyDescent="0.45">
      <c r="A550" s="2" t="s">
        <v>22063</v>
      </c>
      <c r="B550" s="2" t="s">
        <v>22064</v>
      </c>
      <c r="C550" s="2" t="s">
        <v>22065</v>
      </c>
      <c r="D550" s="2" t="s">
        <v>22066</v>
      </c>
      <c r="E550" s="2" t="s">
        <v>22067</v>
      </c>
      <c r="F550" s="2"/>
      <c r="G550" s="2"/>
      <c r="H550" s="2" t="s">
        <v>8647</v>
      </c>
      <c r="I550" s="2" t="s">
        <v>537</v>
      </c>
      <c r="J550" s="2" t="s">
        <v>22068</v>
      </c>
      <c r="K550" s="2" t="s">
        <v>22066</v>
      </c>
      <c r="L550" s="2"/>
      <c r="M550" s="2"/>
      <c r="N550" s="2"/>
      <c r="O550" s="2" t="s">
        <v>8647</v>
      </c>
      <c r="P550" s="2" t="s">
        <v>537</v>
      </c>
      <c r="Q550" s="2" t="s">
        <v>22068</v>
      </c>
      <c r="R550" s="2" t="s">
        <v>22069</v>
      </c>
      <c r="S550" s="2" t="s">
        <v>44</v>
      </c>
      <c r="T550" s="2"/>
      <c r="U550" s="2" t="s">
        <v>3527</v>
      </c>
      <c r="V550" s="2" t="s">
        <v>46</v>
      </c>
      <c r="W550" s="2" t="s">
        <v>3527</v>
      </c>
      <c r="X550" s="2" t="s">
        <v>10787</v>
      </c>
      <c r="Y550" s="2" t="s">
        <v>10801</v>
      </c>
      <c r="Z550" s="2" t="s">
        <v>7864</v>
      </c>
      <c r="AA550" s="2">
        <v>90</v>
      </c>
      <c r="AB550" s="2">
        <v>0</v>
      </c>
      <c r="AC550" s="2" t="s">
        <v>10789</v>
      </c>
      <c r="AD550" s="2" t="s">
        <v>22070</v>
      </c>
      <c r="AE550" s="2" t="s">
        <v>18260</v>
      </c>
      <c r="AF550" s="2"/>
      <c r="AG550" s="2" t="s">
        <v>18250</v>
      </c>
    </row>
    <row r="551" spans="1:33" x14ac:dyDescent="0.45">
      <c r="A551" s="2" t="s">
        <v>22071</v>
      </c>
      <c r="B551" s="2" t="s">
        <v>22072</v>
      </c>
      <c r="C551" s="2" t="s">
        <v>22071</v>
      </c>
      <c r="D551" s="2" t="s">
        <v>22073</v>
      </c>
      <c r="E551" s="2" t="s">
        <v>22074</v>
      </c>
      <c r="F551" s="2" t="s">
        <v>22075</v>
      </c>
      <c r="G551" s="2"/>
      <c r="H551" s="2" t="s">
        <v>384</v>
      </c>
      <c r="I551" s="2" t="s">
        <v>73</v>
      </c>
      <c r="J551" s="2" t="s">
        <v>7107</v>
      </c>
      <c r="K551" s="2" t="s">
        <v>22073</v>
      </c>
      <c r="L551" s="2"/>
      <c r="M551" s="2"/>
      <c r="N551" s="2"/>
      <c r="O551" s="2" t="s">
        <v>384</v>
      </c>
      <c r="P551" s="2" t="s">
        <v>73</v>
      </c>
      <c r="Q551" s="2" t="s">
        <v>7107</v>
      </c>
      <c r="R551" s="2" t="s">
        <v>5286</v>
      </c>
      <c r="S551" s="2" t="s">
        <v>44</v>
      </c>
      <c r="T551" s="2"/>
      <c r="U551" s="2" t="s">
        <v>3527</v>
      </c>
      <c r="V551" s="2" t="s">
        <v>46</v>
      </c>
      <c r="W551" s="2" t="s">
        <v>3527</v>
      </c>
      <c r="X551" s="2" t="s">
        <v>10787</v>
      </c>
      <c r="Y551" s="2" t="s">
        <v>10801</v>
      </c>
      <c r="Z551" s="2" t="s">
        <v>7864</v>
      </c>
      <c r="AA551" s="2">
        <v>100</v>
      </c>
      <c r="AB551" s="2">
        <v>10</v>
      </c>
      <c r="AC551" s="2" t="s">
        <v>10789</v>
      </c>
      <c r="AD551" s="2" t="s">
        <v>22076</v>
      </c>
      <c r="AE551" s="2" t="s">
        <v>18260</v>
      </c>
      <c r="AF551" s="2"/>
      <c r="AG551" s="2" t="s">
        <v>18250</v>
      </c>
    </row>
    <row r="552" spans="1:33" x14ac:dyDescent="0.45">
      <c r="A552" s="2" t="s">
        <v>22077</v>
      </c>
      <c r="B552" s="2" t="s">
        <v>22078</v>
      </c>
      <c r="C552" s="2" t="s">
        <v>22077</v>
      </c>
      <c r="D552" s="2" t="s">
        <v>22079</v>
      </c>
      <c r="E552" s="2" t="s">
        <v>22080</v>
      </c>
      <c r="F552" s="2" t="s">
        <v>22081</v>
      </c>
      <c r="G552" s="2"/>
      <c r="H552" s="2" t="s">
        <v>85</v>
      </c>
      <c r="I552" s="2" t="s">
        <v>86</v>
      </c>
      <c r="J552" s="2" t="s">
        <v>1376</v>
      </c>
      <c r="K552" s="2"/>
      <c r="L552" s="2"/>
      <c r="M552" s="2"/>
      <c r="N552" s="2"/>
      <c r="O552" s="2"/>
      <c r="P552" s="2"/>
      <c r="Q552" s="2"/>
      <c r="R552" s="2" t="s">
        <v>1082</v>
      </c>
      <c r="S552" s="2" t="s">
        <v>44</v>
      </c>
      <c r="T552" s="2"/>
      <c r="U552" s="2" t="s">
        <v>3527</v>
      </c>
      <c r="V552" s="2" t="s">
        <v>46</v>
      </c>
      <c r="W552" s="2" t="s">
        <v>3527</v>
      </c>
      <c r="X552" s="2" t="s">
        <v>10787</v>
      </c>
      <c r="Y552" s="2" t="s">
        <v>10801</v>
      </c>
      <c r="Z552" s="2" t="s">
        <v>7864</v>
      </c>
      <c r="AA552" s="2">
        <v>100</v>
      </c>
      <c r="AB552" s="2">
        <v>10</v>
      </c>
      <c r="AC552" s="2" t="s">
        <v>10789</v>
      </c>
      <c r="AD552" s="2" t="s">
        <v>22082</v>
      </c>
      <c r="AE552" s="2" t="s">
        <v>18260</v>
      </c>
      <c r="AF552" s="2"/>
      <c r="AG552" s="2" t="s">
        <v>18250</v>
      </c>
    </row>
    <row r="553" spans="1:33" x14ac:dyDescent="0.45">
      <c r="A553" s="2" t="s">
        <v>22083</v>
      </c>
      <c r="B553" s="2" t="s">
        <v>22084</v>
      </c>
      <c r="C553" s="2" t="s">
        <v>22083</v>
      </c>
      <c r="D553" s="2" t="s">
        <v>22085</v>
      </c>
      <c r="E553" s="2" t="s">
        <v>22086</v>
      </c>
      <c r="F553" s="2"/>
      <c r="G553" s="2"/>
      <c r="H553" s="2" t="s">
        <v>174</v>
      </c>
      <c r="I553" s="2" t="s">
        <v>175</v>
      </c>
      <c r="J553" s="2" t="s">
        <v>22087</v>
      </c>
      <c r="K553" s="2" t="s">
        <v>22085</v>
      </c>
      <c r="L553" s="2"/>
      <c r="M553" s="2"/>
      <c r="N553" s="2"/>
      <c r="O553" s="2" t="s">
        <v>174</v>
      </c>
      <c r="P553" s="2" t="s">
        <v>175</v>
      </c>
      <c r="Q553" s="2" t="s">
        <v>22087</v>
      </c>
      <c r="R553" s="2" t="s">
        <v>9359</v>
      </c>
      <c r="S553" s="2" t="s">
        <v>44</v>
      </c>
      <c r="T553" s="2"/>
      <c r="U553" s="2" t="s">
        <v>3527</v>
      </c>
      <c r="V553" s="2" t="s">
        <v>46</v>
      </c>
      <c r="W553" s="2" t="s">
        <v>3527</v>
      </c>
      <c r="X553" s="2" t="s">
        <v>10787</v>
      </c>
      <c r="Y553" s="2" t="s">
        <v>10801</v>
      </c>
      <c r="Z553" s="2" t="s">
        <v>7864</v>
      </c>
      <c r="AA553" s="2">
        <v>90</v>
      </c>
      <c r="AB553" s="2">
        <v>0</v>
      </c>
      <c r="AC553" s="2" t="s">
        <v>10789</v>
      </c>
      <c r="AD553" s="2" t="s">
        <v>22088</v>
      </c>
      <c r="AE553" s="2" t="s">
        <v>18260</v>
      </c>
      <c r="AF553" s="2"/>
      <c r="AG553" s="2" t="s">
        <v>18250</v>
      </c>
    </row>
    <row r="554" spans="1:33" x14ac:dyDescent="0.45">
      <c r="A554" s="2" t="s">
        <v>22089</v>
      </c>
      <c r="B554" s="2" t="s">
        <v>22090</v>
      </c>
      <c r="C554" s="2" t="s">
        <v>22091</v>
      </c>
      <c r="D554" s="2" t="s">
        <v>22092</v>
      </c>
      <c r="E554" s="2" t="s">
        <v>22093</v>
      </c>
      <c r="F554" s="2"/>
      <c r="G554" s="2"/>
      <c r="H554" s="2" t="s">
        <v>6051</v>
      </c>
      <c r="I554" s="2" t="s">
        <v>6051</v>
      </c>
      <c r="J554" s="2" t="s">
        <v>6052</v>
      </c>
      <c r="K554" s="2" t="s">
        <v>22092</v>
      </c>
      <c r="L554" s="2"/>
      <c r="M554" s="2"/>
      <c r="N554" s="2"/>
      <c r="O554" s="2" t="s">
        <v>6051</v>
      </c>
      <c r="P554" s="2" t="s">
        <v>6051</v>
      </c>
      <c r="Q554" s="2" t="s">
        <v>6052</v>
      </c>
      <c r="R554" s="2" t="s">
        <v>22094</v>
      </c>
      <c r="S554" s="2" t="s">
        <v>44</v>
      </c>
      <c r="T554" s="2"/>
      <c r="U554" s="2" t="s">
        <v>3527</v>
      </c>
      <c r="V554" s="2" t="s">
        <v>46</v>
      </c>
      <c r="W554" s="2" t="s">
        <v>3527</v>
      </c>
      <c r="X554" s="2" t="s">
        <v>10787</v>
      </c>
      <c r="Y554" s="2" t="s">
        <v>10801</v>
      </c>
      <c r="Z554" s="2" t="s">
        <v>7864</v>
      </c>
      <c r="AA554" s="2">
        <v>90</v>
      </c>
      <c r="AB554" s="2">
        <v>0</v>
      </c>
      <c r="AC554" s="2" t="s">
        <v>10789</v>
      </c>
      <c r="AD554" s="2" t="s">
        <v>22095</v>
      </c>
      <c r="AE554" s="2" t="s">
        <v>18260</v>
      </c>
      <c r="AF554" s="2"/>
      <c r="AG554" s="2" t="s">
        <v>18250</v>
      </c>
    </row>
    <row r="555" spans="1:33" x14ac:dyDescent="0.45">
      <c r="A555" s="2" t="s">
        <v>22096</v>
      </c>
      <c r="B555" s="2" t="s">
        <v>22097</v>
      </c>
      <c r="C555" s="2" t="s">
        <v>22098</v>
      </c>
      <c r="D555" s="2" t="s">
        <v>22099</v>
      </c>
      <c r="E555" s="2" t="s">
        <v>22100</v>
      </c>
      <c r="F555" s="2"/>
      <c r="G555" s="2"/>
      <c r="H555" s="2" t="s">
        <v>72</v>
      </c>
      <c r="I555" s="2" t="s">
        <v>73</v>
      </c>
      <c r="J555" s="2" t="s">
        <v>3571</v>
      </c>
      <c r="K555" s="2" t="s">
        <v>22099</v>
      </c>
      <c r="L555" s="2"/>
      <c r="M555" s="2"/>
      <c r="N555" s="2"/>
      <c r="O555" s="2" t="s">
        <v>72</v>
      </c>
      <c r="P555" s="2" t="s">
        <v>73</v>
      </c>
      <c r="Q555" s="2" t="s">
        <v>3571</v>
      </c>
      <c r="R555" s="2" t="s">
        <v>22101</v>
      </c>
      <c r="S555" s="2" t="s">
        <v>44</v>
      </c>
      <c r="T555" s="2"/>
      <c r="U555" s="2" t="s">
        <v>821</v>
      </c>
      <c r="V555" s="2" t="s">
        <v>46</v>
      </c>
      <c r="W555" s="2" t="s">
        <v>821</v>
      </c>
      <c r="X555" s="2" t="s">
        <v>10787</v>
      </c>
      <c r="Y555" s="2" t="s">
        <v>10801</v>
      </c>
      <c r="Z555" s="2" t="s">
        <v>7864</v>
      </c>
      <c r="AA555" s="2">
        <v>90</v>
      </c>
      <c r="AB555" s="2">
        <v>7</v>
      </c>
      <c r="AC555" s="2" t="s">
        <v>10789</v>
      </c>
      <c r="AD555" s="2" t="s">
        <v>22102</v>
      </c>
      <c r="AE555" s="2" t="s">
        <v>18260</v>
      </c>
      <c r="AF555" s="2"/>
      <c r="AG555" s="2" t="s">
        <v>18250</v>
      </c>
    </row>
    <row r="556" spans="1:33" x14ac:dyDescent="0.45">
      <c r="A556" s="2" t="s">
        <v>22103</v>
      </c>
      <c r="B556" s="2" t="s">
        <v>22104</v>
      </c>
      <c r="C556" s="2" t="s">
        <v>22103</v>
      </c>
      <c r="D556" s="2" t="s">
        <v>22105</v>
      </c>
      <c r="E556" s="2" t="s">
        <v>22106</v>
      </c>
      <c r="F556" s="2"/>
      <c r="G556" s="2"/>
      <c r="H556" s="2" t="s">
        <v>72</v>
      </c>
      <c r="I556" s="2" t="s">
        <v>73</v>
      </c>
      <c r="J556" s="2" t="s">
        <v>3571</v>
      </c>
      <c r="K556" s="2" t="s">
        <v>22105</v>
      </c>
      <c r="L556" s="2"/>
      <c r="M556" s="2"/>
      <c r="N556" s="2"/>
      <c r="O556" s="2" t="s">
        <v>72</v>
      </c>
      <c r="P556" s="2" t="s">
        <v>73</v>
      </c>
      <c r="Q556" s="2" t="s">
        <v>3571</v>
      </c>
      <c r="R556" s="2" t="s">
        <v>1838</v>
      </c>
      <c r="S556" s="2" t="s">
        <v>44</v>
      </c>
      <c r="T556" s="2"/>
      <c r="U556" s="2" t="s">
        <v>821</v>
      </c>
      <c r="V556" s="2" t="s">
        <v>46</v>
      </c>
      <c r="W556" s="2" t="s">
        <v>821</v>
      </c>
      <c r="X556" s="2" t="s">
        <v>12462</v>
      </c>
      <c r="Y556" s="2" t="s">
        <v>10801</v>
      </c>
      <c r="Z556" s="2" t="s">
        <v>7864</v>
      </c>
      <c r="AA556" s="2">
        <v>90</v>
      </c>
      <c r="AB556" s="2">
        <v>7</v>
      </c>
      <c r="AC556" s="2" t="s">
        <v>10789</v>
      </c>
      <c r="AD556" s="2" t="s">
        <v>22107</v>
      </c>
      <c r="AE556" s="2" t="s">
        <v>18260</v>
      </c>
      <c r="AF556" s="2"/>
      <c r="AG556" s="2" t="s">
        <v>18250</v>
      </c>
    </row>
    <row r="557" spans="1:33" x14ac:dyDescent="0.45">
      <c r="A557" s="2" t="s">
        <v>22108</v>
      </c>
      <c r="B557" s="2" t="s">
        <v>22109</v>
      </c>
      <c r="C557" s="2" t="s">
        <v>22108</v>
      </c>
      <c r="D557" s="2" t="s">
        <v>22110</v>
      </c>
      <c r="E557" s="2" t="s">
        <v>22111</v>
      </c>
      <c r="F557" s="2" t="s">
        <v>22112</v>
      </c>
      <c r="G557" s="2"/>
      <c r="H557" s="2" t="s">
        <v>59</v>
      </c>
      <c r="I557" s="2" t="s">
        <v>60</v>
      </c>
      <c r="J557" s="2" t="s">
        <v>5603</v>
      </c>
      <c r="K557" s="2"/>
      <c r="L557" s="2"/>
      <c r="M557" s="2"/>
      <c r="N557" s="2"/>
      <c r="O557" s="2"/>
      <c r="P557" s="2"/>
      <c r="Q557" s="2"/>
      <c r="R557" s="2" t="s">
        <v>22113</v>
      </c>
      <c r="S557" s="2" t="s">
        <v>44</v>
      </c>
      <c r="T557" s="2"/>
      <c r="U557" s="2" t="s">
        <v>3527</v>
      </c>
      <c r="V557" s="2" t="s">
        <v>46</v>
      </c>
      <c r="W557" s="2" t="s">
        <v>3527</v>
      </c>
      <c r="X557" s="2" t="s">
        <v>10787</v>
      </c>
      <c r="Y557" s="2" t="s">
        <v>10801</v>
      </c>
      <c r="Z557" s="2" t="s">
        <v>7864</v>
      </c>
      <c r="AA557" s="2">
        <v>100</v>
      </c>
      <c r="AB557" s="2">
        <v>10</v>
      </c>
      <c r="AC557" s="2" t="s">
        <v>10789</v>
      </c>
      <c r="AD557" s="2" t="s">
        <v>22114</v>
      </c>
      <c r="AE557" s="2" t="s">
        <v>18260</v>
      </c>
      <c r="AF557" s="2"/>
      <c r="AG557" s="2" t="s">
        <v>18250</v>
      </c>
    </row>
    <row r="558" spans="1:33" x14ac:dyDescent="0.45">
      <c r="A558" s="2" t="s">
        <v>22115</v>
      </c>
      <c r="B558" s="2" t="s">
        <v>22116</v>
      </c>
      <c r="C558" s="2" t="s">
        <v>22117</v>
      </c>
      <c r="D558" s="2" t="s">
        <v>22118</v>
      </c>
      <c r="E558" s="2" t="s">
        <v>22119</v>
      </c>
      <c r="F558" s="2" t="s">
        <v>22120</v>
      </c>
      <c r="G558" s="2"/>
      <c r="H558" s="2" t="s">
        <v>1023</v>
      </c>
      <c r="I558" s="2" t="s">
        <v>73</v>
      </c>
      <c r="J558" s="2" t="s">
        <v>1808</v>
      </c>
      <c r="K558" s="2"/>
      <c r="L558" s="2"/>
      <c r="M558" s="2"/>
      <c r="N558" s="2"/>
      <c r="O558" s="2"/>
      <c r="P558" s="2"/>
      <c r="Q558" s="2"/>
      <c r="R558" s="2" t="s">
        <v>10117</v>
      </c>
      <c r="S558" s="2" t="s">
        <v>44</v>
      </c>
      <c r="T558" s="2"/>
      <c r="U558" s="2" t="s">
        <v>3527</v>
      </c>
      <c r="V558" s="2" t="s">
        <v>46</v>
      </c>
      <c r="W558" s="2" t="s">
        <v>3527</v>
      </c>
      <c r="X558" s="2" t="s">
        <v>11537</v>
      </c>
      <c r="Y558" s="2" t="s">
        <v>10801</v>
      </c>
      <c r="Z558" s="2" t="s">
        <v>7864</v>
      </c>
      <c r="AA558" s="2">
        <v>100</v>
      </c>
      <c r="AB558" s="2">
        <v>10</v>
      </c>
      <c r="AC558" s="2" t="s">
        <v>10789</v>
      </c>
      <c r="AD558" s="2" t="s">
        <v>22121</v>
      </c>
      <c r="AE558" s="2" t="s">
        <v>18260</v>
      </c>
      <c r="AF558" s="2"/>
      <c r="AG558" s="2" t="s">
        <v>18250</v>
      </c>
    </row>
    <row r="559" spans="1:33" x14ac:dyDescent="0.45">
      <c r="A559" s="2" t="s">
        <v>22122</v>
      </c>
      <c r="B559" s="2" t="s">
        <v>22123</v>
      </c>
      <c r="C559" s="2" t="s">
        <v>22124</v>
      </c>
      <c r="D559" s="2" t="s">
        <v>22125</v>
      </c>
      <c r="E559" s="2" t="s">
        <v>22126</v>
      </c>
      <c r="F559" s="2"/>
      <c r="G559" s="2"/>
      <c r="H559" s="2" t="s">
        <v>12804</v>
      </c>
      <c r="I559" s="2" t="s">
        <v>221</v>
      </c>
      <c r="J559" s="2" t="s">
        <v>22127</v>
      </c>
      <c r="K559" s="2" t="s">
        <v>22125</v>
      </c>
      <c r="L559" s="2"/>
      <c r="M559" s="2"/>
      <c r="N559" s="2"/>
      <c r="O559" s="2" t="s">
        <v>12804</v>
      </c>
      <c r="P559" s="2" t="s">
        <v>221</v>
      </c>
      <c r="Q559" s="2" t="s">
        <v>22127</v>
      </c>
      <c r="R559" s="2" t="s">
        <v>12608</v>
      </c>
      <c r="S559" s="2" t="s">
        <v>44</v>
      </c>
      <c r="T559" s="2"/>
      <c r="U559" s="2" t="s">
        <v>3527</v>
      </c>
      <c r="V559" s="2" t="s">
        <v>46</v>
      </c>
      <c r="W559" s="2" t="s">
        <v>3527</v>
      </c>
      <c r="X559" s="2" t="s">
        <v>10787</v>
      </c>
      <c r="Y559" s="2" t="s">
        <v>10801</v>
      </c>
      <c r="Z559" s="2" t="s">
        <v>7864</v>
      </c>
      <c r="AA559" s="2">
        <v>90</v>
      </c>
      <c r="AB559" s="2">
        <v>0</v>
      </c>
      <c r="AC559" s="2" t="s">
        <v>10789</v>
      </c>
      <c r="AD559" s="2" t="s">
        <v>22128</v>
      </c>
      <c r="AE559" s="2" t="s">
        <v>18260</v>
      </c>
      <c r="AF559" s="2"/>
      <c r="AG559" s="2" t="s">
        <v>18250</v>
      </c>
    </row>
    <row r="560" spans="1:33" x14ac:dyDescent="0.45">
      <c r="A560" s="2" t="s">
        <v>22129</v>
      </c>
      <c r="B560" s="2" t="s">
        <v>22130</v>
      </c>
      <c r="C560" s="2" t="s">
        <v>22129</v>
      </c>
      <c r="D560" s="2" t="s">
        <v>22131</v>
      </c>
      <c r="E560" s="2" t="s">
        <v>22132</v>
      </c>
      <c r="F560" s="2" t="s">
        <v>22133</v>
      </c>
      <c r="G560" s="2"/>
      <c r="H560" s="2" t="s">
        <v>312</v>
      </c>
      <c r="I560" s="2" t="s">
        <v>313</v>
      </c>
      <c r="J560" s="2" t="s">
        <v>22134</v>
      </c>
      <c r="K560" s="2" t="s">
        <v>22131</v>
      </c>
      <c r="L560" s="2"/>
      <c r="M560" s="2"/>
      <c r="N560" s="2"/>
      <c r="O560" s="2" t="s">
        <v>312</v>
      </c>
      <c r="P560" s="2" t="s">
        <v>313</v>
      </c>
      <c r="Q560" s="2" t="s">
        <v>22134</v>
      </c>
      <c r="R560" s="2" t="s">
        <v>14542</v>
      </c>
      <c r="S560" s="2" t="s">
        <v>44</v>
      </c>
      <c r="T560" s="2"/>
      <c r="U560" s="2" t="s">
        <v>3527</v>
      </c>
      <c r="V560" s="2" t="s">
        <v>46</v>
      </c>
      <c r="W560" s="2" t="s">
        <v>3527</v>
      </c>
      <c r="X560" s="2" t="s">
        <v>10787</v>
      </c>
      <c r="Y560" s="2" t="s">
        <v>10801</v>
      </c>
      <c r="Z560" s="2" t="s">
        <v>7864</v>
      </c>
      <c r="AA560" s="2">
        <v>100</v>
      </c>
      <c r="AB560" s="2">
        <v>10</v>
      </c>
      <c r="AC560" s="2" t="s">
        <v>10789</v>
      </c>
      <c r="AD560" s="2" t="s">
        <v>22135</v>
      </c>
      <c r="AE560" s="2" t="s">
        <v>18260</v>
      </c>
      <c r="AF560" s="2"/>
      <c r="AG560" s="2" t="s">
        <v>18250</v>
      </c>
    </row>
    <row r="561" spans="1:33" x14ac:dyDescent="0.45">
      <c r="A561" s="2" t="s">
        <v>22136</v>
      </c>
      <c r="B561" s="2" t="s">
        <v>22137</v>
      </c>
      <c r="C561" s="2" t="s">
        <v>22138</v>
      </c>
      <c r="D561" s="2" t="s">
        <v>22139</v>
      </c>
      <c r="E561" s="2" t="s">
        <v>22140</v>
      </c>
      <c r="F561" s="2" t="s">
        <v>22141</v>
      </c>
      <c r="G561" s="2" t="s">
        <v>22141</v>
      </c>
      <c r="H561" s="2" t="s">
        <v>22142</v>
      </c>
      <c r="I561" s="2" t="s">
        <v>1209</v>
      </c>
      <c r="J561" s="2" t="s">
        <v>22143</v>
      </c>
      <c r="K561" s="2" t="s">
        <v>22139</v>
      </c>
      <c r="L561" s="2"/>
      <c r="M561" s="2"/>
      <c r="N561" s="2"/>
      <c r="O561" s="2" t="s">
        <v>22142</v>
      </c>
      <c r="P561" s="2" t="s">
        <v>1209</v>
      </c>
      <c r="Q561" s="2" t="s">
        <v>22143</v>
      </c>
      <c r="R561" s="2" t="s">
        <v>7581</v>
      </c>
      <c r="S561" s="2" t="s">
        <v>44</v>
      </c>
      <c r="T561" s="2"/>
      <c r="U561" s="2" t="s">
        <v>821</v>
      </c>
      <c r="V561" s="2" t="s">
        <v>46</v>
      </c>
      <c r="W561" s="2" t="s">
        <v>821</v>
      </c>
      <c r="X561" s="2" t="s">
        <v>10787</v>
      </c>
      <c r="Y561" s="2" t="s">
        <v>10801</v>
      </c>
      <c r="Z561" s="2" t="s">
        <v>7864</v>
      </c>
      <c r="AA561" s="2">
        <v>100</v>
      </c>
      <c r="AB561" s="2">
        <v>12</v>
      </c>
      <c r="AC561" s="2" t="s">
        <v>10789</v>
      </c>
      <c r="AD561" s="2" t="s">
        <v>22144</v>
      </c>
      <c r="AE561" s="2" t="s">
        <v>18260</v>
      </c>
      <c r="AF561" s="2"/>
      <c r="AG561" s="2" t="s">
        <v>18250</v>
      </c>
    </row>
    <row r="562" spans="1:33" x14ac:dyDescent="0.45">
      <c r="A562" s="2" t="s">
        <v>22145</v>
      </c>
      <c r="B562" s="2" t="s">
        <v>22146</v>
      </c>
      <c r="C562" s="2" t="s">
        <v>22145</v>
      </c>
      <c r="D562" s="2" t="s">
        <v>22147</v>
      </c>
      <c r="E562" s="2" t="s">
        <v>22148</v>
      </c>
      <c r="F562" s="2" t="s">
        <v>22149</v>
      </c>
      <c r="G562" s="2" t="s">
        <v>22149</v>
      </c>
      <c r="H562" s="2" t="s">
        <v>12989</v>
      </c>
      <c r="I562" s="2" t="s">
        <v>313</v>
      </c>
      <c r="J562" s="2" t="s">
        <v>12990</v>
      </c>
      <c r="K562" s="2"/>
      <c r="L562" s="2"/>
      <c r="M562" s="2"/>
      <c r="N562" s="2"/>
      <c r="O562" s="2"/>
      <c r="P562" s="2"/>
      <c r="Q562" s="2"/>
      <c r="R562" s="2" t="s">
        <v>18248</v>
      </c>
      <c r="S562" s="2" t="s">
        <v>44</v>
      </c>
      <c r="T562" s="2"/>
      <c r="U562" s="2" t="s">
        <v>3527</v>
      </c>
      <c r="V562" s="2" t="s">
        <v>46</v>
      </c>
      <c r="W562" s="2" t="s">
        <v>3527</v>
      </c>
      <c r="X562" s="2" t="s">
        <v>10787</v>
      </c>
      <c r="Y562" s="2" t="s">
        <v>10801</v>
      </c>
      <c r="Z562" s="2" t="s">
        <v>7864</v>
      </c>
      <c r="AA562" s="2">
        <v>100</v>
      </c>
      <c r="AB562" s="2">
        <v>5</v>
      </c>
      <c r="AC562" s="2" t="s">
        <v>10789</v>
      </c>
      <c r="AD562" s="2" t="s">
        <v>22150</v>
      </c>
      <c r="AE562" s="2" t="s">
        <v>18260</v>
      </c>
      <c r="AF562" s="2"/>
      <c r="AG562" s="2" t="s">
        <v>18250</v>
      </c>
    </row>
    <row r="563" spans="1:33" x14ac:dyDescent="0.45">
      <c r="A563" s="2" t="s">
        <v>22151</v>
      </c>
      <c r="B563" s="2" t="s">
        <v>22152</v>
      </c>
      <c r="C563" s="2" t="s">
        <v>22153</v>
      </c>
      <c r="D563" s="2" t="s">
        <v>22154</v>
      </c>
      <c r="E563" s="2" t="s">
        <v>22155</v>
      </c>
      <c r="F563" s="2" t="s">
        <v>22156</v>
      </c>
      <c r="G563" s="2"/>
      <c r="H563" s="2" t="s">
        <v>8369</v>
      </c>
      <c r="I563" s="2" t="s">
        <v>1112</v>
      </c>
      <c r="J563" s="2" t="s">
        <v>18340</v>
      </c>
      <c r="K563" s="2" t="s">
        <v>22154</v>
      </c>
      <c r="L563" s="2"/>
      <c r="M563" s="2"/>
      <c r="N563" s="2"/>
      <c r="O563" s="2" t="s">
        <v>8369</v>
      </c>
      <c r="P563" s="2" t="s">
        <v>1112</v>
      </c>
      <c r="Q563" s="2" t="s">
        <v>18340</v>
      </c>
      <c r="R563" s="2" t="s">
        <v>22157</v>
      </c>
      <c r="S563" s="2" t="s">
        <v>44</v>
      </c>
      <c r="T563" s="2"/>
      <c r="U563" s="2" t="s">
        <v>821</v>
      </c>
      <c r="V563" s="2" t="s">
        <v>46</v>
      </c>
      <c r="W563" s="2" t="s">
        <v>821</v>
      </c>
      <c r="X563" s="2" t="s">
        <v>11537</v>
      </c>
      <c r="Y563" s="2" t="s">
        <v>10801</v>
      </c>
      <c r="Z563" s="2" t="s">
        <v>7864</v>
      </c>
      <c r="AA563" s="2">
        <v>100</v>
      </c>
      <c r="AB563" s="2">
        <v>12</v>
      </c>
      <c r="AC563" s="2" t="s">
        <v>10789</v>
      </c>
      <c r="AD563" s="2" t="s">
        <v>22158</v>
      </c>
      <c r="AE563" s="2" t="s">
        <v>18260</v>
      </c>
      <c r="AF563" s="2"/>
      <c r="AG563" s="2" t="s">
        <v>18250</v>
      </c>
    </row>
    <row r="564" spans="1:33" x14ac:dyDescent="0.45">
      <c r="A564" s="2" t="s">
        <v>22159</v>
      </c>
      <c r="B564" s="2" t="s">
        <v>22160</v>
      </c>
      <c r="C564" s="2" t="s">
        <v>22159</v>
      </c>
      <c r="D564" s="2" t="s">
        <v>22161</v>
      </c>
      <c r="E564" s="2" t="s">
        <v>22162</v>
      </c>
      <c r="F564" s="2" t="s">
        <v>22163</v>
      </c>
      <c r="G564" s="2"/>
      <c r="H564" s="2" t="s">
        <v>16966</v>
      </c>
      <c r="I564" s="2" t="s">
        <v>221</v>
      </c>
      <c r="J564" s="2" t="s">
        <v>22164</v>
      </c>
      <c r="K564" s="2" t="s">
        <v>22165</v>
      </c>
      <c r="L564" s="2"/>
      <c r="M564" s="2"/>
      <c r="N564" s="2"/>
      <c r="O564" s="2" t="s">
        <v>16966</v>
      </c>
      <c r="P564" s="2" t="s">
        <v>221</v>
      </c>
      <c r="Q564" s="2" t="s">
        <v>22164</v>
      </c>
      <c r="R564" s="2" t="s">
        <v>5286</v>
      </c>
      <c r="S564" s="2" t="s">
        <v>44</v>
      </c>
      <c r="T564" s="2"/>
      <c r="U564" s="2" t="s">
        <v>3527</v>
      </c>
      <c r="V564" s="2" t="s">
        <v>46</v>
      </c>
      <c r="W564" s="2" t="s">
        <v>3527</v>
      </c>
      <c r="X564" s="2" t="s">
        <v>10787</v>
      </c>
      <c r="Y564" s="2" t="s">
        <v>10801</v>
      </c>
      <c r="Z564" s="2" t="s">
        <v>7864</v>
      </c>
      <c r="AA564" s="2">
        <v>100</v>
      </c>
      <c r="AB564" s="2">
        <v>5</v>
      </c>
      <c r="AC564" s="2" t="s">
        <v>10789</v>
      </c>
      <c r="AD564" s="2" t="s">
        <v>22166</v>
      </c>
      <c r="AE564" s="2" t="s">
        <v>18260</v>
      </c>
      <c r="AF564" s="2"/>
      <c r="AG564" s="2" t="s">
        <v>18250</v>
      </c>
    </row>
    <row r="565" spans="1:33" x14ac:dyDescent="0.45">
      <c r="A565" s="2" t="s">
        <v>3406</v>
      </c>
      <c r="B565" s="2" t="s">
        <v>22167</v>
      </c>
      <c r="C565" s="2" t="s">
        <v>3406</v>
      </c>
      <c r="D565" s="2" t="s">
        <v>22168</v>
      </c>
      <c r="E565" s="2" t="s">
        <v>22169</v>
      </c>
      <c r="F565" s="2"/>
      <c r="G565" s="2"/>
      <c r="H565" s="2" t="s">
        <v>85</v>
      </c>
      <c r="I565" s="2" t="s">
        <v>86</v>
      </c>
      <c r="J565" s="2" t="s">
        <v>982</v>
      </c>
      <c r="K565" s="2" t="s">
        <v>22168</v>
      </c>
      <c r="L565" s="2"/>
      <c r="M565" s="2"/>
      <c r="N565" s="2"/>
      <c r="O565" s="2" t="s">
        <v>85</v>
      </c>
      <c r="P565" s="2" t="s">
        <v>86</v>
      </c>
      <c r="Q565" s="2" t="s">
        <v>982</v>
      </c>
      <c r="R565" s="2" t="s">
        <v>9955</v>
      </c>
      <c r="S565" s="2" t="s">
        <v>44</v>
      </c>
      <c r="T565" s="2"/>
      <c r="U565" s="2" t="s">
        <v>3527</v>
      </c>
      <c r="V565" s="2" t="s">
        <v>46</v>
      </c>
      <c r="W565" s="2" t="s">
        <v>3527</v>
      </c>
      <c r="X565" s="2" t="s">
        <v>10787</v>
      </c>
      <c r="Y565" s="2" t="s">
        <v>10801</v>
      </c>
      <c r="Z565" s="2" t="s">
        <v>7864</v>
      </c>
      <c r="AA565" s="2">
        <v>90</v>
      </c>
      <c r="AB565" s="2">
        <v>0</v>
      </c>
      <c r="AC565" s="2" t="s">
        <v>10789</v>
      </c>
      <c r="AD565" s="2" t="s">
        <v>22170</v>
      </c>
      <c r="AE565" s="2" t="s">
        <v>18260</v>
      </c>
      <c r="AF565" s="2"/>
      <c r="AG565" s="2" t="s">
        <v>18250</v>
      </c>
    </row>
    <row r="566" spans="1:33" x14ac:dyDescent="0.45">
      <c r="A566" s="2" t="s">
        <v>22171</v>
      </c>
      <c r="B566" s="2" t="s">
        <v>22172</v>
      </c>
      <c r="C566" s="2" t="s">
        <v>22171</v>
      </c>
      <c r="D566" s="2" t="s">
        <v>22173</v>
      </c>
      <c r="E566" s="2" t="s">
        <v>22174</v>
      </c>
      <c r="F566" s="2"/>
      <c r="G566" s="2"/>
      <c r="H566" s="2" t="s">
        <v>312</v>
      </c>
      <c r="I566" s="2" t="s">
        <v>313</v>
      </c>
      <c r="J566" s="2" t="s">
        <v>7647</v>
      </c>
      <c r="K566" s="2" t="s">
        <v>22173</v>
      </c>
      <c r="L566" s="2"/>
      <c r="M566" s="2"/>
      <c r="N566" s="2"/>
      <c r="O566" s="2" t="s">
        <v>312</v>
      </c>
      <c r="P566" s="2" t="s">
        <v>313</v>
      </c>
      <c r="Q566" s="2" t="s">
        <v>7647</v>
      </c>
      <c r="R566" s="2" t="s">
        <v>580</v>
      </c>
      <c r="S566" s="2" t="s">
        <v>44</v>
      </c>
      <c r="T566" s="2"/>
      <c r="U566" s="2" t="s">
        <v>3527</v>
      </c>
      <c r="V566" s="2" t="s">
        <v>46</v>
      </c>
      <c r="W566" s="2" t="s">
        <v>3527</v>
      </c>
      <c r="X566" s="2" t="s">
        <v>10787</v>
      </c>
      <c r="Y566" s="2" t="s">
        <v>10801</v>
      </c>
      <c r="Z566" s="2" t="s">
        <v>7864</v>
      </c>
      <c r="AA566" s="2">
        <v>90</v>
      </c>
      <c r="AB566" s="2">
        <v>0</v>
      </c>
      <c r="AC566" s="2" t="s">
        <v>10789</v>
      </c>
      <c r="AD566" s="2" t="s">
        <v>22175</v>
      </c>
      <c r="AE566" s="2" t="s">
        <v>18260</v>
      </c>
      <c r="AF566" s="2"/>
      <c r="AG566" s="2" t="s">
        <v>18250</v>
      </c>
    </row>
    <row r="567" spans="1:33" x14ac:dyDescent="0.45">
      <c r="A567" s="2" t="s">
        <v>22176</v>
      </c>
      <c r="B567" s="2" t="s">
        <v>22177</v>
      </c>
      <c r="C567" s="2" t="s">
        <v>22178</v>
      </c>
      <c r="D567" s="2" t="s">
        <v>22179</v>
      </c>
      <c r="E567" s="2" t="s">
        <v>22180</v>
      </c>
      <c r="F567" s="2" t="s">
        <v>22181</v>
      </c>
      <c r="G567" s="2"/>
      <c r="H567" s="2" t="s">
        <v>72</v>
      </c>
      <c r="I567" s="2" t="s">
        <v>73</v>
      </c>
      <c r="J567" s="2" t="s">
        <v>9973</v>
      </c>
      <c r="K567" s="2"/>
      <c r="L567" s="2"/>
      <c r="M567" s="2"/>
      <c r="N567" s="2"/>
      <c r="O567" s="2"/>
      <c r="P567" s="2"/>
      <c r="Q567" s="2"/>
      <c r="R567" s="2" t="s">
        <v>1285</v>
      </c>
      <c r="S567" s="2" t="s">
        <v>44</v>
      </c>
      <c r="T567" s="2"/>
      <c r="U567" s="2" t="s">
        <v>3527</v>
      </c>
      <c r="V567" s="2" t="s">
        <v>46</v>
      </c>
      <c r="W567" s="2" t="s">
        <v>3527</v>
      </c>
      <c r="X567" s="2" t="s">
        <v>11537</v>
      </c>
      <c r="Y567" s="2" t="s">
        <v>10801</v>
      </c>
      <c r="Z567" s="2" t="s">
        <v>7864</v>
      </c>
      <c r="AA567" s="2">
        <v>100</v>
      </c>
      <c r="AB567" s="2">
        <v>10</v>
      </c>
      <c r="AC567" s="2" t="s">
        <v>10789</v>
      </c>
      <c r="AD567" s="2" t="s">
        <v>22182</v>
      </c>
      <c r="AE567" s="2" t="s">
        <v>18260</v>
      </c>
      <c r="AF567" s="2"/>
      <c r="AG567" s="2" t="s">
        <v>18250</v>
      </c>
    </row>
    <row r="568" spans="1:33" x14ac:dyDescent="0.45">
      <c r="A568" s="2" t="s">
        <v>22183</v>
      </c>
      <c r="B568" s="2" t="s">
        <v>22184</v>
      </c>
      <c r="C568" s="2" t="s">
        <v>22185</v>
      </c>
      <c r="D568" s="2" t="s">
        <v>22186</v>
      </c>
      <c r="E568" s="2" t="s">
        <v>22187</v>
      </c>
      <c r="F568" s="2"/>
      <c r="G568" s="2"/>
      <c r="H568" s="2" t="s">
        <v>277</v>
      </c>
      <c r="I568" s="2" t="s">
        <v>278</v>
      </c>
      <c r="J568" s="2" t="s">
        <v>1058</v>
      </c>
      <c r="K568" s="2"/>
      <c r="L568" s="2"/>
      <c r="M568" s="2"/>
      <c r="N568" s="2"/>
      <c r="O568" s="2"/>
      <c r="P568" s="2"/>
      <c r="Q568" s="2"/>
      <c r="R568" s="2" t="s">
        <v>22188</v>
      </c>
      <c r="S568" s="2" t="s">
        <v>44</v>
      </c>
      <c r="T568" s="2"/>
      <c r="U568" s="2" t="s">
        <v>3527</v>
      </c>
      <c r="V568" s="2" t="s">
        <v>46</v>
      </c>
      <c r="W568" s="2" t="s">
        <v>3527</v>
      </c>
      <c r="X568" s="2" t="s">
        <v>10787</v>
      </c>
      <c r="Y568" s="2" t="s">
        <v>10801</v>
      </c>
      <c r="Z568" s="2" t="s">
        <v>7864</v>
      </c>
      <c r="AA568" s="2">
        <v>90</v>
      </c>
      <c r="AB568" s="2">
        <v>0</v>
      </c>
      <c r="AC568" s="2" t="s">
        <v>10789</v>
      </c>
      <c r="AD568" s="2" t="s">
        <v>22189</v>
      </c>
      <c r="AE568" s="2" t="s">
        <v>18260</v>
      </c>
      <c r="AF568" s="2"/>
      <c r="AG568" s="2" t="s">
        <v>18250</v>
      </c>
    </row>
    <row r="569" spans="1:33" x14ac:dyDescent="0.45">
      <c r="A569" s="2" t="s">
        <v>22190</v>
      </c>
      <c r="B569" s="2" t="s">
        <v>22191</v>
      </c>
      <c r="C569" s="2" t="s">
        <v>22192</v>
      </c>
      <c r="D569" s="2" t="s">
        <v>22193</v>
      </c>
      <c r="E569" s="2" t="s">
        <v>22194</v>
      </c>
      <c r="F569" s="2" t="s">
        <v>22195</v>
      </c>
      <c r="G569" s="2" t="s">
        <v>22195</v>
      </c>
      <c r="H569" s="2" t="s">
        <v>290</v>
      </c>
      <c r="I569" s="2" t="s">
        <v>278</v>
      </c>
      <c r="J569" s="2" t="s">
        <v>12036</v>
      </c>
      <c r="K569" s="2" t="s">
        <v>22193</v>
      </c>
      <c r="L569" s="2"/>
      <c r="M569" s="2"/>
      <c r="N569" s="2"/>
      <c r="O569" s="2" t="s">
        <v>290</v>
      </c>
      <c r="P569" s="2" t="s">
        <v>278</v>
      </c>
      <c r="Q569" s="2" t="s">
        <v>12036</v>
      </c>
      <c r="R569" s="2" t="s">
        <v>12277</v>
      </c>
      <c r="S569" s="2" t="s">
        <v>44</v>
      </c>
      <c r="T569" s="2"/>
      <c r="U569" s="2" t="s">
        <v>3527</v>
      </c>
      <c r="V569" s="2" t="s">
        <v>46</v>
      </c>
      <c r="W569" s="2" t="s">
        <v>3527</v>
      </c>
      <c r="X569" s="2" t="s">
        <v>10787</v>
      </c>
      <c r="Y569" s="2" t="s">
        <v>10801</v>
      </c>
      <c r="Z569" s="2" t="s">
        <v>7864</v>
      </c>
      <c r="AA569" s="2">
        <v>100</v>
      </c>
      <c r="AB569" s="2">
        <v>10</v>
      </c>
      <c r="AC569" s="2" t="s">
        <v>10789</v>
      </c>
      <c r="AD569" s="2" t="s">
        <v>22196</v>
      </c>
      <c r="AE569" s="2" t="s">
        <v>18260</v>
      </c>
      <c r="AF569" s="2"/>
      <c r="AG569" s="2" t="s">
        <v>18250</v>
      </c>
    </row>
    <row r="570" spans="1:33" x14ac:dyDescent="0.45">
      <c r="A570" s="2" t="s">
        <v>22197</v>
      </c>
      <c r="B570" s="2" t="s">
        <v>22198</v>
      </c>
      <c r="C570" s="2" t="s">
        <v>22199</v>
      </c>
      <c r="D570" s="2" t="s">
        <v>22200</v>
      </c>
      <c r="E570" s="2" t="s">
        <v>22201</v>
      </c>
      <c r="F570" s="2" t="s">
        <v>22202</v>
      </c>
      <c r="G570" s="2" t="s">
        <v>22202</v>
      </c>
      <c r="H570" s="2" t="s">
        <v>59</v>
      </c>
      <c r="I570" s="2" t="s">
        <v>60</v>
      </c>
      <c r="J570" s="2" t="s">
        <v>4338</v>
      </c>
      <c r="K570" s="2" t="s">
        <v>22200</v>
      </c>
      <c r="L570" s="2"/>
      <c r="M570" s="2"/>
      <c r="N570" s="2"/>
      <c r="O570" s="2" t="s">
        <v>59</v>
      </c>
      <c r="P570" s="2" t="s">
        <v>60</v>
      </c>
      <c r="Q570" s="2" t="s">
        <v>4338</v>
      </c>
      <c r="R570" s="2" t="s">
        <v>11080</v>
      </c>
      <c r="S570" s="2" t="s">
        <v>44</v>
      </c>
      <c r="T570" s="2"/>
      <c r="U570" s="2" t="s">
        <v>821</v>
      </c>
      <c r="V570" s="2" t="s">
        <v>199</v>
      </c>
      <c r="W570" s="2" t="s">
        <v>821</v>
      </c>
      <c r="X570" s="2" t="s">
        <v>10787</v>
      </c>
      <c r="Y570" s="2" t="s">
        <v>10801</v>
      </c>
      <c r="Z570" s="2" t="s">
        <v>7864</v>
      </c>
      <c r="AA570" s="2">
        <v>100</v>
      </c>
      <c r="AB570" s="2">
        <v>27</v>
      </c>
      <c r="AC570" s="2" t="s">
        <v>10789</v>
      </c>
      <c r="AD570" s="2" t="s">
        <v>22203</v>
      </c>
      <c r="AE570" s="2" t="s">
        <v>18260</v>
      </c>
      <c r="AF570" s="2"/>
      <c r="AG570" s="2" t="s">
        <v>18250</v>
      </c>
    </row>
    <row r="571" spans="1:33" x14ac:dyDescent="0.45">
      <c r="A571" s="2" t="s">
        <v>22197</v>
      </c>
      <c r="B571" s="2" t="s">
        <v>22204</v>
      </c>
      <c r="C571" s="2" t="s">
        <v>22199</v>
      </c>
      <c r="D571" s="2" t="s">
        <v>22205</v>
      </c>
      <c r="E571" s="2" t="s">
        <v>22206</v>
      </c>
      <c r="F571" s="2" t="s">
        <v>3562</v>
      </c>
      <c r="G571" s="2" t="s">
        <v>3562</v>
      </c>
      <c r="H571" s="2" t="s">
        <v>59</v>
      </c>
      <c r="I571" s="2" t="s">
        <v>60</v>
      </c>
      <c r="J571" s="2" t="s">
        <v>4338</v>
      </c>
      <c r="K571" s="2" t="s">
        <v>22205</v>
      </c>
      <c r="L571" s="2"/>
      <c r="M571" s="2"/>
      <c r="N571" s="2"/>
      <c r="O571" s="2" t="s">
        <v>59</v>
      </c>
      <c r="P571" s="2" t="s">
        <v>60</v>
      </c>
      <c r="Q571" s="2" t="s">
        <v>4338</v>
      </c>
      <c r="R571" s="2" t="s">
        <v>17009</v>
      </c>
      <c r="S571" s="2" t="s">
        <v>44</v>
      </c>
      <c r="T571" s="2"/>
      <c r="U571" s="2" t="s">
        <v>3527</v>
      </c>
      <c r="V571" s="2" t="s">
        <v>199</v>
      </c>
      <c r="W571" s="2" t="s">
        <v>3527</v>
      </c>
      <c r="X571" s="2" t="s">
        <v>10787</v>
      </c>
      <c r="Y571" s="2" t="s">
        <v>10801</v>
      </c>
      <c r="Z571" s="2" t="s">
        <v>7864</v>
      </c>
      <c r="AA571" s="2">
        <v>100</v>
      </c>
      <c r="AB571" s="2">
        <v>20</v>
      </c>
      <c r="AC571" s="2" t="s">
        <v>10789</v>
      </c>
      <c r="AD571" s="2" t="s">
        <v>22203</v>
      </c>
      <c r="AE571" s="2" t="s">
        <v>18260</v>
      </c>
      <c r="AF571" s="2"/>
      <c r="AG571" s="2" t="s">
        <v>18250</v>
      </c>
    </row>
    <row r="572" spans="1:33" x14ac:dyDescent="0.45">
      <c r="A572" s="2" t="s">
        <v>22207</v>
      </c>
      <c r="B572" s="2" t="s">
        <v>22208</v>
      </c>
      <c r="C572" s="2" t="s">
        <v>22209</v>
      </c>
      <c r="D572" s="2" t="s">
        <v>22210</v>
      </c>
      <c r="E572" s="2" t="s">
        <v>22211</v>
      </c>
      <c r="F572" s="2" t="s">
        <v>22212</v>
      </c>
      <c r="G572" s="2" t="s">
        <v>22212</v>
      </c>
      <c r="H572" s="2" t="s">
        <v>72</v>
      </c>
      <c r="I572" s="2" t="s">
        <v>73</v>
      </c>
      <c r="J572" s="2" t="s">
        <v>761</v>
      </c>
      <c r="K572" s="2" t="s">
        <v>22210</v>
      </c>
      <c r="L572" s="2"/>
      <c r="M572" s="2"/>
      <c r="N572" s="2"/>
      <c r="O572" s="2" t="s">
        <v>72</v>
      </c>
      <c r="P572" s="2" t="s">
        <v>73</v>
      </c>
      <c r="Q572" s="2" t="s">
        <v>761</v>
      </c>
      <c r="R572" s="2" t="s">
        <v>5233</v>
      </c>
      <c r="S572" s="2" t="s">
        <v>44</v>
      </c>
      <c r="T572" s="2"/>
      <c r="U572" s="2" t="s">
        <v>821</v>
      </c>
      <c r="V572" s="2" t="s">
        <v>46</v>
      </c>
      <c r="W572" s="2" t="s">
        <v>821</v>
      </c>
      <c r="X572" s="2" t="s">
        <v>10787</v>
      </c>
      <c r="Y572" s="2" t="s">
        <v>10801</v>
      </c>
      <c r="Z572" s="2" t="s">
        <v>7864</v>
      </c>
      <c r="AA572" s="2">
        <v>100</v>
      </c>
      <c r="AB572" s="2">
        <v>17</v>
      </c>
      <c r="AC572" s="2" t="s">
        <v>10789</v>
      </c>
      <c r="AD572" s="2" t="s">
        <v>22213</v>
      </c>
      <c r="AE572" s="2" t="s">
        <v>18260</v>
      </c>
      <c r="AF572" s="2"/>
      <c r="AG572" s="2" t="s">
        <v>18250</v>
      </c>
    </row>
    <row r="573" spans="1:33" x14ac:dyDescent="0.45">
      <c r="A573" s="2" t="s">
        <v>22214</v>
      </c>
      <c r="B573" s="2" t="s">
        <v>22215</v>
      </c>
      <c r="C573" s="2" t="s">
        <v>22214</v>
      </c>
      <c r="D573" s="2" t="s">
        <v>22216</v>
      </c>
      <c r="E573" s="2" t="s">
        <v>22217</v>
      </c>
      <c r="F573" s="2"/>
      <c r="G573" s="2"/>
      <c r="H573" s="2" t="s">
        <v>6029</v>
      </c>
      <c r="I573" s="2" t="s">
        <v>278</v>
      </c>
      <c r="J573" s="2" t="s">
        <v>8422</v>
      </c>
      <c r="K573" s="2" t="s">
        <v>22216</v>
      </c>
      <c r="L573" s="2"/>
      <c r="M573" s="2"/>
      <c r="N573" s="2"/>
      <c r="O573" s="2" t="s">
        <v>6029</v>
      </c>
      <c r="P573" s="2" t="s">
        <v>278</v>
      </c>
      <c r="Q573" s="2" t="s">
        <v>8422</v>
      </c>
      <c r="R573" s="2" t="s">
        <v>22218</v>
      </c>
      <c r="S573" s="2" t="s">
        <v>44</v>
      </c>
      <c r="T573" s="2"/>
      <c r="U573" s="2" t="s">
        <v>3527</v>
      </c>
      <c r="V573" s="2" t="s">
        <v>46</v>
      </c>
      <c r="W573" s="2" t="s">
        <v>3527</v>
      </c>
      <c r="X573" s="2" t="s">
        <v>10787</v>
      </c>
      <c r="Y573" s="2" t="s">
        <v>10801</v>
      </c>
      <c r="Z573" s="2" t="s">
        <v>7864</v>
      </c>
      <c r="AA573" s="2">
        <v>90</v>
      </c>
      <c r="AB573" s="2">
        <v>0</v>
      </c>
      <c r="AC573" s="2" t="s">
        <v>10789</v>
      </c>
      <c r="AD573" s="2" t="s">
        <v>22219</v>
      </c>
      <c r="AE573" s="2" t="s">
        <v>18260</v>
      </c>
      <c r="AF573" s="2"/>
      <c r="AG573" s="2" t="s">
        <v>18250</v>
      </c>
    </row>
    <row r="574" spans="1:33" x14ac:dyDescent="0.45">
      <c r="A574" s="2" t="s">
        <v>22220</v>
      </c>
      <c r="B574" s="2" t="s">
        <v>22221</v>
      </c>
      <c r="C574" s="2" t="s">
        <v>22222</v>
      </c>
      <c r="D574" s="2" t="s">
        <v>22223</v>
      </c>
      <c r="E574" s="2" t="s">
        <v>22224</v>
      </c>
      <c r="F574" s="2"/>
      <c r="G574" s="2"/>
      <c r="H574" s="2" t="s">
        <v>9838</v>
      </c>
      <c r="I574" s="2" t="s">
        <v>278</v>
      </c>
      <c r="J574" s="2" t="s">
        <v>22225</v>
      </c>
      <c r="K574" s="2" t="s">
        <v>22223</v>
      </c>
      <c r="L574" s="2"/>
      <c r="M574" s="2"/>
      <c r="N574" s="2"/>
      <c r="O574" s="2" t="s">
        <v>9838</v>
      </c>
      <c r="P574" s="2" t="s">
        <v>278</v>
      </c>
      <c r="Q574" s="2" t="s">
        <v>22225</v>
      </c>
      <c r="R574" s="2" t="s">
        <v>13523</v>
      </c>
      <c r="S574" s="2" t="s">
        <v>44</v>
      </c>
      <c r="T574" s="2"/>
      <c r="U574" s="2" t="s">
        <v>3527</v>
      </c>
      <c r="V574" s="2" t="s">
        <v>46</v>
      </c>
      <c r="W574" s="2" t="s">
        <v>3527</v>
      </c>
      <c r="X574" s="2" t="s">
        <v>10787</v>
      </c>
      <c r="Y574" s="2" t="s">
        <v>10801</v>
      </c>
      <c r="Z574" s="2" t="s">
        <v>7864</v>
      </c>
      <c r="AA574" s="2">
        <v>90</v>
      </c>
      <c r="AB574" s="2">
        <v>0</v>
      </c>
      <c r="AC574" s="2" t="s">
        <v>10789</v>
      </c>
      <c r="AD574" s="2" t="s">
        <v>22226</v>
      </c>
      <c r="AE574" s="2" t="s">
        <v>18260</v>
      </c>
      <c r="AF574" s="2"/>
      <c r="AG574" s="2" t="s">
        <v>18250</v>
      </c>
    </row>
    <row r="575" spans="1:33" x14ac:dyDescent="0.45">
      <c r="A575" s="2" t="s">
        <v>22227</v>
      </c>
      <c r="B575" s="2" t="s">
        <v>22228</v>
      </c>
      <c r="C575" s="2" t="s">
        <v>22229</v>
      </c>
      <c r="D575" s="2" t="s">
        <v>22230</v>
      </c>
      <c r="E575" s="2" t="s">
        <v>22231</v>
      </c>
      <c r="F575" s="2" t="s">
        <v>22232</v>
      </c>
      <c r="G575" s="2" t="s">
        <v>22232</v>
      </c>
      <c r="H575" s="2" t="s">
        <v>72</v>
      </c>
      <c r="I575" s="2" t="s">
        <v>73</v>
      </c>
      <c r="J575" s="2" t="s">
        <v>2222</v>
      </c>
      <c r="K575" s="2" t="s">
        <v>22233</v>
      </c>
      <c r="L575" s="2"/>
      <c r="M575" s="2"/>
      <c r="N575" s="2"/>
      <c r="O575" s="2" t="s">
        <v>72</v>
      </c>
      <c r="P575" s="2" t="s">
        <v>73</v>
      </c>
      <c r="Q575" s="2" t="s">
        <v>2222</v>
      </c>
      <c r="R575" s="2" t="s">
        <v>782</v>
      </c>
      <c r="S575" s="2" t="s">
        <v>44</v>
      </c>
      <c r="T575" s="2"/>
      <c r="U575" s="2" t="s">
        <v>3527</v>
      </c>
      <c r="V575" s="2" t="s">
        <v>46</v>
      </c>
      <c r="W575" s="2" t="s">
        <v>3527</v>
      </c>
      <c r="X575" s="2" t="s">
        <v>10787</v>
      </c>
      <c r="Y575" s="2" t="s">
        <v>10801</v>
      </c>
      <c r="Z575" s="2" t="s">
        <v>7864</v>
      </c>
      <c r="AA575" s="2">
        <v>100</v>
      </c>
      <c r="AB575" s="2">
        <v>10</v>
      </c>
      <c r="AC575" s="2" t="s">
        <v>10789</v>
      </c>
      <c r="AD575" s="2" t="s">
        <v>22234</v>
      </c>
      <c r="AE575" s="2" t="s">
        <v>18260</v>
      </c>
      <c r="AF575" s="2"/>
      <c r="AG575" s="2" t="s">
        <v>18250</v>
      </c>
    </row>
    <row r="576" spans="1:33" x14ac:dyDescent="0.45">
      <c r="A576" s="2" t="s">
        <v>22235</v>
      </c>
      <c r="B576" s="2" t="s">
        <v>22236</v>
      </c>
      <c r="C576" s="2" t="s">
        <v>22237</v>
      </c>
      <c r="D576" s="2" t="s">
        <v>22238</v>
      </c>
      <c r="E576" s="2" t="s">
        <v>22239</v>
      </c>
      <c r="F576" s="2"/>
      <c r="G576" s="2"/>
      <c r="H576" s="2" t="s">
        <v>9577</v>
      </c>
      <c r="I576" s="2" t="s">
        <v>278</v>
      </c>
      <c r="J576" s="2" t="s">
        <v>19833</v>
      </c>
      <c r="K576" s="2" t="s">
        <v>22238</v>
      </c>
      <c r="L576" s="2"/>
      <c r="M576" s="2"/>
      <c r="N576" s="2"/>
      <c r="O576" s="2" t="s">
        <v>9577</v>
      </c>
      <c r="P576" s="2" t="s">
        <v>278</v>
      </c>
      <c r="Q576" s="2" t="s">
        <v>19833</v>
      </c>
      <c r="R576" s="2" t="s">
        <v>15819</v>
      </c>
      <c r="S576" s="2" t="s">
        <v>44</v>
      </c>
      <c r="T576" s="2"/>
      <c r="U576" s="2" t="s">
        <v>3527</v>
      </c>
      <c r="V576" s="2" t="s">
        <v>46</v>
      </c>
      <c r="W576" s="2" t="s">
        <v>3527</v>
      </c>
      <c r="X576" s="2" t="s">
        <v>10787</v>
      </c>
      <c r="Y576" s="2" t="s">
        <v>10801</v>
      </c>
      <c r="Z576" s="2" t="s">
        <v>7864</v>
      </c>
      <c r="AA576" s="2">
        <v>90</v>
      </c>
      <c r="AB576" s="2">
        <v>0</v>
      </c>
      <c r="AC576" s="2" t="s">
        <v>10789</v>
      </c>
      <c r="AD576" s="2" t="s">
        <v>22240</v>
      </c>
      <c r="AE576" s="2" t="s">
        <v>18260</v>
      </c>
      <c r="AF576" s="2"/>
      <c r="AG576" s="2" t="s">
        <v>18250</v>
      </c>
    </row>
    <row r="577" spans="1:33" x14ac:dyDescent="0.45">
      <c r="A577" s="2" t="s">
        <v>22241</v>
      </c>
      <c r="B577" s="2" t="s">
        <v>22242</v>
      </c>
      <c r="C577" s="2" t="s">
        <v>22241</v>
      </c>
      <c r="D577" s="2" t="s">
        <v>22243</v>
      </c>
      <c r="E577" s="2" t="s">
        <v>22244</v>
      </c>
      <c r="F577" s="2"/>
      <c r="G577" s="2"/>
      <c r="H577" s="2" t="s">
        <v>72</v>
      </c>
      <c r="I577" s="2" t="s">
        <v>73</v>
      </c>
      <c r="J577" s="2" t="s">
        <v>6297</v>
      </c>
      <c r="K577" s="2" t="s">
        <v>22243</v>
      </c>
      <c r="L577" s="2"/>
      <c r="M577" s="2"/>
      <c r="N577" s="2"/>
      <c r="O577" s="2" t="s">
        <v>72</v>
      </c>
      <c r="P577" s="2" t="s">
        <v>73</v>
      </c>
      <c r="Q577" s="2" t="s">
        <v>6297</v>
      </c>
      <c r="R577" s="2" t="s">
        <v>4349</v>
      </c>
      <c r="S577" s="2" t="s">
        <v>44</v>
      </c>
      <c r="T577" s="2"/>
      <c r="U577" s="2" t="s">
        <v>3527</v>
      </c>
      <c r="V577" s="2" t="s">
        <v>46</v>
      </c>
      <c r="W577" s="2" t="s">
        <v>3527</v>
      </c>
      <c r="X577" s="2" t="s">
        <v>10787</v>
      </c>
      <c r="Y577" s="2" t="s">
        <v>10801</v>
      </c>
      <c r="Z577" s="2" t="s">
        <v>7864</v>
      </c>
      <c r="AA577" s="2">
        <v>90</v>
      </c>
      <c r="AB577" s="2">
        <v>0</v>
      </c>
      <c r="AC577" s="2" t="s">
        <v>10789</v>
      </c>
      <c r="AD577" s="2" t="s">
        <v>22245</v>
      </c>
      <c r="AE577" s="2" t="s">
        <v>18260</v>
      </c>
      <c r="AF577" s="2"/>
      <c r="AG577" s="2" t="s">
        <v>18250</v>
      </c>
    </row>
    <row r="578" spans="1:33" x14ac:dyDescent="0.45">
      <c r="A578" s="2" t="s">
        <v>22246</v>
      </c>
      <c r="B578" s="2" t="s">
        <v>22247</v>
      </c>
      <c r="C578" s="2" t="s">
        <v>22246</v>
      </c>
      <c r="D578" s="2" t="s">
        <v>22248</v>
      </c>
      <c r="E578" s="2" t="s">
        <v>22249</v>
      </c>
      <c r="F578" s="2"/>
      <c r="G578" s="2"/>
      <c r="H578" s="2" t="s">
        <v>277</v>
      </c>
      <c r="I578" s="2" t="s">
        <v>278</v>
      </c>
      <c r="J578" s="2" t="s">
        <v>1060</v>
      </c>
      <c r="K578" s="2" t="s">
        <v>22248</v>
      </c>
      <c r="L578" s="2"/>
      <c r="M578" s="2"/>
      <c r="N578" s="2"/>
      <c r="O578" s="2" t="s">
        <v>277</v>
      </c>
      <c r="P578" s="2" t="s">
        <v>278</v>
      </c>
      <c r="Q578" s="2" t="s">
        <v>1060</v>
      </c>
      <c r="R578" s="2" t="s">
        <v>924</v>
      </c>
      <c r="S578" s="2" t="s">
        <v>44</v>
      </c>
      <c r="T578" s="2"/>
      <c r="U578" s="2" t="s">
        <v>3527</v>
      </c>
      <c r="V578" s="2" t="s">
        <v>46</v>
      </c>
      <c r="W578" s="2" t="s">
        <v>3527</v>
      </c>
      <c r="X578" s="2" t="s">
        <v>10787</v>
      </c>
      <c r="Y578" s="2" t="s">
        <v>10801</v>
      </c>
      <c r="Z578" s="2" t="s">
        <v>7864</v>
      </c>
      <c r="AA578" s="2">
        <v>90</v>
      </c>
      <c r="AB578" s="2">
        <v>0</v>
      </c>
      <c r="AC578" s="2" t="s">
        <v>10789</v>
      </c>
      <c r="AD578" s="2" t="s">
        <v>22250</v>
      </c>
      <c r="AE578" s="2" t="s">
        <v>18260</v>
      </c>
      <c r="AF578" s="2"/>
      <c r="AG578" s="2" t="s">
        <v>18250</v>
      </c>
    </row>
    <row r="579" spans="1:33" x14ac:dyDescent="0.45">
      <c r="A579" s="2" t="s">
        <v>22251</v>
      </c>
      <c r="B579" s="2" t="s">
        <v>22252</v>
      </c>
      <c r="C579" s="2" t="s">
        <v>22253</v>
      </c>
      <c r="D579" s="2" t="s">
        <v>22254</v>
      </c>
      <c r="E579" s="2" t="s">
        <v>22255</v>
      </c>
      <c r="F579" s="2"/>
      <c r="G579" s="2"/>
      <c r="H579" s="2" t="s">
        <v>72</v>
      </c>
      <c r="I579" s="2" t="s">
        <v>73</v>
      </c>
      <c r="J579" s="2" t="s">
        <v>3264</v>
      </c>
      <c r="K579" s="2" t="s">
        <v>22256</v>
      </c>
      <c r="L579" s="2"/>
      <c r="M579" s="2"/>
      <c r="N579" s="2"/>
      <c r="O579" s="2" t="s">
        <v>72</v>
      </c>
      <c r="P579" s="2" t="s">
        <v>73</v>
      </c>
      <c r="Q579" s="2" t="s">
        <v>3264</v>
      </c>
      <c r="R579" s="2" t="s">
        <v>13655</v>
      </c>
      <c r="S579" s="2" t="s">
        <v>44</v>
      </c>
      <c r="T579" s="2"/>
      <c r="U579" s="2" t="s">
        <v>3527</v>
      </c>
      <c r="V579" s="2" t="s">
        <v>46</v>
      </c>
      <c r="W579" s="2" t="s">
        <v>3527</v>
      </c>
      <c r="X579" s="2" t="s">
        <v>10787</v>
      </c>
      <c r="Y579" s="2" t="s">
        <v>10801</v>
      </c>
      <c r="Z579" s="2" t="s">
        <v>7864</v>
      </c>
      <c r="AA579" s="2">
        <v>90</v>
      </c>
      <c r="AB579" s="2">
        <v>0</v>
      </c>
      <c r="AC579" s="2" t="s">
        <v>10789</v>
      </c>
      <c r="AD579" s="2" t="s">
        <v>22257</v>
      </c>
      <c r="AE579" s="2" t="s">
        <v>18260</v>
      </c>
      <c r="AF579" s="2"/>
      <c r="AG579" s="2" t="s">
        <v>18250</v>
      </c>
    </row>
    <row r="580" spans="1:33" x14ac:dyDescent="0.45">
      <c r="A580" s="2" t="s">
        <v>22258</v>
      </c>
      <c r="B580" s="2" t="s">
        <v>22259</v>
      </c>
      <c r="C580" s="2" t="s">
        <v>22260</v>
      </c>
      <c r="D580" s="2" t="s">
        <v>22261</v>
      </c>
      <c r="E580" s="2" t="s">
        <v>22262</v>
      </c>
      <c r="F580" s="2" t="s">
        <v>22263</v>
      </c>
      <c r="G580" s="2"/>
      <c r="H580" s="2" t="s">
        <v>22264</v>
      </c>
      <c r="I580" s="2" t="s">
        <v>1137</v>
      </c>
      <c r="J580" s="2" t="s">
        <v>22265</v>
      </c>
      <c r="K580" s="2" t="s">
        <v>22261</v>
      </c>
      <c r="L580" s="2"/>
      <c r="M580" s="2"/>
      <c r="N580" s="2"/>
      <c r="O580" s="2" t="s">
        <v>22264</v>
      </c>
      <c r="P580" s="2" t="s">
        <v>1137</v>
      </c>
      <c r="Q580" s="2" t="s">
        <v>22265</v>
      </c>
      <c r="R580" s="2" t="s">
        <v>22266</v>
      </c>
      <c r="S580" s="2" t="s">
        <v>44</v>
      </c>
      <c r="T580" s="2"/>
      <c r="U580" s="2" t="s">
        <v>3527</v>
      </c>
      <c r="V580" s="2" t="s">
        <v>46</v>
      </c>
      <c r="W580" s="2" t="s">
        <v>3527</v>
      </c>
      <c r="X580" s="2" t="s">
        <v>10787</v>
      </c>
      <c r="Y580" s="2" t="s">
        <v>10801</v>
      </c>
      <c r="Z580" s="2" t="s">
        <v>7864</v>
      </c>
      <c r="AA580" s="2">
        <v>100</v>
      </c>
      <c r="AB580" s="2">
        <v>5</v>
      </c>
      <c r="AC580" s="2" t="s">
        <v>10789</v>
      </c>
      <c r="AD580" s="2" t="s">
        <v>22267</v>
      </c>
      <c r="AE580" s="2" t="s">
        <v>18260</v>
      </c>
      <c r="AF580" s="2"/>
      <c r="AG580" s="2" t="s">
        <v>18250</v>
      </c>
    </row>
    <row r="581" spans="1:33" x14ac:dyDescent="0.45">
      <c r="A581" s="2" t="s">
        <v>22268</v>
      </c>
      <c r="B581" s="2" t="s">
        <v>22269</v>
      </c>
      <c r="C581" s="2" t="s">
        <v>22270</v>
      </c>
      <c r="D581" s="2" t="s">
        <v>22271</v>
      </c>
      <c r="E581" s="2" t="s">
        <v>22272</v>
      </c>
      <c r="F581" s="2"/>
      <c r="G581" s="2"/>
      <c r="H581" s="2" t="s">
        <v>5821</v>
      </c>
      <c r="I581" s="2" t="s">
        <v>278</v>
      </c>
      <c r="J581" s="2" t="s">
        <v>16943</v>
      </c>
      <c r="K581" s="2" t="s">
        <v>22271</v>
      </c>
      <c r="L581" s="2"/>
      <c r="M581" s="2"/>
      <c r="N581" s="2"/>
      <c r="O581" s="2" t="s">
        <v>5821</v>
      </c>
      <c r="P581" s="2" t="s">
        <v>278</v>
      </c>
      <c r="Q581" s="2" t="s">
        <v>16943</v>
      </c>
      <c r="R581" s="2" t="s">
        <v>19937</v>
      </c>
      <c r="S581" s="2" t="s">
        <v>44</v>
      </c>
      <c r="T581" s="2"/>
      <c r="U581" s="2" t="s">
        <v>3527</v>
      </c>
      <c r="V581" s="2" t="s">
        <v>46</v>
      </c>
      <c r="W581" s="2" t="s">
        <v>3527</v>
      </c>
      <c r="X581" s="2" t="s">
        <v>10787</v>
      </c>
      <c r="Y581" s="2" t="s">
        <v>10801</v>
      </c>
      <c r="Z581" s="2" t="s">
        <v>7864</v>
      </c>
      <c r="AA581" s="2">
        <v>90</v>
      </c>
      <c r="AB581" s="2">
        <v>0</v>
      </c>
      <c r="AC581" s="2" t="s">
        <v>10789</v>
      </c>
      <c r="AD581" s="2" t="s">
        <v>22273</v>
      </c>
      <c r="AE581" s="2" t="s">
        <v>18260</v>
      </c>
      <c r="AF581" s="2"/>
      <c r="AG581" s="2" t="s">
        <v>18250</v>
      </c>
    </row>
    <row r="582" spans="1:33" x14ac:dyDescent="0.45">
      <c r="A582" s="2" t="s">
        <v>22274</v>
      </c>
      <c r="B582" s="2" t="s">
        <v>22275</v>
      </c>
      <c r="C582" s="2" t="s">
        <v>22276</v>
      </c>
      <c r="D582" s="2" t="s">
        <v>22277</v>
      </c>
      <c r="E582" s="2" t="s">
        <v>22278</v>
      </c>
      <c r="F582" s="2" t="s">
        <v>22279</v>
      </c>
      <c r="G582" s="2"/>
      <c r="H582" s="2" t="s">
        <v>85</v>
      </c>
      <c r="I582" s="2" t="s">
        <v>86</v>
      </c>
      <c r="J582" s="2" t="s">
        <v>2351</v>
      </c>
      <c r="K582" s="2" t="s">
        <v>22277</v>
      </c>
      <c r="L582" s="2"/>
      <c r="M582" s="2"/>
      <c r="N582" s="2"/>
      <c r="O582" s="2" t="s">
        <v>85</v>
      </c>
      <c r="P582" s="2" t="s">
        <v>86</v>
      </c>
      <c r="Q582" s="2" t="s">
        <v>2351</v>
      </c>
      <c r="R582" s="2" t="s">
        <v>4570</v>
      </c>
      <c r="S582" s="2" t="s">
        <v>44</v>
      </c>
      <c r="T582" s="2"/>
      <c r="U582" s="2" t="s">
        <v>821</v>
      </c>
      <c r="V582" s="2" t="s">
        <v>46</v>
      </c>
      <c r="W582" s="2" t="s">
        <v>821</v>
      </c>
      <c r="X582" s="2" t="s">
        <v>10787</v>
      </c>
      <c r="Y582" s="2" t="s">
        <v>10801</v>
      </c>
      <c r="Z582" s="2" t="s">
        <v>7864</v>
      </c>
      <c r="AA582" s="2">
        <v>100</v>
      </c>
      <c r="AB582" s="2">
        <v>17</v>
      </c>
      <c r="AC582" s="2" t="s">
        <v>10789</v>
      </c>
      <c r="AD582" s="2" t="s">
        <v>22280</v>
      </c>
      <c r="AE582" s="2" t="s">
        <v>18260</v>
      </c>
      <c r="AF582" s="2"/>
      <c r="AG582" s="2" t="s">
        <v>18250</v>
      </c>
    </row>
    <row r="583" spans="1:33" x14ac:dyDescent="0.45">
      <c r="A583" s="2" t="s">
        <v>2947</v>
      </c>
      <c r="B583" s="2" t="s">
        <v>22281</v>
      </c>
      <c r="C583" s="2" t="s">
        <v>2947</v>
      </c>
      <c r="D583" s="2" t="s">
        <v>22282</v>
      </c>
      <c r="E583" s="2" t="s">
        <v>22283</v>
      </c>
      <c r="F583" s="2" t="s">
        <v>22284</v>
      </c>
      <c r="G583" s="2"/>
      <c r="H583" s="2" t="s">
        <v>10798</v>
      </c>
      <c r="I583" s="2" t="s">
        <v>1176</v>
      </c>
      <c r="J583" s="2" t="s">
        <v>22285</v>
      </c>
      <c r="K583" s="2" t="s">
        <v>22282</v>
      </c>
      <c r="L583" s="2"/>
      <c r="M583" s="2"/>
      <c r="N583" s="2"/>
      <c r="O583" s="2" t="s">
        <v>10798</v>
      </c>
      <c r="P583" s="2" t="s">
        <v>1176</v>
      </c>
      <c r="Q583" s="2" t="s">
        <v>22285</v>
      </c>
      <c r="R583" s="2" t="s">
        <v>5356</v>
      </c>
      <c r="S583" s="2" t="s">
        <v>44</v>
      </c>
      <c r="T583" s="2"/>
      <c r="U583" s="2" t="s">
        <v>3527</v>
      </c>
      <c r="V583" s="2" t="s">
        <v>46</v>
      </c>
      <c r="W583" s="2" t="s">
        <v>3527</v>
      </c>
      <c r="X583" s="2" t="s">
        <v>10787</v>
      </c>
      <c r="Y583" s="2" t="s">
        <v>10801</v>
      </c>
      <c r="Z583" s="2" t="s">
        <v>7864</v>
      </c>
      <c r="AA583" s="2">
        <v>100</v>
      </c>
      <c r="AB583" s="2">
        <v>5</v>
      </c>
      <c r="AC583" s="2" t="s">
        <v>10789</v>
      </c>
      <c r="AD583" s="2" t="s">
        <v>22286</v>
      </c>
      <c r="AE583" s="2" t="s">
        <v>18260</v>
      </c>
      <c r="AF583" s="2"/>
      <c r="AG583" s="2" t="s">
        <v>18250</v>
      </c>
    </row>
    <row r="584" spans="1:33" x14ac:dyDescent="0.45">
      <c r="A584" s="2" t="s">
        <v>22287</v>
      </c>
      <c r="B584" s="2" t="s">
        <v>22288</v>
      </c>
      <c r="C584" s="2" t="s">
        <v>22289</v>
      </c>
      <c r="D584" s="2" t="s">
        <v>22290</v>
      </c>
      <c r="E584" s="2" t="s">
        <v>22291</v>
      </c>
      <c r="F584" s="2"/>
      <c r="G584" s="2"/>
      <c r="H584" s="2" t="s">
        <v>59</v>
      </c>
      <c r="I584" s="2" t="s">
        <v>60</v>
      </c>
      <c r="J584" s="2" t="s">
        <v>992</v>
      </c>
      <c r="K584" s="2" t="s">
        <v>22290</v>
      </c>
      <c r="L584" s="2"/>
      <c r="M584" s="2"/>
      <c r="N584" s="2"/>
      <c r="O584" s="2" t="s">
        <v>59</v>
      </c>
      <c r="P584" s="2" t="s">
        <v>60</v>
      </c>
      <c r="Q584" s="2" t="s">
        <v>992</v>
      </c>
      <c r="R584" s="2" t="s">
        <v>22292</v>
      </c>
      <c r="S584" s="2" t="s">
        <v>44</v>
      </c>
      <c r="T584" s="2"/>
      <c r="U584" s="2" t="s">
        <v>821</v>
      </c>
      <c r="V584" s="2" t="s">
        <v>46</v>
      </c>
      <c r="W584" s="2" t="s">
        <v>821</v>
      </c>
      <c r="X584" s="2" t="s">
        <v>11537</v>
      </c>
      <c r="Y584" s="2" t="s">
        <v>10801</v>
      </c>
      <c r="Z584" s="2" t="s">
        <v>7864</v>
      </c>
      <c r="AA584" s="2">
        <v>90</v>
      </c>
      <c r="AB584" s="2">
        <v>7</v>
      </c>
      <c r="AC584" s="2" t="s">
        <v>10789</v>
      </c>
      <c r="AD584" s="2" t="s">
        <v>22293</v>
      </c>
      <c r="AE584" s="2" t="s">
        <v>18260</v>
      </c>
      <c r="AF584" s="2"/>
      <c r="AG584" s="2" t="s">
        <v>18250</v>
      </c>
    </row>
    <row r="585" spans="1:33" x14ac:dyDescent="0.45">
      <c r="A585" s="2" t="s">
        <v>22294</v>
      </c>
      <c r="B585" s="2" t="s">
        <v>22295</v>
      </c>
      <c r="C585" s="2" t="s">
        <v>22296</v>
      </c>
      <c r="D585" s="2" t="s">
        <v>22297</v>
      </c>
      <c r="E585" s="2" t="s">
        <v>22298</v>
      </c>
      <c r="F585" s="2"/>
      <c r="G585" s="2"/>
      <c r="H585" s="2" t="s">
        <v>72</v>
      </c>
      <c r="I585" s="2" t="s">
        <v>73</v>
      </c>
      <c r="J585" s="2" t="s">
        <v>791</v>
      </c>
      <c r="K585" s="2" t="s">
        <v>22297</v>
      </c>
      <c r="L585" s="2"/>
      <c r="M585" s="2"/>
      <c r="N585" s="2"/>
      <c r="O585" s="2" t="s">
        <v>72</v>
      </c>
      <c r="P585" s="2" t="s">
        <v>73</v>
      </c>
      <c r="Q585" s="2" t="s">
        <v>791</v>
      </c>
      <c r="R585" s="2" t="s">
        <v>17850</v>
      </c>
      <c r="S585" s="2" t="s">
        <v>44</v>
      </c>
      <c r="T585" s="2"/>
      <c r="U585" s="2" t="s">
        <v>821</v>
      </c>
      <c r="V585" s="2" t="s">
        <v>46</v>
      </c>
      <c r="W585" s="2" t="s">
        <v>821</v>
      </c>
      <c r="X585" s="2" t="s">
        <v>10787</v>
      </c>
      <c r="Y585" s="2" t="s">
        <v>10801</v>
      </c>
      <c r="Z585" s="2" t="s">
        <v>7864</v>
      </c>
      <c r="AA585" s="2">
        <v>90</v>
      </c>
      <c r="AB585" s="2">
        <v>7</v>
      </c>
      <c r="AC585" s="2" t="s">
        <v>10789</v>
      </c>
      <c r="AD585" s="2" t="s">
        <v>22299</v>
      </c>
      <c r="AE585" s="2" t="s">
        <v>18260</v>
      </c>
      <c r="AF585" s="2"/>
      <c r="AG585" s="2" t="s">
        <v>18250</v>
      </c>
    </row>
    <row r="586" spans="1:33" x14ac:dyDescent="0.45">
      <c r="A586" s="2" t="s">
        <v>22300</v>
      </c>
      <c r="B586" s="2" t="s">
        <v>22301</v>
      </c>
      <c r="C586" s="2" t="s">
        <v>22302</v>
      </c>
      <c r="D586" s="2" t="s">
        <v>22303</v>
      </c>
      <c r="E586" s="2" t="s">
        <v>22304</v>
      </c>
      <c r="F586" s="2"/>
      <c r="G586" s="2"/>
      <c r="H586" s="2" t="s">
        <v>59</v>
      </c>
      <c r="I586" s="2" t="s">
        <v>60</v>
      </c>
      <c r="J586" s="2" t="s">
        <v>151</v>
      </c>
      <c r="K586" s="2" t="s">
        <v>22303</v>
      </c>
      <c r="L586" s="2"/>
      <c r="M586" s="2"/>
      <c r="N586" s="2"/>
      <c r="O586" s="2" t="s">
        <v>59</v>
      </c>
      <c r="P586" s="2" t="s">
        <v>60</v>
      </c>
      <c r="Q586" s="2" t="s">
        <v>151</v>
      </c>
      <c r="R586" s="2" t="s">
        <v>22305</v>
      </c>
      <c r="S586" s="2" t="s">
        <v>44</v>
      </c>
      <c r="T586" s="2"/>
      <c r="U586" s="2" t="s">
        <v>821</v>
      </c>
      <c r="V586" s="2" t="s">
        <v>46</v>
      </c>
      <c r="W586" s="2" t="s">
        <v>821</v>
      </c>
      <c r="X586" s="2" t="s">
        <v>10787</v>
      </c>
      <c r="Y586" s="2" t="s">
        <v>10801</v>
      </c>
      <c r="Z586" s="2" t="s">
        <v>7864</v>
      </c>
      <c r="AA586" s="2">
        <v>90</v>
      </c>
      <c r="AB586" s="2">
        <v>7</v>
      </c>
      <c r="AC586" s="2" t="s">
        <v>10789</v>
      </c>
      <c r="AD586" s="2" t="s">
        <v>22306</v>
      </c>
      <c r="AE586" s="2" t="s">
        <v>18260</v>
      </c>
      <c r="AF586" s="2"/>
      <c r="AG586" s="2" t="s">
        <v>18250</v>
      </c>
    </row>
    <row r="587" spans="1:33" x14ac:dyDescent="0.45">
      <c r="A587" s="2" t="s">
        <v>22307</v>
      </c>
      <c r="B587" s="2" t="s">
        <v>22308</v>
      </c>
      <c r="C587" s="2" t="s">
        <v>22307</v>
      </c>
      <c r="D587" s="2" t="s">
        <v>22309</v>
      </c>
      <c r="E587" s="2" t="s">
        <v>22310</v>
      </c>
      <c r="F587" s="2"/>
      <c r="G587" s="2"/>
      <c r="H587" s="2" t="s">
        <v>72</v>
      </c>
      <c r="I587" s="2" t="s">
        <v>73</v>
      </c>
      <c r="J587" s="2" t="s">
        <v>1479</v>
      </c>
      <c r="K587" s="2" t="s">
        <v>22309</v>
      </c>
      <c r="L587" s="2"/>
      <c r="M587" s="2"/>
      <c r="N587" s="2"/>
      <c r="O587" s="2" t="s">
        <v>72</v>
      </c>
      <c r="P587" s="2" t="s">
        <v>73</v>
      </c>
      <c r="Q587" s="2" t="s">
        <v>1479</v>
      </c>
      <c r="R587" s="2" t="s">
        <v>22311</v>
      </c>
      <c r="S587" s="2" t="s">
        <v>44</v>
      </c>
      <c r="T587" s="2"/>
      <c r="U587" s="2" t="s">
        <v>821</v>
      </c>
      <c r="V587" s="2" t="s">
        <v>46</v>
      </c>
      <c r="W587" s="2" t="s">
        <v>821</v>
      </c>
      <c r="X587" s="2" t="s">
        <v>10787</v>
      </c>
      <c r="Y587" s="2" t="s">
        <v>10801</v>
      </c>
      <c r="Z587" s="2" t="s">
        <v>7864</v>
      </c>
      <c r="AA587" s="2">
        <v>90</v>
      </c>
      <c r="AB587" s="2">
        <v>7</v>
      </c>
      <c r="AC587" s="2" t="s">
        <v>10789</v>
      </c>
      <c r="AD587" s="2" t="s">
        <v>22312</v>
      </c>
      <c r="AE587" s="2" t="s">
        <v>18260</v>
      </c>
      <c r="AF587" s="2"/>
      <c r="AG587" s="2" t="s">
        <v>18250</v>
      </c>
    </row>
    <row r="588" spans="1:33" x14ac:dyDescent="0.45">
      <c r="A588" s="2" t="s">
        <v>22313</v>
      </c>
      <c r="B588" s="2" t="s">
        <v>22314</v>
      </c>
      <c r="C588" s="2" t="s">
        <v>22315</v>
      </c>
      <c r="D588" s="2" t="s">
        <v>22316</v>
      </c>
      <c r="E588" s="2" t="s">
        <v>22317</v>
      </c>
      <c r="F588" s="2"/>
      <c r="G588" s="2"/>
      <c r="H588" s="2" t="s">
        <v>1188</v>
      </c>
      <c r="I588" s="2" t="s">
        <v>221</v>
      </c>
      <c r="J588" s="2" t="s">
        <v>1189</v>
      </c>
      <c r="K588" s="2" t="s">
        <v>22316</v>
      </c>
      <c r="L588" s="2"/>
      <c r="M588" s="2"/>
      <c r="N588" s="2"/>
      <c r="O588" s="2" t="s">
        <v>1188</v>
      </c>
      <c r="P588" s="2" t="s">
        <v>221</v>
      </c>
      <c r="Q588" s="2" t="s">
        <v>1189</v>
      </c>
      <c r="R588" s="2" t="s">
        <v>10704</v>
      </c>
      <c r="S588" s="2" t="s">
        <v>44</v>
      </c>
      <c r="T588" s="2"/>
      <c r="U588" s="2" t="s">
        <v>3527</v>
      </c>
      <c r="V588" s="2" t="s">
        <v>46</v>
      </c>
      <c r="W588" s="2" t="s">
        <v>3527</v>
      </c>
      <c r="X588" s="2" t="s">
        <v>10787</v>
      </c>
      <c r="Y588" s="2" t="s">
        <v>10801</v>
      </c>
      <c r="Z588" s="2" t="s">
        <v>7864</v>
      </c>
      <c r="AA588" s="2">
        <v>90</v>
      </c>
      <c r="AB588" s="2">
        <v>0</v>
      </c>
      <c r="AC588" s="2" t="s">
        <v>10789</v>
      </c>
      <c r="AD588" s="2" t="s">
        <v>22318</v>
      </c>
      <c r="AE588" s="2" t="s">
        <v>18260</v>
      </c>
      <c r="AF588" s="2"/>
      <c r="AG588" s="2" t="s">
        <v>18250</v>
      </c>
    </row>
    <row r="589" spans="1:33" x14ac:dyDescent="0.45">
      <c r="A589" s="2" t="s">
        <v>22319</v>
      </c>
      <c r="B589" s="2" t="s">
        <v>22320</v>
      </c>
      <c r="C589" s="2" t="s">
        <v>22319</v>
      </c>
      <c r="D589" s="2" t="s">
        <v>22321</v>
      </c>
      <c r="E589" s="2" t="s">
        <v>22322</v>
      </c>
      <c r="F589" s="2" t="s">
        <v>22323</v>
      </c>
      <c r="G589" s="2"/>
      <c r="H589" s="2" t="s">
        <v>216</v>
      </c>
      <c r="I589" s="2" t="s">
        <v>217</v>
      </c>
      <c r="J589" s="2" t="s">
        <v>4569</v>
      </c>
      <c r="K589" s="2" t="s">
        <v>22321</v>
      </c>
      <c r="L589" s="2"/>
      <c r="M589" s="2"/>
      <c r="N589" s="2"/>
      <c r="O589" s="2" t="s">
        <v>216</v>
      </c>
      <c r="P589" s="2" t="s">
        <v>217</v>
      </c>
      <c r="Q589" s="2" t="s">
        <v>4569</v>
      </c>
      <c r="R589" s="2" t="s">
        <v>17056</v>
      </c>
      <c r="S589" s="2" t="s">
        <v>44</v>
      </c>
      <c r="T589" s="2"/>
      <c r="U589" s="2" t="s">
        <v>821</v>
      </c>
      <c r="V589" s="2" t="s">
        <v>46</v>
      </c>
      <c r="W589" s="2" t="s">
        <v>821</v>
      </c>
      <c r="X589" s="2" t="s">
        <v>10787</v>
      </c>
      <c r="Y589" s="2" t="s">
        <v>10801</v>
      </c>
      <c r="Z589" s="2" t="s">
        <v>7864</v>
      </c>
      <c r="AA589" s="2">
        <v>100</v>
      </c>
      <c r="AB589" s="2">
        <v>17</v>
      </c>
      <c r="AC589" s="2" t="s">
        <v>10789</v>
      </c>
      <c r="AD589" s="2" t="s">
        <v>22324</v>
      </c>
      <c r="AE589" s="2" t="s">
        <v>18260</v>
      </c>
      <c r="AF589" s="2"/>
      <c r="AG589" s="2" t="s">
        <v>18250</v>
      </c>
    </row>
    <row r="590" spans="1:33" x14ac:dyDescent="0.45">
      <c r="A590" s="2" t="s">
        <v>22325</v>
      </c>
      <c r="B590" s="2" t="s">
        <v>22326</v>
      </c>
      <c r="C590" s="2" t="s">
        <v>22327</v>
      </c>
      <c r="D590" s="2" t="s">
        <v>22328</v>
      </c>
      <c r="E590" s="2" t="s">
        <v>22329</v>
      </c>
      <c r="F590" s="2" t="s">
        <v>3562</v>
      </c>
      <c r="G590" s="2" t="s">
        <v>3562</v>
      </c>
      <c r="H590" s="2" t="s">
        <v>536</v>
      </c>
      <c r="I590" s="2" t="s">
        <v>537</v>
      </c>
      <c r="J590" s="2" t="s">
        <v>1428</v>
      </c>
      <c r="K590" s="2" t="s">
        <v>22328</v>
      </c>
      <c r="L590" s="2"/>
      <c r="M590" s="2"/>
      <c r="N590" s="2"/>
      <c r="O590" s="2" t="s">
        <v>536</v>
      </c>
      <c r="P590" s="2" t="s">
        <v>537</v>
      </c>
      <c r="Q590" s="2" t="s">
        <v>1428</v>
      </c>
      <c r="R590" s="2" t="s">
        <v>20505</v>
      </c>
      <c r="S590" s="2" t="s">
        <v>44</v>
      </c>
      <c r="T590" s="2"/>
      <c r="U590" s="2" t="s">
        <v>3527</v>
      </c>
      <c r="V590" s="2" t="s">
        <v>46</v>
      </c>
      <c r="W590" s="2" t="s">
        <v>3527</v>
      </c>
      <c r="X590" s="2" t="s">
        <v>10787</v>
      </c>
      <c r="Y590" s="2" t="s">
        <v>10801</v>
      </c>
      <c r="Z590" s="2" t="s">
        <v>7864</v>
      </c>
      <c r="AA590" s="2">
        <v>100</v>
      </c>
      <c r="AB590" s="2">
        <v>10</v>
      </c>
      <c r="AC590" s="2" t="s">
        <v>10789</v>
      </c>
      <c r="AD590" s="2" t="s">
        <v>22330</v>
      </c>
      <c r="AE590" s="2" t="s">
        <v>18260</v>
      </c>
      <c r="AF590" s="2"/>
      <c r="AG590" s="2" t="s">
        <v>18250</v>
      </c>
    </row>
    <row r="591" spans="1:33" x14ac:dyDescent="0.45">
      <c r="A591" s="2" t="s">
        <v>22331</v>
      </c>
      <c r="B591" s="2" t="s">
        <v>22332</v>
      </c>
      <c r="C591" s="2" t="s">
        <v>22333</v>
      </c>
      <c r="D591" s="2" t="s">
        <v>22334</v>
      </c>
      <c r="E591" s="2" t="s">
        <v>22335</v>
      </c>
      <c r="F591" s="2" t="s">
        <v>22336</v>
      </c>
      <c r="G591" s="2" t="s">
        <v>22336</v>
      </c>
      <c r="H591" s="2" t="s">
        <v>22337</v>
      </c>
      <c r="I591" s="2" t="s">
        <v>73</v>
      </c>
      <c r="J591" s="2" t="s">
        <v>22338</v>
      </c>
      <c r="K591" s="2" t="s">
        <v>22334</v>
      </c>
      <c r="L591" s="2"/>
      <c r="M591" s="2"/>
      <c r="N591" s="2"/>
      <c r="O591" s="2" t="s">
        <v>22337</v>
      </c>
      <c r="P591" s="2" t="s">
        <v>73</v>
      </c>
      <c r="Q591" s="2" t="s">
        <v>22338</v>
      </c>
      <c r="R591" s="2" t="s">
        <v>5594</v>
      </c>
      <c r="S591" s="2" t="s">
        <v>44</v>
      </c>
      <c r="T591" s="2"/>
      <c r="U591" s="2" t="s">
        <v>3527</v>
      </c>
      <c r="V591" s="2" t="s">
        <v>46</v>
      </c>
      <c r="W591" s="2" t="s">
        <v>3527</v>
      </c>
      <c r="X591" s="2" t="s">
        <v>10787</v>
      </c>
      <c r="Y591" s="2" t="s">
        <v>10801</v>
      </c>
      <c r="Z591" s="2" t="s">
        <v>7864</v>
      </c>
      <c r="AA591" s="2">
        <v>100</v>
      </c>
      <c r="AB591" s="2">
        <v>5</v>
      </c>
      <c r="AC591" s="2" t="s">
        <v>10789</v>
      </c>
      <c r="AD591" s="2" t="s">
        <v>22339</v>
      </c>
      <c r="AE591" s="2" t="s">
        <v>18260</v>
      </c>
      <c r="AF591" s="2"/>
      <c r="AG591" s="2" t="s">
        <v>18250</v>
      </c>
    </row>
    <row r="592" spans="1:33" x14ac:dyDescent="0.45">
      <c r="A592" s="2" t="s">
        <v>22340</v>
      </c>
      <c r="B592" s="2" t="s">
        <v>22341</v>
      </c>
      <c r="C592" s="2" t="s">
        <v>22342</v>
      </c>
      <c r="D592" s="2" t="s">
        <v>22343</v>
      </c>
      <c r="E592" s="2" t="s">
        <v>22344</v>
      </c>
      <c r="F592" s="2" t="s">
        <v>3562</v>
      </c>
      <c r="G592" s="2" t="s">
        <v>3562</v>
      </c>
      <c r="H592" s="2" t="s">
        <v>14219</v>
      </c>
      <c r="I592" s="2" t="s">
        <v>60</v>
      </c>
      <c r="J592" s="2" t="s">
        <v>22345</v>
      </c>
      <c r="K592" s="2" t="s">
        <v>22343</v>
      </c>
      <c r="L592" s="2"/>
      <c r="M592" s="2"/>
      <c r="N592" s="2"/>
      <c r="O592" s="2" t="s">
        <v>14219</v>
      </c>
      <c r="P592" s="2" t="s">
        <v>60</v>
      </c>
      <c r="Q592" s="2" t="s">
        <v>22345</v>
      </c>
      <c r="R592" s="2" t="s">
        <v>12387</v>
      </c>
      <c r="S592" s="2" t="s">
        <v>44</v>
      </c>
      <c r="T592" s="2"/>
      <c r="U592" s="2" t="s">
        <v>3527</v>
      </c>
      <c r="V592" s="2" t="s">
        <v>46</v>
      </c>
      <c r="W592" s="2" t="s">
        <v>3527</v>
      </c>
      <c r="X592" s="2" t="s">
        <v>10787</v>
      </c>
      <c r="Y592" s="2" t="s">
        <v>10801</v>
      </c>
      <c r="Z592" s="2" t="s">
        <v>7864</v>
      </c>
      <c r="AA592" s="2">
        <v>100</v>
      </c>
      <c r="AB592" s="2">
        <v>5</v>
      </c>
      <c r="AC592" s="2" t="s">
        <v>10789</v>
      </c>
      <c r="AD592" s="2" t="s">
        <v>22346</v>
      </c>
      <c r="AE592" s="2" t="s">
        <v>18260</v>
      </c>
      <c r="AF592" s="2"/>
      <c r="AG592" s="2" t="s">
        <v>18250</v>
      </c>
    </row>
    <row r="593" spans="1:33" x14ac:dyDescent="0.45">
      <c r="A593" s="2" t="s">
        <v>22347</v>
      </c>
      <c r="B593" s="2" t="s">
        <v>22348</v>
      </c>
      <c r="C593" s="2" t="s">
        <v>22349</v>
      </c>
      <c r="D593" s="2" t="s">
        <v>22350</v>
      </c>
      <c r="E593" s="2" t="s">
        <v>22351</v>
      </c>
      <c r="F593" s="2" t="s">
        <v>22352</v>
      </c>
      <c r="G593" s="2" t="s">
        <v>22352</v>
      </c>
      <c r="H593" s="2" t="s">
        <v>384</v>
      </c>
      <c r="I593" s="2" t="s">
        <v>73</v>
      </c>
      <c r="J593" s="2" t="s">
        <v>559</v>
      </c>
      <c r="K593" s="2"/>
      <c r="L593" s="2"/>
      <c r="M593" s="2"/>
      <c r="N593" s="2"/>
      <c r="O593" s="2"/>
      <c r="P593" s="2"/>
      <c r="Q593" s="2"/>
      <c r="R593" s="2" t="s">
        <v>733</v>
      </c>
      <c r="S593" s="2" t="s">
        <v>44</v>
      </c>
      <c r="T593" s="2"/>
      <c r="U593" s="2" t="s">
        <v>3527</v>
      </c>
      <c r="V593" s="2" t="s">
        <v>46</v>
      </c>
      <c r="W593" s="2" t="s">
        <v>3527</v>
      </c>
      <c r="X593" s="2" t="s">
        <v>10787</v>
      </c>
      <c r="Y593" s="2" t="s">
        <v>10801</v>
      </c>
      <c r="Z593" s="2" t="s">
        <v>7864</v>
      </c>
      <c r="AA593" s="2">
        <v>100</v>
      </c>
      <c r="AB593" s="2">
        <v>10</v>
      </c>
      <c r="AC593" s="2" t="s">
        <v>10789</v>
      </c>
      <c r="AD593" s="2" t="s">
        <v>22353</v>
      </c>
      <c r="AE593" s="2" t="s">
        <v>18260</v>
      </c>
      <c r="AF593" s="2"/>
      <c r="AG593" s="2" t="s">
        <v>18250</v>
      </c>
    </row>
    <row r="594" spans="1:33" x14ac:dyDescent="0.45">
      <c r="A594" s="2" t="s">
        <v>22354</v>
      </c>
      <c r="B594" s="2" t="s">
        <v>22355</v>
      </c>
      <c r="C594" s="2" t="s">
        <v>22356</v>
      </c>
      <c r="D594" s="2" t="s">
        <v>22357</v>
      </c>
      <c r="E594" s="2" t="s">
        <v>22358</v>
      </c>
      <c r="F594" s="2"/>
      <c r="G594" s="2"/>
      <c r="H594" s="2" t="s">
        <v>384</v>
      </c>
      <c r="I594" s="2" t="s">
        <v>73</v>
      </c>
      <c r="J594" s="2" t="s">
        <v>5642</v>
      </c>
      <c r="K594" s="2" t="s">
        <v>22357</v>
      </c>
      <c r="L594" s="2"/>
      <c r="M594" s="2"/>
      <c r="N594" s="2"/>
      <c r="O594" s="2" t="s">
        <v>384</v>
      </c>
      <c r="P594" s="2" t="s">
        <v>73</v>
      </c>
      <c r="Q594" s="2" t="s">
        <v>5642</v>
      </c>
      <c r="R594" s="2" t="s">
        <v>22359</v>
      </c>
      <c r="S594" s="2" t="s">
        <v>44</v>
      </c>
      <c r="T594" s="2"/>
      <c r="U594" s="2" t="s">
        <v>821</v>
      </c>
      <c r="V594" s="2" t="s">
        <v>46</v>
      </c>
      <c r="W594" s="2" t="s">
        <v>821</v>
      </c>
      <c r="X594" s="2" t="s">
        <v>11537</v>
      </c>
      <c r="Y594" s="2" t="s">
        <v>10801</v>
      </c>
      <c r="Z594" s="2" t="s">
        <v>7864</v>
      </c>
      <c r="AA594" s="2">
        <v>90</v>
      </c>
      <c r="AB594" s="2">
        <v>7</v>
      </c>
      <c r="AC594" s="2" t="s">
        <v>10789</v>
      </c>
      <c r="AD594" s="2" t="s">
        <v>22360</v>
      </c>
      <c r="AE594" s="2" t="s">
        <v>18260</v>
      </c>
      <c r="AF594" s="2"/>
      <c r="AG594" s="2" t="s">
        <v>18250</v>
      </c>
    </row>
    <row r="595" spans="1:33" x14ac:dyDescent="0.45">
      <c r="A595" s="2" t="s">
        <v>22361</v>
      </c>
      <c r="B595" s="2" t="s">
        <v>22362</v>
      </c>
      <c r="C595" s="2" t="s">
        <v>22363</v>
      </c>
      <c r="D595" s="2" t="s">
        <v>22364</v>
      </c>
      <c r="E595" s="2" t="s">
        <v>22365</v>
      </c>
      <c r="F595" s="2"/>
      <c r="G595" s="2"/>
      <c r="H595" s="2" t="s">
        <v>72</v>
      </c>
      <c r="I595" s="2" t="s">
        <v>73</v>
      </c>
      <c r="J595" s="2" t="s">
        <v>607</v>
      </c>
      <c r="K595" s="2" t="s">
        <v>22364</v>
      </c>
      <c r="L595" s="2"/>
      <c r="M595" s="2"/>
      <c r="N595" s="2"/>
      <c r="O595" s="2" t="s">
        <v>72</v>
      </c>
      <c r="P595" s="2" t="s">
        <v>73</v>
      </c>
      <c r="Q595" s="2" t="s">
        <v>607</v>
      </c>
      <c r="R595" s="2" t="s">
        <v>22366</v>
      </c>
      <c r="S595" s="2" t="s">
        <v>44</v>
      </c>
      <c r="T595" s="2"/>
      <c r="U595" s="2" t="s">
        <v>3527</v>
      </c>
      <c r="V595" s="2" t="s">
        <v>46</v>
      </c>
      <c r="W595" s="2" t="s">
        <v>3527</v>
      </c>
      <c r="X595" s="2" t="s">
        <v>10787</v>
      </c>
      <c r="Y595" s="2" t="s">
        <v>10801</v>
      </c>
      <c r="Z595" s="2" t="s">
        <v>7864</v>
      </c>
      <c r="AA595" s="2">
        <v>90</v>
      </c>
      <c r="AB595" s="2">
        <v>0</v>
      </c>
      <c r="AC595" s="2" t="s">
        <v>10789</v>
      </c>
      <c r="AD595" s="2" t="s">
        <v>22367</v>
      </c>
      <c r="AE595" s="2" t="s">
        <v>18260</v>
      </c>
      <c r="AF595" s="2"/>
      <c r="AG595" s="2" t="s">
        <v>18250</v>
      </c>
    </row>
    <row r="596" spans="1:33" x14ac:dyDescent="0.45">
      <c r="A596" s="2" t="s">
        <v>22368</v>
      </c>
      <c r="B596" s="2" t="s">
        <v>22369</v>
      </c>
      <c r="C596" s="2" t="s">
        <v>22370</v>
      </c>
      <c r="D596" s="2" t="s">
        <v>22371</v>
      </c>
      <c r="E596" s="2" t="s">
        <v>22372</v>
      </c>
      <c r="F596" s="2" t="s">
        <v>22373</v>
      </c>
      <c r="G596" s="2"/>
      <c r="H596" s="2" t="s">
        <v>220</v>
      </c>
      <c r="I596" s="2" t="s">
        <v>221</v>
      </c>
      <c r="J596" s="2" t="s">
        <v>222</v>
      </c>
      <c r="K596" s="2" t="s">
        <v>22371</v>
      </c>
      <c r="L596" s="2"/>
      <c r="M596" s="2"/>
      <c r="N596" s="2"/>
      <c r="O596" s="2" t="s">
        <v>220</v>
      </c>
      <c r="P596" s="2" t="s">
        <v>221</v>
      </c>
      <c r="Q596" s="2" t="s">
        <v>222</v>
      </c>
      <c r="R596" s="2" t="s">
        <v>5286</v>
      </c>
      <c r="S596" s="2" t="s">
        <v>44</v>
      </c>
      <c r="T596" s="2"/>
      <c r="U596" s="2" t="s">
        <v>3527</v>
      </c>
      <c r="V596" s="2" t="s">
        <v>46</v>
      </c>
      <c r="W596" s="2" t="s">
        <v>3527</v>
      </c>
      <c r="X596" s="2" t="s">
        <v>10787</v>
      </c>
      <c r="Y596" s="2" t="s">
        <v>10801</v>
      </c>
      <c r="Z596" s="2" t="s">
        <v>7864</v>
      </c>
      <c r="AA596" s="2">
        <v>100</v>
      </c>
      <c r="AB596" s="2">
        <v>5</v>
      </c>
      <c r="AC596" s="2" t="s">
        <v>10789</v>
      </c>
      <c r="AD596" s="2" t="s">
        <v>22374</v>
      </c>
      <c r="AE596" s="2" t="s">
        <v>18260</v>
      </c>
      <c r="AF596" s="2"/>
      <c r="AG596" s="2" t="s">
        <v>18250</v>
      </c>
    </row>
    <row r="597" spans="1:33" x14ac:dyDescent="0.45">
      <c r="A597" s="2" t="s">
        <v>22375</v>
      </c>
      <c r="B597" s="2" t="s">
        <v>22376</v>
      </c>
      <c r="C597" s="2" t="s">
        <v>22375</v>
      </c>
      <c r="D597" s="2" t="s">
        <v>22377</v>
      </c>
      <c r="E597" s="2" t="s">
        <v>22378</v>
      </c>
      <c r="F597" s="2"/>
      <c r="G597" s="2"/>
      <c r="H597" s="2" t="s">
        <v>174</v>
      </c>
      <c r="I597" s="2" t="s">
        <v>175</v>
      </c>
      <c r="J597" s="2" t="s">
        <v>22379</v>
      </c>
      <c r="K597" s="2" t="s">
        <v>22377</v>
      </c>
      <c r="L597" s="2"/>
      <c r="M597" s="2"/>
      <c r="N597" s="2"/>
      <c r="O597" s="2" t="s">
        <v>174</v>
      </c>
      <c r="P597" s="2" t="s">
        <v>175</v>
      </c>
      <c r="Q597" s="2" t="s">
        <v>22379</v>
      </c>
      <c r="R597" s="2" t="s">
        <v>14234</v>
      </c>
      <c r="S597" s="2" t="s">
        <v>44</v>
      </c>
      <c r="T597" s="2"/>
      <c r="U597" s="2" t="s">
        <v>3527</v>
      </c>
      <c r="V597" s="2" t="s">
        <v>46</v>
      </c>
      <c r="W597" s="2" t="s">
        <v>3527</v>
      </c>
      <c r="X597" s="2" t="s">
        <v>10787</v>
      </c>
      <c r="Y597" s="2" t="s">
        <v>10801</v>
      </c>
      <c r="Z597" s="2" t="s">
        <v>7864</v>
      </c>
      <c r="AA597" s="2">
        <v>90</v>
      </c>
      <c r="AB597" s="2">
        <v>0</v>
      </c>
      <c r="AC597" s="2" t="s">
        <v>10789</v>
      </c>
      <c r="AD597" s="2" t="s">
        <v>22380</v>
      </c>
      <c r="AE597" s="2" t="s">
        <v>18260</v>
      </c>
      <c r="AF597" s="2"/>
      <c r="AG597" s="2" t="s">
        <v>18250</v>
      </c>
    </row>
    <row r="598" spans="1:33" x14ac:dyDescent="0.45">
      <c r="A598" s="2" t="s">
        <v>22381</v>
      </c>
      <c r="B598" s="2" t="s">
        <v>22382</v>
      </c>
      <c r="C598" s="2" t="s">
        <v>22383</v>
      </c>
      <c r="D598" s="2" t="s">
        <v>22384</v>
      </c>
      <c r="E598" s="2" t="s">
        <v>22385</v>
      </c>
      <c r="F598" s="2" t="s">
        <v>22386</v>
      </c>
      <c r="G598" s="2" t="s">
        <v>22386</v>
      </c>
      <c r="H598" s="2" t="s">
        <v>85</v>
      </c>
      <c r="I598" s="2" t="s">
        <v>85</v>
      </c>
      <c r="J598" s="2" t="s">
        <v>2021</v>
      </c>
      <c r="K598" s="2" t="s">
        <v>22384</v>
      </c>
      <c r="L598" s="2"/>
      <c r="M598" s="2"/>
      <c r="N598" s="2"/>
      <c r="O598" s="2" t="s">
        <v>85</v>
      </c>
      <c r="P598" s="2" t="s">
        <v>85</v>
      </c>
      <c r="Q598" s="2" t="s">
        <v>2021</v>
      </c>
      <c r="R598" s="2" t="s">
        <v>22387</v>
      </c>
      <c r="S598" s="2" t="s">
        <v>44</v>
      </c>
      <c r="T598" s="2"/>
      <c r="U598" s="2" t="s">
        <v>3527</v>
      </c>
      <c r="V598" s="2" t="s">
        <v>46</v>
      </c>
      <c r="W598" s="2" t="s">
        <v>3527</v>
      </c>
      <c r="X598" s="2" t="s">
        <v>11537</v>
      </c>
      <c r="Y598" s="2" t="s">
        <v>10801</v>
      </c>
      <c r="Z598" s="2" t="s">
        <v>7864</v>
      </c>
      <c r="AA598" s="2">
        <v>100</v>
      </c>
      <c r="AB598" s="2">
        <v>10</v>
      </c>
      <c r="AC598" s="2" t="s">
        <v>10789</v>
      </c>
      <c r="AD598" s="2" t="s">
        <v>22388</v>
      </c>
      <c r="AE598" s="2" t="s">
        <v>18260</v>
      </c>
      <c r="AF598" s="2"/>
      <c r="AG598" s="2" t="s">
        <v>18250</v>
      </c>
    </row>
    <row r="599" spans="1:33" x14ac:dyDescent="0.45">
      <c r="A599" s="2" t="s">
        <v>22389</v>
      </c>
      <c r="B599" s="2" t="s">
        <v>22390</v>
      </c>
      <c r="C599" s="2" t="s">
        <v>22389</v>
      </c>
      <c r="D599" s="2" t="s">
        <v>22391</v>
      </c>
      <c r="E599" s="2" t="s">
        <v>22392</v>
      </c>
      <c r="F599" s="2" t="s">
        <v>22393</v>
      </c>
      <c r="G599" s="2" t="s">
        <v>22393</v>
      </c>
      <c r="H599" s="2" t="s">
        <v>22394</v>
      </c>
      <c r="I599" s="2" t="s">
        <v>221</v>
      </c>
      <c r="J599" s="2" t="s">
        <v>22395</v>
      </c>
      <c r="K599" s="2"/>
      <c r="L599" s="2"/>
      <c r="M599" s="2"/>
      <c r="N599" s="2"/>
      <c r="O599" s="2"/>
      <c r="P599" s="2"/>
      <c r="Q599" s="2"/>
      <c r="R599" s="2" t="s">
        <v>9560</v>
      </c>
      <c r="S599" s="2" t="s">
        <v>44</v>
      </c>
      <c r="T599" s="2"/>
      <c r="U599" s="2" t="s">
        <v>3527</v>
      </c>
      <c r="V599" s="2" t="s">
        <v>46</v>
      </c>
      <c r="W599" s="2" t="s">
        <v>3527</v>
      </c>
      <c r="X599" s="2" t="s">
        <v>10787</v>
      </c>
      <c r="Y599" s="2" t="s">
        <v>10801</v>
      </c>
      <c r="Z599" s="2" t="s">
        <v>7864</v>
      </c>
      <c r="AA599" s="2">
        <v>100</v>
      </c>
      <c r="AB599" s="2">
        <v>5</v>
      </c>
      <c r="AC599" s="2" t="s">
        <v>10789</v>
      </c>
      <c r="AD599" s="2" t="s">
        <v>22396</v>
      </c>
      <c r="AE599" s="2" t="s">
        <v>18260</v>
      </c>
      <c r="AF599" s="2"/>
      <c r="AG599" s="2" t="s">
        <v>18250</v>
      </c>
    </row>
    <row r="600" spans="1:33" x14ac:dyDescent="0.45">
      <c r="A600" s="2" t="s">
        <v>22397</v>
      </c>
      <c r="B600" s="2" t="s">
        <v>22398</v>
      </c>
      <c r="C600" s="2" t="s">
        <v>22397</v>
      </c>
      <c r="D600" s="2" t="s">
        <v>22399</v>
      </c>
      <c r="E600" s="2" t="s">
        <v>22400</v>
      </c>
      <c r="F600" s="2"/>
      <c r="G600" s="2"/>
      <c r="H600" s="2" t="s">
        <v>174</v>
      </c>
      <c r="I600" s="2" t="s">
        <v>175</v>
      </c>
      <c r="J600" s="2" t="s">
        <v>6703</v>
      </c>
      <c r="K600" s="2" t="s">
        <v>22399</v>
      </c>
      <c r="L600" s="2"/>
      <c r="M600" s="2"/>
      <c r="N600" s="2"/>
      <c r="O600" s="2" t="s">
        <v>174</v>
      </c>
      <c r="P600" s="2" t="s">
        <v>175</v>
      </c>
      <c r="Q600" s="2" t="s">
        <v>6703</v>
      </c>
      <c r="R600" s="2" t="s">
        <v>2848</v>
      </c>
      <c r="S600" s="2" t="s">
        <v>44</v>
      </c>
      <c r="T600" s="2"/>
      <c r="U600" s="2" t="s">
        <v>3527</v>
      </c>
      <c r="V600" s="2" t="s">
        <v>46</v>
      </c>
      <c r="W600" s="2" t="s">
        <v>3527</v>
      </c>
      <c r="X600" s="2" t="s">
        <v>10787</v>
      </c>
      <c r="Y600" s="2" t="s">
        <v>10801</v>
      </c>
      <c r="Z600" s="2" t="s">
        <v>7864</v>
      </c>
      <c r="AA600" s="2">
        <v>90</v>
      </c>
      <c r="AB600" s="2">
        <v>0</v>
      </c>
      <c r="AC600" s="2" t="s">
        <v>10789</v>
      </c>
      <c r="AD600" s="2" t="s">
        <v>22401</v>
      </c>
      <c r="AE600" s="2" t="s">
        <v>18260</v>
      </c>
      <c r="AF600" s="2"/>
      <c r="AG600" s="2" t="s">
        <v>18250</v>
      </c>
    </row>
    <row r="601" spans="1:33" x14ac:dyDescent="0.45">
      <c r="A601" s="2" t="s">
        <v>22402</v>
      </c>
      <c r="B601" s="2" t="s">
        <v>22403</v>
      </c>
      <c r="C601" s="2" t="s">
        <v>22404</v>
      </c>
      <c r="D601" s="2" t="s">
        <v>22405</v>
      </c>
      <c r="E601" s="2" t="s">
        <v>22406</v>
      </c>
      <c r="F601" s="2"/>
      <c r="G601" s="2"/>
      <c r="H601" s="2" t="s">
        <v>10397</v>
      </c>
      <c r="I601" s="2" t="s">
        <v>221</v>
      </c>
      <c r="J601" s="2" t="s">
        <v>19765</v>
      </c>
      <c r="K601" s="2" t="s">
        <v>22405</v>
      </c>
      <c r="L601" s="2"/>
      <c r="M601" s="2"/>
      <c r="N601" s="2"/>
      <c r="O601" s="2" t="s">
        <v>10397</v>
      </c>
      <c r="P601" s="2" t="s">
        <v>221</v>
      </c>
      <c r="Q601" s="2" t="s">
        <v>19765</v>
      </c>
      <c r="R601" s="2" t="s">
        <v>13655</v>
      </c>
      <c r="S601" s="2" t="s">
        <v>44</v>
      </c>
      <c r="T601" s="2"/>
      <c r="U601" s="2" t="s">
        <v>3527</v>
      </c>
      <c r="V601" s="2" t="s">
        <v>46</v>
      </c>
      <c r="W601" s="2" t="s">
        <v>3527</v>
      </c>
      <c r="X601" s="2" t="s">
        <v>10787</v>
      </c>
      <c r="Y601" s="2" t="s">
        <v>10801</v>
      </c>
      <c r="Z601" s="2" t="s">
        <v>7864</v>
      </c>
      <c r="AA601" s="2">
        <v>90</v>
      </c>
      <c r="AB601" s="2">
        <v>0</v>
      </c>
      <c r="AC601" s="2" t="s">
        <v>10789</v>
      </c>
      <c r="AD601" s="2" t="s">
        <v>22407</v>
      </c>
      <c r="AE601" s="2" t="s">
        <v>18260</v>
      </c>
      <c r="AF601" s="2"/>
      <c r="AG601" s="2" t="s">
        <v>18250</v>
      </c>
    </row>
    <row r="602" spans="1:33" x14ac:dyDescent="0.45">
      <c r="A602" s="2" t="s">
        <v>22408</v>
      </c>
      <c r="B602" s="2" t="s">
        <v>22409</v>
      </c>
      <c r="C602" s="2" t="s">
        <v>22410</v>
      </c>
      <c r="D602" s="2" t="s">
        <v>22411</v>
      </c>
      <c r="E602" s="2" t="s">
        <v>22412</v>
      </c>
      <c r="F602" s="2" t="s">
        <v>22413</v>
      </c>
      <c r="G602" s="2"/>
      <c r="H602" s="2" t="s">
        <v>277</v>
      </c>
      <c r="I602" s="2" t="s">
        <v>278</v>
      </c>
      <c r="J602" s="2" t="s">
        <v>22414</v>
      </c>
      <c r="K602" s="2"/>
      <c r="L602" s="2"/>
      <c r="M602" s="2"/>
      <c r="N602" s="2"/>
      <c r="O602" s="2"/>
      <c r="P602" s="2"/>
      <c r="Q602" s="2"/>
      <c r="R602" s="2" t="s">
        <v>7581</v>
      </c>
      <c r="S602" s="2" t="s">
        <v>44</v>
      </c>
      <c r="T602" s="2"/>
      <c r="U602" s="2" t="s">
        <v>3527</v>
      </c>
      <c r="V602" s="2" t="s">
        <v>46</v>
      </c>
      <c r="W602" s="2" t="s">
        <v>3527</v>
      </c>
      <c r="X602" s="2" t="s">
        <v>10787</v>
      </c>
      <c r="Y602" s="2" t="s">
        <v>10801</v>
      </c>
      <c r="Z602" s="2" t="s">
        <v>7864</v>
      </c>
      <c r="AA602" s="2">
        <v>100</v>
      </c>
      <c r="AB602" s="2">
        <v>10</v>
      </c>
      <c r="AC602" s="2" t="s">
        <v>10789</v>
      </c>
      <c r="AD602" s="2" t="s">
        <v>22415</v>
      </c>
      <c r="AE602" s="2" t="s">
        <v>18260</v>
      </c>
      <c r="AF602" s="2"/>
      <c r="AG602" s="2" t="s">
        <v>18250</v>
      </c>
    </row>
    <row r="603" spans="1:33" x14ac:dyDescent="0.45">
      <c r="A603" s="2" t="s">
        <v>22416</v>
      </c>
      <c r="B603" s="2" t="s">
        <v>22417</v>
      </c>
      <c r="C603" s="2" t="s">
        <v>22418</v>
      </c>
      <c r="D603" s="2" t="s">
        <v>22419</v>
      </c>
      <c r="E603" s="2" t="s">
        <v>22420</v>
      </c>
      <c r="F603" s="2" t="s">
        <v>22421</v>
      </c>
      <c r="G603" s="2"/>
      <c r="H603" s="2" t="s">
        <v>290</v>
      </c>
      <c r="I603" s="2" t="s">
        <v>278</v>
      </c>
      <c r="J603" s="2" t="s">
        <v>3634</v>
      </c>
      <c r="K603" s="2"/>
      <c r="L603" s="2"/>
      <c r="M603" s="2"/>
      <c r="N603" s="2"/>
      <c r="O603" s="2"/>
      <c r="P603" s="2"/>
      <c r="Q603" s="2"/>
      <c r="R603" s="2" t="s">
        <v>5411</v>
      </c>
      <c r="S603" s="2" t="s">
        <v>44</v>
      </c>
      <c r="T603" s="2"/>
      <c r="U603" s="2" t="s">
        <v>3527</v>
      </c>
      <c r="V603" s="2" t="s">
        <v>46</v>
      </c>
      <c r="W603" s="2" t="s">
        <v>3527</v>
      </c>
      <c r="X603" s="2" t="s">
        <v>10787</v>
      </c>
      <c r="Y603" s="2" t="s">
        <v>10801</v>
      </c>
      <c r="Z603" s="2" t="s">
        <v>7864</v>
      </c>
      <c r="AA603" s="2">
        <v>100</v>
      </c>
      <c r="AB603" s="2">
        <v>10</v>
      </c>
      <c r="AC603" s="2" t="s">
        <v>10789</v>
      </c>
      <c r="AD603" s="2" t="s">
        <v>22422</v>
      </c>
      <c r="AE603" s="2" t="s">
        <v>18260</v>
      </c>
      <c r="AF603" s="2"/>
      <c r="AG603" s="2" t="s">
        <v>18250</v>
      </c>
    </row>
    <row r="604" spans="1:33" x14ac:dyDescent="0.45">
      <c r="A604" s="2" t="s">
        <v>22423</v>
      </c>
      <c r="B604" s="2" t="s">
        <v>22424</v>
      </c>
      <c r="C604" s="2" t="s">
        <v>273</v>
      </c>
      <c r="D604" s="2" t="s">
        <v>22425</v>
      </c>
      <c r="E604" s="2" t="s">
        <v>22426</v>
      </c>
      <c r="F604" s="2" t="s">
        <v>22427</v>
      </c>
      <c r="G604" s="2"/>
      <c r="H604" s="2" t="s">
        <v>72</v>
      </c>
      <c r="I604" s="2" t="s">
        <v>73</v>
      </c>
      <c r="J604" s="2" t="s">
        <v>3571</v>
      </c>
      <c r="K604" s="2"/>
      <c r="L604" s="2"/>
      <c r="M604" s="2"/>
      <c r="N604" s="2"/>
      <c r="O604" s="2"/>
      <c r="P604" s="2"/>
      <c r="Q604" s="2"/>
      <c r="R604" s="2" t="s">
        <v>22428</v>
      </c>
      <c r="S604" s="2" t="s">
        <v>44</v>
      </c>
      <c r="T604" s="2"/>
      <c r="U604" s="2" t="s">
        <v>3527</v>
      </c>
      <c r="V604" s="2" t="s">
        <v>46</v>
      </c>
      <c r="W604" s="2" t="s">
        <v>3527</v>
      </c>
      <c r="X604" s="2" t="s">
        <v>10787</v>
      </c>
      <c r="Y604" s="2" t="s">
        <v>10801</v>
      </c>
      <c r="Z604" s="2" t="s">
        <v>7864</v>
      </c>
      <c r="AA604" s="2">
        <v>100</v>
      </c>
      <c r="AB604" s="2">
        <v>10</v>
      </c>
      <c r="AC604" s="2" t="s">
        <v>10789</v>
      </c>
      <c r="AD604" s="2" t="s">
        <v>22429</v>
      </c>
      <c r="AE604" s="2" t="s">
        <v>18260</v>
      </c>
      <c r="AF604" s="2"/>
      <c r="AG604" s="2" t="s">
        <v>18250</v>
      </c>
    </row>
    <row r="605" spans="1:33" x14ac:dyDescent="0.45">
      <c r="A605" s="2" t="s">
        <v>22430</v>
      </c>
      <c r="B605" s="2" t="s">
        <v>22431</v>
      </c>
      <c r="C605" s="2" t="s">
        <v>22430</v>
      </c>
      <c r="D605" s="2" t="s">
        <v>22432</v>
      </c>
      <c r="E605" s="2" t="s">
        <v>22433</v>
      </c>
      <c r="F605" s="2"/>
      <c r="G605" s="2"/>
      <c r="H605" s="2" t="s">
        <v>277</v>
      </c>
      <c r="I605" s="2" t="s">
        <v>278</v>
      </c>
      <c r="J605" s="2" t="s">
        <v>279</v>
      </c>
      <c r="K605" s="2" t="s">
        <v>22432</v>
      </c>
      <c r="L605" s="2"/>
      <c r="M605" s="2"/>
      <c r="N605" s="2"/>
      <c r="O605" s="2" t="s">
        <v>277</v>
      </c>
      <c r="P605" s="2" t="s">
        <v>278</v>
      </c>
      <c r="Q605" s="2" t="s">
        <v>279</v>
      </c>
      <c r="R605" s="2" t="s">
        <v>4570</v>
      </c>
      <c r="S605" s="2" t="s">
        <v>44</v>
      </c>
      <c r="T605" s="2"/>
      <c r="U605" s="2" t="s">
        <v>3527</v>
      </c>
      <c r="V605" s="2" t="s">
        <v>46</v>
      </c>
      <c r="W605" s="2" t="s">
        <v>3527</v>
      </c>
      <c r="X605" s="2" t="s">
        <v>10787</v>
      </c>
      <c r="Y605" s="2" t="s">
        <v>10801</v>
      </c>
      <c r="Z605" s="2" t="s">
        <v>7864</v>
      </c>
      <c r="AA605" s="2">
        <v>90</v>
      </c>
      <c r="AB605" s="2">
        <v>0</v>
      </c>
      <c r="AC605" s="2" t="s">
        <v>10789</v>
      </c>
      <c r="AD605" s="2" t="s">
        <v>22434</v>
      </c>
      <c r="AE605" s="2" t="s">
        <v>18260</v>
      </c>
      <c r="AF605" s="2"/>
      <c r="AG605" s="2" t="s">
        <v>18250</v>
      </c>
    </row>
    <row r="606" spans="1:33" x14ac:dyDescent="0.45">
      <c r="A606" s="2" t="s">
        <v>22435</v>
      </c>
      <c r="B606" s="2" t="s">
        <v>22436</v>
      </c>
      <c r="C606" s="2" t="s">
        <v>22437</v>
      </c>
      <c r="D606" s="2" t="s">
        <v>22438</v>
      </c>
      <c r="E606" s="2" t="s">
        <v>22439</v>
      </c>
      <c r="F606" s="2" t="s">
        <v>22440</v>
      </c>
      <c r="G606" s="2" t="s">
        <v>22440</v>
      </c>
      <c r="H606" s="2" t="s">
        <v>5984</v>
      </c>
      <c r="I606" s="2" t="s">
        <v>313</v>
      </c>
      <c r="J606" s="2" t="s">
        <v>5985</v>
      </c>
      <c r="K606" s="2"/>
      <c r="L606" s="2"/>
      <c r="M606" s="2"/>
      <c r="N606" s="2"/>
      <c r="O606" s="2"/>
      <c r="P606" s="2"/>
      <c r="Q606" s="2"/>
      <c r="R606" s="2" t="s">
        <v>733</v>
      </c>
      <c r="S606" s="2" t="s">
        <v>44</v>
      </c>
      <c r="T606" s="2"/>
      <c r="U606" s="2" t="s">
        <v>3527</v>
      </c>
      <c r="V606" s="2" t="s">
        <v>46</v>
      </c>
      <c r="W606" s="2" t="s">
        <v>3527</v>
      </c>
      <c r="X606" s="2" t="s">
        <v>10787</v>
      </c>
      <c r="Y606" s="2" t="s">
        <v>10801</v>
      </c>
      <c r="Z606" s="2" t="s">
        <v>7864</v>
      </c>
      <c r="AA606" s="2">
        <v>100</v>
      </c>
      <c r="AB606" s="2">
        <v>5</v>
      </c>
      <c r="AC606" s="2" t="s">
        <v>10789</v>
      </c>
      <c r="AD606" s="2" t="s">
        <v>22441</v>
      </c>
      <c r="AE606" s="2" t="s">
        <v>18260</v>
      </c>
      <c r="AF606" s="2"/>
      <c r="AG606" s="2" t="s">
        <v>18250</v>
      </c>
    </row>
    <row r="607" spans="1:33" x14ac:dyDescent="0.45">
      <c r="A607" s="2" t="s">
        <v>22442</v>
      </c>
      <c r="B607" s="2" t="s">
        <v>22443</v>
      </c>
      <c r="C607" s="2" t="s">
        <v>22442</v>
      </c>
      <c r="D607" s="2" t="s">
        <v>22444</v>
      </c>
      <c r="E607" s="2" t="s">
        <v>22445</v>
      </c>
      <c r="F607" s="2" t="s">
        <v>22446</v>
      </c>
      <c r="G607" s="2" t="s">
        <v>22446</v>
      </c>
      <c r="H607" s="2" t="s">
        <v>216</v>
      </c>
      <c r="I607" s="2" t="s">
        <v>217</v>
      </c>
      <c r="J607" s="2" t="s">
        <v>7420</v>
      </c>
      <c r="K607" s="2" t="s">
        <v>22444</v>
      </c>
      <c r="L607" s="2"/>
      <c r="M607" s="2"/>
      <c r="N607" s="2"/>
      <c r="O607" s="2" t="s">
        <v>216</v>
      </c>
      <c r="P607" s="2" t="s">
        <v>217</v>
      </c>
      <c r="Q607" s="2" t="s">
        <v>7420</v>
      </c>
      <c r="R607" s="2" t="s">
        <v>5594</v>
      </c>
      <c r="S607" s="2" t="s">
        <v>44</v>
      </c>
      <c r="T607" s="2"/>
      <c r="U607" s="2" t="s">
        <v>3527</v>
      </c>
      <c r="V607" s="2" t="s">
        <v>46</v>
      </c>
      <c r="W607" s="2" t="s">
        <v>3527</v>
      </c>
      <c r="X607" s="2" t="s">
        <v>10787</v>
      </c>
      <c r="Y607" s="2" t="s">
        <v>10801</v>
      </c>
      <c r="Z607" s="2" t="s">
        <v>7864</v>
      </c>
      <c r="AA607" s="2">
        <v>100</v>
      </c>
      <c r="AB607" s="2">
        <v>10</v>
      </c>
      <c r="AC607" s="2" t="s">
        <v>10789</v>
      </c>
      <c r="AD607" s="2" t="s">
        <v>22447</v>
      </c>
      <c r="AE607" s="2" t="s">
        <v>18260</v>
      </c>
      <c r="AF607" s="2"/>
      <c r="AG607" s="2" t="s">
        <v>18250</v>
      </c>
    </row>
    <row r="608" spans="1:33" x14ac:dyDescent="0.45">
      <c r="A608" s="2" t="s">
        <v>22448</v>
      </c>
      <c r="B608" s="2" t="s">
        <v>22449</v>
      </c>
      <c r="C608" s="2" t="s">
        <v>22450</v>
      </c>
      <c r="D608" s="2" t="s">
        <v>22451</v>
      </c>
      <c r="E608" s="2" t="s">
        <v>22452</v>
      </c>
      <c r="F608" s="2"/>
      <c r="G608" s="2"/>
      <c r="H608" s="2" t="s">
        <v>290</v>
      </c>
      <c r="I608" s="2" t="s">
        <v>278</v>
      </c>
      <c r="J608" s="2" t="s">
        <v>18729</v>
      </c>
      <c r="K608" s="2" t="s">
        <v>22453</v>
      </c>
      <c r="L608" s="2"/>
      <c r="M608" s="2"/>
      <c r="N608" s="2"/>
      <c r="O608" s="2" t="s">
        <v>290</v>
      </c>
      <c r="P608" s="2" t="s">
        <v>278</v>
      </c>
      <c r="Q608" s="2" t="s">
        <v>18729</v>
      </c>
      <c r="R608" s="2" t="s">
        <v>6993</v>
      </c>
      <c r="S608" s="2" t="s">
        <v>44</v>
      </c>
      <c r="T608" s="2"/>
      <c r="U608" s="2" t="s">
        <v>3527</v>
      </c>
      <c r="V608" s="2" t="s">
        <v>46</v>
      </c>
      <c r="W608" s="2" t="s">
        <v>3527</v>
      </c>
      <c r="X608" s="2" t="s">
        <v>10787</v>
      </c>
      <c r="Y608" s="2" t="s">
        <v>10801</v>
      </c>
      <c r="Z608" s="2" t="s">
        <v>7864</v>
      </c>
      <c r="AA608" s="2">
        <v>90</v>
      </c>
      <c r="AB608" s="2">
        <v>0</v>
      </c>
      <c r="AC608" s="2" t="s">
        <v>10789</v>
      </c>
      <c r="AD608" s="2" t="s">
        <v>22454</v>
      </c>
      <c r="AE608" s="2" t="s">
        <v>18260</v>
      </c>
      <c r="AF608" s="2"/>
      <c r="AG608" s="2" t="s">
        <v>18250</v>
      </c>
    </row>
    <row r="609" spans="1:33" x14ac:dyDescent="0.45">
      <c r="A609" s="2" t="s">
        <v>22455</v>
      </c>
      <c r="B609" s="2" t="s">
        <v>22456</v>
      </c>
      <c r="C609" s="2" t="s">
        <v>22457</v>
      </c>
      <c r="D609" s="2" t="s">
        <v>22458</v>
      </c>
      <c r="E609" s="2" t="s">
        <v>22459</v>
      </c>
      <c r="F609" s="2"/>
      <c r="G609" s="2"/>
      <c r="H609" s="2" t="s">
        <v>22460</v>
      </c>
      <c r="I609" s="2" t="s">
        <v>73</v>
      </c>
      <c r="J609" s="2" t="s">
        <v>22461</v>
      </c>
      <c r="K609" s="2" t="s">
        <v>22458</v>
      </c>
      <c r="L609" s="2"/>
      <c r="M609" s="2"/>
      <c r="N609" s="2"/>
      <c r="O609" s="2" t="s">
        <v>22460</v>
      </c>
      <c r="P609" s="2" t="s">
        <v>73</v>
      </c>
      <c r="Q609" s="2" t="s">
        <v>22461</v>
      </c>
      <c r="R609" s="2" t="s">
        <v>22462</v>
      </c>
      <c r="S609" s="2" t="s">
        <v>44</v>
      </c>
      <c r="T609" s="2"/>
      <c r="U609" s="2" t="s">
        <v>3527</v>
      </c>
      <c r="V609" s="2" t="s">
        <v>46</v>
      </c>
      <c r="W609" s="2" t="s">
        <v>3527</v>
      </c>
      <c r="X609" s="2" t="s">
        <v>10787</v>
      </c>
      <c r="Y609" s="2" t="s">
        <v>10801</v>
      </c>
      <c r="Z609" s="2" t="s">
        <v>7864</v>
      </c>
      <c r="AA609" s="2">
        <v>90</v>
      </c>
      <c r="AB609" s="2">
        <v>0</v>
      </c>
      <c r="AC609" s="2" t="s">
        <v>10789</v>
      </c>
      <c r="AD609" s="2" t="s">
        <v>22463</v>
      </c>
      <c r="AE609" s="2" t="s">
        <v>18260</v>
      </c>
      <c r="AF609" s="2"/>
      <c r="AG609" s="2" t="s">
        <v>18250</v>
      </c>
    </row>
    <row r="610" spans="1:33" x14ac:dyDescent="0.45">
      <c r="A610" s="2" t="s">
        <v>22455</v>
      </c>
      <c r="B610" s="2" t="s">
        <v>22456</v>
      </c>
      <c r="C610" s="2" t="s">
        <v>22457</v>
      </c>
      <c r="D610" s="2" t="s">
        <v>22458</v>
      </c>
      <c r="E610" s="2" t="s">
        <v>22459</v>
      </c>
      <c r="F610" s="2"/>
      <c r="G610" s="2"/>
      <c r="H610" s="2" t="s">
        <v>22460</v>
      </c>
      <c r="I610" s="2" t="s">
        <v>73</v>
      </c>
      <c r="J610" s="2" t="s">
        <v>22461</v>
      </c>
      <c r="K610" s="2" t="s">
        <v>22458</v>
      </c>
      <c r="L610" s="2"/>
      <c r="M610" s="2"/>
      <c r="N610" s="2"/>
      <c r="O610" s="2" t="s">
        <v>22460</v>
      </c>
      <c r="P610" s="2" t="s">
        <v>73</v>
      </c>
      <c r="Q610" s="2" t="s">
        <v>22461</v>
      </c>
      <c r="R610" s="2" t="s">
        <v>22462</v>
      </c>
      <c r="S610" s="2" t="s">
        <v>44</v>
      </c>
      <c r="T610" s="2"/>
      <c r="U610" s="2" t="s">
        <v>3527</v>
      </c>
      <c r="V610" s="2" t="s">
        <v>46</v>
      </c>
      <c r="W610" s="2" t="s">
        <v>3527</v>
      </c>
      <c r="X610" s="2" t="s">
        <v>10787</v>
      </c>
      <c r="Y610" s="2" t="s">
        <v>10801</v>
      </c>
      <c r="Z610" s="2" t="s">
        <v>7864</v>
      </c>
      <c r="AA610" s="2">
        <v>90</v>
      </c>
      <c r="AB610" s="2">
        <v>0</v>
      </c>
      <c r="AC610" s="2" t="s">
        <v>10789</v>
      </c>
      <c r="AD610" s="2" t="s">
        <v>22463</v>
      </c>
      <c r="AE610" s="2" t="s">
        <v>18260</v>
      </c>
      <c r="AF610" s="2"/>
      <c r="AG610" s="2" t="s">
        <v>18250</v>
      </c>
    </row>
    <row r="611" spans="1:33" x14ac:dyDescent="0.45">
      <c r="A611" s="2" t="s">
        <v>22464</v>
      </c>
      <c r="B611" s="2" t="s">
        <v>22465</v>
      </c>
      <c r="C611" s="2" t="s">
        <v>22466</v>
      </c>
      <c r="D611" s="2" t="s">
        <v>22467</v>
      </c>
      <c r="E611" s="2" t="s">
        <v>22468</v>
      </c>
      <c r="F611" s="2" t="s">
        <v>22469</v>
      </c>
      <c r="G611" s="2"/>
      <c r="H611" s="2" t="s">
        <v>6029</v>
      </c>
      <c r="I611" s="2" t="s">
        <v>278</v>
      </c>
      <c r="J611" s="2" t="s">
        <v>19675</v>
      </c>
      <c r="K611" s="2"/>
      <c r="L611" s="2"/>
      <c r="M611" s="2"/>
      <c r="N611" s="2"/>
      <c r="O611" s="2"/>
      <c r="P611" s="2"/>
      <c r="Q611" s="2"/>
      <c r="R611" s="2" t="s">
        <v>12050</v>
      </c>
      <c r="S611" s="2" t="s">
        <v>44</v>
      </c>
      <c r="T611" s="2"/>
      <c r="U611" s="2" t="s">
        <v>3527</v>
      </c>
      <c r="V611" s="2" t="s">
        <v>46</v>
      </c>
      <c r="W611" s="2" t="s">
        <v>3527</v>
      </c>
      <c r="X611" s="2" t="s">
        <v>10787</v>
      </c>
      <c r="Y611" s="2" t="s">
        <v>10801</v>
      </c>
      <c r="Z611" s="2" t="s">
        <v>7864</v>
      </c>
      <c r="AA611" s="2">
        <v>100</v>
      </c>
      <c r="AB611" s="2">
        <v>5</v>
      </c>
      <c r="AC611" s="2" t="s">
        <v>10789</v>
      </c>
      <c r="AD611" s="2" t="s">
        <v>22470</v>
      </c>
      <c r="AE611" s="2" t="s">
        <v>18260</v>
      </c>
      <c r="AF611" s="2"/>
      <c r="AG611" s="2" t="s">
        <v>18250</v>
      </c>
    </row>
    <row r="612" spans="1:33" x14ac:dyDescent="0.45">
      <c r="A612" s="2" t="s">
        <v>22471</v>
      </c>
      <c r="B612" s="2" t="s">
        <v>22472</v>
      </c>
      <c r="C612" s="2" t="s">
        <v>22473</v>
      </c>
      <c r="D612" s="2" t="s">
        <v>22474</v>
      </c>
      <c r="E612" s="2" t="s">
        <v>22475</v>
      </c>
      <c r="F612" s="2" t="s">
        <v>22476</v>
      </c>
      <c r="G612" s="2" t="s">
        <v>22476</v>
      </c>
      <c r="H612" s="2" t="s">
        <v>1188</v>
      </c>
      <c r="I612" s="2" t="s">
        <v>221</v>
      </c>
      <c r="J612" s="2" t="s">
        <v>11130</v>
      </c>
      <c r="K612" s="2" t="s">
        <v>22474</v>
      </c>
      <c r="L612" s="2"/>
      <c r="M612" s="2"/>
      <c r="N612" s="2"/>
      <c r="O612" s="2" t="s">
        <v>1188</v>
      </c>
      <c r="P612" s="2" t="s">
        <v>221</v>
      </c>
      <c r="Q612" s="2" t="s">
        <v>11130</v>
      </c>
      <c r="R612" s="2" t="s">
        <v>12874</v>
      </c>
      <c r="S612" s="2" t="s">
        <v>44</v>
      </c>
      <c r="T612" s="2"/>
      <c r="U612" s="2" t="s">
        <v>821</v>
      </c>
      <c r="V612" s="2" t="s">
        <v>46</v>
      </c>
      <c r="W612" s="2" t="s">
        <v>821</v>
      </c>
      <c r="X612" s="2" t="s">
        <v>10787</v>
      </c>
      <c r="Y612" s="2" t="s">
        <v>10801</v>
      </c>
      <c r="Z612" s="2" t="s">
        <v>7864</v>
      </c>
      <c r="AA612" s="2">
        <v>100</v>
      </c>
      <c r="AB612" s="2">
        <v>17</v>
      </c>
      <c r="AC612" s="2" t="s">
        <v>10789</v>
      </c>
      <c r="AD612" s="2" t="s">
        <v>22477</v>
      </c>
      <c r="AE612" s="2" t="s">
        <v>18260</v>
      </c>
      <c r="AF612" s="2"/>
      <c r="AG612" s="2" t="s">
        <v>18250</v>
      </c>
    </row>
    <row r="613" spans="1:33" x14ac:dyDescent="0.45">
      <c r="A613" s="2" t="s">
        <v>22478</v>
      </c>
      <c r="B613" s="2" t="s">
        <v>22479</v>
      </c>
      <c r="C613" s="2" t="s">
        <v>22478</v>
      </c>
      <c r="D613" s="2" t="s">
        <v>22480</v>
      </c>
      <c r="E613" s="2" t="s">
        <v>22481</v>
      </c>
      <c r="F613" s="2" t="s">
        <v>22482</v>
      </c>
      <c r="G613" s="2" t="s">
        <v>22482</v>
      </c>
      <c r="H613" s="2" t="s">
        <v>1269</v>
      </c>
      <c r="I613" s="2" t="s">
        <v>1176</v>
      </c>
      <c r="J613" s="2" t="s">
        <v>18743</v>
      </c>
      <c r="K613" s="2" t="s">
        <v>22480</v>
      </c>
      <c r="L613" s="2"/>
      <c r="M613" s="2"/>
      <c r="N613" s="2"/>
      <c r="O613" s="2" t="s">
        <v>1269</v>
      </c>
      <c r="P613" s="2" t="s">
        <v>1176</v>
      </c>
      <c r="Q613" s="2" t="s">
        <v>18743</v>
      </c>
      <c r="R613" s="2" t="s">
        <v>5594</v>
      </c>
      <c r="S613" s="2" t="s">
        <v>44</v>
      </c>
      <c r="T613" s="2"/>
      <c r="U613" s="2" t="s">
        <v>3527</v>
      </c>
      <c r="V613" s="2" t="s">
        <v>46</v>
      </c>
      <c r="W613" s="2" t="s">
        <v>3527</v>
      </c>
      <c r="X613" s="2" t="s">
        <v>10787</v>
      </c>
      <c r="Y613" s="2" t="s">
        <v>10801</v>
      </c>
      <c r="Z613" s="2" t="s">
        <v>7864</v>
      </c>
      <c r="AA613" s="2">
        <v>100</v>
      </c>
      <c r="AB613" s="2">
        <v>5</v>
      </c>
      <c r="AC613" s="2" t="s">
        <v>10789</v>
      </c>
      <c r="AD613" s="2" t="s">
        <v>22483</v>
      </c>
      <c r="AE613" s="2" t="s">
        <v>18260</v>
      </c>
      <c r="AF613" s="2"/>
      <c r="AG613" s="2" t="s">
        <v>18250</v>
      </c>
    </row>
    <row r="614" spans="1:33" x14ac:dyDescent="0.45">
      <c r="A614" s="2" t="s">
        <v>22484</v>
      </c>
      <c r="B614" s="2" t="s">
        <v>22485</v>
      </c>
      <c r="C614" s="2" t="s">
        <v>22486</v>
      </c>
      <c r="D614" s="2" t="s">
        <v>22487</v>
      </c>
      <c r="E614" s="2" t="s">
        <v>22488</v>
      </c>
      <c r="F614" s="2"/>
      <c r="G614" s="2"/>
      <c r="H614" s="2" t="s">
        <v>384</v>
      </c>
      <c r="I614" s="2" t="s">
        <v>73</v>
      </c>
      <c r="J614" s="2" t="s">
        <v>14742</v>
      </c>
      <c r="K614" s="2" t="s">
        <v>22487</v>
      </c>
      <c r="L614" s="2"/>
      <c r="M614" s="2"/>
      <c r="N614" s="2"/>
      <c r="O614" s="2" t="s">
        <v>384</v>
      </c>
      <c r="P614" s="2" t="s">
        <v>73</v>
      </c>
      <c r="Q614" s="2" t="s">
        <v>14742</v>
      </c>
      <c r="R614" s="2" t="s">
        <v>924</v>
      </c>
      <c r="S614" s="2" t="s">
        <v>44</v>
      </c>
      <c r="T614" s="2"/>
      <c r="U614" s="2" t="s">
        <v>3527</v>
      </c>
      <c r="V614" s="2" t="s">
        <v>46</v>
      </c>
      <c r="W614" s="2" t="s">
        <v>3527</v>
      </c>
      <c r="X614" s="2" t="s">
        <v>10787</v>
      </c>
      <c r="Y614" s="2" t="s">
        <v>10801</v>
      </c>
      <c r="Z614" s="2" t="s">
        <v>7864</v>
      </c>
      <c r="AA614" s="2">
        <v>90</v>
      </c>
      <c r="AB614" s="2">
        <v>0</v>
      </c>
      <c r="AC614" s="2" t="s">
        <v>10789</v>
      </c>
      <c r="AD614" s="2" t="s">
        <v>22489</v>
      </c>
      <c r="AE614" s="2" t="s">
        <v>18260</v>
      </c>
      <c r="AF614" s="2"/>
      <c r="AG614" s="2" t="s">
        <v>18250</v>
      </c>
    </row>
    <row r="615" spans="1:33" x14ac:dyDescent="0.45">
      <c r="A615" s="2" t="s">
        <v>22490</v>
      </c>
      <c r="B615" s="2" t="s">
        <v>22491</v>
      </c>
      <c r="C615" s="2" t="s">
        <v>22490</v>
      </c>
      <c r="D615" s="2" t="s">
        <v>22492</v>
      </c>
      <c r="E615" s="2" t="s">
        <v>22493</v>
      </c>
      <c r="F615" s="2"/>
      <c r="G615" s="2"/>
      <c r="H615" s="2" t="s">
        <v>8392</v>
      </c>
      <c r="I615" s="2" t="s">
        <v>313</v>
      </c>
      <c r="J615" s="2" t="s">
        <v>10417</v>
      </c>
      <c r="K615" s="2"/>
      <c r="L615" s="2"/>
      <c r="M615" s="2"/>
      <c r="N615" s="2"/>
      <c r="O615" s="2"/>
      <c r="P615" s="2"/>
      <c r="Q615" s="2"/>
      <c r="R615" s="2" t="s">
        <v>8445</v>
      </c>
      <c r="S615" s="2" t="s">
        <v>44</v>
      </c>
      <c r="T615" s="2"/>
      <c r="U615" s="2" t="s">
        <v>3527</v>
      </c>
      <c r="V615" s="2" t="s">
        <v>46</v>
      </c>
      <c r="W615" s="2" t="s">
        <v>3527</v>
      </c>
      <c r="X615" s="2" t="s">
        <v>10787</v>
      </c>
      <c r="Y615" s="2" t="s">
        <v>10801</v>
      </c>
      <c r="Z615" s="2" t="s">
        <v>7864</v>
      </c>
      <c r="AA615" s="2">
        <v>90</v>
      </c>
      <c r="AB615" s="2">
        <v>0</v>
      </c>
      <c r="AC615" s="2" t="s">
        <v>10789</v>
      </c>
      <c r="AD615" s="2" t="s">
        <v>22494</v>
      </c>
      <c r="AE615" s="2" t="s">
        <v>18260</v>
      </c>
      <c r="AF615" s="2"/>
      <c r="AG615" s="2" t="s">
        <v>18250</v>
      </c>
    </row>
    <row r="616" spans="1:33" x14ac:dyDescent="0.45">
      <c r="A616" s="2" t="s">
        <v>22495</v>
      </c>
      <c r="B616" s="2" t="s">
        <v>22496</v>
      </c>
      <c r="C616" s="2" t="s">
        <v>22495</v>
      </c>
      <c r="D616" s="2" t="s">
        <v>22497</v>
      </c>
      <c r="E616" s="2" t="s">
        <v>22498</v>
      </c>
      <c r="F616" s="2" t="s">
        <v>22499</v>
      </c>
      <c r="G616" s="2"/>
      <c r="H616" s="2" t="s">
        <v>59</v>
      </c>
      <c r="I616" s="2" t="s">
        <v>60</v>
      </c>
      <c r="J616" s="2" t="s">
        <v>4050</v>
      </c>
      <c r="K616" s="2" t="s">
        <v>22497</v>
      </c>
      <c r="L616" s="2"/>
      <c r="M616" s="2"/>
      <c r="N616" s="2"/>
      <c r="O616" s="2" t="s">
        <v>59</v>
      </c>
      <c r="P616" s="2" t="s">
        <v>60</v>
      </c>
      <c r="Q616" s="2" t="s">
        <v>4050</v>
      </c>
      <c r="R616" s="2" t="s">
        <v>10800</v>
      </c>
      <c r="S616" s="2" t="s">
        <v>44</v>
      </c>
      <c r="T616" s="2"/>
      <c r="U616" s="2" t="s">
        <v>821</v>
      </c>
      <c r="V616" s="2" t="s">
        <v>46</v>
      </c>
      <c r="W616" s="2" t="s">
        <v>821</v>
      </c>
      <c r="X616" s="2" t="s">
        <v>10787</v>
      </c>
      <c r="Y616" s="2" t="s">
        <v>10801</v>
      </c>
      <c r="Z616" s="2" t="s">
        <v>7864</v>
      </c>
      <c r="AA616" s="2">
        <v>100</v>
      </c>
      <c r="AB616" s="2">
        <v>17</v>
      </c>
      <c r="AC616" s="2" t="s">
        <v>10789</v>
      </c>
      <c r="AD616" s="2" t="s">
        <v>22500</v>
      </c>
      <c r="AE616" s="2" t="s">
        <v>18260</v>
      </c>
      <c r="AF616" s="2"/>
      <c r="AG616" s="2" t="s">
        <v>18250</v>
      </c>
    </row>
    <row r="617" spans="1:33" x14ac:dyDescent="0.45">
      <c r="A617" s="2" t="s">
        <v>22501</v>
      </c>
      <c r="B617" s="2" t="s">
        <v>22502</v>
      </c>
      <c r="C617" s="2" t="s">
        <v>22501</v>
      </c>
      <c r="D617" s="2" t="s">
        <v>22503</v>
      </c>
      <c r="E617" s="2" t="s">
        <v>22504</v>
      </c>
      <c r="F617" s="2"/>
      <c r="G617" s="2"/>
      <c r="H617" s="2" t="s">
        <v>59</v>
      </c>
      <c r="I617" s="2" t="s">
        <v>60</v>
      </c>
      <c r="J617" s="2" t="s">
        <v>1100</v>
      </c>
      <c r="K617" s="2" t="s">
        <v>22503</v>
      </c>
      <c r="L617" s="2"/>
      <c r="M617" s="2"/>
      <c r="N617" s="2"/>
      <c r="O617" s="2" t="s">
        <v>59</v>
      </c>
      <c r="P617" s="2" t="s">
        <v>60</v>
      </c>
      <c r="Q617" s="2" t="s">
        <v>1100</v>
      </c>
      <c r="R617" s="2" t="s">
        <v>14234</v>
      </c>
      <c r="S617" s="2" t="s">
        <v>44</v>
      </c>
      <c r="T617" s="2"/>
      <c r="U617" s="2" t="s">
        <v>3527</v>
      </c>
      <c r="V617" s="2" t="s">
        <v>46</v>
      </c>
      <c r="W617" s="2" t="s">
        <v>3527</v>
      </c>
      <c r="X617" s="2" t="s">
        <v>11537</v>
      </c>
      <c r="Y617" s="2" t="s">
        <v>10801</v>
      </c>
      <c r="Z617" s="2" t="s">
        <v>7864</v>
      </c>
      <c r="AA617" s="2">
        <v>90</v>
      </c>
      <c r="AB617" s="2">
        <v>0</v>
      </c>
      <c r="AC617" s="2" t="s">
        <v>10789</v>
      </c>
      <c r="AD617" s="2" t="s">
        <v>22505</v>
      </c>
      <c r="AE617" s="2" t="s">
        <v>18260</v>
      </c>
      <c r="AF617" s="2"/>
      <c r="AG617" s="2" t="s">
        <v>18250</v>
      </c>
    </row>
    <row r="618" spans="1:33" x14ac:dyDescent="0.45">
      <c r="A618" s="2" t="s">
        <v>22506</v>
      </c>
      <c r="B618" s="2" t="s">
        <v>22507</v>
      </c>
      <c r="C618" s="2" t="s">
        <v>22508</v>
      </c>
      <c r="D618" s="2" t="s">
        <v>22509</v>
      </c>
      <c r="E618" s="2" t="s">
        <v>22510</v>
      </c>
      <c r="F618" s="2" t="s">
        <v>22511</v>
      </c>
      <c r="G618" s="2"/>
      <c r="H618" s="2" t="s">
        <v>384</v>
      </c>
      <c r="I618" s="2" t="s">
        <v>73</v>
      </c>
      <c r="J618" s="2" t="s">
        <v>22512</v>
      </c>
      <c r="K618" s="2" t="s">
        <v>22513</v>
      </c>
      <c r="L618" s="2"/>
      <c r="M618" s="2"/>
      <c r="N618" s="2"/>
      <c r="O618" s="2" t="s">
        <v>384</v>
      </c>
      <c r="P618" s="2" t="s">
        <v>73</v>
      </c>
      <c r="Q618" s="2" t="s">
        <v>22512</v>
      </c>
      <c r="R618" s="2" t="s">
        <v>5286</v>
      </c>
      <c r="S618" s="2" t="s">
        <v>44</v>
      </c>
      <c r="T618" s="2"/>
      <c r="U618" s="2" t="s">
        <v>821</v>
      </c>
      <c r="V618" s="2" t="s">
        <v>46</v>
      </c>
      <c r="W618" s="2" t="s">
        <v>821</v>
      </c>
      <c r="X618" s="2" t="s">
        <v>10787</v>
      </c>
      <c r="Y618" s="2" t="s">
        <v>10801</v>
      </c>
      <c r="Z618" s="2" t="s">
        <v>7864</v>
      </c>
      <c r="AA618" s="2">
        <v>100</v>
      </c>
      <c r="AB618" s="2">
        <v>17</v>
      </c>
      <c r="AC618" s="2" t="s">
        <v>10789</v>
      </c>
      <c r="AD618" s="2" t="s">
        <v>22514</v>
      </c>
      <c r="AE618" s="2" t="s">
        <v>18260</v>
      </c>
      <c r="AF618" s="2"/>
      <c r="AG618" s="2" t="s">
        <v>18250</v>
      </c>
    </row>
    <row r="619" spans="1:33" x14ac:dyDescent="0.45">
      <c r="A619" s="2" t="s">
        <v>22515</v>
      </c>
      <c r="B619" s="2" t="s">
        <v>22516</v>
      </c>
      <c r="C619" s="2" t="s">
        <v>22517</v>
      </c>
      <c r="D619" s="2" t="s">
        <v>22518</v>
      </c>
      <c r="E619" s="2" t="s">
        <v>22519</v>
      </c>
      <c r="F619" s="2"/>
      <c r="G619" s="2"/>
      <c r="H619" s="2" t="s">
        <v>1175</v>
      </c>
      <c r="I619" s="2" t="s">
        <v>1176</v>
      </c>
      <c r="J619" s="2" t="s">
        <v>22520</v>
      </c>
      <c r="K619" s="2" t="s">
        <v>22518</v>
      </c>
      <c r="L619" s="2"/>
      <c r="M619" s="2"/>
      <c r="N619" s="2"/>
      <c r="O619" s="2" t="s">
        <v>1175</v>
      </c>
      <c r="P619" s="2" t="s">
        <v>1176</v>
      </c>
      <c r="Q619" s="2" t="s">
        <v>22520</v>
      </c>
      <c r="R619" s="2" t="s">
        <v>13507</v>
      </c>
      <c r="S619" s="2" t="s">
        <v>44</v>
      </c>
      <c r="T619" s="2"/>
      <c r="U619" s="2" t="s">
        <v>3527</v>
      </c>
      <c r="V619" s="2" t="s">
        <v>46</v>
      </c>
      <c r="W619" s="2" t="s">
        <v>3527</v>
      </c>
      <c r="X619" s="2" t="s">
        <v>11537</v>
      </c>
      <c r="Y619" s="2" t="s">
        <v>10801</v>
      </c>
      <c r="Z619" s="2" t="s">
        <v>7864</v>
      </c>
      <c r="AA619" s="2">
        <v>90</v>
      </c>
      <c r="AB619" s="2">
        <v>0</v>
      </c>
      <c r="AC619" s="2" t="s">
        <v>10789</v>
      </c>
      <c r="AD619" s="2" t="s">
        <v>22521</v>
      </c>
      <c r="AE619" s="2" t="s">
        <v>18260</v>
      </c>
      <c r="AF619" s="2"/>
      <c r="AG619" s="2" t="s">
        <v>18250</v>
      </c>
    </row>
    <row r="620" spans="1:33" x14ac:dyDescent="0.45">
      <c r="A620" s="2" t="s">
        <v>22522</v>
      </c>
      <c r="B620" s="2" t="s">
        <v>22523</v>
      </c>
      <c r="C620" s="2" t="s">
        <v>22522</v>
      </c>
      <c r="D620" s="2" t="s">
        <v>22524</v>
      </c>
      <c r="E620" s="2" t="s">
        <v>22525</v>
      </c>
      <c r="F620" s="2"/>
      <c r="G620" s="2"/>
      <c r="H620" s="2" t="s">
        <v>17785</v>
      </c>
      <c r="I620" s="2" t="s">
        <v>1137</v>
      </c>
      <c r="J620" s="2" t="s">
        <v>22526</v>
      </c>
      <c r="K620" s="2" t="s">
        <v>22524</v>
      </c>
      <c r="L620" s="2"/>
      <c r="M620" s="2"/>
      <c r="N620" s="2"/>
      <c r="O620" s="2" t="s">
        <v>17785</v>
      </c>
      <c r="P620" s="2" t="s">
        <v>1137</v>
      </c>
      <c r="Q620" s="2" t="s">
        <v>22526</v>
      </c>
      <c r="R620" s="2" t="s">
        <v>6902</v>
      </c>
      <c r="S620" s="2" t="s">
        <v>44</v>
      </c>
      <c r="T620" s="2"/>
      <c r="U620" s="2" t="s">
        <v>3527</v>
      </c>
      <c r="V620" s="2" t="s">
        <v>46</v>
      </c>
      <c r="W620" s="2" t="s">
        <v>3527</v>
      </c>
      <c r="X620" s="2" t="s">
        <v>10787</v>
      </c>
      <c r="Y620" s="2" t="s">
        <v>10801</v>
      </c>
      <c r="Z620" s="2" t="s">
        <v>7864</v>
      </c>
      <c r="AA620" s="2">
        <v>90</v>
      </c>
      <c r="AB620" s="2">
        <v>0</v>
      </c>
      <c r="AC620" s="2" t="s">
        <v>10789</v>
      </c>
      <c r="AD620" s="2" t="s">
        <v>22527</v>
      </c>
      <c r="AE620" s="2" t="s">
        <v>18260</v>
      </c>
      <c r="AF620" s="2"/>
      <c r="AG620" s="2" t="s">
        <v>18250</v>
      </c>
    </row>
    <row r="621" spans="1:33" x14ac:dyDescent="0.45">
      <c r="A621" s="2" t="s">
        <v>22528</v>
      </c>
      <c r="B621" s="2" t="s">
        <v>22529</v>
      </c>
      <c r="C621" s="2" t="s">
        <v>22528</v>
      </c>
      <c r="D621" s="2" t="s">
        <v>22530</v>
      </c>
      <c r="E621" s="2" t="s">
        <v>22531</v>
      </c>
      <c r="F621" s="2" t="s">
        <v>22532</v>
      </c>
      <c r="G621" s="2"/>
      <c r="H621" s="2" t="s">
        <v>12536</v>
      </c>
      <c r="I621" s="2" t="s">
        <v>12537</v>
      </c>
      <c r="J621" s="2" t="s">
        <v>22533</v>
      </c>
      <c r="K621" s="2" t="s">
        <v>22534</v>
      </c>
      <c r="L621" s="2"/>
      <c r="M621" s="2"/>
      <c r="N621" s="2"/>
      <c r="O621" s="2" t="s">
        <v>12536</v>
      </c>
      <c r="P621" s="2" t="s">
        <v>12537</v>
      </c>
      <c r="Q621" s="2" t="s">
        <v>22535</v>
      </c>
      <c r="R621" s="2" t="s">
        <v>22536</v>
      </c>
      <c r="S621" s="2" t="s">
        <v>44</v>
      </c>
      <c r="T621" s="2"/>
      <c r="U621" s="2" t="s">
        <v>821</v>
      </c>
      <c r="V621" s="2" t="s">
        <v>46</v>
      </c>
      <c r="W621" s="2" t="s">
        <v>821</v>
      </c>
      <c r="X621" s="2" t="s">
        <v>10787</v>
      </c>
      <c r="Y621" s="2" t="s">
        <v>10801</v>
      </c>
      <c r="Z621" s="2" t="s">
        <v>7864</v>
      </c>
      <c r="AA621" s="2">
        <v>100</v>
      </c>
      <c r="AB621" s="2">
        <v>12</v>
      </c>
      <c r="AC621" s="2" t="s">
        <v>10789</v>
      </c>
      <c r="AD621" s="2" t="s">
        <v>22537</v>
      </c>
      <c r="AE621" s="2" t="s">
        <v>18260</v>
      </c>
      <c r="AF621" s="2"/>
      <c r="AG621" s="2" t="s">
        <v>18250</v>
      </c>
    </row>
    <row r="622" spans="1:33" x14ac:dyDescent="0.45">
      <c r="A622" s="2" t="s">
        <v>22538</v>
      </c>
      <c r="B622" s="2" t="s">
        <v>22539</v>
      </c>
      <c r="C622" s="2" t="s">
        <v>22540</v>
      </c>
      <c r="D622" s="2" t="s">
        <v>22541</v>
      </c>
      <c r="E622" s="2" t="s">
        <v>22542</v>
      </c>
      <c r="F622" s="2"/>
      <c r="G622" s="2"/>
      <c r="H622" s="2" t="s">
        <v>9577</v>
      </c>
      <c r="I622" s="2" t="s">
        <v>278</v>
      </c>
      <c r="J622" s="2" t="s">
        <v>9578</v>
      </c>
      <c r="K622" s="2" t="s">
        <v>22541</v>
      </c>
      <c r="L622" s="2"/>
      <c r="M622" s="2"/>
      <c r="N622" s="2"/>
      <c r="O622" s="2" t="s">
        <v>9577</v>
      </c>
      <c r="P622" s="2" t="s">
        <v>278</v>
      </c>
      <c r="Q622" s="2" t="s">
        <v>9578</v>
      </c>
      <c r="R622" s="2" t="s">
        <v>22543</v>
      </c>
      <c r="S622" s="2" t="s">
        <v>44</v>
      </c>
      <c r="T622" s="2"/>
      <c r="U622" s="2" t="s">
        <v>3527</v>
      </c>
      <c r="V622" s="2" t="s">
        <v>46</v>
      </c>
      <c r="W622" s="2" t="s">
        <v>3527</v>
      </c>
      <c r="X622" s="2" t="s">
        <v>10787</v>
      </c>
      <c r="Y622" s="2" t="s">
        <v>10801</v>
      </c>
      <c r="Z622" s="2" t="s">
        <v>7864</v>
      </c>
      <c r="AA622" s="2">
        <v>90</v>
      </c>
      <c r="AB622" s="2">
        <v>0</v>
      </c>
      <c r="AC622" s="2" t="s">
        <v>10789</v>
      </c>
      <c r="AD622" s="2" t="s">
        <v>22544</v>
      </c>
      <c r="AE622" s="2" t="s">
        <v>18260</v>
      </c>
      <c r="AF622" s="2"/>
      <c r="AG622" s="2" t="s">
        <v>18250</v>
      </c>
    </row>
    <row r="623" spans="1:33" x14ac:dyDescent="0.45">
      <c r="A623" s="2" t="s">
        <v>22545</v>
      </c>
      <c r="B623" s="2" t="s">
        <v>22546</v>
      </c>
      <c r="C623" s="2" t="s">
        <v>22545</v>
      </c>
      <c r="D623" s="2" t="s">
        <v>22547</v>
      </c>
      <c r="E623" s="2" t="s">
        <v>22548</v>
      </c>
      <c r="F623" s="2" t="s">
        <v>22549</v>
      </c>
      <c r="G623" s="2" t="s">
        <v>22549</v>
      </c>
      <c r="H623" s="2" t="s">
        <v>312</v>
      </c>
      <c r="I623" s="2" t="s">
        <v>313</v>
      </c>
      <c r="J623" s="2" t="s">
        <v>22550</v>
      </c>
      <c r="K623" s="2" t="s">
        <v>22547</v>
      </c>
      <c r="L623" s="2"/>
      <c r="M623" s="2"/>
      <c r="N623" s="2"/>
      <c r="O623" s="2" t="s">
        <v>312</v>
      </c>
      <c r="P623" s="2" t="s">
        <v>313</v>
      </c>
      <c r="Q623" s="2" t="s">
        <v>22550</v>
      </c>
      <c r="R623" s="2" t="s">
        <v>5678</v>
      </c>
      <c r="S623" s="2" t="s">
        <v>44</v>
      </c>
      <c r="T623" s="2"/>
      <c r="U623" s="2" t="s">
        <v>3527</v>
      </c>
      <c r="V623" s="2" t="s">
        <v>46</v>
      </c>
      <c r="W623" s="2" t="s">
        <v>3527</v>
      </c>
      <c r="X623" s="2" t="s">
        <v>10787</v>
      </c>
      <c r="Y623" s="2" t="s">
        <v>10801</v>
      </c>
      <c r="Z623" s="2" t="s">
        <v>7864</v>
      </c>
      <c r="AA623" s="2">
        <v>100</v>
      </c>
      <c r="AB623" s="2">
        <v>10</v>
      </c>
      <c r="AC623" s="2" t="s">
        <v>10789</v>
      </c>
      <c r="AD623" s="2" t="s">
        <v>22551</v>
      </c>
      <c r="AE623" s="2" t="s">
        <v>18260</v>
      </c>
      <c r="AF623" s="2"/>
      <c r="AG623" s="2" t="s">
        <v>18250</v>
      </c>
    </row>
    <row r="624" spans="1:33" x14ac:dyDescent="0.45">
      <c r="A624" s="2" t="s">
        <v>22552</v>
      </c>
      <c r="B624" s="2" t="s">
        <v>22553</v>
      </c>
      <c r="C624" s="2" t="s">
        <v>22552</v>
      </c>
      <c r="D624" s="2" t="s">
        <v>22554</v>
      </c>
      <c r="E624" s="2" t="s">
        <v>22555</v>
      </c>
      <c r="F624" s="2"/>
      <c r="G624" s="2"/>
      <c r="H624" s="2" t="s">
        <v>384</v>
      </c>
      <c r="I624" s="2" t="s">
        <v>73</v>
      </c>
      <c r="J624" s="2" t="s">
        <v>832</v>
      </c>
      <c r="K624" s="2" t="s">
        <v>22554</v>
      </c>
      <c r="L624" s="2"/>
      <c r="M624" s="2"/>
      <c r="N624" s="2"/>
      <c r="O624" s="2" t="s">
        <v>384</v>
      </c>
      <c r="P624" s="2" t="s">
        <v>73</v>
      </c>
      <c r="Q624" s="2" t="s">
        <v>832</v>
      </c>
      <c r="R624" s="2" t="s">
        <v>14962</v>
      </c>
      <c r="S624" s="2" t="s">
        <v>44</v>
      </c>
      <c r="T624" s="2"/>
      <c r="U624" s="2" t="s">
        <v>3527</v>
      </c>
      <c r="V624" s="2" t="s">
        <v>46</v>
      </c>
      <c r="W624" s="2" t="s">
        <v>3527</v>
      </c>
      <c r="X624" s="2" t="s">
        <v>10787</v>
      </c>
      <c r="Y624" s="2" t="s">
        <v>10801</v>
      </c>
      <c r="Z624" s="2" t="s">
        <v>7864</v>
      </c>
      <c r="AA624" s="2">
        <v>90</v>
      </c>
      <c r="AB624" s="2">
        <v>0</v>
      </c>
      <c r="AC624" s="2" t="s">
        <v>10789</v>
      </c>
      <c r="AD624" s="2" t="s">
        <v>22556</v>
      </c>
      <c r="AE624" s="2" t="s">
        <v>18260</v>
      </c>
      <c r="AF624" s="2"/>
      <c r="AG624" s="2" t="s">
        <v>18250</v>
      </c>
    </row>
    <row r="625" spans="1:33" x14ac:dyDescent="0.45">
      <c r="A625" s="2" t="s">
        <v>22557</v>
      </c>
      <c r="B625" s="2" t="s">
        <v>22558</v>
      </c>
      <c r="C625" s="2" t="s">
        <v>22557</v>
      </c>
      <c r="D625" s="2" t="s">
        <v>22559</v>
      </c>
      <c r="E625" s="2" t="s">
        <v>22560</v>
      </c>
      <c r="F625" s="2"/>
      <c r="G625" s="2"/>
      <c r="H625" s="2" t="s">
        <v>18404</v>
      </c>
      <c r="I625" s="2" t="s">
        <v>8496</v>
      </c>
      <c r="J625" s="2" t="s">
        <v>22561</v>
      </c>
      <c r="K625" s="2" t="s">
        <v>22562</v>
      </c>
      <c r="L625" s="2"/>
      <c r="M625" s="2"/>
      <c r="N625" s="2"/>
      <c r="O625" s="2" t="s">
        <v>59</v>
      </c>
      <c r="P625" s="2" t="s">
        <v>60</v>
      </c>
      <c r="Q625" s="2" t="s">
        <v>1589</v>
      </c>
      <c r="R625" s="2" t="s">
        <v>1702</v>
      </c>
      <c r="S625" s="2" t="s">
        <v>44</v>
      </c>
      <c r="T625" s="2"/>
      <c r="U625" s="2" t="s">
        <v>821</v>
      </c>
      <c r="V625" s="2" t="s">
        <v>46</v>
      </c>
      <c r="W625" s="2" t="s">
        <v>821</v>
      </c>
      <c r="X625" s="2" t="s">
        <v>10787</v>
      </c>
      <c r="Y625" s="2" t="s">
        <v>10801</v>
      </c>
      <c r="Z625" s="2" t="s">
        <v>7864</v>
      </c>
      <c r="AA625" s="2">
        <v>90</v>
      </c>
      <c r="AB625" s="2">
        <v>2</v>
      </c>
      <c r="AC625" s="2" t="s">
        <v>10789</v>
      </c>
      <c r="AD625" s="2" t="s">
        <v>22563</v>
      </c>
      <c r="AE625" s="2" t="s">
        <v>18260</v>
      </c>
      <c r="AF625" s="2"/>
      <c r="AG625" s="2" t="s">
        <v>18250</v>
      </c>
    </row>
    <row r="626" spans="1:33" x14ac:dyDescent="0.45">
      <c r="A626" s="2" t="s">
        <v>22564</v>
      </c>
      <c r="B626" s="2" t="s">
        <v>22565</v>
      </c>
      <c r="C626" s="2" t="s">
        <v>22564</v>
      </c>
      <c r="D626" s="2" t="s">
        <v>22566</v>
      </c>
      <c r="E626" s="2" t="s">
        <v>22567</v>
      </c>
      <c r="F626" s="2" t="s">
        <v>22568</v>
      </c>
      <c r="G626" s="2" t="s">
        <v>22568</v>
      </c>
      <c r="H626" s="2" t="s">
        <v>85</v>
      </c>
      <c r="I626" s="2" t="s">
        <v>86</v>
      </c>
      <c r="J626" s="2" t="s">
        <v>10640</v>
      </c>
      <c r="K626" s="2" t="s">
        <v>22566</v>
      </c>
      <c r="L626" s="2"/>
      <c r="M626" s="2"/>
      <c r="N626" s="2"/>
      <c r="O626" s="2" t="s">
        <v>85</v>
      </c>
      <c r="P626" s="2" t="s">
        <v>86</v>
      </c>
      <c r="Q626" s="2" t="s">
        <v>10640</v>
      </c>
      <c r="R626" s="2" t="s">
        <v>3777</v>
      </c>
      <c r="S626" s="2" t="s">
        <v>44</v>
      </c>
      <c r="T626" s="2"/>
      <c r="U626" s="2" t="s">
        <v>3527</v>
      </c>
      <c r="V626" s="2" t="s">
        <v>46</v>
      </c>
      <c r="W626" s="2" t="s">
        <v>3527</v>
      </c>
      <c r="X626" s="2" t="s">
        <v>10787</v>
      </c>
      <c r="Y626" s="2" t="s">
        <v>10801</v>
      </c>
      <c r="Z626" s="2" t="s">
        <v>7864</v>
      </c>
      <c r="AA626" s="2">
        <v>100</v>
      </c>
      <c r="AB626" s="2">
        <v>10</v>
      </c>
      <c r="AC626" s="2" t="s">
        <v>10789</v>
      </c>
      <c r="AD626" s="2" t="s">
        <v>22569</v>
      </c>
      <c r="AE626" s="2" t="s">
        <v>18260</v>
      </c>
      <c r="AF626" s="2"/>
      <c r="AG626" s="2" t="s">
        <v>18250</v>
      </c>
    </row>
    <row r="627" spans="1:33" x14ac:dyDescent="0.45">
      <c r="A627" s="2" t="s">
        <v>22570</v>
      </c>
      <c r="B627" s="2" t="s">
        <v>22571</v>
      </c>
      <c r="C627" s="2" t="s">
        <v>22572</v>
      </c>
      <c r="D627" s="2" t="s">
        <v>22573</v>
      </c>
      <c r="E627" s="2" t="s">
        <v>22574</v>
      </c>
      <c r="F627" s="2" t="s">
        <v>22575</v>
      </c>
      <c r="G627" s="2"/>
      <c r="H627" s="2" t="s">
        <v>19731</v>
      </c>
      <c r="I627" s="2" t="s">
        <v>1112</v>
      </c>
      <c r="J627" s="2" t="s">
        <v>22576</v>
      </c>
      <c r="K627" s="2" t="s">
        <v>22573</v>
      </c>
      <c r="L627" s="2"/>
      <c r="M627" s="2"/>
      <c r="N627" s="2"/>
      <c r="O627" s="2" t="s">
        <v>19731</v>
      </c>
      <c r="P627" s="2" t="s">
        <v>1112</v>
      </c>
      <c r="Q627" s="2" t="s">
        <v>22576</v>
      </c>
      <c r="R627" s="2" t="s">
        <v>7438</v>
      </c>
      <c r="S627" s="2" t="s">
        <v>44</v>
      </c>
      <c r="T627" s="2"/>
      <c r="U627" s="2" t="s">
        <v>3527</v>
      </c>
      <c r="V627" s="2" t="s">
        <v>46</v>
      </c>
      <c r="W627" s="2" t="s">
        <v>3527</v>
      </c>
      <c r="X627" s="2" t="s">
        <v>10787</v>
      </c>
      <c r="Y627" s="2" t="s">
        <v>10801</v>
      </c>
      <c r="Z627" s="2" t="s">
        <v>7864</v>
      </c>
      <c r="AA627" s="2">
        <v>100</v>
      </c>
      <c r="AB627" s="2">
        <v>5</v>
      </c>
      <c r="AC627" s="2" t="s">
        <v>10789</v>
      </c>
      <c r="AD627" s="2" t="s">
        <v>22577</v>
      </c>
      <c r="AE627" s="2" t="s">
        <v>18260</v>
      </c>
      <c r="AF627" s="2"/>
      <c r="AG627" s="2" t="s">
        <v>18250</v>
      </c>
    </row>
    <row r="628" spans="1:33" x14ac:dyDescent="0.45">
      <c r="A628" s="2" t="s">
        <v>22578</v>
      </c>
      <c r="B628" s="2" t="s">
        <v>22579</v>
      </c>
      <c r="C628" s="2" t="s">
        <v>22580</v>
      </c>
      <c r="D628" s="2" t="s">
        <v>22581</v>
      </c>
      <c r="E628" s="2" t="s">
        <v>22582</v>
      </c>
      <c r="F628" s="2"/>
      <c r="G628" s="2"/>
      <c r="H628" s="2" t="s">
        <v>1175</v>
      </c>
      <c r="I628" s="2" t="s">
        <v>1176</v>
      </c>
      <c r="J628" s="2" t="s">
        <v>22583</v>
      </c>
      <c r="K628" s="2" t="s">
        <v>22581</v>
      </c>
      <c r="L628" s="2"/>
      <c r="M628" s="2"/>
      <c r="N628" s="2"/>
      <c r="O628" s="2" t="s">
        <v>1175</v>
      </c>
      <c r="P628" s="2" t="s">
        <v>1176</v>
      </c>
      <c r="Q628" s="2" t="s">
        <v>22583</v>
      </c>
      <c r="R628" s="2" t="s">
        <v>924</v>
      </c>
      <c r="S628" s="2" t="s">
        <v>44</v>
      </c>
      <c r="T628" s="2"/>
      <c r="U628" s="2" t="s">
        <v>3527</v>
      </c>
      <c r="V628" s="2" t="s">
        <v>46</v>
      </c>
      <c r="W628" s="2" t="s">
        <v>3527</v>
      </c>
      <c r="X628" s="2" t="s">
        <v>10787</v>
      </c>
      <c r="Y628" s="2" t="s">
        <v>10801</v>
      </c>
      <c r="Z628" s="2" t="s">
        <v>7864</v>
      </c>
      <c r="AA628" s="2">
        <v>90</v>
      </c>
      <c r="AB628" s="2">
        <v>0</v>
      </c>
      <c r="AC628" s="2" t="s">
        <v>10789</v>
      </c>
      <c r="AD628" s="2" t="s">
        <v>22584</v>
      </c>
      <c r="AE628" s="2" t="s">
        <v>18260</v>
      </c>
      <c r="AF628" s="2"/>
      <c r="AG628" s="2" t="s">
        <v>18250</v>
      </c>
    </row>
    <row r="629" spans="1:33" x14ac:dyDescent="0.45">
      <c r="A629" s="2" t="s">
        <v>22585</v>
      </c>
      <c r="B629" s="2" t="s">
        <v>22586</v>
      </c>
      <c r="C629" s="2" t="s">
        <v>22587</v>
      </c>
      <c r="D629" s="2" t="s">
        <v>22588</v>
      </c>
      <c r="E629" s="2" t="s">
        <v>22589</v>
      </c>
      <c r="F629" s="2"/>
      <c r="G629" s="2"/>
      <c r="H629" s="2" t="s">
        <v>220</v>
      </c>
      <c r="I629" s="2" t="s">
        <v>221</v>
      </c>
      <c r="J629" s="2" t="s">
        <v>222</v>
      </c>
      <c r="K629" s="2" t="s">
        <v>22588</v>
      </c>
      <c r="L629" s="2"/>
      <c r="M629" s="2"/>
      <c r="N629" s="2"/>
      <c r="O629" s="2" t="s">
        <v>220</v>
      </c>
      <c r="P629" s="2" t="s">
        <v>221</v>
      </c>
      <c r="Q629" s="2" t="s">
        <v>222</v>
      </c>
      <c r="R629" s="2" t="s">
        <v>20193</v>
      </c>
      <c r="S629" s="2" t="s">
        <v>44</v>
      </c>
      <c r="T629" s="2"/>
      <c r="U629" s="2" t="s">
        <v>821</v>
      </c>
      <c r="V629" s="2" t="s">
        <v>46</v>
      </c>
      <c r="W629" s="2" t="s">
        <v>821</v>
      </c>
      <c r="X629" s="2" t="s">
        <v>10787</v>
      </c>
      <c r="Y629" s="2" t="s">
        <v>10801</v>
      </c>
      <c r="Z629" s="2" t="s">
        <v>7864</v>
      </c>
      <c r="AA629" s="2">
        <v>90</v>
      </c>
      <c r="AB629" s="2">
        <v>2</v>
      </c>
      <c r="AC629" s="2" t="s">
        <v>10789</v>
      </c>
      <c r="AD629" s="2" t="s">
        <v>22590</v>
      </c>
      <c r="AE629" s="2" t="s">
        <v>18260</v>
      </c>
      <c r="AF629" s="2"/>
      <c r="AG629" s="2" t="s">
        <v>18250</v>
      </c>
    </row>
    <row r="630" spans="1:33" x14ac:dyDescent="0.45">
      <c r="A630" s="2" t="s">
        <v>22591</v>
      </c>
      <c r="B630" s="2" t="s">
        <v>22592</v>
      </c>
      <c r="C630" s="2" t="s">
        <v>22591</v>
      </c>
      <c r="D630" s="2" t="s">
        <v>22593</v>
      </c>
      <c r="E630" s="2" t="s">
        <v>22594</v>
      </c>
      <c r="F630" s="2" t="s">
        <v>22595</v>
      </c>
      <c r="G630" s="2" t="s">
        <v>22595</v>
      </c>
      <c r="H630" s="2" t="s">
        <v>22142</v>
      </c>
      <c r="I630" s="2" t="s">
        <v>1209</v>
      </c>
      <c r="J630" s="2" t="s">
        <v>22596</v>
      </c>
      <c r="K630" s="2" t="s">
        <v>22597</v>
      </c>
      <c r="L630" s="2"/>
      <c r="M630" s="2"/>
      <c r="N630" s="2"/>
      <c r="O630" s="2" t="s">
        <v>22142</v>
      </c>
      <c r="P630" s="2" t="s">
        <v>1209</v>
      </c>
      <c r="Q630" s="2" t="s">
        <v>22596</v>
      </c>
      <c r="R630" s="2" t="s">
        <v>11004</v>
      </c>
      <c r="S630" s="2" t="s">
        <v>44</v>
      </c>
      <c r="T630" s="2"/>
      <c r="U630" s="2" t="s">
        <v>3527</v>
      </c>
      <c r="V630" s="2" t="s">
        <v>46</v>
      </c>
      <c r="W630" s="2" t="s">
        <v>3527</v>
      </c>
      <c r="X630" s="2" t="s">
        <v>10787</v>
      </c>
      <c r="Y630" s="2" t="s">
        <v>10801</v>
      </c>
      <c r="Z630" s="2" t="s">
        <v>7864</v>
      </c>
      <c r="AA630" s="2">
        <v>100</v>
      </c>
      <c r="AB630" s="2">
        <v>5</v>
      </c>
      <c r="AC630" s="2" t="s">
        <v>10789</v>
      </c>
      <c r="AD630" s="2" t="s">
        <v>22598</v>
      </c>
      <c r="AE630" s="2" t="s">
        <v>18260</v>
      </c>
      <c r="AF630" s="2"/>
      <c r="AG630" s="2" t="s">
        <v>18250</v>
      </c>
    </row>
    <row r="631" spans="1:33" x14ac:dyDescent="0.45">
      <c r="A631" s="2" t="s">
        <v>22599</v>
      </c>
      <c r="B631" s="2" t="s">
        <v>22600</v>
      </c>
      <c r="C631" s="2" t="s">
        <v>22601</v>
      </c>
      <c r="D631" s="2" t="s">
        <v>22602</v>
      </c>
      <c r="E631" s="2" t="s">
        <v>22603</v>
      </c>
      <c r="F631" s="2"/>
      <c r="G631" s="2"/>
      <c r="H631" s="2" t="s">
        <v>10502</v>
      </c>
      <c r="I631" s="2" t="s">
        <v>1112</v>
      </c>
      <c r="J631" s="2" t="s">
        <v>22604</v>
      </c>
      <c r="K631" s="2" t="s">
        <v>22602</v>
      </c>
      <c r="L631" s="2"/>
      <c r="M631" s="2"/>
      <c r="N631" s="2"/>
      <c r="O631" s="2" t="s">
        <v>10502</v>
      </c>
      <c r="P631" s="2" t="s">
        <v>1112</v>
      </c>
      <c r="Q631" s="2" t="s">
        <v>22604</v>
      </c>
      <c r="R631" s="2" t="s">
        <v>8456</v>
      </c>
      <c r="S631" s="2" t="s">
        <v>44</v>
      </c>
      <c r="T631" s="2"/>
      <c r="U631" s="2" t="s">
        <v>3527</v>
      </c>
      <c r="V631" s="2" t="s">
        <v>46</v>
      </c>
      <c r="W631" s="2" t="s">
        <v>3527</v>
      </c>
      <c r="X631" s="2" t="s">
        <v>10787</v>
      </c>
      <c r="Y631" s="2" t="s">
        <v>10801</v>
      </c>
      <c r="Z631" s="2" t="s">
        <v>7864</v>
      </c>
      <c r="AA631" s="2">
        <v>90</v>
      </c>
      <c r="AB631" s="2">
        <v>0</v>
      </c>
      <c r="AC631" s="2" t="s">
        <v>10789</v>
      </c>
      <c r="AD631" s="2" t="s">
        <v>22605</v>
      </c>
      <c r="AE631" s="2" t="s">
        <v>18260</v>
      </c>
      <c r="AF631" s="2"/>
      <c r="AG631" s="2" t="s">
        <v>18250</v>
      </c>
    </row>
    <row r="632" spans="1:33" x14ac:dyDescent="0.45">
      <c r="A632" s="2" t="s">
        <v>22606</v>
      </c>
      <c r="B632" s="2" t="s">
        <v>22607</v>
      </c>
      <c r="C632" s="2" t="s">
        <v>22606</v>
      </c>
      <c r="D632" s="2" t="s">
        <v>22608</v>
      </c>
      <c r="E632" s="2" t="s">
        <v>22609</v>
      </c>
      <c r="F632" s="2" t="s">
        <v>22610</v>
      </c>
      <c r="G632" s="2" t="s">
        <v>22610</v>
      </c>
      <c r="H632" s="2" t="s">
        <v>72</v>
      </c>
      <c r="I632" s="2" t="s">
        <v>73</v>
      </c>
      <c r="J632" s="2" t="s">
        <v>1896</v>
      </c>
      <c r="K632" s="2" t="s">
        <v>22608</v>
      </c>
      <c r="L632" s="2"/>
      <c r="M632" s="2"/>
      <c r="N632" s="2"/>
      <c r="O632" s="2" t="s">
        <v>72</v>
      </c>
      <c r="P632" s="2" t="s">
        <v>73</v>
      </c>
      <c r="Q632" s="2" t="s">
        <v>1896</v>
      </c>
      <c r="R632" s="2" t="s">
        <v>10091</v>
      </c>
      <c r="S632" s="2" t="s">
        <v>44</v>
      </c>
      <c r="T632" s="2"/>
      <c r="U632" s="2" t="s">
        <v>3527</v>
      </c>
      <c r="V632" s="2" t="s">
        <v>46</v>
      </c>
      <c r="W632" s="2" t="s">
        <v>3527</v>
      </c>
      <c r="X632" s="2" t="s">
        <v>10787</v>
      </c>
      <c r="Y632" s="2" t="s">
        <v>10801</v>
      </c>
      <c r="Z632" s="2" t="s">
        <v>7864</v>
      </c>
      <c r="AA632" s="2">
        <v>100</v>
      </c>
      <c r="AB632" s="2">
        <v>10</v>
      </c>
      <c r="AC632" s="2" t="s">
        <v>10789</v>
      </c>
      <c r="AD632" s="2" t="s">
        <v>22611</v>
      </c>
      <c r="AE632" s="2" t="s">
        <v>18260</v>
      </c>
      <c r="AF632" s="2"/>
      <c r="AG632" s="2" t="s">
        <v>18250</v>
      </c>
    </row>
    <row r="633" spans="1:33" x14ac:dyDescent="0.45">
      <c r="A633" s="2" t="s">
        <v>22612</v>
      </c>
      <c r="B633" s="2" t="s">
        <v>22613</v>
      </c>
      <c r="C633" s="2" t="s">
        <v>22612</v>
      </c>
      <c r="D633" s="2" t="s">
        <v>22614</v>
      </c>
      <c r="E633" s="2" t="s">
        <v>22615</v>
      </c>
      <c r="F633" s="2" t="s">
        <v>22616</v>
      </c>
      <c r="G633" s="2"/>
      <c r="H633" s="2" t="s">
        <v>10376</v>
      </c>
      <c r="I633" s="2" t="s">
        <v>1137</v>
      </c>
      <c r="J633" s="2" t="s">
        <v>8637</v>
      </c>
      <c r="K633" s="2" t="s">
        <v>22614</v>
      </c>
      <c r="L633" s="2"/>
      <c r="M633" s="2"/>
      <c r="N633" s="2"/>
      <c r="O633" s="2" t="s">
        <v>10376</v>
      </c>
      <c r="P633" s="2" t="s">
        <v>1137</v>
      </c>
      <c r="Q633" s="2" t="s">
        <v>8637</v>
      </c>
      <c r="R633" s="2" t="s">
        <v>3169</v>
      </c>
      <c r="S633" s="2" t="s">
        <v>44</v>
      </c>
      <c r="T633" s="2"/>
      <c r="U633" s="2" t="s">
        <v>3527</v>
      </c>
      <c r="V633" s="2" t="s">
        <v>46</v>
      </c>
      <c r="W633" s="2" t="s">
        <v>3527</v>
      </c>
      <c r="X633" s="2" t="s">
        <v>10787</v>
      </c>
      <c r="Y633" s="2" t="s">
        <v>10801</v>
      </c>
      <c r="Z633" s="2" t="s">
        <v>7864</v>
      </c>
      <c r="AA633" s="2">
        <v>100</v>
      </c>
      <c r="AB633" s="2">
        <v>5</v>
      </c>
      <c r="AC633" s="2" t="s">
        <v>10789</v>
      </c>
      <c r="AD633" s="2" t="s">
        <v>22617</v>
      </c>
      <c r="AE633" s="2" t="s">
        <v>18260</v>
      </c>
      <c r="AF633" s="2"/>
      <c r="AG633" s="2" t="s">
        <v>18250</v>
      </c>
    </row>
    <row r="634" spans="1:33" x14ac:dyDescent="0.45">
      <c r="A634" s="2" t="s">
        <v>22618</v>
      </c>
      <c r="B634" s="2" t="s">
        <v>22619</v>
      </c>
      <c r="C634" s="2" t="s">
        <v>22618</v>
      </c>
      <c r="D634" s="2" t="s">
        <v>22620</v>
      </c>
      <c r="E634" s="2" t="s">
        <v>22621</v>
      </c>
      <c r="F634" s="2" t="s">
        <v>22622</v>
      </c>
      <c r="G634" s="2" t="s">
        <v>22622</v>
      </c>
      <c r="H634" s="2" t="s">
        <v>5842</v>
      </c>
      <c r="I634" s="2" t="s">
        <v>221</v>
      </c>
      <c r="J634" s="2" t="s">
        <v>16145</v>
      </c>
      <c r="K634" s="2"/>
      <c r="L634" s="2"/>
      <c r="M634" s="2"/>
      <c r="N634" s="2"/>
      <c r="O634" s="2"/>
      <c r="P634" s="2"/>
      <c r="Q634" s="2"/>
      <c r="R634" s="2" t="s">
        <v>3467</v>
      </c>
      <c r="S634" s="2" t="s">
        <v>44</v>
      </c>
      <c r="T634" s="2"/>
      <c r="U634" s="2" t="s">
        <v>3527</v>
      </c>
      <c r="V634" s="2" t="s">
        <v>46</v>
      </c>
      <c r="W634" s="2" t="s">
        <v>3527</v>
      </c>
      <c r="X634" s="2" t="s">
        <v>10787</v>
      </c>
      <c r="Y634" s="2" t="s">
        <v>10801</v>
      </c>
      <c r="Z634" s="2" t="s">
        <v>7864</v>
      </c>
      <c r="AA634" s="2">
        <v>100</v>
      </c>
      <c r="AB634" s="2">
        <v>5</v>
      </c>
      <c r="AC634" s="2" t="s">
        <v>10789</v>
      </c>
      <c r="AD634" s="2" t="s">
        <v>22623</v>
      </c>
      <c r="AE634" s="2" t="s">
        <v>18260</v>
      </c>
      <c r="AF634" s="2"/>
      <c r="AG634" s="2" t="s">
        <v>18250</v>
      </c>
    </row>
    <row r="635" spans="1:33" x14ac:dyDescent="0.45">
      <c r="A635" s="2" t="s">
        <v>22624</v>
      </c>
      <c r="B635" s="2" t="s">
        <v>22625</v>
      </c>
      <c r="C635" s="2" t="s">
        <v>22626</v>
      </c>
      <c r="D635" s="2" t="s">
        <v>22627</v>
      </c>
      <c r="E635" s="2" t="s">
        <v>22628</v>
      </c>
      <c r="F635" s="2" t="s">
        <v>22629</v>
      </c>
      <c r="G635" s="2" t="s">
        <v>22629</v>
      </c>
      <c r="H635" s="2" t="s">
        <v>72</v>
      </c>
      <c r="I635" s="2" t="s">
        <v>73</v>
      </c>
      <c r="J635" s="2" t="s">
        <v>22630</v>
      </c>
      <c r="K635" s="2" t="s">
        <v>22627</v>
      </c>
      <c r="L635" s="2"/>
      <c r="M635" s="2"/>
      <c r="N635" s="2"/>
      <c r="O635" s="2" t="s">
        <v>72</v>
      </c>
      <c r="P635" s="2" t="s">
        <v>73</v>
      </c>
      <c r="Q635" s="2" t="s">
        <v>22630</v>
      </c>
      <c r="R635" s="2" t="s">
        <v>6828</v>
      </c>
      <c r="S635" s="2" t="s">
        <v>44</v>
      </c>
      <c r="T635" s="2"/>
      <c r="U635" s="2" t="s">
        <v>3527</v>
      </c>
      <c r="V635" s="2" t="s">
        <v>46</v>
      </c>
      <c r="W635" s="2" t="s">
        <v>3527</v>
      </c>
      <c r="X635" s="2" t="s">
        <v>10787</v>
      </c>
      <c r="Y635" s="2" t="s">
        <v>10801</v>
      </c>
      <c r="Z635" s="2" t="s">
        <v>7864</v>
      </c>
      <c r="AA635" s="2">
        <v>100</v>
      </c>
      <c r="AB635" s="2">
        <v>10</v>
      </c>
      <c r="AC635" s="2" t="s">
        <v>10789</v>
      </c>
      <c r="AD635" s="2" t="s">
        <v>22631</v>
      </c>
      <c r="AE635" s="2" t="s">
        <v>18260</v>
      </c>
      <c r="AF635" s="2"/>
      <c r="AG635" s="2" t="s">
        <v>18250</v>
      </c>
    </row>
    <row r="636" spans="1:33" x14ac:dyDescent="0.45">
      <c r="A636" s="2" t="s">
        <v>22632</v>
      </c>
      <c r="B636" s="2" t="s">
        <v>22633</v>
      </c>
      <c r="C636" s="2" t="s">
        <v>22632</v>
      </c>
      <c r="D636" s="2" t="s">
        <v>22634</v>
      </c>
      <c r="E636" s="2" t="s">
        <v>22635</v>
      </c>
      <c r="F636" s="2"/>
      <c r="G636" s="2"/>
      <c r="H636" s="2" t="s">
        <v>12804</v>
      </c>
      <c r="I636" s="2" t="s">
        <v>221</v>
      </c>
      <c r="J636" s="2" t="s">
        <v>22636</v>
      </c>
      <c r="K636" s="2" t="s">
        <v>22634</v>
      </c>
      <c r="L636" s="2"/>
      <c r="M636" s="2"/>
      <c r="N636" s="2"/>
      <c r="O636" s="2" t="s">
        <v>12804</v>
      </c>
      <c r="P636" s="2" t="s">
        <v>221</v>
      </c>
      <c r="Q636" s="2" t="s">
        <v>22636</v>
      </c>
      <c r="R636" s="2" t="s">
        <v>10010</v>
      </c>
      <c r="S636" s="2" t="s">
        <v>44</v>
      </c>
      <c r="T636" s="2"/>
      <c r="U636" s="2" t="s">
        <v>3527</v>
      </c>
      <c r="V636" s="2" t="s">
        <v>46</v>
      </c>
      <c r="W636" s="2" t="s">
        <v>3527</v>
      </c>
      <c r="X636" s="2" t="s">
        <v>10787</v>
      </c>
      <c r="Y636" s="2" t="s">
        <v>10801</v>
      </c>
      <c r="Z636" s="2" t="s">
        <v>7864</v>
      </c>
      <c r="AA636" s="2">
        <v>90</v>
      </c>
      <c r="AB636" s="2">
        <v>0</v>
      </c>
      <c r="AC636" s="2" t="s">
        <v>10789</v>
      </c>
      <c r="AD636" s="2" t="s">
        <v>22637</v>
      </c>
      <c r="AE636" s="2" t="s">
        <v>18260</v>
      </c>
      <c r="AF636" s="2"/>
      <c r="AG636" s="2" t="s">
        <v>18250</v>
      </c>
    </row>
    <row r="637" spans="1:33" x14ac:dyDescent="0.45">
      <c r="A637" s="2" t="s">
        <v>22638</v>
      </c>
      <c r="B637" s="2" t="s">
        <v>22639</v>
      </c>
      <c r="C637" s="2" t="s">
        <v>22638</v>
      </c>
      <c r="D637" s="2" t="s">
        <v>22640</v>
      </c>
      <c r="E637" s="2" t="s">
        <v>22641</v>
      </c>
      <c r="F637" s="2"/>
      <c r="G637" s="2"/>
      <c r="H637" s="2" t="s">
        <v>384</v>
      </c>
      <c r="I637" s="2" t="s">
        <v>73</v>
      </c>
      <c r="J637" s="2" t="s">
        <v>10159</v>
      </c>
      <c r="K637" s="2" t="s">
        <v>22640</v>
      </c>
      <c r="L637" s="2"/>
      <c r="M637" s="2"/>
      <c r="N637" s="2"/>
      <c r="O637" s="2" t="s">
        <v>384</v>
      </c>
      <c r="P637" s="2" t="s">
        <v>73</v>
      </c>
      <c r="Q637" s="2" t="s">
        <v>10159</v>
      </c>
      <c r="R637" s="2" t="s">
        <v>22642</v>
      </c>
      <c r="S637" s="2" t="s">
        <v>44</v>
      </c>
      <c r="T637" s="2"/>
      <c r="U637" s="2" t="s">
        <v>3527</v>
      </c>
      <c r="V637" s="2" t="s">
        <v>46</v>
      </c>
      <c r="W637" s="2" t="s">
        <v>3527</v>
      </c>
      <c r="X637" s="2" t="s">
        <v>11214</v>
      </c>
      <c r="Y637" s="2" t="s">
        <v>10801</v>
      </c>
      <c r="Z637" s="2" t="s">
        <v>7864</v>
      </c>
      <c r="AA637" s="2">
        <v>90</v>
      </c>
      <c r="AB637" s="2">
        <v>0</v>
      </c>
      <c r="AC637" s="2" t="s">
        <v>10789</v>
      </c>
      <c r="AD637" s="2" t="s">
        <v>22643</v>
      </c>
      <c r="AE637" s="2" t="s">
        <v>18260</v>
      </c>
      <c r="AF637" s="2"/>
      <c r="AG637" s="2" t="s">
        <v>18250</v>
      </c>
    </row>
    <row r="638" spans="1:33" x14ac:dyDescent="0.45">
      <c r="A638" s="2" t="s">
        <v>22644</v>
      </c>
      <c r="B638" s="2" t="s">
        <v>22645</v>
      </c>
      <c r="C638" s="2" t="s">
        <v>22644</v>
      </c>
      <c r="D638" s="2" t="s">
        <v>22646</v>
      </c>
      <c r="E638" s="2" t="s">
        <v>22647</v>
      </c>
      <c r="F638" s="2" t="s">
        <v>22648</v>
      </c>
      <c r="G638" s="2" t="s">
        <v>22648</v>
      </c>
      <c r="H638" s="2" t="s">
        <v>384</v>
      </c>
      <c r="I638" s="2" t="s">
        <v>73</v>
      </c>
      <c r="J638" s="2" t="s">
        <v>17359</v>
      </c>
      <c r="K638" s="2"/>
      <c r="L638" s="2"/>
      <c r="M638" s="2"/>
      <c r="N638" s="2"/>
      <c r="O638" s="2"/>
      <c r="P638" s="2"/>
      <c r="Q638" s="2"/>
      <c r="R638" s="2" t="s">
        <v>5747</v>
      </c>
      <c r="S638" s="2" t="s">
        <v>44</v>
      </c>
      <c r="T638" s="2"/>
      <c r="U638" s="2" t="s">
        <v>821</v>
      </c>
      <c r="V638" s="2" t="s">
        <v>46</v>
      </c>
      <c r="W638" s="2" t="s">
        <v>821</v>
      </c>
      <c r="X638" s="2" t="s">
        <v>10787</v>
      </c>
      <c r="Y638" s="2" t="s">
        <v>10801</v>
      </c>
      <c r="Z638" s="2" t="s">
        <v>7864</v>
      </c>
      <c r="AA638" s="2">
        <v>100</v>
      </c>
      <c r="AB638" s="2">
        <v>17</v>
      </c>
      <c r="AC638" s="2" t="s">
        <v>10789</v>
      </c>
      <c r="AD638" s="2" t="s">
        <v>22649</v>
      </c>
      <c r="AE638" s="2" t="s">
        <v>18260</v>
      </c>
      <c r="AF638" s="2"/>
      <c r="AG638" s="2" t="s">
        <v>18250</v>
      </c>
    </row>
    <row r="639" spans="1:33" x14ac:dyDescent="0.45">
      <c r="A639" s="2" t="s">
        <v>22650</v>
      </c>
      <c r="B639" s="2" t="s">
        <v>22651</v>
      </c>
      <c r="C639" s="2" t="s">
        <v>22650</v>
      </c>
      <c r="D639" s="2" t="s">
        <v>22652</v>
      </c>
      <c r="E639" s="2" t="s">
        <v>22653</v>
      </c>
      <c r="F639" s="2" t="s">
        <v>22654</v>
      </c>
      <c r="G639" s="2"/>
      <c r="H639" s="2" t="s">
        <v>1023</v>
      </c>
      <c r="I639" s="2" t="s">
        <v>73</v>
      </c>
      <c r="J639" s="2" t="s">
        <v>5695</v>
      </c>
      <c r="K639" s="2" t="s">
        <v>22652</v>
      </c>
      <c r="L639" s="2"/>
      <c r="M639" s="2"/>
      <c r="N639" s="2"/>
      <c r="O639" s="2" t="s">
        <v>1023</v>
      </c>
      <c r="P639" s="2" t="s">
        <v>73</v>
      </c>
      <c r="Q639" s="2" t="s">
        <v>5695</v>
      </c>
      <c r="R639" s="2" t="s">
        <v>580</v>
      </c>
      <c r="S639" s="2" t="s">
        <v>44</v>
      </c>
      <c r="T639" s="2"/>
      <c r="U639" s="2" t="s">
        <v>3527</v>
      </c>
      <c r="V639" s="2" t="s">
        <v>46</v>
      </c>
      <c r="W639" s="2" t="s">
        <v>3527</v>
      </c>
      <c r="X639" s="2" t="s">
        <v>11214</v>
      </c>
      <c r="Y639" s="2" t="s">
        <v>10801</v>
      </c>
      <c r="Z639" s="2" t="s">
        <v>7864</v>
      </c>
      <c r="AA639" s="2">
        <v>100</v>
      </c>
      <c r="AB639" s="2">
        <v>10</v>
      </c>
      <c r="AC639" s="2" t="s">
        <v>10789</v>
      </c>
      <c r="AD639" s="2" t="s">
        <v>22655</v>
      </c>
      <c r="AE639" s="2" t="s">
        <v>18260</v>
      </c>
      <c r="AF639" s="2"/>
      <c r="AG639" s="2" t="s">
        <v>18250</v>
      </c>
    </row>
    <row r="640" spans="1:33" x14ac:dyDescent="0.45">
      <c r="A640" s="2" t="s">
        <v>22656</v>
      </c>
      <c r="B640" s="2" t="s">
        <v>22657</v>
      </c>
      <c r="C640" s="2" t="s">
        <v>22658</v>
      </c>
      <c r="D640" s="2" t="s">
        <v>22659</v>
      </c>
      <c r="E640" s="2" t="s">
        <v>22660</v>
      </c>
      <c r="F640" s="2"/>
      <c r="G640" s="2"/>
      <c r="H640" s="2" t="s">
        <v>5821</v>
      </c>
      <c r="I640" s="2" t="s">
        <v>278</v>
      </c>
      <c r="J640" s="2" t="s">
        <v>5822</v>
      </c>
      <c r="K640" s="2" t="s">
        <v>22659</v>
      </c>
      <c r="L640" s="2"/>
      <c r="M640" s="2"/>
      <c r="N640" s="2"/>
      <c r="O640" s="2" t="s">
        <v>5821</v>
      </c>
      <c r="P640" s="2" t="s">
        <v>278</v>
      </c>
      <c r="Q640" s="2" t="s">
        <v>5822</v>
      </c>
      <c r="R640" s="2" t="s">
        <v>22661</v>
      </c>
      <c r="S640" s="2" t="s">
        <v>44</v>
      </c>
      <c r="T640" s="2"/>
      <c r="U640" s="2" t="s">
        <v>3527</v>
      </c>
      <c r="V640" s="2" t="s">
        <v>46</v>
      </c>
      <c r="W640" s="2" t="s">
        <v>3527</v>
      </c>
      <c r="X640" s="2" t="s">
        <v>11225</v>
      </c>
      <c r="Y640" s="2" t="s">
        <v>10801</v>
      </c>
      <c r="Z640" s="2" t="s">
        <v>7864</v>
      </c>
      <c r="AA640" s="2">
        <v>90</v>
      </c>
      <c r="AB640" s="2">
        <v>0</v>
      </c>
      <c r="AC640" s="2" t="s">
        <v>10789</v>
      </c>
      <c r="AD640" s="2" t="s">
        <v>22662</v>
      </c>
      <c r="AE640" s="2" t="s">
        <v>18260</v>
      </c>
      <c r="AF640" s="2"/>
      <c r="AG640" s="2" t="s">
        <v>18250</v>
      </c>
    </row>
    <row r="641" spans="1:33" x14ac:dyDescent="0.45">
      <c r="A641" s="2" t="s">
        <v>5435</v>
      </c>
      <c r="B641" s="2" t="s">
        <v>22663</v>
      </c>
      <c r="C641" s="2" t="s">
        <v>5435</v>
      </c>
      <c r="D641" s="2" t="s">
        <v>22664</v>
      </c>
      <c r="E641" s="2" t="s">
        <v>22665</v>
      </c>
      <c r="F641" s="2" t="s">
        <v>22666</v>
      </c>
      <c r="G641" s="2"/>
      <c r="H641" s="2" t="s">
        <v>59</v>
      </c>
      <c r="I641" s="2" t="s">
        <v>60</v>
      </c>
      <c r="J641" s="2" t="s">
        <v>5251</v>
      </c>
      <c r="K641" s="2" t="s">
        <v>22667</v>
      </c>
      <c r="L641" s="2"/>
      <c r="M641" s="2"/>
      <c r="N641" s="2"/>
      <c r="O641" s="2" t="s">
        <v>59</v>
      </c>
      <c r="P641" s="2" t="s">
        <v>60</v>
      </c>
      <c r="Q641" s="2" t="s">
        <v>5251</v>
      </c>
      <c r="R641" s="2" t="s">
        <v>10017</v>
      </c>
      <c r="S641" s="2" t="s">
        <v>44</v>
      </c>
      <c r="T641" s="2"/>
      <c r="U641" s="2" t="s">
        <v>821</v>
      </c>
      <c r="V641" s="2" t="s">
        <v>46</v>
      </c>
      <c r="W641" s="2" t="s">
        <v>821</v>
      </c>
      <c r="X641" s="2" t="s">
        <v>11225</v>
      </c>
      <c r="Y641" s="2" t="s">
        <v>10801</v>
      </c>
      <c r="Z641" s="2" t="s">
        <v>7864</v>
      </c>
      <c r="AA641" s="2">
        <v>100</v>
      </c>
      <c r="AB641" s="2">
        <v>17</v>
      </c>
      <c r="AC641" s="2" t="s">
        <v>10789</v>
      </c>
      <c r="AD641" s="2" t="s">
        <v>22668</v>
      </c>
      <c r="AE641" s="2" t="s">
        <v>18260</v>
      </c>
      <c r="AF641" s="2"/>
      <c r="AG641" s="2" t="s">
        <v>18250</v>
      </c>
    </row>
    <row r="642" spans="1:33" x14ac:dyDescent="0.45">
      <c r="A642" s="2" t="s">
        <v>22669</v>
      </c>
      <c r="B642" s="2" t="s">
        <v>22670</v>
      </c>
      <c r="C642" s="2" t="s">
        <v>22671</v>
      </c>
      <c r="D642" s="2" t="s">
        <v>22672</v>
      </c>
      <c r="E642" s="2" t="s">
        <v>22673</v>
      </c>
      <c r="F642" s="2"/>
      <c r="G642" s="2"/>
      <c r="H642" s="2" t="s">
        <v>384</v>
      </c>
      <c r="I642" s="2" t="s">
        <v>73</v>
      </c>
      <c r="J642" s="2" t="s">
        <v>13516</v>
      </c>
      <c r="K642" s="2" t="s">
        <v>22674</v>
      </c>
      <c r="L642" s="2"/>
      <c r="M642" s="2"/>
      <c r="N642" s="2"/>
      <c r="O642" s="2" t="s">
        <v>384</v>
      </c>
      <c r="P642" s="2" t="s">
        <v>73</v>
      </c>
      <c r="Q642" s="2" t="s">
        <v>13516</v>
      </c>
      <c r="R642" s="2" t="s">
        <v>6828</v>
      </c>
      <c r="S642" s="2" t="s">
        <v>44</v>
      </c>
      <c r="T642" s="2"/>
      <c r="U642" s="2" t="s">
        <v>821</v>
      </c>
      <c r="V642" s="2" t="s">
        <v>46</v>
      </c>
      <c r="W642" s="2" t="s">
        <v>821</v>
      </c>
      <c r="X642" s="2" t="s">
        <v>22675</v>
      </c>
      <c r="Y642" s="2" t="s">
        <v>10801</v>
      </c>
      <c r="Z642" s="2" t="s">
        <v>7864</v>
      </c>
      <c r="AA642" s="2">
        <v>90</v>
      </c>
      <c r="AB642" s="2">
        <v>7</v>
      </c>
      <c r="AC642" s="2" t="s">
        <v>10789</v>
      </c>
      <c r="AD642" s="2" t="s">
        <v>22676</v>
      </c>
      <c r="AE642" s="2" t="s">
        <v>18260</v>
      </c>
      <c r="AF642" s="2"/>
      <c r="AG642" s="2" t="s">
        <v>18250</v>
      </c>
    </row>
    <row r="643" spans="1:33" x14ac:dyDescent="0.45">
      <c r="A643" s="2" t="s">
        <v>22677</v>
      </c>
      <c r="B643" s="2" t="s">
        <v>22678</v>
      </c>
      <c r="C643" s="2" t="s">
        <v>22679</v>
      </c>
      <c r="D643" s="2" t="s">
        <v>22680</v>
      </c>
      <c r="E643" s="2" t="s">
        <v>22681</v>
      </c>
      <c r="F643" s="2" t="s">
        <v>22682</v>
      </c>
      <c r="G643" s="2"/>
      <c r="H643" s="2" t="s">
        <v>2962</v>
      </c>
      <c r="I643" s="2" t="s">
        <v>73</v>
      </c>
      <c r="J643" s="2" t="s">
        <v>20863</v>
      </c>
      <c r="K643" s="2" t="s">
        <v>22680</v>
      </c>
      <c r="L643" s="2"/>
      <c r="M643" s="2"/>
      <c r="N643" s="2"/>
      <c r="O643" s="2" t="s">
        <v>2962</v>
      </c>
      <c r="P643" s="2" t="s">
        <v>73</v>
      </c>
      <c r="Q643" s="2" t="s">
        <v>20863</v>
      </c>
      <c r="R643" s="2" t="s">
        <v>5133</v>
      </c>
      <c r="S643" s="2" t="s">
        <v>44</v>
      </c>
      <c r="T643" s="2"/>
      <c r="U643" s="2" t="s">
        <v>3527</v>
      </c>
      <c r="V643" s="2" t="s">
        <v>46</v>
      </c>
      <c r="W643" s="2" t="s">
        <v>3527</v>
      </c>
      <c r="X643" s="2" t="s">
        <v>10787</v>
      </c>
      <c r="Y643" s="2" t="s">
        <v>10801</v>
      </c>
      <c r="Z643" s="2" t="s">
        <v>7864</v>
      </c>
      <c r="AA643" s="2">
        <v>100</v>
      </c>
      <c r="AB643" s="2">
        <v>5</v>
      </c>
      <c r="AC643" s="2" t="s">
        <v>10789</v>
      </c>
      <c r="AD643" s="2" t="s">
        <v>22683</v>
      </c>
      <c r="AE643" s="2" t="s">
        <v>18260</v>
      </c>
      <c r="AF643" s="2"/>
      <c r="AG643" s="2" t="s">
        <v>18250</v>
      </c>
    </row>
    <row r="644" spans="1:33" x14ac:dyDescent="0.45">
      <c r="A644" s="2" t="s">
        <v>22684</v>
      </c>
      <c r="B644" s="2" t="s">
        <v>22685</v>
      </c>
      <c r="C644" s="2" t="s">
        <v>22684</v>
      </c>
      <c r="D644" s="2" t="s">
        <v>22686</v>
      </c>
      <c r="E644" s="2" t="s">
        <v>22687</v>
      </c>
      <c r="F644" s="2" t="s">
        <v>22688</v>
      </c>
      <c r="G644" s="2"/>
      <c r="H644" s="2" t="s">
        <v>651</v>
      </c>
      <c r="I644" s="2" t="s">
        <v>86</v>
      </c>
      <c r="J644" s="2" t="s">
        <v>9191</v>
      </c>
      <c r="K644" s="2" t="s">
        <v>22686</v>
      </c>
      <c r="L644" s="2"/>
      <c r="M644" s="2"/>
      <c r="N644" s="2"/>
      <c r="O644" s="2" t="s">
        <v>651</v>
      </c>
      <c r="P644" s="2" t="s">
        <v>86</v>
      </c>
      <c r="Q644" s="2" t="s">
        <v>9191</v>
      </c>
      <c r="R644" s="2" t="s">
        <v>3359</v>
      </c>
      <c r="S644" s="2" t="s">
        <v>44</v>
      </c>
      <c r="T644" s="2"/>
      <c r="U644" s="2" t="s">
        <v>3527</v>
      </c>
      <c r="V644" s="2" t="s">
        <v>46</v>
      </c>
      <c r="W644" s="2" t="s">
        <v>3527</v>
      </c>
      <c r="X644" s="2" t="s">
        <v>10787</v>
      </c>
      <c r="Y644" s="2" t="s">
        <v>10801</v>
      </c>
      <c r="Z644" s="2" t="s">
        <v>7864</v>
      </c>
      <c r="AA644" s="2">
        <v>100</v>
      </c>
      <c r="AB644" s="2">
        <v>10</v>
      </c>
      <c r="AC644" s="2" t="s">
        <v>10789</v>
      </c>
      <c r="AD644" s="2" t="s">
        <v>22689</v>
      </c>
      <c r="AE644" s="2" t="s">
        <v>18260</v>
      </c>
      <c r="AF644" s="2"/>
      <c r="AG644" s="2" t="s">
        <v>18250</v>
      </c>
    </row>
    <row r="645" spans="1:33" x14ac:dyDescent="0.45">
      <c r="A645" s="2" t="s">
        <v>22690</v>
      </c>
      <c r="B645" s="2" t="s">
        <v>22691</v>
      </c>
      <c r="C645" s="2" t="s">
        <v>22690</v>
      </c>
      <c r="D645" s="2" t="s">
        <v>22692</v>
      </c>
      <c r="E645" s="2" t="s">
        <v>22693</v>
      </c>
      <c r="F645" s="2"/>
      <c r="G645" s="2"/>
      <c r="H645" s="2" t="s">
        <v>424</v>
      </c>
      <c r="I645" s="2" t="s">
        <v>217</v>
      </c>
      <c r="J645" s="2" t="s">
        <v>1151</v>
      </c>
      <c r="K645" s="2" t="s">
        <v>22692</v>
      </c>
      <c r="L645" s="2"/>
      <c r="M645" s="2"/>
      <c r="N645" s="2"/>
      <c r="O645" s="2" t="s">
        <v>424</v>
      </c>
      <c r="P645" s="2" t="s">
        <v>217</v>
      </c>
      <c r="Q645" s="2" t="s">
        <v>1151</v>
      </c>
      <c r="R645" s="2" t="s">
        <v>11415</v>
      </c>
      <c r="S645" s="2" t="s">
        <v>44</v>
      </c>
      <c r="T645" s="2"/>
      <c r="U645" s="2" t="s">
        <v>3527</v>
      </c>
      <c r="V645" s="2" t="s">
        <v>46</v>
      </c>
      <c r="W645" s="2" t="s">
        <v>3527</v>
      </c>
      <c r="X645" s="2" t="s">
        <v>10787</v>
      </c>
      <c r="Y645" s="2" t="s">
        <v>10801</v>
      </c>
      <c r="Z645" s="2" t="s">
        <v>7864</v>
      </c>
      <c r="AA645" s="2">
        <v>90</v>
      </c>
      <c r="AB645" s="2">
        <v>0</v>
      </c>
      <c r="AC645" s="2" t="s">
        <v>10789</v>
      </c>
      <c r="AD645" s="2" t="s">
        <v>22694</v>
      </c>
      <c r="AE645" s="2" t="s">
        <v>18260</v>
      </c>
      <c r="AF645" s="2"/>
      <c r="AG645" s="2" t="s">
        <v>18250</v>
      </c>
    </row>
    <row r="646" spans="1:33" x14ac:dyDescent="0.45">
      <c r="A646" s="2" t="s">
        <v>11648</v>
      </c>
      <c r="B646" s="2" t="s">
        <v>22695</v>
      </c>
      <c r="C646" s="2" t="s">
        <v>11648</v>
      </c>
      <c r="D646" s="2" t="s">
        <v>22696</v>
      </c>
      <c r="E646" s="2" t="s">
        <v>22697</v>
      </c>
      <c r="F646" s="2"/>
      <c r="G646" s="2"/>
      <c r="H646" s="2" t="s">
        <v>324</v>
      </c>
      <c r="I646" s="2" t="s">
        <v>73</v>
      </c>
      <c r="J646" s="2" t="s">
        <v>22698</v>
      </c>
      <c r="K646" s="2" t="s">
        <v>22696</v>
      </c>
      <c r="L646" s="2"/>
      <c r="M646" s="2"/>
      <c r="N646" s="2"/>
      <c r="O646" s="2" t="s">
        <v>324</v>
      </c>
      <c r="P646" s="2" t="s">
        <v>73</v>
      </c>
      <c r="Q646" s="2" t="s">
        <v>22698</v>
      </c>
      <c r="R646" s="2" t="s">
        <v>22027</v>
      </c>
      <c r="S646" s="2" t="s">
        <v>44</v>
      </c>
      <c r="T646" s="2"/>
      <c r="U646" s="2" t="s">
        <v>3527</v>
      </c>
      <c r="V646" s="2" t="s">
        <v>46</v>
      </c>
      <c r="W646" s="2" t="s">
        <v>3527</v>
      </c>
      <c r="X646" s="2" t="s">
        <v>10787</v>
      </c>
      <c r="Y646" s="2" t="s">
        <v>10801</v>
      </c>
      <c r="Z646" s="2" t="s">
        <v>7864</v>
      </c>
      <c r="AA646" s="2">
        <v>90</v>
      </c>
      <c r="AB646" s="2">
        <v>0</v>
      </c>
      <c r="AC646" s="2" t="s">
        <v>10789</v>
      </c>
      <c r="AD646" s="2" t="s">
        <v>22699</v>
      </c>
      <c r="AE646" s="2" t="s">
        <v>18260</v>
      </c>
      <c r="AF646" s="2"/>
      <c r="AG646" s="2" t="s">
        <v>18250</v>
      </c>
    </row>
    <row r="647" spans="1:33" x14ac:dyDescent="0.45">
      <c r="A647" s="2" t="s">
        <v>22700</v>
      </c>
      <c r="B647" s="2" t="s">
        <v>22701</v>
      </c>
      <c r="C647" s="2" t="s">
        <v>22702</v>
      </c>
      <c r="D647" s="2" t="s">
        <v>22703</v>
      </c>
      <c r="E647" s="2" t="s">
        <v>22704</v>
      </c>
      <c r="F647" s="2" t="s">
        <v>22705</v>
      </c>
      <c r="G647" s="2"/>
      <c r="H647" s="2" t="s">
        <v>72</v>
      </c>
      <c r="I647" s="2" t="s">
        <v>73</v>
      </c>
      <c r="J647" s="2" t="s">
        <v>1035</v>
      </c>
      <c r="K647" s="2" t="s">
        <v>22703</v>
      </c>
      <c r="L647" s="2"/>
      <c r="M647" s="2"/>
      <c r="N647" s="2"/>
      <c r="O647" s="2" t="s">
        <v>72</v>
      </c>
      <c r="P647" s="2" t="s">
        <v>73</v>
      </c>
      <c r="Q647" s="2" t="s">
        <v>1035</v>
      </c>
      <c r="R647" s="2" t="s">
        <v>1991</v>
      </c>
      <c r="S647" s="2" t="s">
        <v>44</v>
      </c>
      <c r="T647" s="2"/>
      <c r="U647" s="2" t="s">
        <v>3527</v>
      </c>
      <c r="V647" s="2" t="s">
        <v>46</v>
      </c>
      <c r="W647" s="2" t="s">
        <v>3527</v>
      </c>
      <c r="X647" s="2" t="s">
        <v>10787</v>
      </c>
      <c r="Y647" s="2" t="s">
        <v>10801</v>
      </c>
      <c r="Z647" s="2" t="s">
        <v>7864</v>
      </c>
      <c r="AA647" s="2">
        <v>100</v>
      </c>
      <c r="AB647" s="2">
        <v>10</v>
      </c>
      <c r="AC647" s="2" t="s">
        <v>10789</v>
      </c>
      <c r="AD647" s="2" t="s">
        <v>22706</v>
      </c>
      <c r="AE647" s="2" t="s">
        <v>18260</v>
      </c>
      <c r="AF647" s="2"/>
      <c r="AG647" s="2" t="s">
        <v>18250</v>
      </c>
    </row>
    <row r="648" spans="1:33" x14ac:dyDescent="0.45">
      <c r="A648" s="2" t="s">
        <v>22707</v>
      </c>
      <c r="B648" s="2" t="s">
        <v>22708</v>
      </c>
      <c r="C648" s="2" t="s">
        <v>22707</v>
      </c>
      <c r="D648" s="2" t="s">
        <v>22709</v>
      </c>
      <c r="E648" s="2" t="s">
        <v>22710</v>
      </c>
      <c r="F648" s="2" t="s">
        <v>22711</v>
      </c>
      <c r="G648" s="2" t="s">
        <v>22711</v>
      </c>
      <c r="H648" s="2" t="s">
        <v>1208</v>
      </c>
      <c r="I648" s="2" t="s">
        <v>1209</v>
      </c>
      <c r="J648" s="2" t="s">
        <v>1210</v>
      </c>
      <c r="K648" s="2"/>
      <c r="L648" s="2"/>
      <c r="M648" s="2"/>
      <c r="N648" s="2"/>
      <c r="O648" s="2"/>
      <c r="P648" s="2"/>
      <c r="Q648" s="2"/>
      <c r="R648" s="2" t="s">
        <v>3439</v>
      </c>
      <c r="S648" s="2" t="s">
        <v>44</v>
      </c>
      <c r="T648" s="2"/>
      <c r="U648" s="2" t="s">
        <v>821</v>
      </c>
      <c r="V648" s="2" t="s">
        <v>46</v>
      </c>
      <c r="W648" s="2" t="s">
        <v>821</v>
      </c>
      <c r="X648" s="2" t="s">
        <v>10787</v>
      </c>
      <c r="Y648" s="2" t="s">
        <v>10801</v>
      </c>
      <c r="Z648" s="2" t="s">
        <v>7864</v>
      </c>
      <c r="AA648" s="2">
        <v>100</v>
      </c>
      <c r="AB648" s="2">
        <v>12</v>
      </c>
      <c r="AC648" s="2" t="s">
        <v>10789</v>
      </c>
      <c r="AD648" s="2" t="s">
        <v>22712</v>
      </c>
      <c r="AE648" s="2" t="s">
        <v>18260</v>
      </c>
      <c r="AF648" s="2"/>
      <c r="AG648" s="2" t="s">
        <v>18250</v>
      </c>
    </row>
    <row r="649" spans="1:33" x14ac:dyDescent="0.45">
      <c r="A649" s="2" t="s">
        <v>22713</v>
      </c>
      <c r="B649" s="2" t="s">
        <v>22714</v>
      </c>
      <c r="C649" s="2" t="s">
        <v>22713</v>
      </c>
      <c r="D649" s="2" t="s">
        <v>22715</v>
      </c>
      <c r="E649" s="2" t="s">
        <v>22716</v>
      </c>
      <c r="F649" s="2" t="s">
        <v>22717</v>
      </c>
      <c r="G649" s="2"/>
      <c r="H649" s="2" t="s">
        <v>8544</v>
      </c>
      <c r="I649" s="2" t="s">
        <v>73</v>
      </c>
      <c r="J649" s="2" t="s">
        <v>12954</v>
      </c>
      <c r="K649" s="2"/>
      <c r="L649" s="2"/>
      <c r="M649" s="2"/>
      <c r="N649" s="2"/>
      <c r="O649" s="2"/>
      <c r="P649" s="2"/>
      <c r="Q649" s="2"/>
      <c r="R649" s="2" t="s">
        <v>3341</v>
      </c>
      <c r="S649" s="2" t="s">
        <v>44</v>
      </c>
      <c r="T649" s="2"/>
      <c r="U649" s="2" t="s">
        <v>3527</v>
      </c>
      <c r="V649" s="2" t="s">
        <v>46</v>
      </c>
      <c r="W649" s="2" t="s">
        <v>3527</v>
      </c>
      <c r="X649" s="2" t="s">
        <v>10787</v>
      </c>
      <c r="Y649" s="2" t="s">
        <v>10801</v>
      </c>
      <c r="Z649" s="2" t="s">
        <v>7864</v>
      </c>
      <c r="AA649" s="2">
        <v>100</v>
      </c>
      <c r="AB649" s="2">
        <v>5</v>
      </c>
      <c r="AC649" s="2" t="s">
        <v>10789</v>
      </c>
      <c r="AD649" s="2" t="s">
        <v>22718</v>
      </c>
      <c r="AE649" s="2" t="s">
        <v>18260</v>
      </c>
      <c r="AF649" s="2"/>
      <c r="AG649" s="2" t="s">
        <v>18250</v>
      </c>
    </row>
    <row r="650" spans="1:33" x14ac:dyDescent="0.45">
      <c r="A650" s="2" t="s">
        <v>22719</v>
      </c>
      <c r="B650" s="2" t="s">
        <v>22720</v>
      </c>
      <c r="C650" s="2" t="s">
        <v>22721</v>
      </c>
      <c r="D650" s="2" t="s">
        <v>22722</v>
      </c>
      <c r="E650" s="2" t="s">
        <v>22723</v>
      </c>
      <c r="F650" s="2"/>
      <c r="G650" s="2"/>
      <c r="H650" s="2" t="s">
        <v>22724</v>
      </c>
      <c r="I650" s="2" t="s">
        <v>73</v>
      </c>
      <c r="J650" s="2" t="s">
        <v>22725</v>
      </c>
      <c r="K650" s="2" t="s">
        <v>22722</v>
      </c>
      <c r="L650" s="2"/>
      <c r="M650" s="2"/>
      <c r="N650" s="2"/>
      <c r="O650" s="2" t="s">
        <v>22724</v>
      </c>
      <c r="P650" s="2" t="s">
        <v>73</v>
      </c>
      <c r="Q650" s="2" t="s">
        <v>22725</v>
      </c>
      <c r="R650" s="2" t="s">
        <v>16857</v>
      </c>
      <c r="S650" s="2" t="s">
        <v>44</v>
      </c>
      <c r="T650" s="2"/>
      <c r="U650" s="2" t="s">
        <v>3527</v>
      </c>
      <c r="V650" s="2" t="s">
        <v>46</v>
      </c>
      <c r="W650" s="2" t="s">
        <v>3527</v>
      </c>
      <c r="X650" s="2" t="s">
        <v>10787</v>
      </c>
      <c r="Y650" s="2" t="s">
        <v>10801</v>
      </c>
      <c r="Z650" s="2" t="s">
        <v>7864</v>
      </c>
      <c r="AA650" s="2">
        <v>90</v>
      </c>
      <c r="AB650" s="2">
        <v>0</v>
      </c>
      <c r="AC650" s="2" t="s">
        <v>10789</v>
      </c>
      <c r="AD650" s="2" t="s">
        <v>22726</v>
      </c>
      <c r="AE650" s="2" t="s">
        <v>18260</v>
      </c>
      <c r="AF650" s="2"/>
      <c r="AG650" s="2" t="s">
        <v>18250</v>
      </c>
    </row>
    <row r="651" spans="1:33" x14ac:dyDescent="0.45">
      <c r="A651" s="2" t="s">
        <v>22727</v>
      </c>
      <c r="B651" s="2" t="s">
        <v>22728</v>
      </c>
      <c r="C651" s="2" t="s">
        <v>22729</v>
      </c>
      <c r="D651" s="2" t="s">
        <v>22730</v>
      </c>
      <c r="E651" s="2" t="s">
        <v>22731</v>
      </c>
      <c r="F651" s="2" t="s">
        <v>3562</v>
      </c>
      <c r="G651" s="2" t="s">
        <v>3562</v>
      </c>
      <c r="H651" s="2" t="s">
        <v>12930</v>
      </c>
      <c r="I651" s="2" t="s">
        <v>73</v>
      </c>
      <c r="J651" s="2" t="s">
        <v>22732</v>
      </c>
      <c r="K651" s="2"/>
      <c r="L651" s="2"/>
      <c r="M651" s="2"/>
      <c r="N651" s="2"/>
      <c r="O651" s="2"/>
      <c r="P651" s="2"/>
      <c r="Q651" s="2"/>
      <c r="R651" s="2" t="s">
        <v>13081</v>
      </c>
      <c r="S651" s="2" t="s">
        <v>44</v>
      </c>
      <c r="T651" s="2"/>
      <c r="U651" s="2" t="s">
        <v>3527</v>
      </c>
      <c r="V651" s="2" t="s">
        <v>46</v>
      </c>
      <c r="W651" s="2" t="s">
        <v>3527</v>
      </c>
      <c r="X651" s="2" t="s">
        <v>10787</v>
      </c>
      <c r="Y651" s="2" t="s">
        <v>10801</v>
      </c>
      <c r="Z651" s="2" t="s">
        <v>7864</v>
      </c>
      <c r="AA651" s="2">
        <v>100</v>
      </c>
      <c r="AB651" s="2">
        <v>5</v>
      </c>
      <c r="AC651" s="2" t="s">
        <v>10789</v>
      </c>
      <c r="AD651" s="2" t="s">
        <v>22733</v>
      </c>
      <c r="AE651" s="2" t="s">
        <v>18260</v>
      </c>
      <c r="AF651" s="2"/>
      <c r="AG651" s="2" t="s">
        <v>18250</v>
      </c>
    </row>
    <row r="652" spans="1:33" x14ac:dyDescent="0.45">
      <c r="A652" s="2" t="s">
        <v>22734</v>
      </c>
      <c r="B652" s="2" t="s">
        <v>22735</v>
      </c>
      <c r="C652" s="2" t="s">
        <v>22734</v>
      </c>
      <c r="D652" s="2" t="s">
        <v>22736</v>
      </c>
      <c r="E652" s="2" t="s">
        <v>22737</v>
      </c>
      <c r="F652" s="2"/>
      <c r="G652" s="2"/>
      <c r="H652" s="2" t="s">
        <v>1023</v>
      </c>
      <c r="I652" s="2" t="s">
        <v>73</v>
      </c>
      <c r="J652" s="2" t="s">
        <v>22738</v>
      </c>
      <c r="K652" s="2" t="s">
        <v>22739</v>
      </c>
      <c r="L652" s="2"/>
      <c r="M652" s="2"/>
      <c r="N652" s="2"/>
      <c r="O652" s="2" t="s">
        <v>1023</v>
      </c>
      <c r="P652" s="2" t="s">
        <v>73</v>
      </c>
      <c r="Q652" s="2" t="s">
        <v>1024</v>
      </c>
      <c r="R652" s="2" t="s">
        <v>19989</v>
      </c>
      <c r="S652" s="2" t="s">
        <v>44</v>
      </c>
      <c r="T652" s="2"/>
      <c r="U652" s="2" t="s">
        <v>3527</v>
      </c>
      <c r="V652" s="2" t="s">
        <v>46</v>
      </c>
      <c r="W652" s="2" t="s">
        <v>3527</v>
      </c>
      <c r="X652" s="2" t="s">
        <v>10787</v>
      </c>
      <c r="Y652" s="2" t="s">
        <v>10801</v>
      </c>
      <c r="Z652" s="2" t="s">
        <v>7864</v>
      </c>
      <c r="AA652" s="2">
        <v>90</v>
      </c>
      <c r="AB652" s="2">
        <v>0</v>
      </c>
      <c r="AC652" s="2" t="s">
        <v>10789</v>
      </c>
      <c r="AD652" s="2" t="s">
        <v>22740</v>
      </c>
      <c r="AE652" s="2" t="s">
        <v>18260</v>
      </c>
      <c r="AF652" s="2"/>
      <c r="AG652" s="2" t="s">
        <v>18250</v>
      </c>
    </row>
    <row r="653" spans="1:33" x14ac:dyDescent="0.45">
      <c r="A653" s="2" t="s">
        <v>22741</v>
      </c>
      <c r="B653" s="2" t="s">
        <v>22742</v>
      </c>
      <c r="C653" s="2" t="s">
        <v>22743</v>
      </c>
      <c r="D653" s="2" t="s">
        <v>22744</v>
      </c>
      <c r="E653" s="2" t="s">
        <v>22745</v>
      </c>
      <c r="F653" s="2" t="s">
        <v>22746</v>
      </c>
      <c r="G653" s="2" t="s">
        <v>22746</v>
      </c>
      <c r="H653" s="2" t="s">
        <v>10740</v>
      </c>
      <c r="I653" s="2" t="s">
        <v>221</v>
      </c>
      <c r="J653" s="2" t="s">
        <v>10741</v>
      </c>
      <c r="K653" s="2" t="s">
        <v>22744</v>
      </c>
      <c r="L653" s="2"/>
      <c r="M653" s="2"/>
      <c r="N653" s="2"/>
      <c r="O653" s="2" t="s">
        <v>10740</v>
      </c>
      <c r="P653" s="2" t="s">
        <v>221</v>
      </c>
      <c r="Q653" s="2" t="s">
        <v>10741</v>
      </c>
      <c r="R653" s="2" t="s">
        <v>22747</v>
      </c>
      <c r="S653" s="2" t="s">
        <v>44</v>
      </c>
      <c r="T653" s="2"/>
      <c r="U653" s="2" t="s">
        <v>3527</v>
      </c>
      <c r="V653" s="2" t="s">
        <v>46</v>
      </c>
      <c r="W653" s="2" t="s">
        <v>3527</v>
      </c>
      <c r="X653" s="2" t="s">
        <v>10787</v>
      </c>
      <c r="Y653" s="2" t="s">
        <v>10801</v>
      </c>
      <c r="Z653" s="2" t="s">
        <v>7864</v>
      </c>
      <c r="AA653" s="2">
        <v>100</v>
      </c>
      <c r="AB653" s="2">
        <v>5</v>
      </c>
      <c r="AC653" s="2" t="s">
        <v>10789</v>
      </c>
      <c r="AD653" s="2" t="s">
        <v>22748</v>
      </c>
      <c r="AE653" s="2" t="s">
        <v>18260</v>
      </c>
      <c r="AF653" s="2"/>
      <c r="AG653" s="2" t="s">
        <v>18250</v>
      </c>
    </row>
    <row r="654" spans="1:33" x14ac:dyDescent="0.45">
      <c r="A654" s="2" t="s">
        <v>22749</v>
      </c>
      <c r="B654" s="2" t="s">
        <v>22750</v>
      </c>
      <c r="C654" s="2" t="s">
        <v>22751</v>
      </c>
      <c r="D654" s="2" t="s">
        <v>22752</v>
      </c>
      <c r="E654" s="2" t="s">
        <v>22753</v>
      </c>
      <c r="F654" s="2" t="s">
        <v>22754</v>
      </c>
      <c r="G654" s="2"/>
      <c r="H654" s="2" t="s">
        <v>8647</v>
      </c>
      <c r="I654" s="2" t="s">
        <v>537</v>
      </c>
      <c r="J654" s="2" t="s">
        <v>22755</v>
      </c>
      <c r="K654" s="2" t="s">
        <v>22752</v>
      </c>
      <c r="L654" s="2"/>
      <c r="M654" s="2"/>
      <c r="N654" s="2"/>
      <c r="O654" s="2" t="s">
        <v>8647</v>
      </c>
      <c r="P654" s="2" t="s">
        <v>537</v>
      </c>
      <c r="Q654" s="2" t="s">
        <v>22755</v>
      </c>
      <c r="R654" s="2" t="s">
        <v>22756</v>
      </c>
      <c r="S654" s="2" t="s">
        <v>44</v>
      </c>
      <c r="T654" s="2"/>
      <c r="U654" s="2" t="s">
        <v>3527</v>
      </c>
      <c r="V654" s="2" t="s">
        <v>46</v>
      </c>
      <c r="W654" s="2" t="s">
        <v>3527</v>
      </c>
      <c r="X654" s="2" t="s">
        <v>10787</v>
      </c>
      <c r="Y654" s="2" t="s">
        <v>10801</v>
      </c>
      <c r="Z654" s="2" t="s">
        <v>7864</v>
      </c>
      <c r="AA654" s="2">
        <v>100</v>
      </c>
      <c r="AB654" s="2">
        <v>5</v>
      </c>
      <c r="AC654" s="2" t="s">
        <v>10789</v>
      </c>
      <c r="AD654" s="2" t="s">
        <v>22757</v>
      </c>
      <c r="AE654" s="2" t="s">
        <v>18260</v>
      </c>
      <c r="AF654" s="2"/>
      <c r="AG654" s="2" t="s">
        <v>18250</v>
      </c>
    </row>
    <row r="655" spans="1:33" x14ac:dyDescent="0.45">
      <c r="A655" s="2" t="s">
        <v>22758</v>
      </c>
      <c r="B655" s="2" t="s">
        <v>22759</v>
      </c>
      <c r="C655" s="2" t="s">
        <v>22760</v>
      </c>
      <c r="D655" s="2" t="s">
        <v>22761</v>
      </c>
      <c r="E655" s="2" t="s">
        <v>22762</v>
      </c>
      <c r="F655" s="2"/>
      <c r="G655" s="2"/>
      <c r="H655" s="2" t="s">
        <v>72</v>
      </c>
      <c r="I655" s="2" t="s">
        <v>73</v>
      </c>
      <c r="J655" s="2" t="s">
        <v>16086</v>
      </c>
      <c r="K655" s="2" t="s">
        <v>22761</v>
      </c>
      <c r="L655" s="2"/>
      <c r="M655" s="2"/>
      <c r="N655" s="2"/>
      <c r="O655" s="2" t="s">
        <v>72</v>
      </c>
      <c r="P655" s="2" t="s">
        <v>73</v>
      </c>
      <c r="Q655" s="2" t="s">
        <v>16086</v>
      </c>
      <c r="R655" s="2" t="s">
        <v>9413</v>
      </c>
      <c r="S655" s="2" t="s">
        <v>44</v>
      </c>
      <c r="T655" s="2"/>
      <c r="U655" s="2" t="s">
        <v>3527</v>
      </c>
      <c r="V655" s="2" t="s">
        <v>46</v>
      </c>
      <c r="W655" s="2" t="s">
        <v>3527</v>
      </c>
      <c r="X655" s="2" t="s">
        <v>10787</v>
      </c>
      <c r="Y655" s="2" t="s">
        <v>10801</v>
      </c>
      <c r="Z655" s="2" t="s">
        <v>7864</v>
      </c>
      <c r="AA655" s="2">
        <v>90</v>
      </c>
      <c r="AB655" s="2">
        <v>0</v>
      </c>
      <c r="AC655" s="2" t="s">
        <v>10789</v>
      </c>
      <c r="AD655" s="2" t="s">
        <v>22763</v>
      </c>
      <c r="AE655" s="2" t="s">
        <v>18260</v>
      </c>
      <c r="AF655" s="2"/>
      <c r="AG655" s="2" t="s">
        <v>18250</v>
      </c>
    </row>
    <row r="656" spans="1:33" x14ac:dyDescent="0.45">
      <c r="A656" s="2" t="s">
        <v>22764</v>
      </c>
      <c r="B656" s="2" t="s">
        <v>22765</v>
      </c>
      <c r="C656" s="2" t="s">
        <v>22766</v>
      </c>
      <c r="D656" s="2" t="s">
        <v>22767</v>
      </c>
      <c r="E656" s="2" t="s">
        <v>22768</v>
      </c>
      <c r="F656" s="2" t="s">
        <v>22769</v>
      </c>
      <c r="G656" s="2"/>
      <c r="H656" s="2" t="s">
        <v>39</v>
      </c>
      <c r="I656" s="2" t="s">
        <v>40</v>
      </c>
      <c r="J656" s="2" t="s">
        <v>453</v>
      </c>
      <c r="K656" s="2"/>
      <c r="L656" s="2"/>
      <c r="M656" s="2"/>
      <c r="N656" s="2"/>
      <c r="O656" s="2"/>
      <c r="P656" s="2"/>
      <c r="Q656" s="2"/>
      <c r="R656" s="2" t="s">
        <v>4876</v>
      </c>
      <c r="S656" s="2" t="s">
        <v>44</v>
      </c>
      <c r="T656" s="2"/>
      <c r="U656" s="2" t="s">
        <v>3527</v>
      </c>
      <c r="V656" s="2" t="s">
        <v>46</v>
      </c>
      <c r="W656" s="2" t="s">
        <v>3527</v>
      </c>
      <c r="X656" s="2" t="s">
        <v>10787</v>
      </c>
      <c r="Y656" s="2" t="s">
        <v>10801</v>
      </c>
      <c r="Z656" s="2" t="s">
        <v>7864</v>
      </c>
      <c r="AA656" s="2">
        <v>100</v>
      </c>
      <c r="AB656" s="2">
        <v>10</v>
      </c>
      <c r="AC656" s="2" t="s">
        <v>10789</v>
      </c>
      <c r="AD656" s="2" t="s">
        <v>22770</v>
      </c>
      <c r="AE656" s="2" t="s">
        <v>18260</v>
      </c>
      <c r="AF656" s="2"/>
      <c r="AG656" s="2" t="s">
        <v>18250</v>
      </c>
    </row>
    <row r="657" spans="1:33" x14ac:dyDescent="0.45">
      <c r="A657" s="2" t="s">
        <v>22771</v>
      </c>
      <c r="B657" s="2" t="s">
        <v>22772</v>
      </c>
      <c r="C657" s="2" t="s">
        <v>22771</v>
      </c>
      <c r="D657" s="2" t="s">
        <v>22773</v>
      </c>
      <c r="E657" s="2" t="s">
        <v>22774</v>
      </c>
      <c r="F657" s="2" t="s">
        <v>22775</v>
      </c>
      <c r="G657" s="2"/>
      <c r="H657" s="2" t="s">
        <v>13126</v>
      </c>
      <c r="I657" s="2" t="s">
        <v>1176</v>
      </c>
      <c r="J657" s="2" t="s">
        <v>22776</v>
      </c>
      <c r="K657" s="2" t="s">
        <v>22773</v>
      </c>
      <c r="L657" s="2"/>
      <c r="M657" s="2"/>
      <c r="N657" s="2"/>
      <c r="O657" s="2" t="s">
        <v>13126</v>
      </c>
      <c r="P657" s="2" t="s">
        <v>1176</v>
      </c>
      <c r="Q657" s="2" t="s">
        <v>22776</v>
      </c>
      <c r="R657" s="2" t="s">
        <v>10117</v>
      </c>
      <c r="S657" s="2" t="s">
        <v>44</v>
      </c>
      <c r="T657" s="2"/>
      <c r="U657" s="2" t="s">
        <v>3527</v>
      </c>
      <c r="V657" s="2" t="s">
        <v>46</v>
      </c>
      <c r="W657" s="2" t="s">
        <v>3527</v>
      </c>
      <c r="X657" s="2" t="s">
        <v>10787</v>
      </c>
      <c r="Y657" s="2" t="s">
        <v>10801</v>
      </c>
      <c r="Z657" s="2" t="s">
        <v>7864</v>
      </c>
      <c r="AA657" s="2">
        <v>100</v>
      </c>
      <c r="AB657" s="2">
        <v>5</v>
      </c>
      <c r="AC657" s="2" t="s">
        <v>10789</v>
      </c>
      <c r="AD657" s="2" t="s">
        <v>22777</v>
      </c>
      <c r="AE657" s="2" t="s">
        <v>18260</v>
      </c>
      <c r="AF657" s="2"/>
      <c r="AG657" s="2" t="s">
        <v>18250</v>
      </c>
    </row>
    <row r="658" spans="1:33" x14ac:dyDescent="0.45">
      <c r="A658" s="2" t="s">
        <v>22778</v>
      </c>
      <c r="B658" s="2" t="s">
        <v>22779</v>
      </c>
      <c r="C658" s="2"/>
      <c r="D658" s="2" t="s">
        <v>22780</v>
      </c>
      <c r="E658" s="2" t="s">
        <v>22781</v>
      </c>
      <c r="F658" s="2"/>
      <c r="G658" s="2"/>
      <c r="H658" s="2" t="s">
        <v>17601</v>
      </c>
      <c r="I658" s="2"/>
      <c r="J658" s="2" t="s">
        <v>22782</v>
      </c>
      <c r="K658" s="2"/>
      <c r="L658" s="2"/>
      <c r="M658" s="2"/>
      <c r="N658" s="2"/>
      <c r="O658" s="2"/>
      <c r="P658" s="2"/>
      <c r="Q658" s="2"/>
      <c r="R658" s="2" t="s">
        <v>18801</v>
      </c>
      <c r="S658" s="2" t="s">
        <v>44</v>
      </c>
      <c r="T658" s="2"/>
      <c r="U658" s="2" t="s">
        <v>3527</v>
      </c>
      <c r="V658" s="2" t="s">
        <v>46</v>
      </c>
      <c r="W658" s="2" t="s">
        <v>3527</v>
      </c>
      <c r="X658" s="2" t="s">
        <v>10787</v>
      </c>
      <c r="Y658" s="2" t="s">
        <v>10801</v>
      </c>
      <c r="Z658" s="2" t="s">
        <v>7864</v>
      </c>
      <c r="AA658" s="2">
        <v>60</v>
      </c>
      <c r="AB658" s="2">
        <v>0</v>
      </c>
      <c r="AC658" s="2" t="s">
        <v>10789</v>
      </c>
      <c r="AD658" s="2" t="s">
        <v>22783</v>
      </c>
      <c r="AE658" s="2" t="s">
        <v>18260</v>
      </c>
      <c r="AF658" s="2"/>
      <c r="AG658" s="2" t="s">
        <v>18250</v>
      </c>
    </row>
    <row r="659" spans="1:33" x14ac:dyDescent="0.45">
      <c r="A659" s="2" t="s">
        <v>22784</v>
      </c>
      <c r="B659" s="2" t="s">
        <v>22785</v>
      </c>
      <c r="C659" s="2" t="s">
        <v>22784</v>
      </c>
      <c r="D659" s="2" t="s">
        <v>22786</v>
      </c>
      <c r="E659" s="2" t="s">
        <v>22787</v>
      </c>
      <c r="F659" s="2"/>
      <c r="G659" s="2"/>
      <c r="H659" s="2" t="s">
        <v>59</v>
      </c>
      <c r="I659" s="2" t="s">
        <v>60</v>
      </c>
      <c r="J659" s="2" t="s">
        <v>1589</v>
      </c>
      <c r="K659" s="2" t="s">
        <v>22786</v>
      </c>
      <c r="L659" s="2"/>
      <c r="M659" s="2"/>
      <c r="N659" s="2"/>
      <c r="O659" s="2" t="s">
        <v>59</v>
      </c>
      <c r="P659" s="2" t="s">
        <v>60</v>
      </c>
      <c r="Q659" s="2" t="s">
        <v>1589</v>
      </c>
      <c r="R659" s="2" t="s">
        <v>15073</v>
      </c>
      <c r="S659" s="2" t="s">
        <v>44</v>
      </c>
      <c r="T659" s="2"/>
      <c r="U659" s="2" t="s">
        <v>3527</v>
      </c>
      <c r="V659" s="2" t="s">
        <v>46</v>
      </c>
      <c r="W659" s="2" t="s">
        <v>3527</v>
      </c>
      <c r="X659" s="2" t="s">
        <v>10787</v>
      </c>
      <c r="Y659" s="2" t="s">
        <v>10801</v>
      </c>
      <c r="Z659" s="2" t="s">
        <v>7864</v>
      </c>
      <c r="AA659" s="2">
        <v>90</v>
      </c>
      <c r="AB659" s="2">
        <v>0</v>
      </c>
      <c r="AC659" s="2" t="s">
        <v>10789</v>
      </c>
      <c r="AD659" s="2" t="s">
        <v>22788</v>
      </c>
      <c r="AE659" s="2" t="s">
        <v>18260</v>
      </c>
      <c r="AF659" s="2"/>
      <c r="AG659" s="2" t="s">
        <v>18250</v>
      </c>
    </row>
    <row r="660" spans="1:33" x14ac:dyDescent="0.45">
      <c r="A660" s="2" t="s">
        <v>22789</v>
      </c>
      <c r="B660" s="2" t="s">
        <v>22790</v>
      </c>
      <c r="C660" s="2" t="s">
        <v>22791</v>
      </c>
      <c r="D660" s="2" t="s">
        <v>22792</v>
      </c>
      <c r="E660" s="2" t="s">
        <v>22793</v>
      </c>
      <c r="F660" s="2"/>
      <c r="G660" s="2"/>
      <c r="H660" s="2" t="s">
        <v>12556</v>
      </c>
      <c r="I660" s="2" t="s">
        <v>278</v>
      </c>
      <c r="J660" s="2" t="s">
        <v>17189</v>
      </c>
      <c r="K660" s="2" t="s">
        <v>22792</v>
      </c>
      <c r="L660" s="2"/>
      <c r="M660" s="2"/>
      <c r="N660" s="2"/>
      <c r="O660" s="2" t="s">
        <v>12556</v>
      </c>
      <c r="P660" s="2" t="s">
        <v>278</v>
      </c>
      <c r="Q660" s="2" t="s">
        <v>17189</v>
      </c>
      <c r="R660" s="2" t="s">
        <v>13523</v>
      </c>
      <c r="S660" s="2" t="s">
        <v>44</v>
      </c>
      <c r="T660" s="2"/>
      <c r="U660" s="2" t="s">
        <v>3527</v>
      </c>
      <c r="V660" s="2" t="s">
        <v>46</v>
      </c>
      <c r="W660" s="2" t="s">
        <v>3527</v>
      </c>
      <c r="X660" s="2" t="s">
        <v>10787</v>
      </c>
      <c r="Y660" s="2" t="s">
        <v>10801</v>
      </c>
      <c r="Z660" s="2" t="s">
        <v>7864</v>
      </c>
      <c r="AA660" s="2">
        <v>90</v>
      </c>
      <c r="AB660" s="2">
        <v>0</v>
      </c>
      <c r="AC660" s="2" t="s">
        <v>10789</v>
      </c>
      <c r="AD660" s="2" t="s">
        <v>22794</v>
      </c>
      <c r="AE660" s="2" t="s">
        <v>18260</v>
      </c>
      <c r="AF660" s="2"/>
      <c r="AG660" s="2" t="s">
        <v>18250</v>
      </c>
    </row>
    <row r="661" spans="1:33" x14ac:dyDescent="0.45">
      <c r="A661" s="2" t="s">
        <v>22795</v>
      </c>
      <c r="B661" s="2" t="s">
        <v>22796</v>
      </c>
      <c r="C661" s="2" t="s">
        <v>22797</v>
      </c>
      <c r="D661" s="2" t="s">
        <v>22798</v>
      </c>
      <c r="E661" s="2" t="s">
        <v>22799</v>
      </c>
      <c r="F661" s="2"/>
      <c r="G661" s="2"/>
      <c r="H661" s="2" t="s">
        <v>72</v>
      </c>
      <c r="I661" s="2" t="s">
        <v>73</v>
      </c>
      <c r="J661" s="2" t="s">
        <v>3524</v>
      </c>
      <c r="K661" s="2" t="s">
        <v>22798</v>
      </c>
      <c r="L661" s="2"/>
      <c r="M661" s="2"/>
      <c r="N661" s="2"/>
      <c r="O661" s="2" t="s">
        <v>72</v>
      </c>
      <c r="P661" s="2" t="s">
        <v>73</v>
      </c>
      <c r="Q661" s="2" t="s">
        <v>3524</v>
      </c>
      <c r="R661" s="2" t="s">
        <v>6846</v>
      </c>
      <c r="S661" s="2" t="s">
        <v>44</v>
      </c>
      <c r="T661" s="2"/>
      <c r="U661" s="2" t="s">
        <v>821</v>
      </c>
      <c r="V661" s="2" t="s">
        <v>46</v>
      </c>
      <c r="W661" s="2" t="s">
        <v>821</v>
      </c>
      <c r="X661" s="2" t="s">
        <v>10787</v>
      </c>
      <c r="Y661" s="2" t="s">
        <v>10801</v>
      </c>
      <c r="Z661" s="2" t="s">
        <v>7864</v>
      </c>
      <c r="AA661" s="2">
        <v>90</v>
      </c>
      <c r="AB661" s="2">
        <v>7</v>
      </c>
      <c r="AC661" s="2" t="s">
        <v>10789</v>
      </c>
      <c r="AD661" s="2" t="s">
        <v>22800</v>
      </c>
      <c r="AE661" s="2" t="s">
        <v>18260</v>
      </c>
      <c r="AF661" s="2"/>
      <c r="AG661" s="2" t="s">
        <v>18250</v>
      </c>
    </row>
    <row r="662" spans="1:33" x14ac:dyDescent="0.45">
      <c r="A662" s="2" t="s">
        <v>22801</v>
      </c>
      <c r="B662" s="2" t="s">
        <v>22802</v>
      </c>
      <c r="C662" s="2" t="s">
        <v>22803</v>
      </c>
      <c r="D662" s="2" t="s">
        <v>22804</v>
      </c>
      <c r="E662" s="2" t="s">
        <v>22805</v>
      </c>
      <c r="F662" s="2" t="s">
        <v>22806</v>
      </c>
      <c r="G662" s="2" t="s">
        <v>22806</v>
      </c>
      <c r="H662" s="2" t="s">
        <v>5623</v>
      </c>
      <c r="I662" s="2" t="s">
        <v>40</v>
      </c>
      <c r="J662" s="2" t="s">
        <v>22807</v>
      </c>
      <c r="K662" s="2"/>
      <c r="L662" s="2"/>
      <c r="M662" s="2"/>
      <c r="N662" s="2"/>
      <c r="O662" s="2"/>
      <c r="P662" s="2"/>
      <c r="Q662" s="2"/>
      <c r="R662" s="2" t="s">
        <v>3777</v>
      </c>
      <c r="S662" s="2" t="s">
        <v>44</v>
      </c>
      <c r="T662" s="2"/>
      <c r="U662" s="2" t="s">
        <v>821</v>
      </c>
      <c r="V662" s="2" t="s">
        <v>46</v>
      </c>
      <c r="W662" s="2" t="s">
        <v>821</v>
      </c>
      <c r="X662" s="2" t="s">
        <v>10787</v>
      </c>
      <c r="Y662" s="2" t="s">
        <v>10801</v>
      </c>
      <c r="Z662" s="2" t="s">
        <v>7864</v>
      </c>
      <c r="AA662" s="2">
        <v>100</v>
      </c>
      <c r="AB662" s="2">
        <v>12</v>
      </c>
      <c r="AC662" s="2" t="s">
        <v>10789</v>
      </c>
      <c r="AD662" s="2" t="s">
        <v>22808</v>
      </c>
      <c r="AE662" s="2" t="s">
        <v>18260</v>
      </c>
      <c r="AF662" s="2"/>
      <c r="AG662" s="2" t="s">
        <v>18250</v>
      </c>
    </row>
    <row r="663" spans="1:33" x14ac:dyDescent="0.45">
      <c r="A663" s="2" t="s">
        <v>22809</v>
      </c>
      <c r="B663" s="2" t="s">
        <v>22810</v>
      </c>
      <c r="C663" s="2" t="s">
        <v>22811</v>
      </c>
      <c r="D663" s="2" t="s">
        <v>22812</v>
      </c>
      <c r="E663" s="2" t="s">
        <v>22813</v>
      </c>
      <c r="F663" s="2" t="s">
        <v>3562</v>
      </c>
      <c r="G663" s="2" t="s">
        <v>3562</v>
      </c>
      <c r="H663" s="2" t="s">
        <v>9838</v>
      </c>
      <c r="I663" s="2" t="s">
        <v>278</v>
      </c>
      <c r="J663" s="2" t="s">
        <v>9839</v>
      </c>
      <c r="K663" s="2" t="s">
        <v>22812</v>
      </c>
      <c r="L663" s="2"/>
      <c r="M663" s="2"/>
      <c r="N663" s="2"/>
      <c r="O663" s="2" t="s">
        <v>9838</v>
      </c>
      <c r="P663" s="2" t="s">
        <v>278</v>
      </c>
      <c r="Q663" s="2" t="s">
        <v>9839</v>
      </c>
      <c r="R663" s="2" t="s">
        <v>22814</v>
      </c>
      <c r="S663" s="2" t="s">
        <v>44</v>
      </c>
      <c r="T663" s="2"/>
      <c r="U663" s="2" t="s">
        <v>3527</v>
      </c>
      <c r="V663" s="2" t="s">
        <v>46</v>
      </c>
      <c r="W663" s="2" t="s">
        <v>3527</v>
      </c>
      <c r="X663" s="2" t="s">
        <v>10787</v>
      </c>
      <c r="Y663" s="2" t="s">
        <v>10801</v>
      </c>
      <c r="Z663" s="2" t="s">
        <v>7864</v>
      </c>
      <c r="AA663" s="2">
        <v>100</v>
      </c>
      <c r="AB663" s="2">
        <v>5</v>
      </c>
      <c r="AC663" s="2" t="s">
        <v>10789</v>
      </c>
      <c r="AD663" s="2" t="s">
        <v>22815</v>
      </c>
      <c r="AE663" s="2" t="s">
        <v>18260</v>
      </c>
      <c r="AF663" s="2"/>
      <c r="AG663" s="2" t="s">
        <v>18250</v>
      </c>
    </row>
    <row r="664" spans="1:33" x14ac:dyDescent="0.45">
      <c r="A664" s="2" t="s">
        <v>22816</v>
      </c>
      <c r="B664" s="2" t="s">
        <v>22817</v>
      </c>
      <c r="C664" s="2" t="s">
        <v>22818</v>
      </c>
      <c r="D664" s="2" t="s">
        <v>22819</v>
      </c>
      <c r="E664" s="2" t="s">
        <v>22820</v>
      </c>
      <c r="F664" s="2"/>
      <c r="G664" s="2"/>
      <c r="H664" s="2" t="s">
        <v>72</v>
      </c>
      <c r="I664" s="2" t="s">
        <v>73</v>
      </c>
      <c r="J664" s="2" t="s">
        <v>2222</v>
      </c>
      <c r="K664" s="2" t="s">
        <v>22819</v>
      </c>
      <c r="L664" s="2"/>
      <c r="M664" s="2"/>
      <c r="N664" s="2"/>
      <c r="O664" s="2" t="s">
        <v>72</v>
      </c>
      <c r="P664" s="2" t="s">
        <v>73</v>
      </c>
      <c r="Q664" s="2" t="s">
        <v>2222</v>
      </c>
      <c r="R664" s="2" t="s">
        <v>22821</v>
      </c>
      <c r="S664" s="2" t="s">
        <v>44</v>
      </c>
      <c r="T664" s="2"/>
      <c r="U664" s="2" t="s">
        <v>3527</v>
      </c>
      <c r="V664" s="2" t="s">
        <v>46</v>
      </c>
      <c r="W664" s="2" t="s">
        <v>3527</v>
      </c>
      <c r="X664" s="2" t="s">
        <v>11537</v>
      </c>
      <c r="Y664" s="2" t="s">
        <v>10801</v>
      </c>
      <c r="Z664" s="2" t="s">
        <v>7864</v>
      </c>
      <c r="AA664" s="2">
        <v>90</v>
      </c>
      <c r="AB664" s="2">
        <v>0</v>
      </c>
      <c r="AC664" s="2" t="s">
        <v>10789</v>
      </c>
      <c r="AD664" s="2" t="s">
        <v>22822</v>
      </c>
      <c r="AE664" s="2" t="s">
        <v>18260</v>
      </c>
      <c r="AF664" s="2"/>
      <c r="AG664" s="2" t="s">
        <v>18250</v>
      </c>
    </row>
    <row r="665" spans="1:33" x14ac:dyDescent="0.45">
      <c r="A665" s="2" t="s">
        <v>22823</v>
      </c>
      <c r="B665" s="2" t="s">
        <v>22824</v>
      </c>
      <c r="C665" s="2" t="s">
        <v>22823</v>
      </c>
      <c r="D665" s="2" t="s">
        <v>21077</v>
      </c>
      <c r="E665" s="2" t="s">
        <v>22825</v>
      </c>
      <c r="F665" s="2" t="s">
        <v>21079</v>
      </c>
      <c r="G665" s="2" t="s">
        <v>21079</v>
      </c>
      <c r="H665" s="2" t="s">
        <v>290</v>
      </c>
      <c r="I665" s="2" t="s">
        <v>278</v>
      </c>
      <c r="J665" s="2" t="s">
        <v>291</v>
      </c>
      <c r="K665" s="2" t="s">
        <v>21080</v>
      </c>
      <c r="L665" s="2"/>
      <c r="M665" s="2"/>
      <c r="N665" s="2"/>
      <c r="O665" s="2" t="s">
        <v>290</v>
      </c>
      <c r="P665" s="2" t="s">
        <v>278</v>
      </c>
      <c r="Q665" s="2" t="s">
        <v>852</v>
      </c>
      <c r="R665" s="2" t="s">
        <v>21081</v>
      </c>
      <c r="S665" s="2" t="s">
        <v>44</v>
      </c>
      <c r="T665" s="2"/>
      <c r="U665" s="2" t="s">
        <v>3527</v>
      </c>
      <c r="V665" s="2" t="s">
        <v>46</v>
      </c>
      <c r="W665" s="2" t="s">
        <v>3527</v>
      </c>
      <c r="X665" s="2" t="s">
        <v>11225</v>
      </c>
      <c r="Y665" s="2" t="s">
        <v>10801</v>
      </c>
      <c r="Z665" s="2" t="s">
        <v>7864</v>
      </c>
      <c r="AA665" s="2">
        <v>100</v>
      </c>
      <c r="AB665" s="2">
        <v>10</v>
      </c>
      <c r="AC665" s="2" t="s">
        <v>10789</v>
      </c>
      <c r="AD665" s="2" t="s">
        <v>22826</v>
      </c>
      <c r="AE665" s="2" t="s">
        <v>18260</v>
      </c>
      <c r="AF665" s="2"/>
      <c r="AG665" s="2" t="s">
        <v>18250</v>
      </c>
    </row>
    <row r="666" spans="1:33" x14ac:dyDescent="0.45">
      <c r="A666" s="2" t="s">
        <v>22827</v>
      </c>
      <c r="B666" s="2" t="s">
        <v>22828</v>
      </c>
      <c r="C666" s="2" t="s">
        <v>22829</v>
      </c>
      <c r="D666" s="2" t="s">
        <v>22830</v>
      </c>
      <c r="E666" s="2" t="s">
        <v>22831</v>
      </c>
      <c r="F666" s="2" t="s">
        <v>22832</v>
      </c>
      <c r="G666" s="2" t="s">
        <v>22832</v>
      </c>
      <c r="H666" s="2" t="s">
        <v>72</v>
      </c>
      <c r="I666" s="2" t="s">
        <v>73</v>
      </c>
      <c r="J666" s="2" t="s">
        <v>1035</v>
      </c>
      <c r="K666" s="2" t="s">
        <v>22830</v>
      </c>
      <c r="L666" s="2"/>
      <c r="M666" s="2"/>
      <c r="N666" s="2"/>
      <c r="O666" s="2" t="s">
        <v>72</v>
      </c>
      <c r="P666" s="2" t="s">
        <v>73</v>
      </c>
      <c r="Q666" s="2" t="s">
        <v>1035</v>
      </c>
      <c r="R666" s="2" t="s">
        <v>5785</v>
      </c>
      <c r="S666" s="2" t="s">
        <v>44</v>
      </c>
      <c r="T666" s="2"/>
      <c r="U666" s="2" t="s">
        <v>3527</v>
      </c>
      <c r="V666" s="2" t="s">
        <v>46</v>
      </c>
      <c r="W666" s="2" t="s">
        <v>3527</v>
      </c>
      <c r="X666" s="2" t="s">
        <v>10787</v>
      </c>
      <c r="Y666" s="2" t="s">
        <v>10801</v>
      </c>
      <c r="Z666" s="2" t="s">
        <v>7864</v>
      </c>
      <c r="AA666" s="2">
        <v>100</v>
      </c>
      <c r="AB666" s="2">
        <v>10</v>
      </c>
      <c r="AC666" s="2" t="s">
        <v>10789</v>
      </c>
      <c r="AD666" s="2" t="s">
        <v>22833</v>
      </c>
      <c r="AE666" s="2" t="s">
        <v>18260</v>
      </c>
      <c r="AF666" s="2"/>
      <c r="AG666" s="2" t="s">
        <v>18250</v>
      </c>
    </row>
    <row r="667" spans="1:33" x14ac:dyDescent="0.45">
      <c r="A667" s="2" t="s">
        <v>22834</v>
      </c>
      <c r="B667" s="2" t="s">
        <v>22835</v>
      </c>
      <c r="C667" s="2" t="s">
        <v>22834</v>
      </c>
      <c r="D667" s="2" t="s">
        <v>22836</v>
      </c>
      <c r="E667" s="2" t="s">
        <v>22837</v>
      </c>
      <c r="F667" s="2" t="s">
        <v>22838</v>
      </c>
      <c r="G667" s="2" t="s">
        <v>22838</v>
      </c>
      <c r="H667" s="2" t="s">
        <v>19169</v>
      </c>
      <c r="I667" s="2" t="s">
        <v>11362</v>
      </c>
      <c r="J667" s="2" t="s">
        <v>22839</v>
      </c>
      <c r="K667" s="2" t="s">
        <v>22840</v>
      </c>
      <c r="L667" s="2"/>
      <c r="M667" s="2"/>
      <c r="N667" s="2"/>
      <c r="O667" s="2" t="s">
        <v>19169</v>
      </c>
      <c r="P667" s="2" t="s">
        <v>11362</v>
      </c>
      <c r="Q667" s="2" t="s">
        <v>22839</v>
      </c>
      <c r="R667" s="2" t="s">
        <v>11653</v>
      </c>
      <c r="S667" s="2" t="s">
        <v>44</v>
      </c>
      <c r="T667" s="2"/>
      <c r="U667" s="2" t="s">
        <v>3527</v>
      </c>
      <c r="V667" s="2" t="s">
        <v>46</v>
      </c>
      <c r="W667" s="2" t="s">
        <v>3527</v>
      </c>
      <c r="X667" s="2" t="s">
        <v>10787</v>
      </c>
      <c r="Y667" s="2" t="s">
        <v>10801</v>
      </c>
      <c r="Z667" s="2" t="s">
        <v>7864</v>
      </c>
      <c r="AA667" s="2">
        <v>100</v>
      </c>
      <c r="AB667" s="2">
        <v>5</v>
      </c>
      <c r="AC667" s="2" t="s">
        <v>10789</v>
      </c>
      <c r="AD667" s="2" t="s">
        <v>22841</v>
      </c>
      <c r="AE667" s="2" t="s">
        <v>18260</v>
      </c>
      <c r="AF667" s="2"/>
      <c r="AG667" s="2" t="s">
        <v>18250</v>
      </c>
    </row>
    <row r="668" spans="1:33" x14ac:dyDescent="0.45">
      <c r="A668" s="2" t="s">
        <v>22842</v>
      </c>
      <c r="B668" s="2" t="s">
        <v>22843</v>
      </c>
      <c r="C668" s="2" t="s">
        <v>22844</v>
      </c>
      <c r="D668" s="2" t="s">
        <v>22845</v>
      </c>
      <c r="E668" s="2" t="s">
        <v>22846</v>
      </c>
      <c r="F668" s="2"/>
      <c r="G668" s="2"/>
      <c r="H668" s="2" t="s">
        <v>290</v>
      </c>
      <c r="I668" s="2" t="s">
        <v>278</v>
      </c>
      <c r="J668" s="2" t="s">
        <v>7622</v>
      </c>
      <c r="K668" s="2" t="s">
        <v>22845</v>
      </c>
      <c r="L668" s="2"/>
      <c r="M668" s="2"/>
      <c r="N668" s="2"/>
      <c r="O668" s="2" t="s">
        <v>290</v>
      </c>
      <c r="P668" s="2" t="s">
        <v>278</v>
      </c>
      <c r="Q668" s="2" t="s">
        <v>7622</v>
      </c>
      <c r="R668" s="2" t="s">
        <v>13838</v>
      </c>
      <c r="S668" s="2" t="s">
        <v>44</v>
      </c>
      <c r="T668" s="2"/>
      <c r="U668" s="2" t="s">
        <v>3527</v>
      </c>
      <c r="V668" s="2" t="s">
        <v>46</v>
      </c>
      <c r="W668" s="2" t="s">
        <v>3527</v>
      </c>
      <c r="X668" s="2" t="s">
        <v>10787</v>
      </c>
      <c r="Y668" s="2" t="s">
        <v>10801</v>
      </c>
      <c r="Z668" s="2" t="s">
        <v>7864</v>
      </c>
      <c r="AA668" s="2">
        <v>90</v>
      </c>
      <c r="AB668" s="2">
        <v>0</v>
      </c>
      <c r="AC668" s="2" t="s">
        <v>10789</v>
      </c>
      <c r="AD668" s="2" t="s">
        <v>22847</v>
      </c>
      <c r="AE668" s="2" t="s">
        <v>18260</v>
      </c>
      <c r="AF668" s="2"/>
      <c r="AG668" s="2" t="s">
        <v>18250</v>
      </c>
    </row>
    <row r="669" spans="1:33" x14ac:dyDescent="0.45">
      <c r="A669" s="2" t="s">
        <v>22848</v>
      </c>
      <c r="B669" s="2" t="s">
        <v>22849</v>
      </c>
      <c r="C669" s="2" t="s">
        <v>22848</v>
      </c>
      <c r="D669" s="2" t="s">
        <v>22850</v>
      </c>
      <c r="E669" s="2" t="s">
        <v>22851</v>
      </c>
      <c r="F669" s="2" t="s">
        <v>22852</v>
      </c>
      <c r="G669" s="2" t="s">
        <v>22852</v>
      </c>
      <c r="H669" s="2" t="s">
        <v>85</v>
      </c>
      <c r="I669" s="2" t="s">
        <v>86</v>
      </c>
      <c r="J669" s="2" t="s">
        <v>982</v>
      </c>
      <c r="K669" s="2" t="s">
        <v>22853</v>
      </c>
      <c r="L669" s="2"/>
      <c r="M669" s="2"/>
      <c r="N669" s="2"/>
      <c r="O669" s="2" t="s">
        <v>85</v>
      </c>
      <c r="P669" s="2" t="s">
        <v>86</v>
      </c>
      <c r="Q669" s="2" t="s">
        <v>982</v>
      </c>
      <c r="R669" s="2" t="s">
        <v>16833</v>
      </c>
      <c r="S669" s="2" t="s">
        <v>44</v>
      </c>
      <c r="T669" s="2"/>
      <c r="U669" s="2" t="s">
        <v>821</v>
      </c>
      <c r="V669" s="2" t="s">
        <v>46</v>
      </c>
      <c r="W669" s="2" t="s">
        <v>821</v>
      </c>
      <c r="X669" s="2" t="s">
        <v>10787</v>
      </c>
      <c r="Y669" s="2" t="s">
        <v>10801</v>
      </c>
      <c r="Z669" s="2" t="s">
        <v>7864</v>
      </c>
      <c r="AA669" s="2">
        <v>100</v>
      </c>
      <c r="AB669" s="2">
        <v>17</v>
      </c>
      <c r="AC669" s="2" t="s">
        <v>10789</v>
      </c>
      <c r="AD669" s="2" t="s">
        <v>22854</v>
      </c>
      <c r="AE669" s="2" t="s">
        <v>18260</v>
      </c>
      <c r="AF669" s="2"/>
      <c r="AG669" s="2" t="s">
        <v>18250</v>
      </c>
    </row>
    <row r="670" spans="1:33" x14ac:dyDescent="0.45">
      <c r="A670" s="2" t="s">
        <v>22855</v>
      </c>
      <c r="B670" s="2" t="s">
        <v>22856</v>
      </c>
      <c r="C670" s="2" t="s">
        <v>22855</v>
      </c>
      <c r="D670" s="2" t="s">
        <v>22857</v>
      </c>
      <c r="E670" s="2" t="s">
        <v>22858</v>
      </c>
      <c r="F670" s="2"/>
      <c r="G670" s="2"/>
      <c r="H670" s="2" t="s">
        <v>1136</v>
      </c>
      <c r="I670" s="2" t="s">
        <v>1137</v>
      </c>
      <c r="J670" s="2" t="s">
        <v>17122</v>
      </c>
      <c r="K670" s="2" t="s">
        <v>22857</v>
      </c>
      <c r="L670" s="2"/>
      <c r="M670" s="2"/>
      <c r="N670" s="2"/>
      <c r="O670" s="2" t="s">
        <v>1136</v>
      </c>
      <c r="P670" s="2" t="s">
        <v>1137</v>
      </c>
      <c r="Q670" s="2" t="s">
        <v>17122</v>
      </c>
      <c r="R670" s="2" t="s">
        <v>3546</v>
      </c>
      <c r="S670" s="2" t="s">
        <v>44</v>
      </c>
      <c r="T670" s="2"/>
      <c r="U670" s="2" t="s">
        <v>3527</v>
      </c>
      <c r="V670" s="2" t="s">
        <v>46</v>
      </c>
      <c r="W670" s="2" t="s">
        <v>3527</v>
      </c>
      <c r="X670" s="2" t="s">
        <v>12462</v>
      </c>
      <c r="Y670" s="2" t="s">
        <v>10801</v>
      </c>
      <c r="Z670" s="2" t="s">
        <v>7864</v>
      </c>
      <c r="AA670" s="2">
        <v>90</v>
      </c>
      <c r="AB670" s="2">
        <v>0</v>
      </c>
      <c r="AC670" s="2" t="s">
        <v>10789</v>
      </c>
      <c r="AD670" s="2" t="s">
        <v>22859</v>
      </c>
      <c r="AE670" s="2" t="s">
        <v>18260</v>
      </c>
      <c r="AF670" s="2"/>
      <c r="AG670" s="2" t="s">
        <v>18250</v>
      </c>
    </row>
    <row r="671" spans="1:33" x14ac:dyDescent="0.45">
      <c r="A671" s="2" t="s">
        <v>22860</v>
      </c>
      <c r="B671" s="2" t="s">
        <v>22861</v>
      </c>
      <c r="C671" s="2" t="s">
        <v>22862</v>
      </c>
      <c r="D671" s="2" t="s">
        <v>22863</v>
      </c>
      <c r="E671" s="2" t="s">
        <v>22864</v>
      </c>
      <c r="F671" s="2" t="s">
        <v>22865</v>
      </c>
      <c r="G671" s="2"/>
      <c r="H671" s="2" t="s">
        <v>72</v>
      </c>
      <c r="I671" s="2" t="s">
        <v>73</v>
      </c>
      <c r="J671" s="2" t="s">
        <v>484</v>
      </c>
      <c r="K671" s="2" t="s">
        <v>22863</v>
      </c>
      <c r="L671" s="2"/>
      <c r="M671" s="2"/>
      <c r="N671" s="2"/>
      <c r="O671" s="2" t="s">
        <v>72</v>
      </c>
      <c r="P671" s="2" t="s">
        <v>73</v>
      </c>
      <c r="Q671" s="2" t="s">
        <v>484</v>
      </c>
      <c r="R671" s="2" t="s">
        <v>6893</v>
      </c>
      <c r="S671" s="2" t="s">
        <v>44</v>
      </c>
      <c r="T671" s="2"/>
      <c r="U671" s="2" t="s">
        <v>3527</v>
      </c>
      <c r="V671" s="2" t="s">
        <v>46</v>
      </c>
      <c r="W671" s="2" t="s">
        <v>3527</v>
      </c>
      <c r="X671" s="2" t="s">
        <v>10787</v>
      </c>
      <c r="Y671" s="2" t="s">
        <v>10801</v>
      </c>
      <c r="Z671" s="2" t="s">
        <v>7864</v>
      </c>
      <c r="AA671" s="2">
        <v>100</v>
      </c>
      <c r="AB671" s="2">
        <v>10</v>
      </c>
      <c r="AC671" s="2" t="s">
        <v>10789</v>
      </c>
      <c r="AD671" s="2" t="s">
        <v>22866</v>
      </c>
      <c r="AE671" s="2" t="s">
        <v>18260</v>
      </c>
      <c r="AF671" s="2"/>
      <c r="AG671" s="2" t="s">
        <v>18250</v>
      </c>
    </row>
    <row r="672" spans="1:33" x14ac:dyDescent="0.45">
      <c r="A672" s="2" t="s">
        <v>22867</v>
      </c>
      <c r="B672" s="2" t="s">
        <v>22868</v>
      </c>
      <c r="C672" s="2" t="s">
        <v>22869</v>
      </c>
      <c r="D672" s="2" t="s">
        <v>22870</v>
      </c>
      <c r="E672" s="2" t="s">
        <v>22871</v>
      </c>
      <c r="F672" s="2"/>
      <c r="G672" s="2"/>
      <c r="H672" s="2" t="s">
        <v>59</v>
      </c>
      <c r="I672" s="2" t="s">
        <v>60</v>
      </c>
      <c r="J672" s="2" t="s">
        <v>11079</v>
      </c>
      <c r="K672" s="2" t="s">
        <v>22870</v>
      </c>
      <c r="L672" s="2"/>
      <c r="M672" s="2"/>
      <c r="N672" s="2"/>
      <c r="O672" s="2" t="s">
        <v>59</v>
      </c>
      <c r="P672" s="2" t="s">
        <v>60</v>
      </c>
      <c r="Q672" s="2" t="s">
        <v>11079</v>
      </c>
      <c r="R672" s="2" t="s">
        <v>11406</v>
      </c>
      <c r="S672" s="2" t="s">
        <v>44</v>
      </c>
      <c r="T672" s="2"/>
      <c r="U672" s="2" t="s">
        <v>3527</v>
      </c>
      <c r="V672" s="2" t="s">
        <v>46</v>
      </c>
      <c r="W672" s="2" t="s">
        <v>3527</v>
      </c>
      <c r="X672" s="2" t="s">
        <v>10787</v>
      </c>
      <c r="Y672" s="2" t="s">
        <v>10801</v>
      </c>
      <c r="Z672" s="2" t="s">
        <v>7864</v>
      </c>
      <c r="AA672" s="2">
        <v>90</v>
      </c>
      <c r="AB672" s="2">
        <v>0</v>
      </c>
      <c r="AC672" s="2" t="s">
        <v>10789</v>
      </c>
      <c r="AD672" s="2" t="s">
        <v>22872</v>
      </c>
      <c r="AE672" s="2" t="s">
        <v>18260</v>
      </c>
      <c r="AF672" s="2"/>
      <c r="AG672" s="2" t="s">
        <v>18250</v>
      </c>
    </row>
    <row r="673" spans="1:33" x14ac:dyDescent="0.45">
      <c r="A673" s="2" t="s">
        <v>22873</v>
      </c>
      <c r="B673" s="2" t="s">
        <v>22874</v>
      </c>
      <c r="C673" s="2" t="s">
        <v>22875</v>
      </c>
      <c r="D673" s="2" t="s">
        <v>22876</v>
      </c>
      <c r="E673" s="2" t="s">
        <v>22877</v>
      </c>
      <c r="F673" s="2" t="s">
        <v>22878</v>
      </c>
      <c r="G673" s="2" t="s">
        <v>22878</v>
      </c>
      <c r="H673" s="2" t="s">
        <v>10567</v>
      </c>
      <c r="I673" s="2" t="s">
        <v>1209</v>
      </c>
      <c r="J673" s="2" t="s">
        <v>10436</v>
      </c>
      <c r="K673" s="2" t="s">
        <v>22876</v>
      </c>
      <c r="L673" s="2"/>
      <c r="M673" s="2"/>
      <c r="N673" s="2"/>
      <c r="O673" s="2" t="s">
        <v>10567</v>
      </c>
      <c r="P673" s="2" t="s">
        <v>1209</v>
      </c>
      <c r="Q673" s="2" t="s">
        <v>10436</v>
      </c>
      <c r="R673" s="2" t="s">
        <v>13150</v>
      </c>
      <c r="S673" s="2" t="s">
        <v>44</v>
      </c>
      <c r="T673" s="2"/>
      <c r="U673" s="2" t="s">
        <v>3527</v>
      </c>
      <c r="V673" s="2" t="s">
        <v>46</v>
      </c>
      <c r="W673" s="2" t="s">
        <v>3527</v>
      </c>
      <c r="X673" s="2" t="s">
        <v>10787</v>
      </c>
      <c r="Y673" s="2" t="s">
        <v>10801</v>
      </c>
      <c r="Z673" s="2" t="s">
        <v>7864</v>
      </c>
      <c r="AA673" s="2">
        <v>100</v>
      </c>
      <c r="AB673" s="2">
        <v>5</v>
      </c>
      <c r="AC673" s="2" t="s">
        <v>10789</v>
      </c>
      <c r="AD673" s="2" t="s">
        <v>22879</v>
      </c>
      <c r="AE673" s="2" t="s">
        <v>18260</v>
      </c>
      <c r="AF673" s="2"/>
      <c r="AG673" s="2" t="s">
        <v>18250</v>
      </c>
    </row>
    <row r="674" spans="1:33" x14ac:dyDescent="0.45">
      <c r="A674" s="2" t="s">
        <v>22880</v>
      </c>
      <c r="B674" s="2" t="s">
        <v>22881</v>
      </c>
      <c r="C674" s="2" t="s">
        <v>22880</v>
      </c>
      <c r="D674" s="2" t="s">
        <v>22882</v>
      </c>
      <c r="E674" s="2" t="s">
        <v>22883</v>
      </c>
      <c r="F674" s="2"/>
      <c r="G674" s="2"/>
      <c r="H674" s="2" t="s">
        <v>277</v>
      </c>
      <c r="I674" s="2" t="s">
        <v>278</v>
      </c>
      <c r="J674" s="2" t="s">
        <v>279</v>
      </c>
      <c r="K674" s="2" t="s">
        <v>22882</v>
      </c>
      <c r="L674" s="2"/>
      <c r="M674" s="2"/>
      <c r="N674" s="2"/>
      <c r="O674" s="2" t="s">
        <v>277</v>
      </c>
      <c r="P674" s="2" t="s">
        <v>278</v>
      </c>
      <c r="Q674" s="2" t="s">
        <v>279</v>
      </c>
      <c r="R674" s="2" t="s">
        <v>22884</v>
      </c>
      <c r="S674" s="2" t="s">
        <v>44</v>
      </c>
      <c r="T674" s="2"/>
      <c r="U674" s="2" t="s">
        <v>821</v>
      </c>
      <c r="V674" s="2" t="s">
        <v>46</v>
      </c>
      <c r="W674" s="2" t="s">
        <v>821</v>
      </c>
      <c r="X674" s="2" t="s">
        <v>10787</v>
      </c>
      <c r="Y674" s="2" t="s">
        <v>10801</v>
      </c>
      <c r="Z674" s="2" t="s">
        <v>7864</v>
      </c>
      <c r="AA674" s="2">
        <v>90</v>
      </c>
      <c r="AB674" s="2">
        <v>7</v>
      </c>
      <c r="AC674" s="2" t="s">
        <v>10789</v>
      </c>
      <c r="AD674" s="2" t="s">
        <v>22885</v>
      </c>
      <c r="AE674" s="2" t="s">
        <v>18260</v>
      </c>
      <c r="AF674" s="2"/>
      <c r="AG674" s="2" t="s">
        <v>18250</v>
      </c>
    </row>
    <row r="675" spans="1:33" x14ac:dyDescent="0.45">
      <c r="A675" s="2" t="s">
        <v>22886</v>
      </c>
      <c r="B675" s="2" t="s">
        <v>22887</v>
      </c>
      <c r="C675" s="2" t="s">
        <v>22888</v>
      </c>
      <c r="D675" s="2" t="s">
        <v>22889</v>
      </c>
      <c r="E675" s="2" t="s">
        <v>22890</v>
      </c>
      <c r="F675" s="2" t="s">
        <v>22891</v>
      </c>
      <c r="G675" s="2"/>
      <c r="H675" s="2" t="s">
        <v>22892</v>
      </c>
      <c r="I675" s="2" t="s">
        <v>217</v>
      </c>
      <c r="J675" s="2" t="s">
        <v>22893</v>
      </c>
      <c r="K675" s="2" t="s">
        <v>22889</v>
      </c>
      <c r="L675" s="2"/>
      <c r="M675" s="2"/>
      <c r="N675" s="2"/>
      <c r="O675" s="2" t="s">
        <v>22892</v>
      </c>
      <c r="P675" s="2" t="s">
        <v>217</v>
      </c>
      <c r="Q675" s="2" t="s">
        <v>22893</v>
      </c>
      <c r="R675" s="2" t="s">
        <v>4984</v>
      </c>
      <c r="S675" s="2" t="s">
        <v>44</v>
      </c>
      <c r="T675" s="2"/>
      <c r="U675" s="2" t="s">
        <v>3527</v>
      </c>
      <c r="V675" s="2" t="s">
        <v>46</v>
      </c>
      <c r="W675" s="2" t="s">
        <v>3527</v>
      </c>
      <c r="X675" s="2" t="s">
        <v>10787</v>
      </c>
      <c r="Y675" s="2" t="s">
        <v>10801</v>
      </c>
      <c r="Z675" s="2" t="s">
        <v>7864</v>
      </c>
      <c r="AA675" s="2">
        <v>100</v>
      </c>
      <c r="AB675" s="2">
        <v>5</v>
      </c>
      <c r="AC675" s="2" t="s">
        <v>10789</v>
      </c>
      <c r="AD675" s="2" t="s">
        <v>22894</v>
      </c>
      <c r="AE675" s="2" t="s">
        <v>18260</v>
      </c>
      <c r="AF675" s="2"/>
      <c r="AG675" s="2" t="s">
        <v>18250</v>
      </c>
    </row>
    <row r="676" spans="1:33" x14ac:dyDescent="0.45">
      <c r="A676" s="2" t="s">
        <v>22895</v>
      </c>
      <c r="B676" s="2" t="s">
        <v>22896</v>
      </c>
      <c r="C676" s="2" t="s">
        <v>22895</v>
      </c>
      <c r="D676" s="2" t="s">
        <v>22897</v>
      </c>
      <c r="E676" s="2" t="s">
        <v>22898</v>
      </c>
      <c r="F676" s="2" t="s">
        <v>22899</v>
      </c>
      <c r="G676" s="2" t="s">
        <v>22899</v>
      </c>
      <c r="H676" s="2" t="s">
        <v>5984</v>
      </c>
      <c r="I676" s="2" t="s">
        <v>313</v>
      </c>
      <c r="J676" s="2" t="s">
        <v>9782</v>
      </c>
      <c r="K676" s="2" t="s">
        <v>22900</v>
      </c>
      <c r="L676" s="2"/>
      <c r="M676" s="2"/>
      <c r="N676" s="2"/>
      <c r="O676" s="2" t="s">
        <v>5984</v>
      </c>
      <c r="P676" s="2" t="s">
        <v>313</v>
      </c>
      <c r="Q676" s="2" t="s">
        <v>9782</v>
      </c>
      <c r="R676" s="2" t="s">
        <v>22901</v>
      </c>
      <c r="S676" s="2" t="s">
        <v>44</v>
      </c>
      <c r="T676" s="2"/>
      <c r="U676" s="2" t="s">
        <v>3527</v>
      </c>
      <c r="V676" s="2" t="s">
        <v>46</v>
      </c>
      <c r="W676" s="2" t="s">
        <v>3527</v>
      </c>
      <c r="X676" s="2" t="s">
        <v>10787</v>
      </c>
      <c r="Y676" s="2" t="s">
        <v>10801</v>
      </c>
      <c r="Z676" s="2" t="s">
        <v>7864</v>
      </c>
      <c r="AA676" s="2">
        <v>100</v>
      </c>
      <c r="AB676" s="2">
        <v>5</v>
      </c>
      <c r="AC676" s="2" t="s">
        <v>10789</v>
      </c>
      <c r="AD676" s="2" t="s">
        <v>22902</v>
      </c>
      <c r="AE676" s="2" t="s">
        <v>18260</v>
      </c>
      <c r="AF676" s="2"/>
      <c r="AG676" s="2" t="s">
        <v>18250</v>
      </c>
    </row>
    <row r="677" spans="1:33" x14ac:dyDescent="0.45">
      <c r="A677" s="2" t="s">
        <v>22903</v>
      </c>
      <c r="B677" s="2" t="s">
        <v>22904</v>
      </c>
      <c r="C677" s="2" t="s">
        <v>22903</v>
      </c>
      <c r="D677" s="2" t="s">
        <v>22905</v>
      </c>
      <c r="E677" s="2" t="s">
        <v>22906</v>
      </c>
      <c r="F677" s="2" t="s">
        <v>22907</v>
      </c>
      <c r="G677" s="2" t="s">
        <v>22907</v>
      </c>
      <c r="H677" s="2" t="s">
        <v>312</v>
      </c>
      <c r="I677" s="2" t="s">
        <v>313</v>
      </c>
      <c r="J677" s="2" t="s">
        <v>22908</v>
      </c>
      <c r="K677" s="2" t="s">
        <v>22905</v>
      </c>
      <c r="L677" s="2"/>
      <c r="M677" s="2"/>
      <c r="N677" s="2"/>
      <c r="O677" s="2" t="s">
        <v>312</v>
      </c>
      <c r="P677" s="2" t="s">
        <v>313</v>
      </c>
      <c r="Q677" s="2" t="s">
        <v>22908</v>
      </c>
      <c r="R677" s="2" t="s">
        <v>653</v>
      </c>
      <c r="S677" s="2" t="s">
        <v>44</v>
      </c>
      <c r="T677" s="2"/>
      <c r="U677" s="2" t="s">
        <v>3527</v>
      </c>
      <c r="V677" s="2" t="s">
        <v>46</v>
      </c>
      <c r="W677" s="2" t="s">
        <v>3527</v>
      </c>
      <c r="X677" s="2" t="s">
        <v>10787</v>
      </c>
      <c r="Y677" s="2" t="s">
        <v>10801</v>
      </c>
      <c r="Z677" s="2" t="s">
        <v>7864</v>
      </c>
      <c r="AA677" s="2">
        <v>100</v>
      </c>
      <c r="AB677" s="2">
        <v>10</v>
      </c>
      <c r="AC677" s="2" t="s">
        <v>10789</v>
      </c>
      <c r="AD677" s="2" t="s">
        <v>22909</v>
      </c>
      <c r="AE677" s="2" t="s">
        <v>18260</v>
      </c>
      <c r="AF677" s="2"/>
      <c r="AG677" s="2" t="s">
        <v>18250</v>
      </c>
    </row>
    <row r="678" spans="1:33" x14ac:dyDescent="0.45">
      <c r="A678" s="2" t="s">
        <v>22910</v>
      </c>
      <c r="B678" s="2" t="s">
        <v>22911</v>
      </c>
      <c r="C678" s="2" t="s">
        <v>22910</v>
      </c>
      <c r="D678" s="2" t="s">
        <v>22912</v>
      </c>
      <c r="E678" s="2" t="s">
        <v>22913</v>
      </c>
      <c r="F678" s="2" t="s">
        <v>22914</v>
      </c>
      <c r="G678" s="2" t="s">
        <v>22914</v>
      </c>
      <c r="H678" s="2" t="s">
        <v>324</v>
      </c>
      <c r="I678" s="2" t="s">
        <v>73</v>
      </c>
      <c r="J678" s="2" t="s">
        <v>516</v>
      </c>
      <c r="K678" s="2" t="s">
        <v>22915</v>
      </c>
      <c r="L678" s="2"/>
      <c r="M678" s="2"/>
      <c r="N678" s="2"/>
      <c r="O678" s="2" t="s">
        <v>324</v>
      </c>
      <c r="P678" s="2" t="s">
        <v>73</v>
      </c>
      <c r="Q678" s="2" t="s">
        <v>516</v>
      </c>
      <c r="R678" s="2" t="s">
        <v>12539</v>
      </c>
      <c r="S678" s="2" t="s">
        <v>44</v>
      </c>
      <c r="T678" s="2"/>
      <c r="U678" s="2" t="s">
        <v>3527</v>
      </c>
      <c r="V678" s="2" t="s">
        <v>46</v>
      </c>
      <c r="W678" s="2" t="s">
        <v>3527</v>
      </c>
      <c r="X678" s="2" t="s">
        <v>10787</v>
      </c>
      <c r="Y678" s="2" t="s">
        <v>10801</v>
      </c>
      <c r="Z678" s="2" t="s">
        <v>7864</v>
      </c>
      <c r="AA678" s="2">
        <v>100</v>
      </c>
      <c r="AB678" s="2">
        <v>10</v>
      </c>
      <c r="AC678" s="2" t="s">
        <v>10789</v>
      </c>
      <c r="AD678" s="2" t="s">
        <v>22916</v>
      </c>
      <c r="AE678" s="2" t="s">
        <v>18260</v>
      </c>
      <c r="AF678" s="2"/>
      <c r="AG678" s="2" t="s">
        <v>18250</v>
      </c>
    </row>
    <row r="679" spans="1:33" x14ac:dyDescent="0.45">
      <c r="A679" s="2" t="s">
        <v>22917</v>
      </c>
      <c r="B679" s="2" t="s">
        <v>22918</v>
      </c>
      <c r="C679" s="2" t="s">
        <v>22919</v>
      </c>
      <c r="D679" s="2" t="s">
        <v>22920</v>
      </c>
      <c r="E679" s="2" t="s">
        <v>22921</v>
      </c>
      <c r="F679" s="2" t="s">
        <v>22922</v>
      </c>
      <c r="G679" s="2" t="s">
        <v>22922</v>
      </c>
      <c r="H679" s="2" t="s">
        <v>290</v>
      </c>
      <c r="I679" s="2" t="s">
        <v>278</v>
      </c>
      <c r="J679" s="2" t="s">
        <v>13959</v>
      </c>
      <c r="K679" s="2" t="s">
        <v>22920</v>
      </c>
      <c r="L679" s="2"/>
      <c r="M679" s="2"/>
      <c r="N679" s="2"/>
      <c r="O679" s="2" t="s">
        <v>290</v>
      </c>
      <c r="P679" s="2" t="s">
        <v>278</v>
      </c>
      <c r="Q679" s="2" t="s">
        <v>13959</v>
      </c>
      <c r="R679" s="2" t="s">
        <v>5566</v>
      </c>
      <c r="S679" s="2" t="s">
        <v>44</v>
      </c>
      <c r="T679" s="2"/>
      <c r="U679" s="2" t="s">
        <v>3527</v>
      </c>
      <c r="V679" s="2" t="s">
        <v>46</v>
      </c>
      <c r="W679" s="2" t="s">
        <v>3527</v>
      </c>
      <c r="X679" s="2" t="s">
        <v>10787</v>
      </c>
      <c r="Y679" s="2" t="s">
        <v>10801</v>
      </c>
      <c r="Z679" s="2" t="s">
        <v>7864</v>
      </c>
      <c r="AA679" s="2">
        <v>100</v>
      </c>
      <c r="AB679" s="2">
        <v>10</v>
      </c>
      <c r="AC679" s="2" t="s">
        <v>10789</v>
      </c>
      <c r="AD679" s="2" t="s">
        <v>22923</v>
      </c>
      <c r="AE679" s="2" t="s">
        <v>18260</v>
      </c>
      <c r="AF679" s="2"/>
      <c r="AG679" s="2" t="s">
        <v>18250</v>
      </c>
    </row>
    <row r="680" spans="1:33" x14ac:dyDescent="0.45">
      <c r="A680" s="2" t="s">
        <v>22924</v>
      </c>
      <c r="B680" s="2" t="s">
        <v>22925</v>
      </c>
      <c r="C680" s="2" t="s">
        <v>22926</v>
      </c>
      <c r="D680" s="2" t="s">
        <v>22927</v>
      </c>
      <c r="E680" s="2" t="s">
        <v>22928</v>
      </c>
      <c r="F680" s="2" t="s">
        <v>22929</v>
      </c>
      <c r="G680" s="2" t="s">
        <v>22929</v>
      </c>
      <c r="H680" s="2" t="s">
        <v>324</v>
      </c>
      <c r="I680" s="2" t="s">
        <v>73</v>
      </c>
      <c r="J680" s="2" t="s">
        <v>3807</v>
      </c>
      <c r="K680" s="2" t="s">
        <v>22930</v>
      </c>
      <c r="L680" s="2"/>
      <c r="M680" s="2"/>
      <c r="N680" s="2"/>
      <c r="O680" s="2" t="s">
        <v>324</v>
      </c>
      <c r="P680" s="2" t="s">
        <v>73</v>
      </c>
      <c r="Q680" s="2" t="s">
        <v>3807</v>
      </c>
      <c r="R680" s="2" t="s">
        <v>3573</v>
      </c>
      <c r="S680" s="2" t="s">
        <v>44</v>
      </c>
      <c r="T680" s="2"/>
      <c r="U680" s="2" t="s">
        <v>821</v>
      </c>
      <c r="V680" s="2" t="s">
        <v>46</v>
      </c>
      <c r="W680" s="2" t="s">
        <v>821</v>
      </c>
      <c r="X680" s="2" t="s">
        <v>10787</v>
      </c>
      <c r="Y680" s="2" t="s">
        <v>10801</v>
      </c>
      <c r="Z680" s="2" t="s">
        <v>7864</v>
      </c>
      <c r="AA680" s="2">
        <v>100</v>
      </c>
      <c r="AB680" s="2">
        <v>17</v>
      </c>
      <c r="AC680" s="2" t="s">
        <v>10789</v>
      </c>
      <c r="AD680" s="2" t="s">
        <v>22931</v>
      </c>
      <c r="AE680" s="2" t="s">
        <v>18260</v>
      </c>
      <c r="AF680" s="2"/>
      <c r="AG680" s="2" t="s">
        <v>18250</v>
      </c>
    </row>
    <row r="681" spans="1:33" x14ac:dyDescent="0.45">
      <c r="A681" s="2" t="s">
        <v>22932</v>
      </c>
      <c r="B681" s="2" t="s">
        <v>22933</v>
      </c>
      <c r="C681" s="2" t="s">
        <v>22934</v>
      </c>
      <c r="D681" s="2" t="s">
        <v>22935</v>
      </c>
      <c r="E681" s="2" t="s">
        <v>22936</v>
      </c>
      <c r="F681" s="2" t="s">
        <v>22937</v>
      </c>
      <c r="G681" s="2" t="s">
        <v>22937</v>
      </c>
      <c r="H681" s="2" t="s">
        <v>72</v>
      </c>
      <c r="I681" s="2" t="s">
        <v>73</v>
      </c>
      <c r="J681" s="2" t="s">
        <v>1430</v>
      </c>
      <c r="K681" s="2" t="s">
        <v>22938</v>
      </c>
      <c r="L681" s="2"/>
      <c r="M681" s="2"/>
      <c r="N681" s="2"/>
      <c r="O681" s="2" t="s">
        <v>72</v>
      </c>
      <c r="P681" s="2" t="s">
        <v>73</v>
      </c>
      <c r="Q681" s="2" t="s">
        <v>1430</v>
      </c>
      <c r="R681" s="2" t="s">
        <v>15360</v>
      </c>
      <c r="S681" s="2" t="s">
        <v>44</v>
      </c>
      <c r="T681" s="2"/>
      <c r="U681" s="2" t="s">
        <v>3527</v>
      </c>
      <c r="V681" s="2" t="s">
        <v>46</v>
      </c>
      <c r="W681" s="2" t="s">
        <v>3527</v>
      </c>
      <c r="X681" s="2" t="s">
        <v>12462</v>
      </c>
      <c r="Y681" s="2" t="s">
        <v>10801</v>
      </c>
      <c r="Z681" s="2" t="s">
        <v>7864</v>
      </c>
      <c r="AA681" s="2">
        <v>100</v>
      </c>
      <c r="AB681" s="2">
        <v>10</v>
      </c>
      <c r="AC681" s="2" t="s">
        <v>10789</v>
      </c>
      <c r="AD681" s="2" t="s">
        <v>22939</v>
      </c>
      <c r="AE681" s="2" t="s">
        <v>18260</v>
      </c>
      <c r="AF681" s="2"/>
      <c r="AG681" s="2" t="s">
        <v>18250</v>
      </c>
    </row>
    <row r="682" spans="1:33" x14ac:dyDescent="0.45">
      <c r="A682" s="2" t="s">
        <v>22940</v>
      </c>
      <c r="B682" s="2" t="s">
        <v>22941</v>
      </c>
      <c r="C682" s="2" t="s">
        <v>22940</v>
      </c>
      <c r="D682" s="2" t="s">
        <v>22942</v>
      </c>
      <c r="E682" s="2" t="s">
        <v>22943</v>
      </c>
      <c r="F682" s="2" t="s">
        <v>22944</v>
      </c>
      <c r="G682" s="2" t="s">
        <v>22944</v>
      </c>
      <c r="H682" s="2" t="s">
        <v>59</v>
      </c>
      <c r="I682" s="2" t="s">
        <v>60</v>
      </c>
      <c r="J682" s="2" t="s">
        <v>5251</v>
      </c>
      <c r="K682" s="2" t="s">
        <v>22942</v>
      </c>
      <c r="L682" s="2"/>
      <c r="M682" s="2"/>
      <c r="N682" s="2"/>
      <c r="O682" s="2" t="s">
        <v>59</v>
      </c>
      <c r="P682" s="2" t="s">
        <v>60</v>
      </c>
      <c r="Q682" s="2" t="s">
        <v>5251</v>
      </c>
      <c r="R682" s="2" t="s">
        <v>1211</v>
      </c>
      <c r="S682" s="2" t="s">
        <v>44</v>
      </c>
      <c r="T682" s="2"/>
      <c r="U682" s="2" t="s">
        <v>821</v>
      </c>
      <c r="V682" s="2" t="s">
        <v>46</v>
      </c>
      <c r="W682" s="2" t="s">
        <v>821</v>
      </c>
      <c r="X682" s="2" t="s">
        <v>10787</v>
      </c>
      <c r="Y682" s="2" t="s">
        <v>10801</v>
      </c>
      <c r="Z682" s="2" t="s">
        <v>7864</v>
      </c>
      <c r="AA682" s="2">
        <v>100</v>
      </c>
      <c r="AB682" s="2">
        <v>17</v>
      </c>
      <c r="AC682" s="2" t="s">
        <v>10789</v>
      </c>
      <c r="AD682" s="2" t="s">
        <v>22945</v>
      </c>
      <c r="AE682" s="2" t="s">
        <v>18260</v>
      </c>
      <c r="AF682" s="2"/>
      <c r="AG682" s="2" t="s">
        <v>18250</v>
      </c>
    </row>
    <row r="683" spans="1:33" x14ac:dyDescent="0.45">
      <c r="A683" s="2" t="s">
        <v>22946</v>
      </c>
      <c r="B683" s="2" t="s">
        <v>22947</v>
      </c>
      <c r="C683" s="2" t="s">
        <v>22948</v>
      </c>
      <c r="D683" s="2" t="s">
        <v>22949</v>
      </c>
      <c r="E683" s="2" t="s">
        <v>22950</v>
      </c>
      <c r="F683" s="2" t="s">
        <v>22951</v>
      </c>
      <c r="G683" s="2" t="s">
        <v>22951</v>
      </c>
      <c r="H683" s="2" t="s">
        <v>59</v>
      </c>
      <c r="I683" s="2" t="s">
        <v>60</v>
      </c>
      <c r="J683" s="2" t="s">
        <v>22952</v>
      </c>
      <c r="K683" s="2" t="s">
        <v>22949</v>
      </c>
      <c r="L683" s="2"/>
      <c r="M683" s="2"/>
      <c r="N683" s="2"/>
      <c r="O683" s="2" t="s">
        <v>59</v>
      </c>
      <c r="P683" s="2" t="s">
        <v>60</v>
      </c>
      <c r="Q683" s="2" t="s">
        <v>22952</v>
      </c>
      <c r="R683" s="2" t="s">
        <v>701</v>
      </c>
      <c r="S683" s="2" t="s">
        <v>44</v>
      </c>
      <c r="T683" s="2"/>
      <c r="U683" s="2" t="s">
        <v>821</v>
      </c>
      <c r="V683" s="2" t="s">
        <v>46</v>
      </c>
      <c r="W683" s="2" t="s">
        <v>821</v>
      </c>
      <c r="X683" s="2" t="s">
        <v>11537</v>
      </c>
      <c r="Y683" s="2" t="s">
        <v>10801</v>
      </c>
      <c r="Z683" s="2" t="s">
        <v>7864</v>
      </c>
      <c r="AA683" s="2">
        <v>100</v>
      </c>
      <c r="AB683" s="2">
        <v>17</v>
      </c>
      <c r="AC683" s="2" t="s">
        <v>10789</v>
      </c>
      <c r="AD683" s="2" t="s">
        <v>22953</v>
      </c>
      <c r="AE683" s="2" t="s">
        <v>18260</v>
      </c>
      <c r="AF683" s="2"/>
      <c r="AG683" s="2" t="s">
        <v>18250</v>
      </c>
    </row>
    <row r="684" spans="1:33" x14ac:dyDescent="0.45">
      <c r="A684" s="2" t="s">
        <v>22954</v>
      </c>
      <c r="B684" s="2" t="s">
        <v>22955</v>
      </c>
      <c r="C684" s="2" t="s">
        <v>22956</v>
      </c>
      <c r="D684" s="2" t="s">
        <v>22957</v>
      </c>
      <c r="E684" s="2" t="s">
        <v>22958</v>
      </c>
      <c r="F684" s="2"/>
      <c r="G684" s="2"/>
      <c r="H684" s="2" t="s">
        <v>384</v>
      </c>
      <c r="I684" s="2" t="s">
        <v>73</v>
      </c>
      <c r="J684" s="2" t="s">
        <v>832</v>
      </c>
      <c r="K684" s="2" t="s">
        <v>22959</v>
      </c>
      <c r="L684" s="2"/>
      <c r="M684" s="2"/>
      <c r="N684" s="2"/>
      <c r="O684" s="2" t="s">
        <v>384</v>
      </c>
      <c r="P684" s="2" t="s">
        <v>73</v>
      </c>
      <c r="Q684" s="2" t="s">
        <v>832</v>
      </c>
      <c r="R684" s="2" t="s">
        <v>22960</v>
      </c>
      <c r="S684" s="2" t="s">
        <v>44</v>
      </c>
      <c r="T684" s="2"/>
      <c r="U684" s="2" t="s">
        <v>3527</v>
      </c>
      <c r="V684" s="2" t="s">
        <v>46</v>
      </c>
      <c r="W684" s="2" t="s">
        <v>3527</v>
      </c>
      <c r="X684" s="2" t="s">
        <v>11537</v>
      </c>
      <c r="Y684" s="2" t="s">
        <v>10801</v>
      </c>
      <c r="Z684" s="2" t="s">
        <v>7864</v>
      </c>
      <c r="AA684" s="2">
        <v>90</v>
      </c>
      <c r="AB684" s="2">
        <v>0</v>
      </c>
      <c r="AC684" s="2" t="s">
        <v>10789</v>
      </c>
      <c r="AD684" s="2" t="s">
        <v>22961</v>
      </c>
      <c r="AE684" s="2" t="s">
        <v>18260</v>
      </c>
      <c r="AF684" s="2"/>
      <c r="AG684" s="2" t="s">
        <v>18250</v>
      </c>
    </row>
    <row r="685" spans="1:33" x14ac:dyDescent="0.45">
      <c r="A685" s="2" t="s">
        <v>22962</v>
      </c>
      <c r="B685" s="2" t="s">
        <v>22963</v>
      </c>
      <c r="C685" s="2" t="s">
        <v>22964</v>
      </c>
      <c r="D685" s="2" t="s">
        <v>22965</v>
      </c>
      <c r="E685" s="2" t="s">
        <v>22966</v>
      </c>
      <c r="F685" s="2" t="s">
        <v>22967</v>
      </c>
      <c r="G685" s="2"/>
      <c r="H685" s="2" t="s">
        <v>12794</v>
      </c>
      <c r="I685" s="2" t="s">
        <v>1137</v>
      </c>
      <c r="J685" s="2" t="s">
        <v>22968</v>
      </c>
      <c r="K685" s="2" t="s">
        <v>22965</v>
      </c>
      <c r="L685" s="2"/>
      <c r="M685" s="2"/>
      <c r="N685" s="2"/>
      <c r="O685" s="2" t="s">
        <v>12794</v>
      </c>
      <c r="P685" s="2" t="s">
        <v>1137</v>
      </c>
      <c r="Q685" s="2" t="s">
        <v>22968</v>
      </c>
      <c r="R685" s="2" t="s">
        <v>701</v>
      </c>
      <c r="S685" s="2" t="s">
        <v>44</v>
      </c>
      <c r="T685" s="2"/>
      <c r="U685" s="2" t="s">
        <v>3527</v>
      </c>
      <c r="V685" s="2" t="s">
        <v>46</v>
      </c>
      <c r="W685" s="2" t="s">
        <v>3527</v>
      </c>
      <c r="X685" s="2" t="s">
        <v>10787</v>
      </c>
      <c r="Y685" s="2" t="s">
        <v>10801</v>
      </c>
      <c r="Z685" s="2" t="s">
        <v>7864</v>
      </c>
      <c r="AA685" s="2">
        <v>100</v>
      </c>
      <c r="AB685" s="2">
        <v>5</v>
      </c>
      <c r="AC685" s="2" t="s">
        <v>10789</v>
      </c>
      <c r="AD685" s="2" t="s">
        <v>22969</v>
      </c>
      <c r="AE685" s="2" t="s">
        <v>18260</v>
      </c>
      <c r="AF685" s="2"/>
      <c r="AG685" s="2" t="s">
        <v>18250</v>
      </c>
    </row>
    <row r="686" spans="1:33" x14ac:dyDescent="0.45">
      <c r="A686" s="2" t="s">
        <v>22970</v>
      </c>
      <c r="B686" s="2" t="s">
        <v>22971</v>
      </c>
      <c r="C686" s="2" t="s">
        <v>22970</v>
      </c>
      <c r="D686" s="2" t="s">
        <v>22972</v>
      </c>
      <c r="E686" s="2" t="s">
        <v>22973</v>
      </c>
      <c r="F686" s="2"/>
      <c r="G686" s="2"/>
      <c r="H686" s="2" t="s">
        <v>11346</v>
      </c>
      <c r="I686" s="2" t="s">
        <v>11347</v>
      </c>
      <c r="J686" s="2" t="s">
        <v>22974</v>
      </c>
      <c r="K686" s="2" t="s">
        <v>22972</v>
      </c>
      <c r="L686" s="2"/>
      <c r="M686" s="2"/>
      <c r="N686" s="2"/>
      <c r="O686" s="2" t="s">
        <v>11346</v>
      </c>
      <c r="P686" s="2" t="s">
        <v>11347</v>
      </c>
      <c r="Q686" s="2" t="s">
        <v>22974</v>
      </c>
      <c r="R686" s="2" t="s">
        <v>22975</v>
      </c>
      <c r="S686" s="2" t="s">
        <v>44</v>
      </c>
      <c r="T686" s="2"/>
      <c r="U686" s="2" t="s">
        <v>821</v>
      </c>
      <c r="V686" s="2" t="s">
        <v>46</v>
      </c>
      <c r="W686" s="2" t="s">
        <v>821</v>
      </c>
      <c r="X686" s="2" t="s">
        <v>10787</v>
      </c>
      <c r="Y686" s="2" t="s">
        <v>10801</v>
      </c>
      <c r="Z686" s="2" t="s">
        <v>7864</v>
      </c>
      <c r="AA686" s="2">
        <v>90</v>
      </c>
      <c r="AB686" s="2">
        <v>2</v>
      </c>
      <c r="AC686" s="2" t="s">
        <v>10789</v>
      </c>
      <c r="AD686" s="2" t="s">
        <v>22976</v>
      </c>
      <c r="AE686" s="2" t="s">
        <v>18260</v>
      </c>
      <c r="AF686" s="2"/>
      <c r="AG686" s="2" t="s">
        <v>18250</v>
      </c>
    </row>
    <row r="687" spans="1:33" x14ac:dyDescent="0.45">
      <c r="A687" s="2" t="s">
        <v>22977</v>
      </c>
      <c r="B687" s="2" t="s">
        <v>22978</v>
      </c>
      <c r="C687" s="2" t="s">
        <v>22979</v>
      </c>
      <c r="D687" s="2" t="s">
        <v>22980</v>
      </c>
      <c r="E687" s="2" t="s">
        <v>22981</v>
      </c>
      <c r="F687" s="2" t="s">
        <v>22982</v>
      </c>
      <c r="G687" s="2" t="s">
        <v>22982</v>
      </c>
      <c r="H687" s="2" t="s">
        <v>72</v>
      </c>
      <c r="I687" s="2" t="s">
        <v>73</v>
      </c>
      <c r="J687" s="2" t="s">
        <v>140</v>
      </c>
      <c r="K687" s="2" t="s">
        <v>22980</v>
      </c>
      <c r="L687" s="2"/>
      <c r="M687" s="2"/>
      <c r="N687" s="2"/>
      <c r="O687" s="2" t="s">
        <v>72</v>
      </c>
      <c r="P687" s="2" t="s">
        <v>73</v>
      </c>
      <c r="Q687" s="2" t="s">
        <v>140</v>
      </c>
      <c r="R687" s="2" t="s">
        <v>885</v>
      </c>
      <c r="S687" s="2" t="s">
        <v>44</v>
      </c>
      <c r="T687" s="2"/>
      <c r="U687" s="2" t="s">
        <v>3527</v>
      </c>
      <c r="V687" s="2" t="s">
        <v>46</v>
      </c>
      <c r="W687" s="2" t="s">
        <v>3527</v>
      </c>
      <c r="X687" s="2" t="s">
        <v>11214</v>
      </c>
      <c r="Y687" s="2" t="s">
        <v>10801</v>
      </c>
      <c r="Z687" s="2" t="s">
        <v>7864</v>
      </c>
      <c r="AA687" s="2">
        <v>100</v>
      </c>
      <c r="AB687" s="2">
        <v>10</v>
      </c>
      <c r="AC687" s="2" t="s">
        <v>10789</v>
      </c>
      <c r="AD687" s="2" t="s">
        <v>22983</v>
      </c>
      <c r="AE687" s="2" t="s">
        <v>18260</v>
      </c>
      <c r="AF687" s="2"/>
      <c r="AG687" s="2" t="s">
        <v>18250</v>
      </c>
    </row>
    <row r="688" spans="1:33" x14ac:dyDescent="0.45">
      <c r="A688" s="2" t="s">
        <v>22984</v>
      </c>
      <c r="B688" s="2" t="s">
        <v>22985</v>
      </c>
      <c r="C688" s="2"/>
      <c r="D688" s="2" t="s">
        <v>22986</v>
      </c>
      <c r="E688" s="2" t="s">
        <v>22987</v>
      </c>
      <c r="F688" s="2" t="s">
        <v>22988</v>
      </c>
      <c r="G688" s="2" t="s">
        <v>22988</v>
      </c>
      <c r="H688" s="2" t="s">
        <v>39</v>
      </c>
      <c r="I688" s="2" t="s">
        <v>40</v>
      </c>
      <c r="J688" s="2" t="s">
        <v>22989</v>
      </c>
      <c r="K688" s="2" t="s">
        <v>22990</v>
      </c>
      <c r="L688" s="2"/>
      <c r="M688" s="2"/>
      <c r="N688" s="2"/>
      <c r="O688" s="2" t="s">
        <v>39</v>
      </c>
      <c r="P688" s="2" t="s">
        <v>40</v>
      </c>
      <c r="Q688" s="2" t="s">
        <v>22989</v>
      </c>
      <c r="R688" s="2" t="s">
        <v>16651</v>
      </c>
      <c r="S688" s="2" t="s">
        <v>44</v>
      </c>
      <c r="T688" s="2"/>
      <c r="U688" s="2" t="s">
        <v>821</v>
      </c>
      <c r="V688" s="2" t="s">
        <v>46</v>
      </c>
      <c r="W688" s="2" t="s">
        <v>821</v>
      </c>
      <c r="X688" s="2" t="s">
        <v>10787</v>
      </c>
      <c r="Y688" s="2" t="s">
        <v>10801</v>
      </c>
      <c r="Z688" s="2" t="s">
        <v>7864</v>
      </c>
      <c r="AA688" s="2">
        <v>85</v>
      </c>
      <c r="AB688" s="2">
        <v>17</v>
      </c>
      <c r="AC688" s="2" t="s">
        <v>10789</v>
      </c>
      <c r="AD688" s="2" t="s">
        <v>22991</v>
      </c>
      <c r="AE688" s="2" t="s">
        <v>18260</v>
      </c>
      <c r="AF688" s="2"/>
      <c r="AG688" s="2" t="s">
        <v>18250</v>
      </c>
    </row>
    <row r="689" spans="1:33" x14ac:dyDescent="0.45">
      <c r="A689" s="2" t="s">
        <v>22992</v>
      </c>
      <c r="B689" s="2" t="s">
        <v>22993</v>
      </c>
      <c r="C689" s="2" t="s">
        <v>22994</v>
      </c>
      <c r="D689" s="2" t="s">
        <v>22995</v>
      </c>
      <c r="E689" s="2" t="s">
        <v>22996</v>
      </c>
      <c r="F689" s="2" t="s">
        <v>22997</v>
      </c>
      <c r="G689" s="2"/>
      <c r="H689" s="2" t="s">
        <v>14086</v>
      </c>
      <c r="I689" s="2" t="s">
        <v>1137</v>
      </c>
      <c r="J689" s="2" t="s">
        <v>14087</v>
      </c>
      <c r="K689" s="2" t="s">
        <v>22995</v>
      </c>
      <c r="L689" s="2"/>
      <c r="M689" s="2"/>
      <c r="N689" s="2"/>
      <c r="O689" s="2" t="s">
        <v>14086</v>
      </c>
      <c r="P689" s="2" t="s">
        <v>1137</v>
      </c>
      <c r="Q689" s="2" t="s">
        <v>14087</v>
      </c>
      <c r="R689" s="2" t="s">
        <v>22998</v>
      </c>
      <c r="S689" s="2" t="s">
        <v>44</v>
      </c>
      <c r="T689" s="2"/>
      <c r="U689" s="2" t="s">
        <v>3527</v>
      </c>
      <c r="V689" s="2" t="s">
        <v>46</v>
      </c>
      <c r="W689" s="2" t="s">
        <v>3527</v>
      </c>
      <c r="X689" s="2" t="s">
        <v>11225</v>
      </c>
      <c r="Y689" s="2" t="s">
        <v>10801</v>
      </c>
      <c r="Z689" s="2" t="s">
        <v>7864</v>
      </c>
      <c r="AA689" s="2">
        <v>100</v>
      </c>
      <c r="AB689" s="2">
        <v>5</v>
      </c>
      <c r="AC689" s="2" t="s">
        <v>10789</v>
      </c>
      <c r="AD689" s="2" t="s">
        <v>22999</v>
      </c>
      <c r="AE689" s="2" t="s">
        <v>18260</v>
      </c>
      <c r="AF689" s="2"/>
      <c r="AG689" s="2" t="s">
        <v>18250</v>
      </c>
    </row>
    <row r="690" spans="1:33" x14ac:dyDescent="0.45">
      <c r="A690" s="2" t="s">
        <v>23000</v>
      </c>
      <c r="B690" s="2" t="s">
        <v>23001</v>
      </c>
      <c r="C690" s="2" t="s">
        <v>23002</v>
      </c>
      <c r="D690" s="2" t="s">
        <v>23003</v>
      </c>
      <c r="E690" s="2" t="s">
        <v>23004</v>
      </c>
      <c r="F690" s="2"/>
      <c r="G690" s="2"/>
      <c r="H690" s="2" t="s">
        <v>72</v>
      </c>
      <c r="I690" s="2" t="s">
        <v>73</v>
      </c>
      <c r="J690" s="2" t="s">
        <v>1568</v>
      </c>
      <c r="K690" s="2" t="s">
        <v>23003</v>
      </c>
      <c r="L690" s="2"/>
      <c r="M690" s="2"/>
      <c r="N690" s="2"/>
      <c r="O690" s="2" t="s">
        <v>72</v>
      </c>
      <c r="P690" s="2" t="s">
        <v>73</v>
      </c>
      <c r="Q690" s="2" t="s">
        <v>1568</v>
      </c>
      <c r="R690" s="2" t="s">
        <v>22359</v>
      </c>
      <c r="S690" s="2" t="s">
        <v>44</v>
      </c>
      <c r="T690" s="2"/>
      <c r="U690" s="2" t="s">
        <v>3527</v>
      </c>
      <c r="V690" s="2" t="s">
        <v>46</v>
      </c>
      <c r="W690" s="2" t="s">
        <v>3527</v>
      </c>
      <c r="X690" s="2" t="s">
        <v>10787</v>
      </c>
      <c r="Y690" s="2" t="s">
        <v>10801</v>
      </c>
      <c r="Z690" s="2" t="s">
        <v>7864</v>
      </c>
      <c r="AA690" s="2">
        <v>90</v>
      </c>
      <c r="AB690" s="2">
        <v>0</v>
      </c>
      <c r="AC690" s="2" t="s">
        <v>10789</v>
      </c>
      <c r="AD690" s="2" t="s">
        <v>23005</v>
      </c>
      <c r="AE690" s="2" t="s">
        <v>18260</v>
      </c>
      <c r="AF690" s="2"/>
      <c r="AG690" s="2" t="s">
        <v>18250</v>
      </c>
    </row>
    <row r="691" spans="1:33" x14ac:dyDescent="0.45">
      <c r="A691" s="2" t="s">
        <v>23006</v>
      </c>
      <c r="B691" s="2" t="s">
        <v>23007</v>
      </c>
      <c r="C691" s="2" t="s">
        <v>23008</v>
      </c>
      <c r="D691" s="2" t="s">
        <v>23009</v>
      </c>
      <c r="E691" s="2" t="s">
        <v>23010</v>
      </c>
      <c r="F691" s="2" t="s">
        <v>23011</v>
      </c>
      <c r="G691" s="2" t="s">
        <v>23011</v>
      </c>
      <c r="H691" s="2" t="s">
        <v>72</v>
      </c>
      <c r="I691" s="2" t="s">
        <v>73</v>
      </c>
      <c r="J691" s="2" t="s">
        <v>720</v>
      </c>
      <c r="K691" s="2" t="s">
        <v>23009</v>
      </c>
      <c r="L691" s="2"/>
      <c r="M691" s="2"/>
      <c r="N691" s="2"/>
      <c r="O691" s="2" t="s">
        <v>72</v>
      </c>
      <c r="P691" s="2" t="s">
        <v>73</v>
      </c>
      <c r="Q691" s="2" t="s">
        <v>720</v>
      </c>
      <c r="R691" s="2" t="s">
        <v>11013</v>
      </c>
      <c r="S691" s="2" t="s">
        <v>44</v>
      </c>
      <c r="T691" s="2"/>
      <c r="U691" s="2" t="s">
        <v>3527</v>
      </c>
      <c r="V691" s="2" t="s">
        <v>46</v>
      </c>
      <c r="W691" s="2" t="s">
        <v>3527</v>
      </c>
      <c r="X691" s="2" t="s">
        <v>10787</v>
      </c>
      <c r="Y691" s="2" t="s">
        <v>10801</v>
      </c>
      <c r="Z691" s="2" t="s">
        <v>7864</v>
      </c>
      <c r="AA691" s="2">
        <v>100</v>
      </c>
      <c r="AB691" s="2">
        <v>10</v>
      </c>
      <c r="AC691" s="2" t="s">
        <v>10789</v>
      </c>
      <c r="AD691" s="2" t="s">
        <v>23012</v>
      </c>
      <c r="AE691" s="2" t="s">
        <v>18260</v>
      </c>
      <c r="AF691" s="2"/>
      <c r="AG691" s="2" t="s">
        <v>18250</v>
      </c>
    </row>
    <row r="692" spans="1:33" x14ac:dyDescent="0.45">
      <c r="A692" s="2" t="s">
        <v>23013</v>
      </c>
      <c r="B692" s="2" t="s">
        <v>23014</v>
      </c>
      <c r="C692" s="2" t="s">
        <v>23013</v>
      </c>
      <c r="D692" s="2" t="s">
        <v>23015</v>
      </c>
      <c r="E692" s="2" t="s">
        <v>23016</v>
      </c>
      <c r="F692" s="2" t="s">
        <v>23017</v>
      </c>
      <c r="G692" s="2" t="s">
        <v>23017</v>
      </c>
      <c r="H692" s="2" t="s">
        <v>1161</v>
      </c>
      <c r="I692" s="2" t="s">
        <v>221</v>
      </c>
      <c r="J692" s="2" t="s">
        <v>23018</v>
      </c>
      <c r="K692" s="2"/>
      <c r="L692" s="2"/>
      <c r="M692" s="2"/>
      <c r="N692" s="2"/>
      <c r="O692" s="2"/>
      <c r="P692" s="2"/>
      <c r="Q692" s="2"/>
      <c r="R692" s="2" t="s">
        <v>3273</v>
      </c>
      <c r="S692" s="2" t="s">
        <v>44</v>
      </c>
      <c r="T692" s="2"/>
      <c r="U692" s="2" t="s">
        <v>3527</v>
      </c>
      <c r="V692" s="2" t="s">
        <v>46</v>
      </c>
      <c r="W692" s="2" t="s">
        <v>3527</v>
      </c>
      <c r="X692" s="2" t="s">
        <v>10787</v>
      </c>
      <c r="Y692" s="2" t="s">
        <v>10801</v>
      </c>
      <c r="Z692" s="2" t="s">
        <v>7864</v>
      </c>
      <c r="AA692" s="2">
        <v>100</v>
      </c>
      <c r="AB692" s="2">
        <v>5</v>
      </c>
      <c r="AC692" s="2" t="s">
        <v>10789</v>
      </c>
      <c r="AD692" s="2" t="s">
        <v>23019</v>
      </c>
      <c r="AE692" s="2" t="s">
        <v>18260</v>
      </c>
      <c r="AF692" s="2"/>
      <c r="AG692" s="2" t="s">
        <v>18250</v>
      </c>
    </row>
    <row r="693" spans="1:33" x14ac:dyDescent="0.45">
      <c r="A693" s="2" t="s">
        <v>23020</v>
      </c>
      <c r="B693" s="2" t="s">
        <v>23021</v>
      </c>
      <c r="C693" s="2" t="s">
        <v>23022</v>
      </c>
      <c r="D693" s="2" t="s">
        <v>23023</v>
      </c>
      <c r="E693" s="2" t="s">
        <v>23024</v>
      </c>
      <c r="F693" s="2" t="s">
        <v>23025</v>
      </c>
      <c r="G693" s="2"/>
      <c r="H693" s="2" t="s">
        <v>5821</v>
      </c>
      <c r="I693" s="2" t="s">
        <v>278</v>
      </c>
      <c r="J693" s="2" t="s">
        <v>23026</v>
      </c>
      <c r="K693" s="2" t="s">
        <v>23023</v>
      </c>
      <c r="L693" s="2"/>
      <c r="M693" s="2"/>
      <c r="N693" s="2"/>
      <c r="O693" s="2" t="s">
        <v>5821</v>
      </c>
      <c r="P693" s="2" t="s">
        <v>278</v>
      </c>
      <c r="Q693" s="2" t="s">
        <v>23026</v>
      </c>
      <c r="R693" s="2" t="s">
        <v>23027</v>
      </c>
      <c r="S693" s="2" t="s">
        <v>44</v>
      </c>
      <c r="T693" s="2"/>
      <c r="U693" s="2" t="s">
        <v>821</v>
      </c>
      <c r="V693" s="2" t="s">
        <v>46</v>
      </c>
      <c r="W693" s="2" t="s">
        <v>821</v>
      </c>
      <c r="X693" s="2" t="s">
        <v>10787</v>
      </c>
      <c r="Y693" s="2" t="s">
        <v>10801</v>
      </c>
      <c r="Z693" s="2" t="s">
        <v>7864</v>
      </c>
      <c r="AA693" s="2">
        <v>100</v>
      </c>
      <c r="AB693" s="2">
        <v>12</v>
      </c>
      <c r="AC693" s="2" t="s">
        <v>10789</v>
      </c>
      <c r="AD693" s="2" t="s">
        <v>23028</v>
      </c>
      <c r="AE693" s="2" t="s">
        <v>18260</v>
      </c>
      <c r="AF693" s="2"/>
      <c r="AG693" s="2" t="s">
        <v>18250</v>
      </c>
    </row>
    <row r="694" spans="1:33" x14ac:dyDescent="0.45">
      <c r="A694" s="2" t="s">
        <v>23029</v>
      </c>
      <c r="B694" s="2" t="s">
        <v>23030</v>
      </c>
      <c r="C694" s="2" t="s">
        <v>23029</v>
      </c>
      <c r="D694" s="2" t="s">
        <v>23031</v>
      </c>
      <c r="E694" s="2" t="s">
        <v>23032</v>
      </c>
      <c r="F694" s="2" t="s">
        <v>23033</v>
      </c>
      <c r="G694" s="2" t="s">
        <v>23033</v>
      </c>
      <c r="H694" s="2" t="s">
        <v>18323</v>
      </c>
      <c r="I694" s="2" t="s">
        <v>221</v>
      </c>
      <c r="J694" s="2" t="s">
        <v>23034</v>
      </c>
      <c r="K694" s="2" t="s">
        <v>23031</v>
      </c>
      <c r="L694" s="2"/>
      <c r="M694" s="2"/>
      <c r="N694" s="2"/>
      <c r="O694" s="2" t="s">
        <v>18323</v>
      </c>
      <c r="P694" s="2" t="s">
        <v>221</v>
      </c>
      <c r="Q694" s="2" t="s">
        <v>23034</v>
      </c>
      <c r="R694" s="2" t="s">
        <v>16529</v>
      </c>
      <c r="S694" s="2" t="s">
        <v>44</v>
      </c>
      <c r="T694" s="2"/>
      <c r="U694" s="2" t="s">
        <v>3527</v>
      </c>
      <c r="V694" s="2" t="s">
        <v>46</v>
      </c>
      <c r="W694" s="2" t="s">
        <v>3527</v>
      </c>
      <c r="X694" s="2" t="s">
        <v>10787</v>
      </c>
      <c r="Y694" s="2" t="s">
        <v>10801</v>
      </c>
      <c r="Z694" s="2" t="s">
        <v>7864</v>
      </c>
      <c r="AA694" s="2">
        <v>100</v>
      </c>
      <c r="AB694" s="2">
        <v>5</v>
      </c>
      <c r="AC694" s="2" t="s">
        <v>10789</v>
      </c>
      <c r="AD694" s="2" t="s">
        <v>23035</v>
      </c>
      <c r="AE694" s="2" t="s">
        <v>18260</v>
      </c>
      <c r="AF694" s="2"/>
      <c r="AG694" s="2" t="s">
        <v>18250</v>
      </c>
    </row>
    <row r="695" spans="1:33" x14ac:dyDescent="0.45">
      <c r="A695" s="2" t="s">
        <v>23036</v>
      </c>
      <c r="B695" s="2" t="s">
        <v>23037</v>
      </c>
      <c r="C695" s="2" t="s">
        <v>23038</v>
      </c>
      <c r="D695" s="2" t="s">
        <v>23039</v>
      </c>
      <c r="E695" s="2" t="s">
        <v>23040</v>
      </c>
      <c r="F695" s="2"/>
      <c r="G695" s="2"/>
      <c r="H695" s="2" t="s">
        <v>59</v>
      </c>
      <c r="I695" s="2" t="s">
        <v>60</v>
      </c>
      <c r="J695" s="2" t="s">
        <v>12350</v>
      </c>
      <c r="K695" s="2" t="s">
        <v>23039</v>
      </c>
      <c r="L695" s="2"/>
      <c r="M695" s="2"/>
      <c r="N695" s="2"/>
      <c r="O695" s="2" t="s">
        <v>59</v>
      </c>
      <c r="P695" s="2" t="s">
        <v>60</v>
      </c>
      <c r="Q695" s="2" t="s">
        <v>12350</v>
      </c>
      <c r="R695" s="2" t="s">
        <v>4897</v>
      </c>
      <c r="S695" s="2" t="s">
        <v>44</v>
      </c>
      <c r="T695" s="2"/>
      <c r="U695" s="2" t="s">
        <v>3527</v>
      </c>
      <c r="V695" s="2" t="s">
        <v>46</v>
      </c>
      <c r="W695" s="2" t="s">
        <v>3527</v>
      </c>
      <c r="X695" s="2" t="s">
        <v>10787</v>
      </c>
      <c r="Y695" s="2" t="s">
        <v>10801</v>
      </c>
      <c r="Z695" s="2" t="s">
        <v>7864</v>
      </c>
      <c r="AA695" s="2">
        <v>90</v>
      </c>
      <c r="AB695" s="2">
        <v>0</v>
      </c>
      <c r="AC695" s="2" t="s">
        <v>10789</v>
      </c>
      <c r="AD695" s="2" t="s">
        <v>23041</v>
      </c>
      <c r="AE695" s="2" t="s">
        <v>18260</v>
      </c>
      <c r="AF695" s="2"/>
      <c r="AG695" s="2" t="s">
        <v>18250</v>
      </c>
    </row>
    <row r="696" spans="1:33" x14ac:dyDescent="0.45">
      <c r="A696" s="2" t="s">
        <v>23036</v>
      </c>
      <c r="B696" s="2" t="s">
        <v>23042</v>
      </c>
      <c r="C696" s="2" t="s">
        <v>23036</v>
      </c>
      <c r="D696" s="2" t="s">
        <v>23043</v>
      </c>
      <c r="E696" s="2" t="s">
        <v>23044</v>
      </c>
      <c r="F696" s="2"/>
      <c r="G696" s="2"/>
      <c r="H696" s="2" t="s">
        <v>5972</v>
      </c>
      <c r="I696" s="2" t="s">
        <v>221</v>
      </c>
      <c r="J696" s="2" t="s">
        <v>5973</v>
      </c>
      <c r="K696" s="2" t="s">
        <v>23043</v>
      </c>
      <c r="L696" s="2"/>
      <c r="M696" s="2"/>
      <c r="N696" s="2"/>
      <c r="O696" s="2" t="s">
        <v>5972</v>
      </c>
      <c r="P696" s="2" t="s">
        <v>221</v>
      </c>
      <c r="Q696" s="2" t="s">
        <v>5973</v>
      </c>
      <c r="R696" s="2" t="s">
        <v>10728</v>
      </c>
      <c r="S696" s="2" t="s">
        <v>44</v>
      </c>
      <c r="T696" s="2"/>
      <c r="U696" s="2" t="s">
        <v>3527</v>
      </c>
      <c r="V696" s="2" t="s">
        <v>46</v>
      </c>
      <c r="W696" s="2" t="s">
        <v>3527</v>
      </c>
      <c r="X696" s="2" t="s">
        <v>10787</v>
      </c>
      <c r="Y696" s="2" t="s">
        <v>10801</v>
      </c>
      <c r="Z696" s="2" t="s">
        <v>7864</v>
      </c>
      <c r="AA696" s="2">
        <v>90</v>
      </c>
      <c r="AB696" s="2">
        <v>0</v>
      </c>
      <c r="AC696" s="2" t="s">
        <v>10789</v>
      </c>
      <c r="AD696" s="2" t="s">
        <v>23041</v>
      </c>
      <c r="AE696" s="2" t="s">
        <v>18260</v>
      </c>
      <c r="AF696" s="2"/>
      <c r="AG696" s="2" t="s">
        <v>18250</v>
      </c>
    </row>
    <row r="697" spans="1:33" x14ac:dyDescent="0.45">
      <c r="A697" s="2" t="s">
        <v>23045</v>
      </c>
      <c r="B697" s="2" t="s">
        <v>23046</v>
      </c>
      <c r="C697" s="2" t="s">
        <v>23045</v>
      </c>
      <c r="D697" s="2" t="s">
        <v>23047</v>
      </c>
      <c r="E697" s="2" t="s">
        <v>23048</v>
      </c>
      <c r="F697" s="2" t="s">
        <v>23049</v>
      </c>
      <c r="G697" s="2" t="s">
        <v>23049</v>
      </c>
      <c r="H697" s="2" t="s">
        <v>13097</v>
      </c>
      <c r="I697" s="2" t="s">
        <v>221</v>
      </c>
      <c r="J697" s="2" t="s">
        <v>8507</v>
      </c>
      <c r="K697" s="2" t="s">
        <v>23047</v>
      </c>
      <c r="L697" s="2"/>
      <c r="M697" s="2"/>
      <c r="N697" s="2"/>
      <c r="O697" s="2" t="s">
        <v>13097</v>
      </c>
      <c r="P697" s="2" t="s">
        <v>221</v>
      </c>
      <c r="Q697" s="2" t="s">
        <v>8507</v>
      </c>
      <c r="R697" s="2" t="s">
        <v>7730</v>
      </c>
      <c r="S697" s="2" t="s">
        <v>44</v>
      </c>
      <c r="T697" s="2"/>
      <c r="U697" s="2" t="s">
        <v>3527</v>
      </c>
      <c r="V697" s="2" t="s">
        <v>46</v>
      </c>
      <c r="W697" s="2" t="s">
        <v>3527</v>
      </c>
      <c r="X697" s="2" t="s">
        <v>10787</v>
      </c>
      <c r="Y697" s="2" t="s">
        <v>10801</v>
      </c>
      <c r="Z697" s="2" t="s">
        <v>7864</v>
      </c>
      <c r="AA697" s="2">
        <v>100</v>
      </c>
      <c r="AB697" s="2">
        <v>5</v>
      </c>
      <c r="AC697" s="2" t="s">
        <v>10789</v>
      </c>
      <c r="AD697" s="2" t="s">
        <v>23050</v>
      </c>
      <c r="AE697" s="2" t="s">
        <v>18260</v>
      </c>
      <c r="AF697" s="2"/>
      <c r="AG697" s="2" t="s">
        <v>18250</v>
      </c>
    </row>
    <row r="698" spans="1:33" x14ac:dyDescent="0.45">
      <c r="A698" s="2" t="s">
        <v>23051</v>
      </c>
      <c r="B698" s="2" t="s">
        <v>23052</v>
      </c>
      <c r="C698" s="2" t="s">
        <v>23051</v>
      </c>
      <c r="D698" s="2" t="s">
        <v>23053</v>
      </c>
      <c r="E698" s="2" t="s">
        <v>23054</v>
      </c>
      <c r="F698" s="2"/>
      <c r="G698" s="2"/>
      <c r="H698" s="2" t="s">
        <v>536</v>
      </c>
      <c r="I698" s="2" t="s">
        <v>537</v>
      </c>
      <c r="J698" s="2" t="s">
        <v>23055</v>
      </c>
      <c r="K698" s="2" t="s">
        <v>23053</v>
      </c>
      <c r="L698" s="2"/>
      <c r="M698" s="2"/>
      <c r="N698" s="2"/>
      <c r="O698" s="2" t="s">
        <v>536</v>
      </c>
      <c r="P698" s="2" t="s">
        <v>537</v>
      </c>
      <c r="Q698" s="2" t="s">
        <v>23055</v>
      </c>
      <c r="R698" s="2" t="s">
        <v>22543</v>
      </c>
      <c r="S698" s="2" t="s">
        <v>44</v>
      </c>
      <c r="T698" s="2"/>
      <c r="U698" s="2" t="s">
        <v>3527</v>
      </c>
      <c r="V698" s="2" t="s">
        <v>46</v>
      </c>
      <c r="W698" s="2" t="s">
        <v>3527</v>
      </c>
      <c r="X698" s="2" t="s">
        <v>10787</v>
      </c>
      <c r="Y698" s="2" t="s">
        <v>10801</v>
      </c>
      <c r="Z698" s="2" t="s">
        <v>7864</v>
      </c>
      <c r="AA698" s="2">
        <v>90</v>
      </c>
      <c r="AB698" s="2">
        <v>0</v>
      </c>
      <c r="AC698" s="2" t="s">
        <v>10789</v>
      </c>
      <c r="AD698" s="2" t="s">
        <v>23056</v>
      </c>
      <c r="AE698" s="2" t="s">
        <v>18260</v>
      </c>
      <c r="AF698" s="2"/>
      <c r="AG698" s="2" t="s">
        <v>18250</v>
      </c>
    </row>
    <row r="699" spans="1:33" x14ac:dyDescent="0.45">
      <c r="A699" s="2" t="s">
        <v>23057</v>
      </c>
      <c r="B699" s="2" t="s">
        <v>23058</v>
      </c>
      <c r="C699" s="2" t="s">
        <v>23059</v>
      </c>
      <c r="D699" s="2" t="s">
        <v>23060</v>
      </c>
      <c r="E699" s="2" t="s">
        <v>15296</v>
      </c>
      <c r="F699" s="2"/>
      <c r="G699" s="2"/>
      <c r="H699" s="2" t="s">
        <v>384</v>
      </c>
      <c r="I699" s="2" t="s">
        <v>73</v>
      </c>
      <c r="J699" s="2" t="s">
        <v>1837</v>
      </c>
      <c r="K699" s="2" t="s">
        <v>23060</v>
      </c>
      <c r="L699" s="2"/>
      <c r="M699" s="2"/>
      <c r="N699" s="2"/>
      <c r="O699" s="2" t="s">
        <v>384</v>
      </c>
      <c r="P699" s="2" t="s">
        <v>73</v>
      </c>
      <c r="Q699" s="2" t="s">
        <v>1837</v>
      </c>
      <c r="R699" s="2" t="s">
        <v>6855</v>
      </c>
      <c r="S699" s="2" t="s">
        <v>44</v>
      </c>
      <c r="T699" s="2"/>
      <c r="U699" s="2" t="s">
        <v>3527</v>
      </c>
      <c r="V699" s="2" t="s">
        <v>46</v>
      </c>
      <c r="W699" s="2" t="s">
        <v>3527</v>
      </c>
      <c r="X699" s="2" t="s">
        <v>10787</v>
      </c>
      <c r="Y699" s="2" t="s">
        <v>10801</v>
      </c>
      <c r="Z699" s="2" t="s">
        <v>7864</v>
      </c>
      <c r="AA699" s="2">
        <v>90</v>
      </c>
      <c r="AB699" s="2">
        <v>0</v>
      </c>
      <c r="AC699" s="2" t="s">
        <v>10789</v>
      </c>
      <c r="AD699" s="2" t="s">
        <v>23061</v>
      </c>
      <c r="AE699" s="2" t="s">
        <v>18260</v>
      </c>
      <c r="AF699" s="2"/>
      <c r="AG699" s="2" t="s">
        <v>18250</v>
      </c>
    </row>
    <row r="700" spans="1:33" x14ac:dyDescent="0.45">
      <c r="A700" s="2" t="s">
        <v>23062</v>
      </c>
      <c r="B700" s="2" t="s">
        <v>23063</v>
      </c>
      <c r="C700" s="2" t="s">
        <v>23064</v>
      </c>
      <c r="D700" s="2" t="s">
        <v>23065</v>
      </c>
      <c r="E700" s="2" t="s">
        <v>23066</v>
      </c>
      <c r="F700" s="2"/>
      <c r="G700" s="2"/>
      <c r="H700" s="2" t="s">
        <v>39</v>
      </c>
      <c r="I700" s="2" t="s">
        <v>40</v>
      </c>
      <c r="J700" s="2" t="s">
        <v>2041</v>
      </c>
      <c r="K700" s="2" t="s">
        <v>23067</v>
      </c>
      <c r="L700" s="2"/>
      <c r="M700" s="2"/>
      <c r="N700" s="2"/>
      <c r="O700" s="2" t="s">
        <v>39</v>
      </c>
      <c r="P700" s="2" t="s">
        <v>40</v>
      </c>
      <c r="Q700" s="2" t="s">
        <v>8123</v>
      </c>
      <c r="R700" s="2" t="s">
        <v>23068</v>
      </c>
      <c r="S700" s="2" t="s">
        <v>44</v>
      </c>
      <c r="T700" s="2"/>
      <c r="U700" s="2" t="s">
        <v>821</v>
      </c>
      <c r="V700" s="2" t="s">
        <v>46</v>
      </c>
      <c r="W700" s="2" t="s">
        <v>821</v>
      </c>
      <c r="X700" s="2" t="s">
        <v>10787</v>
      </c>
      <c r="Y700" s="2" t="s">
        <v>10801</v>
      </c>
      <c r="Z700" s="2" t="s">
        <v>7864</v>
      </c>
      <c r="AA700" s="2">
        <v>90</v>
      </c>
      <c r="AB700" s="2">
        <v>7</v>
      </c>
      <c r="AC700" s="2" t="s">
        <v>10789</v>
      </c>
      <c r="AD700" s="2" t="s">
        <v>23069</v>
      </c>
      <c r="AE700" s="2" t="s">
        <v>18260</v>
      </c>
      <c r="AF700" s="2"/>
      <c r="AG700" s="2" t="s">
        <v>18250</v>
      </c>
    </row>
    <row r="701" spans="1:33" x14ac:dyDescent="0.45">
      <c r="A701" s="2" t="s">
        <v>23070</v>
      </c>
      <c r="B701" s="2" t="s">
        <v>23071</v>
      </c>
      <c r="C701" s="2" t="s">
        <v>23070</v>
      </c>
      <c r="D701" s="2" t="s">
        <v>23072</v>
      </c>
      <c r="E701" s="2" t="s">
        <v>23073</v>
      </c>
      <c r="F701" s="2"/>
      <c r="G701" s="2"/>
      <c r="H701" s="2" t="s">
        <v>12556</v>
      </c>
      <c r="I701" s="2" t="s">
        <v>278</v>
      </c>
      <c r="J701" s="2" t="s">
        <v>13158</v>
      </c>
      <c r="K701" s="2" t="s">
        <v>23072</v>
      </c>
      <c r="L701" s="2"/>
      <c r="M701" s="2"/>
      <c r="N701" s="2"/>
      <c r="O701" s="2" t="s">
        <v>12556</v>
      </c>
      <c r="P701" s="2" t="s">
        <v>278</v>
      </c>
      <c r="Q701" s="2" t="s">
        <v>13158</v>
      </c>
      <c r="R701" s="2" t="s">
        <v>580</v>
      </c>
      <c r="S701" s="2" t="s">
        <v>44</v>
      </c>
      <c r="T701" s="2"/>
      <c r="U701" s="2" t="s">
        <v>3527</v>
      </c>
      <c r="V701" s="2" t="s">
        <v>46</v>
      </c>
      <c r="W701" s="2" t="s">
        <v>3527</v>
      </c>
      <c r="X701" s="2" t="s">
        <v>10787</v>
      </c>
      <c r="Y701" s="2" t="s">
        <v>10801</v>
      </c>
      <c r="Z701" s="2" t="s">
        <v>7864</v>
      </c>
      <c r="AA701" s="2">
        <v>90</v>
      </c>
      <c r="AB701" s="2">
        <v>0</v>
      </c>
      <c r="AC701" s="2" t="s">
        <v>10789</v>
      </c>
      <c r="AD701" s="2" t="s">
        <v>23074</v>
      </c>
      <c r="AE701" s="2" t="s">
        <v>18260</v>
      </c>
      <c r="AF701" s="2"/>
      <c r="AG701" s="2" t="s">
        <v>18250</v>
      </c>
    </row>
    <row r="702" spans="1:33" x14ac:dyDescent="0.45">
      <c r="A702" s="2" t="s">
        <v>23075</v>
      </c>
      <c r="B702" s="2" t="s">
        <v>23076</v>
      </c>
      <c r="C702" s="2" t="s">
        <v>23075</v>
      </c>
      <c r="D702" s="2" t="s">
        <v>23077</v>
      </c>
      <c r="E702" s="2" t="s">
        <v>23078</v>
      </c>
      <c r="F702" s="2"/>
      <c r="G702" s="2"/>
      <c r="H702" s="2" t="s">
        <v>59</v>
      </c>
      <c r="I702" s="2" t="s">
        <v>60</v>
      </c>
      <c r="J702" s="2" t="s">
        <v>7339</v>
      </c>
      <c r="K702" s="2" t="s">
        <v>23077</v>
      </c>
      <c r="L702" s="2"/>
      <c r="M702" s="2"/>
      <c r="N702" s="2"/>
      <c r="O702" s="2" t="s">
        <v>59</v>
      </c>
      <c r="P702" s="2" t="s">
        <v>60</v>
      </c>
      <c r="Q702" s="2" t="s">
        <v>7339</v>
      </c>
      <c r="R702" s="2" t="s">
        <v>4541</v>
      </c>
      <c r="S702" s="2" t="s">
        <v>44</v>
      </c>
      <c r="T702" s="2"/>
      <c r="U702" s="2" t="s">
        <v>821</v>
      </c>
      <c r="V702" s="2" t="s">
        <v>46</v>
      </c>
      <c r="W702" s="2" t="s">
        <v>821</v>
      </c>
      <c r="X702" s="2" t="s">
        <v>23079</v>
      </c>
      <c r="Y702" s="2" t="s">
        <v>10801</v>
      </c>
      <c r="Z702" s="2" t="s">
        <v>7864</v>
      </c>
      <c r="AA702" s="2">
        <v>90</v>
      </c>
      <c r="AB702" s="2">
        <v>7</v>
      </c>
      <c r="AC702" s="2" t="s">
        <v>10789</v>
      </c>
      <c r="AD702" s="2" t="s">
        <v>23080</v>
      </c>
      <c r="AE702" s="2" t="s">
        <v>18260</v>
      </c>
      <c r="AF702" s="2"/>
      <c r="AG702" s="2" t="s">
        <v>18250</v>
      </c>
    </row>
    <row r="703" spans="1:33" x14ac:dyDescent="0.45">
      <c r="A703" s="2" t="s">
        <v>23081</v>
      </c>
      <c r="B703" s="2" t="s">
        <v>23082</v>
      </c>
      <c r="C703" s="2" t="s">
        <v>23081</v>
      </c>
      <c r="D703" s="2" t="s">
        <v>23083</v>
      </c>
      <c r="E703" s="2" t="s">
        <v>23084</v>
      </c>
      <c r="F703" s="2" t="s">
        <v>23085</v>
      </c>
      <c r="G703" s="2"/>
      <c r="H703" s="2" t="s">
        <v>651</v>
      </c>
      <c r="I703" s="2" t="s">
        <v>86</v>
      </c>
      <c r="J703" s="2" t="s">
        <v>1356</v>
      </c>
      <c r="K703" s="2" t="s">
        <v>23083</v>
      </c>
      <c r="L703" s="2"/>
      <c r="M703" s="2"/>
      <c r="N703" s="2"/>
      <c r="O703" s="2" t="s">
        <v>651</v>
      </c>
      <c r="P703" s="2" t="s">
        <v>86</v>
      </c>
      <c r="Q703" s="2" t="s">
        <v>1356</v>
      </c>
      <c r="R703" s="2" t="s">
        <v>16030</v>
      </c>
      <c r="S703" s="2" t="s">
        <v>44</v>
      </c>
      <c r="T703" s="2"/>
      <c r="U703" s="2" t="s">
        <v>3527</v>
      </c>
      <c r="V703" s="2" t="s">
        <v>46</v>
      </c>
      <c r="W703" s="2" t="s">
        <v>3527</v>
      </c>
      <c r="X703" s="2" t="s">
        <v>10787</v>
      </c>
      <c r="Y703" s="2" t="s">
        <v>10801</v>
      </c>
      <c r="Z703" s="2" t="s">
        <v>7864</v>
      </c>
      <c r="AA703" s="2">
        <v>100</v>
      </c>
      <c r="AB703" s="2">
        <v>10</v>
      </c>
      <c r="AC703" s="2" t="s">
        <v>10789</v>
      </c>
      <c r="AD703" s="2" t="s">
        <v>23086</v>
      </c>
      <c r="AE703" s="2" t="s">
        <v>18260</v>
      </c>
      <c r="AF703" s="2"/>
      <c r="AG703" s="2" t="s">
        <v>18250</v>
      </c>
    </row>
    <row r="704" spans="1:33" x14ac:dyDescent="0.45">
      <c r="A704" s="2" t="s">
        <v>23087</v>
      </c>
      <c r="B704" s="2" t="s">
        <v>23088</v>
      </c>
      <c r="C704" s="2" t="s">
        <v>23087</v>
      </c>
      <c r="D704" s="2" t="s">
        <v>23089</v>
      </c>
      <c r="E704" s="2" t="s">
        <v>23090</v>
      </c>
      <c r="F704" s="2" t="s">
        <v>23091</v>
      </c>
      <c r="G704" s="2" t="s">
        <v>23091</v>
      </c>
      <c r="H704" s="2" t="s">
        <v>85</v>
      </c>
      <c r="I704" s="2" t="s">
        <v>86</v>
      </c>
      <c r="J704" s="2" t="s">
        <v>1356</v>
      </c>
      <c r="K704" s="2" t="s">
        <v>23089</v>
      </c>
      <c r="L704" s="2"/>
      <c r="M704" s="2"/>
      <c r="N704" s="2"/>
      <c r="O704" s="2" t="s">
        <v>85</v>
      </c>
      <c r="P704" s="2" t="s">
        <v>86</v>
      </c>
      <c r="Q704" s="2" t="s">
        <v>1356</v>
      </c>
      <c r="R704" s="2" t="s">
        <v>18332</v>
      </c>
      <c r="S704" s="2" t="s">
        <v>44</v>
      </c>
      <c r="T704" s="2"/>
      <c r="U704" s="2" t="s">
        <v>821</v>
      </c>
      <c r="V704" s="2" t="s">
        <v>46</v>
      </c>
      <c r="W704" s="2" t="s">
        <v>821</v>
      </c>
      <c r="X704" s="2" t="s">
        <v>10787</v>
      </c>
      <c r="Y704" s="2" t="s">
        <v>10801</v>
      </c>
      <c r="Z704" s="2" t="s">
        <v>7864</v>
      </c>
      <c r="AA704" s="2">
        <v>100</v>
      </c>
      <c r="AB704" s="2">
        <v>17</v>
      </c>
      <c r="AC704" s="2" t="s">
        <v>10789</v>
      </c>
      <c r="AD704" s="2" t="s">
        <v>23092</v>
      </c>
      <c r="AE704" s="2" t="s">
        <v>18260</v>
      </c>
      <c r="AF704" s="2"/>
      <c r="AG704" s="2" t="s">
        <v>18250</v>
      </c>
    </row>
    <row r="705" spans="1:33" x14ac:dyDescent="0.45">
      <c r="A705" s="2" t="s">
        <v>23093</v>
      </c>
      <c r="B705" s="2" t="s">
        <v>23094</v>
      </c>
      <c r="C705" s="2" t="s">
        <v>23093</v>
      </c>
      <c r="D705" s="2" t="s">
        <v>23095</v>
      </c>
      <c r="E705" s="2" t="s">
        <v>23096</v>
      </c>
      <c r="F705" s="2"/>
      <c r="G705" s="2"/>
      <c r="H705" s="2" t="s">
        <v>324</v>
      </c>
      <c r="I705" s="2" t="s">
        <v>73</v>
      </c>
      <c r="J705" s="2" t="s">
        <v>7664</v>
      </c>
      <c r="K705" s="2" t="s">
        <v>23095</v>
      </c>
      <c r="L705" s="2"/>
      <c r="M705" s="2"/>
      <c r="N705" s="2"/>
      <c r="O705" s="2" t="s">
        <v>324</v>
      </c>
      <c r="P705" s="2" t="s">
        <v>73</v>
      </c>
      <c r="Q705" s="2" t="s">
        <v>7664</v>
      </c>
      <c r="R705" s="2" t="s">
        <v>23097</v>
      </c>
      <c r="S705" s="2" t="s">
        <v>44</v>
      </c>
      <c r="T705" s="2"/>
      <c r="U705" s="2" t="s">
        <v>3527</v>
      </c>
      <c r="V705" s="2" t="s">
        <v>46</v>
      </c>
      <c r="W705" s="2" t="s">
        <v>3527</v>
      </c>
      <c r="X705" s="2" t="s">
        <v>10787</v>
      </c>
      <c r="Y705" s="2" t="s">
        <v>10801</v>
      </c>
      <c r="Z705" s="2" t="s">
        <v>7864</v>
      </c>
      <c r="AA705" s="2">
        <v>90</v>
      </c>
      <c r="AB705" s="2">
        <v>0</v>
      </c>
      <c r="AC705" s="2" t="s">
        <v>10789</v>
      </c>
      <c r="AD705" s="2" t="s">
        <v>23098</v>
      </c>
      <c r="AE705" s="2" t="s">
        <v>18260</v>
      </c>
      <c r="AF705" s="2"/>
      <c r="AG705" s="2" t="s">
        <v>18250</v>
      </c>
    </row>
    <row r="706" spans="1:33" x14ac:dyDescent="0.45">
      <c r="A706" s="2" t="s">
        <v>23099</v>
      </c>
      <c r="B706" s="2" t="s">
        <v>23100</v>
      </c>
      <c r="C706" s="2" t="s">
        <v>23101</v>
      </c>
      <c r="D706" s="2" t="s">
        <v>23102</v>
      </c>
      <c r="E706" s="2" t="s">
        <v>23103</v>
      </c>
      <c r="F706" s="2" t="s">
        <v>23104</v>
      </c>
      <c r="G706" s="2"/>
      <c r="H706" s="2" t="s">
        <v>277</v>
      </c>
      <c r="I706" s="2" t="s">
        <v>278</v>
      </c>
      <c r="J706" s="2" t="s">
        <v>1058</v>
      </c>
      <c r="K706" s="2"/>
      <c r="L706" s="2"/>
      <c r="M706" s="2"/>
      <c r="N706" s="2"/>
      <c r="O706" s="2"/>
      <c r="P706" s="2"/>
      <c r="Q706" s="2"/>
      <c r="R706" s="2" t="s">
        <v>7648</v>
      </c>
      <c r="S706" s="2" t="s">
        <v>44</v>
      </c>
      <c r="T706" s="2"/>
      <c r="U706" s="2" t="s">
        <v>3527</v>
      </c>
      <c r="V706" s="2" t="s">
        <v>46</v>
      </c>
      <c r="W706" s="2" t="s">
        <v>3527</v>
      </c>
      <c r="X706" s="2" t="s">
        <v>10787</v>
      </c>
      <c r="Y706" s="2" t="s">
        <v>10801</v>
      </c>
      <c r="Z706" s="2" t="s">
        <v>7864</v>
      </c>
      <c r="AA706" s="2">
        <v>100</v>
      </c>
      <c r="AB706" s="2">
        <v>10</v>
      </c>
      <c r="AC706" s="2" t="s">
        <v>10789</v>
      </c>
      <c r="AD706" s="2" t="s">
        <v>23105</v>
      </c>
      <c r="AE706" s="2" t="s">
        <v>18260</v>
      </c>
      <c r="AF706" s="2"/>
      <c r="AG706" s="2" t="s">
        <v>18250</v>
      </c>
    </row>
    <row r="707" spans="1:33" x14ac:dyDescent="0.45">
      <c r="A707" s="2" t="s">
        <v>23106</v>
      </c>
      <c r="B707" s="2" t="s">
        <v>23107</v>
      </c>
      <c r="C707" s="2" t="s">
        <v>23108</v>
      </c>
      <c r="D707" s="2" t="s">
        <v>22223</v>
      </c>
      <c r="E707" s="2" t="s">
        <v>23109</v>
      </c>
      <c r="F707" s="2"/>
      <c r="G707" s="2"/>
      <c r="H707" s="2" t="s">
        <v>9838</v>
      </c>
      <c r="I707" s="2" t="s">
        <v>278</v>
      </c>
      <c r="J707" s="2" t="s">
        <v>9839</v>
      </c>
      <c r="K707" s="2" t="s">
        <v>22223</v>
      </c>
      <c r="L707" s="2"/>
      <c r="M707" s="2"/>
      <c r="N707" s="2"/>
      <c r="O707" s="2" t="s">
        <v>9838</v>
      </c>
      <c r="P707" s="2" t="s">
        <v>278</v>
      </c>
      <c r="Q707" s="2" t="s">
        <v>9839</v>
      </c>
      <c r="R707" s="2" t="s">
        <v>6883</v>
      </c>
      <c r="S707" s="2" t="s">
        <v>44</v>
      </c>
      <c r="T707" s="2"/>
      <c r="U707" s="2" t="s">
        <v>3527</v>
      </c>
      <c r="V707" s="2" t="s">
        <v>46</v>
      </c>
      <c r="W707" s="2" t="s">
        <v>3527</v>
      </c>
      <c r="X707" s="2" t="s">
        <v>10787</v>
      </c>
      <c r="Y707" s="2" t="s">
        <v>10801</v>
      </c>
      <c r="Z707" s="2" t="s">
        <v>7864</v>
      </c>
      <c r="AA707" s="2">
        <v>90</v>
      </c>
      <c r="AB707" s="2">
        <v>0</v>
      </c>
      <c r="AC707" s="2" t="s">
        <v>10789</v>
      </c>
      <c r="AD707" s="2" t="s">
        <v>23110</v>
      </c>
      <c r="AE707" s="2" t="s">
        <v>18260</v>
      </c>
      <c r="AF707" s="2"/>
      <c r="AG707" s="2" t="s">
        <v>18250</v>
      </c>
    </row>
    <row r="708" spans="1:33" x14ac:dyDescent="0.45">
      <c r="A708" s="2" t="s">
        <v>23111</v>
      </c>
      <c r="B708" s="2" t="s">
        <v>23112</v>
      </c>
      <c r="C708" s="2" t="s">
        <v>23113</v>
      </c>
      <c r="D708" s="2" t="s">
        <v>23114</v>
      </c>
      <c r="E708" s="2" t="s">
        <v>23115</v>
      </c>
      <c r="F708" s="2" t="s">
        <v>23116</v>
      </c>
      <c r="G708" s="2" t="s">
        <v>23116</v>
      </c>
      <c r="H708" s="2" t="s">
        <v>290</v>
      </c>
      <c r="I708" s="2" t="s">
        <v>278</v>
      </c>
      <c r="J708" s="2" t="s">
        <v>1460</v>
      </c>
      <c r="K708" s="2"/>
      <c r="L708" s="2"/>
      <c r="M708" s="2"/>
      <c r="N708" s="2"/>
      <c r="O708" s="2"/>
      <c r="P708" s="2"/>
      <c r="Q708" s="2"/>
      <c r="R708" s="2" t="s">
        <v>3467</v>
      </c>
      <c r="S708" s="2" t="s">
        <v>44</v>
      </c>
      <c r="T708" s="2"/>
      <c r="U708" s="2" t="s">
        <v>821</v>
      </c>
      <c r="V708" s="2" t="s">
        <v>46</v>
      </c>
      <c r="W708" s="2" t="s">
        <v>821</v>
      </c>
      <c r="X708" s="2" t="s">
        <v>10787</v>
      </c>
      <c r="Y708" s="2" t="s">
        <v>10801</v>
      </c>
      <c r="Z708" s="2" t="s">
        <v>7864</v>
      </c>
      <c r="AA708" s="2">
        <v>100</v>
      </c>
      <c r="AB708" s="2">
        <v>17</v>
      </c>
      <c r="AC708" s="2" t="s">
        <v>10789</v>
      </c>
      <c r="AD708" s="2" t="s">
        <v>23117</v>
      </c>
      <c r="AE708" s="2" t="s">
        <v>18260</v>
      </c>
      <c r="AF708" s="2"/>
      <c r="AG708" s="2" t="s">
        <v>18250</v>
      </c>
    </row>
    <row r="709" spans="1:33" x14ac:dyDescent="0.45">
      <c r="A709" s="2" t="s">
        <v>23118</v>
      </c>
      <c r="B709" s="2" t="s">
        <v>23119</v>
      </c>
      <c r="C709" s="2" t="s">
        <v>23120</v>
      </c>
      <c r="D709" s="2" t="s">
        <v>23121</v>
      </c>
      <c r="E709" s="2" t="s">
        <v>23122</v>
      </c>
      <c r="F709" s="2"/>
      <c r="G709" s="2"/>
      <c r="H709" s="2" t="s">
        <v>5821</v>
      </c>
      <c r="I709" s="2" t="s">
        <v>278</v>
      </c>
      <c r="J709" s="2" t="s">
        <v>8554</v>
      </c>
      <c r="K709" s="2" t="s">
        <v>23123</v>
      </c>
      <c r="L709" s="2"/>
      <c r="M709" s="2"/>
      <c r="N709" s="2"/>
      <c r="O709" s="2" t="s">
        <v>5821</v>
      </c>
      <c r="P709" s="2" t="s">
        <v>278</v>
      </c>
      <c r="Q709" s="2" t="s">
        <v>8554</v>
      </c>
      <c r="R709" s="2" t="s">
        <v>23124</v>
      </c>
      <c r="S709" s="2" t="s">
        <v>44</v>
      </c>
      <c r="T709" s="2"/>
      <c r="U709" s="2" t="s">
        <v>3527</v>
      </c>
      <c r="V709" s="2" t="s">
        <v>46</v>
      </c>
      <c r="W709" s="2" t="s">
        <v>3527</v>
      </c>
      <c r="X709" s="2" t="s">
        <v>10787</v>
      </c>
      <c r="Y709" s="2" t="s">
        <v>10801</v>
      </c>
      <c r="Z709" s="2" t="s">
        <v>7864</v>
      </c>
      <c r="AA709" s="2">
        <v>90</v>
      </c>
      <c r="AB709" s="2">
        <v>0</v>
      </c>
      <c r="AC709" s="2" t="s">
        <v>10789</v>
      </c>
      <c r="AD709" s="2" t="s">
        <v>23125</v>
      </c>
      <c r="AE709" s="2" t="s">
        <v>18260</v>
      </c>
      <c r="AF709" s="2"/>
      <c r="AG709" s="2" t="s">
        <v>18250</v>
      </c>
    </row>
    <row r="710" spans="1:33" x14ac:dyDescent="0.45">
      <c r="A710" s="2" t="s">
        <v>23126</v>
      </c>
      <c r="B710" s="2" t="s">
        <v>23127</v>
      </c>
      <c r="C710" s="2" t="s">
        <v>23128</v>
      </c>
      <c r="D710" s="2" t="s">
        <v>23129</v>
      </c>
      <c r="E710" s="2" t="s">
        <v>23130</v>
      </c>
      <c r="F710" s="2" t="s">
        <v>9550</v>
      </c>
      <c r="G710" s="2" t="s">
        <v>9550</v>
      </c>
      <c r="H710" s="2" t="s">
        <v>384</v>
      </c>
      <c r="I710" s="2" t="s">
        <v>73</v>
      </c>
      <c r="J710" s="2" t="s">
        <v>3797</v>
      </c>
      <c r="K710" s="2"/>
      <c r="L710" s="2"/>
      <c r="M710" s="2"/>
      <c r="N710" s="2"/>
      <c r="O710" s="2"/>
      <c r="P710" s="2"/>
      <c r="Q710" s="2"/>
      <c r="R710" s="2" t="s">
        <v>6685</v>
      </c>
      <c r="S710" s="2" t="s">
        <v>44</v>
      </c>
      <c r="T710" s="2"/>
      <c r="U710" s="2" t="s">
        <v>821</v>
      </c>
      <c r="V710" s="2" t="s">
        <v>46</v>
      </c>
      <c r="W710" s="2" t="s">
        <v>821</v>
      </c>
      <c r="X710" s="2" t="s">
        <v>10787</v>
      </c>
      <c r="Y710" s="2" t="s">
        <v>10801</v>
      </c>
      <c r="Z710" s="2" t="s">
        <v>7864</v>
      </c>
      <c r="AA710" s="2">
        <v>100</v>
      </c>
      <c r="AB710" s="2">
        <v>17</v>
      </c>
      <c r="AC710" s="2" t="s">
        <v>10789</v>
      </c>
      <c r="AD710" s="2" t="s">
        <v>23131</v>
      </c>
      <c r="AE710" s="2" t="s">
        <v>18260</v>
      </c>
      <c r="AF710" s="2"/>
      <c r="AG710" s="2" t="s">
        <v>18250</v>
      </c>
    </row>
    <row r="711" spans="1:33" x14ac:dyDescent="0.45">
      <c r="A711" s="2" t="s">
        <v>23132</v>
      </c>
      <c r="B711" s="2" t="s">
        <v>23133</v>
      </c>
      <c r="C711" s="2" t="s">
        <v>23134</v>
      </c>
      <c r="D711" s="2" t="s">
        <v>23135</v>
      </c>
      <c r="E711" s="2" t="s">
        <v>23136</v>
      </c>
      <c r="F711" s="2"/>
      <c r="G711" s="2"/>
      <c r="H711" s="2" t="s">
        <v>290</v>
      </c>
      <c r="I711" s="2" t="s">
        <v>278</v>
      </c>
      <c r="J711" s="2" t="s">
        <v>3634</v>
      </c>
      <c r="K711" s="2" t="s">
        <v>23137</v>
      </c>
      <c r="L711" s="2"/>
      <c r="M711" s="2"/>
      <c r="N711" s="2"/>
      <c r="O711" s="2" t="s">
        <v>290</v>
      </c>
      <c r="P711" s="2" t="s">
        <v>278</v>
      </c>
      <c r="Q711" s="2" t="s">
        <v>23138</v>
      </c>
      <c r="R711" s="2" t="s">
        <v>19989</v>
      </c>
      <c r="S711" s="2" t="s">
        <v>44</v>
      </c>
      <c r="T711" s="2"/>
      <c r="U711" s="2" t="s">
        <v>3527</v>
      </c>
      <c r="V711" s="2" t="s">
        <v>46</v>
      </c>
      <c r="W711" s="2" t="s">
        <v>3527</v>
      </c>
      <c r="X711" s="2" t="s">
        <v>10787</v>
      </c>
      <c r="Y711" s="2" t="s">
        <v>10801</v>
      </c>
      <c r="Z711" s="2" t="s">
        <v>7864</v>
      </c>
      <c r="AA711" s="2">
        <v>90</v>
      </c>
      <c r="AB711" s="2">
        <v>0</v>
      </c>
      <c r="AC711" s="2" t="s">
        <v>10789</v>
      </c>
      <c r="AD711" s="2" t="s">
        <v>23139</v>
      </c>
      <c r="AE711" s="2" t="s">
        <v>18260</v>
      </c>
      <c r="AF711" s="2"/>
      <c r="AG711" s="2" t="s">
        <v>18250</v>
      </c>
    </row>
    <row r="712" spans="1:33" x14ac:dyDescent="0.45">
      <c r="A712" s="2" t="s">
        <v>23140</v>
      </c>
      <c r="B712" s="2" t="s">
        <v>23141</v>
      </c>
      <c r="C712" s="2" t="s">
        <v>23142</v>
      </c>
      <c r="D712" s="2" t="s">
        <v>23143</v>
      </c>
      <c r="E712" s="2" t="s">
        <v>23144</v>
      </c>
      <c r="F712" s="2" t="s">
        <v>23145</v>
      </c>
      <c r="G712" s="2" t="s">
        <v>23145</v>
      </c>
      <c r="H712" s="2" t="s">
        <v>290</v>
      </c>
      <c r="I712" s="2" t="s">
        <v>278</v>
      </c>
      <c r="J712" s="2" t="s">
        <v>6882</v>
      </c>
      <c r="K712" s="2" t="s">
        <v>23143</v>
      </c>
      <c r="L712" s="2"/>
      <c r="M712" s="2"/>
      <c r="N712" s="2"/>
      <c r="O712" s="2" t="s">
        <v>290</v>
      </c>
      <c r="P712" s="2" t="s">
        <v>278</v>
      </c>
      <c r="Q712" s="2" t="s">
        <v>6882</v>
      </c>
      <c r="R712" s="2" t="s">
        <v>7438</v>
      </c>
      <c r="S712" s="2" t="s">
        <v>44</v>
      </c>
      <c r="T712" s="2"/>
      <c r="U712" s="2" t="s">
        <v>821</v>
      </c>
      <c r="V712" s="2" t="s">
        <v>46</v>
      </c>
      <c r="W712" s="2" t="s">
        <v>821</v>
      </c>
      <c r="X712" s="2" t="s">
        <v>10787</v>
      </c>
      <c r="Y712" s="2" t="s">
        <v>10801</v>
      </c>
      <c r="Z712" s="2" t="s">
        <v>7864</v>
      </c>
      <c r="AA712" s="2">
        <v>100</v>
      </c>
      <c r="AB712" s="2">
        <v>17</v>
      </c>
      <c r="AC712" s="2" t="s">
        <v>10789</v>
      </c>
      <c r="AD712" s="2" t="s">
        <v>23146</v>
      </c>
      <c r="AE712" s="2" t="s">
        <v>18260</v>
      </c>
      <c r="AF712" s="2"/>
      <c r="AG712" s="2" t="s">
        <v>18250</v>
      </c>
    </row>
    <row r="713" spans="1:33" x14ac:dyDescent="0.45">
      <c r="A713" s="2" t="s">
        <v>23147</v>
      </c>
      <c r="B713" s="2" t="s">
        <v>23148</v>
      </c>
      <c r="C713" s="2" t="s">
        <v>23147</v>
      </c>
      <c r="D713" s="2" t="s">
        <v>23149</v>
      </c>
      <c r="E713" s="2" t="s">
        <v>23150</v>
      </c>
      <c r="F713" s="2" t="s">
        <v>23151</v>
      </c>
      <c r="G713" s="2" t="s">
        <v>23151</v>
      </c>
      <c r="H713" s="2" t="s">
        <v>12582</v>
      </c>
      <c r="I713" s="2" t="s">
        <v>313</v>
      </c>
      <c r="J713" s="2" t="s">
        <v>23152</v>
      </c>
      <c r="K713" s="2" t="s">
        <v>23149</v>
      </c>
      <c r="L713" s="2"/>
      <c r="M713" s="2"/>
      <c r="N713" s="2"/>
      <c r="O713" s="2" t="s">
        <v>12582</v>
      </c>
      <c r="P713" s="2" t="s">
        <v>313</v>
      </c>
      <c r="Q713" s="2" t="s">
        <v>23152</v>
      </c>
      <c r="R713" s="2" t="s">
        <v>11949</v>
      </c>
      <c r="S713" s="2" t="s">
        <v>44</v>
      </c>
      <c r="T713" s="2"/>
      <c r="U713" s="2" t="s">
        <v>3527</v>
      </c>
      <c r="V713" s="2" t="s">
        <v>46</v>
      </c>
      <c r="W713" s="2" t="s">
        <v>3527</v>
      </c>
      <c r="X713" s="2" t="s">
        <v>10787</v>
      </c>
      <c r="Y713" s="2" t="s">
        <v>10801</v>
      </c>
      <c r="Z713" s="2" t="s">
        <v>7864</v>
      </c>
      <c r="AA713" s="2">
        <v>100</v>
      </c>
      <c r="AB713" s="2">
        <v>5</v>
      </c>
      <c r="AC713" s="2" t="s">
        <v>10789</v>
      </c>
      <c r="AD713" s="2" t="s">
        <v>23153</v>
      </c>
      <c r="AE713" s="2" t="s">
        <v>18260</v>
      </c>
      <c r="AF713" s="2"/>
      <c r="AG713" s="2" t="s">
        <v>18250</v>
      </c>
    </row>
    <row r="714" spans="1:33" x14ac:dyDescent="0.45">
      <c r="A714" s="2" t="s">
        <v>23154</v>
      </c>
      <c r="B714" s="2" t="s">
        <v>23155</v>
      </c>
      <c r="C714" s="2" t="s">
        <v>23154</v>
      </c>
      <c r="D714" s="2" t="s">
        <v>23156</v>
      </c>
      <c r="E714" s="2" t="s">
        <v>23157</v>
      </c>
      <c r="F714" s="2"/>
      <c r="G714" s="2"/>
      <c r="H714" s="2" t="s">
        <v>216</v>
      </c>
      <c r="I714" s="2" t="s">
        <v>217</v>
      </c>
      <c r="J714" s="2" t="s">
        <v>4569</v>
      </c>
      <c r="K714" s="2" t="s">
        <v>23158</v>
      </c>
      <c r="L714" s="2"/>
      <c r="M714" s="2"/>
      <c r="N714" s="2"/>
      <c r="O714" s="2" t="s">
        <v>216</v>
      </c>
      <c r="P714" s="2" t="s">
        <v>217</v>
      </c>
      <c r="Q714" s="2" t="s">
        <v>4569</v>
      </c>
      <c r="R714" s="2" t="s">
        <v>2111</v>
      </c>
      <c r="S714" s="2" t="s">
        <v>44</v>
      </c>
      <c r="T714" s="2"/>
      <c r="U714" s="2" t="s">
        <v>821</v>
      </c>
      <c r="V714" s="2" t="s">
        <v>46</v>
      </c>
      <c r="W714" s="2" t="s">
        <v>821</v>
      </c>
      <c r="X714" s="2" t="s">
        <v>10787</v>
      </c>
      <c r="Y714" s="2" t="s">
        <v>10801</v>
      </c>
      <c r="Z714" s="2" t="s">
        <v>7864</v>
      </c>
      <c r="AA714" s="2">
        <v>90</v>
      </c>
      <c r="AB714" s="2">
        <v>7</v>
      </c>
      <c r="AC714" s="2" t="s">
        <v>10789</v>
      </c>
      <c r="AD714" s="2" t="s">
        <v>23159</v>
      </c>
      <c r="AE714" s="2" t="s">
        <v>18260</v>
      </c>
      <c r="AF714" s="2"/>
      <c r="AG714" s="2" t="s">
        <v>18250</v>
      </c>
    </row>
    <row r="715" spans="1:33" x14ac:dyDescent="0.45">
      <c r="A715" s="2" t="s">
        <v>23160</v>
      </c>
      <c r="B715" s="2" t="s">
        <v>23161</v>
      </c>
      <c r="C715" s="2" t="s">
        <v>23160</v>
      </c>
      <c r="D715" s="2" t="s">
        <v>23162</v>
      </c>
      <c r="E715" s="2" t="s">
        <v>23163</v>
      </c>
      <c r="F715" s="2"/>
      <c r="G715" s="2"/>
      <c r="H715" s="2" t="s">
        <v>1208</v>
      </c>
      <c r="I715" s="2" t="s">
        <v>1209</v>
      </c>
      <c r="J715" s="2" t="s">
        <v>13166</v>
      </c>
      <c r="K715" s="2" t="s">
        <v>23162</v>
      </c>
      <c r="L715" s="2"/>
      <c r="M715" s="2"/>
      <c r="N715" s="2"/>
      <c r="O715" s="2" t="s">
        <v>1208</v>
      </c>
      <c r="P715" s="2" t="s">
        <v>1209</v>
      </c>
      <c r="Q715" s="2" t="s">
        <v>13166</v>
      </c>
      <c r="R715" s="2" t="s">
        <v>13759</v>
      </c>
      <c r="S715" s="2" t="s">
        <v>44</v>
      </c>
      <c r="T715" s="2"/>
      <c r="U715" s="2" t="s">
        <v>3527</v>
      </c>
      <c r="V715" s="2" t="s">
        <v>46</v>
      </c>
      <c r="W715" s="2" t="s">
        <v>3527</v>
      </c>
      <c r="X715" s="2" t="s">
        <v>10787</v>
      </c>
      <c r="Y715" s="2" t="s">
        <v>10801</v>
      </c>
      <c r="Z715" s="2" t="s">
        <v>7864</v>
      </c>
      <c r="AA715" s="2">
        <v>90</v>
      </c>
      <c r="AB715" s="2">
        <v>0</v>
      </c>
      <c r="AC715" s="2" t="s">
        <v>10789</v>
      </c>
      <c r="AD715" s="2" t="s">
        <v>23164</v>
      </c>
      <c r="AE715" s="2" t="s">
        <v>18260</v>
      </c>
      <c r="AF715" s="2"/>
      <c r="AG715" s="2" t="s">
        <v>18250</v>
      </c>
    </row>
    <row r="716" spans="1:33" x14ac:dyDescent="0.45">
      <c r="A716" s="2" t="s">
        <v>23165</v>
      </c>
      <c r="B716" s="2" t="s">
        <v>23166</v>
      </c>
      <c r="C716" s="2" t="s">
        <v>23167</v>
      </c>
      <c r="D716" s="2" t="s">
        <v>23168</v>
      </c>
      <c r="E716" s="2" t="s">
        <v>23169</v>
      </c>
      <c r="F716" s="2" t="s">
        <v>23170</v>
      </c>
      <c r="G716" s="2"/>
      <c r="H716" s="2" t="s">
        <v>5821</v>
      </c>
      <c r="I716" s="2" t="s">
        <v>278</v>
      </c>
      <c r="J716" s="2" t="s">
        <v>6146</v>
      </c>
      <c r="K716" s="2" t="s">
        <v>23168</v>
      </c>
      <c r="L716" s="2"/>
      <c r="M716" s="2"/>
      <c r="N716" s="2"/>
      <c r="O716" s="2" t="s">
        <v>5821</v>
      </c>
      <c r="P716" s="2" t="s">
        <v>278</v>
      </c>
      <c r="Q716" s="2" t="s">
        <v>6146</v>
      </c>
      <c r="R716" s="2" t="s">
        <v>2952</v>
      </c>
      <c r="S716" s="2" t="s">
        <v>44</v>
      </c>
      <c r="T716" s="2"/>
      <c r="U716" s="2" t="s">
        <v>821</v>
      </c>
      <c r="V716" s="2" t="s">
        <v>46</v>
      </c>
      <c r="W716" s="2" t="s">
        <v>821</v>
      </c>
      <c r="X716" s="2" t="s">
        <v>10787</v>
      </c>
      <c r="Y716" s="2" t="s">
        <v>10801</v>
      </c>
      <c r="Z716" s="2" t="s">
        <v>7864</v>
      </c>
      <c r="AA716" s="2">
        <v>100</v>
      </c>
      <c r="AB716" s="2">
        <v>12</v>
      </c>
      <c r="AC716" s="2" t="s">
        <v>10789</v>
      </c>
      <c r="AD716" s="2" t="s">
        <v>23171</v>
      </c>
      <c r="AE716" s="2" t="s">
        <v>18260</v>
      </c>
      <c r="AF716" s="2"/>
      <c r="AG716" s="2" t="s">
        <v>18250</v>
      </c>
    </row>
    <row r="717" spans="1:33" x14ac:dyDescent="0.45">
      <c r="A717" s="2" t="s">
        <v>23172</v>
      </c>
      <c r="B717" s="2" t="s">
        <v>23173</v>
      </c>
      <c r="C717" s="2" t="s">
        <v>23174</v>
      </c>
      <c r="D717" s="2" t="s">
        <v>23175</v>
      </c>
      <c r="E717" s="2" t="s">
        <v>23176</v>
      </c>
      <c r="F717" s="2" t="s">
        <v>23177</v>
      </c>
      <c r="G717" s="2" t="s">
        <v>23177</v>
      </c>
      <c r="H717" s="2" t="s">
        <v>59</v>
      </c>
      <c r="I717" s="2" t="s">
        <v>60</v>
      </c>
      <c r="J717" s="2" t="s">
        <v>8999</v>
      </c>
      <c r="K717" s="2"/>
      <c r="L717" s="2"/>
      <c r="M717" s="2"/>
      <c r="N717" s="2"/>
      <c r="O717" s="2"/>
      <c r="P717" s="2"/>
      <c r="Q717" s="2"/>
      <c r="R717" s="2" t="s">
        <v>7816</v>
      </c>
      <c r="S717" s="2" t="s">
        <v>44</v>
      </c>
      <c r="T717" s="2"/>
      <c r="U717" s="2" t="s">
        <v>821</v>
      </c>
      <c r="V717" s="2" t="s">
        <v>46</v>
      </c>
      <c r="W717" s="2" t="s">
        <v>821</v>
      </c>
      <c r="X717" s="2" t="s">
        <v>11537</v>
      </c>
      <c r="Y717" s="2" t="s">
        <v>10801</v>
      </c>
      <c r="Z717" s="2" t="s">
        <v>7864</v>
      </c>
      <c r="AA717" s="2">
        <v>100</v>
      </c>
      <c r="AB717" s="2">
        <v>17</v>
      </c>
      <c r="AC717" s="2" t="s">
        <v>10789</v>
      </c>
      <c r="AD717" s="2" t="s">
        <v>23178</v>
      </c>
      <c r="AE717" s="2" t="s">
        <v>18260</v>
      </c>
      <c r="AF717" s="2"/>
      <c r="AG717" s="2" t="s">
        <v>18250</v>
      </c>
    </row>
    <row r="718" spans="1:33" x14ac:dyDescent="0.45">
      <c r="A718" s="2" t="s">
        <v>23179</v>
      </c>
      <c r="B718" s="2" t="s">
        <v>23180</v>
      </c>
      <c r="C718" s="2" t="s">
        <v>23179</v>
      </c>
      <c r="D718" s="2" t="s">
        <v>23181</v>
      </c>
      <c r="E718" s="2" t="s">
        <v>23182</v>
      </c>
      <c r="F718" s="2"/>
      <c r="G718" s="2"/>
      <c r="H718" s="2" t="s">
        <v>59</v>
      </c>
      <c r="I718" s="2" t="s">
        <v>60</v>
      </c>
      <c r="J718" s="2" t="s">
        <v>5603</v>
      </c>
      <c r="K718" s="2" t="s">
        <v>23183</v>
      </c>
      <c r="L718" s="2"/>
      <c r="M718" s="2"/>
      <c r="N718" s="2"/>
      <c r="O718" s="2" t="s">
        <v>59</v>
      </c>
      <c r="P718" s="2" t="s">
        <v>60</v>
      </c>
      <c r="Q718" s="2" t="s">
        <v>5603</v>
      </c>
      <c r="R718" s="2" t="s">
        <v>23184</v>
      </c>
      <c r="S718" s="2" t="s">
        <v>44</v>
      </c>
      <c r="T718" s="2"/>
      <c r="U718" s="2" t="s">
        <v>3527</v>
      </c>
      <c r="V718" s="2" t="s">
        <v>46</v>
      </c>
      <c r="W718" s="2" t="s">
        <v>3527</v>
      </c>
      <c r="X718" s="2" t="s">
        <v>10787</v>
      </c>
      <c r="Y718" s="2" t="s">
        <v>10801</v>
      </c>
      <c r="Z718" s="2" t="s">
        <v>7864</v>
      </c>
      <c r="AA718" s="2">
        <v>90</v>
      </c>
      <c r="AB718" s="2">
        <v>0</v>
      </c>
      <c r="AC718" s="2" t="s">
        <v>10789</v>
      </c>
      <c r="AD718" s="2" t="s">
        <v>23185</v>
      </c>
      <c r="AE718" s="2" t="s">
        <v>18260</v>
      </c>
      <c r="AF718" s="2"/>
      <c r="AG718" s="2" t="s">
        <v>18250</v>
      </c>
    </row>
    <row r="719" spans="1:33" x14ac:dyDescent="0.45">
      <c r="A719" s="2" t="s">
        <v>23186</v>
      </c>
      <c r="B719" s="2" t="s">
        <v>23187</v>
      </c>
      <c r="C719" s="2" t="s">
        <v>23186</v>
      </c>
      <c r="D719" s="2" t="s">
        <v>23188</v>
      </c>
      <c r="E719" s="2" t="s">
        <v>23189</v>
      </c>
      <c r="F719" s="2" t="s">
        <v>23190</v>
      </c>
      <c r="G719" s="2"/>
      <c r="H719" s="2" t="s">
        <v>1161</v>
      </c>
      <c r="I719" s="2" t="s">
        <v>221</v>
      </c>
      <c r="J719" s="2" t="s">
        <v>23191</v>
      </c>
      <c r="K719" s="2" t="s">
        <v>23188</v>
      </c>
      <c r="L719" s="2"/>
      <c r="M719" s="2"/>
      <c r="N719" s="2"/>
      <c r="O719" s="2" t="s">
        <v>1161</v>
      </c>
      <c r="P719" s="2" t="s">
        <v>221</v>
      </c>
      <c r="Q719" s="2" t="s">
        <v>23191</v>
      </c>
      <c r="R719" s="2" t="s">
        <v>924</v>
      </c>
      <c r="S719" s="2" t="s">
        <v>44</v>
      </c>
      <c r="T719" s="2"/>
      <c r="U719" s="2" t="s">
        <v>3527</v>
      </c>
      <c r="V719" s="2" t="s">
        <v>46</v>
      </c>
      <c r="W719" s="2" t="s">
        <v>3527</v>
      </c>
      <c r="X719" s="2" t="s">
        <v>10787</v>
      </c>
      <c r="Y719" s="2" t="s">
        <v>10801</v>
      </c>
      <c r="Z719" s="2" t="s">
        <v>7864</v>
      </c>
      <c r="AA719" s="2">
        <v>100</v>
      </c>
      <c r="AB719" s="2">
        <v>5</v>
      </c>
      <c r="AC719" s="2" t="s">
        <v>10789</v>
      </c>
      <c r="AD719" s="2" t="s">
        <v>23192</v>
      </c>
      <c r="AE719" s="2" t="s">
        <v>18260</v>
      </c>
      <c r="AF719" s="2"/>
      <c r="AG719" s="2" t="s">
        <v>18250</v>
      </c>
    </row>
    <row r="720" spans="1:33" x14ac:dyDescent="0.45">
      <c r="A720" s="2" t="s">
        <v>23193</v>
      </c>
      <c r="B720" s="2" t="s">
        <v>23194</v>
      </c>
      <c r="C720" s="2" t="s">
        <v>23195</v>
      </c>
      <c r="D720" s="2" t="s">
        <v>23196</v>
      </c>
      <c r="E720" s="2" t="s">
        <v>23197</v>
      </c>
      <c r="F720" s="2"/>
      <c r="G720" s="2"/>
      <c r="H720" s="2" t="s">
        <v>6062</v>
      </c>
      <c r="I720" s="2" t="s">
        <v>217</v>
      </c>
      <c r="J720" s="2" t="s">
        <v>8454</v>
      </c>
      <c r="K720" s="2" t="s">
        <v>23196</v>
      </c>
      <c r="L720" s="2"/>
      <c r="M720" s="2"/>
      <c r="N720" s="2"/>
      <c r="O720" s="2" t="s">
        <v>6062</v>
      </c>
      <c r="P720" s="2" t="s">
        <v>217</v>
      </c>
      <c r="Q720" s="2" t="s">
        <v>8454</v>
      </c>
      <c r="R720" s="2" t="s">
        <v>23198</v>
      </c>
      <c r="S720" s="2" t="s">
        <v>44</v>
      </c>
      <c r="T720" s="2"/>
      <c r="U720" s="2" t="s">
        <v>3527</v>
      </c>
      <c r="V720" s="2" t="s">
        <v>46</v>
      </c>
      <c r="W720" s="2" t="s">
        <v>3527</v>
      </c>
      <c r="X720" s="2" t="s">
        <v>10787</v>
      </c>
      <c r="Y720" s="2" t="s">
        <v>10801</v>
      </c>
      <c r="Z720" s="2" t="s">
        <v>7864</v>
      </c>
      <c r="AA720" s="2">
        <v>90</v>
      </c>
      <c r="AB720" s="2">
        <v>0</v>
      </c>
      <c r="AC720" s="2" t="s">
        <v>10789</v>
      </c>
      <c r="AD720" s="2" t="s">
        <v>23199</v>
      </c>
      <c r="AE720" s="2" t="s">
        <v>18260</v>
      </c>
      <c r="AF720" s="2"/>
      <c r="AG720" s="2" t="s">
        <v>18250</v>
      </c>
    </row>
    <row r="721" spans="1:33" x14ac:dyDescent="0.45">
      <c r="A721" s="2" t="s">
        <v>23200</v>
      </c>
      <c r="B721" s="2" t="s">
        <v>23201</v>
      </c>
      <c r="C721" s="2" t="s">
        <v>23202</v>
      </c>
      <c r="D721" s="2" t="s">
        <v>23203</v>
      </c>
      <c r="E721" s="2" t="s">
        <v>23204</v>
      </c>
      <c r="F721" s="2" t="s">
        <v>23205</v>
      </c>
      <c r="G721" s="2"/>
      <c r="H721" s="2" t="s">
        <v>12645</v>
      </c>
      <c r="I721" s="2" t="s">
        <v>1176</v>
      </c>
      <c r="J721" s="2" t="s">
        <v>23206</v>
      </c>
      <c r="K721" s="2"/>
      <c r="L721" s="2"/>
      <c r="M721" s="2"/>
      <c r="N721" s="2"/>
      <c r="O721" s="2"/>
      <c r="P721" s="2"/>
      <c r="Q721" s="2"/>
      <c r="R721" s="2" t="s">
        <v>5538</v>
      </c>
      <c r="S721" s="2" t="s">
        <v>44</v>
      </c>
      <c r="T721" s="2"/>
      <c r="U721" s="2" t="s">
        <v>3527</v>
      </c>
      <c r="V721" s="2" t="s">
        <v>46</v>
      </c>
      <c r="W721" s="2" t="s">
        <v>3527</v>
      </c>
      <c r="X721" s="2" t="s">
        <v>10787</v>
      </c>
      <c r="Y721" s="2" t="s">
        <v>10801</v>
      </c>
      <c r="Z721" s="2" t="s">
        <v>7864</v>
      </c>
      <c r="AA721" s="2">
        <v>100</v>
      </c>
      <c r="AB721" s="2">
        <v>5</v>
      </c>
      <c r="AC721" s="2" t="s">
        <v>10789</v>
      </c>
      <c r="AD721" s="2" t="s">
        <v>23207</v>
      </c>
      <c r="AE721" s="2" t="s">
        <v>18260</v>
      </c>
      <c r="AF721" s="2"/>
      <c r="AG721" s="2" t="s">
        <v>18250</v>
      </c>
    </row>
    <row r="722" spans="1:33" x14ac:dyDescent="0.45">
      <c r="A722" s="2" t="s">
        <v>23208</v>
      </c>
      <c r="B722" s="2" t="s">
        <v>23209</v>
      </c>
      <c r="C722" s="2" t="s">
        <v>23208</v>
      </c>
      <c r="D722" s="2" t="s">
        <v>23210</v>
      </c>
      <c r="E722" s="2" t="s">
        <v>23211</v>
      </c>
      <c r="F722" s="2"/>
      <c r="G722" s="2"/>
      <c r="H722" s="2" t="s">
        <v>11247</v>
      </c>
      <c r="I722" s="2" t="s">
        <v>1137</v>
      </c>
      <c r="J722" s="2" t="s">
        <v>11248</v>
      </c>
      <c r="K722" s="2" t="s">
        <v>23210</v>
      </c>
      <c r="L722" s="2"/>
      <c r="M722" s="2"/>
      <c r="N722" s="2"/>
      <c r="O722" s="2" t="s">
        <v>11247</v>
      </c>
      <c r="P722" s="2" t="s">
        <v>1137</v>
      </c>
      <c r="Q722" s="2" t="s">
        <v>11248</v>
      </c>
      <c r="R722" s="2" t="s">
        <v>14234</v>
      </c>
      <c r="S722" s="2" t="s">
        <v>44</v>
      </c>
      <c r="T722" s="2"/>
      <c r="U722" s="2" t="s">
        <v>3527</v>
      </c>
      <c r="V722" s="2" t="s">
        <v>46</v>
      </c>
      <c r="W722" s="2" t="s">
        <v>3527</v>
      </c>
      <c r="X722" s="2" t="s">
        <v>10787</v>
      </c>
      <c r="Y722" s="2" t="s">
        <v>10801</v>
      </c>
      <c r="Z722" s="2" t="s">
        <v>7864</v>
      </c>
      <c r="AA722" s="2">
        <v>90</v>
      </c>
      <c r="AB722" s="2">
        <v>0</v>
      </c>
      <c r="AC722" s="2" t="s">
        <v>10789</v>
      </c>
      <c r="AD722" s="2" t="s">
        <v>23212</v>
      </c>
      <c r="AE722" s="2" t="s">
        <v>18260</v>
      </c>
      <c r="AF722" s="2"/>
      <c r="AG722" s="2" t="s">
        <v>18250</v>
      </c>
    </row>
    <row r="723" spans="1:33" x14ac:dyDescent="0.45">
      <c r="A723" s="2" t="s">
        <v>23213</v>
      </c>
      <c r="B723" s="2" t="s">
        <v>23214</v>
      </c>
      <c r="C723" s="2" t="s">
        <v>23215</v>
      </c>
      <c r="D723" s="2" t="s">
        <v>23216</v>
      </c>
      <c r="E723" s="2" t="s">
        <v>23217</v>
      </c>
      <c r="F723" s="2"/>
      <c r="G723" s="2"/>
      <c r="H723" s="2" t="s">
        <v>72</v>
      </c>
      <c r="I723" s="2" t="s">
        <v>73</v>
      </c>
      <c r="J723" s="2" t="s">
        <v>1896</v>
      </c>
      <c r="K723" s="2" t="s">
        <v>23216</v>
      </c>
      <c r="L723" s="2"/>
      <c r="M723" s="2"/>
      <c r="N723" s="2"/>
      <c r="O723" s="2" t="s">
        <v>72</v>
      </c>
      <c r="P723" s="2" t="s">
        <v>73</v>
      </c>
      <c r="Q723" s="2" t="s">
        <v>1896</v>
      </c>
      <c r="R723" s="2" t="s">
        <v>23218</v>
      </c>
      <c r="S723" s="2" t="s">
        <v>44</v>
      </c>
      <c r="T723" s="2"/>
      <c r="U723" s="2" t="s">
        <v>821</v>
      </c>
      <c r="V723" s="2" t="s">
        <v>46</v>
      </c>
      <c r="W723" s="2" t="s">
        <v>821</v>
      </c>
      <c r="X723" s="2" t="s">
        <v>10787</v>
      </c>
      <c r="Y723" s="2" t="s">
        <v>10801</v>
      </c>
      <c r="Z723" s="2" t="s">
        <v>7864</v>
      </c>
      <c r="AA723" s="2">
        <v>90</v>
      </c>
      <c r="AB723" s="2">
        <v>7</v>
      </c>
      <c r="AC723" s="2" t="s">
        <v>10789</v>
      </c>
      <c r="AD723" s="2" t="s">
        <v>23219</v>
      </c>
      <c r="AE723" s="2" t="s">
        <v>18260</v>
      </c>
      <c r="AF723" s="2"/>
      <c r="AG723" s="2" t="s">
        <v>18250</v>
      </c>
    </row>
    <row r="724" spans="1:33" x14ac:dyDescent="0.45">
      <c r="A724" s="2" t="s">
        <v>23220</v>
      </c>
      <c r="B724" s="2" t="s">
        <v>23221</v>
      </c>
      <c r="C724" s="2" t="s">
        <v>23222</v>
      </c>
      <c r="D724" s="2" t="s">
        <v>23223</v>
      </c>
      <c r="E724" s="2" t="s">
        <v>23224</v>
      </c>
      <c r="F724" s="2"/>
      <c r="G724" s="2"/>
      <c r="H724" s="2" t="s">
        <v>174</v>
      </c>
      <c r="I724" s="2" t="s">
        <v>175</v>
      </c>
      <c r="J724" s="2" t="s">
        <v>23225</v>
      </c>
      <c r="K724" s="2" t="s">
        <v>23223</v>
      </c>
      <c r="L724" s="2"/>
      <c r="M724" s="2"/>
      <c r="N724" s="2"/>
      <c r="O724" s="2" t="s">
        <v>174</v>
      </c>
      <c r="P724" s="2" t="s">
        <v>175</v>
      </c>
      <c r="Q724" s="2" t="s">
        <v>23225</v>
      </c>
      <c r="R724" s="2" t="s">
        <v>4984</v>
      </c>
      <c r="S724" s="2" t="s">
        <v>44</v>
      </c>
      <c r="T724" s="2"/>
      <c r="U724" s="2" t="s">
        <v>3527</v>
      </c>
      <c r="V724" s="2" t="s">
        <v>46</v>
      </c>
      <c r="W724" s="2" t="s">
        <v>3527</v>
      </c>
      <c r="X724" s="2" t="s">
        <v>10787</v>
      </c>
      <c r="Y724" s="2" t="s">
        <v>10801</v>
      </c>
      <c r="Z724" s="2" t="s">
        <v>7864</v>
      </c>
      <c r="AA724" s="2">
        <v>90</v>
      </c>
      <c r="AB724" s="2">
        <v>0</v>
      </c>
      <c r="AC724" s="2" t="s">
        <v>10789</v>
      </c>
      <c r="AD724" s="2" t="s">
        <v>23226</v>
      </c>
      <c r="AE724" s="2" t="s">
        <v>18260</v>
      </c>
      <c r="AF724" s="2"/>
      <c r="AG724" s="2" t="s">
        <v>18250</v>
      </c>
    </row>
    <row r="725" spans="1:33" x14ac:dyDescent="0.45">
      <c r="A725" s="2" t="s">
        <v>9460</v>
      </c>
      <c r="B725" s="2" t="s">
        <v>23227</v>
      </c>
      <c r="C725" s="2" t="s">
        <v>23228</v>
      </c>
      <c r="D725" s="2" t="s">
        <v>23229</v>
      </c>
      <c r="E725" s="2" t="s">
        <v>23230</v>
      </c>
      <c r="F725" s="2" t="s">
        <v>9465</v>
      </c>
      <c r="G725" s="2"/>
      <c r="H725" s="2" t="s">
        <v>1023</v>
      </c>
      <c r="I725" s="2" t="s">
        <v>73</v>
      </c>
      <c r="J725" s="2" t="s">
        <v>9468</v>
      </c>
      <c r="K725" s="2" t="s">
        <v>23231</v>
      </c>
      <c r="L725" s="2"/>
      <c r="M725" s="2"/>
      <c r="N725" s="2"/>
      <c r="O725" s="2" t="s">
        <v>1023</v>
      </c>
      <c r="P725" s="2" t="s">
        <v>73</v>
      </c>
      <c r="Q725" s="2" t="s">
        <v>9468</v>
      </c>
      <c r="R725" s="2" t="s">
        <v>11047</v>
      </c>
      <c r="S725" s="2" t="s">
        <v>44</v>
      </c>
      <c r="T725" s="2"/>
      <c r="U725" s="2" t="s">
        <v>3527</v>
      </c>
      <c r="V725" s="2" t="s">
        <v>199</v>
      </c>
      <c r="W725" s="2" t="s">
        <v>3527</v>
      </c>
      <c r="X725" s="2" t="s">
        <v>11214</v>
      </c>
      <c r="Y725" s="2" t="s">
        <v>10801</v>
      </c>
      <c r="Z725" s="2" t="s">
        <v>7864</v>
      </c>
      <c r="AA725" s="2">
        <v>100</v>
      </c>
      <c r="AB725" s="2">
        <v>10</v>
      </c>
      <c r="AC725" s="2" t="s">
        <v>10789</v>
      </c>
      <c r="AD725" s="2" t="s">
        <v>23232</v>
      </c>
      <c r="AE725" s="2" t="s">
        <v>18260</v>
      </c>
      <c r="AF725" s="2"/>
      <c r="AG725" s="2" t="s">
        <v>18250</v>
      </c>
    </row>
    <row r="726" spans="1:33" x14ac:dyDescent="0.45">
      <c r="A726" s="2" t="s">
        <v>23233</v>
      </c>
      <c r="B726" s="2" t="s">
        <v>23234</v>
      </c>
      <c r="C726" s="2" t="s">
        <v>23233</v>
      </c>
      <c r="D726" s="2" t="s">
        <v>23235</v>
      </c>
      <c r="E726" s="2" t="s">
        <v>23236</v>
      </c>
      <c r="F726" s="2" t="s">
        <v>23237</v>
      </c>
      <c r="G726" s="2"/>
      <c r="H726" s="2" t="s">
        <v>12794</v>
      </c>
      <c r="I726" s="2" t="s">
        <v>1137</v>
      </c>
      <c r="J726" s="2" t="s">
        <v>22968</v>
      </c>
      <c r="K726" s="2" t="s">
        <v>23235</v>
      </c>
      <c r="L726" s="2"/>
      <c r="M726" s="2"/>
      <c r="N726" s="2"/>
      <c r="O726" s="2" t="s">
        <v>12794</v>
      </c>
      <c r="P726" s="2" t="s">
        <v>1137</v>
      </c>
      <c r="Q726" s="2" t="s">
        <v>22968</v>
      </c>
      <c r="R726" s="2" t="s">
        <v>23238</v>
      </c>
      <c r="S726" s="2" t="s">
        <v>44</v>
      </c>
      <c r="T726" s="2"/>
      <c r="U726" s="2" t="s">
        <v>3527</v>
      </c>
      <c r="V726" s="2" t="s">
        <v>46</v>
      </c>
      <c r="W726" s="2" t="s">
        <v>3527</v>
      </c>
      <c r="X726" s="2" t="s">
        <v>10787</v>
      </c>
      <c r="Y726" s="2" t="s">
        <v>10801</v>
      </c>
      <c r="Z726" s="2" t="s">
        <v>7864</v>
      </c>
      <c r="AA726" s="2">
        <v>100</v>
      </c>
      <c r="AB726" s="2">
        <v>5</v>
      </c>
      <c r="AC726" s="2" t="s">
        <v>10789</v>
      </c>
      <c r="AD726" s="2" t="s">
        <v>23239</v>
      </c>
      <c r="AE726" s="2" t="s">
        <v>18260</v>
      </c>
      <c r="AF726" s="2"/>
      <c r="AG726" s="2" t="s">
        <v>18250</v>
      </c>
    </row>
    <row r="727" spans="1:33" x14ac:dyDescent="0.45">
      <c r="A727" s="2" t="s">
        <v>23240</v>
      </c>
      <c r="B727" s="2" t="s">
        <v>23241</v>
      </c>
      <c r="C727" s="2" t="s">
        <v>23242</v>
      </c>
      <c r="D727" s="2" t="s">
        <v>23243</v>
      </c>
      <c r="E727" s="2" t="s">
        <v>23244</v>
      </c>
      <c r="F727" s="2" t="s">
        <v>3562</v>
      </c>
      <c r="G727" s="2" t="s">
        <v>3562</v>
      </c>
      <c r="H727" s="2" t="s">
        <v>384</v>
      </c>
      <c r="I727" s="2" t="s">
        <v>73</v>
      </c>
      <c r="J727" s="2" t="s">
        <v>559</v>
      </c>
      <c r="K727" s="2"/>
      <c r="L727" s="2"/>
      <c r="M727" s="2"/>
      <c r="N727" s="2"/>
      <c r="O727" s="2"/>
      <c r="P727" s="2"/>
      <c r="Q727" s="2"/>
      <c r="R727" s="2" t="s">
        <v>10126</v>
      </c>
      <c r="S727" s="2" t="s">
        <v>44</v>
      </c>
      <c r="T727" s="2"/>
      <c r="U727" s="2" t="s">
        <v>3527</v>
      </c>
      <c r="V727" s="2" t="s">
        <v>46</v>
      </c>
      <c r="W727" s="2" t="s">
        <v>3527</v>
      </c>
      <c r="X727" s="2" t="s">
        <v>10787</v>
      </c>
      <c r="Y727" s="2" t="s">
        <v>10801</v>
      </c>
      <c r="Z727" s="2" t="s">
        <v>7864</v>
      </c>
      <c r="AA727" s="2">
        <v>100</v>
      </c>
      <c r="AB727" s="2">
        <v>10</v>
      </c>
      <c r="AC727" s="2" t="s">
        <v>10789</v>
      </c>
      <c r="AD727" s="2" t="s">
        <v>23245</v>
      </c>
      <c r="AE727" s="2" t="s">
        <v>18260</v>
      </c>
      <c r="AF727" s="2"/>
      <c r="AG727" s="2" t="s">
        <v>18250</v>
      </c>
    </row>
    <row r="728" spans="1:33" x14ac:dyDescent="0.45">
      <c r="A728" s="2" t="s">
        <v>23246</v>
      </c>
      <c r="B728" s="2" t="s">
        <v>23247</v>
      </c>
      <c r="C728" s="2" t="s">
        <v>23246</v>
      </c>
      <c r="D728" s="2" t="s">
        <v>23248</v>
      </c>
      <c r="E728" s="2" t="s">
        <v>23249</v>
      </c>
      <c r="F728" s="2"/>
      <c r="G728" s="2"/>
      <c r="H728" s="2" t="s">
        <v>1125</v>
      </c>
      <c r="I728" s="2" t="s">
        <v>60</v>
      </c>
      <c r="J728" s="2" t="s">
        <v>23250</v>
      </c>
      <c r="K728" s="2" t="s">
        <v>23251</v>
      </c>
      <c r="L728" s="2"/>
      <c r="M728" s="2"/>
      <c r="N728" s="2"/>
      <c r="O728" s="2" t="s">
        <v>1125</v>
      </c>
      <c r="P728" s="2" t="s">
        <v>60</v>
      </c>
      <c r="Q728" s="2" t="s">
        <v>23250</v>
      </c>
      <c r="R728" s="2" t="s">
        <v>9022</v>
      </c>
      <c r="S728" s="2" t="s">
        <v>44</v>
      </c>
      <c r="T728" s="2"/>
      <c r="U728" s="2" t="s">
        <v>3527</v>
      </c>
      <c r="V728" s="2" t="s">
        <v>46</v>
      </c>
      <c r="W728" s="2" t="s">
        <v>3527</v>
      </c>
      <c r="X728" s="2" t="s">
        <v>10787</v>
      </c>
      <c r="Y728" s="2" t="s">
        <v>10801</v>
      </c>
      <c r="Z728" s="2" t="s">
        <v>7864</v>
      </c>
      <c r="AA728" s="2">
        <v>90</v>
      </c>
      <c r="AB728" s="2">
        <v>0</v>
      </c>
      <c r="AC728" s="2" t="s">
        <v>10789</v>
      </c>
      <c r="AD728" s="2" t="s">
        <v>23252</v>
      </c>
      <c r="AE728" s="2" t="s">
        <v>18260</v>
      </c>
      <c r="AF728" s="2"/>
      <c r="AG728" s="2" t="s">
        <v>18250</v>
      </c>
    </row>
    <row r="729" spans="1:33" x14ac:dyDescent="0.45">
      <c r="A729" s="2" t="s">
        <v>23253</v>
      </c>
      <c r="B729" s="2" t="s">
        <v>23254</v>
      </c>
      <c r="C729" s="2" t="s">
        <v>23253</v>
      </c>
      <c r="D729" s="2" t="s">
        <v>23255</v>
      </c>
      <c r="E729" s="2" t="s">
        <v>23256</v>
      </c>
      <c r="F729" s="2" t="s">
        <v>23257</v>
      </c>
      <c r="G729" s="2" t="s">
        <v>23257</v>
      </c>
      <c r="H729" s="2" t="s">
        <v>384</v>
      </c>
      <c r="I729" s="2" t="s">
        <v>73</v>
      </c>
      <c r="J729" s="2" t="s">
        <v>557</v>
      </c>
      <c r="K729" s="2" t="s">
        <v>23255</v>
      </c>
      <c r="L729" s="2"/>
      <c r="M729" s="2"/>
      <c r="N729" s="2"/>
      <c r="O729" s="2" t="s">
        <v>384</v>
      </c>
      <c r="P729" s="2" t="s">
        <v>73</v>
      </c>
      <c r="Q729" s="2" t="s">
        <v>557</v>
      </c>
      <c r="R729" s="2" t="s">
        <v>11905</v>
      </c>
      <c r="S729" s="2" t="s">
        <v>44</v>
      </c>
      <c r="T729" s="2"/>
      <c r="U729" s="2" t="s">
        <v>821</v>
      </c>
      <c r="V729" s="2" t="s">
        <v>46</v>
      </c>
      <c r="W729" s="2" t="s">
        <v>821</v>
      </c>
      <c r="X729" s="2" t="s">
        <v>12417</v>
      </c>
      <c r="Y729" s="2" t="s">
        <v>10801</v>
      </c>
      <c r="Z729" s="2" t="s">
        <v>7864</v>
      </c>
      <c r="AA729" s="2">
        <v>100</v>
      </c>
      <c r="AB729" s="2">
        <v>17</v>
      </c>
      <c r="AC729" s="2" t="s">
        <v>10789</v>
      </c>
      <c r="AD729" s="2" t="s">
        <v>23258</v>
      </c>
      <c r="AE729" s="2" t="s">
        <v>18260</v>
      </c>
      <c r="AF729" s="2"/>
      <c r="AG729" s="2" t="s">
        <v>18250</v>
      </c>
    </row>
    <row r="730" spans="1:33" x14ac:dyDescent="0.45">
      <c r="A730" s="2" t="s">
        <v>23259</v>
      </c>
      <c r="B730" s="2" t="s">
        <v>23260</v>
      </c>
      <c r="C730" s="2" t="s">
        <v>23261</v>
      </c>
      <c r="D730" s="2" t="s">
        <v>23262</v>
      </c>
      <c r="E730" s="2" t="s">
        <v>23263</v>
      </c>
      <c r="F730" s="2" t="s">
        <v>23264</v>
      </c>
      <c r="G730" s="2" t="s">
        <v>23264</v>
      </c>
      <c r="H730" s="2" t="s">
        <v>59</v>
      </c>
      <c r="I730" s="2" t="s">
        <v>60</v>
      </c>
      <c r="J730" s="2" t="s">
        <v>266</v>
      </c>
      <c r="K730" s="2"/>
      <c r="L730" s="2"/>
      <c r="M730" s="2"/>
      <c r="N730" s="2"/>
      <c r="O730" s="2"/>
      <c r="P730" s="2"/>
      <c r="Q730" s="2"/>
      <c r="R730" s="2" t="s">
        <v>5678</v>
      </c>
      <c r="S730" s="2" t="s">
        <v>44</v>
      </c>
      <c r="T730" s="2"/>
      <c r="U730" s="2" t="s">
        <v>821</v>
      </c>
      <c r="V730" s="2" t="s">
        <v>46</v>
      </c>
      <c r="W730" s="2" t="s">
        <v>821</v>
      </c>
      <c r="X730" s="2" t="s">
        <v>10787</v>
      </c>
      <c r="Y730" s="2" t="s">
        <v>10801</v>
      </c>
      <c r="Z730" s="2" t="s">
        <v>7864</v>
      </c>
      <c r="AA730" s="2">
        <v>100</v>
      </c>
      <c r="AB730" s="2">
        <v>17</v>
      </c>
      <c r="AC730" s="2" t="s">
        <v>10789</v>
      </c>
      <c r="AD730" s="2" t="s">
        <v>23265</v>
      </c>
      <c r="AE730" s="2" t="s">
        <v>18260</v>
      </c>
      <c r="AF730" s="2"/>
      <c r="AG730" s="2" t="s">
        <v>18250</v>
      </c>
    </row>
    <row r="731" spans="1:33" x14ac:dyDescent="0.45">
      <c r="A731" s="2" t="s">
        <v>23266</v>
      </c>
      <c r="B731" s="2" t="s">
        <v>23267</v>
      </c>
      <c r="C731" s="2" t="s">
        <v>23268</v>
      </c>
      <c r="D731" s="2" t="s">
        <v>23269</v>
      </c>
      <c r="E731" s="2" t="s">
        <v>23270</v>
      </c>
      <c r="F731" s="2"/>
      <c r="G731" s="2"/>
      <c r="H731" s="2" t="s">
        <v>72</v>
      </c>
      <c r="I731" s="2" t="s">
        <v>73</v>
      </c>
      <c r="J731" s="2" t="s">
        <v>2270</v>
      </c>
      <c r="K731" s="2" t="s">
        <v>23269</v>
      </c>
      <c r="L731" s="2"/>
      <c r="M731" s="2"/>
      <c r="N731" s="2"/>
      <c r="O731" s="2" t="s">
        <v>72</v>
      </c>
      <c r="P731" s="2" t="s">
        <v>73</v>
      </c>
      <c r="Q731" s="2" t="s">
        <v>2270</v>
      </c>
      <c r="R731" s="2" t="s">
        <v>14480</v>
      </c>
      <c r="S731" s="2" t="s">
        <v>44</v>
      </c>
      <c r="T731" s="2"/>
      <c r="U731" s="2" t="s">
        <v>3527</v>
      </c>
      <c r="V731" s="2" t="s">
        <v>46</v>
      </c>
      <c r="W731" s="2" t="s">
        <v>3527</v>
      </c>
      <c r="X731" s="2" t="s">
        <v>10787</v>
      </c>
      <c r="Y731" s="2" t="s">
        <v>10801</v>
      </c>
      <c r="Z731" s="2" t="s">
        <v>7864</v>
      </c>
      <c r="AA731" s="2">
        <v>90</v>
      </c>
      <c r="AB731" s="2">
        <v>0</v>
      </c>
      <c r="AC731" s="2" t="s">
        <v>10789</v>
      </c>
      <c r="AD731" s="2" t="s">
        <v>23271</v>
      </c>
      <c r="AE731" s="2" t="s">
        <v>18260</v>
      </c>
      <c r="AF731" s="2"/>
      <c r="AG731" s="2" t="s">
        <v>18250</v>
      </c>
    </row>
    <row r="732" spans="1:33" x14ac:dyDescent="0.45">
      <c r="A732" s="2" t="s">
        <v>23272</v>
      </c>
      <c r="B732" s="2" t="s">
        <v>23273</v>
      </c>
      <c r="C732" s="2" t="s">
        <v>23272</v>
      </c>
      <c r="D732" s="2" t="s">
        <v>23274</v>
      </c>
      <c r="E732" s="2" t="s">
        <v>23275</v>
      </c>
      <c r="F732" s="2" t="s">
        <v>23276</v>
      </c>
      <c r="G732" s="2"/>
      <c r="H732" s="2" t="s">
        <v>19291</v>
      </c>
      <c r="I732" s="2" t="s">
        <v>1137</v>
      </c>
      <c r="J732" s="2" t="s">
        <v>20839</v>
      </c>
      <c r="K732" s="2" t="s">
        <v>23274</v>
      </c>
      <c r="L732" s="2"/>
      <c r="M732" s="2"/>
      <c r="N732" s="2"/>
      <c r="O732" s="2" t="s">
        <v>19291</v>
      </c>
      <c r="P732" s="2" t="s">
        <v>1137</v>
      </c>
      <c r="Q732" s="2" t="s">
        <v>20839</v>
      </c>
      <c r="R732" s="2" t="s">
        <v>2993</v>
      </c>
      <c r="S732" s="2" t="s">
        <v>44</v>
      </c>
      <c r="T732" s="2"/>
      <c r="U732" s="2" t="s">
        <v>3527</v>
      </c>
      <c r="V732" s="2" t="s">
        <v>46</v>
      </c>
      <c r="W732" s="2" t="s">
        <v>3527</v>
      </c>
      <c r="X732" s="2" t="s">
        <v>10787</v>
      </c>
      <c r="Y732" s="2" t="s">
        <v>10801</v>
      </c>
      <c r="Z732" s="2" t="s">
        <v>7864</v>
      </c>
      <c r="AA732" s="2">
        <v>100</v>
      </c>
      <c r="AB732" s="2">
        <v>5</v>
      </c>
      <c r="AC732" s="2" t="s">
        <v>10789</v>
      </c>
      <c r="AD732" s="2" t="s">
        <v>23277</v>
      </c>
      <c r="AE732" s="2" t="s">
        <v>18260</v>
      </c>
      <c r="AF732" s="2"/>
      <c r="AG732" s="2" t="s">
        <v>18250</v>
      </c>
    </row>
    <row r="733" spans="1:33" x14ac:dyDescent="0.45">
      <c r="A733" s="2" t="s">
        <v>23278</v>
      </c>
      <c r="B733" s="2" t="s">
        <v>23279</v>
      </c>
      <c r="C733" s="2" t="s">
        <v>23278</v>
      </c>
      <c r="D733" s="2" t="s">
        <v>23280</v>
      </c>
      <c r="E733" s="2" t="s">
        <v>23281</v>
      </c>
      <c r="F733" s="2"/>
      <c r="G733" s="2"/>
      <c r="H733" s="2" t="s">
        <v>384</v>
      </c>
      <c r="I733" s="2" t="s">
        <v>73</v>
      </c>
      <c r="J733" s="2" t="s">
        <v>951</v>
      </c>
      <c r="K733" s="2" t="s">
        <v>23280</v>
      </c>
      <c r="L733" s="2"/>
      <c r="M733" s="2"/>
      <c r="N733" s="2"/>
      <c r="O733" s="2" t="s">
        <v>384</v>
      </c>
      <c r="P733" s="2" t="s">
        <v>73</v>
      </c>
      <c r="Q733" s="2" t="s">
        <v>951</v>
      </c>
      <c r="R733" s="2" t="s">
        <v>11461</v>
      </c>
      <c r="S733" s="2" t="s">
        <v>44</v>
      </c>
      <c r="T733" s="2"/>
      <c r="U733" s="2" t="s">
        <v>3527</v>
      </c>
      <c r="V733" s="2" t="s">
        <v>46</v>
      </c>
      <c r="W733" s="2" t="s">
        <v>3527</v>
      </c>
      <c r="X733" s="2" t="s">
        <v>10787</v>
      </c>
      <c r="Y733" s="2" t="s">
        <v>10801</v>
      </c>
      <c r="Z733" s="2" t="s">
        <v>7864</v>
      </c>
      <c r="AA733" s="2">
        <v>90</v>
      </c>
      <c r="AB733" s="2">
        <v>0</v>
      </c>
      <c r="AC733" s="2" t="s">
        <v>10789</v>
      </c>
      <c r="AD733" s="2" t="s">
        <v>23282</v>
      </c>
      <c r="AE733" s="2" t="s">
        <v>18260</v>
      </c>
      <c r="AF733" s="2"/>
      <c r="AG733" s="2" t="s">
        <v>18250</v>
      </c>
    </row>
    <row r="734" spans="1:33" x14ac:dyDescent="0.45">
      <c r="A734" s="2" t="s">
        <v>23283</v>
      </c>
      <c r="B734" s="2" t="s">
        <v>23284</v>
      </c>
      <c r="C734" s="2" t="s">
        <v>23283</v>
      </c>
      <c r="D734" s="2" t="s">
        <v>23285</v>
      </c>
      <c r="E734" s="2" t="s">
        <v>23286</v>
      </c>
      <c r="F734" s="2" t="s">
        <v>23287</v>
      </c>
      <c r="G734" s="2" t="s">
        <v>23287</v>
      </c>
      <c r="H734" s="2" t="s">
        <v>312</v>
      </c>
      <c r="I734" s="2" t="s">
        <v>313</v>
      </c>
      <c r="J734" s="2" t="s">
        <v>10417</v>
      </c>
      <c r="K734" s="2" t="s">
        <v>23285</v>
      </c>
      <c r="L734" s="2"/>
      <c r="M734" s="2"/>
      <c r="N734" s="2"/>
      <c r="O734" s="2" t="s">
        <v>312</v>
      </c>
      <c r="P734" s="2" t="s">
        <v>313</v>
      </c>
      <c r="Q734" s="2" t="s">
        <v>10417</v>
      </c>
      <c r="R734" s="2" t="s">
        <v>14999</v>
      </c>
      <c r="S734" s="2" t="s">
        <v>44</v>
      </c>
      <c r="T734" s="2"/>
      <c r="U734" s="2" t="s">
        <v>3527</v>
      </c>
      <c r="V734" s="2" t="s">
        <v>46</v>
      </c>
      <c r="W734" s="2" t="s">
        <v>3527</v>
      </c>
      <c r="X734" s="2" t="s">
        <v>10787</v>
      </c>
      <c r="Y734" s="2" t="s">
        <v>10801</v>
      </c>
      <c r="Z734" s="2" t="s">
        <v>7864</v>
      </c>
      <c r="AA734" s="2">
        <v>100</v>
      </c>
      <c r="AB734" s="2">
        <v>10</v>
      </c>
      <c r="AC734" s="2" t="s">
        <v>10789</v>
      </c>
      <c r="AD734" s="2" t="s">
        <v>23288</v>
      </c>
      <c r="AE734" s="2" t="s">
        <v>18260</v>
      </c>
      <c r="AF734" s="2"/>
      <c r="AG734" s="2" t="s">
        <v>18250</v>
      </c>
    </row>
    <row r="735" spans="1:33" x14ac:dyDescent="0.45">
      <c r="A735" s="2" t="s">
        <v>23289</v>
      </c>
      <c r="B735" s="2" t="s">
        <v>23290</v>
      </c>
      <c r="C735" s="2" t="s">
        <v>23291</v>
      </c>
      <c r="D735" s="2" t="s">
        <v>23292</v>
      </c>
      <c r="E735" s="2" t="s">
        <v>23293</v>
      </c>
      <c r="F735" s="2" t="s">
        <v>23294</v>
      </c>
      <c r="G735" s="2" t="s">
        <v>23294</v>
      </c>
      <c r="H735" s="2" t="s">
        <v>23295</v>
      </c>
      <c r="I735" s="2" t="s">
        <v>60</v>
      </c>
      <c r="J735" s="2" t="s">
        <v>23296</v>
      </c>
      <c r="K735" s="2" t="s">
        <v>23297</v>
      </c>
      <c r="L735" s="2"/>
      <c r="M735" s="2"/>
      <c r="N735" s="2"/>
      <c r="O735" s="2" t="s">
        <v>59</v>
      </c>
      <c r="P735" s="2" t="s">
        <v>60</v>
      </c>
      <c r="Q735" s="2" t="s">
        <v>1640</v>
      </c>
      <c r="R735" s="2" t="s">
        <v>782</v>
      </c>
      <c r="S735" s="2" t="s">
        <v>44</v>
      </c>
      <c r="T735" s="2"/>
      <c r="U735" s="2" t="s">
        <v>821</v>
      </c>
      <c r="V735" s="2" t="s">
        <v>46</v>
      </c>
      <c r="W735" s="2" t="s">
        <v>821</v>
      </c>
      <c r="X735" s="2" t="s">
        <v>10787</v>
      </c>
      <c r="Y735" s="2" t="s">
        <v>10801</v>
      </c>
      <c r="Z735" s="2" t="s">
        <v>7864</v>
      </c>
      <c r="AA735" s="2">
        <v>100</v>
      </c>
      <c r="AB735" s="2">
        <v>12</v>
      </c>
      <c r="AC735" s="2" t="s">
        <v>10789</v>
      </c>
      <c r="AD735" s="2" t="s">
        <v>23298</v>
      </c>
      <c r="AE735" s="2" t="s">
        <v>18260</v>
      </c>
      <c r="AF735" s="2"/>
      <c r="AG735" s="2" t="s">
        <v>18250</v>
      </c>
    </row>
    <row r="736" spans="1:33" x14ac:dyDescent="0.45">
      <c r="A736" s="2" t="s">
        <v>23299</v>
      </c>
      <c r="B736" s="2" t="s">
        <v>23300</v>
      </c>
      <c r="C736" s="2" t="s">
        <v>23299</v>
      </c>
      <c r="D736" s="2" t="s">
        <v>23301</v>
      </c>
      <c r="E736" s="2" t="s">
        <v>23302</v>
      </c>
      <c r="F736" s="2" t="s">
        <v>23303</v>
      </c>
      <c r="G736" s="2"/>
      <c r="H736" s="2" t="s">
        <v>85</v>
      </c>
      <c r="I736" s="2" t="s">
        <v>86</v>
      </c>
      <c r="J736" s="2" t="s">
        <v>3918</v>
      </c>
      <c r="K736" s="2" t="s">
        <v>23301</v>
      </c>
      <c r="L736" s="2"/>
      <c r="M736" s="2"/>
      <c r="N736" s="2"/>
      <c r="O736" s="2" t="s">
        <v>85</v>
      </c>
      <c r="P736" s="2" t="s">
        <v>86</v>
      </c>
      <c r="Q736" s="2" t="s">
        <v>3918</v>
      </c>
      <c r="R736" s="2" t="s">
        <v>3046</v>
      </c>
      <c r="S736" s="2" t="s">
        <v>44</v>
      </c>
      <c r="T736" s="2"/>
      <c r="U736" s="2" t="s">
        <v>3527</v>
      </c>
      <c r="V736" s="2" t="s">
        <v>46</v>
      </c>
      <c r="W736" s="2" t="s">
        <v>3527</v>
      </c>
      <c r="X736" s="2" t="s">
        <v>10787</v>
      </c>
      <c r="Y736" s="2" t="s">
        <v>10801</v>
      </c>
      <c r="Z736" s="2" t="s">
        <v>7864</v>
      </c>
      <c r="AA736" s="2">
        <v>100</v>
      </c>
      <c r="AB736" s="2">
        <v>10</v>
      </c>
      <c r="AC736" s="2" t="s">
        <v>10789</v>
      </c>
      <c r="AD736" s="2" t="s">
        <v>23304</v>
      </c>
      <c r="AE736" s="2" t="s">
        <v>18260</v>
      </c>
      <c r="AF736" s="2"/>
      <c r="AG736" s="2" t="s">
        <v>18250</v>
      </c>
    </row>
    <row r="737" spans="1:33" x14ac:dyDescent="0.45">
      <c r="A737" s="2" t="s">
        <v>23305</v>
      </c>
      <c r="B737" s="2" t="s">
        <v>23306</v>
      </c>
      <c r="C737" s="2" t="s">
        <v>23307</v>
      </c>
      <c r="D737" s="2" t="s">
        <v>23308</v>
      </c>
      <c r="E737" s="2" t="s">
        <v>23309</v>
      </c>
      <c r="F737" s="2" t="s">
        <v>23310</v>
      </c>
      <c r="G737" s="2"/>
      <c r="H737" s="2" t="s">
        <v>324</v>
      </c>
      <c r="I737" s="2" t="s">
        <v>73</v>
      </c>
      <c r="J737" s="2" t="s">
        <v>13703</v>
      </c>
      <c r="K737" s="2" t="s">
        <v>23311</v>
      </c>
      <c r="L737" s="2"/>
      <c r="M737" s="2"/>
      <c r="N737" s="2"/>
      <c r="O737" s="2" t="s">
        <v>324</v>
      </c>
      <c r="P737" s="2" t="s">
        <v>73</v>
      </c>
      <c r="Q737" s="2" t="s">
        <v>13703</v>
      </c>
      <c r="R737" s="2" t="s">
        <v>23312</v>
      </c>
      <c r="S737" s="2" t="s">
        <v>44</v>
      </c>
      <c r="T737" s="2"/>
      <c r="U737" s="2" t="s">
        <v>821</v>
      </c>
      <c r="V737" s="2" t="s">
        <v>46</v>
      </c>
      <c r="W737" s="2" t="s">
        <v>821</v>
      </c>
      <c r="X737" s="2" t="s">
        <v>10787</v>
      </c>
      <c r="Y737" s="2" t="s">
        <v>10801</v>
      </c>
      <c r="Z737" s="2" t="s">
        <v>7864</v>
      </c>
      <c r="AA737" s="2">
        <v>100</v>
      </c>
      <c r="AB737" s="2">
        <v>17</v>
      </c>
      <c r="AC737" s="2" t="s">
        <v>10789</v>
      </c>
      <c r="AD737" s="2" t="s">
        <v>23313</v>
      </c>
      <c r="AE737" s="2" t="s">
        <v>18260</v>
      </c>
      <c r="AF737" s="2"/>
      <c r="AG737" s="2" t="s">
        <v>18250</v>
      </c>
    </row>
    <row r="738" spans="1:33" x14ac:dyDescent="0.45">
      <c r="A738" s="2" t="s">
        <v>23314</v>
      </c>
      <c r="B738" s="2" t="s">
        <v>23315</v>
      </c>
      <c r="C738" s="2" t="s">
        <v>23316</v>
      </c>
      <c r="D738" s="2" t="s">
        <v>23317</v>
      </c>
      <c r="E738" s="2" t="s">
        <v>23318</v>
      </c>
      <c r="F738" s="2"/>
      <c r="G738" s="2"/>
      <c r="H738" s="2" t="s">
        <v>72</v>
      </c>
      <c r="I738" s="2" t="s">
        <v>73</v>
      </c>
      <c r="J738" s="2" t="s">
        <v>140</v>
      </c>
      <c r="K738" s="2" t="s">
        <v>23317</v>
      </c>
      <c r="L738" s="2"/>
      <c r="M738" s="2"/>
      <c r="N738" s="2"/>
      <c r="O738" s="2" t="s">
        <v>72</v>
      </c>
      <c r="P738" s="2" t="s">
        <v>73</v>
      </c>
      <c r="Q738" s="2" t="s">
        <v>140</v>
      </c>
      <c r="R738" s="2" t="s">
        <v>21628</v>
      </c>
      <c r="S738" s="2" t="s">
        <v>44</v>
      </c>
      <c r="T738" s="2"/>
      <c r="U738" s="2" t="s">
        <v>821</v>
      </c>
      <c r="V738" s="2" t="s">
        <v>46</v>
      </c>
      <c r="W738" s="2" t="s">
        <v>821</v>
      </c>
      <c r="X738" s="2" t="s">
        <v>10787</v>
      </c>
      <c r="Y738" s="2" t="s">
        <v>10801</v>
      </c>
      <c r="Z738" s="2" t="s">
        <v>7864</v>
      </c>
      <c r="AA738" s="2">
        <v>90</v>
      </c>
      <c r="AB738" s="2">
        <v>7</v>
      </c>
      <c r="AC738" s="2" t="s">
        <v>10789</v>
      </c>
      <c r="AD738" s="2" t="s">
        <v>23319</v>
      </c>
      <c r="AE738" s="2" t="s">
        <v>18260</v>
      </c>
      <c r="AF738" s="2"/>
      <c r="AG738" s="2" t="s">
        <v>18250</v>
      </c>
    </row>
    <row r="739" spans="1:33" x14ac:dyDescent="0.45">
      <c r="A739" s="2" t="s">
        <v>23320</v>
      </c>
      <c r="B739" s="2" t="s">
        <v>23321</v>
      </c>
      <c r="C739" s="2" t="s">
        <v>23320</v>
      </c>
      <c r="D739" s="2" t="s">
        <v>23322</v>
      </c>
      <c r="E739" s="2" t="s">
        <v>23323</v>
      </c>
      <c r="F739" s="2" t="s">
        <v>23324</v>
      </c>
      <c r="G739" s="2"/>
      <c r="H739" s="2" t="s">
        <v>536</v>
      </c>
      <c r="I739" s="2" t="s">
        <v>537</v>
      </c>
      <c r="J739" s="2" t="s">
        <v>23325</v>
      </c>
      <c r="K739" s="2"/>
      <c r="L739" s="2"/>
      <c r="M739" s="2"/>
      <c r="N739" s="2"/>
      <c r="O739" s="2"/>
      <c r="P739" s="2"/>
      <c r="Q739" s="2"/>
      <c r="R739" s="2" t="s">
        <v>11071</v>
      </c>
      <c r="S739" s="2" t="s">
        <v>44</v>
      </c>
      <c r="T739" s="2"/>
      <c r="U739" s="2" t="s">
        <v>3527</v>
      </c>
      <c r="V739" s="2" t="s">
        <v>46</v>
      </c>
      <c r="W739" s="2" t="s">
        <v>3527</v>
      </c>
      <c r="X739" s="2" t="s">
        <v>10787</v>
      </c>
      <c r="Y739" s="2" t="s">
        <v>10801</v>
      </c>
      <c r="Z739" s="2" t="s">
        <v>7864</v>
      </c>
      <c r="AA739" s="2">
        <v>100</v>
      </c>
      <c r="AB739" s="2">
        <v>10</v>
      </c>
      <c r="AC739" s="2" t="s">
        <v>10789</v>
      </c>
      <c r="AD739" s="2" t="s">
        <v>23326</v>
      </c>
      <c r="AE739" s="2" t="s">
        <v>18260</v>
      </c>
      <c r="AF739" s="2"/>
      <c r="AG739" s="2" t="s">
        <v>18250</v>
      </c>
    </row>
    <row r="740" spans="1:33" x14ac:dyDescent="0.45">
      <c r="A740" s="2" t="s">
        <v>23327</v>
      </c>
      <c r="B740" s="2" t="s">
        <v>23328</v>
      </c>
      <c r="C740" s="2" t="s">
        <v>23329</v>
      </c>
      <c r="D740" s="2" t="s">
        <v>23330</v>
      </c>
      <c r="E740" s="2" t="s">
        <v>23331</v>
      </c>
      <c r="F740" s="2"/>
      <c r="G740" s="2"/>
      <c r="H740" s="2" t="s">
        <v>22460</v>
      </c>
      <c r="I740" s="2" t="s">
        <v>73</v>
      </c>
      <c r="J740" s="2" t="s">
        <v>23332</v>
      </c>
      <c r="K740" s="2" t="s">
        <v>23330</v>
      </c>
      <c r="L740" s="2"/>
      <c r="M740" s="2"/>
      <c r="N740" s="2"/>
      <c r="O740" s="2" t="s">
        <v>22460</v>
      </c>
      <c r="P740" s="2" t="s">
        <v>73</v>
      </c>
      <c r="Q740" s="2" t="s">
        <v>23332</v>
      </c>
      <c r="R740" s="2" t="s">
        <v>1683</v>
      </c>
      <c r="S740" s="2" t="s">
        <v>44</v>
      </c>
      <c r="T740" s="2"/>
      <c r="U740" s="2" t="s">
        <v>821</v>
      </c>
      <c r="V740" s="2" t="s">
        <v>46</v>
      </c>
      <c r="W740" s="2" t="s">
        <v>821</v>
      </c>
      <c r="X740" s="2" t="s">
        <v>10787</v>
      </c>
      <c r="Y740" s="2" t="s">
        <v>10801</v>
      </c>
      <c r="Z740" s="2" t="s">
        <v>7864</v>
      </c>
      <c r="AA740" s="2">
        <v>90</v>
      </c>
      <c r="AB740" s="2">
        <v>2</v>
      </c>
      <c r="AC740" s="2" t="s">
        <v>10789</v>
      </c>
      <c r="AD740" s="2" t="s">
        <v>23333</v>
      </c>
      <c r="AE740" s="2" t="s">
        <v>18260</v>
      </c>
      <c r="AF740" s="2"/>
      <c r="AG740" s="2" t="s">
        <v>18250</v>
      </c>
    </row>
    <row r="741" spans="1:33" x14ac:dyDescent="0.45">
      <c r="A741" s="2" t="s">
        <v>23334</v>
      </c>
      <c r="B741" s="2" t="s">
        <v>23335</v>
      </c>
      <c r="C741" s="2" t="s">
        <v>23334</v>
      </c>
      <c r="D741" s="2" t="s">
        <v>23336</v>
      </c>
      <c r="E741" s="2" t="s">
        <v>23337</v>
      </c>
      <c r="F741" s="2" t="s">
        <v>23338</v>
      </c>
      <c r="G741" s="2"/>
      <c r="H741" s="2" t="s">
        <v>220</v>
      </c>
      <c r="I741" s="2" t="s">
        <v>221</v>
      </c>
      <c r="J741" s="2" t="s">
        <v>10337</v>
      </c>
      <c r="K741" s="2"/>
      <c r="L741" s="2"/>
      <c r="M741" s="2"/>
      <c r="N741" s="2"/>
      <c r="O741" s="2"/>
      <c r="P741" s="2"/>
      <c r="Q741" s="2"/>
      <c r="R741" s="2" t="s">
        <v>14840</v>
      </c>
      <c r="S741" s="2" t="s">
        <v>44</v>
      </c>
      <c r="T741" s="2"/>
      <c r="U741" s="2" t="s">
        <v>3527</v>
      </c>
      <c r="V741" s="2" t="s">
        <v>46</v>
      </c>
      <c r="W741" s="2" t="s">
        <v>3527</v>
      </c>
      <c r="X741" s="2" t="s">
        <v>10787</v>
      </c>
      <c r="Y741" s="2" t="s">
        <v>10801</v>
      </c>
      <c r="Z741" s="2" t="s">
        <v>7864</v>
      </c>
      <c r="AA741" s="2">
        <v>100</v>
      </c>
      <c r="AB741" s="2">
        <v>5</v>
      </c>
      <c r="AC741" s="2" t="s">
        <v>10789</v>
      </c>
      <c r="AD741" s="2" t="s">
        <v>23339</v>
      </c>
      <c r="AE741" s="2" t="s">
        <v>18260</v>
      </c>
      <c r="AF741" s="2"/>
      <c r="AG741" s="2" t="s">
        <v>18250</v>
      </c>
    </row>
    <row r="742" spans="1:33" x14ac:dyDescent="0.45">
      <c r="A742" s="2" t="s">
        <v>23340</v>
      </c>
      <c r="B742" s="2" t="s">
        <v>23341</v>
      </c>
      <c r="C742" s="2" t="s">
        <v>23342</v>
      </c>
      <c r="D742" s="2" t="s">
        <v>23343</v>
      </c>
      <c r="E742" s="2" t="s">
        <v>23344</v>
      </c>
      <c r="F742" s="2" t="s">
        <v>23345</v>
      </c>
      <c r="G742" s="2" t="s">
        <v>23345</v>
      </c>
      <c r="H742" s="2" t="s">
        <v>5984</v>
      </c>
      <c r="I742" s="2" t="s">
        <v>313</v>
      </c>
      <c r="J742" s="2" t="s">
        <v>23346</v>
      </c>
      <c r="K742" s="2" t="s">
        <v>23347</v>
      </c>
      <c r="L742" s="2"/>
      <c r="M742" s="2"/>
      <c r="N742" s="2"/>
      <c r="O742" s="2" t="s">
        <v>5984</v>
      </c>
      <c r="P742" s="2" t="s">
        <v>313</v>
      </c>
      <c r="Q742" s="2" t="s">
        <v>23346</v>
      </c>
      <c r="R742" s="2" t="s">
        <v>701</v>
      </c>
      <c r="S742" s="2" t="s">
        <v>44</v>
      </c>
      <c r="T742" s="2"/>
      <c r="U742" s="2" t="s">
        <v>3527</v>
      </c>
      <c r="V742" s="2" t="s">
        <v>46</v>
      </c>
      <c r="W742" s="2" t="s">
        <v>3527</v>
      </c>
      <c r="X742" s="2" t="s">
        <v>10787</v>
      </c>
      <c r="Y742" s="2" t="s">
        <v>10801</v>
      </c>
      <c r="Z742" s="2" t="s">
        <v>7864</v>
      </c>
      <c r="AA742" s="2">
        <v>100</v>
      </c>
      <c r="AB742" s="2">
        <v>5</v>
      </c>
      <c r="AC742" s="2" t="s">
        <v>10789</v>
      </c>
      <c r="AD742" s="2" t="s">
        <v>23348</v>
      </c>
      <c r="AE742" s="2" t="s">
        <v>18260</v>
      </c>
      <c r="AF742" s="2"/>
      <c r="AG742" s="2" t="s">
        <v>18250</v>
      </c>
    </row>
    <row r="743" spans="1:33" x14ac:dyDescent="0.45">
      <c r="A743" s="2" t="s">
        <v>23349</v>
      </c>
      <c r="B743" s="2" t="s">
        <v>23350</v>
      </c>
      <c r="C743" s="2" t="s">
        <v>23349</v>
      </c>
      <c r="D743" s="2" t="s">
        <v>23351</v>
      </c>
      <c r="E743" s="2" t="s">
        <v>23352</v>
      </c>
      <c r="F743" s="2" t="s">
        <v>23353</v>
      </c>
      <c r="G743" s="2"/>
      <c r="H743" s="2" t="s">
        <v>85</v>
      </c>
      <c r="I743" s="2" t="s">
        <v>86</v>
      </c>
      <c r="J743" s="2" t="s">
        <v>3948</v>
      </c>
      <c r="K743" s="2" t="s">
        <v>23351</v>
      </c>
      <c r="L743" s="2"/>
      <c r="M743" s="2"/>
      <c r="N743" s="2"/>
      <c r="O743" s="2" t="s">
        <v>85</v>
      </c>
      <c r="P743" s="2" t="s">
        <v>86</v>
      </c>
      <c r="Q743" s="2" t="s">
        <v>3948</v>
      </c>
      <c r="R743" s="2" t="s">
        <v>20193</v>
      </c>
      <c r="S743" s="2" t="s">
        <v>44</v>
      </c>
      <c r="T743" s="2"/>
      <c r="U743" s="2" t="s">
        <v>821</v>
      </c>
      <c r="V743" s="2" t="s">
        <v>46</v>
      </c>
      <c r="W743" s="2" t="s">
        <v>821</v>
      </c>
      <c r="X743" s="2" t="s">
        <v>10787</v>
      </c>
      <c r="Y743" s="2" t="s">
        <v>10801</v>
      </c>
      <c r="Z743" s="2" t="s">
        <v>7864</v>
      </c>
      <c r="AA743" s="2">
        <v>100</v>
      </c>
      <c r="AB743" s="2">
        <v>17</v>
      </c>
      <c r="AC743" s="2" t="s">
        <v>10789</v>
      </c>
      <c r="AD743" s="2" t="s">
        <v>23354</v>
      </c>
      <c r="AE743" s="2" t="s">
        <v>18260</v>
      </c>
      <c r="AF743" s="2"/>
      <c r="AG743" s="2" t="s">
        <v>18250</v>
      </c>
    </row>
    <row r="744" spans="1:33" x14ac:dyDescent="0.45">
      <c r="A744" s="2" t="s">
        <v>23355</v>
      </c>
      <c r="B744" s="2" t="s">
        <v>23356</v>
      </c>
      <c r="C744" s="2" t="s">
        <v>23355</v>
      </c>
      <c r="D744" s="2" t="s">
        <v>23357</v>
      </c>
      <c r="E744" s="2" t="s">
        <v>23358</v>
      </c>
      <c r="F744" s="2" t="s">
        <v>23359</v>
      </c>
      <c r="G744" s="2" t="s">
        <v>23359</v>
      </c>
      <c r="H744" s="2" t="s">
        <v>72</v>
      </c>
      <c r="I744" s="2" t="s">
        <v>73</v>
      </c>
      <c r="J744" s="2" t="s">
        <v>1568</v>
      </c>
      <c r="K744" s="2" t="s">
        <v>23357</v>
      </c>
      <c r="L744" s="2"/>
      <c r="M744" s="2"/>
      <c r="N744" s="2"/>
      <c r="O744" s="2" t="s">
        <v>72</v>
      </c>
      <c r="P744" s="2" t="s">
        <v>73</v>
      </c>
      <c r="Q744" s="2" t="s">
        <v>1568</v>
      </c>
      <c r="R744" s="2" t="s">
        <v>3392</v>
      </c>
      <c r="S744" s="2" t="s">
        <v>44</v>
      </c>
      <c r="T744" s="2"/>
      <c r="U744" s="2" t="s">
        <v>821</v>
      </c>
      <c r="V744" s="2" t="s">
        <v>46</v>
      </c>
      <c r="W744" s="2" t="s">
        <v>821</v>
      </c>
      <c r="X744" s="2" t="s">
        <v>10787</v>
      </c>
      <c r="Y744" s="2" t="s">
        <v>10801</v>
      </c>
      <c r="Z744" s="2" t="s">
        <v>7864</v>
      </c>
      <c r="AA744" s="2">
        <v>100</v>
      </c>
      <c r="AB744" s="2">
        <v>17</v>
      </c>
      <c r="AC744" s="2" t="s">
        <v>10789</v>
      </c>
      <c r="AD744" s="2" t="s">
        <v>23360</v>
      </c>
      <c r="AE744" s="2" t="s">
        <v>18260</v>
      </c>
      <c r="AF744" s="2"/>
      <c r="AG744" s="2" t="s">
        <v>18250</v>
      </c>
    </row>
    <row r="745" spans="1:33" x14ac:dyDescent="0.45">
      <c r="A745" s="2" t="s">
        <v>23361</v>
      </c>
      <c r="B745" s="2" t="s">
        <v>23362</v>
      </c>
      <c r="C745" s="2" t="s">
        <v>23363</v>
      </c>
      <c r="D745" s="2" t="s">
        <v>23364</v>
      </c>
      <c r="E745" s="2" t="s">
        <v>23365</v>
      </c>
      <c r="F745" s="2" t="s">
        <v>23366</v>
      </c>
      <c r="G745" s="2" t="s">
        <v>23366</v>
      </c>
      <c r="H745" s="2" t="s">
        <v>59</v>
      </c>
      <c r="I745" s="2" t="s">
        <v>60</v>
      </c>
      <c r="J745" s="2" t="s">
        <v>8113</v>
      </c>
      <c r="K745" s="2"/>
      <c r="L745" s="2"/>
      <c r="M745" s="2"/>
      <c r="N745" s="2"/>
      <c r="O745" s="2"/>
      <c r="P745" s="2"/>
      <c r="Q745" s="2"/>
      <c r="R745" s="2" t="s">
        <v>5678</v>
      </c>
      <c r="S745" s="2" t="s">
        <v>44</v>
      </c>
      <c r="T745" s="2"/>
      <c r="U745" s="2" t="s">
        <v>3527</v>
      </c>
      <c r="V745" s="2" t="s">
        <v>46</v>
      </c>
      <c r="W745" s="2" t="s">
        <v>3527</v>
      </c>
      <c r="X745" s="2" t="s">
        <v>10787</v>
      </c>
      <c r="Y745" s="2" t="s">
        <v>10801</v>
      </c>
      <c r="Z745" s="2" t="s">
        <v>7864</v>
      </c>
      <c r="AA745" s="2">
        <v>100</v>
      </c>
      <c r="AB745" s="2">
        <v>10</v>
      </c>
      <c r="AC745" s="2" t="s">
        <v>10789</v>
      </c>
      <c r="AD745" s="2" t="s">
        <v>23367</v>
      </c>
      <c r="AE745" s="2" t="s">
        <v>18260</v>
      </c>
      <c r="AF745" s="2"/>
      <c r="AG745" s="2" t="s">
        <v>18250</v>
      </c>
    </row>
    <row r="746" spans="1:33" x14ac:dyDescent="0.45">
      <c r="A746" s="2" t="s">
        <v>23368</v>
      </c>
      <c r="B746" s="2" t="s">
        <v>23369</v>
      </c>
      <c r="C746" s="2" t="s">
        <v>23368</v>
      </c>
      <c r="D746" s="2" t="s">
        <v>23370</v>
      </c>
      <c r="E746" s="2" t="s">
        <v>23371</v>
      </c>
      <c r="F746" s="2" t="s">
        <v>23372</v>
      </c>
      <c r="G746" s="2"/>
      <c r="H746" s="2" t="s">
        <v>8599</v>
      </c>
      <c r="I746" s="2" t="s">
        <v>40</v>
      </c>
      <c r="J746" s="2" t="s">
        <v>23373</v>
      </c>
      <c r="K746" s="2"/>
      <c r="L746" s="2"/>
      <c r="M746" s="2"/>
      <c r="N746" s="2"/>
      <c r="O746" s="2"/>
      <c r="P746" s="2"/>
      <c r="Q746" s="2"/>
      <c r="R746" s="2" t="s">
        <v>18332</v>
      </c>
      <c r="S746" s="2" t="s">
        <v>44</v>
      </c>
      <c r="T746" s="2"/>
      <c r="U746" s="2" t="s">
        <v>3527</v>
      </c>
      <c r="V746" s="2" t="s">
        <v>46</v>
      </c>
      <c r="W746" s="2" t="s">
        <v>3527</v>
      </c>
      <c r="X746" s="2" t="s">
        <v>10787</v>
      </c>
      <c r="Y746" s="2" t="s">
        <v>10801</v>
      </c>
      <c r="Z746" s="2" t="s">
        <v>7864</v>
      </c>
      <c r="AA746" s="2">
        <v>100</v>
      </c>
      <c r="AB746" s="2">
        <v>5</v>
      </c>
      <c r="AC746" s="2" t="s">
        <v>10789</v>
      </c>
      <c r="AD746" s="2" t="s">
        <v>23374</v>
      </c>
      <c r="AE746" s="2" t="s">
        <v>18260</v>
      </c>
      <c r="AF746" s="2"/>
      <c r="AG746" s="2" t="s">
        <v>18250</v>
      </c>
    </row>
    <row r="747" spans="1:33" x14ac:dyDescent="0.45">
      <c r="A747" s="2" t="s">
        <v>23375</v>
      </c>
      <c r="B747" s="2" t="s">
        <v>23376</v>
      </c>
      <c r="C747" s="2" t="s">
        <v>23375</v>
      </c>
      <c r="D747" s="2" t="s">
        <v>23377</v>
      </c>
      <c r="E747" s="2" t="s">
        <v>23378</v>
      </c>
      <c r="F747" s="2"/>
      <c r="G747" s="2"/>
      <c r="H747" s="2" t="s">
        <v>1136</v>
      </c>
      <c r="I747" s="2" t="s">
        <v>1137</v>
      </c>
      <c r="J747" s="2" t="s">
        <v>13439</v>
      </c>
      <c r="K747" s="2" t="s">
        <v>23377</v>
      </c>
      <c r="L747" s="2"/>
      <c r="M747" s="2"/>
      <c r="N747" s="2"/>
      <c r="O747" s="2" t="s">
        <v>1136</v>
      </c>
      <c r="P747" s="2" t="s">
        <v>1137</v>
      </c>
      <c r="Q747" s="2" t="s">
        <v>13439</v>
      </c>
      <c r="R747" s="2" t="s">
        <v>23379</v>
      </c>
      <c r="S747" s="2" t="s">
        <v>44</v>
      </c>
      <c r="T747" s="2"/>
      <c r="U747" s="2" t="s">
        <v>821</v>
      </c>
      <c r="V747" s="2" t="s">
        <v>46</v>
      </c>
      <c r="W747" s="2" t="s">
        <v>821</v>
      </c>
      <c r="X747" s="2" t="s">
        <v>11225</v>
      </c>
      <c r="Y747" s="2" t="s">
        <v>10801</v>
      </c>
      <c r="Z747" s="2" t="s">
        <v>7864</v>
      </c>
      <c r="AA747" s="2">
        <v>90</v>
      </c>
      <c r="AB747" s="2">
        <v>2</v>
      </c>
      <c r="AC747" s="2" t="s">
        <v>10789</v>
      </c>
      <c r="AD747" s="2" t="s">
        <v>23380</v>
      </c>
      <c r="AE747" s="2" t="s">
        <v>18260</v>
      </c>
      <c r="AF747" s="2"/>
      <c r="AG747" s="2" t="s">
        <v>18250</v>
      </c>
    </row>
    <row r="748" spans="1:33" x14ac:dyDescent="0.45">
      <c r="A748" s="2" t="s">
        <v>23381</v>
      </c>
      <c r="B748" s="2" t="s">
        <v>23382</v>
      </c>
      <c r="C748" s="2" t="s">
        <v>23381</v>
      </c>
      <c r="D748" s="2" t="s">
        <v>23383</v>
      </c>
      <c r="E748" s="2" t="s">
        <v>23384</v>
      </c>
      <c r="F748" s="2"/>
      <c r="G748" s="2"/>
      <c r="H748" s="2" t="s">
        <v>384</v>
      </c>
      <c r="I748" s="2" t="s">
        <v>73</v>
      </c>
      <c r="J748" s="2" t="s">
        <v>559</v>
      </c>
      <c r="K748" s="2" t="s">
        <v>23385</v>
      </c>
      <c r="L748" s="2"/>
      <c r="M748" s="2"/>
      <c r="N748" s="2"/>
      <c r="O748" s="2" t="s">
        <v>384</v>
      </c>
      <c r="P748" s="2" t="s">
        <v>73</v>
      </c>
      <c r="Q748" s="2" t="s">
        <v>559</v>
      </c>
      <c r="R748" s="2" t="s">
        <v>23386</v>
      </c>
      <c r="S748" s="2" t="s">
        <v>44</v>
      </c>
      <c r="T748" s="2"/>
      <c r="U748" s="2" t="s">
        <v>821</v>
      </c>
      <c r="V748" s="2" t="s">
        <v>46</v>
      </c>
      <c r="W748" s="2" t="s">
        <v>821</v>
      </c>
      <c r="X748" s="2" t="s">
        <v>10787</v>
      </c>
      <c r="Y748" s="2" t="s">
        <v>10801</v>
      </c>
      <c r="Z748" s="2" t="s">
        <v>7864</v>
      </c>
      <c r="AA748" s="2">
        <v>90</v>
      </c>
      <c r="AB748" s="2">
        <v>7</v>
      </c>
      <c r="AC748" s="2" t="s">
        <v>10789</v>
      </c>
      <c r="AD748" s="2" t="s">
        <v>23387</v>
      </c>
      <c r="AE748" s="2" t="s">
        <v>18260</v>
      </c>
      <c r="AF748" s="2"/>
      <c r="AG748" s="2" t="s">
        <v>18250</v>
      </c>
    </row>
    <row r="749" spans="1:33" x14ac:dyDescent="0.45">
      <c r="A749" s="2" t="s">
        <v>23388</v>
      </c>
      <c r="B749" s="2" t="s">
        <v>23389</v>
      </c>
      <c r="C749" s="2" t="s">
        <v>23388</v>
      </c>
      <c r="D749" s="2" t="s">
        <v>23390</v>
      </c>
      <c r="E749" s="2" t="s">
        <v>23391</v>
      </c>
      <c r="F749" s="2" t="s">
        <v>11413</v>
      </c>
      <c r="G749" s="2" t="s">
        <v>11413</v>
      </c>
      <c r="H749" s="2" t="s">
        <v>21662</v>
      </c>
      <c r="I749" s="2" t="s">
        <v>11347</v>
      </c>
      <c r="J749" s="2" t="s">
        <v>23392</v>
      </c>
      <c r="K749" s="2" t="s">
        <v>23390</v>
      </c>
      <c r="L749" s="2"/>
      <c r="M749" s="2"/>
      <c r="N749" s="2"/>
      <c r="O749" s="2" t="s">
        <v>21662</v>
      </c>
      <c r="P749" s="2" t="s">
        <v>11347</v>
      </c>
      <c r="Q749" s="2" t="s">
        <v>23392</v>
      </c>
      <c r="R749" s="2" t="s">
        <v>5594</v>
      </c>
      <c r="S749" s="2" t="s">
        <v>44</v>
      </c>
      <c r="T749" s="2"/>
      <c r="U749" s="2" t="s">
        <v>3527</v>
      </c>
      <c r="V749" s="2" t="s">
        <v>46</v>
      </c>
      <c r="W749" s="2" t="s">
        <v>3527</v>
      </c>
      <c r="X749" s="2" t="s">
        <v>10787</v>
      </c>
      <c r="Y749" s="2" t="s">
        <v>10801</v>
      </c>
      <c r="Z749" s="2" t="s">
        <v>7864</v>
      </c>
      <c r="AA749" s="2">
        <v>100</v>
      </c>
      <c r="AB749" s="2">
        <v>5</v>
      </c>
      <c r="AC749" s="2" t="s">
        <v>10789</v>
      </c>
      <c r="AD749" s="2" t="s">
        <v>23393</v>
      </c>
      <c r="AE749" s="2" t="s">
        <v>18260</v>
      </c>
      <c r="AF749" s="2"/>
      <c r="AG749" s="2" t="s">
        <v>18250</v>
      </c>
    </row>
    <row r="750" spans="1:33" x14ac:dyDescent="0.45">
      <c r="A750" s="2" t="s">
        <v>23394</v>
      </c>
      <c r="B750" s="2" t="s">
        <v>23395</v>
      </c>
      <c r="C750" s="2" t="s">
        <v>23394</v>
      </c>
      <c r="D750" s="2" t="s">
        <v>23396</v>
      </c>
      <c r="E750" s="2" t="s">
        <v>23397</v>
      </c>
      <c r="F750" s="2"/>
      <c r="G750" s="2"/>
      <c r="H750" s="2" t="s">
        <v>72</v>
      </c>
      <c r="I750" s="2" t="s">
        <v>73</v>
      </c>
      <c r="J750" s="2" t="s">
        <v>17295</v>
      </c>
      <c r="K750" s="2" t="s">
        <v>23398</v>
      </c>
      <c r="L750" s="2"/>
      <c r="M750" s="2"/>
      <c r="N750" s="2"/>
      <c r="O750" s="2" t="s">
        <v>312</v>
      </c>
      <c r="P750" s="2" t="s">
        <v>313</v>
      </c>
      <c r="Q750" s="2" t="s">
        <v>7463</v>
      </c>
      <c r="R750" s="2" t="s">
        <v>6799</v>
      </c>
      <c r="S750" s="2" t="s">
        <v>44</v>
      </c>
      <c r="T750" s="2"/>
      <c r="U750" s="2" t="s">
        <v>3527</v>
      </c>
      <c r="V750" s="2" t="s">
        <v>46</v>
      </c>
      <c r="W750" s="2" t="s">
        <v>3527</v>
      </c>
      <c r="X750" s="2" t="s">
        <v>12462</v>
      </c>
      <c r="Y750" s="2" t="s">
        <v>10801</v>
      </c>
      <c r="Z750" s="2" t="s">
        <v>7864</v>
      </c>
      <c r="AA750" s="2">
        <v>90</v>
      </c>
      <c r="AB750" s="2">
        <v>0</v>
      </c>
      <c r="AC750" s="2" t="s">
        <v>10789</v>
      </c>
      <c r="AD750" s="2" t="s">
        <v>23399</v>
      </c>
      <c r="AE750" s="2" t="s">
        <v>18260</v>
      </c>
      <c r="AF750" s="2"/>
      <c r="AG750" s="2" t="s">
        <v>18250</v>
      </c>
    </row>
    <row r="751" spans="1:33" x14ac:dyDescent="0.45">
      <c r="A751" s="2" t="s">
        <v>23400</v>
      </c>
      <c r="B751" s="2" t="s">
        <v>23401</v>
      </c>
      <c r="C751" s="2" t="s">
        <v>23400</v>
      </c>
      <c r="D751" s="2" t="s">
        <v>23402</v>
      </c>
      <c r="E751" s="2" t="s">
        <v>23403</v>
      </c>
      <c r="F751" s="2" t="s">
        <v>23404</v>
      </c>
      <c r="G751" s="2"/>
      <c r="H751" s="2" t="s">
        <v>72</v>
      </c>
      <c r="I751" s="2" t="s">
        <v>73</v>
      </c>
      <c r="J751" s="2" t="s">
        <v>7553</v>
      </c>
      <c r="K751" s="2" t="s">
        <v>23402</v>
      </c>
      <c r="L751" s="2"/>
      <c r="M751" s="2"/>
      <c r="N751" s="2"/>
      <c r="O751" s="2" t="s">
        <v>72</v>
      </c>
      <c r="P751" s="2" t="s">
        <v>73</v>
      </c>
      <c r="Q751" s="2" t="s">
        <v>7553</v>
      </c>
      <c r="R751" s="2" t="s">
        <v>5224</v>
      </c>
      <c r="S751" s="2" t="s">
        <v>44</v>
      </c>
      <c r="T751" s="2"/>
      <c r="U751" s="2" t="s">
        <v>3527</v>
      </c>
      <c r="V751" s="2" t="s">
        <v>46</v>
      </c>
      <c r="W751" s="2" t="s">
        <v>3527</v>
      </c>
      <c r="X751" s="2" t="s">
        <v>10787</v>
      </c>
      <c r="Y751" s="2" t="s">
        <v>10801</v>
      </c>
      <c r="Z751" s="2" t="s">
        <v>7864</v>
      </c>
      <c r="AA751" s="2">
        <v>100</v>
      </c>
      <c r="AB751" s="2">
        <v>10</v>
      </c>
      <c r="AC751" s="2" t="s">
        <v>10789</v>
      </c>
      <c r="AD751" s="2" t="s">
        <v>23405</v>
      </c>
      <c r="AE751" s="2" t="s">
        <v>18260</v>
      </c>
      <c r="AF751" s="2"/>
      <c r="AG751" s="2" t="s">
        <v>18250</v>
      </c>
    </row>
    <row r="752" spans="1:33" x14ac:dyDescent="0.45">
      <c r="A752" s="2" t="s">
        <v>23406</v>
      </c>
      <c r="B752" s="2" t="s">
        <v>23407</v>
      </c>
      <c r="C752" s="2" t="s">
        <v>23406</v>
      </c>
      <c r="D752" s="2" t="s">
        <v>23408</v>
      </c>
      <c r="E752" s="2" t="s">
        <v>23409</v>
      </c>
      <c r="F752" s="2" t="s">
        <v>23410</v>
      </c>
      <c r="G752" s="2"/>
      <c r="H752" s="2" t="s">
        <v>5821</v>
      </c>
      <c r="I752" s="2" t="s">
        <v>278</v>
      </c>
      <c r="J752" s="2" t="s">
        <v>16943</v>
      </c>
      <c r="K752" s="2" t="s">
        <v>23408</v>
      </c>
      <c r="L752" s="2"/>
      <c r="M752" s="2"/>
      <c r="N752" s="2"/>
      <c r="O752" s="2" t="s">
        <v>5821</v>
      </c>
      <c r="P752" s="2" t="s">
        <v>278</v>
      </c>
      <c r="Q752" s="2" t="s">
        <v>16943</v>
      </c>
      <c r="R752" s="2" t="s">
        <v>7358</v>
      </c>
      <c r="S752" s="2" t="s">
        <v>44</v>
      </c>
      <c r="T752" s="2"/>
      <c r="U752" s="2" t="s">
        <v>3527</v>
      </c>
      <c r="V752" s="2" t="s">
        <v>46</v>
      </c>
      <c r="W752" s="2" t="s">
        <v>3527</v>
      </c>
      <c r="X752" s="2" t="s">
        <v>10787</v>
      </c>
      <c r="Y752" s="2" t="s">
        <v>10801</v>
      </c>
      <c r="Z752" s="2" t="s">
        <v>7864</v>
      </c>
      <c r="AA752" s="2">
        <v>100</v>
      </c>
      <c r="AB752" s="2">
        <v>5</v>
      </c>
      <c r="AC752" s="2" t="s">
        <v>10789</v>
      </c>
      <c r="AD752" s="2" t="s">
        <v>23411</v>
      </c>
      <c r="AE752" s="2" t="s">
        <v>18260</v>
      </c>
      <c r="AF752" s="2"/>
      <c r="AG752" s="2" t="s">
        <v>18250</v>
      </c>
    </row>
    <row r="753" spans="1:33" x14ac:dyDescent="0.45">
      <c r="A753" s="2" t="s">
        <v>23412</v>
      </c>
      <c r="B753" s="2" t="s">
        <v>23413</v>
      </c>
      <c r="C753" s="2" t="s">
        <v>23414</v>
      </c>
      <c r="D753" s="2" t="s">
        <v>23415</v>
      </c>
      <c r="E753" s="2" t="s">
        <v>23416</v>
      </c>
      <c r="F753" s="2"/>
      <c r="G753" s="2"/>
      <c r="H753" s="2" t="s">
        <v>72</v>
      </c>
      <c r="I753" s="2" t="s">
        <v>73</v>
      </c>
      <c r="J753" s="2" t="s">
        <v>22630</v>
      </c>
      <c r="K753" s="2" t="s">
        <v>23415</v>
      </c>
      <c r="L753" s="2"/>
      <c r="M753" s="2"/>
      <c r="N753" s="2"/>
      <c r="O753" s="2" t="s">
        <v>72</v>
      </c>
      <c r="P753" s="2" t="s">
        <v>73</v>
      </c>
      <c r="Q753" s="2" t="s">
        <v>22630</v>
      </c>
      <c r="R753" s="2" t="s">
        <v>4965</v>
      </c>
      <c r="S753" s="2" t="s">
        <v>44</v>
      </c>
      <c r="T753" s="2"/>
      <c r="U753" s="2" t="s">
        <v>3527</v>
      </c>
      <c r="V753" s="2" t="s">
        <v>46</v>
      </c>
      <c r="W753" s="2" t="s">
        <v>3527</v>
      </c>
      <c r="X753" s="2" t="s">
        <v>10787</v>
      </c>
      <c r="Y753" s="2" t="s">
        <v>10801</v>
      </c>
      <c r="Z753" s="2" t="s">
        <v>7864</v>
      </c>
      <c r="AA753" s="2">
        <v>90</v>
      </c>
      <c r="AB753" s="2">
        <v>0</v>
      </c>
      <c r="AC753" s="2" t="s">
        <v>10789</v>
      </c>
      <c r="AD753" s="2" t="s">
        <v>23417</v>
      </c>
      <c r="AE753" s="2" t="s">
        <v>18260</v>
      </c>
      <c r="AF753" s="2"/>
      <c r="AG753" s="2" t="s">
        <v>18250</v>
      </c>
    </row>
    <row r="754" spans="1:33" x14ac:dyDescent="0.45">
      <c r="A754" s="2" t="s">
        <v>23418</v>
      </c>
      <c r="B754" s="2" t="s">
        <v>23419</v>
      </c>
      <c r="C754" s="2" t="s">
        <v>23420</v>
      </c>
      <c r="D754" s="2" t="s">
        <v>23421</v>
      </c>
      <c r="E754" s="2" t="s">
        <v>23422</v>
      </c>
      <c r="F754" s="2" t="s">
        <v>23423</v>
      </c>
      <c r="G754" s="2" t="s">
        <v>23423</v>
      </c>
      <c r="H754" s="2" t="s">
        <v>72</v>
      </c>
      <c r="I754" s="2" t="s">
        <v>73</v>
      </c>
      <c r="J754" s="2" t="s">
        <v>17295</v>
      </c>
      <c r="K754" s="2" t="s">
        <v>23424</v>
      </c>
      <c r="L754" s="2"/>
      <c r="M754" s="2"/>
      <c r="N754" s="2"/>
      <c r="O754" s="2" t="s">
        <v>72</v>
      </c>
      <c r="P754" s="2" t="s">
        <v>73</v>
      </c>
      <c r="Q754" s="2" t="s">
        <v>17295</v>
      </c>
      <c r="R754" s="2" t="s">
        <v>5286</v>
      </c>
      <c r="S754" s="2" t="s">
        <v>44</v>
      </c>
      <c r="T754" s="2"/>
      <c r="U754" s="2" t="s">
        <v>3527</v>
      </c>
      <c r="V754" s="2" t="s">
        <v>46</v>
      </c>
      <c r="W754" s="2" t="s">
        <v>3527</v>
      </c>
      <c r="X754" s="2" t="s">
        <v>10787</v>
      </c>
      <c r="Y754" s="2" t="s">
        <v>10801</v>
      </c>
      <c r="Z754" s="2" t="s">
        <v>7864</v>
      </c>
      <c r="AA754" s="2">
        <v>100</v>
      </c>
      <c r="AB754" s="2">
        <v>10</v>
      </c>
      <c r="AC754" s="2" t="s">
        <v>10789</v>
      </c>
      <c r="AD754" s="2" t="s">
        <v>23425</v>
      </c>
      <c r="AE754" s="2" t="s">
        <v>18260</v>
      </c>
      <c r="AF754" s="2"/>
      <c r="AG754" s="2" t="s">
        <v>18250</v>
      </c>
    </row>
    <row r="755" spans="1:33" x14ac:dyDescent="0.45">
      <c r="A755" s="2" t="s">
        <v>23426</v>
      </c>
      <c r="B755" s="2" t="s">
        <v>23427</v>
      </c>
      <c r="C755" s="2" t="s">
        <v>23428</v>
      </c>
      <c r="D755" s="2" t="s">
        <v>23429</v>
      </c>
      <c r="E755" s="2" t="s">
        <v>23430</v>
      </c>
      <c r="F755" s="2" t="s">
        <v>23431</v>
      </c>
      <c r="G755" s="2" t="s">
        <v>23431</v>
      </c>
      <c r="H755" s="2" t="s">
        <v>8544</v>
      </c>
      <c r="I755" s="2" t="s">
        <v>73</v>
      </c>
      <c r="J755" s="2" t="s">
        <v>21677</v>
      </c>
      <c r="K755" s="2" t="s">
        <v>23429</v>
      </c>
      <c r="L755" s="2"/>
      <c r="M755" s="2"/>
      <c r="N755" s="2"/>
      <c r="O755" s="2" t="s">
        <v>8544</v>
      </c>
      <c r="P755" s="2" t="s">
        <v>73</v>
      </c>
      <c r="Q755" s="2" t="s">
        <v>21677</v>
      </c>
      <c r="R755" s="2" t="s">
        <v>18934</v>
      </c>
      <c r="S755" s="2" t="s">
        <v>44</v>
      </c>
      <c r="T755" s="2"/>
      <c r="U755" s="2" t="s">
        <v>3527</v>
      </c>
      <c r="V755" s="2" t="s">
        <v>46</v>
      </c>
      <c r="W755" s="2" t="s">
        <v>3527</v>
      </c>
      <c r="X755" s="2" t="s">
        <v>10787</v>
      </c>
      <c r="Y755" s="2" t="s">
        <v>10801</v>
      </c>
      <c r="Z755" s="2" t="s">
        <v>7864</v>
      </c>
      <c r="AA755" s="2">
        <v>100</v>
      </c>
      <c r="AB755" s="2">
        <v>5</v>
      </c>
      <c r="AC755" s="2" t="s">
        <v>10789</v>
      </c>
      <c r="AD755" s="2" t="s">
        <v>23432</v>
      </c>
      <c r="AE755" s="2" t="s">
        <v>18260</v>
      </c>
      <c r="AF755" s="2"/>
      <c r="AG755" s="2" t="s">
        <v>18250</v>
      </c>
    </row>
    <row r="756" spans="1:33" x14ac:dyDescent="0.45">
      <c r="A756" s="2" t="s">
        <v>23433</v>
      </c>
      <c r="B756" s="2" t="s">
        <v>23434</v>
      </c>
      <c r="C756" s="2" t="s">
        <v>23435</v>
      </c>
      <c r="D756" s="2" t="s">
        <v>23436</v>
      </c>
      <c r="E756" s="2" t="s">
        <v>23437</v>
      </c>
      <c r="F756" s="2"/>
      <c r="G756" s="2"/>
      <c r="H756" s="2" t="s">
        <v>1136</v>
      </c>
      <c r="I756" s="2" t="s">
        <v>1137</v>
      </c>
      <c r="J756" s="2" t="s">
        <v>6117</v>
      </c>
      <c r="K756" s="2" t="s">
        <v>23436</v>
      </c>
      <c r="L756" s="2"/>
      <c r="M756" s="2"/>
      <c r="N756" s="2"/>
      <c r="O756" s="2" t="s">
        <v>1136</v>
      </c>
      <c r="P756" s="2" t="s">
        <v>1137</v>
      </c>
      <c r="Q756" s="2" t="s">
        <v>6117</v>
      </c>
      <c r="R756" s="2" t="s">
        <v>23438</v>
      </c>
      <c r="S756" s="2" t="s">
        <v>44</v>
      </c>
      <c r="T756" s="2"/>
      <c r="U756" s="2" t="s">
        <v>3527</v>
      </c>
      <c r="V756" s="2" t="s">
        <v>46</v>
      </c>
      <c r="W756" s="2" t="s">
        <v>3527</v>
      </c>
      <c r="X756" s="2" t="s">
        <v>11537</v>
      </c>
      <c r="Y756" s="2" t="s">
        <v>10801</v>
      </c>
      <c r="Z756" s="2" t="s">
        <v>7864</v>
      </c>
      <c r="AA756" s="2">
        <v>90</v>
      </c>
      <c r="AB756" s="2">
        <v>0</v>
      </c>
      <c r="AC756" s="2" t="s">
        <v>10789</v>
      </c>
      <c r="AD756" s="2" t="s">
        <v>23439</v>
      </c>
      <c r="AE756" s="2" t="s">
        <v>18260</v>
      </c>
      <c r="AF756" s="2"/>
      <c r="AG756" s="2" t="s">
        <v>18250</v>
      </c>
    </row>
    <row r="757" spans="1:33" x14ac:dyDescent="0.45">
      <c r="A757" s="2" t="s">
        <v>23440</v>
      </c>
      <c r="B757" s="2" t="s">
        <v>23441</v>
      </c>
      <c r="C757" s="2" t="s">
        <v>23440</v>
      </c>
      <c r="D757" s="2" t="s">
        <v>23442</v>
      </c>
      <c r="E757" s="2" t="s">
        <v>23443</v>
      </c>
      <c r="F757" s="2"/>
      <c r="G757" s="2"/>
      <c r="H757" s="2" t="s">
        <v>59</v>
      </c>
      <c r="I757" s="2" t="s">
        <v>60</v>
      </c>
      <c r="J757" s="2" t="s">
        <v>9495</v>
      </c>
      <c r="K757" s="2" t="s">
        <v>23442</v>
      </c>
      <c r="L757" s="2"/>
      <c r="M757" s="2"/>
      <c r="N757" s="2"/>
      <c r="O757" s="2" t="s">
        <v>59</v>
      </c>
      <c r="P757" s="2" t="s">
        <v>60</v>
      </c>
      <c r="Q757" s="2" t="s">
        <v>9495</v>
      </c>
      <c r="R757" s="2" t="s">
        <v>23444</v>
      </c>
      <c r="S757" s="2" t="s">
        <v>44</v>
      </c>
      <c r="T757" s="2"/>
      <c r="U757" s="2" t="s">
        <v>3527</v>
      </c>
      <c r="V757" s="2" t="s">
        <v>46</v>
      </c>
      <c r="W757" s="2" t="s">
        <v>3527</v>
      </c>
      <c r="X757" s="2" t="s">
        <v>11537</v>
      </c>
      <c r="Y757" s="2" t="s">
        <v>10801</v>
      </c>
      <c r="Z757" s="2" t="s">
        <v>7864</v>
      </c>
      <c r="AA757" s="2">
        <v>90</v>
      </c>
      <c r="AB757" s="2">
        <v>0</v>
      </c>
      <c r="AC757" s="2" t="s">
        <v>10789</v>
      </c>
      <c r="AD757" s="2" t="s">
        <v>23445</v>
      </c>
      <c r="AE757" s="2" t="s">
        <v>18260</v>
      </c>
      <c r="AF757" s="2"/>
      <c r="AG757" s="2" t="s">
        <v>18250</v>
      </c>
    </row>
    <row r="758" spans="1:33" x14ac:dyDescent="0.45">
      <c r="A758" s="2" t="s">
        <v>23446</v>
      </c>
      <c r="B758" s="2" t="s">
        <v>23447</v>
      </c>
      <c r="C758" s="2" t="s">
        <v>23448</v>
      </c>
      <c r="D758" s="2" t="s">
        <v>23449</v>
      </c>
      <c r="E758" s="2" t="s">
        <v>23450</v>
      </c>
      <c r="F758" s="2" t="s">
        <v>23451</v>
      </c>
      <c r="G758" s="2" t="s">
        <v>23451</v>
      </c>
      <c r="H758" s="2" t="s">
        <v>85</v>
      </c>
      <c r="I758" s="2" t="s">
        <v>86</v>
      </c>
      <c r="J758" s="2" t="s">
        <v>9191</v>
      </c>
      <c r="K758" s="2" t="s">
        <v>23449</v>
      </c>
      <c r="L758" s="2"/>
      <c r="M758" s="2"/>
      <c r="N758" s="2"/>
      <c r="O758" s="2" t="s">
        <v>85</v>
      </c>
      <c r="P758" s="2" t="s">
        <v>86</v>
      </c>
      <c r="Q758" s="2" t="s">
        <v>9191</v>
      </c>
      <c r="R758" s="2" t="s">
        <v>5678</v>
      </c>
      <c r="S758" s="2" t="s">
        <v>44</v>
      </c>
      <c r="T758" s="2"/>
      <c r="U758" s="2" t="s">
        <v>3527</v>
      </c>
      <c r="V758" s="2" t="s">
        <v>46</v>
      </c>
      <c r="W758" s="2" t="s">
        <v>3527</v>
      </c>
      <c r="X758" s="2" t="s">
        <v>10787</v>
      </c>
      <c r="Y758" s="2" t="s">
        <v>10801</v>
      </c>
      <c r="Z758" s="2" t="s">
        <v>7864</v>
      </c>
      <c r="AA758" s="2">
        <v>100</v>
      </c>
      <c r="AB758" s="2">
        <v>10</v>
      </c>
      <c r="AC758" s="2" t="s">
        <v>10789</v>
      </c>
      <c r="AD758" s="2" t="s">
        <v>23452</v>
      </c>
      <c r="AE758" s="2" t="s">
        <v>18260</v>
      </c>
      <c r="AF758" s="2"/>
      <c r="AG758" s="2" t="s">
        <v>18250</v>
      </c>
    </row>
    <row r="759" spans="1:33" x14ac:dyDescent="0.45">
      <c r="A759" s="2" t="s">
        <v>23453</v>
      </c>
      <c r="B759" s="2" t="s">
        <v>23454</v>
      </c>
      <c r="C759" s="2" t="s">
        <v>23455</v>
      </c>
      <c r="D759" s="2" t="s">
        <v>23456</v>
      </c>
      <c r="E759" s="2" t="s">
        <v>23457</v>
      </c>
      <c r="F759" s="2" t="s">
        <v>23458</v>
      </c>
      <c r="G759" s="2"/>
      <c r="H759" s="2" t="s">
        <v>20600</v>
      </c>
      <c r="I759" s="2" t="s">
        <v>9680</v>
      </c>
      <c r="J759" s="2" t="s">
        <v>23459</v>
      </c>
      <c r="K759" s="2" t="s">
        <v>23456</v>
      </c>
      <c r="L759" s="2"/>
      <c r="M759" s="2"/>
      <c r="N759" s="2"/>
      <c r="O759" s="2" t="s">
        <v>20600</v>
      </c>
      <c r="P759" s="2" t="s">
        <v>9680</v>
      </c>
      <c r="Q759" s="2" t="s">
        <v>23459</v>
      </c>
      <c r="R759" s="2" t="s">
        <v>23460</v>
      </c>
      <c r="S759" s="2" t="s">
        <v>44</v>
      </c>
      <c r="T759" s="2"/>
      <c r="U759" s="2" t="s">
        <v>3527</v>
      </c>
      <c r="V759" s="2" t="s">
        <v>46</v>
      </c>
      <c r="W759" s="2" t="s">
        <v>3527</v>
      </c>
      <c r="X759" s="2" t="s">
        <v>10787</v>
      </c>
      <c r="Y759" s="2" t="s">
        <v>10801</v>
      </c>
      <c r="Z759" s="2" t="s">
        <v>7864</v>
      </c>
      <c r="AA759" s="2">
        <v>100</v>
      </c>
      <c r="AB759" s="2">
        <v>5</v>
      </c>
      <c r="AC759" s="2" t="s">
        <v>10789</v>
      </c>
      <c r="AD759" s="2" t="s">
        <v>23461</v>
      </c>
      <c r="AE759" s="2" t="s">
        <v>18260</v>
      </c>
      <c r="AF759" s="2"/>
      <c r="AG759" s="2" t="s">
        <v>18250</v>
      </c>
    </row>
    <row r="760" spans="1:33" x14ac:dyDescent="0.45">
      <c r="A760" s="2" t="s">
        <v>23462</v>
      </c>
      <c r="B760" s="2" t="s">
        <v>23463</v>
      </c>
      <c r="C760" s="2" t="s">
        <v>23462</v>
      </c>
      <c r="D760" s="2" t="s">
        <v>23464</v>
      </c>
      <c r="E760" s="2" t="s">
        <v>23465</v>
      </c>
      <c r="F760" s="2"/>
      <c r="G760" s="2"/>
      <c r="H760" s="2" t="s">
        <v>12582</v>
      </c>
      <c r="I760" s="2" t="s">
        <v>313</v>
      </c>
      <c r="J760" s="2" t="s">
        <v>23466</v>
      </c>
      <c r="K760" s="2" t="s">
        <v>23464</v>
      </c>
      <c r="L760" s="2"/>
      <c r="M760" s="2"/>
      <c r="N760" s="2"/>
      <c r="O760" s="2" t="s">
        <v>12582</v>
      </c>
      <c r="P760" s="2" t="s">
        <v>313</v>
      </c>
      <c r="Q760" s="2" t="s">
        <v>23466</v>
      </c>
      <c r="R760" s="2" t="s">
        <v>2690</v>
      </c>
      <c r="S760" s="2" t="s">
        <v>44</v>
      </c>
      <c r="T760" s="2"/>
      <c r="U760" s="2" t="s">
        <v>3527</v>
      </c>
      <c r="V760" s="2" t="s">
        <v>46</v>
      </c>
      <c r="W760" s="2" t="s">
        <v>3527</v>
      </c>
      <c r="X760" s="2" t="s">
        <v>10787</v>
      </c>
      <c r="Y760" s="2" t="s">
        <v>10801</v>
      </c>
      <c r="Z760" s="2" t="s">
        <v>7864</v>
      </c>
      <c r="AA760" s="2">
        <v>90</v>
      </c>
      <c r="AB760" s="2">
        <v>0</v>
      </c>
      <c r="AC760" s="2" t="s">
        <v>10789</v>
      </c>
      <c r="AD760" s="2" t="s">
        <v>23467</v>
      </c>
      <c r="AE760" s="2" t="s">
        <v>18260</v>
      </c>
      <c r="AF760" s="2"/>
      <c r="AG760" s="2" t="s">
        <v>18250</v>
      </c>
    </row>
    <row r="761" spans="1:33" x14ac:dyDescent="0.45">
      <c r="A761" s="2" t="s">
        <v>23468</v>
      </c>
      <c r="B761" s="2" t="s">
        <v>23469</v>
      </c>
      <c r="C761" s="2" t="s">
        <v>23468</v>
      </c>
      <c r="D761" s="2" t="s">
        <v>23470</v>
      </c>
      <c r="E761" s="2" t="s">
        <v>23471</v>
      </c>
      <c r="F761" s="2"/>
      <c r="G761" s="2"/>
      <c r="H761" s="2" t="s">
        <v>18516</v>
      </c>
      <c r="I761" s="2" t="s">
        <v>175</v>
      </c>
      <c r="J761" s="2" t="s">
        <v>23472</v>
      </c>
      <c r="K761" s="2" t="s">
        <v>23470</v>
      </c>
      <c r="L761" s="2"/>
      <c r="M761" s="2"/>
      <c r="N761" s="2"/>
      <c r="O761" s="2" t="s">
        <v>18516</v>
      </c>
      <c r="P761" s="2" t="s">
        <v>175</v>
      </c>
      <c r="Q761" s="2" t="s">
        <v>23472</v>
      </c>
      <c r="R761" s="2" t="s">
        <v>23473</v>
      </c>
      <c r="S761" s="2" t="s">
        <v>44</v>
      </c>
      <c r="T761" s="2"/>
      <c r="U761" s="2" t="s">
        <v>3527</v>
      </c>
      <c r="V761" s="2" t="s">
        <v>46</v>
      </c>
      <c r="W761" s="2" t="s">
        <v>3527</v>
      </c>
      <c r="X761" s="2" t="s">
        <v>10787</v>
      </c>
      <c r="Y761" s="2" t="s">
        <v>10801</v>
      </c>
      <c r="Z761" s="2" t="s">
        <v>7864</v>
      </c>
      <c r="AA761" s="2">
        <v>90</v>
      </c>
      <c r="AB761" s="2">
        <v>0</v>
      </c>
      <c r="AC761" s="2" t="s">
        <v>10789</v>
      </c>
      <c r="AD761" s="2" t="s">
        <v>23474</v>
      </c>
      <c r="AE761" s="2" t="s">
        <v>18260</v>
      </c>
      <c r="AF761" s="2"/>
      <c r="AG761" s="2" t="s">
        <v>18250</v>
      </c>
    </row>
    <row r="762" spans="1:33" x14ac:dyDescent="0.45">
      <c r="A762" s="2" t="s">
        <v>23475</v>
      </c>
      <c r="B762" s="2" t="s">
        <v>23476</v>
      </c>
      <c r="C762" s="2"/>
      <c r="D762" s="2" t="s">
        <v>23477</v>
      </c>
      <c r="E762" s="2" t="s">
        <v>23478</v>
      </c>
      <c r="F762" s="2"/>
      <c r="G762" s="2"/>
      <c r="H762" s="2" t="s">
        <v>651</v>
      </c>
      <c r="I762" s="2"/>
      <c r="J762" s="2" t="s">
        <v>3948</v>
      </c>
      <c r="K762" s="2"/>
      <c r="L762" s="2"/>
      <c r="M762" s="2"/>
      <c r="N762" s="2"/>
      <c r="O762" s="2"/>
      <c r="P762" s="2"/>
      <c r="Q762" s="2"/>
      <c r="R762" s="2" t="s">
        <v>23479</v>
      </c>
      <c r="S762" s="2" t="s">
        <v>44</v>
      </c>
      <c r="T762" s="2"/>
      <c r="U762" s="2" t="s">
        <v>3527</v>
      </c>
      <c r="V762" s="2" t="s">
        <v>46</v>
      </c>
      <c r="W762" s="2" t="s">
        <v>3527</v>
      </c>
      <c r="X762" s="2" t="s">
        <v>10787</v>
      </c>
      <c r="Y762" s="2" t="s">
        <v>10801</v>
      </c>
      <c r="Z762" s="2" t="s">
        <v>7864</v>
      </c>
      <c r="AA762" s="2">
        <v>60</v>
      </c>
      <c r="AB762" s="2">
        <v>0</v>
      </c>
      <c r="AC762" s="2" t="s">
        <v>10789</v>
      </c>
      <c r="AD762" s="2" t="s">
        <v>23480</v>
      </c>
      <c r="AE762" s="2" t="s">
        <v>18260</v>
      </c>
      <c r="AF762" s="2"/>
      <c r="AG762" s="2" t="s">
        <v>18250</v>
      </c>
    </row>
    <row r="763" spans="1:33" x14ac:dyDescent="0.45">
      <c r="A763" s="2" t="s">
        <v>23481</v>
      </c>
      <c r="B763" s="2" t="s">
        <v>23482</v>
      </c>
      <c r="C763" s="2" t="s">
        <v>23483</v>
      </c>
      <c r="D763" s="2" t="s">
        <v>23484</v>
      </c>
      <c r="E763" s="2" t="s">
        <v>23485</v>
      </c>
      <c r="F763" s="2" t="s">
        <v>3562</v>
      </c>
      <c r="G763" s="2" t="s">
        <v>3562</v>
      </c>
      <c r="H763" s="2" t="s">
        <v>72</v>
      </c>
      <c r="I763" s="2" t="s">
        <v>73</v>
      </c>
      <c r="J763" s="2" t="s">
        <v>9466</v>
      </c>
      <c r="K763" s="2"/>
      <c r="L763" s="2"/>
      <c r="M763" s="2"/>
      <c r="N763" s="2"/>
      <c r="O763" s="2"/>
      <c r="P763" s="2"/>
      <c r="Q763" s="2"/>
      <c r="R763" s="2" t="s">
        <v>17091</v>
      </c>
      <c r="S763" s="2" t="s">
        <v>44</v>
      </c>
      <c r="T763" s="2"/>
      <c r="U763" s="2" t="s">
        <v>3527</v>
      </c>
      <c r="V763" s="2" t="s">
        <v>46</v>
      </c>
      <c r="W763" s="2" t="s">
        <v>3527</v>
      </c>
      <c r="X763" s="2" t="s">
        <v>10787</v>
      </c>
      <c r="Y763" s="2" t="s">
        <v>10801</v>
      </c>
      <c r="Z763" s="2" t="s">
        <v>7864</v>
      </c>
      <c r="AA763" s="2">
        <v>100</v>
      </c>
      <c r="AB763" s="2">
        <v>10</v>
      </c>
      <c r="AC763" s="2" t="s">
        <v>10789</v>
      </c>
      <c r="AD763" s="2" t="s">
        <v>23486</v>
      </c>
      <c r="AE763" s="2" t="s">
        <v>18260</v>
      </c>
      <c r="AF763" s="2"/>
      <c r="AG763" s="2" t="s">
        <v>18250</v>
      </c>
    </row>
    <row r="764" spans="1:33" x14ac:dyDescent="0.45">
      <c r="A764" s="2" t="s">
        <v>23487</v>
      </c>
      <c r="B764" s="2" t="s">
        <v>23488</v>
      </c>
      <c r="C764" s="2" t="s">
        <v>23487</v>
      </c>
      <c r="D764" s="2" t="s">
        <v>23489</v>
      </c>
      <c r="E764" s="2" t="s">
        <v>16448</v>
      </c>
      <c r="F764" s="2"/>
      <c r="G764" s="2"/>
      <c r="H764" s="2" t="s">
        <v>72</v>
      </c>
      <c r="I764" s="2" t="s">
        <v>73</v>
      </c>
      <c r="J764" s="2" t="s">
        <v>7553</v>
      </c>
      <c r="K764" s="2" t="s">
        <v>23489</v>
      </c>
      <c r="L764" s="2"/>
      <c r="M764" s="2"/>
      <c r="N764" s="2"/>
      <c r="O764" s="2" t="s">
        <v>72</v>
      </c>
      <c r="P764" s="2" t="s">
        <v>73</v>
      </c>
      <c r="Q764" s="2" t="s">
        <v>7553</v>
      </c>
      <c r="R764" s="2" t="s">
        <v>2469</v>
      </c>
      <c r="S764" s="2" t="s">
        <v>44</v>
      </c>
      <c r="T764" s="2"/>
      <c r="U764" s="2" t="s">
        <v>3527</v>
      </c>
      <c r="V764" s="2" t="s">
        <v>46</v>
      </c>
      <c r="W764" s="2" t="s">
        <v>3527</v>
      </c>
      <c r="X764" s="2" t="s">
        <v>10787</v>
      </c>
      <c r="Y764" s="2" t="s">
        <v>10801</v>
      </c>
      <c r="Z764" s="2" t="s">
        <v>7864</v>
      </c>
      <c r="AA764" s="2">
        <v>90</v>
      </c>
      <c r="AB764" s="2">
        <v>0</v>
      </c>
      <c r="AC764" s="2" t="s">
        <v>10789</v>
      </c>
      <c r="AD764" s="2" t="s">
        <v>23490</v>
      </c>
      <c r="AE764" s="2" t="s">
        <v>18260</v>
      </c>
      <c r="AF764" s="2"/>
      <c r="AG764" s="2" t="s">
        <v>18250</v>
      </c>
    </row>
    <row r="765" spans="1:33" x14ac:dyDescent="0.45">
      <c r="A765" s="2" t="s">
        <v>23491</v>
      </c>
      <c r="B765" s="2" t="s">
        <v>23492</v>
      </c>
      <c r="C765" s="2" t="s">
        <v>23493</v>
      </c>
      <c r="D765" s="2" t="s">
        <v>23494</v>
      </c>
      <c r="E765" s="2" t="s">
        <v>23495</v>
      </c>
      <c r="F765" s="2" t="s">
        <v>23496</v>
      </c>
      <c r="G765" s="2" t="s">
        <v>23496</v>
      </c>
      <c r="H765" s="2" t="s">
        <v>16854</v>
      </c>
      <c r="I765" s="2" t="s">
        <v>1112</v>
      </c>
      <c r="J765" s="2" t="s">
        <v>23497</v>
      </c>
      <c r="K765" s="2" t="s">
        <v>23494</v>
      </c>
      <c r="L765" s="2"/>
      <c r="M765" s="2"/>
      <c r="N765" s="2"/>
      <c r="O765" s="2" t="s">
        <v>16854</v>
      </c>
      <c r="P765" s="2" t="s">
        <v>1112</v>
      </c>
      <c r="Q765" s="2" t="s">
        <v>23497</v>
      </c>
      <c r="R765" s="2" t="s">
        <v>9955</v>
      </c>
      <c r="S765" s="2" t="s">
        <v>44</v>
      </c>
      <c r="T765" s="2"/>
      <c r="U765" s="2" t="s">
        <v>3527</v>
      </c>
      <c r="V765" s="2" t="s">
        <v>46</v>
      </c>
      <c r="W765" s="2" t="s">
        <v>3527</v>
      </c>
      <c r="X765" s="2" t="s">
        <v>10787</v>
      </c>
      <c r="Y765" s="2" t="s">
        <v>10801</v>
      </c>
      <c r="Z765" s="2" t="s">
        <v>7864</v>
      </c>
      <c r="AA765" s="2">
        <v>100</v>
      </c>
      <c r="AB765" s="2">
        <v>5</v>
      </c>
      <c r="AC765" s="2" t="s">
        <v>10789</v>
      </c>
      <c r="AD765" s="2" t="s">
        <v>23498</v>
      </c>
      <c r="AE765" s="2" t="s">
        <v>18260</v>
      </c>
      <c r="AF765" s="2"/>
      <c r="AG765" s="2" t="s">
        <v>18250</v>
      </c>
    </row>
    <row r="766" spans="1:33" x14ac:dyDescent="0.45">
      <c r="A766" s="2" t="s">
        <v>23499</v>
      </c>
      <c r="B766" s="2" t="s">
        <v>23500</v>
      </c>
      <c r="C766" s="2" t="s">
        <v>23501</v>
      </c>
      <c r="D766" s="2" t="s">
        <v>23502</v>
      </c>
      <c r="E766" s="2" t="s">
        <v>23503</v>
      </c>
      <c r="F766" s="2"/>
      <c r="G766" s="2"/>
      <c r="H766" s="2" t="s">
        <v>424</v>
      </c>
      <c r="I766" s="2" t="s">
        <v>217</v>
      </c>
      <c r="J766" s="2" t="s">
        <v>18552</v>
      </c>
      <c r="K766" s="2" t="s">
        <v>23502</v>
      </c>
      <c r="L766" s="2"/>
      <c r="M766" s="2"/>
      <c r="N766" s="2"/>
      <c r="O766" s="2" t="s">
        <v>424</v>
      </c>
      <c r="P766" s="2" t="s">
        <v>217</v>
      </c>
      <c r="Q766" s="2" t="s">
        <v>18552</v>
      </c>
      <c r="R766" s="2" t="s">
        <v>12608</v>
      </c>
      <c r="S766" s="2" t="s">
        <v>44</v>
      </c>
      <c r="T766" s="2"/>
      <c r="U766" s="2" t="s">
        <v>3527</v>
      </c>
      <c r="V766" s="2" t="s">
        <v>46</v>
      </c>
      <c r="W766" s="2" t="s">
        <v>3527</v>
      </c>
      <c r="X766" s="2" t="s">
        <v>10787</v>
      </c>
      <c r="Y766" s="2" t="s">
        <v>10801</v>
      </c>
      <c r="Z766" s="2" t="s">
        <v>7864</v>
      </c>
      <c r="AA766" s="2">
        <v>90</v>
      </c>
      <c r="AB766" s="2">
        <v>0</v>
      </c>
      <c r="AC766" s="2" t="s">
        <v>10789</v>
      </c>
      <c r="AD766" s="2" t="s">
        <v>23504</v>
      </c>
      <c r="AE766" s="2" t="s">
        <v>18260</v>
      </c>
      <c r="AF766" s="2"/>
      <c r="AG766" s="2" t="s">
        <v>18250</v>
      </c>
    </row>
    <row r="767" spans="1:33" x14ac:dyDescent="0.45">
      <c r="A767" s="2" t="s">
        <v>23505</v>
      </c>
      <c r="B767" s="2" t="s">
        <v>23506</v>
      </c>
      <c r="C767" s="2" t="s">
        <v>23507</v>
      </c>
      <c r="D767" s="2" t="s">
        <v>23508</v>
      </c>
      <c r="E767" s="2" t="s">
        <v>23509</v>
      </c>
      <c r="F767" s="2" t="s">
        <v>23510</v>
      </c>
      <c r="G767" s="2" t="s">
        <v>23510</v>
      </c>
      <c r="H767" s="2" t="s">
        <v>651</v>
      </c>
      <c r="I767" s="2" t="s">
        <v>86</v>
      </c>
      <c r="J767" s="2" t="s">
        <v>23511</v>
      </c>
      <c r="K767" s="2" t="s">
        <v>23508</v>
      </c>
      <c r="L767" s="2"/>
      <c r="M767" s="2"/>
      <c r="N767" s="2"/>
      <c r="O767" s="2" t="s">
        <v>651</v>
      </c>
      <c r="P767" s="2" t="s">
        <v>86</v>
      </c>
      <c r="Q767" s="2" t="s">
        <v>23511</v>
      </c>
      <c r="R767" s="2" t="s">
        <v>5594</v>
      </c>
      <c r="S767" s="2" t="s">
        <v>44</v>
      </c>
      <c r="T767" s="2"/>
      <c r="U767" s="2" t="s">
        <v>3527</v>
      </c>
      <c r="V767" s="2" t="s">
        <v>46</v>
      </c>
      <c r="W767" s="2" t="s">
        <v>3527</v>
      </c>
      <c r="X767" s="2" t="s">
        <v>10787</v>
      </c>
      <c r="Y767" s="2" t="s">
        <v>10801</v>
      </c>
      <c r="Z767" s="2" t="s">
        <v>7864</v>
      </c>
      <c r="AA767" s="2">
        <v>100</v>
      </c>
      <c r="AB767" s="2">
        <v>10</v>
      </c>
      <c r="AC767" s="2" t="s">
        <v>10789</v>
      </c>
      <c r="AD767" s="2" t="s">
        <v>23512</v>
      </c>
      <c r="AE767" s="2" t="s">
        <v>18260</v>
      </c>
      <c r="AF767" s="2"/>
      <c r="AG767" s="2" t="s">
        <v>18250</v>
      </c>
    </row>
    <row r="768" spans="1:33" x14ac:dyDescent="0.45">
      <c r="A768" s="2" t="s">
        <v>23513</v>
      </c>
      <c r="B768" s="2" t="s">
        <v>23514</v>
      </c>
      <c r="C768" s="2" t="s">
        <v>23515</v>
      </c>
      <c r="D768" s="2" t="s">
        <v>23516</v>
      </c>
      <c r="E768" s="2" t="s">
        <v>23517</v>
      </c>
      <c r="F768" s="2" t="s">
        <v>23518</v>
      </c>
      <c r="G768" s="2" t="s">
        <v>23518</v>
      </c>
      <c r="H768" s="2" t="s">
        <v>290</v>
      </c>
      <c r="I768" s="2" t="s">
        <v>278</v>
      </c>
      <c r="J768" s="2" t="s">
        <v>1460</v>
      </c>
      <c r="K768" s="2" t="s">
        <v>23516</v>
      </c>
      <c r="L768" s="2"/>
      <c r="M768" s="2"/>
      <c r="N768" s="2"/>
      <c r="O768" s="2" t="s">
        <v>290</v>
      </c>
      <c r="P768" s="2" t="s">
        <v>278</v>
      </c>
      <c r="Q768" s="2" t="s">
        <v>1460</v>
      </c>
      <c r="R768" s="2" t="s">
        <v>7816</v>
      </c>
      <c r="S768" s="2" t="s">
        <v>44</v>
      </c>
      <c r="T768" s="2"/>
      <c r="U768" s="2" t="s">
        <v>3527</v>
      </c>
      <c r="V768" s="2" t="s">
        <v>46</v>
      </c>
      <c r="W768" s="2" t="s">
        <v>3527</v>
      </c>
      <c r="X768" s="2" t="s">
        <v>10787</v>
      </c>
      <c r="Y768" s="2" t="s">
        <v>10801</v>
      </c>
      <c r="Z768" s="2" t="s">
        <v>7864</v>
      </c>
      <c r="AA768" s="2">
        <v>100</v>
      </c>
      <c r="AB768" s="2">
        <v>10</v>
      </c>
      <c r="AC768" s="2" t="s">
        <v>10789</v>
      </c>
      <c r="AD768" s="2" t="s">
        <v>23519</v>
      </c>
      <c r="AE768" s="2" t="s">
        <v>18260</v>
      </c>
      <c r="AF768" s="2"/>
      <c r="AG768" s="2" t="s">
        <v>18250</v>
      </c>
    </row>
    <row r="769" spans="1:33" x14ac:dyDescent="0.45">
      <c r="A769" s="2" t="s">
        <v>23520</v>
      </c>
      <c r="B769" s="2" t="s">
        <v>23521</v>
      </c>
      <c r="C769" s="2" t="s">
        <v>23522</v>
      </c>
      <c r="D769" s="2" t="s">
        <v>23523</v>
      </c>
      <c r="E769" s="2" t="s">
        <v>23524</v>
      </c>
      <c r="F769" s="2" t="s">
        <v>23525</v>
      </c>
      <c r="G769" s="2" t="s">
        <v>23525</v>
      </c>
      <c r="H769" s="2" t="s">
        <v>10524</v>
      </c>
      <c r="I769" s="2" t="s">
        <v>175</v>
      </c>
      <c r="J769" s="2" t="s">
        <v>23526</v>
      </c>
      <c r="K769" s="2" t="s">
        <v>23527</v>
      </c>
      <c r="L769" s="2"/>
      <c r="M769" s="2"/>
      <c r="N769" s="2"/>
      <c r="O769" s="2" t="s">
        <v>10524</v>
      </c>
      <c r="P769" s="2" t="s">
        <v>175</v>
      </c>
      <c r="Q769" s="2" t="s">
        <v>23526</v>
      </c>
      <c r="R769" s="2" t="s">
        <v>3485</v>
      </c>
      <c r="S769" s="2" t="s">
        <v>44</v>
      </c>
      <c r="T769" s="2"/>
      <c r="U769" s="2" t="s">
        <v>3527</v>
      </c>
      <c r="V769" s="2" t="s">
        <v>46</v>
      </c>
      <c r="W769" s="2" t="s">
        <v>3527</v>
      </c>
      <c r="X769" s="2" t="s">
        <v>10787</v>
      </c>
      <c r="Y769" s="2" t="s">
        <v>10801</v>
      </c>
      <c r="Z769" s="2" t="s">
        <v>7864</v>
      </c>
      <c r="AA769" s="2">
        <v>100</v>
      </c>
      <c r="AB769" s="2">
        <v>5</v>
      </c>
      <c r="AC769" s="2" t="s">
        <v>10789</v>
      </c>
      <c r="AD769" s="2" t="s">
        <v>23528</v>
      </c>
      <c r="AE769" s="2" t="s">
        <v>18260</v>
      </c>
      <c r="AF769" s="2"/>
      <c r="AG769" s="2" t="s">
        <v>18250</v>
      </c>
    </row>
    <row r="770" spans="1:33" x14ac:dyDescent="0.45">
      <c r="A770" s="2" t="s">
        <v>23529</v>
      </c>
      <c r="B770" s="2" t="s">
        <v>23530</v>
      </c>
      <c r="C770" s="2" t="s">
        <v>23531</v>
      </c>
      <c r="D770" s="2" t="s">
        <v>23532</v>
      </c>
      <c r="E770" s="2" t="s">
        <v>23533</v>
      </c>
      <c r="F770" s="2"/>
      <c r="G770" s="2"/>
      <c r="H770" s="2" t="s">
        <v>290</v>
      </c>
      <c r="I770" s="2" t="s">
        <v>278</v>
      </c>
      <c r="J770" s="2" t="s">
        <v>23534</v>
      </c>
      <c r="K770" s="2" t="s">
        <v>23535</v>
      </c>
      <c r="L770" s="2"/>
      <c r="M770" s="2"/>
      <c r="N770" s="2"/>
      <c r="O770" s="2" t="s">
        <v>290</v>
      </c>
      <c r="P770" s="2" t="s">
        <v>278</v>
      </c>
      <c r="Q770" s="2" t="s">
        <v>23534</v>
      </c>
      <c r="R770" s="2" t="s">
        <v>21039</v>
      </c>
      <c r="S770" s="2" t="s">
        <v>44</v>
      </c>
      <c r="T770" s="2"/>
      <c r="U770" s="2" t="s">
        <v>3527</v>
      </c>
      <c r="V770" s="2" t="s">
        <v>46</v>
      </c>
      <c r="W770" s="2" t="s">
        <v>3527</v>
      </c>
      <c r="X770" s="2" t="s">
        <v>10787</v>
      </c>
      <c r="Y770" s="2" t="s">
        <v>10801</v>
      </c>
      <c r="Z770" s="2" t="s">
        <v>7864</v>
      </c>
      <c r="AA770" s="2">
        <v>90</v>
      </c>
      <c r="AB770" s="2">
        <v>0</v>
      </c>
      <c r="AC770" s="2" t="s">
        <v>10789</v>
      </c>
      <c r="AD770" s="2" t="s">
        <v>23536</v>
      </c>
      <c r="AE770" s="2" t="s">
        <v>18260</v>
      </c>
      <c r="AF770" s="2"/>
      <c r="AG770" s="2" t="s">
        <v>18250</v>
      </c>
    </row>
    <row r="771" spans="1:33" x14ac:dyDescent="0.45">
      <c r="A771" s="2" t="s">
        <v>23537</v>
      </c>
      <c r="B771" s="2" t="s">
        <v>23538</v>
      </c>
      <c r="C771" s="2" t="s">
        <v>23537</v>
      </c>
      <c r="D771" s="2" t="s">
        <v>23539</v>
      </c>
      <c r="E771" s="2" t="s">
        <v>23540</v>
      </c>
      <c r="F771" s="2"/>
      <c r="G771" s="2"/>
      <c r="H771" s="2" t="s">
        <v>13237</v>
      </c>
      <c r="I771" s="2" t="s">
        <v>278</v>
      </c>
      <c r="J771" s="2" t="s">
        <v>13238</v>
      </c>
      <c r="K771" s="2" t="s">
        <v>23541</v>
      </c>
      <c r="L771" s="2"/>
      <c r="M771" s="2"/>
      <c r="N771" s="2"/>
      <c r="O771" s="2" t="s">
        <v>13237</v>
      </c>
      <c r="P771" s="2" t="s">
        <v>278</v>
      </c>
      <c r="Q771" s="2" t="s">
        <v>13238</v>
      </c>
      <c r="R771" s="2" t="s">
        <v>9387</v>
      </c>
      <c r="S771" s="2" t="s">
        <v>44</v>
      </c>
      <c r="T771" s="2"/>
      <c r="U771" s="2" t="s">
        <v>3527</v>
      </c>
      <c r="V771" s="2" t="s">
        <v>46</v>
      </c>
      <c r="W771" s="2" t="s">
        <v>3527</v>
      </c>
      <c r="X771" s="2" t="s">
        <v>10787</v>
      </c>
      <c r="Y771" s="2" t="s">
        <v>10801</v>
      </c>
      <c r="Z771" s="2" t="s">
        <v>7864</v>
      </c>
      <c r="AA771" s="2">
        <v>90</v>
      </c>
      <c r="AB771" s="2">
        <v>0</v>
      </c>
      <c r="AC771" s="2" t="s">
        <v>10789</v>
      </c>
      <c r="AD771" s="2" t="s">
        <v>23542</v>
      </c>
      <c r="AE771" s="2" t="s">
        <v>18260</v>
      </c>
      <c r="AF771" s="2"/>
      <c r="AG771" s="2" t="s">
        <v>18250</v>
      </c>
    </row>
    <row r="772" spans="1:33" x14ac:dyDescent="0.45">
      <c r="A772" s="2" t="s">
        <v>23543</v>
      </c>
      <c r="B772" s="2" t="s">
        <v>23544</v>
      </c>
      <c r="C772" s="2" t="s">
        <v>23545</v>
      </c>
      <c r="D772" s="2" t="s">
        <v>23546</v>
      </c>
      <c r="E772" s="2" t="s">
        <v>23547</v>
      </c>
      <c r="F772" s="2" t="s">
        <v>3562</v>
      </c>
      <c r="G772" s="2" t="s">
        <v>3562</v>
      </c>
      <c r="H772" s="2" t="s">
        <v>1136</v>
      </c>
      <c r="I772" s="2" t="s">
        <v>1137</v>
      </c>
      <c r="J772" s="2" t="s">
        <v>19538</v>
      </c>
      <c r="K772" s="2" t="s">
        <v>23548</v>
      </c>
      <c r="L772" s="2"/>
      <c r="M772" s="2"/>
      <c r="N772" s="2"/>
      <c r="O772" s="2" t="s">
        <v>1136</v>
      </c>
      <c r="P772" s="2" t="s">
        <v>1137</v>
      </c>
      <c r="Q772" s="2" t="s">
        <v>19538</v>
      </c>
      <c r="R772" s="2" t="s">
        <v>3485</v>
      </c>
      <c r="S772" s="2" t="s">
        <v>44</v>
      </c>
      <c r="T772" s="2"/>
      <c r="U772" s="2" t="s">
        <v>3527</v>
      </c>
      <c r="V772" s="2" t="s">
        <v>46</v>
      </c>
      <c r="W772" s="2" t="s">
        <v>3527</v>
      </c>
      <c r="X772" s="2" t="s">
        <v>10787</v>
      </c>
      <c r="Y772" s="2" t="s">
        <v>10801</v>
      </c>
      <c r="Z772" s="2" t="s">
        <v>7864</v>
      </c>
      <c r="AA772" s="2">
        <v>100</v>
      </c>
      <c r="AB772" s="2">
        <v>5</v>
      </c>
      <c r="AC772" s="2" t="s">
        <v>10789</v>
      </c>
      <c r="AD772" s="2" t="s">
        <v>23549</v>
      </c>
      <c r="AE772" s="2" t="s">
        <v>18260</v>
      </c>
      <c r="AF772" s="2"/>
      <c r="AG772" s="2" t="s">
        <v>18250</v>
      </c>
    </row>
    <row r="773" spans="1:33" x14ac:dyDescent="0.45">
      <c r="A773" s="2" t="s">
        <v>23550</v>
      </c>
      <c r="B773" s="2" t="s">
        <v>23551</v>
      </c>
      <c r="C773" s="2" t="s">
        <v>23550</v>
      </c>
      <c r="D773" s="2" t="s">
        <v>23552</v>
      </c>
      <c r="E773" s="2" t="s">
        <v>23553</v>
      </c>
      <c r="F773" s="2" t="s">
        <v>3562</v>
      </c>
      <c r="G773" s="2" t="s">
        <v>3562</v>
      </c>
      <c r="H773" s="2" t="s">
        <v>9829</v>
      </c>
      <c r="I773" s="2" t="s">
        <v>278</v>
      </c>
      <c r="J773" s="2" t="s">
        <v>1225</v>
      </c>
      <c r="K773" s="2"/>
      <c r="L773" s="2"/>
      <c r="M773" s="2"/>
      <c r="N773" s="2"/>
      <c r="O773" s="2"/>
      <c r="P773" s="2"/>
      <c r="Q773" s="2"/>
      <c r="R773" s="2" t="s">
        <v>23554</v>
      </c>
      <c r="S773" s="2" t="s">
        <v>44</v>
      </c>
      <c r="T773" s="2"/>
      <c r="U773" s="2" t="s">
        <v>3527</v>
      </c>
      <c r="V773" s="2" t="s">
        <v>46</v>
      </c>
      <c r="W773" s="2" t="s">
        <v>3527</v>
      </c>
      <c r="X773" s="2" t="s">
        <v>10787</v>
      </c>
      <c r="Y773" s="2" t="s">
        <v>10801</v>
      </c>
      <c r="Z773" s="2" t="s">
        <v>7864</v>
      </c>
      <c r="AA773" s="2">
        <v>100</v>
      </c>
      <c r="AB773" s="2">
        <v>5</v>
      </c>
      <c r="AC773" s="2" t="s">
        <v>10789</v>
      </c>
      <c r="AD773" s="2" t="s">
        <v>23555</v>
      </c>
      <c r="AE773" s="2" t="s">
        <v>18260</v>
      </c>
      <c r="AF773" s="2"/>
      <c r="AG773" s="2" t="s">
        <v>18250</v>
      </c>
    </row>
    <row r="774" spans="1:33" x14ac:dyDescent="0.45">
      <c r="A774" s="2" t="s">
        <v>23556</v>
      </c>
      <c r="B774" s="2" t="s">
        <v>23557</v>
      </c>
      <c r="C774" s="2" t="s">
        <v>23558</v>
      </c>
      <c r="D774" s="2" t="s">
        <v>23559</v>
      </c>
      <c r="E774" s="2" t="s">
        <v>23560</v>
      </c>
      <c r="F774" s="2" t="s">
        <v>23561</v>
      </c>
      <c r="G774" s="2" t="s">
        <v>23561</v>
      </c>
      <c r="H774" s="2" t="s">
        <v>23562</v>
      </c>
      <c r="I774" s="2" t="s">
        <v>1281</v>
      </c>
      <c r="J774" s="2" t="s">
        <v>23563</v>
      </c>
      <c r="K774" s="2" t="s">
        <v>23559</v>
      </c>
      <c r="L774" s="2"/>
      <c r="M774" s="2"/>
      <c r="N774" s="2"/>
      <c r="O774" s="2" t="s">
        <v>23562</v>
      </c>
      <c r="P774" s="2" t="s">
        <v>1281</v>
      </c>
      <c r="Q774" s="2" t="s">
        <v>23563</v>
      </c>
      <c r="R774" s="2" t="s">
        <v>13150</v>
      </c>
      <c r="S774" s="2" t="s">
        <v>44</v>
      </c>
      <c r="T774" s="2"/>
      <c r="U774" s="2" t="s">
        <v>3527</v>
      </c>
      <c r="V774" s="2" t="s">
        <v>46</v>
      </c>
      <c r="W774" s="2" t="s">
        <v>3527</v>
      </c>
      <c r="X774" s="2" t="s">
        <v>10787</v>
      </c>
      <c r="Y774" s="2" t="s">
        <v>10801</v>
      </c>
      <c r="Z774" s="2" t="s">
        <v>7864</v>
      </c>
      <c r="AA774" s="2">
        <v>100</v>
      </c>
      <c r="AB774" s="2">
        <v>5</v>
      </c>
      <c r="AC774" s="2" t="s">
        <v>10789</v>
      </c>
      <c r="AD774" s="2" t="s">
        <v>23564</v>
      </c>
      <c r="AE774" s="2" t="s">
        <v>18260</v>
      </c>
      <c r="AF774" s="2"/>
      <c r="AG774" s="2" t="s">
        <v>18250</v>
      </c>
    </row>
    <row r="775" spans="1:33" x14ac:dyDescent="0.45">
      <c r="A775" s="2" t="s">
        <v>23565</v>
      </c>
      <c r="B775" s="2" t="s">
        <v>23566</v>
      </c>
      <c r="C775" s="2" t="s">
        <v>23567</v>
      </c>
      <c r="D775" s="2" t="s">
        <v>23568</v>
      </c>
      <c r="E775" s="2" t="s">
        <v>23569</v>
      </c>
      <c r="F775" s="2" t="s">
        <v>23570</v>
      </c>
      <c r="G775" s="2" t="s">
        <v>23570</v>
      </c>
      <c r="H775" s="2" t="s">
        <v>277</v>
      </c>
      <c r="I775" s="2" t="s">
        <v>278</v>
      </c>
      <c r="J775" s="2" t="s">
        <v>1060</v>
      </c>
      <c r="K775" s="2" t="s">
        <v>23568</v>
      </c>
      <c r="L775" s="2"/>
      <c r="M775" s="2"/>
      <c r="N775" s="2"/>
      <c r="O775" s="2" t="s">
        <v>277</v>
      </c>
      <c r="P775" s="2" t="s">
        <v>278</v>
      </c>
      <c r="Q775" s="2" t="s">
        <v>1060</v>
      </c>
      <c r="R775" s="2" t="s">
        <v>3485</v>
      </c>
      <c r="S775" s="2" t="s">
        <v>44</v>
      </c>
      <c r="T775" s="2"/>
      <c r="U775" s="2" t="s">
        <v>3527</v>
      </c>
      <c r="V775" s="2" t="s">
        <v>46</v>
      </c>
      <c r="W775" s="2" t="s">
        <v>3527</v>
      </c>
      <c r="X775" s="2" t="s">
        <v>10787</v>
      </c>
      <c r="Y775" s="2" t="s">
        <v>10801</v>
      </c>
      <c r="Z775" s="2" t="s">
        <v>7864</v>
      </c>
      <c r="AA775" s="2">
        <v>100</v>
      </c>
      <c r="AB775" s="2">
        <v>10</v>
      </c>
      <c r="AC775" s="2" t="s">
        <v>10789</v>
      </c>
      <c r="AD775" s="2" t="s">
        <v>23571</v>
      </c>
      <c r="AE775" s="2" t="s">
        <v>18260</v>
      </c>
      <c r="AF775" s="2"/>
      <c r="AG775" s="2" t="s">
        <v>18250</v>
      </c>
    </row>
    <row r="776" spans="1:33" x14ac:dyDescent="0.45">
      <c r="A776" s="2" t="s">
        <v>23572</v>
      </c>
      <c r="B776" s="2" t="s">
        <v>23573</v>
      </c>
      <c r="C776" s="2" t="s">
        <v>23574</v>
      </c>
      <c r="D776" s="2" t="s">
        <v>23575</v>
      </c>
      <c r="E776" s="2" t="s">
        <v>23576</v>
      </c>
      <c r="F776" s="2"/>
      <c r="G776" s="2"/>
      <c r="H776" s="2" t="s">
        <v>23577</v>
      </c>
      <c r="I776" s="2" t="s">
        <v>278</v>
      </c>
      <c r="J776" s="2" t="s">
        <v>23578</v>
      </c>
      <c r="K776" s="2" t="s">
        <v>23575</v>
      </c>
      <c r="L776" s="2"/>
      <c r="M776" s="2"/>
      <c r="N776" s="2"/>
      <c r="O776" s="2" t="s">
        <v>23577</v>
      </c>
      <c r="P776" s="2" t="s">
        <v>278</v>
      </c>
      <c r="Q776" s="2" t="s">
        <v>23578</v>
      </c>
      <c r="R776" s="2" t="s">
        <v>10010</v>
      </c>
      <c r="S776" s="2" t="s">
        <v>44</v>
      </c>
      <c r="T776" s="2"/>
      <c r="U776" s="2" t="s">
        <v>3527</v>
      </c>
      <c r="V776" s="2" t="s">
        <v>46</v>
      </c>
      <c r="W776" s="2" t="s">
        <v>3527</v>
      </c>
      <c r="X776" s="2" t="s">
        <v>10787</v>
      </c>
      <c r="Y776" s="2" t="s">
        <v>10801</v>
      </c>
      <c r="Z776" s="2" t="s">
        <v>7864</v>
      </c>
      <c r="AA776" s="2">
        <v>90</v>
      </c>
      <c r="AB776" s="2">
        <v>0</v>
      </c>
      <c r="AC776" s="2" t="s">
        <v>10789</v>
      </c>
      <c r="AD776" s="2" t="s">
        <v>23579</v>
      </c>
      <c r="AE776" s="2" t="s">
        <v>18260</v>
      </c>
      <c r="AF776" s="2"/>
      <c r="AG776" s="2" t="s">
        <v>18250</v>
      </c>
    </row>
    <row r="777" spans="1:33" x14ac:dyDescent="0.45">
      <c r="A777" s="2" t="s">
        <v>23580</v>
      </c>
      <c r="B777" s="2" t="s">
        <v>23581</v>
      </c>
      <c r="C777" s="2" t="s">
        <v>23582</v>
      </c>
      <c r="D777" s="2" t="s">
        <v>23583</v>
      </c>
      <c r="E777" s="2" t="s">
        <v>23584</v>
      </c>
      <c r="F777" s="2" t="s">
        <v>23585</v>
      </c>
      <c r="G777" s="2" t="s">
        <v>23585</v>
      </c>
      <c r="H777" s="2" t="s">
        <v>174</v>
      </c>
      <c r="I777" s="2" t="s">
        <v>175</v>
      </c>
      <c r="J777" s="2" t="s">
        <v>4144</v>
      </c>
      <c r="K777" s="2" t="s">
        <v>23586</v>
      </c>
      <c r="L777" s="2"/>
      <c r="M777" s="2"/>
      <c r="N777" s="2"/>
      <c r="O777" s="2" t="s">
        <v>174</v>
      </c>
      <c r="P777" s="2" t="s">
        <v>175</v>
      </c>
      <c r="Q777" s="2" t="s">
        <v>4144</v>
      </c>
      <c r="R777" s="2" t="s">
        <v>9155</v>
      </c>
      <c r="S777" s="2" t="s">
        <v>44</v>
      </c>
      <c r="T777" s="2"/>
      <c r="U777" s="2" t="s">
        <v>821</v>
      </c>
      <c r="V777" s="2" t="s">
        <v>46</v>
      </c>
      <c r="W777" s="2" t="s">
        <v>821</v>
      </c>
      <c r="X777" s="2" t="s">
        <v>10787</v>
      </c>
      <c r="Y777" s="2" t="s">
        <v>10801</v>
      </c>
      <c r="Z777" s="2" t="s">
        <v>7864</v>
      </c>
      <c r="AA777" s="2">
        <v>100</v>
      </c>
      <c r="AB777" s="2">
        <v>17</v>
      </c>
      <c r="AC777" s="2" t="s">
        <v>10789</v>
      </c>
      <c r="AD777" s="2" t="s">
        <v>23587</v>
      </c>
      <c r="AE777" s="2" t="s">
        <v>18260</v>
      </c>
      <c r="AF777" s="2"/>
      <c r="AG777" s="2" t="s">
        <v>18250</v>
      </c>
    </row>
    <row r="778" spans="1:33" x14ac:dyDescent="0.45">
      <c r="A778" s="2" t="s">
        <v>23588</v>
      </c>
      <c r="B778" s="2" t="s">
        <v>23589</v>
      </c>
      <c r="C778" s="2" t="s">
        <v>23590</v>
      </c>
      <c r="D778" s="2" t="s">
        <v>23591</v>
      </c>
      <c r="E778" s="2" t="s">
        <v>23592</v>
      </c>
      <c r="F778" s="2" t="s">
        <v>3562</v>
      </c>
      <c r="G778" s="2" t="s">
        <v>3562</v>
      </c>
      <c r="H778" s="2" t="s">
        <v>1023</v>
      </c>
      <c r="I778" s="2" t="s">
        <v>73</v>
      </c>
      <c r="J778" s="2" t="s">
        <v>21109</v>
      </c>
      <c r="K778" s="2" t="s">
        <v>23591</v>
      </c>
      <c r="L778" s="2"/>
      <c r="M778" s="2"/>
      <c r="N778" s="2"/>
      <c r="O778" s="2" t="s">
        <v>1023</v>
      </c>
      <c r="P778" s="2" t="s">
        <v>73</v>
      </c>
      <c r="Q778" s="2" t="s">
        <v>21109</v>
      </c>
      <c r="R778" s="2" t="s">
        <v>7756</v>
      </c>
      <c r="S778" s="2" t="s">
        <v>44</v>
      </c>
      <c r="T778" s="2"/>
      <c r="U778" s="2" t="s">
        <v>3527</v>
      </c>
      <c r="V778" s="2" t="s">
        <v>46</v>
      </c>
      <c r="W778" s="2" t="s">
        <v>3527</v>
      </c>
      <c r="X778" s="2" t="s">
        <v>10787</v>
      </c>
      <c r="Y778" s="2" t="s">
        <v>10801</v>
      </c>
      <c r="Z778" s="2" t="s">
        <v>7864</v>
      </c>
      <c r="AA778" s="2">
        <v>100</v>
      </c>
      <c r="AB778" s="2">
        <v>10</v>
      </c>
      <c r="AC778" s="2" t="s">
        <v>10789</v>
      </c>
      <c r="AD778" s="2" t="s">
        <v>23593</v>
      </c>
      <c r="AE778" s="2" t="s">
        <v>18260</v>
      </c>
      <c r="AF778" s="2"/>
      <c r="AG778" s="2" t="s">
        <v>18250</v>
      </c>
    </row>
    <row r="779" spans="1:33" x14ac:dyDescent="0.45">
      <c r="A779" s="2" t="s">
        <v>23594</v>
      </c>
      <c r="B779" s="2" t="s">
        <v>23595</v>
      </c>
      <c r="C779" s="2" t="s">
        <v>23596</v>
      </c>
      <c r="D779" s="2" t="s">
        <v>23597</v>
      </c>
      <c r="E779" s="2" t="s">
        <v>23598</v>
      </c>
      <c r="F779" s="2"/>
      <c r="G779" s="2"/>
      <c r="H779" s="2" t="s">
        <v>8544</v>
      </c>
      <c r="I779" s="2" t="s">
        <v>73</v>
      </c>
      <c r="J779" s="2" t="s">
        <v>12954</v>
      </c>
      <c r="K779" s="2" t="s">
        <v>23597</v>
      </c>
      <c r="L779" s="2"/>
      <c r="M779" s="2"/>
      <c r="N779" s="2"/>
      <c r="O779" s="2" t="s">
        <v>8544</v>
      </c>
      <c r="P779" s="2" t="s">
        <v>73</v>
      </c>
      <c r="Q779" s="2" t="s">
        <v>12954</v>
      </c>
      <c r="R779" s="2" t="s">
        <v>9649</v>
      </c>
      <c r="S779" s="2" t="s">
        <v>44</v>
      </c>
      <c r="T779" s="2"/>
      <c r="U779" s="2" t="s">
        <v>3527</v>
      </c>
      <c r="V779" s="2" t="s">
        <v>46</v>
      </c>
      <c r="W779" s="2" t="s">
        <v>3527</v>
      </c>
      <c r="X779" s="2" t="s">
        <v>10787</v>
      </c>
      <c r="Y779" s="2" t="s">
        <v>10801</v>
      </c>
      <c r="Z779" s="2" t="s">
        <v>7864</v>
      </c>
      <c r="AA779" s="2">
        <v>90</v>
      </c>
      <c r="AB779" s="2">
        <v>0</v>
      </c>
      <c r="AC779" s="2" t="s">
        <v>10789</v>
      </c>
      <c r="AD779" s="2" t="s">
        <v>23599</v>
      </c>
      <c r="AE779" s="2" t="s">
        <v>18260</v>
      </c>
      <c r="AF779" s="2"/>
      <c r="AG779" s="2" t="s">
        <v>18250</v>
      </c>
    </row>
    <row r="780" spans="1:33" x14ac:dyDescent="0.45">
      <c r="A780" s="2" t="s">
        <v>23600</v>
      </c>
      <c r="B780" s="2" t="s">
        <v>23601</v>
      </c>
      <c r="C780" s="2" t="s">
        <v>23602</v>
      </c>
      <c r="D780" s="2" t="s">
        <v>23603</v>
      </c>
      <c r="E780" s="2" t="s">
        <v>23604</v>
      </c>
      <c r="F780" s="2"/>
      <c r="G780" s="2"/>
      <c r="H780" s="2" t="s">
        <v>220</v>
      </c>
      <c r="I780" s="2" t="s">
        <v>221</v>
      </c>
      <c r="J780" s="2" t="s">
        <v>10337</v>
      </c>
      <c r="K780" s="2" t="s">
        <v>23603</v>
      </c>
      <c r="L780" s="2"/>
      <c r="M780" s="2"/>
      <c r="N780" s="2"/>
      <c r="O780" s="2" t="s">
        <v>220</v>
      </c>
      <c r="P780" s="2" t="s">
        <v>221</v>
      </c>
      <c r="Q780" s="2" t="s">
        <v>10337</v>
      </c>
      <c r="R780" s="2" t="s">
        <v>11415</v>
      </c>
      <c r="S780" s="2" t="s">
        <v>44</v>
      </c>
      <c r="T780" s="2"/>
      <c r="U780" s="2" t="s">
        <v>3527</v>
      </c>
      <c r="V780" s="2" t="s">
        <v>46</v>
      </c>
      <c r="W780" s="2" t="s">
        <v>3527</v>
      </c>
      <c r="X780" s="2" t="s">
        <v>10787</v>
      </c>
      <c r="Y780" s="2" t="s">
        <v>10801</v>
      </c>
      <c r="Z780" s="2" t="s">
        <v>7864</v>
      </c>
      <c r="AA780" s="2">
        <v>90</v>
      </c>
      <c r="AB780" s="2">
        <v>0</v>
      </c>
      <c r="AC780" s="2" t="s">
        <v>10789</v>
      </c>
      <c r="AD780" s="2" t="s">
        <v>23605</v>
      </c>
      <c r="AE780" s="2" t="s">
        <v>18260</v>
      </c>
      <c r="AF780" s="2"/>
      <c r="AG780" s="2" t="s">
        <v>18250</v>
      </c>
    </row>
    <row r="781" spans="1:33" x14ac:dyDescent="0.45">
      <c r="A781" s="2" t="s">
        <v>23606</v>
      </c>
      <c r="B781" s="2" t="s">
        <v>23607</v>
      </c>
      <c r="C781" s="2" t="s">
        <v>23608</v>
      </c>
      <c r="D781" s="2" t="s">
        <v>23609</v>
      </c>
      <c r="E781" s="2" t="s">
        <v>23610</v>
      </c>
      <c r="F781" s="2" t="s">
        <v>3562</v>
      </c>
      <c r="G781" s="2" t="s">
        <v>3562</v>
      </c>
      <c r="H781" s="2" t="s">
        <v>6156</v>
      </c>
      <c r="I781" s="2" t="s">
        <v>217</v>
      </c>
      <c r="J781" s="2" t="s">
        <v>18628</v>
      </c>
      <c r="K781" s="2"/>
      <c r="L781" s="2"/>
      <c r="M781" s="2"/>
      <c r="N781" s="2"/>
      <c r="O781" s="2"/>
      <c r="P781" s="2"/>
      <c r="Q781" s="2"/>
      <c r="R781" s="2" t="s">
        <v>21014</v>
      </c>
      <c r="S781" s="2" t="s">
        <v>44</v>
      </c>
      <c r="T781" s="2"/>
      <c r="U781" s="2" t="s">
        <v>3527</v>
      </c>
      <c r="V781" s="2" t="s">
        <v>46</v>
      </c>
      <c r="W781" s="2" t="s">
        <v>3527</v>
      </c>
      <c r="X781" s="2" t="s">
        <v>11005</v>
      </c>
      <c r="Y781" s="2" t="s">
        <v>10801</v>
      </c>
      <c r="Z781" s="2" t="s">
        <v>7864</v>
      </c>
      <c r="AA781" s="2">
        <v>100</v>
      </c>
      <c r="AB781" s="2">
        <v>5</v>
      </c>
      <c r="AC781" s="2" t="s">
        <v>10789</v>
      </c>
      <c r="AD781" s="2" t="s">
        <v>23611</v>
      </c>
      <c r="AE781" s="2" t="s">
        <v>18260</v>
      </c>
      <c r="AF781" s="2"/>
      <c r="AG781" s="2" t="s">
        <v>18250</v>
      </c>
    </row>
    <row r="782" spans="1:33" x14ac:dyDescent="0.45">
      <c r="A782" s="2" t="s">
        <v>23612</v>
      </c>
      <c r="B782" s="2" t="s">
        <v>23613</v>
      </c>
      <c r="C782" s="2" t="s">
        <v>23614</v>
      </c>
      <c r="D782" s="2" t="s">
        <v>23615</v>
      </c>
      <c r="E782" s="2" t="s">
        <v>23616</v>
      </c>
      <c r="F782" s="2" t="s">
        <v>23617</v>
      </c>
      <c r="G782" s="2" t="s">
        <v>23617</v>
      </c>
      <c r="H782" s="2" t="s">
        <v>1023</v>
      </c>
      <c r="I782" s="2" t="s">
        <v>73</v>
      </c>
      <c r="J782" s="2" t="s">
        <v>12873</v>
      </c>
      <c r="K782" s="2" t="s">
        <v>23615</v>
      </c>
      <c r="L782" s="2"/>
      <c r="M782" s="2"/>
      <c r="N782" s="2"/>
      <c r="O782" s="2" t="s">
        <v>1023</v>
      </c>
      <c r="P782" s="2" t="s">
        <v>73</v>
      </c>
      <c r="Q782" s="2" t="s">
        <v>12873</v>
      </c>
      <c r="R782" s="2" t="s">
        <v>7648</v>
      </c>
      <c r="S782" s="2" t="s">
        <v>44</v>
      </c>
      <c r="T782" s="2"/>
      <c r="U782" s="2" t="s">
        <v>821</v>
      </c>
      <c r="V782" s="2" t="s">
        <v>46</v>
      </c>
      <c r="W782" s="2" t="s">
        <v>821</v>
      </c>
      <c r="X782" s="2" t="s">
        <v>10787</v>
      </c>
      <c r="Y782" s="2" t="s">
        <v>10801</v>
      </c>
      <c r="Z782" s="2" t="s">
        <v>7864</v>
      </c>
      <c r="AA782" s="2">
        <v>100</v>
      </c>
      <c r="AB782" s="2">
        <v>17</v>
      </c>
      <c r="AC782" s="2" t="s">
        <v>10789</v>
      </c>
      <c r="AD782" s="2" t="s">
        <v>23618</v>
      </c>
      <c r="AE782" s="2" t="s">
        <v>18260</v>
      </c>
      <c r="AF782" s="2"/>
      <c r="AG782" s="2" t="s">
        <v>18250</v>
      </c>
    </row>
    <row r="783" spans="1:33" x14ac:dyDescent="0.45">
      <c r="A783" s="2" t="s">
        <v>23619</v>
      </c>
      <c r="B783" s="2" t="s">
        <v>23620</v>
      </c>
      <c r="C783" s="2" t="s">
        <v>23619</v>
      </c>
      <c r="D783" s="2" t="s">
        <v>23621</v>
      </c>
      <c r="E783" s="2" t="s">
        <v>23622</v>
      </c>
      <c r="F783" s="2" t="s">
        <v>23623</v>
      </c>
      <c r="G783" s="2" t="s">
        <v>23623</v>
      </c>
      <c r="H783" s="2" t="s">
        <v>1188</v>
      </c>
      <c r="I783" s="2" t="s">
        <v>221</v>
      </c>
      <c r="J783" s="2" t="s">
        <v>1189</v>
      </c>
      <c r="K783" s="2" t="s">
        <v>23621</v>
      </c>
      <c r="L783" s="2"/>
      <c r="M783" s="2"/>
      <c r="N783" s="2"/>
      <c r="O783" s="2" t="s">
        <v>1188</v>
      </c>
      <c r="P783" s="2" t="s">
        <v>221</v>
      </c>
      <c r="Q783" s="2" t="s">
        <v>1189</v>
      </c>
      <c r="R783" s="2" t="s">
        <v>7438</v>
      </c>
      <c r="S783" s="2" t="s">
        <v>44</v>
      </c>
      <c r="T783" s="2"/>
      <c r="U783" s="2" t="s">
        <v>3527</v>
      </c>
      <c r="V783" s="2" t="s">
        <v>46</v>
      </c>
      <c r="W783" s="2" t="s">
        <v>3527</v>
      </c>
      <c r="X783" s="2" t="s">
        <v>10787</v>
      </c>
      <c r="Y783" s="2" t="s">
        <v>10801</v>
      </c>
      <c r="Z783" s="2" t="s">
        <v>7864</v>
      </c>
      <c r="AA783" s="2">
        <v>100</v>
      </c>
      <c r="AB783" s="2">
        <v>10</v>
      </c>
      <c r="AC783" s="2" t="s">
        <v>10789</v>
      </c>
      <c r="AD783" s="2" t="s">
        <v>23624</v>
      </c>
      <c r="AE783" s="2" t="s">
        <v>18260</v>
      </c>
      <c r="AF783" s="2"/>
      <c r="AG783" s="2" t="s">
        <v>18250</v>
      </c>
    </row>
    <row r="784" spans="1:33" x14ac:dyDescent="0.45">
      <c r="A784" s="2" t="s">
        <v>23625</v>
      </c>
      <c r="B784" s="2" t="s">
        <v>23626</v>
      </c>
      <c r="C784" s="2" t="s">
        <v>23625</v>
      </c>
      <c r="D784" s="2" t="s">
        <v>23627</v>
      </c>
      <c r="E784" s="2" t="s">
        <v>23628</v>
      </c>
      <c r="F784" s="2" t="s">
        <v>23629</v>
      </c>
      <c r="G784" s="2" t="s">
        <v>23629</v>
      </c>
      <c r="H784" s="2" t="s">
        <v>1188</v>
      </c>
      <c r="I784" s="2" t="s">
        <v>221</v>
      </c>
      <c r="J784" s="2" t="s">
        <v>11130</v>
      </c>
      <c r="K784" s="2" t="s">
        <v>23627</v>
      </c>
      <c r="L784" s="2"/>
      <c r="M784" s="2"/>
      <c r="N784" s="2"/>
      <c r="O784" s="2" t="s">
        <v>1188</v>
      </c>
      <c r="P784" s="2" t="s">
        <v>221</v>
      </c>
      <c r="Q784" s="2" t="s">
        <v>11130</v>
      </c>
      <c r="R784" s="2" t="s">
        <v>876</v>
      </c>
      <c r="S784" s="2" t="s">
        <v>44</v>
      </c>
      <c r="T784" s="2"/>
      <c r="U784" s="2" t="s">
        <v>3527</v>
      </c>
      <c r="V784" s="2" t="s">
        <v>46</v>
      </c>
      <c r="W784" s="2" t="s">
        <v>3527</v>
      </c>
      <c r="X784" s="2" t="s">
        <v>10787</v>
      </c>
      <c r="Y784" s="2" t="s">
        <v>10801</v>
      </c>
      <c r="Z784" s="2" t="s">
        <v>7864</v>
      </c>
      <c r="AA784" s="2">
        <v>100</v>
      </c>
      <c r="AB784" s="2">
        <v>10</v>
      </c>
      <c r="AC784" s="2" t="s">
        <v>10789</v>
      </c>
      <c r="AD784" s="2" t="s">
        <v>23630</v>
      </c>
      <c r="AE784" s="2" t="s">
        <v>18260</v>
      </c>
      <c r="AF784" s="2"/>
      <c r="AG784" s="2" t="s">
        <v>18250</v>
      </c>
    </row>
    <row r="785" spans="1:33" x14ac:dyDescent="0.45">
      <c r="A785" s="2" t="s">
        <v>23631</v>
      </c>
      <c r="B785" s="2" t="s">
        <v>23632</v>
      </c>
      <c r="C785" s="2" t="s">
        <v>23633</v>
      </c>
      <c r="D785" s="2" t="s">
        <v>23634</v>
      </c>
      <c r="E785" s="2" t="s">
        <v>23635</v>
      </c>
      <c r="F785" s="2" t="s">
        <v>23636</v>
      </c>
      <c r="G785" s="2"/>
      <c r="H785" s="2" t="s">
        <v>651</v>
      </c>
      <c r="I785" s="2" t="s">
        <v>86</v>
      </c>
      <c r="J785" s="2" t="s">
        <v>7873</v>
      </c>
      <c r="K785" s="2" t="s">
        <v>23634</v>
      </c>
      <c r="L785" s="2"/>
      <c r="M785" s="2"/>
      <c r="N785" s="2"/>
      <c r="O785" s="2" t="s">
        <v>651</v>
      </c>
      <c r="P785" s="2" t="s">
        <v>86</v>
      </c>
      <c r="Q785" s="2" t="s">
        <v>7873</v>
      </c>
      <c r="R785" s="2" t="s">
        <v>10017</v>
      </c>
      <c r="S785" s="2" t="s">
        <v>44</v>
      </c>
      <c r="T785" s="2"/>
      <c r="U785" s="2" t="s">
        <v>3527</v>
      </c>
      <c r="V785" s="2" t="s">
        <v>46</v>
      </c>
      <c r="W785" s="2" t="s">
        <v>3527</v>
      </c>
      <c r="X785" s="2" t="s">
        <v>10787</v>
      </c>
      <c r="Y785" s="2" t="s">
        <v>10801</v>
      </c>
      <c r="Z785" s="2" t="s">
        <v>7864</v>
      </c>
      <c r="AA785" s="2">
        <v>100</v>
      </c>
      <c r="AB785" s="2">
        <v>10</v>
      </c>
      <c r="AC785" s="2" t="s">
        <v>10789</v>
      </c>
      <c r="AD785" s="2" t="s">
        <v>23637</v>
      </c>
      <c r="AE785" s="2" t="s">
        <v>18260</v>
      </c>
      <c r="AF785" s="2"/>
      <c r="AG785" s="2" t="s">
        <v>18250</v>
      </c>
    </row>
    <row r="786" spans="1:33" x14ac:dyDescent="0.45">
      <c r="A786" s="2" t="s">
        <v>23638</v>
      </c>
      <c r="B786" s="2" t="s">
        <v>23639</v>
      </c>
      <c r="C786" s="2" t="s">
        <v>23640</v>
      </c>
      <c r="D786" s="2" t="s">
        <v>23641</v>
      </c>
      <c r="E786" s="2" t="s">
        <v>23642</v>
      </c>
      <c r="F786" s="2" t="s">
        <v>23643</v>
      </c>
      <c r="G786" s="2"/>
      <c r="H786" s="2" t="s">
        <v>384</v>
      </c>
      <c r="I786" s="2" t="s">
        <v>73</v>
      </c>
      <c r="J786" s="2" t="s">
        <v>15624</v>
      </c>
      <c r="K786" s="2"/>
      <c r="L786" s="2"/>
      <c r="M786" s="2"/>
      <c r="N786" s="2"/>
      <c r="O786" s="2"/>
      <c r="P786" s="2"/>
      <c r="Q786" s="2"/>
      <c r="R786" s="2" t="s">
        <v>23644</v>
      </c>
      <c r="S786" s="2" t="s">
        <v>44</v>
      </c>
      <c r="T786" s="2"/>
      <c r="U786" s="2" t="s">
        <v>3527</v>
      </c>
      <c r="V786" s="2" t="s">
        <v>46</v>
      </c>
      <c r="W786" s="2" t="s">
        <v>3527</v>
      </c>
      <c r="X786" s="2" t="s">
        <v>10787</v>
      </c>
      <c r="Y786" s="2" t="s">
        <v>10801</v>
      </c>
      <c r="Z786" s="2" t="s">
        <v>7864</v>
      </c>
      <c r="AA786" s="2">
        <v>100</v>
      </c>
      <c r="AB786" s="2">
        <v>10</v>
      </c>
      <c r="AC786" s="2" t="s">
        <v>10789</v>
      </c>
      <c r="AD786" s="2" t="s">
        <v>23645</v>
      </c>
      <c r="AE786" s="2" t="s">
        <v>18260</v>
      </c>
      <c r="AF786" s="2"/>
      <c r="AG786" s="2" t="s">
        <v>18250</v>
      </c>
    </row>
    <row r="787" spans="1:33" x14ac:dyDescent="0.45">
      <c r="A787" s="2" t="s">
        <v>23646</v>
      </c>
      <c r="B787" s="2" t="s">
        <v>23647</v>
      </c>
      <c r="C787" s="2" t="s">
        <v>23648</v>
      </c>
      <c r="D787" s="2" t="s">
        <v>23649</v>
      </c>
      <c r="E787" s="2" t="s">
        <v>23650</v>
      </c>
      <c r="F787" s="2" t="s">
        <v>23651</v>
      </c>
      <c r="G787" s="2"/>
      <c r="H787" s="2" t="s">
        <v>1161</v>
      </c>
      <c r="I787" s="2" t="s">
        <v>221</v>
      </c>
      <c r="J787" s="2" t="s">
        <v>18439</v>
      </c>
      <c r="K787" s="2" t="s">
        <v>23649</v>
      </c>
      <c r="L787" s="2"/>
      <c r="M787" s="2"/>
      <c r="N787" s="2"/>
      <c r="O787" s="2" t="s">
        <v>1161</v>
      </c>
      <c r="P787" s="2" t="s">
        <v>221</v>
      </c>
      <c r="Q787" s="2" t="s">
        <v>18439</v>
      </c>
      <c r="R787" s="2" t="s">
        <v>7404</v>
      </c>
      <c r="S787" s="2" t="s">
        <v>44</v>
      </c>
      <c r="T787" s="2"/>
      <c r="U787" s="2" t="s">
        <v>3527</v>
      </c>
      <c r="V787" s="2" t="s">
        <v>46</v>
      </c>
      <c r="W787" s="2" t="s">
        <v>3527</v>
      </c>
      <c r="X787" s="2" t="s">
        <v>10787</v>
      </c>
      <c r="Y787" s="2" t="s">
        <v>10801</v>
      </c>
      <c r="Z787" s="2" t="s">
        <v>7864</v>
      </c>
      <c r="AA787" s="2">
        <v>100</v>
      </c>
      <c r="AB787" s="2">
        <v>5</v>
      </c>
      <c r="AC787" s="2" t="s">
        <v>10789</v>
      </c>
      <c r="AD787" s="2" t="s">
        <v>23652</v>
      </c>
      <c r="AE787" s="2" t="s">
        <v>18260</v>
      </c>
      <c r="AF787" s="2"/>
      <c r="AG787" s="2" t="s">
        <v>18250</v>
      </c>
    </row>
    <row r="788" spans="1:33" x14ac:dyDescent="0.45">
      <c r="A788" s="2" t="s">
        <v>23653</v>
      </c>
      <c r="B788" s="2" t="s">
        <v>23654</v>
      </c>
      <c r="C788" s="2" t="s">
        <v>23653</v>
      </c>
      <c r="D788" s="2" t="s">
        <v>23655</v>
      </c>
      <c r="E788" s="2" t="s">
        <v>23656</v>
      </c>
      <c r="F788" s="2"/>
      <c r="G788" s="2"/>
      <c r="H788" s="2" t="s">
        <v>384</v>
      </c>
      <c r="I788" s="2" t="s">
        <v>73</v>
      </c>
      <c r="J788" s="2" t="s">
        <v>385</v>
      </c>
      <c r="K788" s="2"/>
      <c r="L788" s="2"/>
      <c r="M788" s="2"/>
      <c r="N788" s="2"/>
      <c r="O788" s="2"/>
      <c r="P788" s="2"/>
      <c r="Q788" s="2"/>
      <c r="R788" s="2" t="s">
        <v>23657</v>
      </c>
      <c r="S788" s="2" t="s">
        <v>44</v>
      </c>
      <c r="T788" s="2"/>
      <c r="U788" s="2" t="s">
        <v>3527</v>
      </c>
      <c r="V788" s="2" t="s">
        <v>46</v>
      </c>
      <c r="W788" s="2" t="s">
        <v>3527</v>
      </c>
      <c r="X788" s="2" t="s">
        <v>10787</v>
      </c>
      <c r="Y788" s="2" t="s">
        <v>10801</v>
      </c>
      <c r="Z788" s="2" t="s">
        <v>7864</v>
      </c>
      <c r="AA788" s="2">
        <v>90</v>
      </c>
      <c r="AB788" s="2">
        <v>0</v>
      </c>
      <c r="AC788" s="2" t="s">
        <v>10789</v>
      </c>
      <c r="AD788" s="2" t="s">
        <v>23658</v>
      </c>
      <c r="AE788" s="2" t="s">
        <v>18260</v>
      </c>
      <c r="AF788" s="2"/>
      <c r="AG788" s="2" t="s">
        <v>18250</v>
      </c>
    </row>
    <row r="789" spans="1:33" x14ac:dyDescent="0.45">
      <c r="A789" s="2" t="s">
        <v>23659</v>
      </c>
      <c r="B789" s="2" t="s">
        <v>23660</v>
      </c>
      <c r="C789" s="2" t="s">
        <v>23659</v>
      </c>
      <c r="D789" s="2" t="s">
        <v>23661</v>
      </c>
      <c r="E789" s="2" t="s">
        <v>23662</v>
      </c>
      <c r="F789" s="2" t="s">
        <v>23663</v>
      </c>
      <c r="G789" s="2"/>
      <c r="H789" s="2" t="s">
        <v>324</v>
      </c>
      <c r="I789" s="2" t="s">
        <v>73</v>
      </c>
      <c r="J789" s="2" t="s">
        <v>3807</v>
      </c>
      <c r="K789" s="2" t="s">
        <v>23661</v>
      </c>
      <c r="L789" s="2"/>
      <c r="M789" s="2"/>
      <c r="N789" s="2"/>
      <c r="O789" s="2" t="s">
        <v>324</v>
      </c>
      <c r="P789" s="2" t="s">
        <v>73</v>
      </c>
      <c r="Q789" s="2" t="s">
        <v>3807</v>
      </c>
      <c r="R789" s="2" t="s">
        <v>5913</v>
      </c>
      <c r="S789" s="2" t="s">
        <v>44</v>
      </c>
      <c r="T789" s="2"/>
      <c r="U789" s="2" t="s">
        <v>3527</v>
      </c>
      <c r="V789" s="2" t="s">
        <v>46</v>
      </c>
      <c r="W789" s="2" t="s">
        <v>3527</v>
      </c>
      <c r="X789" s="2" t="s">
        <v>10787</v>
      </c>
      <c r="Y789" s="2" t="s">
        <v>10801</v>
      </c>
      <c r="Z789" s="2" t="s">
        <v>7864</v>
      </c>
      <c r="AA789" s="2">
        <v>100</v>
      </c>
      <c r="AB789" s="2">
        <v>10</v>
      </c>
      <c r="AC789" s="2" t="s">
        <v>10789</v>
      </c>
      <c r="AD789" s="2" t="s">
        <v>23664</v>
      </c>
      <c r="AE789" s="2" t="s">
        <v>18260</v>
      </c>
      <c r="AF789" s="2"/>
      <c r="AG789" s="2" t="s">
        <v>18250</v>
      </c>
    </row>
    <row r="790" spans="1:33" x14ac:dyDescent="0.45">
      <c r="A790" s="2" t="s">
        <v>23665</v>
      </c>
      <c r="B790" s="2" t="s">
        <v>23666</v>
      </c>
      <c r="C790" s="2" t="s">
        <v>23665</v>
      </c>
      <c r="D790" s="2" t="s">
        <v>23667</v>
      </c>
      <c r="E790" s="2" t="s">
        <v>23668</v>
      </c>
      <c r="F790" s="2"/>
      <c r="G790" s="2"/>
      <c r="H790" s="2" t="s">
        <v>72</v>
      </c>
      <c r="I790" s="2" t="s">
        <v>73</v>
      </c>
      <c r="J790" s="2" t="s">
        <v>23669</v>
      </c>
      <c r="K790" s="2" t="s">
        <v>23670</v>
      </c>
      <c r="L790" s="2"/>
      <c r="M790" s="2"/>
      <c r="N790" s="2"/>
      <c r="O790" s="2" t="s">
        <v>72</v>
      </c>
      <c r="P790" s="2" t="s">
        <v>73</v>
      </c>
      <c r="Q790" s="2" t="s">
        <v>1599</v>
      </c>
      <c r="R790" s="2" t="s">
        <v>924</v>
      </c>
      <c r="S790" s="2" t="s">
        <v>44</v>
      </c>
      <c r="T790" s="2"/>
      <c r="U790" s="2" t="s">
        <v>3527</v>
      </c>
      <c r="V790" s="2" t="s">
        <v>46</v>
      </c>
      <c r="W790" s="2" t="s">
        <v>3527</v>
      </c>
      <c r="X790" s="2" t="s">
        <v>10787</v>
      </c>
      <c r="Y790" s="2" t="s">
        <v>10801</v>
      </c>
      <c r="Z790" s="2" t="s">
        <v>7864</v>
      </c>
      <c r="AA790" s="2">
        <v>90</v>
      </c>
      <c r="AB790" s="2">
        <v>0</v>
      </c>
      <c r="AC790" s="2" t="s">
        <v>10789</v>
      </c>
      <c r="AD790" s="2" t="s">
        <v>23671</v>
      </c>
      <c r="AE790" s="2" t="s">
        <v>18260</v>
      </c>
      <c r="AF790" s="2"/>
      <c r="AG790" s="2" t="s">
        <v>18250</v>
      </c>
    </row>
    <row r="791" spans="1:33" x14ac:dyDescent="0.45">
      <c r="A791" s="2" t="s">
        <v>23672</v>
      </c>
      <c r="B791" s="2" t="s">
        <v>23673</v>
      </c>
      <c r="C791" s="2" t="s">
        <v>23674</v>
      </c>
      <c r="D791" s="2" t="s">
        <v>23675</v>
      </c>
      <c r="E791" s="2" t="s">
        <v>23676</v>
      </c>
      <c r="F791" s="2"/>
      <c r="G791" s="2"/>
      <c r="H791" s="2" t="s">
        <v>9577</v>
      </c>
      <c r="I791" s="2" t="s">
        <v>278</v>
      </c>
      <c r="J791" s="2" t="s">
        <v>23677</v>
      </c>
      <c r="K791" s="2" t="s">
        <v>23675</v>
      </c>
      <c r="L791" s="2"/>
      <c r="M791" s="2"/>
      <c r="N791" s="2"/>
      <c r="O791" s="2" t="s">
        <v>9577</v>
      </c>
      <c r="P791" s="2" t="s">
        <v>278</v>
      </c>
      <c r="Q791" s="2" t="s">
        <v>23677</v>
      </c>
      <c r="R791" s="2" t="s">
        <v>9053</v>
      </c>
      <c r="S791" s="2" t="s">
        <v>44</v>
      </c>
      <c r="T791" s="2"/>
      <c r="U791" s="2" t="s">
        <v>3527</v>
      </c>
      <c r="V791" s="2" t="s">
        <v>46</v>
      </c>
      <c r="W791" s="2" t="s">
        <v>3527</v>
      </c>
      <c r="X791" s="2" t="s">
        <v>10787</v>
      </c>
      <c r="Y791" s="2" t="s">
        <v>10801</v>
      </c>
      <c r="Z791" s="2" t="s">
        <v>7864</v>
      </c>
      <c r="AA791" s="2">
        <v>90</v>
      </c>
      <c r="AB791" s="2">
        <v>0</v>
      </c>
      <c r="AC791" s="2" t="s">
        <v>10789</v>
      </c>
      <c r="AD791" s="2" t="s">
        <v>23678</v>
      </c>
      <c r="AE791" s="2" t="s">
        <v>18260</v>
      </c>
      <c r="AF791" s="2"/>
      <c r="AG791" s="2" t="s">
        <v>18250</v>
      </c>
    </row>
    <row r="792" spans="1:33" x14ac:dyDescent="0.45">
      <c r="A792" s="2" t="s">
        <v>23679</v>
      </c>
      <c r="B792" s="2" t="s">
        <v>23680</v>
      </c>
      <c r="C792" s="2" t="s">
        <v>23679</v>
      </c>
      <c r="D792" s="2" t="s">
        <v>23681</v>
      </c>
      <c r="E792" s="2" t="s">
        <v>23682</v>
      </c>
      <c r="F792" s="2"/>
      <c r="G792" s="2"/>
      <c r="H792" s="2" t="s">
        <v>8431</v>
      </c>
      <c r="I792" s="2" t="s">
        <v>175</v>
      </c>
      <c r="J792" s="2" t="s">
        <v>23683</v>
      </c>
      <c r="K792" s="2" t="s">
        <v>23681</v>
      </c>
      <c r="L792" s="2"/>
      <c r="M792" s="2"/>
      <c r="N792" s="2"/>
      <c r="O792" s="2" t="s">
        <v>8431</v>
      </c>
      <c r="P792" s="2" t="s">
        <v>175</v>
      </c>
      <c r="Q792" s="2" t="s">
        <v>23683</v>
      </c>
      <c r="R792" s="2" t="s">
        <v>580</v>
      </c>
      <c r="S792" s="2" t="s">
        <v>44</v>
      </c>
      <c r="T792" s="2"/>
      <c r="U792" s="2" t="s">
        <v>3527</v>
      </c>
      <c r="V792" s="2" t="s">
        <v>46</v>
      </c>
      <c r="W792" s="2" t="s">
        <v>3527</v>
      </c>
      <c r="X792" s="2" t="s">
        <v>10787</v>
      </c>
      <c r="Y792" s="2" t="s">
        <v>10801</v>
      </c>
      <c r="Z792" s="2" t="s">
        <v>7864</v>
      </c>
      <c r="AA792" s="2">
        <v>90</v>
      </c>
      <c r="AB792" s="2">
        <v>0</v>
      </c>
      <c r="AC792" s="2" t="s">
        <v>10789</v>
      </c>
      <c r="AD792" s="2" t="s">
        <v>23684</v>
      </c>
      <c r="AE792" s="2" t="s">
        <v>18260</v>
      </c>
      <c r="AF792" s="2"/>
      <c r="AG792" s="2" t="s">
        <v>18250</v>
      </c>
    </row>
    <row r="793" spans="1:33" x14ac:dyDescent="0.45">
      <c r="A793" s="2" t="s">
        <v>23685</v>
      </c>
      <c r="B793" s="2" t="s">
        <v>23686</v>
      </c>
      <c r="C793" s="2" t="s">
        <v>23687</v>
      </c>
      <c r="D793" s="2" t="s">
        <v>23688</v>
      </c>
      <c r="E793" s="2" t="s">
        <v>23689</v>
      </c>
      <c r="F793" s="2" t="s">
        <v>23690</v>
      </c>
      <c r="G793" s="2" t="s">
        <v>23690</v>
      </c>
      <c r="H793" s="2" t="s">
        <v>5984</v>
      </c>
      <c r="I793" s="2" t="s">
        <v>313</v>
      </c>
      <c r="J793" s="2" t="s">
        <v>9782</v>
      </c>
      <c r="K793" s="2" t="s">
        <v>23688</v>
      </c>
      <c r="L793" s="2"/>
      <c r="M793" s="2"/>
      <c r="N793" s="2"/>
      <c r="O793" s="2" t="s">
        <v>5984</v>
      </c>
      <c r="P793" s="2" t="s">
        <v>313</v>
      </c>
      <c r="Q793" s="2" t="s">
        <v>9782</v>
      </c>
      <c r="R793" s="2" t="s">
        <v>4753</v>
      </c>
      <c r="S793" s="2" t="s">
        <v>44</v>
      </c>
      <c r="T793" s="2"/>
      <c r="U793" s="2" t="s">
        <v>3527</v>
      </c>
      <c r="V793" s="2" t="s">
        <v>46</v>
      </c>
      <c r="W793" s="2" t="s">
        <v>3527</v>
      </c>
      <c r="X793" s="2" t="s">
        <v>10787</v>
      </c>
      <c r="Y793" s="2" t="s">
        <v>10801</v>
      </c>
      <c r="Z793" s="2" t="s">
        <v>7864</v>
      </c>
      <c r="AA793" s="2">
        <v>100</v>
      </c>
      <c r="AB793" s="2">
        <v>5</v>
      </c>
      <c r="AC793" s="2" t="s">
        <v>10789</v>
      </c>
      <c r="AD793" s="2" t="s">
        <v>23691</v>
      </c>
      <c r="AE793" s="2" t="s">
        <v>18260</v>
      </c>
      <c r="AF793" s="2"/>
      <c r="AG793" s="2" t="s">
        <v>18250</v>
      </c>
    </row>
    <row r="794" spans="1:33" x14ac:dyDescent="0.45">
      <c r="A794" s="2" t="s">
        <v>23692</v>
      </c>
      <c r="B794" s="2" t="s">
        <v>23693</v>
      </c>
      <c r="C794" s="2" t="s">
        <v>23694</v>
      </c>
      <c r="D794" s="2" t="s">
        <v>23695</v>
      </c>
      <c r="E794" s="2" t="s">
        <v>23696</v>
      </c>
      <c r="F794" s="2" t="s">
        <v>23697</v>
      </c>
      <c r="G794" s="2" t="s">
        <v>23697</v>
      </c>
      <c r="H794" s="2" t="s">
        <v>277</v>
      </c>
      <c r="I794" s="2" t="s">
        <v>278</v>
      </c>
      <c r="J794" s="2" t="s">
        <v>279</v>
      </c>
      <c r="K794" s="2" t="s">
        <v>23695</v>
      </c>
      <c r="L794" s="2"/>
      <c r="M794" s="2"/>
      <c r="N794" s="2"/>
      <c r="O794" s="2" t="s">
        <v>277</v>
      </c>
      <c r="P794" s="2" t="s">
        <v>278</v>
      </c>
      <c r="Q794" s="2" t="s">
        <v>279</v>
      </c>
      <c r="R794" s="2" t="s">
        <v>8580</v>
      </c>
      <c r="S794" s="2" t="s">
        <v>44</v>
      </c>
      <c r="T794" s="2"/>
      <c r="U794" s="2" t="s">
        <v>3527</v>
      </c>
      <c r="V794" s="2" t="s">
        <v>46</v>
      </c>
      <c r="W794" s="2" t="s">
        <v>3527</v>
      </c>
      <c r="X794" s="2" t="s">
        <v>10787</v>
      </c>
      <c r="Y794" s="2" t="s">
        <v>10801</v>
      </c>
      <c r="Z794" s="2" t="s">
        <v>7864</v>
      </c>
      <c r="AA794" s="2">
        <v>100</v>
      </c>
      <c r="AB794" s="2">
        <v>10</v>
      </c>
      <c r="AC794" s="2" t="s">
        <v>10789</v>
      </c>
      <c r="AD794" s="2" t="s">
        <v>23698</v>
      </c>
      <c r="AE794" s="2" t="s">
        <v>18260</v>
      </c>
      <c r="AF794" s="2"/>
      <c r="AG794" s="2" t="s">
        <v>18250</v>
      </c>
    </row>
    <row r="795" spans="1:33" x14ac:dyDescent="0.45">
      <c r="A795" s="2" t="s">
        <v>23694</v>
      </c>
      <c r="B795" s="2" t="s">
        <v>23699</v>
      </c>
      <c r="C795" s="2" t="s">
        <v>23694</v>
      </c>
      <c r="D795" s="2" t="s">
        <v>23700</v>
      </c>
      <c r="E795" s="2" t="s">
        <v>23701</v>
      </c>
      <c r="F795" s="2" t="s">
        <v>23702</v>
      </c>
      <c r="G795" s="2" t="s">
        <v>23702</v>
      </c>
      <c r="H795" s="2" t="s">
        <v>18516</v>
      </c>
      <c r="I795" s="2" t="s">
        <v>175</v>
      </c>
      <c r="J795" s="2" t="s">
        <v>21139</v>
      </c>
      <c r="K795" s="2" t="s">
        <v>23700</v>
      </c>
      <c r="L795" s="2"/>
      <c r="M795" s="2"/>
      <c r="N795" s="2"/>
      <c r="O795" s="2" t="s">
        <v>18516</v>
      </c>
      <c r="P795" s="2" t="s">
        <v>175</v>
      </c>
      <c r="Q795" s="2" t="s">
        <v>21139</v>
      </c>
      <c r="R795" s="2" t="s">
        <v>14826</v>
      </c>
      <c r="S795" s="2" t="s">
        <v>44</v>
      </c>
      <c r="T795" s="2"/>
      <c r="U795" s="2" t="s">
        <v>3527</v>
      </c>
      <c r="V795" s="2" t="s">
        <v>46</v>
      </c>
      <c r="W795" s="2" t="s">
        <v>3527</v>
      </c>
      <c r="X795" s="2" t="s">
        <v>10787</v>
      </c>
      <c r="Y795" s="2" t="s">
        <v>10801</v>
      </c>
      <c r="Z795" s="2" t="s">
        <v>7864</v>
      </c>
      <c r="AA795" s="2">
        <v>100</v>
      </c>
      <c r="AB795" s="2">
        <v>5</v>
      </c>
      <c r="AC795" s="2" t="s">
        <v>10789</v>
      </c>
      <c r="AD795" s="2" t="s">
        <v>23703</v>
      </c>
      <c r="AE795" s="2" t="s">
        <v>18260</v>
      </c>
      <c r="AF795" s="2"/>
      <c r="AG795" s="2" t="s">
        <v>18250</v>
      </c>
    </row>
    <row r="796" spans="1:33" x14ac:dyDescent="0.45">
      <c r="A796" s="2" t="s">
        <v>23704</v>
      </c>
      <c r="B796" s="2" t="s">
        <v>23705</v>
      </c>
      <c r="C796" s="2" t="s">
        <v>23706</v>
      </c>
      <c r="D796" s="2" t="s">
        <v>23707</v>
      </c>
      <c r="E796" s="2" t="s">
        <v>23708</v>
      </c>
      <c r="F796" s="2"/>
      <c r="G796" s="2"/>
      <c r="H796" s="2" t="s">
        <v>1235</v>
      </c>
      <c r="I796" s="2" t="s">
        <v>40</v>
      </c>
      <c r="J796" s="2" t="s">
        <v>23709</v>
      </c>
      <c r="K796" s="2" t="s">
        <v>23707</v>
      </c>
      <c r="L796" s="2"/>
      <c r="M796" s="2"/>
      <c r="N796" s="2"/>
      <c r="O796" s="2" t="s">
        <v>1235</v>
      </c>
      <c r="P796" s="2" t="s">
        <v>40</v>
      </c>
      <c r="Q796" s="2" t="s">
        <v>23709</v>
      </c>
      <c r="R796" s="2" t="s">
        <v>23710</v>
      </c>
      <c r="S796" s="2" t="s">
        <v>44</v>
      </c>
      <c r="T796" s="2"/>
      <c r="U796" s="2" t="s">
        <v>3527</v>
      </c>
      <c r="V796" s="2" t="s">
        <v>46</v>
      </c>
      <c r="W796" s="2" t="s">
        <v>3527</v>
      </c>
      <c r="X796" s="2" t="s">
        <v>10787</v>
      </c>
      <c r="Y796" s="2" t="s">
        <v>10801</v>
      </c>
      <c r="Z796" s="2" t="s">
        <v>7864</v>
      </c>
      <c r="AA796" s="2">
        <v>90</v>
      </c>
      <c r="AB796" s="2">
        <v>0</v>
      </c>
      <c r="AC796" s="2" t="s">
        <v>10789</v>
      </c>
      <c r="AD796" s="2" t="s">
        <v>23711</v>
      </c>
      <c r="AE796" s="2" t="s">
        <v>18260</v>
      </c>
      <c r="AF796" s="2"/>
      <c r="AG796" s="2" t="s">
        <v>18250</v>
      </c>
    </row>
    <row r="797" spans="1:33" x14ac:dyDescent="0.45">
      <c r="A797" s="2" t="s">
        <v>7787</v>
      </c>
      <c r="B797" s="2" t="s">
        <v>23712</v>
      </c>
      <c r="C797" s="2" t="s">
        <v>7787</v>
      </c>
      <c r="D797" s="2" t="s">
        <v>23713</v>
      </c>
      <c r="E797" s="2" t="s">
        <v>23714</v>
      </c>
      <c r="F797" s="2" t="s">
        <v>23715</v>
      </c>
      <c r="G797" s="2"/>
      <c r="H797" s="2" t="s">
        <v>85</v>
      </c>
      <c r="I797" s="2" t="s">
        <v>86</v>
      </c>
      <c r="J797" s="2" t="s">
        <v>1356</v>
      </c>
      <c r="K797" s="2" t="s">
        <v>23713</v>
      </c>
      <c r="L797" s="2"/>
      <c r="M797" s="2"/>
      <c r="N797" s="2"/>
      <c r="O797" s="2" t="s">
        <v>85</v>
      </c>
      <c r="P797" s="2" t="s">
        <v>86</v>
      </c>
      <c r="Q797" s="2" t="s">
        <v>1356</v>
      </c>
      <c r="R797" s="2" t="s">
        <v>7358</v>
      </c>
      <c r="S797" s="2" t="s">
        <v>44</v>
      </c>
      <c r="T797" s="2"/>
      <c r="U797" s="2" t="s">
        <v>3527</v>
      </c>
      <c r="V797" s="2" t="s">
        <v>46</v>
      </c>
      <c r="W797" s="2" t="s">
        <v>3527</v>
      </c>
      <c r="X797" s="2" t="s">
        <v>10787</v>
      </c>
      <c r="Y797" s="2" t="s">
        <v>10801</v>
      </c>
      <c r="Z797" s="2" t="s">
        <v>7864</v>
      </c>
      <c r="AA797" s="2">
        <v>100</v>
      </c>
      <c r="AB797" s="2">
        <v>10</v>
      </c>
      <c r="AC797" s="2" t="s">
        <v>10789</v>
      </c>
      <c r="AD797" s="2" t="s">
        <v>23716</v>
      </c>
      <c r="AE797" s="2" t="s">
        <v>18260</v>
      </c>
      <c r="AF797" s="2"/>
      <c r="AG797" s="2" t="s">
        <v>18250</v>
      </c>
    </row>
    <row r="798" spans="1:33" x14ac:dyDescent="0.45">
      <c r="A798" s="2" t="s">
        <v>23717</v>
      </c>
      <c r="B798" s="2" t="s">
        <v>23718</v>
      </c>
      <c r="C798" s="2" t="s">
        <v>23719</v>
      </c>
      <c r="D798" s="2" t="s">
        <v>23720</v>
      </c>
      <c r="E798" s="2" t="s">
        <v>23721</v>
      </c>
      <c r="F798" s="2" t="s">
        <v>23722</v>
      </c>
      <c r="G798" s="2" t="s">
        <v>23722</v>
      </c>
      <c r="H798" s="2" t="s">
        <v>384</v>
      </c>
      <c r="I798" s="2" t="s">
        <v>73</v>
      </c>
      <c r="J798" s="2" t="s">
        <v>5642</v>
      </c>
      <c r="K798" s="2"/>
      <c r="L798" s="2"/>
      <c r="M798" s="2"/>
      <c r="N798" s="2"/>
      <c r="O798" s="2"/>
      <c r="P798" s="2"/>
      <c r="Q798" s="2"/>
      <c r="R798" s="2" t="s">
        <v>885</v>
      </c>
      <c r="S798" s="2" t="s">
        <v>44</v>
      </c>
      <c r="T798" s="2"/>
      <c r="U798" s="2" t="s">
        <v>821</v>
      </c>
      <c r="V798" s="2" t="s">
        <v>46</v>
      </c>
      <c r="W798" s="2" t="s">
        <v>821</v>
      </c>
      <c r="X798" s="2" t="s">
        <v>10787</v>
      </c>
      <c r="Y798" s="2" t="s">
        <v>10801</v>
      </c>
      <c r="Z798" s="2" t="s">
        <v>7864</v>
      </c>
      <c r="AA798" s="2">
        <v>100</v>
      </c>
      <c r="AB798" s="2">
        <v>17</v>
      </c>
      <c r="AC798" s="2" t="s">
        <v>10789</v>
      </c>
      <c r="AD798" s="2" t="s">
        <v>23723</v>
      </c>
      <c r="AE798" s="2" t="s">
        <v>18260</v>
      </c>
      <c r="AF798" s="2"/>
      <c r="AG798" s="2" t="s">
        <v>18250</v>
      </c>
    </row>
    <row r="799" spans="1:33" x14ac:dyDescent="0.45">
      <c r="A799" s="2" t="s">
        <v>23724</v>
      </c>
      <c r="B799" s="2" t="s">
        <v>23725</v>
      </c>
      <c r="C799" s="2" t="s">
        <v>23726</v>
      </c>
      <c r="D799" s="2" t="s">
        <v>23727</v>
      </c>
      <c r="E799" s="2" t="s">
        <v>23728</v>
      </c>
      <c r="F799" s="2"/>
      <c r="G799" s="2"/>
      <c r="H799" s="2" t="s">
        <v>59</v>
      </c>
      <c r="I799" s="2" t="s">
        <v>60</v>
      </c>
      <c r="J799" s="2" t="s">
        <v>4239</v>
      </c>
      <c r="K799" s="2" t="s">
        <v>23727</v>
      </c>
      <c r="L799" s="2"/>
      <c r="M799" s="2"/>
      <c r="N799" s="2"/>
      <c r="O799" s="2" t="s">
        <v>59</v>
      </c>
      <c r="P799" s="2" t="s">
        <v>60</v>
      </c>
      <c r="Q799" s="2" t="s">
        <v>4239</v>
      </c>
      <c r="R799" s="2" t="s">
        <v>973</v>
      </c>
      <c r="S799" s="2" t="s">
        <v>44</v>
      </c>
      <c r="T799" s="2"/>
      <c r="U799" s="2" t="s">
        <v>3527</v>
      </c>
      <c r="V799" s="2" t="s">
        <v>46</v>
      </c>
      <c r="W799" s="2" t="s">
        <v>3527</v>
      </c>
      <c r="X799" s="2" t="s">
        <v>10787</v>
      </c>
      <c r="Y799" s="2" t="s">
        <v>10801</v>
      </c>
      <c r="Z799" s="2" t="s">
        <v>7864</v>
      </c>
      <c r="AA799" s="2">
        <v>90</v>
      </c>
      <c r="AB799" s="2">
        <v>0</v>
      </c>
      <c r="AC799" s="2" t="s">
        <v>10789</v>
      </c>
      <c r="AD799" s="2" t="s">
        <v>23729</v>
      </c>
      <c r="AE799" s="2" t="s">
        <v>18260</v>
      </c>
      <c r="AF799" s="2"/>
      <c r="AG799" s="2" t="s">
        <v>18250</v>
      </c>
    </row>
    <row r="800" spans="1:33" x14ac:dyDescent="0.45">
      <c r="A800" s="2" t="s">
        <v>23730</v>
      </c>
      <c r="B800" s="2" t="s">
        <v>23731</v>
      </c>
      <c r="C800" s="2" t="s">
        <v>23730</v>
      </c>
      <c r="D800" s="2" t="s">
        <v>23732</v>
      </c>
      <c r="E800" s="2" t="s">
        <v>23733</v>
      </c>
      <c r="F800" s="2" t="s">
        <v>23734</v>
      </c>
      <c r="G800" s="2" t="s">
        <v>23734</v>
      </c>
      <c r="H800" s="2" t="s">
        <v>23735</v>
      </c>
      <c r="I800" s="2" t="s">
        <v>17166</v>
      </c>
      <c r="J800" s="2" t="s">
        <v>23736</v>
      </c>
      <c r="K800" s="2" t="s">
        <v>23732</v>
      </c>
      <c r="L800" s="2"/>
      <c r="M800" s="2"/>
      <c r="N800" s="2"/>
      <c r="O800" s="2" t="s">
        <v>23735</v>
      </c>
      <c r="P800" s="2" t="s">
        <v>17166</v>
      </c>
      <c r="Q800" s="2" t="s">
        <v>23736</v>
      </c>
      <c r="R800" s="2" t="s">
        <v>17091</v>
      </c>
      <c r="S800" s="2" t="s">
        <v>44</v>
      </c>
      <c r="T800" s="2"/>
      <c r="U800" s="2" t="s">
        <v>3527</v>
      </c>
      <c r="V800" s="2" t="s">
        <v>46</v>
      </c>
      <c r="W800" s="2" t="s">
        <v>3527</v>
      </c>
      <c r="X800" s="2" t="s">
        <v>10787</v>
      </c>
      <c r="Y800" s="2" t="s">
        <v>10801</v>
      </c>
      <c r="Z800" s="2" t="s">
        <v>7864</v>
      </c>
      <c r="AA800" s="2">
        <v>100</v>
      </c>
      <c r="AB800" s="2">
        <v>5</v>
      </c>
      <c r="AC800" s="2" t="s">
        <v>10789</v>
      </c>
      <c r="AD800" s="2" t="s">
        <v>23737</v>
      </c>
      <c r="AE800" s="2" t="s">
        <v>18260</v>
      </c>
      <c r="AF800" s="2"/>
      <c r="AG800" s="2" t="s">
        <v>18250</v>
      </c>
    </row>
    <row r="801" spans="1:33" x14ac:dyDescent="0.45">
      <c r="A801" s="2" t="s">
        <v>23738</v>
      </c>
      <c r="B801" s="2" t="s">
        <v>23739</v>
      </c>
      <c r="C801" s="2" t="s">
        <v>23740</v>
      </c>
      <c r="D801" s="2" t="s">
        <v>23741</v>
      </c>
      <c r="E801" s="2" t="s">
        <v>23742</v>
      </c>
      <c r="F801" s="2"/>
      <c r="G801" s="2"/>
      <c r="H801" s="2" t="s">
        <v>10776</v>
      </c>
      <c r="I801" s="2" t="s">
        <v>313</v>
      </c>
      <c r="J801" s="2" t="s">
        <v>23743</v>
      </c>
      <c r="K801" s="2" t="s">
        <v>23741</v>
      </c>
      <c r="L801" s="2"/>
      <c r="M801" s="2"/>
      <c r="N801" s="2"/>
      <c r="O801" s="2" t="s">
        <v>10776</v>
      </c>
      <c r="P801" s="2" t="s">
        <v>313</v>
      </c>
      <c r="Q801" s="2" t="s">
        <v>23743</v>
      </c>
      <c r="R801" s="2" t="s">
        <v>17745</v>
      </c>
      <c r="S801" s="2" t="s">
        <v>44</v>
      </c>
      <c r="T801" s="2"/>
      <c r="U801" s="2" t="s">
        <v>3527</v>
      </c>
      <c r="V801" s="2" t="s">
        <v>46</v>
      </c>
      <c r="W801" s="2" t="s">
        <v>3527</v>
      </c>
      <c r="X801" s="2" t="s">
        <v>10787</v>
      </c>
      <c r="Y801" s="2" t="s">
        <v>10801</v>
      </c>
      <c r="Z801" s="2" t="s">
        <v>7864</v>
      </c>
      <c r="AA801" s="2">
        <v>90</v>
      </c>
      <c r="AB801" s="2">
        <v>0</v>
      </c>
      <c r="AC801" s="2" t="s">
        <v>10789</v>
      </c>
      <c r="AD801" s="2" t="s">
        <v>23744</v>
      </c>
      <c r="AE801" s="2" t="s">
        <v>18260</v>
      </c>
      <c r="AF801" s="2"/>
      <c r="AG801" s="2" t="s">
        <v>18250</v>
      </c>
    </row>
    <row r="802" spans="1:33" x14ac:dyDescent="0.45">
      <c r="A802" s="2" t="s">
        <v>23745</v>
      </c>
      <c r="B802" s="2" t="s">
        <v>23746</v>
      </c>
      <c r="C802" s="2" t="s">
        <v>23745</v>
      </c>
      <c r="D802" s="2" t="s">
        <v>23747</v>
      </c>
      <c r="E802" s="2" t="s">
        <v>23748</v>
      </c>
      <c r="F802" s="2" t="s">
        <v>23749</v>
      </c>
      <c r="G802" s="2" t="s">
        <v>23749</v>
      </c>
      <c r="H802" s="2" t="s">
        <v>85</v>
      </c>
      <c r="I802" s="2" t="s">
        <v>86</v>
      </c>
      <c r="J802" s="2" t="s">
        <v>23750</v>
      </c>
      <c r="K802" s="2"/>
      <c r="L802" s="2"/>
      <c r="M802" s="2"/>
      <c r="N802" s="2"/>
      <c r="O802" s="2"/>
      <c r="P802" s="2"/>
      <c r="Q802" s="2"/>
      <c r="R802" s="2" t="s">
        <v>5785</v>
      </c>
      <c r="S802" s="2" t="s">
        <v>44</v>
      </c>
      <c r="T802" s="2"/>
      <c r="U802" s="2" t="s">
        <v>821</v>
      </c>
      <c r="V802" s="2" t="s">
        <v>199</v>
      </c>
      <c r="W802" s="2" t="s">
        <v>821</v>
      </c>
      <c r="X802" s="2" t="s">
        <v>10787</v>
      </c>
      <c r="Y802" s="2" t="s">
        <v>10801</v>
      </c>
      <c r="Z802" s="2" t="s">
        <v>7864</v>
      </c>
      <c r="AA802" s="2">
        <v>100</v>
      </c>
      <c r="AB802" s="2">
        <v>27</v>
      </c>
      <c r="AC802" s="2" t="s">
        <v>10789</v>
      </c>
      <c r="AD802" s="2" t="s">
        <v>23751</v>
      </c>
      <c r="AE802" s="2" t="s">
        <v>18260</v>
      </c>
      <c r="AF802" s="2"/>
      <c r="AG802" s="2" t="s">
        <v>18250</v>
      </c>
    </row>
    <row r="803" spans="1:33" x14ac:dyDescent="0.45">
      <c r="A803" s="2" t="s">
        <v>23745</v>
      </c>
      <c r="B803" s="2" t="s">
        <v>23752</v>
      </c>
      <c r="C803" s="2" t="s">
        <v>23745</v>
      </c>
      <c r="D803" s="2" t="s">
        <v>23753</v>
      </c>
      <c r="E803" s="2" t="s">
        <v>23754</v>
      </c>
      <c r="F803" s="2" t="s">
        <v>23755</v>
      </c>
      <c r="G803" s="2" t="s">
        <v>23755</v>
      </c>
      <c r="H803" s="2" t="s">
        <v>216</v>
      </c>
      <c r="I803" s="2" t="s">
        <v>217</v>
      </c>
      <c r="J803" s="2" t="s">
        <v>7420</v>
      </c>
      <c r="K803" s="2"/>
      <c r="L803" s="2"/>
      <c r="M803" s="2"/>
      <c r="N803" s="2"/>
      <c r="O803" s="2"/>
      <c r="P803" s="2"/>
      <c r="Q803" s="2"/>
      <c r="R803" s="2" t="s">
        <v>14840</v>
      </c>
      <c r="S803" s="2" t="s">
        <v>44</v>
      </c>
      <c r="T803" s="2"/>
      <c r="U803" s="2" t="s">
        <v>3527</v>
      </c>
      <c r="V803" s="2" t="s">
        <v>199</v>
      </c>
      <c r="W803" s="2" t="s">
        <v>3527</v>
      </c>
      <c r="X803" s="2" t="s">
        <v>10787</v>
      </c>
      <c r="Y803" s="2" t="s">
        <v>10801</v>
      </c>
      <c r="Z803" s="2" t="s">
        <v>7864</v>
      </c>
      <c r="AA803" s="2">
        <v>100</v>
      </c>
      <c r="AB803" s="2">
        <v>20</v>
      </c>
      <c r="AC803" s="2" t="s">
        <v>10789</v>
      </c>
      <c r="AD803" s="2" t="s">
        <v>23751</v>
      </c>
      <c r="AE803" s="2" t="s">
        <v>18260</v>
      </c>
      <c r="AF803" s="2"/>
      <c r="AG803" s="2" t="s">
        <v>18250</v>
      </c>
    </row>
    <row r="804" spans="1:33" x14ac:dyDescent="0.45">
      <c r="A804" s="2" t="s">
        <v>23756</v>
      </c>
      <c r="B804" s="2" t="s">
        <v>23757</v>
      </c>
      <c r="C804" s="2" t="s">
        <v>23756</v>
      </c>
      <c r="D804" s="2" t="s">
        <v>23758</v>
      </c>
      <c r="E804" s="2" t="s">
        <v>23759</v>
      </c>
      <c r="F804" s="2" t="s">
        <v>23760</v>
      </c>
      <c r="G804" s="2"/>
      <c r="H804" s="2" t="s">
        <v>384</v>
      </c>
      <c r="I804" s="2" t="s">
        <v>73</v>
      </c>
      <c r="J804" s="2" t="s">
        <v>1837</v>
      </c>
      <c r="K804" s="2" t="s">
        <v>23758</v>
      </c>
      <c r="L804" s="2"/>
      <c r="M804" s="2"/>
      <c r="N804" s="2"/>
      <c r="O804" s="2" t="s">
        <v>384</v>
      </c>
      <c r="P804" s="2" t="s">
        <v>73</v>
      </c>
      <c r="Q804" s="2" t="s">
        <v>1837</v>
      </c>
      <c r="R804" s="2" t="s">
        <v>15459</v>
      </c>
      <c r="S804" s="2" t="s">
        <v>44</v>
      </c>
      <c r="T804" s="2"/>
      <c r="U804" s="2" t="s">
        <v>821</v>
      </c>
      <c r="V804" s="2" t="s">
        <v>46</v>
      </c>
      <c r="W804" s="2" t="s">
        <v>821</v>
      </c>
      <c r="X804" s="2" t="s">
        <v>10787</v>
      </c>
      <c r="Y804" s="2" t="s">
        <v>10801</v>
      </c>
      <c r="Z804" s="2" t="s">
        <v>7864</v>
      </c>
      <c r="AA804" s="2">
        <v>100</v>
      </c>
      <c r="AB804" s="2">
        <v>17</v>
      </c>
      <c r="AC804" s="2" t="s">
        <v>10789</v>
      </c>
      <c r="AD804" s="2" t="s">
        <v>23761</v>
      </c>
      <c r="AE804" s="2" t="s">
        <v>18260</v>
      </c>
      <c r="AF804" s="2"/>
      <c r="AG804" s="2" t="s">
        <v>18250</v>
      </c>
    </row>
    <row r="805" spans="1:33" x14ac:dyDescent="0.45">
      <c r="A805" s="2" t="s">
        <v>23762</v>
      </c>
      <c r="B805" s="2" t="s">
        <v>23763</v>
      </c>
      <c r="C805" s="2" t="s">
        <v>23762</v>
      </c>
      <c r="D805" s="2" t="s">
        <v>23764</v>
      </c>
      <c r="E805" s="2" t="s">
        <v>23765</v>
      </c>
      <c r="F805" s="2" t="s">
        <v>23766</v>
      </c>
      <c r="G805" s="2" t="s">
        <v>23766</v>
      </c>
      <c r="H805" s="2" t="s">
        <v>220</v>
      </c>
      <c r="I805" s="2" t="s">
        <v>221</v>
      </c>
      <c r="J805" s="2" t="s">
        <v>10250</v>
      </c>
      <c r="K805" s="2"/>
      <c r="L805" s="2"/>
      <c r="M805" s="2"/>
      <c r="N805" s="2"/>
      <c r="O805" s="2"/>
      <c r="P805" s="2"/>
      <c r="Q805" s="2"/>
      <c r="R805" s="2" t="s">
        <v>3421</v>
      </c>
      <c r="S805" s="2" t="s">
        <v>44</v>
      </c>
      <c r="T805" s="2"/>
      <c r="U805" s="2" t="s">
        <v>821</v>
      </c>
      <c r="V805" s="2" t="s">
        <v>46</v>
      </c>
      <c r="W805" s="2" t="s">
        <v>821</v>
      </c>
      <c r="X805" s="2" t="s">
        <v>10787</v>
      </c>
      <c r="Y805" s="2" t="s">
        <v>10801</v>
      </c>
      <c r="Z805" s="2" t="s">
        <v>7864</v>
      </c>
      <c r="AA805" s="2">
        <v>100</v>
      </c>
      <c r="AB805" s="2">
        <v>12</v>
      </c>
      <c r="AC805" s="2" t="s">
        <v>10789</v>
      </c>
      <c r="AD805" s="2" t="s">
        <v>23767</v>
      </c>
      <c r="AE805" s="2" t="s">
        <v>18260</v>
      </c>
      <c r="AF805" s="2"/>
      <c r="AG805" s="2" t="s">
        <v>18250</v>
      </c>
    </row>
    <row r="806" spans="1:33" x14ac:dyDescent="0.45">
      <c r="A806" s="2" t="s">
        <v>23768</v>
      </c>
      <c r="B806" s="2" t="s">
        <v>23769</v>
      </c>
      <c r="C806" s="2" t="s">
        <v>23770</v>
      </c>
      <c r="D806" s="2" t="s">
        <v>23771</v>
      </c>
      <c r="E806" s="2" t="s">
        <v>23772</v>
      </c>
      <c r="F806" s="2" t="s">
        <v>3562</v>
      </c>
      <c r="G806" s="2" t="s">
        <v>3562</v>
      </c>
      <c r="H806" s="2" t="s">
        <v>277</v>
      </c>
      <c r="I806" s="2" t="s">
        <v>278</v>
      </c>
      <c r="J806" s="2" t="s">
        <v>1060</v>
      </c>
      <c r="K806" s="2"/>
      <c r="L806" s="2"/>
      <c r="M806" s="2"/>
      <c r="N806" s="2"/>
      <c r="O806" s="2"/>
      <c r="P806" s="2"/>
      <c r="Q806" s="2"/>
      <c r="R806" s="2" t="s">
        <v>8580</v>
      </c>
      <c r="S806" s="2" t="s">
        <v>44</v>
      </c>
      <c r="T806" s="2"/>
      <c r="U806" s="2" t="s">
        <v>3527</v>
      </c>
      <c r="V806" s="2" t="s">
        <v>46</v>
      </c>
      <c r="W806" s="2" t="s">
        <v>3527</v>
      </c>
      <c r="X806" s="2" t="s">
        <v>10787</v>
      </c>
      <c r="Y806" s="2" t="s">
        <v>10801</v>
      </c>
      <c r="Z806" s="2" t="s">
        <v>7864</v>
      </c>
      <c r="AA806" s="2">
        <v>100</v>
      </c>
      <c r="AB806" s="2">
        <v>10</v>
      </c>
      <c r="AC806" s="2" t="s">
        <v>10789</v>
      </c>
      <c r="AD806" s="2" t="s">
        <v>23773</v>
      </c>
      <c r="AE806" s="2" t="s">
        <v>18260</v>
      </c>
      <c r="AF806" s="2"/>
      <c r="AG806" s="2" t="s">
        <v>18250</v>
      </c>
    </row>
    <row r="807" spans="1:33" x14ac:dyDescent="0.45">
      <c r="A807" s="2" t="s">
        <v>23774</v>
      </c>
      <c r="B807" s="2" t="s">
        <v>23775</v>
      </c>
      <c r="C807" s="2" t="s">
        <v>23774</v>
      </c>
      <c r="D807" s="2" t="s">
        <v>23776</v>
      </c>
      <c r="E807" s="2" t="s">
        <v>23777</v>
      </c>
      <c r="F807" s="2" t="s">
        <v>23778</v>
      </c>
      <c r="G807" s="2"/>
      <c r="H807" s="2" t="s">
        <v>651</v>
      </c>
      <c r="I807" s="2" t="s">
        <v>86</v>
      </c>
      <c r="J807" s="2" t="s">
        <v>15516</v>
      </c>
      <c r="K807" s="2" t="s">
        <v>23776</v>
      </c>
      <c r="L807" s="2"/>
      <c r="M807" s="2"/>
      <c r="N807" s="2"/>
      <c r="O807" s="2" t="s">
        <v>651</v>
      </c>
      <c r="P807" s="2" t="s">
        <v>86</v>
      </c>
      <c r="Q807" s="2" t="s">
        <v>15516</v>
      </c>
      <c r="R807" s="2" t="s">
        <v>3236</v>
      </c>
      <c r="S807" s="2" t="s">
        <v>44</v>
      </c>
      <c r="T807" s="2"/>
      <c r="U807" s="2" t="s">
        <v>3527</v>
      </c>
      <c r="V807" s="2" t="s">
        <v>46</v>
      </c>
      <c r="W807" s="2" t="s">
        <v>3527</v>
      </c>
      <c r="X807" s="2" t="s">
        <v>10787</v>
      </c>
      <c r="Y807" s="2" t="s">
        <v>10801</v>
      </c>
      <c r="Z807" s="2" t="s">
        <v>7864</v>
      </c>
      <c r="AA807" s="2">
        <v>100</v>
      </c>
      <c r="AB807" s="2">
        <v>10</v>
      </c>
      <c r="AC807" s="2" t="s">
        <v>10789</v>
      </c>
      <c r="AD807" s="2" t="s">
        <v>23779</v>
      </c>
      <c r="AE807" s="2" t="s">
        <v>18260</v>
      </c>
      <c r="AF807" s="2"/>
      <c r="AG807" s="2" t="s">
        <v>18250</v>
      </c>
    </row>
    <row r="808" spans="1:33" x14ac:dyDescent="0.45">
      <c r="A808" s="2" t="s">
        <v>23780</v>
      </c>
      <c r="B808" s="2" t="s">
        <v>23781</v>
      </c>
      <c r="C808" s="2" t="s">
        <v>23780</v>
      </c>
      <c r="D808" s="2" t="s">
        <v>23782</v>
      </c>
      <c r="E808" s="2" t="s">
        <v>23783</v>
      </c>
      <c r="F808" s="2"/>
      <c r="G808" s="2"/>
      <c r="H808" s="2" t="s">
        <v>1188</v>
      </c>
      <c r="I808" s="2" t="s">
        <v>221</v>
      </c>
      <c r="J808" s="2" t="s">
        <v>1189</v>
      </c>
      <c r="K808" s="2" t="s">
        <v>23784</v>
      </c>
      <c r="L808" s="2"/>
      <c r="M808" s="2"/>
      <c r="N808" s="2"/>
      <c r="O808" s="2" t="s">
        <v>1188</v>
      </c>
      <c r="P808" s="2" t="s">
        <v>221</v>
      </c>
      <c r="Q808" s="2" t="s">
        <v>1189</v>
      </c>
      <c r="R808" s="2" t="s">
        <v>23785</v>
      </c>
      <c r="S808" s="2" t="s">
        <v>44</v>
      </c>
      <c r="T808" s="2"/>
      <c r="U808" s="2" t="s">
        <v>3527</v>
      </c>
      <c r="V808" s="2" t="s">
        <v>46</v>
      </c>
      <c r="W808" s="2" t="s">
        <v>3527</v>
      </c>
      <c r="X808" s="2" t="s">
        <v>10787</v>
      </c>
      <c r="Y808" s="2" t="s">
        <v>10801</v>
      </c>
      <c r="Z808" s="2" t="s">
        <v>7864</v>
      </c>
      <c r="AA808" s="2">
        <v>90</v>
      </c>
      <c r="AB808" s="2">
        <v>0</v>
      </c>
      <c r="AC808" s="2" t="s">
        <v>10789</v>
      </c>
      <c r="AD808" s="2" t="s">
        <v>23786</v>
      </c>
      <c r="AE808" s="2" t="s">
        <v>18260</v>
      </c>
      <c r="AF808" s="2"/>
      <c r="AG808" s="2" t="s">
        <v>18250</v>
      </c>
    </row>
    <row r="809" spans="1:33" x14ac:dyDescent="0.45">
      <c r="A809" s="2" t="s">
        <v>23787</v>
      </c>
      <c r="B809" s="2" t="s">
        <v>23788</v>
      </c>
      <c r="C809" s="2" t="s">
        <v>23789</v>
      </c>
      <c r="D809" s="2" t="s">
        <v>23790</v>
      </c>
      <c r="E809" s="2" t="s">
        <v>23791</v>
      </c>
      <c r="F809" s="2" t="s">
        <v>23792</v>
      </c>
      <c r="G809" s="2" t="s">
        <v>23792</v>
      </c>
      <c r="H809" s="2" t="s">
        <v>85</v>
      </c>
      <c r="I809" s="2" t="s">
        <v>86</v>
      </c>
      <c r="J809" s="2" t="s">
        <v>13402</v>
      </c>
      <c r="K809" s="2"/>
      <c r="L809" s="2"/>
      <c r="M809" s="2"/>
      <c r="N809" s="2"/>
      <c r="O809" s="2"/>
      <c r="P809" s="2"/>
      <c r="Q809" s="2"/>
      <c r="R809" s="2" t="s">
        <v>23793</v>
      </c>
      <c r="S809" s="2" t="s">
        <v>44</v>
      </c>
      <c r="T809" s="2"/>
      <c r="U809" s="2" t="s">
        <v>3527</v>
      </c>
      <c r="V809" s="2" t="s">
        <v>46</v>
      </c>
      <c r="W809" s="2" t="s">
        <v>3527</v>
      </c>
      <c r="X809" s="2" t="s">
        <v>10787</v>
      </c>
      <c r="Y809" s="2" t="s">
        <v>10801</v>
      </c>
      <c r="Z809" s="2" t="s">
        <v>7864</v>
      </c>
      <c r="AA809" s="2">
        <v>100</v>
      </c>
      <c r="AB809" s="2">
        <v>10</v>
      </c>
      <c r="AC809" s="2" t="s">
        <v>10789</v>
      </c>
      <c r="AD809" s="2" t="s">
        <v>23794</v>
      </c>
      <c r="AE809" s="2" t="s">
        <v>18260</v>
      </c>
      <c r="AF809" s="2"/>
      <c r="AG809" s="2" t="s">
        <v>18250</v>
      </c>
    </row>
    <row r="810" spans="1:33" x14ac:dyDescent="0.45">
      <c r="A810" s="2" t="s">
        <v>23795</v>
      </c>
      <c r="B810" s="2" t="s">
        <v>23796</v>
      </c>
      <c r="C810" s="2" t="s">
        <v>23797</v>
      </c>
      <c r="D810" s="2" t="s">
        <v>23798</v>
      </c>
      <c r="E810" s="2" t="s">
        <v>23799</v>
      </c>
      <c r="F810" s="2"/>
      <c r="G810" s="2"/>
      <c r="H810" s="2" t="s">
        <v>384</v>
      </c>
      <c r="I810" s="2" t="s">
        <v>73</v>
      </c>
      <c r="J810" s="2" t="s">
        <v>559</v>
      </c>
      <c r="K810" s="2" t="s">
        <v>23798</v>
      </c>
      <c r="L810" s="2"/>
      <c r="M810" s="2"/>
      <c r="N810" s="2"/>
      <c r="O810" s="2" t="s">
        <v>384</v>
      </c>
      <c r="P810" s="2" t="s">
        <v>73</v>
      </c>
      <c r="Q810" s="2" t="s">
        <v>559</v>
      </c>
      <c r="R810" s="2" t="s">
        <v>10712</v>
      </c>
      <c r="S810" s="2" t="s">
        <v>44</v>
      </c>
      <c r="T810" s="2"/>
      <c r="U810" s="2" t="s">
        <v>3527</v>
      </c>
      <c r="V810" s="2" t="s">
        <v>46</v>
      </c>
      <c r="W810" s="2" t="s">
        <v>3527</v>
      </c>
      <c r="X810" s="2" t="s">
        <v>10787</v>
      </c>
      <c r="Y810" s="2" t="s">
        <v>10801</v>
      </c>
      <c r="Z810" s="2" t="s">
        <v>7864</v>
      </c>
      <c r="AA810" s="2">
        <v>90</v>
      </c>
      <c r="AB810" s="2">
        <v>0</v>
      </c>
      <c r="AC810" s="2" t="s">
        <v>10789</v>
      </c>
      <c r="AD810" s="2" t="s">
        <v>23800</v>
      </c>
      <c r="AE810" s="2" t="s">
        <v>18260</v>
      </c>
      <c r="AF810" s="2"/>
      <c r="AG810" s="2" t="s">
        <v>18250</v>
      </c>
    </row>
    <row r="811" spans="1:33" x14ac:dyDescent="0.45">
      <c r="A811" s="2" t="s">
        <v>23801</v>
      </c>
      <c r="B811" s="2" t="s">
        <v>23802</v>
      </c>
      <c r="C811" s="2" t="s">
        <v>23803</v>
      </c>
      <c r="D811" s="2" t="s">
        <v>23804</v>
      </c>
      <c r="E811" s="2" t="s">
        <v>23805</v>
      </c>
      <c r="F811" s="2" t="s">
        <v>23806</v>
      </c>
      <c r="G811" s="2" t="s">
        <v>23806</v>
      </c>
      <c r="H811" s="2" t="s">
        <v>384</v>
      </c>
      <c r="I811" s="2" t="s">
        <v>73</v>
      </c>
      <c r="J811" s="2" t="s">
        <v>5329</v>
      </c>
      <c r="K811" s="2" t="s">
        <v>23807</v>
      </c>
      <c r="L811" s="2"/>
      <c r="M811" s="2"/>
      <c r="N811" s="2"/>
      <c r="O811" s="2" t="s">
        <v>384</v>
      </c>
      <c r="P811" s="2" t="s">
        <v>73</v>
      </c>
      <c r="Q811" s="2" t="s">
        <v>5329</v>
      </c>
      <c r="R811" s="2" t="s">
        <v>207</v>
      </c>
      <c r="S811" s="2" t="s">
        <v>44</v>
      </c>
      <c r="T811" s="2"/>
      <c r="U811" s="2" t="s">
        <v>3527</v>
      </c>
      <c r="V811" s="2" t="s">
        <v>46</v>
      </c>
      <c r="W811" s="2" t="s">
        <v>3527</v>
      </c>
      <c r="X811" s="2" t="s">
        <v>10787</v>
      </c>
      <c r="Y811" s="2" t="s">
        <v>10801</v>
      </c>
      <c r="Z811" s="2" t="s">
        <v>7864</v>
      </c>
      <c r="AA811" s="2">
        <v>100</v>
      </c>
      <c r="AB811" s="2">
        <v>10</v>
      </c>
      <c r="AC811" s="2" t="s">
        <v>10789</v>
      </c>
      <c r="AD811" s="2" t="s">
        <v>23808</v>
      </c>
      <c r="AE811" s="2" t="s">
        <v>18260</v>
      </c>
      <c r="AF811" s="2"/>
      <c r="AG811" s="2" t="s">
        <v>18250</v>
      </c>
    </row>
    <row r="812" spans="1:33" x14ac:dyDescent="0.45">
      <c r="A812" s="2" t="s">
        <v>23809</v>
      </c>
      <c r="B812" s="2" t="s">
        <v>23810</v>
      </c>
      <c r="C812" s="2" t="s">
        <v>23811</v>
      </c>
      <c r="D812" s="2" t="s">
        <v>23812</v>
      </c>
      <c r="E812" s="2" t="s">
        <v>23813</v>
      </c>
      <c r="F812" s="2" t="s">
        <v>23814</v>
      </c>
      <c r="G812" s="2" t="s">
        <v>23814</v>
      </c>
      <c r="H812" s="2" t="s">
        <v>72</v>
      </c>
      <c r="I812" s="2" t="s">
        <v>73</v>
      </c>
      <c r="J812" s="2" t="s">
        <v>17944</v>
      </c>
      <c r="K812" s="2" t="s">
        <v>23812</v>
      </c>
      <c r="L812" s="2"/>
      <c r="M812" s="2"/>
      <c r="N812" s="2"/>
      <c r="O812" s="2" t="s">
        <v>72</v>
      </c>
      <c r="P812" s="2" t="s">
        <v>73</v>
      </c>
      <c r="Q812" s="2" t="s">
        <v>17944</v>
      </c>
      <c r="R812" s="2" t="s">
        <v>13081</v>
      </c>
      <c r="S812" s="2" t="s">
        <v>44</v>
      </c>
      <c r="T812" s="2"/>
      <c r="U812" s="2" t="s">
        <v>821</v>
      </c>
      <c r="V812" s="2" t="s">
        <v>199</v>
      </c>
      <c r="W812" s="2" t="s">
        <v>821</v>
      </c>
      <c r="X812" s="2" t="s">
        <v>10787</v>
      </c>
      <c r="Y812" s="2" t="s">
        <v>10801</v>
      </c>
      <c r="Z812" s="2" t="s">
        <v>7864</v>
      </c>
      <c r="AA812" s="2">
        <v>100</v>
      </c>
      <c r="AB812" s="2">
        <v>27</v>
      </c>
      <c r="AC812" s="2" t="s">
        <v>10789</v>
      </c>
      <c r="AD812" s="2" t="s">
        <v>23815</v>
      </c>
      <c r="AE812" s="2" t="s">
        <v>18260</v>
      </c>
      <c r="AF812" s="2"/>
      <c r="AG812" s="2" t="s">
        <v>18250</v>
      </c>
    </row>
    <row r="813" spans="1:33" x14ac:dyDescent="0.45">
      <c r="A813" s="2" t="s">
        <v>23809</v>
      </c>
      <c r="B813" s="2" t="s">
        <v>23816</v>
      </c>
      <c r="C813" s="2" t="s">
        <v>23817</v>
      </c>
      <c r="D813" s="2" t="s">
        <v>23818</v>
      </c>
      <c r="E813" s="2" t="s">
        <v>23813</v>
      </c>
      <c r="F813" s="2" t="s">
        <v>23819</v>
      </c>
      <c r="G813" s="2"/>
      <c r="H813" s="2" t="s">
        <v>72</v>
      </c>
      <c r="I813" s="2" t="s">
        <v>73</v>
      </c>
      <c r="J813" s="2" t="s">
        <v>17944</v>
      </c>
      <c r="K813" s="2" t="s">
        <v>23818</v>
      </c>
      <c r="L813" s="2"/>
      <c r="M813" s="2"/>
      <c r="N813" s="2"/>
      <c r="O813" s="2" t="s">
        <v>72</v>
      </c>
      <c r="P813" s="2" t="s">
        <v>73</v>
      </c>
      <c r="Q813" s="2" t="s">
        <v>17944</v>
      </c>
      <c r="R813" s="2" t="s">
        <v>3293</v>
      </c>
      <c r="S813" s="2" t="s">
        <v>44</v>
      </c>
      <c r="T813" s="2"/>
      <c r="U813" s="2" t="s">
        <v>3527</v>
      </c>
      <c r="V813" s="2" t="s">
        <v>199</v>
      </c>
      <c r="W813" s="2" t="s">
        <v>3527</v>
      </c>
      <c r="X813" s="2" t="s">
        <v>10787</v>
      </c>
      <c r="Y813" s="2" t="s">
        <v>10801</v>
      </c>
      <c r="Z813" s="2" t="s">
        <v>7864</v>
      </c>
      <c r="AA813" s="2">
        <v>100</v>
      </c>
      <c r="AB813" s="2">
        <v>20</v>
      </c>
      <c r="AC813" s="2" t="s">
        <v>10789</v>
      </c>
      <c r="AD813" s="2" t="s">
        <v>23815</v>
      </c>
      <c r="AE813" s="2" t="s">
        <v>18260</v>
      </c>
      <c r="AF813" s="2"/>
      <c r="AG813" s="2" t="s">
        <v>18250</v>
      </c>
    </row>
    <row r="814" spans="1:33" x14ac:dyDescent="0.45">
      <c r="A814" s="2" t="s">
        <v>23820</v>
      </c>
      <c r="B814" s="2" t="s">
        <v>23821</v>
      </c>
      <c r="C814" s="2" t="s">
        <v>23822</v>
      </c>
      <c r="D814" s="2" t="s">
        <v>23823</v>
      </c>
      <c r="E814" s="2" t="s">
        <v>23824</v>
      </c>
      <c r="F814" s="2"/>
      <c r="G814" s="2"/>
      <c r="H814" s="2" t="s">
        <v>85</v>
      </c>
      <c r="I814" s="2" t="s">
        <v>86</v>
      </c>
      <c r="J814" s="2" t="s">
        <v>3948</v>
      </c>
      <c r="K814" s="2" t="s">
        <v>23823</v>
      </c>
      <c r="L814" s="2"/>
      <c r="M814" s="2"/>
      <c r="N814" s="2"/>
      <c r="O814" s="2" t="s">
        <v>85</v>
      </c>
      <c r="P814" s="2" t="s">
        <v>86</v>
      </c>
      <c r="Q814" s="2" t="s">
        <v>3948</v>
      </c>
      <c r="R814" s="2" t="s">
        <v>23825</v>
      </c>
      <c r="S814" s="2" t="s">
        <v>44</v>
      </c>
      <c r="T814" s="2"/>
      <c r="U814" s="2" t="s">
        <v>3527</v>
      </c>
      <c r="V814" s="2" t="s">
        <v>46</v>
      </c>
      <c r="W814" s="2" t="s">
        <v>3527</v>
      </c>
      <c r="X814" s="2" t="s">
        <v>11005</v>
      </c>
      <c r="Y814" s="2" t="s">
        <v>10801</v>
      </c>
      <c r="Z814" s="2" t="s">
        <v>7864</v>
      </c>
      <c r="AA814" s="2">
        <v>90</v>
      </c>
      <c r="AB814" s="2">
        <v>0</v>
      </c>
      <c r="AC814" s="2" t="s">
        <v>10789</v>
      </c>
      <c r="AD814" s="2" t="s">
        <v>23826</v>
      </c>
      <c r="AE814" s="2" t="s">
        <v>18260</v>
      </c>
      <c r="AF814" s="2"/>
      <c r="AG814" s="2" t="s">
        <v>18250</v>
      </c>
    </row>
    <row r="815" spans="1:33" x14ac:dyDescent="0.45">
      <c r="A815" s="2" t="s">
        <v>23827</v>
      </c>
      <c r="B815" s="2" t="s">
        <v>23828</v>
      </c>
      <c r="C815" s="2" t="s">
        <v>23827</v>
      </c>
      <c r="D815" s="2" t="s">
        <v>23829</v>
      </c>
      <c r="E815" s="2" t="s">
        <v>23830</v>
      </c>
      <c r="F815" s="2" t="s">
        <v>23831</v>
      </c>
      <c r="G815" s="2" t="s">
        <v>23831</v>
      </c>
      <c r="H815" s="2" t="s">
        <v>1136</v>
      </c>
      <c r="I815" s="2" t="s">
        <v>1137</v>
      </c>
      <c r="J815" s="2" t="s">
        <v>6117</v>
      </c>
      <c r="K815" s="2" t="s">
        <v>23829</v>
      </c>
      <c r="L815" s="2"/>
      <c r="M815" s="2"/>
      <c r="N815" s="2"/>
      <c r="O815" s="2" t="s">
        <v>1136</v>
      </c>
      <c r="P815" s="2" t="s">
        <v>1137</v>
      </c>
      <c r="Q815" s="2" t="s">
        <v>6117</v>
      </c>
      <c r="R815" s="2" t="s">
        <v>3866</v>
      </c>
      <c r="S815" s="2" t="s">
        <v>44</v>
      </c>
      <c r="T815" s="2"/>
      <c r="U815" s="2" t="s">
        <v>3527</v>
      </c>
      <c r="V815" s="2" t="s">
        <v>46</v>
      </c>
      <c r="W815" s="2" t="s">
        <v>3527</v>
      </c>
      <c r="X815" s="2" t="s">
        <v>10787</v>
      </c>
      <c r="Y815" s="2" t="s">
        <v>10801</v>
      </c>
      <c r="Z815" s="2" t="s">
        <v>7864</v>
      </c>
      <c r="AA815" s="2">
        <v>100</v>
      </c>
      <c r="AB815" s="2">
        <v>5</v>
      </c>
      <c r="AC815" s="2" t="s">
        <v>10789</v>
      </c>
      <c r="AD815" s="2" t="s">
        <v>23832</v>
      </c>
      <c r="AE815" s="2" t="s">
        <v>18260</v>
      </c>
      <c r="AF815" s="2"/>
      <c r="AG815" s="2" t="s">
        <v>18250</v>
      </c>
    </row>
    <row r="816" spans="1:33" x14ac:dyDescent="0.45">
      <c r="A816" s="2" t="s">
        <v>23833</v>
      </c>
      <c r="B816" s="2" t="s">
        <v>23834</v>
      </c>
      <c r="C816" s="2" t="s">
        <v>23835</v>
      </c>
      <c r="D816" s="2" t="s">
        <v>23836</v>
      </c>
      <c r="E816" s="2" t="s">
        <v>23837</v>
      </c>
      <c r="F816" s="2" t="s">
        <v>23838</v>
      </c>
      <c r="G816" s="2" t="s">
        <v>23838</v>
      </c>
      <c r="H816" s="2" t="s">
        <v>290</v>
      </c>
      <c r="I816" s="2" t="s">
        <v>278</v>
      </c>
      <c r="J816" s="2" t="s">
        <v>23839</v>
      </c>
      <c r="K816" s="2" t="s">
        <v>23836</v>
      </c>
      <c r="L816" s="2"/>
      <c r="M816" s="2"/>
      <c r="N816" s="2"/>
      <c r="O816" s="2" t="s">
        <v>290</v>
      </c>
      <c r="P816" s="2" t="s">
        <v>278</v>
      </c>
      <c r="Q816" s="2" t="s">
        <v>23839</v>
      </c>
      <c r="R816" s="2" t="s">
        <v>1271</v>
      </c>
      <c r="S816" s="2" t="s">
        <v>44</v>
      </c>
      <c r="T816" s="2"/>
      <c r="U816" s="2" t="s">
        <v>3527</v>
      </c>
      <c r="V816" s="2" t="s">
        <v>46</v>
      </c>
      <c r="W816" s="2" t="s">
        <v>3527</v>
      </c>
      <c r="X816" s="2" t="s">
        <v>10787</v>
      </c>
      <c r="Y816" s="2" t="s">
        <v>10801</v>
      </c>
      <c r="Z816" s="2" t="s">
        <v>7864</v>
      </c>
      <c r="AA816" s="2">
        <v>100</v>
      </c>
      <c r="AB816" s="2">
        <v>10</v>
      </c>
      <c r="AC816" s="2" t="s">
        <v>10789</v>
      </c>
      <c r="AD816" s="2" t="s">
        <v>23840</v>
      </c>
      <c r="AE816" s="2" t="s">
        <v>18260</v>
      </c>
      <c r="AF816" s="2"/>
      <c r="AG816" s="2" t="s">
        <v>18250</v>
      </c>
    </row>
    <row r="817" spans="1:33" x14ac:dyDescent="0.45">
      <c r="A817" s="2" t="s">
        <v>23841</v>
      </c>
      <c r="B817" s="2" t="s">
        <v>23842</v>
      </c>
      <c r="C817" s="2" t="s">
        <v>23841</v>
      </c>
      <c r="D817" s="2" t="s">
        <v>23843</v>
      </c>
      <c r="E817" s="2" t="s">
        <v>23844</v>
      </c>
      <c r="F817" s="2"/>
      <c r="G817" s="2"/>
      <c r="H817" s="2" t="s">
        <v>59</v>
      </c>
      <c r="I817" s="2" t="s">
        <v>60</v>
      </c>
      <c r="J817" s="2" t="s">
        <v>23845</v>
      </c>
      <c r="K817" s="2" t="s">
        <v>23846</v>
      </c>
      <c r="L817" s="2"/>
      <c r="M817" s="2"/>
      <c r="N817" s="2"/>
      <c r="O817" s="2" t="s">
        <v>8535</v>
      </c>
      <c r="P817" s="2" t="s">
        <v>60</v>
      </c>
      <c r="Q817" s="2" t="s">
        <v>23845</v>
      </c>
      <c r="R817" s="2" t="s">
        <v>3768</v>
      </c>
      <c r="S817" s="2" t="s">
        <v>44</v>
      </c>
      <c r="T817" s="2"/>
      <c r="U817" s="2" t="s">
        <v>3527</v>
      </c>
      <c r="V817" s="2" t="s">
        <v>46</v>
      </c>
      <c r="W817" s="2" t="s">
        <v>3527</v>
      </c>
      <c r="X817" s="2" t="s">
        <v>10787</v>
      </c>
      <c r="Y817" s="2" t="s">
        <v>10801</v>
      </c>
      <c r="Z817" s="2" t="s">
        <v>7864</v>
      </c>
      <c r="AA817" s="2">
        <v>90</v>
      </c>
      <c r="AB817" s="2">
        <v>0</v>
      </c>
      <c r="AC817" s="2" t="s">
        <v>10789</v>
      </c>
      <c r="AD817" s="2" t="s">
        <v>23847</v>
      </c>
      <c r="AE817" s="2" t="s">
        <v>18260</v>
      </c>
      <c r="AF817" s="2"/>
      <c r="AG817" s="2" t="s">
        <v>18250</v>
      </c>
    </row>
    <row r="818" spans="1:33" x14ac:dyDescent="0.45">
      <c r="A818" s="2" t="s">
        <v>23848</v>
      </c>
      <c r="B818" s="2" t="s">
        <v>23849</v>
      </c>
      <c r="C818" s="2" t="s">
        <v>23848</v>
      </c>
      <c r="D818" s="2" t="s">
        <v>23850</v>
      </c>
      <c r="E818" s="2" t="s">
        <v>23851</v>
      </c>
      <c r="F818" s="2"/>
      <c r="G818" s="2"/>
      <c r="H818" s="2" t="s">
        <v>18516</v>
      </c>
      <c r="I818" s="2" t="s">
        <v>175</v>
      </c>
      <c r="J818" s="2" t="s">
        <v>21139</v>
      </c>
      <c r="K818" s="2" t="s">
        <v>23850</v>
      </c>
      <c r="L818" s="2"/>
      <c r="M818" s="2"/>
      <c r="N818" s="2"/>
      <c r="O818" s="2" t="s">
        <v>18516</v>
      </c>
      <c r="P818" s="2" t="s">
        <v>175</v>
      </c>
      <c r="Q818" s="2" t="s">
        <v>21139</v>
      </c>
      <c r="R818" s="2" t="s">
        <v>1251</v>
      </c>
      <c r="S818" s="2" t="s">
        <v>44</v>
      </c>
      <c r="T818" s="2"/>
      <c r="U818" s="2" t="s">
        <v>3527</v>
      </c>
      <c r="V818" s="2" t="s">
        <v>46</v>
      </c>
      <c r="W818" s="2" t="s">
        <v>3527</v>
      </c>
      <c r="X818" s="2" t="s">
        <v>10787</v>
      </c>
      <c r="Y818" s="2" t="s">
        <v>10801</v>
      </c>
      <c r="Z818" s="2" t="s">
        <v>7864</v>
      </c>
      <c r="AA818" s="2">
        <v>90</v>
      </c>
      <c r="AB818" s="2">
        <v>0</v>
      </c>
      <c r="AC818" s="2" t="s">
        <v>10789</v>
      </c>
      <c r="AD818" s="2" t="s">
        <v>23852</v>
      </c>
      <c r="AE818" s="2" t="s">
        <v>18260</v>
      </c>
      <c r="AF818" s="2"/>
      <c r="AG818" s="2" t="s">
        <v>18250</v>
      </c>
    </row>
    <row r="819" spans="1:33" x14ac:dyDescent="0.45">
      <c r="A819" s="2" t="s">
        <v>23853</v>
      </c>
      <c r="B819" s="2" t="s">
        <v>23854</v>
      </c>
      <c r="C819" s="2" t="s">
        <v>23855</v>
      </c>
      <c r="D819" s="2" t="s">
        <v>23856</v>
      </c>
      <c r="E819" s="2" t="s">
        <v>23857</v>
      </c>
      <c r="F819" s="2"/>
      <c r="G819" s="2"/>
      <c r="H819" s="2" t="s">
        <v>651</v>
      </c>
      <c r="I819" s="2" t="s">
        <v>86</v>
      </c>
      <c r="J819" s="2" t="s">
        <v>23858</v>
      </c>
      <c r="K819" s="2" t="s">
        <v>23856</v>
      </c>
      <c r="L819" s="2"/>
      <c r="M819" s="2"/>
      <c r="N819" s="2"/>
      <c r="O819" s="2" t="s">
        <v>651</v>
      </c>
      <c r="P819" s="2" t="s">
        <v>86</v>
      </c>
      <c r="Q819" s="2" t="s">
        <v>23858</v>
      </c>
      <c r="R819" s="2" t="s">
        <v>23825</v>
      </c>
      <c r="S819" s="2" t="s">
        <v>44</v>
      </c>
      <c r="T819" s="2"/>
      <c r="U819" s="2" t="s">
        <v>821</v>
      </c>
      <c r="V819" s="2" t="s">
        <v>46</v>
      </c>
      <c r="W819" s="2" t="s">
        <v>821</v>
      </c>
      <c r="X819" s="2" t="s">
        <v>11537</v>
      </c>
      <c r="Y819" s="2" t="s">
        <v>10801</v>
      </c>
      <c r="Z819" s="2" t="s">
        <v>7864</v>
      </c>
      <c r="AA819" s="2">
        <v>90</v>
      </c>
      <c r="AB819" s="2">
        <v>7</v>
      </c>
      <c r="AC819" s="2" t="s">
        <v>10789</v>
      </c>
      <c r="AD819" s="2" t="s">
        <v>23859</v>
      </c>
      <c r="AE819" s="2" t="s">
        <v>18260</v>
      </c>
      <c r="AF819" s="2"/>
      <c r="AG819" s="2" t="s">
        <v>18250</v>
      </c>
    </row>
    <row r="820" spans="1:33" x14ac:dyDescent="0.45">
      <c r="A820" s="2" t="s">
        <v>23860</v>
      </c>
      <c r="B820" s="2" t="s">
        <v>23861</v>
      </c>
      <c r="C820" s="2" t="s">
        <v>23862</v>
      </c>
      <c r="D820" s="2" t="s">
        <v>23863</v>
      </c>
      <c r="E820" s="2" t="s">
        <v>23864</v>
      </c>
      <c r="F820" s="2"/>
      <c r="G820" s="2"/>
      <c r="H820" s="2" t="s">
        <v>85</v>
      </c>
      <c r="I820" s="2" t="s">
        <v>86</v>
      </c>
      <c r="J820" s="2" t="s">
        <v>629</v>
      </c>
      <c r="K820" s="2" t="s">
        <v>23863</v>
      </c>
      <c r="L820" s="2"/>
      <c r="M820" s="2"/>
      <c r="N820" s="2"/>
      <c r="O820" s="2" t="s">
        <v>85</v>
      </c>
      <c r="P820" s="2" t="s">
        <v>86</v>
      </c>
      <c r="Q820" s="2" t="s">
        <v>629</v>
      </c>
      <c r="R820" s="2" t="s">
        <v>23865</v>
      </c>
      <c r="S820" s="2" t="s">
        <v>44</v>
      </c>
      <c r="T820" s="2"/>
      <c r="U820" s="2" t="s">
        <v>3527</v>
      </c>
      <c r="V820" s="2" t="s">
        <v>46</v>
      </c>
      <c r="W820" s="2" t="s">
        <v>3527</v>
      </c>
      <c r="X820" s="2" t="s">
        <v>11537</v>
      </c>
      <c r="Y820" s="2" t="s">
        <v>10801</v>
      </c>
      <c r="Z820" s="2" t="s">
        <v>7864</v>
      </c>
      <c r="AA820" s="2">
        <v>90</v>
      </c>
      <c r="AB820" s="2">
        <v>0</v>
      </c>
      <c r="AC820" s="2" t="s">
        <v>10789</v>
      </c>
      <c r="AD820" s="2" t="s">
        <v>23866</v>
      </c>
      <c r="AE820" s="2" t="s">
        <v>18260</v>
      </c>
      <c r="AF820" s="2"/>
      <c r="AG820" s="2" t="s">
        <v>18250</v>
      </c>
    </row>
    <row r="821" spans="1:33" x14ac:dyDescent="0.45">
      <c r="A821" s="2" t="s">
        <v>23867</v>
      </c>
      <c r="B821" s="2" t="s">
        <v>23868</v>
      </c>
      <c r="C821" s="2" t="s">
        <v>23869</v>
      </c>
      <c r="D821" s="2" t="s">
        <v>23870</v>
      </c>
      <c r="E821" s="2" t="s">
        <v>23871</v>
      </c>
      <c r="F821" s="2"/>
      <c r="G821" s="2"/>
      <c r="H821" s="2" t="s">
        <v>10740</v>
      </c>
      <c r="I821" s="2" t="s">
        <v>221</v>
      </c>
      <c r="J821" s="2" t="s">
        <v>10741</v>
      </c>
      <c r="K821" s="2" t="s">
        <v>23870</v>
      </c>
      <c r="L821" s="2"/>
      <c r="M821" s="2"/>
      <c r="N821" s="2"/>
      <c r="O821" s="2" t="s">
        <v>10740</v>
      </c>
      <c r="P821" s="2" t="s">
        <v>221</v>
      </c>
      <c r="Q821" s="2" t="s">
        <v>10741</v>
      </c>
      <c r="R821" s="2" t="s">
        <v>23872</v>
      </c>
      <c r="S821" s="2" t="s">
        <v>44</v>
      </c>
      <c r="T821" s="2"/>
      <c r="U821" s="2" t="s">
        <v>821</v>
      </c>
      <c r="V821" s="2" t="s">
        <v>199</v>
      </c>
      <c r="W821" s="2" t="s">
        <v>821</v>
      </c>
      <c r="X821" s="2" t="s">
        <v>10787</v>
      </c>
      <c r="Y821" s="2" t="s">
        <v>10801</v>
      </c>
      <c r="Z821" s="2" t="s">
        <v>7864</v>
      </c>
      <c r="AA821" s="2">
        <v>90</v>
      </c>
      <c r="AB821" s="2">
        <v>12</v>
      </c>
      <c r="AC821" s="2" t="s">
        <v>10789</v>
      </c>
      <c r="AD821" s="2" t="s">
        <v>23873</v>
      </c>
      <c r="AE821" s="2" t="s">
        <v>18260</v>
      </c>
      <c r="AF821" s="2"/>
      <c r="AG821" s="2" t="s">
        <v>18250</v>
      </c>
    </row>
    <row r="822" spans="1:33" x14ac:dyDescent="0.45">
      <c r="A822" s="2" t="s">
        <v>23867</v>
      </c>
      <c r="B822" s="2" t="s">
        <v>23874</v>
      </c>
      <c r="C822" s="2" t="s">
        <v>23869</v>
      </c>
      <c r="D822" s="2" t="s">
        <v>23875</v>
      </c>
      <c r="E822" s="2" t="s">
        <v>23871</v>
      </c>
      <c r="F822" s="2" t="s">
        <v>23876</v>
      </c>
      <c r="G822" s="2"/>
      <c r="H822" s="2" t="s">
        <v>10740</v>
      </c>
      <c r="I822" s="2" t="s">
        <v>221</v>
      </c>
      <c r="J822" s="2" t="s">
        <v>10741</v>
      </c>
      <c r="K822" s="2" t="s">
        <v>23875</v>
      </c>
      <c r="L822" s="2"/>
      <c r="M822" s="2"/>
      <c r="N822" s="2"/>
      <c r="O822" s="2" t="s">
        <v>10740</v>
      </c>
      <c r="P822" s="2" t="s">
        <v>221</v>
      </c>
      <c r="Q822" s="2" t="s">
        <v>10741</v>
      </c>
      <c r="R822" s="2" t="s">
        <v>5286</v>
      </c>
      <c r="S822" s="2" t="s">
        <v>44</v>
      </c>
      <c r="T822" s="2"/>
      <c r="U822" s="2" t="s">
        <v>3527</v>
      </c>
      <c r="V822" s="2" t="s">
        <v>199</v>
      </c>
      <c r="W822" s="2" t="s">
        <v>3527</v>
      </c>
      <c r="X822" s="2" t="s">
        <v>10787</v>
      </c>
      <c r="Y822" s="2" t="s">
        <v>10801</v>
      </c>
      <c r="Z822" s="2" t="s">
        <v>7864</v>
      </c>
      <c r="AA822" s="2">
        <v>100</v>
      </c>
      <c r="AB822" s="2">
        <v>15</v>
      </c>
      <c r="AC822" s="2" t="s">
        <v>10789</v>
      </c>
      <c r="AD822" s="2" t="s">
        <v>23873</v>
      </c>
      <c r="AE822" s="2" t="s">
        <v>18260</v>
      </c>
      <c r="AF822" s="2"/>
      <c r="AG822" s="2" t="s">
        <v>18250</v>
      </c>
    </row>
    <row r="823" spans="1:33" x14ac:dyDescent="0.45">
      <c r="A823" s="2" t="s">
        <v>23877</v>
      </c>
      <c r="B823" s="2" t="s">
        <v>23878</v>
      </c>
      <c r="C823" s="2" t="s">
        <v>23877</v>
      </c>
      <c r="D823" s="2" t="s">
        <v>23879</v>
      </c>
      <c r="E823" s="2" t="s">
        <v>23880</v>
      </c>
      <c r="F823" s="2" t="s">
        <v>23881</v>
      </c>
      <c r="G823" s="2"/>
      <c r="H823" s="2" t="s">
        <v>1023</v>
      </c>
      <c r="I823" s="2" t="s">
        <v>73</v>
      </c>
      <c r="J823" s="2" t="s">
        <v>12873</v>
      </c>
      <c r="K823" s="2" t="s">
        <v>23879</v>
      </c>
      <c r="L823" s="2"/>
      <c r="M823" s="2"/>
      <c r="N823" s="2"/>
      <c r="O823" s="2" t="s">
        <v>1023</v>
      </c>
      <c r="P823" s="2" t="s">
        <v>73</v>
      </c>
      <c r="Q823" s="2" t="s">
        <v>12873</v>
      </c>
      <c r="R823" s="2" t="s">
        <v>4810</v>
      </c>
      <c r="S823" s="2" t="s">
        <v>44</v>
      </c>
      <c r="T823" s="2"/>
      <c r="U823" s="2" t="s">
        <v>821</v>
      </c>
      <c r="V823" s="2" t="s">
        <v>46</v>
      </c>
      <c r="W823" s="2" t="s">
        <v>821</v>
      </c>
      <c r="X823" s="2" t="s">
        <v>10787</v>
      </c>
      <c r="Y823" s="2" t="s">
        <v>10801</v>
      </c>
      <c r="Z823" s="2" t="s">
        <v>7864</v>
      </c>
      <c r="AA823" s="2">
        <v>100</v>
      </c>
      <c r="AB823" s="2">
        <v>17</v>
      </c>
      <c r="AC823" s="2" t="s">
        <v>10789</v>
      </c>
      <c r="AD823" s="2" t="s">
        <v>23882</v>
      </c>
      <c r="AE823" s="2" t="s">
        <v>18260</v>
      </c>
      <c r="AF823" s="2"/>
      <c r="AG823" s="2" t="s">
        <v>18250</v>
      </c>
    </row>
    <row r="824" spans="1:33" x14ac:dyDescent="0.45">
      <c r="A824" s="2" t="s">
        <v>23883</v>
      </c>
      <c r="B824" s="2" t="s">
        <v>23884</v>
      </c>
      <c r="C824" s="2" t="s">
        <v>23883</v>
      </c>
      <c r="D824" s="2" t="s">
        <v>23885</v>
      </c>
      <c r="E824" s="2" t="s">
        <v>23886</v>
      </c>
      <c r="F824" s="2"/>
      <c r="G824" s="2"/>
      <c r="H824" s="2" t="s">
        <v>72</v>
      </c>
      <c r="I824" s="2" t="s">
        <v>73</v>
      </c>
      <c r="J824" s="2" t="s">
        <v>6297</v>
      </c>
      <c r="K824" s="2" t="s">
        <v>23887</v>
      </c>
      <c r="L824" s="2"/>
      <c r="M824" s="2"/>
      <c r="N824" s="2"/>
      <c r="O824" s="2" t="s">
        <v>72</v>
      </c>
      <c r="P824" s="2" t="s">
        <v>73</v>
      </c>
      <c r="Q824" s="2" t="s">
        <v>6297</v>
      </c>
      <c r="R824" s="2" t="s">
        <v>9413</v>
      </c>
      <c r="S824" s="2" t="s">
        <v>44</v>
      </c>
      <c r="T824" s="2"/>
      <c r="U824" s="2" t="s">
        <v>3527</v>
      </c>
      <c r="V824" s="2" t="s">
        <v>46</v>
      </c>
      <c r="W824" s="2" t="s">
        <v>3527</v>
      </c>
      <c r="X824" s="2" t="s">
        <v>10787</v>
      </c>
      <c r="Y824" s="2" t="s">
        <v>10801</v>
      </c>
      <c r="Z824" s="2" t="s">
        <v>7864</v>
      </c>
      <c r="AA824" s="2">
        <v>90</v>
      </c>
      <c r="AB824" s="2">
        <v>0</v>
      </c>
      <c r="AC824" s="2" t="s">
        <v>10789</v>
      </c>
      <c r="AD824" s="2" t="s">
        <v>23888</v>
      </c>
      <c r="AE824" s="2" t="s">
        <v>18260</v>
      </c>
      <c r="AF824" s="2"/>
      <c r="AG824" s="2" t="s">
        <v>18250</v>
      </c>
    </row>
    <row r="825" spans="1:33" x14ac:dyDescent="0.45">
      <c r="A825" s="2" t="s">
        <v>23889</v>
      </c>
      <c r="B825" s="2" t="s">
        <v>23890</v>
      </c>
      <c r="C825" s="2" t="s">
        <v>23891</v>
      </c>
      <c r="D825" s="2" t="s">
        <v>23892</v>
      </c>
      <c r="E825" s="2" t="s">
        <v>23893</v>
      </c>
      <c r="F825" s="2" t="s">
        <v>23894</v>
      </c>
      <c r="G825" s="2" t="s">
        <v>23894</v>
      </c>
      <c r="H825" s="2" t="s">
        <v>17601</v>
      </c>
      <c r="I825" s="2" t="s">
        <v>17166</v>
      </c>
      <c r="J825" s="2" t="s">
        <v>23895</v>
      </c>
      <c r="K825" s="2" t="s">
        <v>23896</v>
      </c>
      <c r="L825" s="2"/>
      <c r="M825" s="2"/>
      <c r="N825" s="2"/>
      <c r="O825" s="2" t="s">
        <v>17601</v>
      </c>
      <c r="P825" s="2" t="s">
        <v>17166</v>
      </c>
      <c r="Q825" s="2" t="s">
        <v>23895</v>
      </c>
      <c r="R825" s="2" t="s">
        <v>3226</v>
      </c>
      <c r="S825" s="2" t="s">
        <v>44</v>
      </c>
      <c r="T825" s="2"/>
      <c r="U825" s="2" t="s">
        <v>3527</v>
      </c>
      <c r="V825" s="2" t="s">
        <v>46</v>
      </c>
      <c r="W825" s="2" t="s">
        <v>3527</v>
      </c>
      <c r="X825" s="2" t="s">
        <v>10787</v>
      </c>
      <c r="Y825" s="2" t="s">
        <v>10801</v>
      </c>
      <c r="Z825" s="2" t="s">
        <v>7864</v>
      </c>
      <c r="AA825" s="2">
        <v>100</v>
      </c>
      <c r="AB825" s="2">
        <v>5</v>
      </c>
      <c r="AC825" s="2" t="s">
        <v>10789</v>
      </c>
      <c r="AD825" s="2" t="s">
        <v>23897</v>
      </c>
      <c r="AE825" s="2" t="s">
        <v>18260</v>
      </c>
      <c r="AF825" s="2"/>
      <c r="AG825" s="2" t="s">
        <v>18250</v>
      </c>
    </row>
    <row r="826" spans="1:33" x14ac:dyDescent="0.45">
      <c r="A826" s="2" t="s">
        <v>23898</v>
      </c>
      <c r="B826" s="2" t="s">
        <v>23899</v>
      </c>
      <c r="C826" s="2" t="s">
        <v>23900</v>
      </c>
      <c r="D826" s="2" t="s">
        <v>23901</v>
      </c>
      <c r="E826" s="2" t="s">
        <v>23902</v>
      </c>
      <c r="F826" s="2"/>
      <c r="G826" s="2"/>
      <c r="H826" s="2" t="s">
        <v>2962</v>
      </c>
      <c r="I826" s="2" t="s">
        <v>73</v>
      </c>
      <c r="J826" s="2" t="s">
        <v>23903</v>
      </c>
      <c r="K826" s="2" t="s">
        <v>23901</v>
      </c>
      <c r="L826" s="2"/>
      <c r="M826" s="2"/>
      <c r="N826" s="2"/>
      <c r="O826" s="2" t="s">
        <v>2962</v>
      </c>
      <c r="P826" s="2" t="s">
        <v>73</v>
      </c>
      <c r="Q826" s="2" t="s">
        <v>23903</v>
      </c>
      <c r="R826" s="2" t="s">
        <v>4831</v>
      </c>
      <c r="S826" s="2" t="s">
        <v>44</v>
      </c>
      <c r="T826" s="2"/>
      <c r="U826" s="2" t="s">
        <v>3527</v>
      </c>
      <c r="V826" s="2" t="s">
        <v>46</v>
      </c>
      <c r="W826" s="2" t="s">
        <v>3527</v>
      </c>
      <c r="X826" s="2" t="s">
        <v>10787</v>
      </c>
      <c r="Y826" s="2" t="s">
        <v>10801</v>
      </c>
      <c r="Z826" s="2" t="s">
        <v>7864</v>
      </c>
      <c r="AA826" s="2">
        <v>90</v>
      </c>
      <c r="AB826" s="2">
        <v>0</v>
      </c>
      <c r="AC826" s="2" t="s">
        <v>10789</v>
      </c>
      <c r="AD826" s="2" t="s">
        <v>23904</v>
      </c>
      <c r="AE826" s="2" t="s">
        <v>18260</v>
      </c>
      <c r="AF826" s="2"/>
      <c r="AG826" s="2" t="s">
        <v>18250</v>
      </c>
    </row>
    <row r="827" spans="1:33" x14ac:dyDescent="0.45">
      <c r="A827" s="2" t="s">
        <v>23905</v>
      </c>
      <c r="B827" s="2" t="s">
        <v>23906</v>
      </c>
      <c r="C827" s="2" t="s">
        <v>23905</v>
      </c>
      <c r="D827" s="2" t="s">
        <v>23907</v>
      </c>
      <c r="E827" s="2" t="s">
        <v>23908</v>
      </c>
      <c r="F827" s="2"/>
      <c r="G827" s="2"/>
      <c r="H827" s="2" t="s">
        <v>59</v>
      </c>
      <c r="I827" s="2" t="s">
        <v>60</v>
      </c>
      <c r="J827" s="2" t="s">
        <v>1100</v>
      </c>
      <c r="K827" s="2" t="s">
        <v>23907</v>
      </c>
      <c r="L827" s="2"/>
      <c r="M827" s="2"/>
      <c r="N827" s="2"/>
      <c r="O827" s="2" t="s">
        <v>59</v>
      </c>
      <c r="P827" s="2" t="s">
        <v>60</v>
      </c>
      <c r="Q827" s="2" t="s">
        <v>1100</v>
      </c>
      <c r="R827" s="2" t="s">
        <v>20398</v>
      </c>
      <c r="S827" s="2" t="s">
        <v>44</v>
      </c>
      <c r="T827" s="2"/>
      <c r="U827" s="2" t="s">
        <v>821</v>
      </c>
      <c r="V827" s="2" t="s">
        <v>46</v>
      </c>
      <c r="W827" s="2" t="s">
        <v>821</v>
      </c>
      <c r="X827" s="2" t="s">
        <v>10787</v>
      </c>
      <c r="Y827" s="2" t="s">
        <v>10801</v>
      </c>
      <c r="Z827" s="2" t="s">
        <v>7864</v>
      </c>
      <c r="AA827" s="2">
        <v>90</v>
      </c>
      <c r="AB827" s="2">
        <v>7</v>
      </c>
      <c r="AC827" s="2" t="s">
        <v>10789</v>
      </c>
      <c r="AD827" s="2" t="s">
        <v>23909</v>
      </c>
      <c r="AE827" s="2" t="s">
        <v>18260</v>
      </c>
      <c r="AF827" s="2"/>
      <c r="AG827" s="2" t="s">
        <v>18250</v>
      </c>
    </row>
    <row r="828" spans="1:33" x14ac:dyDescent="0.45">
      <c r="A828" s="2" t="s">
        <v>23910</v>
      </c>
      <c r="B828" s="2" t="s">
        <v>23911</v>
      </c>
      <c r="C828" s="2" t="s">
        <v>23910</v>
      </c>
      <c r="D828" s="2" t="s">
        <v>23912</v>
      </c>
      <c r="E828" s="2" t="s">
        <v>23913</v>
      </c>
      <c r="F828" s="2" t="s">
        <v>23914</v>
      </c>
      <c r="G828" s="2" t="s">
        <v>23914</v>
      </c>
      <c r="H828" s="2" t="s">
        <v>312</v>
      </c>
      <c r="I828" s="2" t="s">
        <v>313</v>
      </c>
      <c r="J828" s="2" t="s">
        <v>13669</v>
      </c>
      <c r="K828" s="2"/>
      <c r="L828" s="2"/>
      <c r="M828" s="2"/>
      <c r="N828" s="2"/>
      <c r="O828" s="2"/>
      <c r="P828" s="2"/>
      <c r="Q828" s="2"/>
      <c r="R828" s="2" t="s">
        <v>8601</v>
      </c>
      <c r="S828" s="2" t="s">
        <v>44</v>
      </c>
      <c r="T828" s="2"/>
      <c r="U828" s="2" t="s">
        <v>3527</v>
      </c>
      <c r="V828" s="2" t="s">
        <v>46</v>
      </c>
      <c r="W828" s="2" t="s">
        <v>3527</v>
      </c>
      <c r="X828" s="2" t="s">
        <v>10787</v>
      </c>
      <c r="Y828" s="2" t="s">
        <v>10801</v>
      </c>
      <c r="Z828" s="2" t="s">
        <v>7864</v>
      </c>
      <c r="AA828" s="2">
        <v>100</v>
      </c>
      <c r="AB828" s="2">
        <v>10</v>
      </c>
      <c r="AC828" s="2" t="s">
        <v>10789</v>
      </c>
      <c r="AD828" s="2" t="s">
        <v>23915</v>
      </c>
      <c r="AE828" s="2" t="s">
        <v>18260</v>
      </c>
      <c r="AF828" s="2"/>
      <c r="AG828" s="2" t="s">
        <v>18250</v>
      </c>
    </row>
    <row r="829" spans="1:33" x14ac:dyDescent="0.45">
      <c r="A829" s="2" t="s">
        <v>23916</v>
      </c>
      <c r="B829" s="2" t="s">
        <v>23917</v>
      </c>
      <c r="C829" s="2" t="s">
        <v>23916</v>
      </c>
      <c r="D829" s="2" t="s">
        <v>23918</v>
      </c>
      <c r="E829" s="2" t="s">
        <v>23919</v>
      </c>
      <c r="F829" s="2" t="s">
        <v>23920</v>
      </c>
      <c r="G829" s="2"/>
      <c r="H829" s="2" t="s">
        <v>8392</v>
      </c>
      <c r="I829" s="2" t="s">
        <v>313</v>
      </c>
      <c r="J829" s="2" t="s">
        <v>10417</v>
      </c>
      <c r="K829" s="2" t="s">
        <v>23918</v>
      </c>
      <c r="L829" s="2"/>
      <c r="M829" s="2"/>
      <c r="N829" s="2"/>
      <c r="O829" s="2" t="s">
        <v>8392</v>
      </c>
      <c r="P829" s="2" t="s">
        <v>313</v>
      </c>
      <c r="Q829" s="2" t="s">
        <v>10417</v>
      </c>
      <c r="R829" s="2" t="s">
        <v>11021</v>
      </c>
      <c r="S829" s="2" t="s">
        <v>44</v>
      </c>
      <c r="T829" s="2"/>
      <c r="U829" s="2" t="s">
        <v>3527</v>
      </c>
      <c r="V829" s="2" t="s">
        <v>46</v>
      </c>
      <c r="W829" s="2" t="s">
        <v>3527</v>
      </c>
      <c r="X829" s="2" t="s">
        <v>10787</v>
      </c>
      <c r="Y829" s="2" t="s">
        <v>10801</v>
      </c>
      <c r="Z829" s="2" t="s">
        <v>7864</v>
      </c>
      <c r="AA829" s="2">
        <v>100</v>
      </c>
      <c r="AB829" s="2">
        <v>5</v>
      </c>
      <c r="AC829" s="2" t="s">
        <v>10789</v>
      </c>
      <c r="AD829" s="2" t="s">
        <v>23921</v>
      </c>
      <c r="AE829" s="2" t="s">
        <v>18260</v>
      </c>
      <c r="AF829" s="2"/>
      <c r="AG829" s="2" t="s">
        <v>18250</v>
      </c>
    </row>
    <row r="830" spans="1:33" x14ac:dyDescent="0.45">
      <c r="A830" s="2" t="s">
        <v>23922</v>
      </c>
      <c r="B830" s="2" t="s">
        <v>23923</v>
      </c>
      <c r="C830" s="2" t="s">
        <v>23924</v>
      </c>
      <c r="D830" s="2" t="s">
        <v>23925</v>
      </c>
      <c r="E830" s="2" t="s">
        <v>23926</v>
      </c>
      <c r="F830" s="2"/>
      <c r="G830" s="2"/>
      <c r="H830" s="2" t="s">
        <v>1161</v>
      </c>
      <c r="I830" s="2" t="s">
        <v>221</v>
      </c>
      <c r="J830" s="2" t="s">
        <v>23927</v>
      </c>
      <c r="K830" s="2" t="s">
        <v>23925</v>
      </c>
      <c r="L830" s="2"/>
      <c r="M830" s="2"/>
      <c r="N830" s="2"/>
      <c r="O830" s="2" t="s">
        <v>1161</v>
      </c>
      <c r="P830" s="2" t="s">
        <v>221</v>
      </c>
      <c r="Q830" s="2" t="s">
        <v>23927</v>
      </c>
      <c r="R830" s="2" t="s">
        <v>346</v>
      </c>
      <c r="S830" s="2" t="s">
        <v>44</v>
      </c>
      <c r="T830" s="2"/>
      <c r="U830" s="2" t="s">
        <v>3527</v>
      </c>
      <c r="V830" s="2" t="s">
        <v>46</v>
      </c>
      <c r="W830" s="2" t="s">
        <v>3527</v>
      </c>
      <c r="X830" s="2" t="s">
        <v>10787</v>
      </c>
      <c r="Y830" s="2" t="s">
        <v>10801</v>
      </c>
      <c r="Z830" s="2" t="s">
        <v>7864</v>
      </c>
      <c r="AA830" s="2">
        <v>90</v>
      </c>
      <c r="AB830" s="2">
        <v>0</v>
      </c>
      <c r="AC830" s="2" t="s">
        <v>10789</v>
      </c>
      <c r="AD830" s="2" t="s">
        <v>23928</v>
      </c>
      <c r="AE830" s="2" t="s">
        <v>18260</v>
      </c>
      <c r="AF830" s="2"/>
      <c r="AG830" s="2" t="s">
        <v>18250</v>
      </c>
    </row>
    <row r="831" spans="1:33" x14ac:dyDescent="0.45">
      <c r="A831" s="2" t="s">
        <v>23929</v>
      </c>
      <c r="B831" s="2" t="s">
        <v>23930</v>
      </c>
      <c r="C831" s="2" t="s">
        <v>23929</v>
      </c>
      <c r="D831" s="2" t="s">
        <v>23931</v>
      </c>
      <c r="E831" s="2" t="s">
        <v>23932</v>
      </c>
      <c r="F831" s="2" t="s">
        <v>23933</v>
      </c>
      <c r="G831" s="2"/>
      <c r="H831" s="2" t="s">
        <v>72</v>
      </c>
      <c r="I831" s="2" t="s">
        <v>73</v>
      </c>
      <c r="J831" s="2" t="s">
        <v>12899</v>
      </c>
      <c r="K831" s="2"/>
      <c r="L831" s="2"/>
      <c r="M831" s="2"/>
      <c r="N831" s="2"/>
      <c r="O831" s="2"/>
      <c r="P831" s="2"/>
      <c r="Q831" s="2"/>
      <c r="R831" s="2" t="s">
        <v>14999</v>
      </c>
      <c r="S831" s="2" t="s">
        <v>44</v>
      </c>
      <c r="T831" s="2"/>
      <c r="U831" s="2" t="s">
        <v>3527</v>
      </c>
      <c r="V831" s="2" t="s">
        <v>46</v>
      </c>
      <c r="W831" s="2" t="s">
        <v>3527</v>
      </c>
      <c r="X831" s="2" t="s">
        <v>10787</v>
      </c>
      <c r="Y831" s="2" t="s">
        <v>10801</v>
      </c>
      <c r="Z831" s="2" t="s">
        <v>7864</v>
      </c>
      <c r="AA831" s="2">
        <v>100</v>
      </c>
      <c r="AB831" s="2">
        <v>10</v>
      </c>
      <c r="AC831" s="2" t="s">
        <v>10789</v>
      </c>
      <c r="AD831" s="2" t="s">
        <v>23934</v>
      </c>
      <c r="AE831" s="2" t="s">
        <v>18260</v>
      </c>
      <c r="AF831" s="2"/>
      <c r="AG831" s="2" t="s">
        <v>18250</v>
      </c>
    </row>
    <row r="832" spans="1:33" x14ac:dyDescent="0.45">
      <c r="A832" s="2" t="s">
        <v>23935</v>
      </c>
      <c r="B832" s="2" t="s">
        <v>23936</v>
      </c>
      <c r="C832" s="2" t="s">
        <v>17742</v>
      </c>
      <c r="D832" s="2" t="s">
        <v>23937</v>
      </c>
      <c r="E832" s="2" t="s">
        <v>23938</v>
      </c>
      <c r="F832" s="2"/>
      <c r="G832" s="2"/>
      <c r="H832" s="2" t="s">
        <v>12989</v>
      </c>
      <c r="I832" s="2" t="s">
        <v>313</v>
      </c>
      <c r="J832" s="2" t="s">
        <v>12990</v>
      </c>
      <c r="K832" s="2"/>
      <c r="L832" s="2"/>
      <c r="M832" s="2"/>
      <c r="N832" s="2"/>
      <c r="O832" s="2"/>
      <c r="P832" s="2"/>
      <c r="Q832" s="2"/>
      <c r="R832" s="2" t="s">
        <v>23939</v>
      </c>
      <c r="S832" s="2" t="s">
        <v>44</v>
      </c>
      <c r="T832" s="2"/>
      <c r="U832" s="2" t="s">
        <v>3527</v>
      </c>
      <c r="V832" s="2" t="s">
        <v>46</v>
      </c>
      <c r="W832" s="2" t="s">
        <v>3527</v>
      </c>
      <c r="X832" s="2" t="s">
        <v>10787</v>
      </c>
      <c r="Y832" s="2" t="s">
        <v>10801</v>
      </c>
      <c r="Z832" s="2" t="s">
        <v>7864</v>
      </c>
      <c r="AA832" s="2">
        <v>90</v>
      </c>
      <c r="AB832" s="2">
        <v>0</v>
      </c>
      <c r="AC832" s="2" t="s">
        <v>10789</v>
      </c>
      <c r="AD832" s="2" t="s">
        <v>23940</v>
      </c>
      <c r="AE832" s="2" t="s">
        <v>18260</v>
      </c>
      <c r="AF832" s="2"/>
      <c r="AG832" s="2" t="s">
        <v>18250</v>
      </c>
    </row>
    <row r="833" spans="1:33" x14ac:dyDescent="0.45">
      <c r="A833" s="2" t="s">
        <v>23941</v>
      </c>
      <c r="B833" s="2" t="s">
        <v>23942</v>
      </c>
      <c r="C833" s="2" t="s">
        <v>23941</v>
      </c>
      <c r="D833" s="2" t="s">
        <v>23943</v>
      </c>
      <c r="E833" s="2" t="s">
        <v>23944</v>
      </c>
      <c r="F833" s="2"/>
      <c r="G833" s="2"/>
      <c r="H833" s="2" t="s">
        <v>5623</v>
      </c>
      <c r="I833" s="2" t="s">
        <v>40</v>
      </c>
      <c r="J833" s="2" t="s">
        <v>23945</v>
      </c>
      <c r="K833" s="2" t="s">
        <v>23943</v>
      </c>
      <c r="L833" s="2"/>
      <c r="M833" s="2"/>
      <c r="N833" s="2"/>
      <c r="O833" s="2" t="s">
        <v>5623</v>
      </c>
      <c r="P833" s="2" t="s">
        <v>40</v>
      </c>
      <c r="Q833" s="2" t="s">
        <v>23945</v>
      </c>
      <c r="R833" s="2" t="s">
        <v>23946</v>
      </c>
      <c r="S833" s="2" t="s">
        <v>44</v>
      </c>
      <c r="T833" s="2"/>
      <c r="U833" s="2" t="s">
        <v>821</v>
      </c>
      <c r="V833" s="2" t="s">
        <v>46</v>
      </c>
      <c r="W833" s="2" t="s">
        <v>821</v>
      </c>
      <c r="X833" s="2" t="s">
        <v>10787</v>
      </c>
      <c r="Y833" s="2" t="s">
        <v>10801</v>
      </c>
      <c r="Z833" s="2" t="s">
        <v>7864</v>
      </c>
      <c r="AA833" s="2">
        <v>90</v>
      </c>
      <c r="AB833" s="2">
        <v>2</v>
      </c>
      <c r="AC833" s="2" t="s">
        <v>10789</v>
      </c>
      <c r="AD833" s="2" t="s">
        <v>23947</v>
      </c>
      <c r="AE833" s="2" t="s">
        <v>18260</v>
      </c>
      <c r="AF833" s="2"/>
      <c r="AG833" s="2" t="s">
        <v>18250</v>
      </c>
    </row>
    <row r="834" spans="1:33" x14ac:dyDescent="0.45">
      <c r="A834" s="2" t="s">
        <v>23948</v>
      </c>
      <c r="B834" s="2" t="s">
        <v>23949</v>
      </c>
      <c r="C834" s="2" t="s">
        <v>23948</v>
      </c>
      <c r="D834" s="2" t="s">
        <v>23950</v>
      </c>
      <c r="E834" s="2" t="s">
        <v>23951</v>
      </c>
      <c r="F834" s="2" t="s">
        <v>23952</v>
      </c>
      <c r="G834" s="2"/>
      <c r="H834" s="2" t="s">
        <v>17610</v>
      </c>
      <c r="I834" s="2" t="s">
        <v>1112</v>
      </c>
      <c r="J834" s="2" t="s">
        <v>23953</v>
      </c>
      <c r="K834" s="2" t="s">
        <v>23950</v>
      </c>
      <c r="L834" s="2"/>
      <c r="M834" s="2"/>
      <c r="N834" s="2"/>
      <c r="O834" s="2" t="s">
        <v>17610</v>
      </c>
      <c r="P834" s="2" t="s">
        <v>1112</v>
      </c>
      <c r="Q834" s="2" t="s">
        <v>23953</v>
      </c>
      <c r="R834" s="2" t="s">
        <v>13574</v>
      </c>
      <c r="S834" s="2" t="s">
        <v>44</v>
      </c>
      <c r="T834" s="2"/>
      <c r="U834" s="2" t="s">
        <v>821</v>
      </c>
      <c r="V834" s="2" t="s">
        <v>46</v>
      </c>
      <c r="W834" s="2" t="s">
        <v>821</v>
      </c>
      <c r="X834" s="2" t="s">
        <v>10787</v>
      </c>
      <c r="Y834" s="2" t="s">
        <v>10801</v>
      </c>
      <c r="Z834" s="2" t="s">
        <v>7864</v>
      </c>
      <c r="AA834" s="2">
        <v>100</v>
      </c>
      <c r="AB834" s="2">
        <v>12</v>
      </c>
      <c r="AC834" s="2" t="s">
        <v>10789</v>
      </c>
      <c r="AD834" s="2" t="s">
        <v>23954</v>
      </c>
      <c r="AE834" s="2" t="s">
        <v>18260</v>
      </c>
      <c r="AF834" s="2"/>
      <c r="AG834" s="2" t="s">
        <v>18250</v>
      </c>
    </row>
    <row r="835" spans="1:33" x14ac:dyDescent="0.45">
      <c r="A835" s="2" t="s">
        <v>23955</v>
      </c>
      <c r="B835" s="2" t="s">
        <v>23956</v>
      </c>
      <c r="C835" s="2" t="s">
        <v>23955</v>
      </c>
      <c r="D835" s="2" t="s">
        <v>23957</v>
      </c>
      <c r="E835" s="2" t="s">
        <v>23958</v>
      </c>
      <c r="F835" s="2" t="s">
        <v>23959</v>
      </c>
      <c r="G835" s="2" t="s">
        <v>23959</v>
      </c>
      <c r="H835" s="2" t="s">
        <v>1161</v>
      </c>
      <c r="I835" s="2" t="s">
        <v>221</v>
      </c>
      <c r="J835" s="2" t="s">
        <v>23960</v>
      </c>
      <c r="K835" s="2" t="s">
        <v>23957</v>
      </c>
      <c r="L835" s="2"/>
      <c r="M835" s="2"/>
      <c r="N835" s="2"/>
      <c r="O835" s="2" t="s">
        <v>1161</v>
      </c>
      <c r="P835" s="2" t="s">
        <v>221</v>
      </c>
      <c r="Q835" s="2" t="s">
        <v>23960</v>
      </c>
      <c r="R835" s="2" t="s">
        <v>3458</v>
      </c>
      <c r="S835" s="2" t="s">
        <v>44</v>
      </c>
      <c r="T835" s="2"/>
      <c r="U835" s="2" t="s">
        <v>3527</v>
      </c>
      <c r="V835" s="2" t="s">
        <v>46</v>
      </c>
      <c r="W835" s="2" t="s">
        <v>3527</v>
      </c>
      <c r="X835" s="2" t="s">
        <v>10787</v>
      </c>
      <c r="Y835" s="2" t="s">
        <v>10801</v>
      </c>
      <c r="Z835" s="2" t="s">
        <v>7864</v>
      </c>
      <c r="AA835" s="2">
        <v>100</v>
      </c>
      <c r="AB835" s="2">
        <v>5</v>
      </c>
      <c r="AC835" s="2" t="s">
        <v>10789</v>
      </c>
      <c r="AD835" s="2" t="s">
        <v>23961</v>
      </c>
      <c r="AE835" s="2" t="s">
        <v>18260</v>
      </c>
      <c r="AF835" s="2"/>
      <c r="AG835" s="2" t="s">
        <v>18250</v>
      </c>
    </row>
    <row r="836" spans="1:33" x14ac:dyDescent="0.45">
      <c r="A836" s="2" t="s">
        <v>23962</v>
      </c>
      <c r="B836" s="2" t="s">
        <v>23963</v>
      </c>
      <c r="C836" s="2" t="s">
        <v>23964</v>
      </c>
      <c r="D836" s="2" t="s">
        <v>23965</v>
      </c>
      <c r="E836" s="2" t="s">
        <v>23966</v>
      </c>
      <c r="F836" s="2" t="s">
        <v>23967</v>
      </c>
      <c r="G836" s="2" t="s">
        <v>23967</v>
      </c>
      <c r="H836" s="2" t="s">
        <v>174</v>
      </c>
      <c r="I836" s="2" t="s">
        <v>175</v>
      </c>
      <c r="J836" s="2" t="s">
        <v>22379</v>
      </c>
      <c r="K836" s="2" t="s">
        <v>23968</v>
      </c>
      <c r="L836" s="2"/>
      <c r="M836" s="2"/>
      <c r="N836" s="2"/>
      <c r="O836" s="2" t="s">
        <v>174</v>
      </c>
      <c r="P836" s="2" t="s">
        <v>175</v>
      </c>
      <c r="Q836" s="2" t="s">
        <v>22379</v>
      </c>
      <c r="R836" s="2" t="s">
        <v>11138</v>
      </c>
      <c r="S836" s="2" t="s">
        <v>44</v>
      </c>
      <c r="T836" s="2"/>
      <c r="U836" s="2" t="s">
        <v>3527</v>
      </c>
      <c r="V836" s="2" t="s">
        <v>46</v>
      </c>
      <c r="W836" s="2" t="s">
        <v>3527</v>
      </c>
      <c r="X836" s="2" t="s">
        <v>10787</v>
      </c>
      <c r="Y836" s="2" t="s">
        <v>10801</v>
      </c>
      <c r="Z836" s="2" t="s">
        <v>7864</v>
      </c>
      <c r="AA836" s="2">
        <v>100</v>
      </c>
      <c r="AB836" s="2">
        <v>10</v>
      </c>
      <c r="AC836" s="2" t="s">
        <v>10789</v>
      </c>
      <c r="AD836" s="2" t="s">
        <v>23969</v>
      </c>
      <c r="AE836" s="2" t="s">
        <v>18260</v>
      </c>
      <c r="AF836" s="2"/>
      <c r="AG836" s="2" t="s">
        <v>18250</v>
      </c>
    </row>
    <row r="837" spans="1:33" x14ac:dyDescent="0.45">
      <c r="A837" s="2" t="s">
        <v>23970</v>
      </c>
      <c r="B837" s="2" t="s">
        <v>23971</v>
      </c>
      <c r="C837" s="2" t="s">
        <v>23970</v>
      </c>
      <c r="D837" s="2" t="s">
        <v>23972</v>
      </c>
      <c r="E837" s="2" t="s">
        <v>23973</v>
      </c>
      <c r="F837" s="2" t="s">
        <v>23974</v>
      </c>
      <c r="G837" s="2"/>
      <c r="H837" s="2" t="s">
        <v>17601</v>
      </c>
      <c r="I837" s="2" t="s">
        <v>17166</v>
      </c>
      <c r="J837" s="2" t="s">
        <v>22782</v>
      </c>
      <c r="K837" s="2" t="s">
        <v>23972</v>
      </c>
      <c r="L837" s="2"/>
      <c r="M837" s="2"/>
      <c r="N837" s="2"/>
      <c r="O837" s="2" t="s">
        <v>17601</v>
      </c>
      <c r="P837" s="2" t="s">
        <v>17166</v>
      </c>
      <c r="Q837" s="2" t="s">
        <v>22782</v>
      </c>
      <c r="R837" s="2" t="s">
        <v>5069</v>
      </c>
      <c r="S837" s="2" t="s">
        <v>44</v>
      </c>
      <c r="T837" s="2"/>
      <c r="U837" s="2" t="s">
        <v>3527</v>
      </c>
      <c r="V837" s="2" t="s">
        <v>46</v>
      </c>
      <c r="W837" s="2" t="s">
        <v>3527</v>
      </c>
      <c r="X837" s="2" t="s">
        <v>10787</v>
      </c>
      <c r="Y837" s="2" t="s">
        <v>10801</v>
      </c>
      <c r="Z837" s="2" t="s">
        <v>7864</v>
      </c>
      <c r="AA837" s="2">
        <v>100</v>
      </c>
      <c r="AB837" s="2">
        <v>5</v>
      </c>
      <c r="AC837" s="2" t="s">
        <v>10789</v>
      </c>
      <c r="AD837" s="2" t="s">
        <v>23975</v>
      </c>
      <c r="AE837" s="2" t="s">
        <v>18260</v>
      </c>
      <c r="AF837" s="2"/>
      <c r="AG837" s="2" t="s">
        <v>18250</v>
      </c>
    </row>
    <row r="838" spans="1:33" x14ac:dyDescent="0.45">
      <c r="A838" s="2" t="s">
        <v>23976</v>
      </c>
      <c r="B838" s="2" t="s">
        <v>23977</v>
      </c>
      <c r="C838" s="2" t="s">
        <v>23976</v>
      </c>
      <c r="D838" s="2" t="s">
        <v>23978</v>
      </c>
      <c r="E838" s="2" t="s">
        <v>23979</v>
      </c>
      <c r="F838" s="2"/>
      <c r="G838" s="2"/>
      <c r="H838" s="2" t="s">
        <v>651</v>
      </c>
      <c r="I838" s="2" t="s">
        <v>86</v>
      </c>
      <c r="J838" s="2" t="s">
        <v>23980</v>
      </c>
      <c r="K838" s="2" t="s">
        <v>23978</v>
      </c>
      <c r="L838" s="2"/>
      <c r="M838" s="2"/>
      <c r="N838" s="2"/>
      <c r="O838" s="2" t="s">
        <v>651</v>
      </c>
      <c r="P838" s="2" t="s">
        <v>86</v>
      </c>
      <c r="Q838" s="2" t="s">
        <v>23980</v>
      </c>
      <c r="R838" s="2" t="s">
        <v>20437</v>
      </c>
      <c r="S838" s="2" t="s">
        <v>44</v>
      </c>
      <c r="T838" s="2"/>
      <c r="U838" s="2" t="s">
        <v>3527</v>
      </c>
      <c r="V838" s="2" t="s">
        <v>46</v>
      </c>
      <c r="W838" s="2" t="s">
        <v>3527</v>
      </c>
      <c r="X838" s="2" t="s">
        <v>10787</v>
      </c>
      <c r="Y838" s="2" t="s">
        <v>10801</v>
      </c>
      <c r="Z838" s="2" t="s">
        <v>7864</v>
      </c>
      <c r="AA838" s="2">
        <v>90</v>
      </c>
      <c r="AB838" s="2">
        <v>0</v>
      </c>
      <c r="AC838" s="2" t="s">
        <v>10789</v>
      </c>
      <c r="AD838" s="2" t="s">
        <v>23981</v>
      </c>
      <c r="AE838" s="2" t="s">
        <v>18260</v>
      </c>
      <c r="AF838" s="2"/>
      <c r="AG838" s="2" t="s">
        <v>18250</v>
      </c>
    </row>
    <row r="839" spans="1:33" x14ac:dyDescent="0.45">
      <c r="A839" s="2" t="s">
        <v>23982</v>
      </c>
      <c r="B839" s="2" t="s">
        <v>23983</v>
      </c>
      <c r="C839" s="2" t="s">
        <v>23982</v>
      </c>
      <c r="D839" s="2" t="s">
        <v>23984</v>
      </c>
      <c r="E839" s="2" t="s">
        <v>23985</v>
      </c>
      <c r="F839" s="2" t="s">
        <v>23986</v>
      </c>
      <c r="G839" s="2"/>
      <c r="H839" s="2" t="s">
        <v>174</v>
      </c>
      <c r="I839" s="2" t="s">
        <v>175</v>
      </c>
      <c r="J839" s="2" t="s">
        <v>7136</v>
      </c>
      <c r="K839" s="2"/>
      <c r="L839" s="2"/>
      <c r="M839" s="2"/>
      <c r="N839" s="2"/>
      <c r="O839" s="2"/>
      <c r="P839" s="2"/>
      <c r="Q839" s="2"/>
      <c r="R839" s="2" t="s">
        <v>1285</v>
      </c>
      <c r="S839" s="2" t="s">
        <v>44</v>
      </c>
      <c r="T839" s="2"/>
      <c r="U839" s="2" t="s">
        <v>3527</v>
      </c>
      <c r="V839" s="2" t="s">
        <v>46</v>
      </c>
      <c r="W839" s="2" t="s">
        <v>3527</v>
      </c>
      <c r="X839" s="2" t="s">
        <v>10787</v>
      </c>
      <c r="Y839" s="2" t="s">
        <v>10801</v>
      </c>
      <c r="Z839" s="2" t="s">
        <v>7864</v>
      </c>
      <c r="AA839" s="2">
        <v>100</v>
      </c>
      <c r="AB839" s="2">
        <v>10</v>
      </c>
      <c r="AC839" s="2" t="s">
        <v>10789</v>
      </c>
      <c r="AD839" s="2" t="s">
        <v>23987</v>
      </c>
      <c r="AE839" s="2" t="s">
        <v>18260</v>
      </c>
      <c r="AF839" s="2"/>
      <c r="AG839" s="2" t="s">
        <v>18250</v>
      </c>
    </row>
    <row r="840" spans="1:33" x14ac:dyDescent="0.45">
      <c r="A840" s="2" t="s">
        <v>23988</v>
      </c>
      <c r="B840" s="2" t="s">
        <v>23989</v>
      </c>
      <c r="C840" s="2" t="s">
        <v>23990</v>
      </c>
      <c r="D840" s="2" t="s">
        <v>23991</v>
      </c>
      <c r="E840" s="2" t="s">
        <v>23992</v>
      </c>
      <c r="F840" s="2" t="s">
        <v>23993</v>
      </c>
      <c r="G840" s="2" t="s">
        <v>23993</v>
      </c>
      <c r="H840" s="2" t="s">
        <v>72</v>
      </c>
      <c r="I840" s="2" t="s">
        <v>73</v>
      </c>
      <c r="J840" s="2" t="s">
        <v>3524</v>
      </c>
      <c r="K840" s="2"/>
      <c r="L840" s="2"/>
      <c r="M840" s="2"/>
      <c r="N840" s="2"/>
      <c r="O840" s="2"/>
      <c r="P840" s="2"/>
      <c r="Q840" s="2"/>
      <c r="R840" s="2" t="s">
        <v>10182</v>
      </c>
      <c r="S840" s="2" t="s">
        <v>44</v>
      </c>
      <c r="T840" s="2"/>
      <c r="U840" s="2" t="s">
        <v>3527</v>
      </c>
      <c r="V840" s="2" t="s">
        <v>46</v>
      </c>
      <c r="W840" s="2" t="s">
        <v>3527</v>
      </c>
      <c r="X840" s="2" t="s">
        <v>10787</v>
      </c>
      <c r="Y840" s="2" t="s">
        <v>10801</v>
      </c>
      <c r="Z840" s="2" t="s">
        <v>7864</v>
      </c>
      <c r="AA840" s="2">
        <v>100</v>
      </c>
      <c r="AB840" s="2">
        <v>10</v>
      </c>
      <c r="AC840" s="2" t="s">
        <v>10789</v>
      </c>
      <c r="AD840" s="2" t="s">
        <v>23994</v>
      </c>
      <c r="AE840" s="2" t="s">
        <v>18260</v>
      </c>
      <c r="AF840" s="2"/>
      <c r="AG840" s="2" t="s">
        <v>18250</v>
      </c>
    </row>
    <row r="841" spans="1:33" x14ac:dyDescent="0.45">
      <c r="A841" s="2" t="s">
        <v>23995</v>
      </c>
      <c r="B841" s="2" t="s">
        <v>23996</v>
      </c>
      <c r="C841" s="2" t="s">
        <v>23997</v>
      </c>
      <c r="D841" s="2" t="s">
        <v>23998</v>
      </c>
      <c r="E841" s="2" t="s">
        <v>23999</v>
      </c>
      <c r="F841" s="2"/>
      <c r="G841" s="2"/>
      <c r="H841" s="2" t="s">
        <v>5984</v>
      </c>
      <c r="I841" s="2" t="s">
        <v>313</v>
      </c>
      <c r="J841" s="2" t="s">
        <v>12574</v>
      </c>
      <c r="K841" s="2" t="s">
        <v>24000</v>
      </c>
      <c r="L841" s="2"/>
      <c r="M841" s="2"/>
      <c r="N841" s="2"/>
      <c r="O841" s="2" t="s">
        <v>5984</v>
      </c>
      <c r="P841" s="2" t="s">
        <v>313</v>
      </c>
      <c r="Q841" s="2" t="s">
        <v>12848</v>
      </c>
      <c r="R841" s="2" t="s">
        <v>23710</v>
      </c>
      <c r="S841" s="2" t="s">
        <v>44</v>
      </c>
      <c r="T841" s="2"/>
      <c r="U841" s="2" t="s">
        <v>821</v>
      </c>
      <c r="V841" s="2" t="s">
        <v>46</v>
      </c>
      <c r="W841" s="2" t="s">
        <v>821</v>
      </c>
      <c r="X841" s="2" t="s">
        <v>10787</v>
      </c>
      <c r="Y841" s="2" t="s">
        <v>10801</v>
      </c>
      <c r="Z841" s="2" t="s">
        <v>7864</v>
      </c>
      <c r="AA841" s="2">
        <v>90</v>
      </c>
      <c r="AB841" s="2">
        <v>2</v>
      </c>
      <c r="AC841" s="2" t="s">
        <v>10789</v>
      </c>
      <c r="AD841" s="2" t="s">
        <v>24001</v>
      </c>
      <c r="AE841" s="2" t="s">
        <v>18260</v>
      </c>
      <c r="AF841" s="2"/>
      <c r="AG841" s="2" t="s">
        <v>18250</v>
      </c>
    </row>
    <row r="842" spans="1:33" x14ac:dyDescent="0.45">
      <c r="A842" s="2" t="s">
        <v>24002</v>
      </c>
      <c r="B842" s="2" t="s">
        <v>24003</v>
      </c>
      <c r="C842" s="2" t="s">
        <v>24002</v>
      </c>
      <c r="D842" s="2" t="s">
        <v>24004</v>
      </c>
      <c r="E842" s="2" t="s">
        <v>24005</v>
      </c>
      <c r="F842" s="2" t="s">
        <v>24006</v>
      </c>
      <c r="G842" s="2"/>
      <c r="H842" s="2" t="s">
        <v>72</v>
      </c>
      <c r="I842" s="2" t="s">
        <v>73</v>
      </c>
      <c r="J842" s="2" t="s">
        <v>2800</v>
      </c>
      <c r="K842" s="2" t="s">
        <v>24004</v>
      </c>
      <c r="L842" s="2"/>
      <c r="M842" s="2"/>
      <c r="N842" s="2"/>
      <c r="O842" s="2" t="s">
        <v>72</v>
      </c>
      <c r="P842" s="2" t="s">
        <v>73</v>
      </c>
      <c r="Q842" s="2" t="s">
        <v>2800</v>
      </c>
      <c r="R842" s="2" t="s">
        <v>1702</v>
      </c>
      <c r="S842" s="2" t="s">
        <v>44</v>
      </c>
      <c r="T842" s="2"/>
      <c r="U842" s="2" t="s">
        <v>821</v>
      </c>
      <c r="V842" s="2" t="s">
        <v>46</v>
      </c>
      <c r="W842" s="2" t="s">
        <v>821</v>
      </c>
      <c r="X842" s="2" t="s">
        <v>12462</v>
      </c>
      <c r="Y842" s="2" t="s">
        <v>10801</v>
      </c>
      <c r="Z842" s="2" t="s">
        <v>7864</v>
      </c>
      <c r="AA842" s="2">
        <v>100</v>
      </c>
      <c r="AB842" s="2">
        <v>17</v>
      </c>
      <c r="AC842" s="2" t="s">
        <v>10789</v>
      </c>
      <c r="AD842" s="2" t="s">
        <v>24007</v>
      </c>
      <c r="AE842" s="2" t="s">
        <v>18260</v>
      </c>
      <c r="AF842" s="2"/>
      <c r="AG842" s="2" t="s">
        <v>18250</v>
      </c>
    </row>
    <row r="843" spans="1:33" x14ac:dyDescent="0.45">
      <c r="A843" s="2" t="s">
        <v>24008</v>
      </c>
      <c r="B843" s="2" t="s">
        <v>24009</v>
      </c>
      <c r="C843" s="2" t="s">
        <v>24008</v>
      </c>
      <c r="D843" s="2" t="s">
        <v>24010</v>
      </c>
      <c r="E843" s="2" t="s">
        <v>24011</v>
      </c>
      <c r="F843" s="2" t="s">
        <v>24012</v>
      </c>
      <c r="G843" s="2" t="s">
        <v>24012</v>
      </c>
      <c r="H843" s="2" t="s">
        <v>1188</v>
      </c>
      <c r="I843" s="2" t="s">
        <v>221</v>
      </c>
      <c r="J843" s="2" t="s">
        <v>1189</v>
      </c>
      <c r="K843" s="2" t="s">
        <v>24010</v>
      </c>
      <c r="L843" s="2"/>
      <c r="M843" s="2"/>
      <c r="N843" s="2"/>
      <c r="O843" s="2" t="s">
        <v>1188</v>
      </c>
      <c r="P843" s="2" t="s">
        <v>221</v>
      </c>
      <c r="Q843" s="2" t="s">
        <v>1189</v>
      </c>
      <c r="R843" s="2" t="s">
        <v>17210</v>
      </c>
      <c r="S843" s="2" t="s">
        <v>44</v>
      </c>
      <c r="T843" s="2"/>
      <c r="U843" s="2" t="s">
        <v>821</v>
      </c>
      <c r="V843" s="2" t="s">
        <v>46</v>
      </c>
      <c r="W843" s="2" t="s">
        <v>821</v>
      </c>
      <c r="X843" s="2" t="s">
        <v>10787</v>
      </c>
      <c r="Y843" s="2" t="s">
        <v>10801</v>
      </c>
      <c r="Z843" s="2" t="s">
        <v>7864</v>
      </c>
      <c r="AA843" s="2">
        <v>100</v>
      </c>
      <c r="AB843" s="2">
        <v>17</v>
      </c>
      <c r="AC843" s="2" t="s">
        <v>10789</v>
      </c>
      <c r="AD843" s="2" t="s">
        <v>24013</v>
      </c>
      <c r="AE843" s="2" t="s">
        <v>18260</v>
      </c>
      <c r="AF843" s="2"/>
      <c r="AG843" s="2" t="s">
        <v>18250</v>
      </c>
    </row>
    <row r="844" spans="1:33" x14ac:dyDescent="0.45">
      <c r="A844" s="2" t="s">
        <v>24014</v>
      </c>
      <c r="B844" s="2" t="s">
        <v>24015</v>
      </c>
      <c r="C844" s="2" t="s">
        <v>24016</v>
      </c>
      <c r="D844" s="2" t="s">
        <v>24017</v>
      </c>
      <c r="E844" s="2" t="s">
        <v>24018</v>
      </c>
      <c r="F844" s="2" t="s">
        <v>24019</v>
      </c>
      <c r="G844" s="2"/>
      <c r="H844" s="2" t="s">
        <v>59</v>
      </c>
      <c r="I844" s="2" t="s">
        <v>60</v>
      </c>
      <c r="J844" s="2" t="s">
        <v>4239</v>
      </c>
      <c r="K844" s="2" t="s">
        <v>24020</v>
      </c>
      <c r="L844" s="2"/>
      <c r="M844" s="2"/>
      <c r="N844" s="2"/>
      <c r="O844" s="2" t="s">
        <v>59</v>
      </c>
      <c r="P844" s="2" t="s">
        <v>60</v>
      </c>
      <c r="Q844" s="2" t="s">
        <v>4239</v>
      </c>
      <c r="R844" s="2" t="s">
        <v>24021</v>
      </c>
      <c r="S844" s="2" t="s">
        <v>44</v>
      </c>
      <c r="T844" s="2"/>
      <c r="U844" s="2" t="s">
        <v>3527</v>
      </c>
      <c r="V844" s="2" t="s">
        <v>46</v>
      </c>
      <c r="W844" s="2" t="s">
        <v>3527</v>
      </c>
      <c r="X844" s="2" t="s">
        <v>10787</v>
      </c>
      <c r="Y844" s="2" t="s">
        <v>10801</v>
      </c>
      <c r="Z844" s="2" t="s">
        <v>7864</v>
      </c>
      <c r="AA844" s="2">
        <v>100</v>
      </c>
      <c r="AB844" s="2">
        <v>10</v>
      </c>
      <c r="AC844" s="2" t="s">
        <v>10789</v>
      </c>
      <c r="AD844" s="2" t="s">
        <v>24022</v>
      </c>
      <c r="AE844" s="2" t="s">
        <v>18260</v>
      </c>
      <c r="AF844" s="2"/>
      <c r="AG844" s="2" t="s">
        <v>18250</v>
      </c>
    </row>
    <row r="845" spans="1:33" x14ac:dyDescent="0.45">
      <c r="A845" s="2" t="s">
        <v>24023</v>
      </c>
      <c r="B845" s="2" t="s">
        <v>24024</v>
      </c>
      <c r="C845" s="2" t="s">
        <v>24025</v>
      </c>
      <c r="D845" s="2" t="s">
        <v>24026</v>
      </c>
      <c r="E845" s="2" t="s">
        <v>24027</v>
      </c>
      <c r="F845" s="2"/>
      <c r="G845" s="2"/>
      <c r="H845" s="2" t="s">
        <v>72</v>
      </c>
      <c r="I845" s="2" t="s">
        <v>73</v>
      </c>
      <c r="J845" s="2" t="s">
        <v>720</v>
      </c>
      <c r="K845" s="2" t="s">
        <v>24028</v>
      </c>
      <c r="L845" s="2"/>
      <c r="M845" s="2"/>
      <c r="N845" s="2"/>
      <c r="O845" s="2" t="s">
        <v>72</v>
      </c>
      <c r="P845" s="2" t="s">
        <v>73</v>
      </c>
      <c r="Q845" s="2" t="s">
        <v>720</v>
      </c>
      <c r="R845" s="2" t="s">
        <v>24029</v>
      </c>
      <c r="S845" s="2" t="s">
        <v>44</v>
      </c>
      <c r="T845" s="2"/>
      <c r="U845" s="2" t="s">
        <v>3527</v>
      </c>
      <c r="V845" s="2" t="s">
        <v>46</v>
      </c>
      <c r="W845" s="2" t="s">
        <v>3527</v>
      </c>
      <c r="X845" s="2" t="s">
        <v>10787</v>
      </c>
      <c r="Y845" s="2" t="s">
        <v>10801</v>
      </c>
      <c r="Z845" s="2" t="s">
        <v>7864</v>
      </c>
      <c r="AA845" s="2">
        <v>90</v>
      </c>
      <c r="AB845" s="2">
        <v>0</v>
      </c>
      <c r="AC845" s="2" t="s">
        <v>10789</v>
      </c>
      <c r="AD845" s="2" t="s">
        <v>24030</v>
      </c>
      <c r="AE845" s="2" t="s">
        <v>18260</v>
      </c>
      <c r="AF845" s="2"/>
      <c r="AG845" s="2" t="s">
        <v>18250</v>
      </c>
    </row>
    <row r="846" spans="1:33" x14ac:dyDescent="0.45">
      <c r="A846" s="2" t="s">
        <v>24031</v>
      </c>
      <c r="B846" s="2" t="s">
        <v>24032</v>
      </c>
      <c r="C846" s="2" t="s">
        <v>24033</v>
      </c>
      <c r="D846" s="2" t="s">
        <v>24034</v>
      </c>
      <c r="E846" s="2" t="s">
        <v>24035</v>
      </c>
      <c r="F846" s="2" t="s">
        <v>24036</v>
      </c>
      <c r="G846" s="2" t="s">
        <v>24036</v>
      </c>
      <c r="H846" s="2" t="s">
        <v>277</v>
      </c>
      <c r="I846" s="2" t="s">
        <v>278</v>
      </c>
      <c r="J846" s="2" t="s">
        <v>1060</v>
      </c>
      <c r="K846" s="2" t="s">
        <v>24034</v>
      </c>
      <c r="L846" s="2"/>
      <c r="M846" s="2"/>
      <c r="N846" s="2"/>
      <c r="O846" s="2" t="s">
        <v>277</v>
      </c>
      <c r="P846" s="2" t="s">
        <v>278</v>
      </c>
      <c r="Q846" s="2" t="s">
        <v>1060</v>
      </c>
      <c r="R846" s="2" t="s">
        <v>8580</v>
      </c>
      <c r="S846" s="2" t="s">
        <v>44</v>
      </c>
      <c r="T846" s="2"/>
      <c r="U846" s="2" t="s">
        <v>3527</v>
      </c>
      <c r="V846" s="2" t="s">
        <v>46</v>
      </c>
      <c r="W846" s="2" t="s">
        <v>3527</v>
      </c>
      <c r="X846" s="2" t="s">
        <v>10787</v>
      </c>
      <c r="Y846" s="2" t="s">
        <v>10801</v>
      </c>
      <c r="Z846" s="2" t="s">
        <v>7864</v>
      </c>
      <c r="AA846" s="2">
        <v>100</v>
      </c>
      <c r="AB846" s="2">
        <v>10</v>
      </c>
      <c r="AC846" s="2" t="s">
        <v>10789</v>
      </c>
      <c r="AD846" s="2" t="s">
        <v>24037</v>
      </c>
      <c r="AE846" s="2" t="s">
        <v>18260</v>
      </c>
      <c r="AF846" s="2"/>
      <c r="AG846" s="2" t="s">
        <v>18250</v>
      </c>
    </row>
    <row r="847" spans="1:33" x14ac:dyDescent="0.45">
      <c r="A847" s="2" t="s">
        <v>24038</v>
      </c>
      <c r="B847" s="2" t="s">
        <v>24039</v>
      </c>
      <c r="C847" s="2" t="s">
        <v>24040</v>
      </c>
      <c r="D847" s="2" t="s">
        <v>24041</v>
      </c>
      <c r="E847" s="2" t="s">
        <v>24042</v>
      </c>
      <c r="F847" s="2" t="s">
        <v>24043</v>
      </c>
      <c r="G847" s="2"/>
      <c r="H847" s="2" t="s">
        <v>8506</v>
      </c>
      <c r="I847" s="2" t="s">
        <v>221</v>
      </c>
      <c r="J847" s="2" t="s">
        <v>24044</v>
      </c>
      <c r="K847" s="2" t="s">
        <v>24041</v>
      </c>
      <c r="L847" s="2"/>
      <c r="M847" s="2"/>
      <c r="N847" s="2"/>
      <c r="O847" s="2" t="s">
        <v>8506</v>
      </c>
      <c r="P847" s="2" t="s">
        <v>221</v>
      </c>
      <c r="Q847" s="2" t="s">
        <v>24044</v>
      </c>
      <c r="R847" s="2" t="s">
        <v>21025</v>
      </c>
      <c r="S847" s="2" t="s">
        <v>44</v>
      </c>
      <c r="T847" s="2"/>
      <c r="U847" s="2" t="s">
        <v>3527</v>
      </c>
      <c r="V847" s="2" t="s">
        <v>46</v>
      </c>
      <c r="W847" s="2" t="s">
        <v>3527</v>
      </c>
      <c r="X847" s="2" t="s">
        <v>10787</v>
      </c>
      <c r="Y847" s="2" t="s">
        <v>10801</v>
      </c>
      <c r="Z847" s="2" t="s">
        <v>7864</v>
      </c>
      <c r="AA847" s="2">
        <v>100</v>
      </c>
      <c r="AB847" s="2">
        <v>5</v>
      </c>
      <c r="AC847" s="2" t="s">
        <v>10789</v>
      </c>
      <c r="AD847" s="2" t="s">
        <v>24045</v>
      </c>
      <c r="AE847" s="2" t="s">
        <v>18260</v>
      </c>
      <c r="AF847" s="2"/>
      <c r="AG847" s="2" t="s">
        <v>18250</v>
      </c>
    </row>
    <row r="848" spans="1:33" x14ac:dyDescent="0.45">
      <c r="A848" s="2" t="s">
        <v>24046</v>
      </c>
      <c r="B848" s="2" t="s">
        <v>24047</v>
      </c>
      <c r="C848" s="2" t="s">
        <v>24046</v>
      </c>
      <c r="D848" s="2" t="s">
        <v>24048</v>
      </c>
      <c r="E848" s="2" t="s">
        <v>24049</v>
      </c>
      <c r="F848" s="2" t="s">
        <v>24050</v>
      </c>
      <c r="G848" s="2"/>
      <c r="H848" s="2" t="s">
        <v>72</v>
      </c>
      <c r="I848" s="2" t="s">
        <v>73</v>
      </c>
      <c r="J848" s="2" t="s">
        <v>1430</v>
      </c>
      <c r="K848" s="2" t="s">
        <v>24051</v>
      </c>
      <c r="L848" s="2"/>
      <c r="M848" s="2"/>
      <c r="N848" s="2"/>
      <c r="O848" s="2" t="s">
        <v>72</v>
      </c>
      <c r="P848" s="2" t="s">
        <v>73</v>
      </c>
      <c r="Q848" s="2" t="s">
        <v>1430</v>
      </c>
      <c r="R848" s="2" t="s">
        <v>6883</v>
      </c>
      <c r="S848" s="2" t="s">
        <v>44</v>
      </c>
      <c r="T848" s="2"/>
      <c r="U848" s="2" t="s">
        <v>3527</v>
      </c>
      <c r="V848" s="2" t="s">
        <v>46</v>
      </c>
      <c r="W848" s="2" t="s">
        <v>3527</v>
      </c>
      <c r="X848" s="2" t="s">
        <v>10787</v>
      </c>
      <c r="Y848" s="2" t="s">
        <v>10801</v>
      </c>
      <c r="Z848" s="2" t="s">
        <v>7864</v>
      </c>
      <c r="AA848" s="2">
        <v>100</v>
      </c>
      <c r="AB848" s="2">
        <v>10</v>
      </c>
      <c r="AC848" s="2" t="s">
        <v>10789</v>
      </c>
      <c r="AD848" s="2" t="s">
        <v>24052</v>
      </c>
      <c r="AE848" s="2" t="s">
        <v>18260</v>
      </c>
      <c r="AF848" s="2"/>
      <c r="AG848" s="2" t="s">
        <v>18250</v>
      </c>
    </row>
    <row r="849" spans="1:33" x14ac:dyDescent="0.45">
      <c r="A849" s="2" t="s">
        <v>24053</v>
      </c>
      <c r="B849" s="2" t="s">
        <v>24054</v>
      </c>
      <c r="C849" s="2" t="s">
        <v>24055</v>
      </c>
      <c r="D849" s="2" t="s">
        <v>24056</v>
      </c>
      <c r="E849" s="2" t="s">
        <v>24057</v>
      </c>
      <c r="F849" s="2" t="s">
        <v>24058</v>
      </c>
      <c r="G849" s="2"/>
      <c r="H849" s="2" t="s">
        <v>72</v>
      </c>
      <c r="I849" s="2" t="s">
        <v>73</v>
      </c>
      <c r="J849" s="2" t="s">
        <v>1430</v>
      </c>
      <c r="K849" s="2" t="s">
        <v>24056</v>
      </c>
      <c r="L849" s="2"/>
      <c r="M849" s="2"/>
      <c r="N849" s="2"/>
      <c r="O849" s="2" t="s">
        <v>72</v>
      </c>
      <c r="P849" s="2" t="s">
        <v>73</v>
      </c>
      <c r="Q849" s="2" t="s">
        <v>1430</v>
      </c>
      <c r="R849" s="2" t="s">
        <v>5233</v>
      </c>
      <c r="S849" s="2" t="s">
        <v>44</v>
      </c>
      <c r="T849" s="2"/>
      <c r="U849" s="2" t="s">
        <v>3527</v>
      </c>
      <c r="V849" s="2" t="s">
        <v>46</v>
      </c>
      <c r="W849" s="2" t="s">
        <v>3527</v>
      </c>
      <c r="X849" s="2" t="s">
        <v>10787</v>
      </c>
      <c r="Y849" s="2" t="s">
        <v>10801</v>
      </c>
      <c r="Z849" s="2" t="s">
        <v>7864</v>
      </c>
      <c r="AA849" s="2">
        <v>100</v>
      </c>
      <c r="AB849" s="2">
        <v>10</v>
      </c>
      <c r="AC849" s="2" t="s">
        <v>10789</v>
      </c>
      <c r="AD849" s="2" t="s">
        <v>24059</v>
      </c>
      <c r="AE849" s="2" t="s">
        <v>18260</v>
      </c>
      <c r="AF849" s="2"/>
      <c r="AG849" s="2" t="s">
        <v>18250</v>
      </c>
    </row>
    <row r="850" spans="1:33" x14ac:dyDescent="0.45">
      <c r="A850" s="2" t="s">
        <v>24060</v>
      </c>
      <c r="B850" s="2" t="s">
        <v>24061</v>
      </c>
      <c r="C850" s="2" t="s">
        <v>24060</v>
      </c>
      <c r="D850" s="2" t="s">
        <v>24062</v>
      </c>
      <c r="E850" s="2" t="s">
        <v>24063</v>
      </c>
      <c r="F850" s="2"/>
      <c r="G850" s="2"/>
      <c r="H850" s="2" t="s">
        <v>13126</v>
      </c>
      <c r="I850" s="2" t="s">
        <v>1176</v>
      </c>
      <c r="J850" s="2" t="s">
        <v>17156</v>
      </c>
      <c r="K850" s="2" t="s">
        <v>24062</v>
      </c>
      <c r="L850" s="2"/>
      <c r="M850" s="2"/>
      <c r="N850" s="2"/>
      <c r="O850" s="2" t="s">
        <v>13126</v>
      </c>
      <c r="P850" s="2" t="s">
        <v>1176</v>
      </c>
      <c r="Q850" s="2" t="s">
        <v>17156</v>
      </c>
      <c r="R850" s="2" t="s">
        <v>24064</v>
      </c>
      <c r="S850" s="2" t="s">
        <v>44</v>
      </c>
      <c r="T850" s="2"/>
      <c r="U850" s="2" t="s">
        <v>3527</v>
      </c>
      <c r="V850" s="2" t="s">
        <v>46</v>
      </c>
      <c r="W850" s="2" t="s">
        <v>3527</v>
      </c>
      <c r="X850" s="2" t="s">
        <v>10787</v>
      </c>
      <c r="Y850" s="2" t="s">
        <v>10801</v>
      </c>
      <c r="Z850" s="2" t="s">
        <v>7864</v>
      </c>
      <c r="AA850" s="2">
        <v>90</v>
      </c>
      <c r="AB850" s="2">
        <v>0</v>
      </c>
      <c r="AC850" s="2" t="s">
        <v>10789</v>
      </c>
      <c r="AD850" s="2" t="s">
        <v>24065</v>
      </c>
      <c r="AE850" s="2" t="s">
        <v>18260</v>
      </c>
      <c r="AF850" s="2"/>
      <c r="AG850" s="2" t="s">
        <v>18250</v>
      </c>
    </row>
    <row r="851" spans="1:33" x14ac:dyDescent="0.45">
      <c r="A851" s="2" t="s">
        <v>24066</v>
      </c>
      <c r="B851" s="2" t="s">
        <v>24067</v>
      </c>
      <c r="C851" s="2" t="s">
        <v>24068</v>
      </c>
      <c r="D851" s="2" t="s">
        <v>24069</v>
      </c>
      <c r="E851" s="2" t="s">
        <v>24070</v>
      </c>
      <c r="F851" s="2" t="s">
        <v>24071</v>
      </c>
      <c r="G851" s="2" t="s">
        <v>24071</v>
      </c>
      <c r="H851" s="2" t="s">
        <v>1269</v>
      </c>
      <c r="I851" s="2" t="s">
        <v>1176</v>
      </c>
      <c r="J851" s="2" t="s">
        <v>5963</v>
      </c>
      <c r="K851" s="2" t="s">
        <v>24072</v>
      </c>
      <c r="L851" s="2"/>
      <c r="M851" s="2"/>
      <c r="N851" s="2"/>
      <c r="O851" s="2" t="s">
        <v>1269</v>
      </c>
      <c r="P851" s="2" t="s">
        <v>1176</v>
      </c>
      <c r="Q851" s="2" t="s">
        <v>5963</v>
      </c>
      <c r="R851" s="2" t="s">
        <v>7438</v>
      </c>
      <c r="S851" s="2" t="s">
        <v>44</v>
      </c>
      <c r="T851" s="2"/>
      <c r="U851" s="2" t="s">
        <v>3527</v>
      </c>
      <c r="V851" s="2" t="s">
        <v>46</v>
      </c>
      <c r="W851" s="2" t="s">
        <v>3527</v>
      </c>
      <c r="X851" s="2" t="s">
        <v>12028</v>
      </c>
      <c r="Y851" s="2" t="s">
        <v>10801</v>
      </c>
      <c r="Z851" s="2" t="s">
        <v>7864</v>
      </c>
      <c r="AA851" s="2">
        <v>100</v>
      </c>
      <c r="AB851" s="2">
        <v>5</v>
      </c>
      <c r="AC851" s="2" t="s">
        <v>10789</v>
      </c>
      <c r="AD851" s="2" t="s">
        <v>24073</v>
      </c>
      <c r="AE851" s="2" t="s">
        <v>18260</v>
      </c>
      <c r="AF851" s="2"/>
      <c r="AG851" s="2" t="s">
        <v>18250</v>
      </c>
    </row>
    <row r="852" spans="1:33" x14ac:dyDescent="0.45">
      <c r="A852" s="2" t="s">
        <v>24074</v>
      </c>
      <c r="B852" s="2" t="s">
        <v>24075</v>
      </c>
      <c r="C852" s="2" t="s">
        <v>24076</v>
      </c>
      <c r="D852" s="2" t="s">
        <v>24077</v>
      </c>
      <c r="E852" s="2" t="s">
        <v>24078</v>
      </c>
      <c r="F852" s="2"/>
      <c r="G852" s="2"/>
      <c r="H852" s="2" t="s">
        <v>39</v>
      </c>
      <c r="I852" s="2" t="s">
        <v>40</v>
      </c>
      <c r="J852" s="2" t="s">
        <v>19038</v>
      </c>
      <c r="K852" s="2" t="s">
        <v>24077</v>
      </c>
      <c r="L852" s="2"/>
      <c r="M852" s="2"/>
      <c r="N852" s="2"/>
      <c r="O852" s="2" t="s">
        <v>39</v>
      </c>
      <c r="P852" s="2" t="s">
        <v>40</v>
      </c>
      <c r="Q852" s="2" t="s">
        <v>19038</v>
      </c>
      <c r="R852" s="2" t="s">
        <v>4205</v>
      </c>
      <c r="S852" s="2" t="s">
        <v>44</v>
      </c>
      <c r="T852" s="2"/>
      <c r="U852" s="2" t="s">
        <v>3527</v>
      </c>
      <c r="V852" s="2" t="s">
        <v>46</v>
      </c>
      <c r="W852" s="2" t="s">
        <v>3527</v>
      </c>
      <c r="X852" s="2" t="s">
        <v>10787</v>
      </c>
      <c r="Y852" s="2" t="s">
        <v>10801</v>
      </c>
      <c r="Z852" s="2" t="s">
        <v>7864</v>
      </c>
      <c r="AA852" s="2">
        <v>90</v>
      </c>
      <c r="AB852" s="2">
        <v>0</v>
      </c>
      <c r="AC852" s="2" t="s">
        <v>10789</v>
      </c>
      <c r="AD852" s="2" t="s">
        <v>24079</v>
      </c>
      <c r="AE852" s="2" t="s">
        <v>18260</v>
      </c>
      <c r="AF852" s="2"/>
      <c r="AG852" s="2" t="s">
        <v>18250</v>
      </c>
    </row>
    <row r="853" spans="1:33" x14ac:dyDescent="0.45">
      <c r="A853" s="2" t="s">
        <v>24080</v>
      </c>
      <c r="B853" s="2" t="s">
        <v>24081</v>
      </c>
      <c r="C853" s="2" t="s">
        <v>24082</v>
      </c>
      <c r="D853" s="2" t="s">
        <v>24083</v>
      </c>
      <c r="E853" s="2" t="s">
        <v>24084</v>
      </c>
      <c r="F853" s="2"/>
      <c r="G853" s="2"/>
      <c r="H853" s="2" t="s">
        <v>290</v>
      </c>
      <c r="I853" s="2" t="s">
        <v>278</v>
      </c>
      <c r="J853" s="2" t="s">
        <v>3634</v>
      </c>
      <c r="K853" s="2" t="s">
        <v>24083</v>
      </c>
      <c r="L853" s="2"/>
      <c r="M853" s="2"/>
      <c r="N853" s="2"/>
      <c r="O853" s="2" t="s">
        <v>290</v>
      </c>
      <c r="P853" s="2" t="s">
        <v>278</v>
      </c>
      <c r="Q853" s="2" t="s">
        <v>3634</v>
      </c>
      <c r="R853" s="2" t="s">
        <v>10017</v>
      </c>
      <c r="S853" s="2" t="s">
        <v>44</v>
      </c>
      <c r="T853" s="2"/>
      <c r="U853" s="2" t="s">
        <v>3527</v>
      </c>
      <c r="V853" s="2" t="s">
        <v>46</v>
      </c>
      <c r="W853" s="2" t="s">
        <v>3527</v>
      </c>
      <c r="X853" s="2" t="s">
        <v>10787</v>
      </c>
      <c r="Y853" s="2" t="s">
        <v>10801</v>
      </c>
      <c r="Z853" s="2" t="s">
        <v>7864</v>
      </c>
      <c r="AA853" s="2">
        <v>90</v>
      </c>
      <c r="AB853" s="2">
        <v>0</v>
      </c>
      <c r="AC853" s="2" t="s">
        <v>10789</v>
      </c>
      <c r="AD853" s="2" t="s">
        <v>24085</v>
      </c>
      <c r="AE853" s="2" t="s">
        <v>18260</v>
      </c>
      <c r="AF853" s="2"/>
      <c r="AG853" s="2" t="s">
        <v>18250</v>
      </c>
    </row>
    <row r="854" spans="1:33" x14ac:dyDescent="0.45">
      <c r="A854" s="2" t="s">
        <v>24086</v>
      </c>
      <c r="B854" s="2" t="s">
        <v>24087</v>
      </c>
      <c r="C854" s="2" t="s">
        <v>24088</v>
      </c>
      <c r="D854" s="2" t="s">
        <v>24089</v>
      </c>
      <c r="E854" s="2" t="s">
        <v>24090</v>
      </c>
      <c r="F854" s="2" t="s">
        <v>24091</v>
      </c>
      <c r="G854" s="2"/>
      <c r="H854" s="2" t="s">
        <v>324</v>
      </c>
      <c r="I854" s="2" t="s">
        <v>73</v>
      </c>
      <c r="J854" s="2" t="s">
        <v>326</v>
      </c>
      <c r="K854" s="2"/>
      <c r="L854" s="2"/>
      <c r="M854" s="2"/>
      <c r="N854" s="2"/>
      <c r="O854" s="2"/>
      <c r="P854" s="2"/>
      <c r="Q854" s="2"/>
      <c r="R854" s="2" t="s">
        <v>12013</v>
      </c>
      <c r="S854" s="2" t="s">
        <v>44</v>
      </c>
      <c r="T854" s="2"/>
      <c r="U854" s="2" t="s">
        <v>3527</v>
      </c>
      <c r="V854" s="2" t="s">
        <v>46</v>
      </c>
      <c r="W854" s="2" t="s">
        <v>3527</v>
      </c>
      <c r="X854" s="2" t="s">
        <v>10787</v>
      </c>
      <c r="Y854" s="2" t="s">
        <v>10801</v>
      </c>
      <c r="Z854" s="2" t="s">
        <v>7864</v>
      </c>
      <c r="AA854" s="2">
        <v>100</v>
      </c>
      <c r="AB854" s="2">
        <v>10</v>
      </c>
      <c r="AC854" s="2" t="s">
        <v>10789</v>
      </c>
      <c r="AD854" s="2" t="s">
        <v>24092</v>
      </c>
      <c r="AE854" s="2" t="s">
        <v>18260</v>
      </c>
      <c r="AF854" s="2"/>
      <c r="AG854" s="2" t="s">
        <v>18250</v>
      </c>
    </row>
    <row r="855" spans="1:33" x14ac:dyDescent="0.45">
      <c r="A855" s="2" t="s">
        <v>24093</v>
      </c>
      <c r="B855" s="2" t="s">
        <v>24094</v>
      </c>
      <c r="C855" s="2" t="s">
        <v>24093</v>
      </c>
      <c r="D855" s="2" t="s">
        <v>24095</v>
      </c>
      <c r="E855" s="2" t="s">
        <v>24096</v>
      </c>
      <c r="F855" s="2"/>
      <c r="G855" s="2"/>
      <c r="H855" s="2" t="s">
        <v>174</v>
      </c>
      <c r="I855" s="2" t="s">
        <v>175</v>
      </c>
      <c r="J855" s="2" t="s">
        <v>6714</v>
      </c>
      <c r="K855" s="2" t="s">
        <v>24095</v>
      </c>
      <c r="L855" s="2"/>
      <c r="M855" s="2"/>
      <c r="N855" s="2"/>
      <c r="O855" s="2" t="s">
        <v>174</v>
      </c>
      <c r="P855" s="2" t="s">
        <v>175</v>
      </c>
      <c r="Q855" s="2" t="s">
        <v>6714</v>
      </c>
      <c r="R855" s="2" t="s">
        <v>4512</v>
      </c>
      <c r="S855" s="2" t="s">
        <v>44</v>
      </c>
      <c r="T855" s="2"/>
      <c r="U855" s="2" t="s">
        <v>3527</v>
      </c>
      <c r="V855" s="2" t="s">
        <v>46</v>
      </c>
      <c r="W855" s="2" t="s">
        <v>3527</v>
      </c>
      <c r="X855" s="2" t="s">
        <v>10787</v>
      </c>
      <c r="Y855" s="2" t="s">
        <v>10801</v>
      </c>
      <c r="Z855" s="2" t="s">
        <v>7864</v>
      </c>
      <c r="AA855" s="2">
        <v>90</v>
      </c>
      <c r="AB855" s="2">
        <v>0</v>
      </c>
      <c r="AC855" s="2" t="s">
        <v>10789</v>
      </c>
      <c r="AD855" s="2" t="s">
        <v>24097</v>
      </c>
      <c r="AE855" s="2" t="s">
        <v>18260</v>
      </c>
      <c r="AF855" s="2"/>
      <c r="AG855" s="2" t="s">
        <v>18250</v>
      </c>
    </row>
    <row r="856" spans="1:33" x14ac:dyDescent="0.45">
      <c r="A856" s="2" t="s">
        <v>24098</v>
      </c>
      <c r="B856" s="2" t="s">
        <v>24099</v>
      </c>
      <c r="C856" s="2" t="s">
        <v>24100</v>
      </c>
      <c r="D856" s="2" t="s">
        <v>24101</v>
      </c>
      <c r="E856" s="2" t="s">
        <v>24102</v>
      </c>
      <c r="F856" s="2"/>
      <c r="G856" s="2"/>
      <c r="H856" s="2" t="s">
        <v>39</v>
      </c>
      <c r="I856" s="2" t="s">
        <v>40</v>
      </c>
      <c r="J856" s="2" t="s">
        <v>11002</v>
      </c>
      <c r="K856" s="2" t="s">
        <v>24103</v>
      </c>
      <c r="L856" s="2"/>
      <c r="M856" s="2"/>
      <c r="N856" s="2"/>
      <c r="O856" s="2" t="s">
        <v>39</v>
      </c>
      <c r="P856" s="2" t="s">
        <v>40</v>
      </c>
      <c r="Q856" s="2" t="s">
        <v>732</v>
      </c>
      <c r="R856" s="2" t="s">
        <v>24104</v>
      </c>
      <c r="S856" s="2" t="s">
        <v>44</v>
      </c>
      <c r="T856" s="2"/>
      <c r="U856" s="2" t="s">
        <v>3527</v>
      </c>
      <c r="V856" s="2" t="s">
        <v>46</v>
      </c>
      <c r="W856" s="2" t="s">
        <v>3527</v>
      </c>
      <c r="X856" s="2" t="s">
        <v>10787</v>
      </c>
      <c r="Y856" s="2" t="s">
        <v>10801</v>
      </c>
      <c r="Z856" s="2" t="s">
        <v>7864</v>
      </c>
      <c r="AA856" s="2">
        <v>90</v>
      </c>
      <c r="AB856" s="2">
        <v>0</v>
      </c>
      <c r="AC856" s="2" t="s">
        <v>10789</v>
      </c>
      <c r="AD856" s="2" t="s">
        <v>24105</v>
      </c>
      <c r="AE856" s="2" t="s">
        <v>18260</v>
      </c>
      <c r="AF856" s="2"/>
      <c r="AG856" s="2" t="s">
        <v>18250</v>
      </c>
    </row>
    <row r="857" spans="1:33" x14ac:dyDescent="0.45">
      <c r="A857" s="2" t="s">
        <v>24106</v>
      </c>
      <c r="B857" s="2" t="s">
        <v>24107</v>
      </c>
      <c r="C857" s="2" t="s">
        <v>24106</v>
      </c>
      <c r="D857" s="2" t="s">
        <v>24108</v>
      </c>
      <c r="E857" s="2" t="s">
        <v>24109</v>
      </c>
      <c r="F857" s="2"/>
      <c r="G857" s="2"/>
      <c r="H857" s="2" t="s">
        <v>59</v>
      </c>
      <c r="I857" s="2" t="s">
        <v>60</v>
      </c>
      <c r="J857" s="2" t="s">
        <v>3102</v>
      </c>
      <c r="K857" s="2" t="s">
        <v>24108</v>
      </c>
      <c r="L857" s="2"/>
      <c r="M857" s="2"/>
      <c r="N857" s="2"/>
      <c r="O857" s="2" t="s">
        <v>59</v>
      </c>
      <c r="P857" s="2" t="s">
        <v>60</v>
      </c>
      <c r="Q857" s="2" t="s">
        <v>3102</v>
      </c>
      <c r="R857" s="2" t="s">
        <v>16012</v>
      </c>
      <c r="S857" s="2" t="s">
        <v>44</v>
      </c>
      <c r="T857" s="2"/>
      <c r="U857" s="2" t="s">
        <v>3527</v>
      </c>
      <c r="V857" s="2" t="s">
        <v>46</v>
      </c>
      <c r="W857" s="2" t="s">
        <v>3527</v>
      </c>
      <c r="X857" s="2" t="s">
        <v>10787</v>
      </c>
      <c r="Y857" s="2" t="s">
        <v>10801</v>
      </c>
      <c r="Z857" s="2" t="s">
        <v>7864</v>
      </c>
      <c r="AA857" s="2">
        <v>90</v>
      </c>
      <c r="AB857" s="2">
        <v>0</v>
      </c>
      <c r="AC857" s="2" t="s">
        <v>10789</v>
      </c>
      <c r="AD857" s="2" t="s">
        <v>24110</v>
      </c>
      <c r="AE857" s="2" t="s">
        <v>18260</v>
      </c>
      <c r="AF857" s="2"/>
      <c r="AG857" s="2" t="s">
        <v>18250</v>
      </c>
    </row>
    <row r="858" spans="1:33" x14ac:dyDescent="0.45">
      <c r="A858" s="2" t="s">
        <v>24111</v>
      </c>
      <c r="B858" s="2" t="s">
        <v>24112</v>
      </c>
      <c r="C858" s="2" t="s">
        <v>24113</v>
      </c>
      <c r="D858" s="2" t="s">
        <v>24114</v>
      </c>
      <c r="E858" s="2" t="s">
        <v>24115</v>
      </c>
      <c r="F858" s="2" t="s">
        <v>24116</v>
      </c>
      <c r="G858" s="2" t="s">
        <v>24116</v>
      </c>
      <c r="H858" s="2" t="s">
        <v>10605</v>
      </c>
      <c r="I858" s="2" t="s">
        <v>1281</v>
      </c>
      <c r="J858" s="2" t="s">
        <v>13222</v>
      </c>
      <c r="K858" s="2" t="s">
        <v>24114</v>
      </c>
      <c r="L858" s="2"/>
      <c r="M858" s="2"/>
      <c r="N858" s="2"/>
      <c r="O858" s="2" t="s">
        <v>10605</v>
      </c>
      <c r="P858" s="2" t="s">
        <v>1281</v>
      </c>
      <c r="Q858" s="2" t="s">
        <v>13222</v>
      </c>
      <c r="R858" s="2" t="s">
        <v>3467</v>
      </c>
      <c r="S858" s="2" t="s">
        <v>44</v>
      </c>
      <c r="T858" s="2"/>
      <c r="U858" s="2" t="s">
        <v>3527</v>
      </c>
      <c r="V858" s="2" t="s">
        <v>46</v>
      </c>
      <c r="W858" s="2" t="s">
        <v>3527</v>
      </c>
      <c r="X858" s="2" t="s">
        <v>10787</v>
      </c>
      <c r="Y858" s="2" t="s">
        <v>10801</v>
      </c>
      <c r="Z858" s="2" t="s">
        <v>7864</v>
      </c>
      <c r="AA858" s="2">
        <v>100</v>
      </c>
      <c r="AB858" s="2">
        <v>5</v>
      </c>
      <c r="AC858" s="2" t="s">
        <v>10789</v>
      </c>
      <c r="AD858" s="2" t="s">
        <v>24117</v>
      </c>
      <c r="AE858" s="2" t="s">
        <v>18260</v>
      </c>
      <c r="AF858" s="2"/>
      <c r="AG858" s="2" t="s">
        <v>18250</v>
      </c>
    </row>
    <row r="859" spans="1:33" x14ac:dyDescent="0.45">
      <c r="A859" s="2" t="s">
        <v>24118</v>
      </c>
      <c r="B859" s="2" t="s">
        <v>24119</v>
      </c>
      <c r="C859" s="2" t="s">
        <v>24118</v>
      </c>
      <c r="D859" s="2" t="s">
        <v>24120</v>
      </c>
      <c r="E859" s="2" t="s">
        <v>24121</v>
      </c>
      <c r="F859" s="2" t="s">
        <v>24122</v>
      </c>
      <c r="G859" s="2"/>
      <c r="H859" s="2" t="s">
        <v>424</v>
      </c>
      <c r="I859" s="2" t="s">
        <v>217</v>
      </c>
      <c r="J859" s="2" t="s">
        <v>4292</v>
      </c>
      <c r="K859" s="2" t="s">
        <v>24120</v>
      </c>
      <c r="L859" s="2"/>
      <c r="M859" s="2"/>
      <c r="N859" s="2"/>
      <c r="O859" s="2" t="s">
        <v>424</v>
      </c>
      <c r="P859" s="2" t="s">
        <v>217</v>
      </c>
      <c r="Q859" s="2" t="s">
        <v>4292</v>
      </c>
      <c r="R859" s="2" t="s">
        <v>13759</v>
      </c>
      <c r="S859" s="2" t="s">
        <v>44</v>
      </c>
      <c r="T859" s="2"/>
      <c r="U859" s="2" t="s">
        <v>821</v>
      </c>
      <c r="V859" s="2" t="s">
        <v>46</v>
      </c>
      <c r="W859" s="2" t="s">
        <v>821</v>
      </c>
      <c r="X859" s="2" t="s">
        <v>10787</v>
      </c>
      <c r="Y859" s="2" t="s">
        <v>10801</v>
      </c>
      <c r="Z859" s="2" t="s">
        <v>7864</v>
      </c>
      <c r="AA859" s="2">
        <v>100</v>
      </c>
      <c r="AB859" s="2">
        <v>17</v>
      </c>
      <c r="AC859" s="2" t="s">
        <v>10789</v>
      </c>
      <c r="AD859" s="2" t="s">
        <v>24123</v>
      </c>
      <c r="AE859" s="2" t="s">
        <v>18260</v>
      </c>
      <c r="AF859" s="2"/>
      <c r="AG859" s="2" t="s">
        <v>18250</v>
      </c>
    </row>
    <row r="860" spans="1:33" x14ac:dyDescent="0.45">
      <c r="A860" s="2" t="s">
        <v>24124</v>
      </c>
      <c r="B860" s="2" t="s">
        <v>24125</v>
      </c>
      <c r="C860" s="2" t="s">
        <v>24126</v>
      </c>
      <c r="D860" s="2" t="s">
        <v>24127</v>
      </c>
      <c r="E860" s="2" t="s">
        <v>24128</v>
      </c>
      <c r="F860" s="2" t="s">
        <v>24129</v>
      </c>
      <c r="G860" s="2" t="s">
        <v>24129</v>
      </c>
      <c r="H860" s="2" t="s">
        <v>5623</v>
      </c>
      <c r="I860" s="2" t="s">
        <v>40</v>
      </c>
      <c r="J860" s="2" t="s">
        <v>24130</v>
      </c>
      <c r="K860" s="2" t="s">
        <v>24131</v>
      </c>
      <c r="L860" s="2"/>
      <c r="M860" s="2"/>
      <c r="N860" s="2"/>
      <c r="O860" s="2" t="s">
        <v>5623</v>
      </c>
      <c r="P860" s="2" t="s">
        <v>40</v>
      </c>
      <c r="Q860" s="2" t="s">
        <v>24130</v>
      </c>
      <c r="R860" s="2" t="s">
        <v>21892</v>
      </c>
      <c r="S860" s="2" t="s">
        <v>44</v>
      </c>
      <c r="T860" s="2"/>
      <c r="U860" s="2" t="s">
        <v>3527</v>
      </c>
      <c r="V860" s="2" t="s">
        <v>46</v>
      </c>
      <c r="W860" s="2" t="s">
        <v>3527</v>
      </c>
      <c r="X860" s="2" t="s">
        <v>10787</v>
      </c>
      <c r="Y860" s="2" t="s">
        <v>10801</v>
      </c>
      <c r="Z860" s="2" t="s">
        <v>7864</v>
      </c>
      <c r="AA860" s="2">
        <v>100</v>
      </c>
      <c r="AB860" s="2">
        <v>5</v>
      </c>
      <c r="AC860" s="2" t="s">
        <v>10789</v>
      </c>
      <c r="AD860" s="2" t="s">
        <v>24132</v>
      </c>
      <c r="AE860" s="2" t="s">
        <v>18260</v>
      </c>
      <c r="AF860" s="2"/>
      <c r="AG860" s="2" t="s">
        <v>18250</v>
      </c>
    </row>
    <row r="861" spans="1:33" x14ac:dyDescent="0.45">
      <c r="A861" s="2" t="s">
        <v>24133</v>
      </c>
      <c r="B861" s="2" t="s">
        <v>24134</v>
      </c>
      <c r="C861" s="2" t="s">
        <v>24133</v>
      </c>
      <c r="D861" s="2" t="s">
        <v>24135</v>
      </c>
      <c r="E861" s="2" t="s">
        <v>24136</v>
      </c>
      <c r="F861" s="2" t="s">
        <v>24137</v>
      </c>
      <c r="G861" s="2"/>
      <c r="H861" s="2" t="s">
        <v>72</v>
      </c>
      <c r="I861" s="2" t="s">
        <v>73</v>
      </c>
      <c r="J861" s="2" t="s">
        <v>162</v>
      </c>
      <c r="K861" s="2" t="s">
        <v>24135</v>
      </c>
      <c r="L861" s="2"/>
      <c r="M861" s="2"/>
      <c r="N861" s="2"/>
      <c r="O861" s="2" t="s">
        <v>72</v>
      </c>
      <c r="P861" s="2" t="s">
        <v>73</v>
      </c>
      <c r="Q861" s="2" t="s">
        <v>162</v>
      </c>
      <c r="R861" s="2" t="s">
        <v>924</v>
      </c>
      <c r="S861" s="2" t="s">
        <v>44</v>
      </c>
      <c r="T861" s="2"/>
      <c r="U861" s="2" t="s">
        <v>3527</v>
      </c>
      <c r="V861" s="2" t="s">
        <v>46</v>
      </c>
      <c r="W861" s="2" t="s">
        <v>3527</v>
      </c>
      <c r="X861" s="2" t="s">
        <v>10787</v>
      </c>
      <c r="Y861" s="2" t="s">
        <v>10801</v>
      </c>
      <c r="Z861" s="2" t="s">
        <v>7864</v>
      </c>
      <c r="AA861" s="2">
        <v>100</v>
      </c>
      <c r="AB861" s="2">
        <v>10</v>
      </c>
      <c r="AC861" s="2" t="s">
        <v>10789</v>
      </c>
      <c r="AD861" s="2" t="s">
        <v>24138</v>
      </c>
      <c r="AE861" s="2" t="s">
        <v>18260</v>
      </c>
      <c r="AF861" s="2"/>
      <c r="AG861" s="2" t="s">
        <v>18250</v>
      </c>
    </row>
    <row r="862" spans="1:33" x14ac:dyDescent="0.45">
      <c r="A862" s="2" t="s">
        <v>24139</v>
      </c>
      <c r="B862" s="2" t="s">
        <v>24140</v>
      </c>
      <c r="C862" s="2" t="s">
        <v>24139</v>
      </c>
      <c r="D862" s="2" t="s">
        <v>24141</v>
      </c>
      <c r="E862" s="2" t="s">
        <v>24142</v>
      </c>
      <c r="F862" s="2" t="s">
        <v>24143</v>
      </c>
      <c r="G862" s="2" t="s">
        <v>24143</v>
      </c>
      <c r="H862" s="2" t="s">
        <v>1023</v>
      </c>
      <c r="I862" s="2" t="s">
        <v>73</v>
      </c>
      <c r="J862" s="2" t="s">
        <v>3854</v>
      </c>
      <c r="K862" s="2" t="s">
        <v>24144</v>
      </c>
      <c r="L862" s="2"/>
      <c r="M862" s="2"/>
      <c r="N862" s="2"/>
      <c r="O862" s="2" t="s">
        <v>1023</v>
      </c>
      <c r="P862" s="2" t="s">
        <v>73</v>
      </c>
      <c r="Q862" s="2" t="s">
        <v>12204</v>
      </c>
      <c r="R862" s="2" t="s">
        <v>24145</v>
      </c>
      <c r="S862" s="2" t="s">
        <v>44</v>
      </c>
      <c r="T862" s="2"/>
      <c r="U862" s="2" t="s">
        <v>821</v>
      </c>
      <c r="V862" s="2" t="s">
        <v>46</v>
      </c>
      <c r="W862" s="2" t="s">
        <v>821</v>
      </c>
      <c r="X862" s="2" t="s">
        <v>11225</v>
      </c>
      <c r="Y862" s="2" t="s">
        <v>10801</v>
      </c>
      <c r="Z862" s="2" t="s">
        <v>7864</v>
      </c>
      <c r="AA862" s="2">
        <v>100</v>
      </c>
      <c r="AB862" s="2">
        <v>17</v>
      </c>
      <c r="AC862" s="2" t="s">
        <v>10789</v>
      </c>
      <c r="AD862" s="2" t="s">
        <v>24146</v>
      </c>
      <c r="AE862" s="2" t="s">
        <v>18260</v>
      </c>
      <c r="AF862" s="2"/>
      <c r="AG862" s="2" t="s">
        <v>18250</v>
      </c>
    </row>
    <row r="863" spans="1:33" x14ac:dyDescent="0.45">
      <c r="A863" s="2" t="s">
        <v>24147</v>
      </c>
      <c r="B863" s="2" t="s">
        <v>24148</v>
      </c>
      <c r="C863" s="2" t="s">
        <v>24149</v>
      </c>
      <c r="D863" s="2" t="s">
        <v>24150</v>
      </c>
      <c r="E863" s="2" t="s">
        <v>24151</v>
      </c>
      <c r="F863" s="2" t="s">
        <v>24152</v>
      </c>
      <c r="G863" s="2"/>
      <c r="H863" s="2" t="s">
        <v>1023</v>
      </c>
      <c r="I863" s="2" t="s">
        <v>73</v>
      </c>
      <c r="J863" s="2" t="s">
        <v>12873</v>
      </c>
      <c r="K863" s="2" t="s">
        <v>24150</v>
      </c>
      <c r="L863" s="2"/>
      <c r="M863" s="2"/>
      <c r="N863" s="2"/>
      <c r="O863" s="2" t="s">
        <v>1023</v>
      </c>
      <c r="P863" s="2" t="s">
        <v>73</v>
      </c>
      <c r="Q863" s="2" t="s">
        <v>12873</v>
      </c>
      <c r="R863" s="2" t="s">
        <v>5286</v>
      </c>
      <c r="S863" s="2" t="s">
        <v>44</v>
      </c>
      <c r="T863" s="2"/>
      <c r="U863" s="2" t="s">
        <v>3527</v>
      </c>
      <c r="V863" s="2" t="s">
        <v>46</v>
      </c>
      <c r="W863" s="2" t="s">
        <v>3527</v>
      </c>
      <c r="X863" s="2" t="s">
        <v>10787</v>
      </c>
      <c r="Y863" s="2" t="s">
        <v>10801</v>
      </c>
      <c r="Z863" s="2" t="s">
        <v>7864</v>
      </c>
      <c r="AA863" s="2">
        <v>100</v>
      </c>
      <c r="AB863" s="2">
        <v>10</v>
      </c>
      <c r="AC863" s="2" t="s">
        <v>10789</v>
      </c>
      <c r="AD863" s="2" t="s">
        <v>24153</v>
      </c>
      <c r="AE863" s="2" t="s">
        <v>18260</v>
      </c>
      <c r="AF863" s="2"/>
      <c r="AG863" s="2" t="s">
        <v>18250</v>
      </c>
    </row>
    <row r="864" spans="1:33" x14ac:dyDescent="0.45">
      <c r="A864" s="2" t="s">
        <v>24154</v>
      </c>
      <c r="B864" s="2" t="s">
        <v>24155</v>
      </c>
      <c r="C864" s="2" t="s">
        <v>24156</v>
      </c>
      <c r="D864" s="2" t="s">
        <v>24157</v>
      </c>
      <c r="E864" s="2" t="s">
        <v>24158</v>
      </c>
      <c r="F864" s="2"/>
      <c r="G864" s="2"/>
      <c r="H864" s="2" t="s">
        <v>1023</v>
      </c>
      <c r="I864" s="2" t="s">
        <v>73</v>
      </c>
      <c r="J864" s="2" t="s">
        <v>1024</v>
      </c>
      <c r="K864" s="2" t="s">
        <v>24159</v>
      </c>
      <c r="L864" s="2"/>
      <c r="M864" s="2"/>
      <c r="N864" s="2"/>
      <c r="O864" s="2" t="s">
        <v>1023</v>
      </c>
      <c r="P864" s="2" t="s">
        <v>73</v>
      </c>
      <c r="Q864" s="2" t="s">
        <v>1024</v>
      </c>
      <c r="R864" s="2" t="s">
        <v>7080</v>
      </c>
      <c r="S864" s="2" t="s">
        <v>44</v>
      </c>
      <c r="T864" s="2"/>
      <c r="U864" s="2" t="s">
        <v>3527</v>
      </c>
      <c r="V864" s="2" t="s">
        <v>46</v>
      </c>
      <c r="W864" s="2" t="s">
        <v>3527</v>
      </c>
      <c r="X864" s="2" t="s">
        <v>10787</v>
      </c>
      <c r="Y864" s="2" t="s">
        <v>10801</v>
      </c>
      <c r="Z864" s="2" t="s">
        <v>7864</v>
      </c>
      <c r="AA864" s="2">
        <v>90</v>
      </c>
      <c r="AB864" s="2">
        <v>0</v>
      </c>
      <c r="AC864" s="2" t="s">
        <v>10789</v>
      </c>
      <c r="AD864" s="2" t="s">
        <v>24160</v>
      </c>
      <c r="AE864" s="2" t="s">
        <v>18260</v>
      </c>
      <c r="AF864" s="2"/>
      <c r="AG864" s="2" t="s">
        <v>18250</v>
      </c>
    </row>
    <row r="865" spans="1:33" x14ac:dyDescent="0.45">
      <c r="A865" s="2" t="s">
        <v>24161</v>
      </c>
      <c r="B865" s="2" t="s">
        <v>24162</v>
      </c>
      <c r="C865" s="2" t="s">
        <v>24161</v>
      </c>
      <c r="D865" s="2" t="s">
        <v>24163</v>
      </c>
      <c r="E865" s="2" t="s">
        <v>24164</v>
      </c>
      <c r="F865" s="2"/>
      <c r="G865" s="2"/>
      <c r="H865" s="2" t="s">
        <v>8392</v>
      </c>
      <c r="I865" s="2" t="s">
        <v>313</v>
      </c>
      <c r="J865" s="2" t="s">
        <v>8393</v>
      </c>
      <c r="K865" s="2" t="s">
        <v>24163</v>
      </c>
      <c r="L865" s="2"/>
      <c r="M865" s="2"/>
      <c r="N865" s="2"/>
      <c r="O865" s="2" t="s">
        <v>8392</v>
      </c>
      <c r="P865" s="2" t="s">
        <v>313</v>
      </c>
      <c r="Q865" s="2" t="s">
        <v>8393</v>
      </c>
      <c r="R865" s="2" t="s">
        <v>560</v>
      </c>
      <c r="S865" s="2" t="s">
        <v>44</v>
      </c>
      <c r="T865" s="2"/>
      <c r="U865" s="2" t="s">
        <v>3527</v>
      </c>
      <c r="V865" s="2" t="s">
        <v>46</v>
      </c>
      <c r="W865" s="2" t="s">
        <v>3527</v>
      </c>
      <c r="X865" s="2" t="s">
        <v>10787</v>
      </c>
      <c r="Y865" s="2" t="s">
        <v>10801</v>
      </c>
      <c r="Z865" s="2" t="s">
        <v>7864</v>
      </c>
      <c r="AA865" s="2">
        <v>90</v>
      </c>
      <c r="AB865" s="2">
        <v>0</v>
      </c>
      <c r="AC865" s="2" t="s">
        <v>10789</v>
      </c>
      <c r="AD865" s="2" t="s">
        <v>24165</v>
      </c>
      <c r="AE865" s="2" t="s">
        <v>18260</v>
      </c>
      <c r="AF865" s="2"/>
      <c r="AG865" s="2" t="s">
        <v>18250</v>
      </c>
    </row>
    <row r="866" spans="1:33" x14ac:dyDescent="0.45">
      <c r="A866" s="2" t="s">
        <v>24166</v>
      </c>
      <c r="B866" s="2" t="s">
        <v>24167</v>
      </c>
      <c r="C866" s="2" t="s">
        <v>24168</v>
      </c>
      <c r="D866" s="2" t="s">
        <v>24169</v>
      </c>
      <c r="E866" s="2" t="s">
        <v>24170</v>
      </c>
      <c r="F866" s="2" t="s">
        <v>24171</v>
      </c>
      <c r="G866" s="2" t="s">
        <v>24171</v>
      </c>
      <c r="H866" s="2" t="s">
        <v>10533</v>
      </c>
      <c r="I866" s="2" t="s">
        <v>60</v>
      </c>
      <c r="J866" s="2" t="s">
        <v>24172</v>
      </c>
      <c r="K866" s="2" t="s">
        <v>24173</v>
      </c>
      <c r="L866" s="2"/>
      <c r="M866" s="2"/>
      <c r="N866" s="2"/>
      <c r="O866" s="2" t="s">
        <v>10533</v>
      </c>
      <c r="P866" s="2" t="s">
        <v>60</v>
      </c>
      <c r="Q866" s="2" t="s">
        <v>24172</v>
      </c>
      <c r="R866" s="2" t="s">
        <v>7613</v>
      </c>
      <c r="S866" s="2" t="s">
        <v>44</v>
      </c>
      <c r="T866" s="2"/>
      <c r="U866" s="2" t="s">
        <v>3527</v>
      </c>
      <c r="V866" s="2" t="s">
        <v>46</v>
      </c>
      <c r="W866" s="2" t="s">
        <v>3527</v>
      </c>
      <c r="X866" s="2" t="s">
        <v>10787</v>
      </c>
      <c r="Y866" s="2" t="s">
        <v>10801</v>
      </c>
      <c r="Z866" s="2" t="s">
        <v>7864</v>
      </c>
      <c r="AA866" s="2">
        <v>100</v>
      </c>
      <c r="AB866" s="2">
        <v>5</v>
      </c>
      <c r="AC866" s="2" t="s">
        <v>10789</v>
      </c>
      <c r="AD866" s="2" t="s">
        <v>24174</v>
      </c>
      <c r="AE866" s="2" t="s">
        <v>18260</v>
      </c>
      <c r="AF866" s="2"/>
      <c r="AG866" s="2" t="s">
        <v>18250</v>
      </c>
    </row>
    <row r="867" spans="1:33" x14ac:dyDescent="0.45">
      <c r="A867" s="2" t="s">
        <v>24175</v>
      </c>
      <c r="B867" s="2" t="s">
        <v>24176</v>
      </c>
      <c r="C867" s="2" t="s">
        <v>24177</v>
      </c>
      <c r="D867" s="2" t="s">
        <v>24178</v>
      </c>
      <c r="E867" s="2" t="s">
        <v>24179</v>
      </c>
      <c r="F867" s="2" t="s">
        <v>24180</v>
      </c>
      <c r="G867" s="2" t="s">
        <v>24180</v>
      </c>
      <c r="H867" s="2" t="s">
        <v>12582</v>
      </c>
      <c r="I867" s="2" t="s">
        <v>313</v>
      </c>
      <c r="J867" s="2" t="s">
        <v>12583</v>
      </c>
      <c r="K867" s="2" t="s">
        <v>24178</v>
      </c>
      <c r="L867" s="2"/>
      <c r="M867" s="2"/>
      <c r="N867" s="2"/>
      <c r="O867" s="2" t="s">
        <v>12582</v>
      </c>
      <c r="P867" s="2" t="s">
        <v>313</v>
      </c>
      <c r="Q867" s="2" t="s">
        <v>12583</v>
      </c>
      <c r="R867" s="2" t="s">
        <v>6685</v>
      </c>
      <c r="S867" s="2" t="s">
        <v>44</v>
      </c>
      <c r="T867" s="2"/>
      <c r="U867" s="2" t="s">
        <v>3527</v>
      </c>
      <c r="V867" s="2" t="s">
        <v>46</v>
      </c>
      <c r="W867" s="2" t="s">
        <v>3527</v>
      </c>
      <c r="X867" s="2" t="s">
        <v>10787</v>
      </c>
      <c r="Y867" s="2" t="s">
        <v>10801</v>
      </c>
      <c r="Z867" s="2" t="s">
        <v>7864</v>
      </c>
      <c r="AA867" s="2">
        <v>100</v>
      </c>
      <c r="AB867" s="2">
        <v>5</v>
      </c>
      <c r="AC867" s="2" t="s">
        <v>10789</v>
      </c>
      <c r="AD867" s="2" t="s">
        <v>24181</v>
      </c>
      <c r="AE867" s="2" t="s">
        <v>18260</v>
      </c>
      <c r="AF867" s="2"/>
      <c r="AG867" s="2" t="s">
        <v>18250</v>
      </c>
    </row>
    <row r="868" spans="1:33" x14ac:dyDescent="0.45">
      <c r="A868" s="2" t="s">
        <v>24182</v>
      </c>
      <c r="B868" s="2" t="s">
        <v>24183</v>
      </c>
      <c r="C868" s="2" t="s">
        <v>24184</v>
      </c>
      <c r="D868" s="2" t="s">
        <v>24185</v>
      </c>
      <c r="E868" s="2" t="s">
        <v>24186</v>
      </c>
      <c r="F868" s="2" t="s">
        <v>24187</v>
      </c>
      <c r="G868" s="2"/>
      <c r="H868" s="2" t="s">
        <v>216</v>
      </c>
      <c r="I868" s="2" t="s">
        <v>217</v>
      </c>
      <c r="J868" s="2" t="s">
        <v>24188</v>
      </c>
      <c r="K868" s="2"/>
      <c r="L868" s="2"/>
      <c r="M868" s="2"/>
      <c r="N868" s="2"/>
      <c r="O868" s="2"/>
      <c r="P868" s="2"/>
      <c r="Q868" s="2"/>
      <c r="R868" s="2" t="s">
        <v>5411</v>
      </c>
      <c r="S868" s="2" t="s">
        <v>44</v>
      </c>
      <c r="T868" s="2"/>
      <c r="U868" s="2" t="s">
        <v>3527</v>
      </c>
      <c r="V868" s="2" t="s">
        <v>46</v>
      </c>
      <c r="W868" s="2" t="s">
        <v>3527</v>
      </c>
      <c r="X868" s="2" t="s">
        <v>10787</v>
      </c>
      <c r="Y868" s="2" t="s">
        <v>10801</v>
      </c>
      <c r="Z868" s="2" t="s">
        <v>7864</v>
      </c>
      <c r="AA868" s="2">
        <v>100</v>
      </c>
      <c r="AB868" s="2">
        <v>10</v>
      </c>
      <c r="AC868" s="2" t="s">
        <v>10789</v>
      </c>
      <c r="AD868" s="2" t="s">
        <v>24189</v>
      </c>
      <c r="AE868" s="2" t="s">
        <v>18260</v>
      </c>
      <c r="AF868" s="2"/>
      <c r="AG868" s="2" t="s">
        <v>18250</v>
      </c>
    </row>
    <row r="869" spans="1:33" x14ac:dyDescent="0.45">
      <c r="A869" s="2" t="s">
        <v>24190</v>
      </c>
      <c r="B869" s="2" t="s">
        <v>24191</v>
      </c>
      <c r="C869" s="2" t="s">
        <v>24190</v>
      </c>
      <c r="D869" s="2" t="s">
        <v>24192</v>
      </c>
      <c r="E869" s="2" t="s">
        <v>24193</v>
      </c>
      <c r="F869" s="2" t="s">
        <v>3562</v>
      </c>
      <c r="G869" s="2" t="s">
        <v>3562</v>
      </c>
      <c r="H869" s="2" t="s">
        <v>8495</v>
      </c>
      <c r="I869" s="2" t="s">
        <v>8496</v>
      </c>
      <c r="J869" s="2" t="s">
        <v>24194</v>
      </c>
      <c r="K869" s="2"/>
      <c r="L869" s="2"/>
      <c r="M869" s="2"/>
      <c r="N869" s="2"/>
      <c r="O869" s="2"/>
      <c r="P869" s="2"/>
      <c r="Q869" s="2"/>
      <c r="R869" s="2" t="s">
        <v>792</v>
      </c>
      <c r="S869" s="2" t="s">
        <v>44</v>
      </c>
      <c r="T869" s="2"/>
      <c r="U869" s="2" t="s">
        <v>3527</v>
      </c>
      <c r="V869" s="2" t="s">
        <v>46</v>
      </c>
      <c r="W869" s="2" t="s">
        <v>3527</v>
      </c>
      <c r="X869" s="2" t="s">
        <v>10787</v>
      </c>
      <c r="Y869" s="2" t="s">
        <v>10801</v>
      </c>
      <c r="Z869" s="2" t="s">
        <v>7864</v>
      </c>
      <c r="AA869" s="2">
        <v>100</v>
      </c>
      <c r="AB869" s="2">
        <v>5</v>
      </c>
      <c r="AC869" s="2" t="s">
        <v>10789</v>
      </c>
      <c r="AD869" s="2" t="s">
        <v>24195</v>
      </c>
      <c r="AE869" s="2" t="s">
        <v>18260</v>
      </c>
      <c r="AF869" s="2"/>
      <c r="AG869" s="2" t="s">
        <v>18250</v>
      </c>
    </row>
    <row r="870" spans="1:33" x14ac:dyDescent="0.45">
      <c r="A870" s="2" t="s">
        <v>24196</v>
      </c>
      <c r="B870" s="2" t="s">
        <v>24197</v>
      </c>
      <c r="C870" s="2" t="s">
        <v>24198</v>
      </c>
      <c r="D870" s="2" t="s">
        <v>24199</v>
      </c>
      <c r="E870" s="2" t="s">
        <v>24200</v>
      </c>
      <c r="F870" s="2" t="s">
        <v>24201</v>
      </c>
      <c r="G870" s="2" t="s">
        <v>24201</v>
      </c>
      <c r="H870" s="2" t="s">
        <v>220</v>
      </c>
      <c r="I870" s="2" t="s">
        <v>221</v>
      </c>
      <c r="J870" s="2" t="s">
        <v>18769</v>
      </c>
      <c r="K870" s="2"/>
      <c r="L870" s="2"/>
      <c r="M870" s="2"/>
      <c r="N870" s="2"/>
      <c r="O870" s="2"/>
      <c r="P870" s="2"/>
      <c r="Q870" s="2"/>
      <c r="R870" s="2" t="s">
        <v>1285</v>
      </c>
      <c r="S870" s="2" t="s">
        <v>44</v>
      </c>
      <c r="T870" s="2"/>
      <c r="U870" s="2" t="s">
        <v>821</v>
      </c>
      <c r="V870" s="2" t="s">
        <v>46</v>
      </c>
      <c r="W870" s="2" t="s">
        <v>821</v>
      </c>
      <c r="X870" s="2" t="s">
        <v>10787</v>
      </c>
      <c r="Y870" s="2" t="s">
        <v>10801</v>
      </c>
      <c r="Z870" s="2" t="s">
        <v>7864</v>
      </c>
      <c r="AA870" s="2">
        <v>100</v>
      </c>
      <c r="AB870" s="2">
        <v>12</v>
      </c>
      <c r="AC870" s="2" t="s">
        <v>10789</v>
      </c>
      <c r="AD870" s="2" t="s">
        <v>24202</v>
      </c>
      <c r="AE870" s="2" t="s">
        <v>18260</v>
      </c>
      <c r="AF870" s="2"/>
      <c r="AG870" s="2" t="s">
        <v>18250</v>
      </c>
    </row>
    <row r="871" spans="1:33" x14ac:dyDescent="0.45">
      <c r="A871" s="2" t="s">
        <v>24203</v>
      </c>
      <c r="B871" s="2" t="s">
        <v>24204</v>
      </c>
      <c r="C871" s="2" t="s">
        <v>24205</v>
      </c>
      <c r="D871" s="2" t="s">
        <v>24206</v>
      </c>
      <c r="E871" s="2" t="s">
        <v>24207</v>
      </c>
      <c r="F871" s="2" t="s">
        <v>24208</v>
      </c>
      <c r="G871" s="2" t="s">
        <v>24208</v>
      </c>
      <c r="H871" s="2" t="s">
        <v>5821</v>
      </c>
      <c r="I871" s="2" t="s">
        <v>278</v>
      </c>
      <c r="J871" s="2" t="s">
        <v>24209</v>
      </c>
      <c r="K871" s="2" t="s">
        <v>24210</v>
      </c>
      <c r="L871" s="2"/>
      <c r="M871" s="2"/>
      <c r="N871" s="2"/>
      <c r="O871" s="2" t="s">
        <v>8495</v>
      </c>
      <c r="P871" s="2" t="s">
        <v>8496</v>
      </c>
      <c r="Q871" s="2" t="s">
        <v>20547</v>
      </c>
      <c r="R871" s="2" t="s">
        <v>6020</v>
      </c>
      <c r="S871" s="2" t="s">
        <v>44</v>
      </c>
      <c r="T871" s="2"/>
      <c r="U871" s="2" t="s">
        <v>821</v>
      </c>
      <c r="V871" s="2" t="s">
        <v>46</v>
      </c>
      <c r="W871" s="2" t="s">
        <v>821</v>
      </c>
      <c r="X871" s="2" t="s">
        <v>10787</v>
      </c>
      <c r="Y871" s="2" t="s">
        <v>10801</v>
      </c>
      <c r="Z871" s="2" t="s">
        <v>7864</v>
      </c>
      <c r="AA871" s="2">
        <v>100</v>
      </c>
      <c r="AB871" s="2">
        <v>12</v>
      </c>
      <c r="AC871" s="2" t="s">
        <v>10789</v>
      </c>
      <c r="AD871" s="2" t="s">
        <v>24211</v>
      </c>
      <c r="AE871" s="2" t="s">
        <v>18260</v>
      </c>
      <c r="AF871" s="2"/>
      <c r="AG871" s="2" t="s">
        <v>18250</v>
      </c>
    </row>
    <row r="872" spans="1:33" x14ac:dyDescent="0.45">
      <c r="A872" s="2" t="s">
        <v>24212</v>
      </c>
      <c r="B872" s="2" t="s">
        <v>24213</v>
      </c>
      <c r="C872" s="2" t="s">
        <v>24212</v>
      </c>
      <c r="D872" s="2" t="s">
        <v>24214</v>
      </c>
      <c r="E872" s="2" t="s">
        <v>24215</v>
      </c>
      <c r="F872" s="2" t="s">
        <v>9550</v>
      </c>
      <c r="G872" s="2" t="s">
        <v>9550</v>
      </c>
      <c r="H872" s="2" t="s">
        <v>59</v>
      </c>
      <c r="I872" s="2" t="s">
        <v>60</v>
      </c>
      <c r="J872" s="2" t="s">
        <v>108</v>
      </c>
      <c r="K872" s="2"/>
      <c r="L872" s="2"/>
      <c r="M872" s="2"/>
      <c r="N872" s="2"/>
      <c r="O872" s="2"/>
      <c r="P872" s="2"/>
      <c r="Q872" s="2"/>
      <c r="R872" s="2" t="s">
        <v>5097</v>
      </c>
      <c r="S872" s="2" t="s">
        <v>44</v>
      </c>
      <c r="T872" s="2"/>
      <c r="U872" s="2" t="s">
        <v>821</v>
      </c>
      <c r="V872" s="2" t="s">
        <v>46</v>
      </c>
      <c r="W872" s="2" t="s">
        <v>821</v>
      </c>
      <c r="X872" s="2" t="s">
        <v>11537</v>
      </c>
      <c r="Y872" s="2" t="s">
        <v>10801</v>
      </c>
      <c r="Z872" s="2" t="s">
        <v>7864</v>
      </c>
      <c r="AA872" s="2">
        <v>100</v>
      </c>
      <c r="AB872" s="2">
        <v>17</v>
      </c>
      <c r="AC872" s="2" t="s">
        <v>10789</v>
      </c>
      <c r="AD872" s="2" t="s">
        <v>24216</v>
      </c>
      <c r="AE872" s="2" t="s">
        <v>18260</v>
      </c>
      <c r="AF872" s="2"/>
      <c r="AG872" s="2" t="s">
        <v>18250</v>
      </c>
    </row>
    <row r="873" spans="1:33" x14ac:dyDescent="0.45">
      <c r="A873" s="2" t="s">
        <v>24217</v>
      </c>
      <c r="B873" s="2" t="s">
        <v>24218</v>
      </c>
      <c r="C873" s="2" t="s">
        <v>24219</v>
      </c>
      <c r="D873" s="2" t="s">
        <v>24220</v>
      </c>
      <c r="E873" s="2" t="s">
        <v>24221</v>
      </c>
      <c r="F873" s="2"/>
      <c r="G873" s="2"/>
      <c r="H873" s="2" t="s">
        <v>72</v>
      </c>
      <c r="I873" s="2" t="s">
        <v>73</v>
      </c>
      <c r="J873" s="2" t="s">
        <v>140</v>
      </c>
      <c r="K873" s="2" t="s">
        <v>24220</v>
      </c>
      <c r="L873" s="2"/>
      <c r="M873" s="2"/>
      <c r="N873" s="2"/>
      <c r="O873" s="2" t="s">
        <v>72</v>
      </c>
      <c r="P873" s="2" t="s">
        <v>73</v>
      </c>
      <c r="Q873" s="2" t="s">
        <v>140</v>
      </c>
      <c r="R873" s="2" t="s">
        <v>13523</v>
      </c>
      <c r="S873" s="2" t="s">
        <v>44</v>
      </c>
      <c r="T873" s="2"/>
      <c r="U873" s="2" t="s">
        <v>3527</v>
      </c>
      <c r="V873" s="2" t="s">
        <v>46</v>
      </c>
      <c r="W873" s="2" t="s">
        <v>3527</v>
      </c>
      <c r="X873" s="2" t="s">
        <v>10787</v>
      </c>
      <c r="Y873" s="2" t="s">
        <v>10801</v>
      </c>
      <c r="Z873" s="2" t="s">
        <v>7864</v>
      </c>
      <c r="AA873" s="2">
        <v>90</v>
      </c>
      <c r="AB873" s="2">
        <v>0</v>
      </c>
      <c r="AC873" s="2" t="s">
        <v>10789</v>
      </c>
      <c r="AD873" s="2" t="s">
        <v>24222</v>
      </c>
      <c r="AE873" s="2" t="s">
        <v>18260</v>
      </c>
      <c r="AF873" s="2"/>
      <c r="AG873" s="2" t="s">
        <v>18250</v>
      </c>
    </row>
    <row r="874" spans="1:33" x14ac:dyDescent="0.45">
      <c r="A874" s="2" t="s">
        <v>24223</v>
      </c>
      <c r="B874" s="2" t="s">
        <v>24224</v>
      </c>
      <c r="C874" s="2" t="s">
        <v>24225</v>
      </c>
      <c r="D874" s="2" t="s">
        <v>24226</v>
      </c>
      <c r="E874" s="2" t="s">
        <v>24227</v>
      </c>
      <c r="F874" s="2" t="s">
        <v>24228</v>
      </c>
      <c r="G874" s="2" t="s">
        <v>24228</v>
      </c>
      <c r="H874" s="2" t="s">
        <v>1023</v>
      </c>
      <c r="I874" s="2" t="s">
        <v>73</v>
      </c>
      <c r="J874" s="2" t="s">
        <v>3854</v>
      </c>
      <c r="K874" s="2" t="s">
        <v>24226</v>
      </c>
      <c r="L874" s="2"/>
      <c r="M874" s="2"/>
      <c r="N874" s="2"/>
      <c r="O874" s="2" t="s">
        <v>1023</v>
      </c>
      <c r="P874" s="2" t="s">
        <v>73</v>
      </c>
      <c r="Q874" s="2" t="s">
        <v>3854</v>
      </c>
      <c r="R874" s="2" t="s">
        <v>12999</v>
      </c>
      <c r="S874" s="2" t="s">
        <v>44</v>
      </c>
      <c r="T874" s="2"/>
      <c r="U874" s="2" t="s">
        <v>821</v>
      </c>
      <c r="V874" s="2" t="s">
        <v>46</v>
      </c>
      <c r="W874" s="2" t="s">
        <v>821</v>
      </c>
      <c r="X874" s="2" t="s">
        <v>11225</v>
      </c>
      <c r="Y874" s="2" t="s">
        <v>10801</v>
      </c>
      <c r="Z874" s="2" t="s">
        <v>7864</v>
      </c>
      <c r="AA874" s="2">
        <v>100</v>
      </c>
      <c r="AB874" s="2">
        <v>17</v>
      </c>
      <c r="AC874" s="2" t="s">
        <v>10789</v>
      </c>
      <c r="AD874" s="2" t="s">
        <v>24229</v>
      </c>
      <c r="AE874" s="2" t="s">
        <v>18260</v>
      </c>
      <c r="AF874" s="2"/>
      <c r="AG874" s="2" t="s">
        <v>18250</v>
      </c>
    </row>
    <row r="875" spans="1:33" x14ac:dyDescent="0.45">
      <c r="A875" s="2" t="s">
        <v>24230</v>
      </c>
      <c r="B875" s="2" t="s">
        <v>24231</v>
      </c>
      <c r="C875" s="2" t="s">
        <v>24232</v>
      </c>
      <c r="D875" s="2" t="s">
        <v>24233</v>
      </c>
      <c r="E875" s="2" t="s">
        <v>24234</v>
      </c>
      <c r="F875" s="2" t="s">
        <v>24235</v>
      </c>
      <c r="G875" s="2" t="s">
        <v>24235</v>
      </c>
      <c r="H875" s="2" t="s">
        <v>651</v>
      </c>
      <c r="I875" s="2" t="s">
        <v>86</v>
      </c>
      <c r="J875" s="2" t="s">
        <v>3499</v>
      </c>
      <c r="K875" s="2" t="s">
        <v>24236</v>
      </c>
      <c r="L875" s="2"/>
      <c r="M875" s="2"/>
      <c r="N875" s="2"/>
      <c r="O875" s="2" t="s">
        <v>651</v>
      </c>
      <c r="P875" s="2" t="s">
        <v>86</v>
      </c>
      <c r="Q875" s="2" t="s">
        <v>3499</v>
      </c>
      <c r="R875" s="2" t="s">
        <v>11138</v>
      </c>
      <c r="S875" s="2" t="s">
        <v>44</v>
      </c>
      <c r="T875" s="2"/>
      <c r="U875" s="2" t="s">
        <v>3527</v>
      </c>
      <c r="V875" s="2" t="s">
        <v>46</v>
      </c>
      <c r="W875" s="2" t="s">
        <v>3527</v>
      </c>
      <c r="X875" s="2" t="s">
        <v>10787</v>
      </c>
      <c r="Y875" s="2" t="s">
        <v>10801</v>
      </c>
      <c r="Z875" s="2" t="s">
        <v>7864</v>
      </c>
      <c r="AA875" s="2">
        <v>100</v>
      </c>
      <c r="AB875" s="2">
        <v>10</v>
      </c>
      <c r="AC875" s="2" t="s">
        <v>10789</v>
      </c>
      <c r="AD875" s="2" t="s">
        <v>24237</v>
      </c>
      <c r="AE875" s="2" t="s">
        <v>18260</v>
      </c>
      <c r="AF875" s="2"/>
      <c r="AG875" s="2" t="s">
        <v>18250</v>
      </c>
    </row>
    <row r="876" spans="1:33" x14ac:dyDescent="0.45">
      <c r="A876" s="2" t="s">
        <v>24238</v>
      </c>
      <c r="B876" s="2" t="s">
        <v>24239</v>
      </c>
      <c r="C876" s="2" t="s">
        <v>24240</v>
      </c>
      <c r="D876" s="2" t="s">
        <v>24241</v>
      </c>
      <c r="E876" s="2" t="s">
        <v>24242</v>
      </c>
      <c r="F876" s="2" t="s">
        <v>24243</v>
      </c>
      <c r="G876" s="2" t="s">
        <v>24243</v>
      </c>
      <c r="H876" s="2" t="s">
        <v>424</v>
      </c>
      <c r="I876" s="2" t="s">
        <v>217</v>
      </c>
      <c r="J876" s="2" t="s">
        <v>24244</v>
      </c>
      <c r="K876" s="2" t="s">
        <v>24241</v>
      </c>
      <c r="L876" s="2"/>
      <c r="M876" s="2"/>
      <c r="N876" s="2"/>
      <c r="O876" s="2" t="s">
        <v>424</v>
      </c>
      <c r="P876" s="2" t="s">
        <v>217</v>
      </c>
      <c r="Q876" s="2" t="s">
        <v>24244</v>
      </c>
      <c r="R876" s="2" t="s">
        <v>18281</v>
      </c>
      <c r="S876" s="2" t="s">
        <v>44</v>
      </c>
      <c r="T876" s="2"/>
      <c r="U876" s="2" t="s">
        <v>3527</v>
      </c>
      <c r="V876" s="2" t="s">
        <v>46</v>
      </c>
      <c r="W876" s="2" t="s">
        <v>3527</v>
      </c>
      <c r="X876" s="2" t="s">
        <v>10787</v>
      </c>
      <c r="Y876" s="2" t="s">
        <v>10801</v>
      </c>
      <c r="Z876" s="2" t="s">
        <v>7864</v>
      </c>
      <c r="AA876" s="2">
        <v>100</v>
      </c>
      <c r="AB876" s="2">
        <v>10</v>
      </c>
      <c r="AC876" s="2" t="s">
        <v>10789</v>
      </c>
      <c r="AD876" s="2" t="s">
        <v>24245</v>
      </c>
      <c r="AE876" s="2" t="s">
        <v>18260</v>
      </c>
      <c r="AF876" s="2"/>
      <c r="AG876" s="2" t="s">
        <v>18250</v>
      </c>
    </row>
    <row r="877" spans="1:33" x14ac:dyDescent="0.45">
      <c r="A877" s="2" t="s">
        <v>24246</v>
      </c>
      <c r="B877" s="2" t="s">
        <v>24247</v>
      </c>
      <c r="C877" s="2" t="s">
        <v>24246</v>
      </c>
      <c r="D877" s="2" t="s">
        <v>24248</v>
      </c>
      <c r="E877" s="2" t="s">
        <v>24249</v>
      </c>
      <c r="F877" s="2" t="s">
        <v>24250</v>
      </c>
      <c r="G877" s="2" t="s">
        <v>24250</v>
      </c>
      <c r="H877" s="2" t="s">
        <v>19731</v>
      </c>
      <c r="I877" s="2" t="s">
        <v>1112</v>
      </c>
      <c r="J877" s="2" t="s">
        <v>24251</v>
      </c>
      <c r="K877" s="2" t="s">
        <v>24248</v>
      </c>
      <c r="L877" s="2"/>
      <c r="M877" s="2"/>
      <c r="N877" s="2"/>
      <c r="O877" s="2" t="s">
        <v>19731</v>
      </c>
      <c r="P877" s="2" t="s">
        <v>1112</v>
      </c>
      <c r="Q877" s="2" t="s">
        <v>24251</v>
      </c>
      <c r="R877" s="2" t="s">
        <v>7483</v>
      </c>
      <c r="S877" s="2" t="s">
        <v>44</v>
      </c>
      <c r="T877" s="2"/>
      <c r="U877" s="2" t="s">
        <v>3527</v>
      </c>
      <c r="V877" s="2" t="s">
        <v>46</v>
      </c>
      <c r="W877" s="2" t="s">
        <v>3527</v>
      </c>
      <c r="X877" s="2" t="s">
        <v>10787</v>
      </c>
      <c r="Y877" s="2" t="s">
        <v>10801</v>
      </c>
      <c r="Z877" s="2" t="s">
        <v>7864</v>
      </c>
      <c r="AA877" s="2">
        <v>100</v>
      </c>
      <c r="AB877" s="2">
        <v>5</v>
      </c>
      <c r="AC877" s="2" t="s">
        <v>10789</v>
      </c>
      <c r="AD877" s="2" t="s">
        <v>24252</v>
      </c>
      <c r="AE877" s="2" t="s">
        <v>18260</v>
      </c>
      <c r="AF877" s="2"/>
      <c r="AG877" s="2" t="s">
        <v>18250</v>
      </c>
    </row>
    <row r="878" spans="1:33" x14ac:dyDescent="0.45">
      <c r="A878" s="2" t="s">
        <v>24253</v>
      </c>
      <c r="B878" s="2" t="s">
        <v>24254</v>
      </c>
      <c r="C878" s="2" t="s">
        <v>24253</v>
      </c>
      <c r="D878" s="2" t="s">
        <v>24255</v>
      </c>
      <c r="E878" s="2" t="s">
        <v>24256</v>
      </c>
      <c r="F878" s="2" t="s">
        <v>24257</v>
      </c>
      <c r="G878" s="2" t="s">
        <v>24257</v>
      </c>
      <c r="H878" s="2" t="s">
        <v>17785</v>
      </c>
      <c r="I878" s="2" t="s">
        <v>1137</v>
      </c>
      <c r="J878" s="2" t="s">
        <v>17786</v>
      </c>
      <c r="K878" s="2" t="s">
        <v>24255</v>
      </c>
      <c r="L878" s="2"/>
      <c r="M878" s="2"/>
      <c r="N878" s="2"/>
      <c r="O878" s="2" t="s">
        <v>17785</v>
      </c>
      <c r="P878" s="2" t="s">
        <v>1137</v>
      </c>
      <c r="Q878" s="2" t="s">
        <v>17786</v>
      </c>
      <c r="R878" s="2" t="s">
        <v>12277</v>
      </c>
      <c r="S878" s="2" t="s">
        <v>44</v>
      </c>
      <c r="T878" s="2"/>
      <c r="U878" s="2" t="s">
        <v>3527</v>
      </c>
      <c r="V878" s="2" t="s">
        <v>46</v>
      </c>
      <c r="W878" s="2" t="s">
        <v>3527</v>
      </c>
      <c r="X878" s="2" t="s">
        <v>10787</v>
      </c>
      <c r="Y878" s="2" t="s">
        <v>10801</v>
      </c>
      <c r="Z878" s="2" t="s">
        <v>7864</v>
      </c>
      <c r="AA878" s="2">
        <v>100</v>
      </c>
      <c r="AB878" s="2">
        <v>5</v>
      </c>
      <c r="AC878" s="2" t="s">
        <v>10789</v>
      </c>
      <c r="AD878" s="2" t="s">
        <v>24258</v>
      </c>
      <c r="AE878" s="2" t="s">
        <v>18260</v>
      </c>
      <c r="AF878" s="2"/>
      <c r="AG878" s="2" t="s">
        <v>18250</v>
      </c>
    </row>
    <row r="879" spans="1:33" x14ac:dyDescent="0.45">
      <c r="A879" s="2" t="s">
        <v>24259</v>
      </c>
      <c r="B879" s="2" t="s">
        <v>24260</v>
      </c>
      <c r="C879" s="2" t="s">
        <v>24259</v>
      </c>
      <c r="D879" s="2" t="s">
        <v>24261</v>
      </c>
      <c r="E879" s="2" t="s">
        <v>24262</v>
      </c>
      <c r="F879" s="2" t="s">
        <v>24263</v>
      </c>
      <c r="G879" s="2" t="s">
        <v>24263</v>
      </c>
      <c r="H879" s="2" t="s">
        <v>18516</v>
      </c>
      <c r="I879" s="2" t="s">
        <v>175</v>
      </c>
      <c r="J879" s="2" t="s">
        <v>18517</v>
      </c>
      <c r="K879" s="2"/>
      <c r="L879" s="2"/>
      <c r="M879" s="2"/>
      <c r="N879" s="2"/>
      <c r="O879" s="2"/>
      <c r="P879" s="2"/>
      <c r="Q879" s="2"/>
      <c r="R879" s="2" t="s">
        <v>3273</v>
      </c>
      <c r="S879" s="2" t="s">
        <v>44</v>
      </c>
      <c r="T879" s="2"/>
      <c r="U879" s="2" t="s">
        <v>3527</v>
      </c>
      <c r="V879" s="2" t="s">
        <v>46</v>
      </c>
      <c r="W879" s="2" t="s">
        <v>3527</v>
      </c>
      <c r="X879" s="2" t="s">
        <v>10787</v>
      </c>
      <c r="Y879" s="2" t="s">
        <v>10801</v>
      </c>
      <c r="Z879" s="2" t="s">
        <v>7864</v>
      </c>
      <c r="AA879" s="2">
        <v>100</v>
      </c>
      <c r="AB879" s="2">
        <v>5</v>
      </c>
      <c r="AC879" s="2" t="s">
        <v>10789</v>
      </c>
      <c r="AD879" s="2" t="s">
        <v>24264</v>
      </c>
      <c r="AE879" s="2" t="s">
        <v>18260</v>
      </c>
      <c r="AF879" s="2"/>
      <c r="AG879" s="2" t="s">
        <v>18250</v>
      </c>
    </row>
    <row r="880" spans="1:33" x14ac:dyDescent="0.45">
      <c r="A880" s="2" t="s">
        <v>24265</v>
      </c>
      <c r="B880" s="2" t="s">
        <v>24266</v>
      </c>
      <c r="C880" s="2" t="s">
        <v>24265</v>
      </c>
      <c r="D880" s="2" t="s">
        <v>24267</v>
      </c>
      <c r="E880" s="2" t="s">
        <v>24268</v>
      </c>
      <c r="F880" s="2" t="s">
        <v>24269</v>
      </c>
      <c r="G880" s="2" t="s">
        <v>24269</v>
      </c>
      <c r="H880" s="2" t="s">
        <v>72</v>
      </c>
      <c r="I880" s="2" t="s">
        <v>73</v>
      </c>
      <c r="J880" s="2" t="s">
        <v>98</v>
      </c>
      <c r="K880" s="2" t="s">
        <v>24270</v>
      </c>
      <c r="L880" s="2"/>
      <c r="M880" s="2"/>
      <c r="N880" s="2"/>
      <c r="O880" s="2" t="s">
        <v>72</v>
      </c>
      <c r="P880" s="2" t="s">
        <v>73</v>
      </c>
      <c r="Q880" s="2" t="s">
        <v>98</v>
      </c>
      <c r="R880" s="2" t="s">
        <v>24271</v>
      </c>
      <c r="S880" s="2" t="s">
        <v>44</v>
      </c>
      <c r="T880" s="2"/>
      <c r="U880" s="2" t="s">
        <v>821</v>
      </c>
      <c r="V880" s="2" t="s">
        <v>46</v>
      </c>
      <c r="W880" s="2" t="s">
        <v>821</v>
      </c>
      <c r="X880" s="2" t="s">
        <v>11225</v>
      </c>
      <c r="Y880" s="2" t="s">
        <v>10801</v>
      </c>
      <c r="Z880" s="2" t="s">
        <v>7864</v>
      </c>
      <c r="AA880" s="2">
        <v>100</v>
      </c>
      <c r="AB880" s="2">
        <v>17</v>
      </c>
      <c r="AC880" s="2" t="s">
        <v>10789</v>
      </c>
      <c r="AD880" s="2" t="s">
        <v>24272</v>
      </c>
      <c r="AE880" s="2" t="s">
        <v>18260</v>
      </c>
      <c r="AF880" s="2"/>
      <c r="AG880" s="2" t="s">
        <v>18250</v>
      </c>
    </row>
    <row r="881" spans="1:33" x14ac:dyDescent="0.45">
      <c r="A881" s="2" t="s">
        <v>24273</v>
      </c>
      <c r="B881" s="2" t="s">
        <v>24274</v>
      </c>
      <c r="C881" s="2" t="s">
        <v>24273</v>
      </c>
      <c r="D881" s="2" t="s">
        <v>24275</v>
      </c>
      <c r="E881" s="2" t="s">
        <v>24276</v>
      </c>
      <c r="F881" s="2" t="s">
        <v>24277</v>
      </c>
      <c r="G881" s="2" t="s">
        <v>24277</v>
      </c>
      <c r="H881" s="2" t="s">
        <v>85</v>
      </c>
      <c r="I881" s="2" t="s">
        <v>86</v>
      </c>
      <c r="J881" s="2" t="s">
        <v>24278</v>
      </c>
      <c r="K881" s="2" t="s">
        <v>24275</v>
      </c>
      <c r="L881" s="2"/>
      <c r="M881" s="2"/>
      <c r="N881" s="2"/>
      <c r="O881" s="2" t="s">
        <v>85</v>
      </c>
      <c r="P881" s="2" t="s">
        <v>86</v>
      </c>
      <c r="Q881" s="2" t="s">
        <v>24278</v>
      </c>
      <c r="R881" s="2" t="s">
        <v>17603</v>
      </c>
      <c r="S881" s="2" t="s">
        <v>44</v>
      </c>
      <c r="T881" s="2"/>
      <c r="U881" s="2" t="s">
        <v>3527</v>
      </c>
      <c r="V881" s="2" t="s">
        <v>46</v>
      </c>
      <c r="W881" s="2" t="s">
        <v>3527</v>
      </c>
      <c r="X881" s="2" t="s">
        <v>10787</v>
      </c>
      <c r="Y881" s="2" t="s">
        <v>10801</v>
      </c>
      <c r="Z881" s="2" t="s">
        <v>7864</v>
      </c>
      <c r="AA881" s="2">
        <v>100</v>
      </c>
      <c r="AB881" s="2">
        <v>10</v>
      </c>
      <c r="AC881" s="2" t="s">
        <v>10789</v>
      </c>
      <c r="AD881" s="2" t="s">
        <v>24279</v>
      </c>
      <c r="AE881" s="2" t="s">
        <v>18260</v>
      </c>
      <c r="AF881" s="2"/>
      <c r="AG881" s="2" t="s">
        <v>18250</v>
      </c>
    </row>
    <row r="882" spans="1:33" x14ac:dyDescent="0.45">
      <c r="A882" s="2" t="s">
        <v>24280</v>
      </c>
      <c r="B882" s="2" t="s">
        <v>24281</v>
      </c>
      <c r="C882" s="2" t="s">
        <v>24282</v>
      </c>
      <c r="D882" s="2" t="s">
        <v>24283</v>
      </c>
      <c r="E882" s="2" t="s">
        <v>24284</v>
      </c>
      <c r="F882" s="2" t="s">
        <v>24285</v>
      </c>
      <c r="G882" s="2" t="s">
        <v>24285</v>
      </c>
      <c r="H882" s="2" t="s">
        <v>1023</v>
      </c>
      <c r="I882" s="2" t="s">
        <v>73</v>
      </c>
      <c r="J882" s="2" t="s">
        <v>3854</v>
      </c>
      <c r="K882" s="2" t="s">
        <v>24283</v>
      </c>
      <c r="L882" s="2"/>
      <c r="M882" s="2"/>
      <c r="N882" s="2"/>
      <c r="O882" s="2" t="s">
        <v>1023</v>
      </c>
      <c r="P882" s="2" t="s">
        <v>73</v>
      </c>
      <c r="Q882" s="2" t="s">
        <v>3854</v>
      </c>
      <c r="R882" s="2" t="s">
        <v>5440</v>
      </c>
      <c r="S882" s="2" t="s">
        <v>44</v>
      </c>
      <c r="T882" s="2"/>
      <c r="U882" s="2" t="s">
        <v>821</v>
      </c>
      <c r="V882" s="2" t="s">
        <v>46</v>
      </c>
      <c r="W882" s="2" t="s">
        <v>821</v>
      </c>
      <c r="X882" s="2" t="s">
        <v>10787</v>
      </c>
      <c r="Y882" s="2" t="s">
        <v>10801</v>
      </c>
      <c r="Z882" s="2" t="s">
        <v>7864</v>
      </c>
      <c r="AA882" s="2">
        <v>100</v>
      </c>
      <c r="AB882" s="2">
        <v>17</v>
      </c>
      <c r="AC882" s="2" t="s">
        <v>10789</v>
      </c>
      <c r="AD882" s="2" t="s">
        <v>24286</v>
      </c>
      <c r="AE882" s="2" t="s">
        <v>18260</v>
      </c>
      <c r="AF882" s="2"/>
      <c r="AG882" s="2" t="s">
        <v>18250</v>
      </c>
    </row>
    <row r="883" spans="1:33" x14ac:dyDescent="0.45">
      <c r="A883" s="2" t="s">
        <v>24287</v>
      </c>
      <c r="B883" s="2" t="s">
        <v>24288</v>
      </c>
      <c r="C883" s="2" t="s">
        <v>24287</v>
      </c>
      <c r="D883" s="2" t="s">
        <v>24289</v>
      </c>
      <c r="E883" s="2" t="s">
        <v>24290</v>
      </c>
      <c r="F883" s="2" t="s">
        <v>24291</v>
      </c>
      <c r="G883" s="2" t="s">
        <v>24291</v>
      </c>
      <c r="H883" s="2" t="s">
        <v>1208</v>
      </c>
      <c r="I883" s="2"/>
      <c r="J883" s="2" t="s">
        <v>1210</v>
      </c>
      <c r="K883" s="2" t="s">
        <v>24289</v>
      </c>
      <c r="L883" s="2"/>
      <c r="M883" s="2"/>
      <c r="N883" s="2"/>
      <c r="O883" s="2" t="s">
        <v>1208</v>
      </c>
      <c r="P883" s="2"/>
      <c r="Q883" s="2" t="s">
        <v>1210</v>
      </c>
      <c r="R883" s="2" t="s">
        <v>24292</v>
      </c>
      <c r="S883" s="2" t="s">
        <v>44</v>
      </c>
      <c r="T883" s="2"/>
      <c r="U883" s="2" t="s">
        <v>3527</v>
      </c>
      <c r="V883" s="2" t="s">
        <v>46</v>
      </c>
      <c r="W883" s="2" t="s">
        <v>3527</v>
      </c>
      <c r="X883" s="2" t="s">
        <v>10787</v>
      </c>
      <c r="Y883" s="2" t="s">
        <v>10801</v>
      </c>
      <c r="Z883" s="2" t="s">
        <v>7864</v>
      </c>
      <c r="AA883" s="2">
        <v>85</v>
      </c>
      <c r="AB883" s="2">
        <v>5</v>
      </c>
      <c r="AC883" s="2" t="s">
        <v>10789</v>
      </c>
      <c r="AD883" s="2" t="s">
        <v>24293</v>
      </c>
      <c r="AE883" s="2" t="s">
        <v>18260</v>
      </c>
      <c r="AF883" s="2"/>
      <c r="AG883" s="2" t="s">
        <v>18250</v>
      </c>
    </row>
    <row r="884" spans="1:33" x14ac:dyDescent="0.45">
      <c r="A884" s="2" t="s">
        <v>24294</v>
      </c>
      <c r="B884" s="2" t="s">
        <v>24295</v>
      </c>
      <c r="C884" s="2" t="s">
        <v>24296</v>
      </c>
      <c r="D884" s="2" t="s">
        <v>24297</v>
      </c>
      <c r="E884" s="2" t="s">
        <v>24298</v>
      </c>
      <c r="F884" s="2" t="s">
        <v>24299</v>
      </c>
      <c r="G884" s="2"/>
      <c r="H884" s="2" t="s">
        <v>220</v>
      </c>
      <c r="I884" s="2" t="s">
        <v>221</v>
      </c>
      <c r="J884" s="2" t="s">
        <v>222</v>
      </c>
      <c r="K884" s="2" t="s">
        <v>24297</v>
      </c>
      <c r="L884" s="2"/>
      <c r="M884" s="2"/>
      <c r="N884" s="2"/>
      <c r="O884" s="2" t="s">
        <v>220</v>
      </c>
      <c r="P884" s="2" t="s">
        <v>221</v>
      </c>
      <c r="Q884" s="2" t="s">
        <v>222</v>
      </c>
      <c r="R884" s="2" t="s">
        <v>3189</v>
      </c>
      <c r="S884" s="2" t="s">
        <v>44</v>
      </c>
      <c r="T884" s="2"/>
      <c r="U884" s="2" t="s">
        <v>3527</v>
      </c>
      <c r="V884" s="2" t="s">
        <v>46</v>
      </c>
      <c r="W884" s="2" t="s">
        <v>3527</v>
      </c>
      <c r="X884" s="2" t="s">
        <v>11005</v>
      </c>
      <c r="Y884" s="2" t="s">
        <v>10801</v>
      </c>
      <c r="Z884" s="2" t="s">
        <v>7864</v>
      </c>
      <c r="AA884" s="2">
        <v>100</v>
      </c>
      <c r="AB884" s="2">
        <v>5</v>
      </c>
      <c r="AC884" s="2" t="s">
        <v>10789</v>
      </c>
      <c r="AD884" s="2" t="s">
        <v>24300</v>
      </c>
      <c r="AE884" s="2" t="s">
        <v>18260</v>
      </c>
      <c r="AF884" s="2"/>
      <c r="AG884" s="2" t="s">
        <v>18250</v>
      </c>
    </row>
    <row r="885" spans="1:33" x14ac:dyDescent="0.45">
      <c r="A885" s="2" t="s">
        <v>24301</v>
      </c>
      <c r="B885" s="2" t="s">
        <v>24302</v>
      </c>
      <c r="C885" s="2" t="s">
        <v>24303</v>
      </c>
      <c r="D885" s="2" t="s">
        <v>24304</v>
      </c>
      <c r="E885" s="2" t="s">
        <v>24305</v>
      </c>
      <c r="F885" s="2" t="s">
        <v>24306</v>
      </c>
      <c r="G885" s="2"/>
      <c r="H885" s="2" t="s">
        <v>9679</v>
      </c>
      <c r="I885" s="2" t="s">
        <v>9680</v>
      </c>
      <c r="J885" s="2" t="s">
        <v>24307</v>
      </c>
      <c r="K885" s="2" t="s">
        <v>24304</v>
      </c>
      <c r="L885" s="2"/>
      <c r="M885" s="2"/>
      <c r="N885" s="2"/>
      <c r="O885" s="2" t="s">
        <v>9679</v>
      </c>
      <c r="P885" s="2" t="s">
        <v>9680</v>
      </c>
      <c r="Q885" s="2" t="s">
        <v>24307</v>
      </c>
      <c r="R885" s="2" t="s">
        <v>22642</v>
      </c>
      <c r="S885" s="2" t="s">
        <v>44</v>
      </c>
      <c r="T885" s="2"/>
      <c r="U885" s="2" t="s">
        <v>3527</v>
      </c>
      <c r="V885" s="2" t="s">
        <v>46</v>
      </c>
      <c r="W885" s="2" t="s">
        <v>3527</v>
      </c>
      <c r="X885" s="2" t="s">
        <v>10787</v>
      </c>
      <c r="Y885" s="2" t="s">
        <v>10801</v>
      </c>
      <c r="Z885" s="2" t="s">
        <v>7864</v>
      </c>
      <c r="AA885" s="2">
        <v>100</v>
      </c>
      <c r="AB885" s="2">
        <v>5</v>
      </c>
      <c r="AC885" s="2" t="s">
        <v>10789</v>
      </c>
      <c r="AD885" s="2" t="s">
        <v>24308</v>
      </c>
      <c r="AE885" s="2" t="s">
        <v>18260</v>
      </c>
      <c r="AF885" s="2"/>
      <c r="AG885" s="2" t="s">
        <v>18250</v>
      </c>
    </row>
    <row r="886" spans="1:33" x14ac:dyDescent="0.45">
      <c r="A886" s="2" t="s">
        <v>24309</v>
      </c>
      <c r="B886" s="2" t="s">
        <v>24310</v>
      </c>
      <c r="C886" s="2" t="s">
        <v>24309</v>
      </c>
      <c r="D886" s="2" t="s">
        <v>24311</v>
      </c>
      <c r="E886" s="2" t="s">
        <v>24312</v>
      </c>
      <c r="F886" s="2"/>
      <c r="G886" s="2"/>
      <c r="H886" s="2" t="s">
        <v>72</v>
      </c>
      <c r="I886" s="2" t="s">
        <v>73</v>
      </c>
      <c r="J886" s="2" t="s">
        <v>3524</v>
      </c>
      <c r="K886" s="2" t="s">
        <v>24313</v>
      </c>
      <c r="L886" s="2"/>
      <c r="M886" s="2"/>
      <c r="N886" s="2"/>
      <c r="O886" s="2" t="s">
        <v>72</v>
      </c>
      <c r="P886" s="2" t="s">
        <v>73</v>
      </c>
      <c r="Q886" s="2" t="s">
        <v>3524</v>
      </c>
      <c r="R886" s="2" t="s">
        <v>21262</v>
      </c>
      <c r="S886" s="2" t="s">
        <v>44</v>
      </c>
      <c r="T886" s="2"/>
      <c r="U886" s="2" t="s">
        <v>821</v>
      </c>
      <c r="V886" s="2" t="s">
        <v>46</v>
      </c>
      <c r="W886" s="2" t="s">
        <v>821</v>
      </c>
      <c r="X886" s="2" t="s">
        <v>11537</v>
      </c>
      <c r="Y886" s="2" t="s">
        <v>10801</v>
      </c>
      <c r="Z886" s="2" t="s">
        <v>7864</v>
      </c>
      <c r="AA886" s="2">
        <v>90</v>
      </c>
      <c r="AB886" s="2">
        <v>7</v>
      </c>
      <c r="AC886" s="2" t="s">
        <v>10789</v>
      </c>
      <c r="AD886" s="2" t="s">
        <v>24314</v>
      </c>
      <c r="AE886" s="2" t="s">
        <v>18260</v>
      </c>
      <c r="AF886" s="2"/>
      <c r="AG886" s="2" t="s">
        <v>18250</v>
      </c>
    </row>
    <row r="887" spans="1:33" x14ac:dyDescent="0.45">
      <c r="A887" s="2" t="s">
        <v>24315</v>
      </c>
      <c r="B887" s="2" t="s">
        <v>24316</v>
      </c>
      <c r="C887" s="2" t="s">
        <v>24315</v>
      </c>
      <c r="D887" s="2" t="s">
        <v>24317</v>
      </c>
      <c r="E887" s="2" t="s">
        <v>24318</v>
      </c>
      <c r="F887" s="2"/>
      <c r="G887" s="2"/>
      <c r="H887" s="2" t="s">
        <v>8599</v>
      </c>
      <c r="I887" s="2" t="s">
        <v>40</v>
      </c>
      <c r="J887" s="2" t="s">
        <v>24319</v>
      </c>
      <c r="K887" s="2"/>
      <c r="L887" s="2"/>
      <c r="M887" s="2"/>
      <c r="N887" s="2"/>
      <c r="O887" s="2"/>
      <c r="P887" s="2"/>
      <c r="Q887" s="2"/>
      <c r="R887" s="2" t="s">
        <v>24320</v>
      </c>
      <c r="S887" s="2" t="s">
        <v>44</v>
      </c>
      <c r="T887" s="2"/>
      <c r="U887" s="2" t="s">
        <v>3527</v>
      </c>
      <c r="V887" s="2" t="s">
        <v>46</v>
      </c>
      <c r="W887" s="2" t="s">
        <v>3527</v>
      </c>
      <c r="X887" s="2" t="s">
        <v>10787</v>
      </c>
      <c r="Y887" s="2" t="s">
        <v>10801</v>
      </c>
      <c r="Z887" s="2" t="s">
        <v>7864</v>
      </c>
      <c r="AA887" s="2">
        <v>90</v>
      </c>
      <c r="AB887" s="2">
        <v>0</v>
      </c>
      <c r="AC887" s="2" t="s">
        <v>10789</v>
      </c>
      <c r="AD887" s="2" t="s">
        <v>24321</v>
      </c>
      <c r="AE887" s="2" t="s">
        <v>18260</v>
      </c>
      <c r="AF887" s="2"/>
      <c r="AG887" s="2" t="s">
        <v>18250</v>
      </c>
    </row>
    <row r="888" spans="1:33" x14ac:dyDescent="0.45">
      <c r="A888" s="2" t="s">
        <v>24322</v>
      </c>
      <c r="B888" s="2" t="s">
        <v>24323</v>
      </c>
      <c r="C888" s="2" t="s">
        <v>24324</v>
      </c>
      <c r="D888" s="2" t="s">
        <v>24325</v>
      </c>
      <c r="E888" s="2" t="s">
        <v>24326</v>
      </c>
      <c r="F888" s="2" t="s">
        <v>24327</v>
      </c>
      <c r="G888" s="2"/>
      <c r="H888" s="2" t="s">
        <v>2962</v>
      </c>
      <c r="I888" s="2" t="s">
        <v>73</v>
      </c>
      <c r="J888" s="2" t="s">
        <v>16865</v>
      </c>
      <c r="K888" s="2" t="s">
        <v>24325</v>
      </c>
      <c r="L888" s="2"/>
      <c r="M888" s="2"/>
      <c r="N888" s="2"/>
      <c r="O888" s="2" t="s">
        <v>2962</v>
      </c>
      <c r="P888" s="2" t="s">
        <v>73</v>
      </c>
      <c r="Q888" s="2" t="s">
        <v>16865</v>
      </c>
      <c r="R888" s="2" t="s">
        <v>4876</v>
      </c>
      <c r="S888" s="2" t="s">
        <v>44</v>
      </c>
      <c r="T888" s="2"/>
      <c r="U888" s="2" t="s">
        <v>3527</v>
      </c>
      <c r="V888" s="2" t="s">
        <v>46</v>
      </c>
      <c r="W888" s="2" t="s">
        <v>3527</v>
      </c>
      <c r="X888" s="2" t="s">
        <v>10787</v>
      </c>
      <c r="Y888" s="2" t="s">
        <v>10801</v>
      </c>
      <c r="Z888" s="2" t="s">
        <v>7864</v>
      </c>
      <c r="AA888" s="2">
        <v>100</v>
      </c>
      <c r="AB888" s="2">
        <v>5</v>
      </c>
      <c r="AC888" s="2" t="s">
        <v>10789</v>
      </c>
      <c r="AD888" s="2" t="s">
        <v>24328</v>
      </c>
      <c r="AE888" s="2" t="s">
        <v>18260</v>
      </c>
      <c r="AF888" s="2"/>
      <c r="AG888" s="2" t="s">
        <v>18250</v>
      </c>
    </row>
    <row r="889" spans="1:33" x14ac:dyDescent="0.45">
      <c r="A889" s="2" t="s">
        <v>24329</v>
      </c>
      <c r="B889" s="2" t="s">
        <v>24330</v>
      </c>
      <c r="C889" s="2" t="s">
        <v>24329</v>
      </c>
      <c r="D889" s="2" t="s">
        <v>24331</v>
      </c>
      <c r="E889" s="2" t="s">
        <v>24332</v>
      </c>
      <c r="F889" s="2" t="s">
        <v>24333</v>
      </c>
      <c r="G889" s="2" t="s">
        <v>24333</v>
      </c>
      <c r="H889" s="2" t="s">
        <v>1023</v>
      </c>
      <c r="I889" s="2" t="s">
        <v>73</v>
      </c>
      <c r="J889" s="2" t="s">
        <v>4550</v>
      </c>
      <c r="K889" s="2" t="s">
        <v>24334</v>
      </c>
      <c r="L889" s="2"/>
      <c r="M889" s="2"/>
      <c r="N889" s="2"/>
      <c r="O889" s="2" t="s">
        <v>1023</v>
      </c>
      <c r="P889" s="2" t="s">
        <v>73</v>
      </c>
      <c r="Q889" s="2" t="s">
        <v>4550</v>
      </c>
      <c r="R889" s="2" t="s">
        <v>19788</v>
      </c>
      <c r="S889" s="2" t="s">
        <v>44</v>
      </c>
      <c r="T889" s="2"/>
      <c r="U889" s="2" t="s">
        <v>3527</v>
      </c>
      <c r="V889" s="2" t="s">
        <v>46</v>
      </c>
      <c r="W889" s="2" t="s">
        <v>3527</v>
      </c>
      <c r="X889" s="2" t="s">
        <v>10787</v>
      </c>
      <c r="Y889" s="2" t="s">
        <v>10801</v>
      </c>
      <c r="Z889" s="2" t="s">
        <v>7864</v>
      </c>
      <c r="AA889" s="2">
        <v>100</v>
      </c>
      <c r="AB889" s="2">
        <v>10</v>
      </c>
      <c r="AC889" s="2" t="s">
        <v>10789</v>
      </c>
      <c r="AD889" s="2" t="s">
        <v>24335</v>
      </c>
      <c r="AE889" s="2" t="s">
        <v>18260</v>
      </c>
      <c r="AF889" s="2"/>
      <c r="AG889" s="2" t="s">
        <v>18250</v>
      </c>
    </row>
    <row r="890" spans="1:33" x14ac:dyDescent="0.45">
      <c r="A890" s="2" t="s">
        <v>24336</v>
      </c>
      <c r="B890" s="2" t="s">
        <v>24337</v>
      </c>
      <c r="C890" s="2" t="s">
        <v>24336</v>
      </c>
      <c r="D890" s="2" t="s">
        <v>24338</v>
      </c>
      <c r="E890" s="2" t="s">
        <v>24339</v>
      </c>
      <c r="F890" s="2" t="s">
        <v>24340</v>
      </c>
      <c r="G890" s="2"/>
      <c r="H890" s="2" t="s">
        <v>24341</v>
      </c>
      <c r="I890" s="2" t="s">
        <v>1281</v>
      </c>
      <c r="J890" s="2" t="s">
        <v>24342</v>
      </c>
      <c r="K890" s="2" t="s">
        <v>24338</v>
      </c>
      <c r="L890" s="2"/>
      <c r="M890" s="2"/>
      <c r="N890" s="2"/>
      <c r="O890" s="2" t="s">
        <v>24341</v>
      </c>
      <c r="P890" s="2" t="s">
        <v>1281</v>
      </c>
      <c r="Q890" s="2" t="s">
        <v>24342</v>
      </c>
      <c r="R890" s="2" t="s">
        <v>3019</v>
      </c>
      <c r="S890" s="2" t="s">
        <v>44</v>
      </c>
      <c r="T890" s="2"/>
      <c r="U890" s="2" t="s">
        <v>3527</v>
      </c>
      <c r="V890" s="2" t="s">
        <v>46</v>
      </c>
      <c r="W890" s="2" t="s">
        <v>3527</v>
      </c>
      <c r="X890" s="2" t="s">
        <v>10787</v>
      </c>
      <c r="Y890" s="2" t="s">
        <v>10801</v>
      </c>
      <c r="Z890" s="2" t="s">
        <v>7864</v>
      </c>
      <c r="AA890" s="2">
        <v>100</v>
      </c>
      <c r="AB890" s="2">
        <v>5</v>
      </c>
      <c r="AC890" s="2" t="s">
        <v>10789</v>
      </c>
      <c r="AD890" s="2" t="s">
        <v>24343</v>
      </c>
      <c r="AE890" s="2" t="s">
        <v>18260</v>
      </c>
      <c r="AF890" s="2"/>
      <c r="AG890" s="2" t="s">
        <v>18250</v>
      </c>
    </row>
    <row r="891" spans="1:33" x14ac:dyDescent="0.45">
      <c r="A891" s="2" t="s">
        <v>24344</v>
      </c>
      <c r="B891" s="2" t="s">
        <v>24345</v>
      </c>
      <c r="C891" s="2" t="s">
        <v>24344</v>
      </c>
      <c r="D891" s="2" t="s">
        <v>24346</v>
      </c>
      <c r="E891" s="2" t="s">
        <v>24347</v>
      </c>
      <c r="F891" s="2" t="s">
        <v>24348</v>
      </c>
      <c r="G891" s="2" t="s">
        <v>24348</v>
      </c>
      <c r="H891" s="2" t="s">
        <v>12989</v>
      </c>
      <c r="I891" s="2" t="s">
        <v>313</v>
      </c>
      <c r="J891" s="2" t="s">
        <v>24349</v>
      </c>
      <c r="K891" s="2" t="s">
        <v>24346</v>
      </c>
      <c r="L891" s="2"/>
      <c r="M891" s="2"/>
      <c r="N891" s="2"/>
      <c r="O891" s="2" t="s">
        <v>12989</v>
      </c>
      <c r="P891" s="2" t="s">
        <v>313</v>
      </c>
      <c r="Q891" s="2" t="s">
        <v>24349</v>
      </c>
      <c r="R891" s="2" t="s">
        <v>733</v>
      </c>
      <c r="S891" s="2" t="s">
        <v>44</v>
      </c>
      <c r="T891" s="2"/>
      <c r="U891" s="2" t="s">
        <v>3527</v>
      </c>
      <c r="V891" s="2" t="s">
        <v>46</v>
      </c>
      <c r="W891" s="2" t="s">
        <v>3527</v>
      </c>
      <c r="X891" s="2" t="s">
        <v>10787</v>
      </c>
      <c r="Y891" s="2" t="s">
        <v>10801</v>
      </c>
      <c r="Z891" s="2" t="s">
        <v>7864</v>
      </c>
      <c r="AA891" s="2">
        <v>100</v>
      </c>
      <c r="AB891" s="2">
        <v>5</v>
      </c>
      <c r="AC891" s="2" t="s">
        <v>10789</v>
      </c>
      <c r="AD891" s="2" t="s">
        <v>24350</v>
      </c>
      <c r="AE891" s="2" t="s">
        <v>18260</v>
      </c>
      <c r="AF891" s="2"/>
      <c r="AG891" s="2" t="s">
        <v>18250</v>
      </c>
    </row>
    <row r="892" spans="1:33" x14ac:dyDescent="0.45">
      <c r="A892" s="2" t="s">
        <v>24351</v>
      </c>
      <c r="B892" s="2" t="s">
        <v>24352</v>
      </c>
      <c r="C892" s="2" t="s">
        <v>24353</v>
      </c>
      <c r="D892" s="2" t="s">
        <v>24354</v>
      </c>
      <c r="E892" s="2" t="s">
        <v>24355</v>
      </c>
      <c r="F892" s="2" t="s">
        <v>24356</v>
      </c>
      <c r="G892" s="2" t="s">
        <v>24356</v>
      </c>
      <c r="H892" s="2" t="s">
        <v>72</v>
      </c>
      <c r="I892" s="2" t="s">
        <v>73</v>
      </c>
      <c r="J892" s="2" t="s">
        <v>140</v>
      </c>
      <c r="K892" s="2"/>
      <c r="L892" s="2"/>
      <c r="M892" s="2"/>
      <c r="N892" s="2"/>
      <c r="O892" s="2"/>
      <c r="P892" s="2"/>
      <c r="Q892" s="2"/>
      <c r="R892" s="2" t="s">
        <v>10182</v>
      </c>
      <c r="S892" s="2" t="s">
        <v>44</v>
      </c>
      <c r="T892" s="2"/>
      <c r="U892" s="2" t="s">
        <v>3527</v>
      </c>
      <c r="V892" s="2" t="s">
        <v>46</v>
      </c>
      <c r="W892" s="2" t="s">
        <v>3527</v>
      </c>
      <c r="X892" s="2" t="s">
        <v>10787</v>
      </c>
      <c r="Y892" s="2" t="s">
        <v>10801</v>
      </c>
      <c r="Z892" s="2" t="s">
        <v>7864</v>
      </c>
      <c r="AA892" s="2">
        <v>100</v>
      </c>
      <c r="AB892" s="2">
        <v>10</v>
      </c>
      <c r="AC892" s="2" t="s">
        <v>10789</v>
      </c>
      <c r="AD892" s="2" t="s">
        <v>24357</v>
      </c>
      <c r="AE892" s="2" t="s">
        <v>18260</v>
      </c>
      <c r="AF892" s="2"/>
      <c r="AG892" s="2" t="s">
        <v>18250</v>
      </c>
    </row>
    <row r="893" spans="1:33" x14ac:dyDescent="0.45">
      <c r="A893" s="2" t="s">
        <v>24358</v>
      </c>
      <c r="B893" s="2" t="s">
        <v>24359</v>
      </c>
      <c r="C893" s="2" t="s">
        <v>24358</v>
      </c>
      <c r="D893" s="2" t="s">
        <v>24360</v>
      </c>
      <c r="E893" s="2" t="s">
        <v>24361</v>
      </c>
      <c r="F893" s="2" t="s">
        <v>24362</v>
      </c>
      <c r="G893" s="2"/>
      <c r="H893" s="2" t="s">
        <v>6062</v>
      </c>
      <c r="I893" s="2" t="s">
        <v>217</v>
      </c>
      <c r="J893" s="2" t="s">
        <v>13357</v>
      </c>
      <c r="K893" s="2"/>
      <c r="L893" s="2"/>
      <c r="M893" s="2"/>
      <c r="N893" s="2"/>
      <c r="O893" s="2"/>
      <c r="P893" s="2"/>
      <c r="Q893" s="2"/>
      <c r="R893" s="2" t="s">
        <v>7483</v>
      </c>
      <c r="S893" s="2" t="s">
        <v>44</v>
      </c>
      <c r="T893" s="2"/>
      <c r="U893" s="2" t="s">
        <v>3527</v>
      </c>
      <c r="V893" s="2" t="s">
        <v>46</v>
      </c>
      <c r="W893" s="2" t="s">
        <v>3527</v>
      </c>
      <c r="X893" s="2" t="s">
        <v>10787</v>
      </c>
      <c r="Y893" s="2" t="s">
        <v>10801</v>
      </c>
      <c r="Z893" s="2" t="s">
        <v>7864</v>
      </c>
      <c r="AA893" s="2">
        <v>100</v>
      </c>
      <c r="AB893" s="2">
        <v>5</v>
      </c>
      <c r="AC893" s="2" t="s">
        <v>10789</v>
      </c>
      <c r="AD893" s="2" t="s">
        <v>24363</v>
      </c>
      <c r="AE893" s="2" t="s">
        <v>18260</v>
      </c>
      <c r="AF893" s="2"/>
      <c r="AG893" s="2" t="s">
        <v>18250</v>
      </c>
    </row>
    <row r="894" spans="1:33" x14ac:dyDescent="0.45">
      <c r="A894" s="2" t="s">
        <v>24364</v>
      </c>
      <c r="B894" s="2" t="s">
        <v>24365</v>
      </c>
      <c r="C894" s="2" t="s">
        <v>24366</v>
      </c>
      <c r="D894" s="2" t="s">
        <v>24367</v>
      </c>
      <c r="E894" s="2" t="s">
        <v>24368</v>
      </c>
      <c r="F894" s="2" t="s">
        <v>24369</v>
      </c>
      <c r="G894" s="2" t="s">
        <v>24369</v>
      </c>
      <c r="H894" s="2" t="s">
        <v>174</v>
      </c>
      <c r="I894" s="2" t="s">
        <v>175</v>
      </c>
      <c r="J894" s="2" t="s">
        <v>24370</v>
      </c>
      <c r="K894" s="2" t="s">
        <v>24367</v>
      </c>
      <c r="L894" s="2"/>
      <c r="M894" s="2"/>
      <c r="N894" s="2"/>
      <c r="O894" s="2" t="s">
        <v>174</v>
      </c>
      <c r="P894" s="2" t="s">
        <v>175</v>
      </c>
      <c r="Q894" s="2" t="s">
        <v>24370</v>
      </c>
      <c r="R894" s="2" t="s">
        <v>7581</v>
      </c>
      <c r="S894" s="2" t="s">
        <v>44</v>
      </c>
      <c r="T894" s="2"/>
      <c r="U894" s="2" t="s">
        <v>3527</v>
      </c>
      <c r="V894" s="2" t="s">
        <v>46</v>
      </c>
      <c r="W894" s="2" t="s">
        <v>3527</v>
      </c>
      <c r="X894" s="2" t="s">
        <v>10787</v>
      </c>
      <c r="Y894" s="2" t="s">
        <v>10801</v>
      </c>
      <c r="Z894" s="2" t="s">
        <v>7864</v>
      </c>
      <c r="AA894" s="2">
        <v>100</v>
      </c>
      <c r="AB894" s="2">
        <v>10</v>
      </c>
      <c r="AC894" s="2" t="s">
        <v>10789</v>
      </c>
      <c r="AD894" s="2" t="s">
        <v>24371</v>
      </c>
      <c r="AE894" s="2" t="s">
        <v>18260</v>
      </c>
      <c r="AF894" s="2"/>
      <c r="AG894" s="2" t="s">
        <v>18250</v>
      </c>
    </row>
    <row r="895" spans="1:33" x14ac:dyDescent="0.45">
      <c r="A895" s="2" t="s">
        <v>24372</v>
      </c>
      <c r="B895" s="2" t="s">
        <v>24373</v>
      </c>
      <c r="C895" s="2" t="s">
        <v>24372</v>
      </c>
      <c r="D895" s="2" t="s">
        <v>24374</v>
      </c>
      <c r="E895" s="2" t="s">
        <v>24375</v>
      </c>
      <c r="F895" s="2" t="s">
        <v>24376</v>
      </c>
      <c r="G895" s="2"/>
      <c r="H895" s="2" t="s">
        <v>424</v>
      </c>
      <c r="I895" s="2" t="s">
        <v>217</v>
      </c>
      <c r="J895" s="2" t="s">
        <v>4569</v>
      </c>
      <c r="K895" s="2" t="s">
        <v>24377</v>
      </c>
      <c r="L895" s="2"/>
      <c r="M895" s="2"/>
      <c r="N895" s="2"/>
      <c r="O895" s="2" t="s">
        <v>424</v>
      </c>
      <c r="P895" s="2" t="s">
        <v>217</v>
      </c>
      <c r="Q895" s="2" t="s">
        <v>4569</v>
      </c>
      <c r="R895" s="2" t="s">
        <v>24378</v>
      </c>
      <c r="S895" s="2" t="s">
        <v>44</v>
      </c>
      <c r="T895" s="2"/>
      <c r="U895" s="2" t="s">
        <v>3527</v>
      </c>
      <c r="V895" s="2" t="s">
        <v>46</v>
      </c>
      <c r="W895" s="2" t="s">
        <v>3527</v>
      </c>
      <c r="X895" s="2" t="s">
        <v>10787</v>
      </c>
      <c r="Y895" s="2" t="s">
        <v>10801</v>
      </c>
      <c r="Z895" s="2" t="s">
        <v>7864</v>
      </c>
      <c r="AA895" s="2">
        <v>100</v>
      </c>
      <c r="AB895" s="2">
        <v>10</v>
      </c>
      <c r="AC895" s="2" t="s">
        <v>10789</v>
      </c>
      <c r="AD895" s="2" t="s">
        <v>24379</v>
      </c>
      <c r="AE895" s="2" t="s">
        <v>18260</v>
      </c>
      <c r="AF895" s="2"/>
      <c r="AG895" s="2" t="s">
        <v>18250</v>
      </c>
    </row>
    <row r="896" spans="1:33" x14ac:dyDescent="0.45">
      <c r="A896" s="2" t="s">
        <v>24380</v>
      </c>
      <c r="B896" s="2" t="s">
        <v>24381</v>
      </c>
      <c r="C896" s="2" t="s">
        <v>24380</v>
      </c>
      <c r="D896" s="2" t="s">
        <v>24382</v>
      </c>
      <c r="E896" s="2" t="s">
        <v>24383</v>
      </c>
      <c r="F896" s="2" t="s">
        <v>24384</v>
      </c>
      <c r="G896" s="2"/>
      <c r="H896" s="2" t="s">
        <v>5891</v>
      </c>
      <c r="I896" s="2" t="s">
        <v>40</v>
      </c>
      <c r="J896" s="2" t="s">
        <v>21748</v>
      </c>
      <c r="K896" s="2"/>
      <c r="L896" s="2"/>
      <c r="M896" s="2"/>
      <c r="N896" s="2"/>
      <c r="O896" s="2"/>
      <c r="P896" s="2"/>
      <c r="Q896" s="2"/>
      <c r="R896" s="2" t="s">
        <v>3341</v>
      </c>
      <c r="S896" s="2" t="s">
        <v>44</v>
      </c>
      <c r="T896" s="2"/>
      <c r="U896" s="2" t="s">
        <v>3527</v>
      </c>
      <c r="V896" s="2" t="s">
        <v>46</v>
      </c>
      <c r="W896" s="2" t="s">
        <v>3527</v>
      </c>
      <c r="X896" s="2" t="s">
        <v>10787</v>
      </c>
      <c r="Y896" s="2" t="s">
        <v>10801</v>
      </c>
      <c r="Z896" s="2" t="s">
        <v>7864</v>
      </c>
      <c r="AA896" s="2">
        <v>100</v>
      </c>
      <c r="AB896" s="2">
        <v>5</v>
      </c>
      <c r="AC896" s="2" t="s">
        <v>10789</v>
      </c>
      <c r="AD896" s="2" t="s">
        <v>24385</v>
      </c>
      <c r="AE896" s="2" t="s">
        <v>18260</v>
      </c>
      <c r="AF896" s="2"/>
      <c r="AG896" s="2" t="s">
        <v>18250</v>
      </c>
    </row>
    <row r="897" spans="1:33" x14ac:dyDescent="0.45">
      <c r="A897" s="2" t="s">
        <v>24386</v>
      </c>
      <c r="B897" s="2" t="s">
        <v>24387</v>
      </c>
      <c r="C897" s="2" t="s">
        <v>24386</v>
      </c>
      <c r="D897" s="2" t="s">
        <v>24388</v>
      </c>
      <c r="E897" s="2" t="s">
        <v>24389</v>
      </c>
      <c r="F897" s="2" t="s">
        <v>24390</v>
      </c>
      <c r="G897" s="2" t="s">
        <v>24390</v>
      </c>
      <c r="H897" s="2" t="s">
        <v>424</v>
      </c>
      <c r="I897" s="2" t="s">
        <v>217</v>
      </c>
      <c r="J897" s="2" t="s">
        <v>1151</v>
      </c>
      <c r="K897" s="2" t="s">
        <v>24391</v>
      </c>
      <c r="L897" s="2"/>
      <c r="M897" s="2"/>
      <c r="N897" s="2"/>
      <c r="O897" s="2" t="s">
        <v>39</v>
      </c>
      <c r="P897" s="2" t="s">
        <v>40</v>
      </c>
      <c r="Q897" s="2" t="s">
        <v>24392</v>
      </c>
      <c r="R897" s="2" t="s">
        <v>24393</v>
      </c>
      <c r="S897" s="2" t="s">
        <v>44</v>
      </c>
      <c r="T897" s="2"/>
      <c r="U897" s="2" t="s">
        <v>821</v>
      </c>
      <c r="V897" s="2" t="s">
        <v>46</v>
      </c>
      <c r="W897" s="2" t="s">
        <v>821</v>
      </c>
      <c r="X897" s="2" t="s">
        <v>10787</v>
      </c>
      <c r="Y897" s="2" t="s">
        <v>10801</v>
      </c>
      <c r="Z897" s="2" t="s">
        <v>7864</v>
      </c>
      <c r="AA897" s="2">
        <v>100</v>
      </c>
      <c r="AB897" s="2">
        <v>17</v>
      </c>
      <c r="AC897" s="2" t="s">
        <v>10789</v>
      </c>
      <c r="AD897" s="2" t="s">
        <v>24394</v>
      </c>
      <c r="AE897" s="2" t="s">
        <v>18260</v>
      </c>
      <c r="AF897" s="2"/>
      <c r="AG897" s="2" t="s">
        <v>18250</v>
      </c>
    </row>
    <row r="898" spans="1:33" x14ac:dyDescent="0.45">
      <c r="A898" s="2" t="s">
        <v>24395</v>
      </c>
      <c r="B898" s="2" t="s">
        <v>24396</v>
      </c>
      <c r="C898" s="2" t="s">
        <v>24395</v>
      </c>
      <c r="D898" s="2" t="s">
        <v>24397</v>
      </c>
      <c r="E898" s="2" t="s">
        <v>24398</v>
      </c>
      <c r="F898" s="2" t="s">
        <v>24399</v>
      </c>
      <c r="G898" s="2" t="s">
        <v>24399</v>
      </c>
      <c r="H898" s="2"/>
      <c r="I898" s="2" t="s">
        <v>217</v>
      </c>
      <c r="J898" s="2" t="s">
        <v>18628</v>
      </c>
      <c r="K898" s="2" t="s">
        <v>24400</v>
      </c>
      <c r="L898" s="2"/>
      <c r="M898" s="2"/>
      <c r="N898" s="2"/>
      <c r="O898" s="2"/>
      <c r="P898" s="2" t="s">
        <v>217</v>
      </c>
      <c r="Q898" s="2" t="s">
        <v>18628</v>
      </c>
      <c r="R898" s="2" t="s">
        <v>24401</v>
      </c>
      <c r="S898" s="2" t="s">
        <v>44</v>
      </c>
      <c r="T898" s="2"/>
      <c r="U898" s="2" t="s">
        <v>821</v>
      </c>
      <c r="V898" s="2" t="s">
        <v>46</v>
      </c>
      <c r="W898" s="2" t="s">
        <v>821</v>
      </c>
      <c r="X898" s="2" t="s">
        <v>10787</v>
      </c>
      <c r="Y898" s="2" t="s">
        <v>10801</v>
      </c>
      <c r="Z898" s="2" t="s">
        <v>7864</v>
      </c>
      <c r="AA898" s="2">
        <v>85</v>
      </c>
      <c r="AB898" s="2">
        <v>12</v>
      </c>
      <c r="AC898" s="2" t="s">
        <v>10789</v>
      </c>
      <c r="AD898" s="2" t="s">
        <v>24402</v>
      </c>
      <c r="AE898" s="2" t="s">
        <v>18260</v>
      </c>
      <c r="AF898" s="2"/>
      <c r="AG898" s="2" t="s">
        <v>18250</v>
      </c>
    </row>
    <row r="899" spans="1:33" x14ac:dyDescent="0.45">
      <c r="A899" s="2" t="s">
        <v>24403</v>
      </c>
      <c r="B899" s="2" t="s">
        <v>24404</v>
      </c>
      <c r="C899" s="2" t="s">
        <v>24405</v>
      </c>
      <c r="D899" s="2" t="s">
        <v>24406</v>
      </c>
      <c r="E899" s="2" t="s">
        <v>24407</v>
      </c>
      <c r="F899" s="2" t="s">
        <v>24408</v>
      </c>
      <c r="G899" s="2"/>
      <c r="H899" s="2" t="s">
        <v>277</v>
      </c>
      <c r="I899" s="2" t="s">
        <v>278</v>
      </c>
      <c r="J899" s="2" t="s">
        <v>1060</v>
      </c>
      <c r="K899" s="2" t="s">
        <v>24406</v>
      </c>
      <c r="L899" s="2"/>
      <c r="M899" s="2"/>
      <c r="N899" s="2"/>
      <c r="O899" s="2" t="s">
        <v>277</v>
      </c>
      <c r="P899" s="2" t="s">
        <v>278</v>
      </c>
      <c r="Q899" s="2" t="s">
        <v>1060</v>
      </c>
      <c r="R899" s="2" t="s">
        <v>24409</v>
      </c>
      <c r="S899" s="2" t="s">
        <v>44</v>
      </c>
      <c r="T899" s="2"/>
      <c r="U899" s="2" t="s">
        <v>3527</v>
      </c>
      <c r="V899" s="2" t="s">
        <v>46</v>
      </c>
      <c r="W899" s="2" t="s">
        <v>3527</v>
      </c>
      <c r="X899" s="2" t="s">
        <v>10787</v>
      </c>
      <c r="Y899" s="2" t="s">
        <v>10801</v>
      </c>
      <c r="Z899" s="2" t="s">
        <v>7864</v>
      </c>
      <c r="AA899" s="2">
        <v>100</v>
      </c>
      <c r="AB899" s="2">
        <v>10</v>
      </c>
      <c r="AC899" s="2" t="s">
        <v>10789</v>
      </c>
      <c r="AD899" s="2" t="s">
        <v>24410</v>
      </c>
      <c r="AE899" s="2" t="s">
        <v>18260</v>
      </c>
      <c r="AF899" s="2"/>
      <c r="AG899" s="2" t="s">
        <v>18250</v>
      </c>
    </row>
    <row r="900" spans="1:33" x14ac:dyDescent="0.45">
      <c r="A900" s="2" t="s">
        <v>24411</v>
      </c>
      <c r="B900" s="2" t="s">
        <v>24412</v>
      </c>
      <c r="C900" s="2"/>
      <c r="D900" s="2" t="s">
        <v>24413</v>
      </c>
      <c r="E900" s="2" t="s">
        <v>24414</v>
      </c>
      <c r="F900" s="2" t="s">
        <v>24415</v>
      </c>
      <c r="G900" s="2" t="s">
        <v>24415</v>
      </c>
      <c r="H900" s="2" t="s">
        <v>22724</v>
      </c>
      <c r="I900" s="2" t="s">
        <v>73</v>
      </c>
      <c r="J900" s="2" t="s">
        <v>24416</v>
      </c>
      <c r="K900" s="2" t="s">
        <v>24417</v>
      </c>
      <c r="L900" s="2"/>
      <c r="M900" s="2"/>
      <c r="N900" s="2"/>
      <c r="O900" s="2" t="s">
        <v>22724</v>
      </c>
      <c r="P900" s="2" t="s">
        <v>73</v>
      </c>
      <c r="Q900" s="2" t="s">
        <v>24418</v>
      </c>
      <c r="R900" s="2" t="s">
        <v>9232</v>
      </c>
      <c r="S900" s="2" t="s">
        <v>44</v>
      </c>
      <c r="T900" s="2"/>
      <c r="U900" s="2" t="s">
        <v>3527</v>
      </c>
      <c r="V900" s="2" t="s">
        <v>46</v>
      </c>
      <c r="W900" s="2" t="s">
        <v>3527</v>
      </c>
      <c r="X900" s="2" t="s">
        <v>11005</v>
      </c>
      <c r="Y900" s="2" t="s">
        <v>10801</v>
      </c>
      <c r="Z900" s="2" t="s">
        <v>7864</v>
      </c>
      <c r="AA900" s="2">
        <v>85</v>
      </c>
      <c r="AB900" s="2">
        <v>5</v>
      </c>
      <c r="AC900" s="2" t="s">
        <v>10789</v>
      </c>
      <c r="AD900" s="2" t="s">
        <v>24419</v>
      </c>
      <c r="AE900" s="2" t="s">
        <v>18260</v>
      </c>
      <c r="AF900" s="2"/>
      <c r="AG900" s="2" t="s">
        <v>18250</v>
      </c>
    </row>
    <row r="901" spans="1:33" x14ac:dyDescent="0.45">
      <c r="A901" s="2" t="s">
        <v>24420</v>
      </c>
      <c r="B901" s="2" t="s">
        <v>24421</v>
      </c>
      <c r="C901" s="2" t="s">
        <v>24420</v>
      </c>
      <c r="D901" s="2" t="s">
        <v>24422</v>
      </c>
      <c r="E901" s="2" t="s">
        <v>24423</v>
      </c>
      <c r="F901" s="2"/>
      <c r="G901" s="2"/>
      <c r="H901" s="2" t="s">
        <v>72</v>
      </c>
      <c r="I901" s="2" t="s">
        <v>73</v>
      </c>
      <c r="J901" s="2" t="s">
        <v>98</v>
      </c>
      <c r="K901" s="2" t="s">
        <v>24422</v>
      </c>
      <c r="L901" s="2"/>
      <c r="M901" s="2"/>
      <c r="N901" s="2"/>
      <c r="O901" s="2" t="s">
        <v>72</v>
      </c>
      <c r="P901" s="2" t="s">
        <v>73</v>
      </c>
      <c r="Q901" s="2" t="s">
        <v>98</v>
      </c>
      <c r="R901" s="2" t="s">
        <v>24424</v>
      </c>
      <c r="S901" s="2" t="s">
        <v>44</v>
      </c>
      <c r="T901" s="2"/>
      <c r="U901" s="2" t="s">
        <v>3527</v>
      </c>
      <c r="V901" s="2" t="s">
        <v>46</v>
      </c>
      <c r="W901" s="2" t="s">
        <v>3527</v>
      </c>
      <c r="X901" s="2" t="s">
        <v>10787</v>
      </c>
      <c r="Y901" s="2" t="s">
        <v>10801</v>
      </c>
      <c r="Z901" s="2" t="s">
        <v>7864</v>
      </c>
      <c r="AA901" s="2">
        <v>90</v>
      </c>
      <c r="AB901" s="2">
        <v>0</v>
      </c>
      <c r="AC901" s="2" t="s">
        <v>10789</v>
      </c>
      <c r="AD901" s="2" t="s">
        <v>24425</v>
      </c>
      <c r="AE901" s="2" t="s">
        <v>18260</v>
      </c>
      <c r="AF901" s="2"/>
      <c r="AG901" s="2" t="s">
        <v>18250</v>
      </c>
    </row>
    <row r="902" spans="1:33" x14ac:dyDescent="0.45">
      <c r="A902" s="2" t="s">
        <v>4546</v>
      </c>
      <c r="B902" s="2" t="s">
        <v>24426</v>
      </c>
      <c r="C902" s="2" t="s">
        <v>4546</v>
      </c>
      <c r="D902" s="2" t="s">
        <v>24427</v>
      </c>
      <c r="E902" s="2" t="s">
        <v>24428</v>
      </c>
      <c r="F902" s="2"/>
      <c r="G902" s="2"/>
      <c r="H902" s="2" t="s">
        <v>24429</v>
      </c>
      <c r="I902" s="2" t="s">
        <v>73</v>
      </c>
      <c r="J902" s="2" t="s">
        <v>484</v>
      </c>
      <c r="K902" s="2" t="s">
        <v>24427</v>
      </c>
      <c r="L902" s="2"/>
      <c r="M902" s="2"/>
      <c r="N902" s="2"/>
      <c r="O902" s="2" t="s">
        <v>24429</v>
      </c>
      <c r="P902" s="2" t="s">
        <v>73</v>
      </c>
      <c r="Q902" s="2" t="s">
        <v>484</v>
      </c>
      <c r="R902" s="2" t="s">
        <v>24430</v>
      </c>
      <c r="S902" s="2" t="s">
        <v>44</v>
      </c>
      <c r="T902" s="2"/>
      <c r="U902" s="2" t="s">
        <v>821</v>
      </c>
      <c r="V902" s="2" t="s">
        <v>46</v>
      </c>
      <c r="W902" s="2" t="s">
        <v>821</v>
      </c>
      <c r="X902" s="2" t="s">
        <v>12028</v>
      </c>
      <c r="Y902" s="2" t="s">
        <v>10801</v>
      </c>
      <c r="Z902" s="2" t="s">
        <v>7864</v>
      </c>
      <c r="AA902" s="2">
        <v>90</v>
      </c>
      <c r="AB902" s="2">
        <v>2</v>
      </c>
      <c r="AC902" s="2" t="s">
        <v>10789</v>
      </c>
      <c r="AD902" s="2" t="s">
        <v>24431</v>
      </c>
      <c r="AE902" s="2" t="s">
        <v>18260</v>
      </c>
      <c r="AF902" s="2"/>
      <c r="AG902" s="2" t="s">
        <v>18250</v>
      </c>
    </row>
    <row r="903" spans="1:33" x14ac:dyDescent="0.45">
      <c r="A903" s="2" t="s">
        <v>24432</v>
      </c>
      <c r="B903" s="2" t="s">
        <v>24433</v>
      </c>
      <c r="C903" s="2" t="s">
        <v>24434</v>
      </c>
      <c r="D903" s="2" t="s">
        <v>24435</v>
      </c>
      <c r="E903" s="2" t="s">
        <v>24436</v>
      </c>
      <c r="F903" s="2" t="s">
        <v>24437</v>
      </c>
      <c r="G903" s="2" t="s">
        <v>24437</v>
      </c>
      <c r="H903" s="2" t="s">
        <v>2962</v>
      </c>
      <c r="I903" s="2" t="s">
        <v>73</v>
      </c>
      <c r="J903" s="2" t="s">
        <v>13484</v>
      </c>
      <c r="K903" s="2"/>
      <c r="L903" s="2"/>
      <c r="M903" s="2"/>
      <c r="N903" s="2"/>
      <c r="O903" s="2"/>
      <c r="P903" s="2"/>
      <c r="Q903" s="2"/>
      <c r="R903" s="2" t="s">
        <v>10224</v>
      </c>
      <c r="S903" s="2" t="s">
        <v>44</v>
      </c>
      <c r="T903" s="2"/>
      <c r="U903" s="2" t="s">
        <v>821</v>
      </c>
      <c r="V903" s="2" t="s">
        <v>46</v>
      </c>
      <c r="W903" s="2" t="s">
        <v>821</v>
      </c>
      <c r="X903" s="2" t="s">
        <v>10787</v>
      </c>
      <c r="Y903" s="2" t="s">
        <v>10801</v>
      </c>
      <c r="Z903" s="2" t="s">
        <v>7864</v>
      </c>
      <c r="AA903" s="2">
        <v>100</v>
      </c>
      <c r="AB903" s="2">
        <v>12</v>
      </c>
      <c r="AC903" s="2" t="s">
        <v>10789</v>
      </c>
      <c r="AD903" s="2" t="s">
        <v>24438</v>
      </c>
      <c r="AE903" s="2" t="s">
        <v>18260</v>
      </c>
      <c r="AF903" s="2"/>
      <c r="AG903" s="2" t="s">
        <v>18250</v>
      </c>
    </row>
    <row r="904" spans="1:33" x14ac:dyDescent="0.45">
      <c r="A904" s="2" t="s">
        <v>24439</v>
      </c>
      <c r="B904" s="2" t="s">
        <v>24440</v>
      </c>
      <c r="C904" s="2" t="s">
        <v>24439</v>
      </c>
      <c r="D904" s="2" t="s">
        <v>24441</v>
      </c>
      <c r="E904" s="2" t="s">
        <v>24442</v>
      </c>
      <c r="F904" s="2" t="s">
        <v>24443</v>
      </c>
      <c r="G904" s="2" t="s">
        <v>24443</v>
      </c>
      <c r="H904" s="2" t="s">
        <v>12804</v>
      </c>
      <c r="I904" s="2" t="s">
        <v>221</v>
      </c>
      <c r="J904" s="2" t="s">
        <v>18614</v>
      </c>
      <c r="K904" s="2" t="s">
        <v>24441</v>
      </c>
      <c r="L904" s="2"/>
      <c r="M904" s="2"/>
      <c r="N904" s="2"/>
      <c r="O904" s="2" t="s">
        <v>12804</v>
      </c>
      <c r="P904" s="2" t="s">
        <v>221</v>
      </c>
      <c r="Q904" s="2" t="s">
        <v>18614</v>
      </c>
      <c r="R904" s="2" t="s">
        <v>6883</v>
      </c>
      <c r="S904" s="2" t="s">
        <v>44</v>
      </c>
      <c r="T904" s="2"/>
      <c r="U904" s="2" t="s">
        <v>3527</v>
      </c>
      <c r="V904" s="2" t="s">
        <v>46</v>
      </c>
      <c r="W904" s="2" t="s">
        <v>3527</v>
      </c>
      <c r="X904" s="2" t="s">
        <v>10787</v>
      </c>
      <c r="Y904" s="2" t="s">
        <v>10801</v>
      </c>
      <c r="Z904" s="2" t="s">
        <v>7864</v>
      </c>
      <c r="AA904" s="2">
        <v>100</v>
      </c>
      <c r="AB904" s="2">
        <v>5</v>
      </c>
      <c r="AC904" s="2" t="s">
        <v>10789</v>
      </c>
      <c r="AD904" s="2" t="s">
        <v>24444</v>
      </c>
      <c r="AE904" s="2" t="s">
        <v>18260</v>
      </c>
      <c r="AF904" s="2"/>
      <c r="AG904" s="2" t="s">
        <v>18250</v>
      </c>
    </row>
    <row r="905" spans="1:33" x14ac:dyDescent="0.45">
      <c r="A905" s="2" t="s">
        <v>24445</v>
      </c>
      <c r="B905" s="2" t="s">
        <v>24446</v>
      </c>
      <c r="C905" s="2" t="s">
        <v>24447</v>
      </c>
      <c r="D905" s="2" t="s">
        <v>24448</v>
      </c>
      <c r="E905" s="2" t="s">
        <v>24449</v>
      </c>
      <c r="F905" s="2"/>
      <c r="G905" s="2"/>
      <c r="H905" s="2" t="s">
        <v>39</v>
      </c>
      <c r="I905" s="2" t="s">
        <v>40</v>
      </c>
      <c r="J905" s="2" t="s">
        <v>24392</v>
      </c>
      <c r="K905" s="2" t="s">
        <v>24448</v>
      </c>
      <c r="L905" s="2"/>
      <c r="M905" s="2"/>
      <c r="N905" s="2"/>
      <c r="O905" s="2" t="s">
        <v>39</v>
      </c>
      <c r="P905" s="2" t="s">
        <v>40</v>
      </c>
      <c r="Q905" s="2" t="s">
        <v>24392</v>
      </c>
      <c r="R905" s="2" t="s">
        <v>18636</v>
      </c>
      <c r="S905" s="2" t="s">
        <v>44</v>
      </c>
      <c r="T905" s="2"/>
      <c r="U905" s="2" t="s">
        <v>821</v>
      </c>
      <c r="V905" s="2" t="s">
        <v>46</v>
      </c>
      <c r="W905" s="2" t="s">
        <v>821</v>
      </c>
      <c r="X905" s="2" t="s">
        <v>11537</v>
      </c>
      <c r="Y905" s="2" t="s">
        <v>10801</v>
      </c>
      <c r="Z905" s="2" t="s">
        <v>7864</v>
      </c>
      <c r="AA905" s="2">
        <v>90</v>
      </c>
      <c r="AB905" s="2">
        <v>7</v>
      </c>
      <c r="AC905" s="2" t="s">
        <v>10789</v>
      </c>
      <c r="AD905" s="2" t="s">
        <v>24450</v>
      </c>
      <c r="AE905" s="2" t="s">
        <v>18260</v>
      </c>
      <c r="AF905" s="2"/>
      <c r="AG905" s="2" t="s">
        <v>18250</v>
      </c>
    </row>
    <row r="906" spans="1:33" x14ac:dyDescent="0.45">
      <c r="A906" s="2" t="s">
        <v>24451</v>
      </c>
      <c r="B906" s="2" t="s">
        <v>24452</v>
      </c>
      <c r="C906" s="2" t="s">
        <v>24451</v>
      </c>
      <c r="D906" s="2" t="s">
        <v>24453</v>
      </c>
      <c r="E906" s="2" t="s">
        <v>24454</v>
      </c>
      <c r="F906" s="2" t="s">
        <v>24455</v>
      </c>
      <c r="G906" s="2" t="s">
        <v>24455</v>
      </c>
      <c r="H906" s="2" t="s">
        <v>8495</v>
      </c>
      <c r="I906" s="2" t="s">
        <v>8496</v>
      </c>
      <c r="J906" s="2" t="s">
        <v>9771</v>
      </c>
      <c r="K906" s="2"/>
      <c r="L906" s="2"/>
      <c r="M906" s="2"/>
      <c r="N906" s="2"/>
      <c r="O906" s="2"/>
      <c r="P906" s="2"/>
      <c r="Q906" s="2"/>
      <c r="R906" s="2" t="s">
        <v>801</v>
      </c>
      <c r="S906" s="2" t="s">
        <v>44</v>
      </c>
      <c r="T906" s="2"/>
      <c r="U906" s="2" t="s">
        <v>3527</v>
      </c>
      <c r="V906" s="2" t="s">
        <v>46</v>
      </c>
      <c r="W906" s="2" t="s">
        <v>3527</v>
      </c>
      <c r="X906" s="2" t="s">
        <v>10787</v>
      </c>
      <c r="Y906" s="2" t="s">
        <v>10801</v>
      </c>
      <c r="Z906" s="2" t="s">
        <v>7864</v>
      </c>
      <c r="AA906" s="2">
        <v>100</v>
      </c>
      <c r="AB906" s="2">
        <v>5</v>
      </c>
      <c r="AC906" s="2" t="s">
        <v>10789</v>
      </c>
      <c r="AD906" s="2" t="s">
        <v>24456</v>
      </c>
      <c r="AE906" s="2" t="s">
        <v>18260</v>
      </c>
      <c r="AF906" s="2"/>
      <c r="AG906" s="2" t="s">
        <v>18250</v>
      </c>
    </row>
    <row r="907" spans="1:33" x14ac:dyDescent="0.45">
      <c r="A907" s="2" t="s">
        <v>24457</v>
      </c>
      <c r="B907" s="2" t="s">
        <v>24458</v>
      </c>
      <c r="C907" s="2" t="s">
        <v>24457</v>
      </c>
      <c r="D907" s="2" t="s">
        <v>24459</v>
      </c>
      <c r="E907" s="2" t="s">
        <v>24460</v>
      </c>
      <c r="F907" s="2" t="s">
        <v>24461</v>
      </c>
      <c r="G907" s="2" t="s">
        <v>24461</v>
      </c>
      <c r="H907" s="2" t="s">
        <v>536</v>
      </c>
      <c r="I907" s="2" t="s">
        <v>537</v>
      </c>
      <c r="J907" s="2" t="s">
        <v>1091</v>
      </c>
      <c r="K907" s="2" t="s">
        <v>24459</v>
      </c>
      <c r="L907" s="2"/>
      <c r="M907" s="2"/>
      <c r="N907" s="2"/>
      <c r="O907" s="2" t="s">
        <v>536</v>
      </c>
      <c r="P907" s="2" t="s">
        <v>537</v>
      </c>
      <c r="Q907" s="2" t="s">
        <v>1091</v>
      </c>
      <c r="R907" s="2" t="s">
        <v>7816</v>
      </c>
      <c r="S907" s="2" t="s">
        <v>44</v>
      </c>
      <c r="T907" s="2"/>
      <c r="U907" s="2" t="s">
        <v>821</v>
      </c>
      <c r="V907" s="2" t="s">
        <v>46</v>
      </c>
      <c r="W907" s="2" t="s">
        <v>821</v>
      </c>
      <c r="X907" s="2" t="s">
        <v>10787</v>
      </c>
      <c r="Y907" s="2" t="s">
        <v>10801</v>
      </c>
      <c r="Z907" s="2" t="s">
        <v>7864</v>
      </c>
      <c r="AA907" s="2">
        <v>100</v>
      </c>
      <c r="AB907" s="2">
        <v>17</v>
      </c>
      <c r="AC907" s="2" t="s">
        <v>10789</v>
      </c>
      <c r="AD907" s="2" t="s">
        <v>24462</v>
      </c>
      <c r="AE907" s="2" t="s">
        <v>18260</v>
      </c>
      <c r="AF907" s="2"/>
      <c r="AG907" s="2" t="s">
        <v>18250</v>
      </c>
    </row>
    <row r="908" spans="1:33" x14ac:dyDescent="0.45">
      <c r="A908" s="2" t="s">
        <v>24463</v>
      </c>
      <c r="B908" s="2" t="s">
        <v>24464</v>
      </c>
      <c r="C908" s="2" t="s">
        <v>24465</v>
      </c>
      <c r="D908" s="2" t="s">
        <v>24466</v>
      </c>
      <c r="E908" s="2" t="s">
        <v>24467</v>
      </c>
      <c r="F908" s="2" t="s">
        <v>24468</v>
      </c>
      <c r="G908" s="2"/>
      <c r="H908" s="2" t="s">
        <v>6029</v>
      </c>
      <c r="I908" s="2" t="s">
        <v>278</v>
      </c>
      <c r="J908" s="2" t="s">
        <v>24469</v>
      </c>
      <c r="K908" s="2" t="s">
        <v>24466</v>
      </c>
      <c r="L908" s="2"/>
      <c r="M908" s="2"/>
      <c r="N908" s="2"/>
      <c r="O908" s="2" t="s">
        <v>6029</v>
      </c>
      <c r="P908" s="2" t="s">
        <v>278</v>
      </c>
      <c r="Q908" s="2" t="s">
        <v>24469</v>
      </c>
      <c r="R908" s="2" t="s">
        <v>15595</v>
      </c>
      <c r="S908" s="2" t="s">
        <v>44</v>
      </c>
      <c r="T908" s="2"/>
      <c r="U908" s="2" t="s">
        <v>3527</v>
      </c>
      <c r="V908" s="2" t="s">
        <v>46</v>
      </c>
      <c r="W908" s="2" t="s">
        <v>3527</v>
      </c>
      <c r="X908" s="2" t="s">
        <v>10787</v>
      </c>
      <c r="Y908" s="2" t="s">
        <v>10801</v>
      </c>
      <c r="Z908" s="2" t="s">
        <v>7864</v>
      </c>
      <c r="AA908" s="2">
        <v>100</v>
      </c>
      <c r="AB908" s="2">
        <v>5</v>
      </c>
      <c r="AC908" s="2" t="s">
        <v>10789</v>
      </c>
      <c r="AD908" s="2" t="s">
        <v>24470</v>
      </c>
      <c r="AE908" s="2" t="s">
        <v>18260</v>
      </c>
      <c r="AF908" s="2"/>
      <c r="AG908" s="2" t="s">
        <v>18250</v>
      </c>
    </row>
    <row r="909" spans="1:33" x14ac:dyDescent="0.45">
      <c r="A909" s="2" t="s">
        <v>24471</v>
      </c>
      <c r="B909" s="2" t="s">
        <v>24472</v>
      </c>
      <c r="C909" s="2" t="s">
        <v>24471</v>
      </c>
      <c r="D909" s="2" t="s">
        <v>24473</v>
      </c>
      <c r="E909" s="2" t="s">
        <v>24474</v>
      </c>
      <c r="F909" s="2" t="s">
        <v>24475</v>
      </c>
      <c r="G909" s="2"/>
      <c r="H909" s="2" t="s">
        <v>1023</v>
      </c>
      <c r="I909" s="2" t="s">
        <v>73</v>
      </c>
      <c r="J909" s="2" t="s">
        <v>5695</v>
      </c>
      <c r="K909" s="2" t="s">
        <v>24473</v>
      </c>
      <c r="L909" s="2"/>
      <c r="M909" s="2"/>
      <c r="N909" s="2"/>
      <c r="O909" s="2" t="s">
        <v>1023</v>
      </c>
      <c r="P909" s="2" t="s">
        <v>73</v>
      </c>
      <c r="Q909" s="2" t="s">
        <v>5695</v>
      </c>
      <c r="R909" s="2" t="s">
        <v>5913</v>
      </c>
      <c r="S909" s="2" t="s">
        <v>44</v>
      </c>
      <c r="T909" s="2"/>
      <c r="U909" s="2" t="s">
        <v>3527</v>
      </c>
      <c r="V909" s="2" t="s">
        <v>46</v>
      </c>
      <c r="W909" s="2" t="s">
        <v>3527</v>
      </c>
      <c r="X909" s="2" t="s">
        <v>10787</v>
      </c>
      <c r="Y909" s="2" t="s">
        <v>10801</v>
      </c>
      <c r="Z909" s="2" t="s">
        <v>7864</v>
      </c>
      <c r="AA909" s="2">
        <v>100</v>
      </c>
      <c r="AB909" s="2">
        <v>10</v>
      </c>
      <c r="AC909" s="2" t="s">
        <v>10789</v>
      </c>
      <c r="AD909" s="2" t="s">
        <v>24476</v>
      </c>
      <c r="AE909" s="2" t="s">
        <v>18260</v>
      </c>
      <c r="AF909" s="2"/>
      <c r="AG909" s="2" t="s">
        <v>18250</v>
      </c>
    </row>
    <row r="910" spans="1:33" x14ac:dyDescent="0.45">
      <c r="A910" s="2" t="s">
        <v>24477</v>
      </c>
      <c r="B910" s="2" t="s">
        <v>24478</v>
      </c>
      <c r="C910" s="2" t="s">
        <v>24479</v>
      </c>
      <c r="D910" s="2" t="s">
        <v>24480</v>
      </c>
      <c r="E910" s="2" t="s">
        <v>24481</v>
      </c>
      <c r="F910" s="2" t="s">
        <v>24482</v>
      </c>
      <c r="G910" s="2" t="s">
        <v>24482</v>
      </c>
      <c r="H910" s="2" t="s">
        <v>1023</v>
      </c>
      <c r="I910" s="2" t="s">
        <v>73</v>
      </c>
      <c r="J910" s="2" t="s">
        <v>4550</v>
      </c>
      <c r="K910" s="2" t="s">
        <v>24480</v>
      </c>
      <c r="L910" s="2"/>
      <c r="M910" s="2"/>
      <c r="N910" s="2"/>
      <c r="O910" s="2" t="s">
        <v>1023</v>
      </c>
      <c r="P910" s="2" t="s">
        <v>73</v>
      </c>
      <c r="Q910" s="2" t="s">
        <v>4550</v>
      </c>
      <c r="R910" s="2" t="s">
        <v>13150</v>
      </c>
      <c r="S910" s="2" t="s">
        <v>44</v>
      </c>
      <c r="T910" s="2"/>
      <c r="U910" s="2" t="s">
        <v>3527</v>
      </c>
      <c r="V910" s="2" t="s">
        <v>46</v>
      </c>
      <c r="W910" s="2" t="s">
        <v>3527</v>
      </c>
      <c r="X910" s="2" t="s">
        <v>10787</v>
      </c>
      <c r="Y910" s="2" t="s">
        <v>10801</v>
      </c>
      <c r="Z910" s="2" t="s">
        <v>7864</v>
      </c>
      <c r="AA910" s="2">
        <v>100</v>
      </c>
      <c r="AB910" s="2">
        <v>10</v>
      </c>
      <c r="AC910" s="2" t="s">
        <v>10789</v>
      </c>
      <c r="AD910" s="2" t="s">
        <v>24483</v>
      </c>
      <c r="AE910" s="2" t="s">
        <v>18260</v>
      </c>
      <c r="AF910" s="2"/>
      <c r="AG910" s="2" t="s">
        <v>18250</v>
      </c>
    </row>
    <row r="911" spans="1:33" x14ac:dyDescent="0.45">
      <c r="A911" s="2" t="s">
        <v>24484</v>
      </c>
      <c r="B911" s="2" t="s">
        <v>24485</v>
      </c>
      <c r="C911" s="2" t="s">
        <v>24486</v>
      </c>
      <c r="D911" s="2" t="s">
        <v>24487</v>
      </c>
      <c r="E911" s="2" t="s">
        <v>24488</v>
      </c>
      <c r="F911" s="2" t="s">
        <v>24489</v>
      </c>
      <c r="G911" s="2"/>
      <c r="H911" s="2" t="s">
        <v>11330</v>
      </c>
      <c r="I911" s="2" t="s">
        <v>73</v>
      </c>
      <c r="J911" s="2" t="s">
        <v>24490</v>
      </c>
      <c r="K911" s="2" t="s">
        <v>24487</v>
      </c>
      <c r="L911" s="2"/>
      <c r="M911" s="2"/>
      <c r="N911" s="2"/>
      <c r="O911" s="2" t="s">
        <v>11330</v>
      </c>
      <c r="P911" s="2" t="s">
        <v>73</v>
      </c>
      <c r="Q911" s="2" t="s">
        <v>24490</v>
      </c>
      <c r="R911" s="2" t="s">
        <v>632</v>
      </c>
      <c r="S911" s="2" t="s">
        <v>44</v>
      </c>
      <c r="T911" s="2"/>
      <c r="U911" s="2" t="s">
        <v>3527</v>
      </c>
      <c r="V911" s="2" t="s">
        <v>46</v>
      </c>
      <c r="W911" s="2" t="s">
        <v>3527</v>
      </c>
      <c r="X911" s="2" t="s">
        <v>10787</v>
      </c>
      <c r="Y911" s="2" t="s">
        <v>10801</v>
      </c>
      <c r="Z911" s="2" t="s">
        <v>7864</v>
      </c>
      <c r="AA911" s="2">
        <v>100</v>
      </c>
      <c r="AB911" s="2">
        <v>5</v>
      </c>
      <c r="AC911" s="2" t="s">
        <v>10789</v>
      </c>
      <c r="AD911" s="2" t="s">
        <v>24491</v>
      </c>
      <c r="AE911" s="2" t="s">
        <v>18260</v>
      </c>
      <c r="AF911" s="2"/>
      <c r="AG911" s="2" t="s">
        <v>18250</v>
      </c>
    </row>
    <row r="912" spans="1:33" x14ac:dyDescent="0.45">
      <c r="A912" s="2" t="s">
        <v>24492</v>
      </c>
      <c r="B912" s="2" t="s">
        <v>24493</v>
      </c>
      <c r="C912" s="2" t="s">
        <v>24494</v>
      </c>
      <c r="D912" s="2" t="s">
        <v>24495</v>
      </c>
      <c r="E912" s="2" t="s">
        <v>24496</v>
      </c>
      <c r="F912" s="2"/>
      <c r="G912" s="2"/>
      <c r="H912" s="2" t="s">
        <v>8392</v>
      </c>
      <c r="I912" s="2" t="s">
        <v>313</v>
      </c>
      <c r="J912" s="2" t="s">
        <v>8393</v>
      </c>
      <c r="K912" s="2" t="s">
        <v>24495</v>
      </c>
      <c r="L912" s="2"/>
      <c r="M912" s="2"/>
      <c r="N912" s="2"/>
      <c r="O912" s="2" t="s">
        <v>8392</v>
      </c>
      <c r="P912" s="2" t="s">
        <v>313</v>
      </c>
      <c r="Q912" s="2" t="s">
        <v>8393</v>
      </c>
      <c r="R912" s="2" t="s">
        <v>24497</v>
      </c>
      <c r="S912" s="2" t="s">
        <v>44</v>
      </c>
      <c r="T912" s="2"/>
      <c r="U912" s="2" t="s">
        <v>821</v>
      </c>
      <c r="V912" s="2" t="s">
        <v>46</v>
      </c>
      <c r="W912" s="2" t="s">
        <v>821</v>
      </c>
      <c r="X912" s="2" t="s">
        <v>10787</v>
      </c>
      <c r="Y912" s="2" t="s">
        <v>10801</v>
      </c>
      <c r="Z912" s="2" t="s">
        <v>7864</v>
      </c>
      <c r="AA912" s="2">
        <v>90</v>
      </c>
      <c r="AB912" s="2">
        <v>2</v>
      </c>
      <c r="AC912" s="2" t="s">
        <v>10789</v>
      </c>
      <c r="AD912" s="2" t="s">
        <v>24498</v>
      </c>
      <c r="AE912" s="2" t="s">
        <v>18260</v>
      </c>
      <c r="AF912" s="2"/>
      <c r="AG912" s="2" t="s">
        <v>18250</v>
      </c>
    </row>
    <row r="913" spans="1:33" x14ac:dyDescent="0.45">
      <c r="A913" s="2" t="s">
        <v>24499</v>
      </c>
      <c r="B913" s="2" t="s">
        <v>24500</v>
      </c>
      <c r="C913" s="2" t="s">
        <v>24499</v>
      </c>
      <c r="D913" s="2" t="s">
        <v>24501</v>
      </c>
      <c r="E913" s="2" t="s">
        <v>24502</v>
      </c>
      <c r="F913" s="2"/>
      <c r="G913" s="2"/>
      <c r="H913" s="2" t="s">
        <v>72</v>
      </c>
      <c r="I913" s="2" t="s">
        <v>73</v>
      </c>
      <c r="J913" s="2" t="s">
        <v>1896</v>
      </c>
      <c r="K913" s="2" t="s">
        <v>24501</v>
      </c>
      <c r="L913" s="2"/>
      <c r="M913" s="2"/>
      <c r="N913" s="2"/>
      <c r="O913" s="2" t="s">
        <v>72</v>
      </c>
      <c r="P913" s="2" t="s">
        <v>73</v>
      </c>
      <c r="Q913" s="2" t="s">
        <v>1896</v>
      </c>
      <c r="R913" s="2" t="s">
        <v>10010</v>
      </c>
      <c r="S913" s="2" t="s">
        <v>44</v>
      </c>
      <c r="T913" s="2"/>
      <c r="U913" s="2" t="s">
        <v>3527</v>
      </c>
      <c r="V913" s="2" t="s">
        <v>46</v>
      </c>
      <c r="W913" s="2" t="s">
        <v>3527</v>
      </c>
      <c r="X913" s="2" t="s">
        <v>10787</v>
      </c>
      <c r="Y913" s="2" t="s">
        <v>10801</v>
      </c>
      <c r="Z913" s="2" t="s">
        <v>7864</v>
      </c>
      <c r="AA913" s="2">
        <v>90</v>
      </c>
      <c r="AB913" s="2">
        <v>0</v>
      </c>
      <c r="AC913" s="2" t="s">
        <v>10789</v>
      </c>
      <c r="AD913" s="2" t="s">
        <v>24503</v>
      </c>
      <c r="AE913" s="2" t="s">
        <v>18260</v>
      </c>
      <c r="AF913" s="2"/>
      <c r="AG913" s="2" t="s">
        <v>18250</v>
      </c>
    </row>
    <row r="914" spans="1:33" x14ac:dyDescent="0.45">
      <c r="A914" s="2" t="s">
        <v>24504</v>
      </c>
      <c r="B914" s="2" t="s">
        <v>24505</v>
      </c>
      <c r="C914" s="2" t="s">
        <v>24504</v>
      </c>
      <c r="D914" s="2" t="s">
        <v>24506</v>
      </c>
      <c r="E914" s="2" t="s">
        <v>24507</v>
      </c>
      <c r="F914" s="2" t="s">
        <v>24508</v>
      </c>
      <c r="G914" s="2" t="s">
        <v>24508</v>
      </c>
      <c r="H914" s="2" t="s">
        <v>220</v>
      </c>
      <c r="I914" s="2" t="s">
        <v>221</v>
      </c>
      <c r="J914" s="2" t="s">
        <v>20786</v>
      </c>
      <c r="K914" s="2"/>
      <c r="L914" s="2"/>
      <c r="M914" s="2"/>
      <c r="N914" s="2"/>
      <c r="O914" s="2"/>
      <c r="P914" s="2"/>
      <c r="Q914" s="2"/>
      <c r="R914" s="2" t="s">
        <v>18896</v>
      </c>
      <c r="S914" s="2" t="s">
        <v>44</v>
      </c>
      <c r="T914" s="2"/>
      <c r="U914" s="2" t="s">
        <v>3527</v>
      </c>
      <c r="V914" s="2" t="s">
        <v>46</v>
      </c>
      <c r="W914" s="2" t="s">
        <v>3527</v>
      </c>
      <c r="X914" s="2" t="s">
        <v>10787</v>
      </c>
      <c r="Y914" s="2" t="s">
        <v>10801</v>
      </c>
      <c r="Z914" s="2" t="s">
        <v>7864</v>
      </c>
      <c r="AA914" s="2">
        <v>100</v>
      </c>
      <c r="AB914" s="2">
        <v>5</v>
      </c>
      <c r="AC914" s="2" t="s">
        <v>10789</v>
      </c>
      <c r="AD914" s="2" t="s">
        <v>24509</v>
      </c>
      <c r="AE914" s="2" t="s">
        <v>18260</v>
      </c>
      <c r="AF914" s="2"/>
      <c r="AG914" s="2" t="s">
        <v>18250</v>
      </c>
    </row>
    <row r="915" spans="1:33" x14ac:dyDescent="0.45">
      <c r="A915" s="2" t="s">
        <v>24510</v>
      </c>
      <c r="B915" s="2" t="s">
        <v>24511</v>
      </c>
      <c r="C915" s="2" t="s">
        <v>24512</v>
      </c>
      <c r="D915" s="2" t="s">
        <v>24513</v>
      </c>
      <c r="E915" s="2" t="s">
        <v>24514</v>
      </c>
      <c r="F915" s="2" t="s">
        <v>24515</v>
      </c>
      <c r="G915" s="2"/>
      <c r="H915" s="2" t="s">
        <v>174</v>
      </c>
      <c r="I915" s="2" t="s">
        <v>175</v>
      </c>
      <c r="J915" s="2" t="s">
        <v>24516</v>
      </c>
      <c r="K915" s="2" t="s">
        <v>24513</v>
      </c>
      <c r="L915" s="2"/>
      <c r="M915" s="2"/>
      <c r="N915" s="2"/>
      <c r="O915" s="2" t="s">
        <v>174</v>
      </c>
      <c r="P915" s="2" t="s">
        <v>175</v>
      </c>
      <c r="Q915" s="2" t="s">
        <v>24516</v>
      </c>
      <c r="R915" s="2" t="s">
        <v>4631</v>
      </c>
      <c r="S915" s="2" t="s">
        <v>44</v>
      </c>
      <c r="T915" s="2"/>
      <c r="U915" s="2" t="s">
        <v>821</v>
      </c>
      <c r="V915" s="2" t="s">
        <v>46</v>
      </c>
      <c r="W915" s="2" t="s">
        <v>821</v>
      </c>
      <c r="X915" s="2" t="s">
        <v>10787</v>
      </c>
      <c r="Y915" s="2" t="s">
        <v>10801</v>
      </c>
      <c r="Z915" s="2" t="s">
        <v>7864</v>
      </c>
      <c r="AA915" s="2">
        <v>100</v>
      </c>
      <c r="AB915" s="2">
        <v>17</v>
      </c>
      <c r="AC915" s="2" t="s">
        <v>10789</v>
      </c>
      <c r="AD915" s="2" t="s">
        <v>24517</v>
      </c>
      <c r="AE915" s="2" t="s">
        <v>18260</v>
      </c>
      <c r="AF915" s="2"/>
      <c r="AG915" s="2" t="s">
        <v>18250</v>
      </c>
    </row>
    <row r="916" spans="1:33" x14ac:dyDescent="0.45">
      <c r="A916" s="2" t="s">
        <v>24518</v>
      </c>
      <c r="B916" s="2" t="s">
        <v>24519</v>
      </c>
      <c r="C916" s="2"/>
      <c r="D916" s="2" t="s">
        <v>24520</v>
      </c>
      <c r="E916" s="2" t="s">
        <v>24521</v>
      </c>
      <c r="F916" s="2"/>
      <c r="G916" s="2"/>
      <c r="H916" s="2" t="s">
        <v>24522</v>
      </c>
      <c r="I916" s="2" t="s">
        <v>60</v>
      </c>
      <c r="J916" s="2" t="s">
        <v>24523</v>
      </c>
      <c r="K916" s="2"/>
      <c r="L916" s="2"/>
      <c r="M916" s="2"/>
      <c r="N916" s="2"/>
      <c r="O916" s="2"/>
      <c r="P916" s="2"/>
      <c r="Q916" s="2"/>
      <c r="R916" s="2" t="s">
        <v>9841</v>
      </c>
      <c r="S916" s="2" t="s">
        <v>44</v>
      </c>
      <c r="T916" s="2"/>
      <c r="U916" s="2" t="s">
        <v>821</v>
      </c>
      <c r="V916" s="2" t="s">
        <v>46</v>
      </c>
      <c r="W916" s="2" t="s">
        <v>821</v>
      </c>
      <c r="X916" s="2" t="s">
        <v>10787</v>
      </c>
      <c r="Y916" s="2" t="s">
        <v>10801</v>
      </c>
      <c r="Z916" s="2" t="s">
        <v>7864</v>
      </c>
      <c r="AA916" s="2">
        <v>75</v>
      </c>
      <c r="AB916" s="2">
        <v>0</v>
      </c>
      <c r="AC916" s="2" t="s">
        <v>10789</v>
      </c>
      <c r="AD916" s="2" t="s">
        <v>24524</v>
      </c>
      <c r="AE916" s="2" t="s">
        <v>18260</v>
      </c>
      <c r="AF916" s="2"/>
      <c r="AG916" s="2" t="s">
        <v>18250</v>
      </c>
    </row>
    <row r="917" spans="1:33" x14ac:dyDescent="0.45">
      <c r="A917" s="2" t="s">
        <v>24525</v>
      </c>
      <c r="B917" s="2" t="s">
        <v>24526</v>
      </c>
      <c r="C917" s="2" t="s">
        <v>24525</v>
      </c>
      <c r="D917" s="2" t="s">
        <v>24527</v>
      </c>
      <c r="E917" s="2" t="s">
        <v>24528</v>
      </c>
      <c r="F917" s="2" t="s">
        <v>24529</v>
      </c>
      <c r="G917" s="2" t="s">
        <v>24529</v>
      </c>
      <c r="H917" s="2" t="s">
        <v>72</v>
      </c>
      <c r="I917" s="2" t="s">
        <v>73</v>
      </c>
      <c r="J917" s="2" t="s">
        <v>3854</v>
      </c>
      <c r="K917" s="2" t="s">
        <v>24530</v>
      </c>
      <c r="L917" s="2"/>
      <c r="M917" s="2"/>
      <c r="N917" s="2"/>
      <c r="O917" s="2"/>
      <c r="P917" s="2" t="s">
        <v>73</v>
      </c>
      <c r="Q917" s="2" t="s">
        <v>3854</v>
      </c>
      <c r="R917" s="2" t="s">
        <v>24531</v>
      </c>
      <c r="S917" s="2" t="s">
        <v>44</v>
      </c>
      <c r="T917" s="2"/>
      <c r="U917" s="2" t="s">
        <v>821</v>
      </c>
      <c r="V917" s="2" t="s">
        <v>46</v>
      </c>
      <c r="W917" s="2" t="s">
        <v>821</v>
      </c>
      <c r="X917" s="2" t="s">
        <v>11225</v>
      </c>
      <c r="Y917" s="2" t="s">
        <v>10801</v>
      </c>
      <c r="Z917" s="2" t="s">
        <v>7864</v>
      </c>
      <c r="AA917" s="2">
        <v>100</v>
      </c>
      <c r="AB917" s="2">
        <v>17</v>
      </c>
      <c r="AC917" s="2" t="s">
        <v>10789</v>
      </c>
      <c r="AD917" s="2" t="s">
        <v>24532</v>
      </c>
      <c r="AE917" s="2" t="s">
        <v>18260</v>
      </c>
      <c r="AF917" s="2"/>
      <c r="AG917" s="2" t="s">
        <v>18250</v>
      </c>
    </row>
    <row r="918" spans="1:33" x14ac:dyDescent="0.45">
      <c r="A918" s="2" t="s">
        <v>4815</v>
      </c>
      <c r="B918" s="2" t="s">
        <v>24533</v>
      </c>
      <c r="C918" s="2" t="s">
        <v>24534</v>
      </c>
      <c r="D918" s="2" t="s">
        <v>24535</v>
      </c>
      <c r="E918" s="2" t="s">
        <v>24536</v>
      </c>
      <c r="F918" s="2" t="s">
        <v>24537</v>
      </c>
      <c r="G918" s="2"/>
      <c r="H918" s="2" t="s">
        <v>651</v>
      </c>
      <c r="I918" s="2" t="s">
        <v>86</v>
      </c>
      <c r="J918" s="2" t="s">
        <v>12027</v>
      </c>
      <c r="K918" s="2"/>
      <c r="L918" s="2"/>
      <c r="M918" s="2"/>
      <c r="N918" s="2"/>
      <c r="O918" s="2"/>
      <c r="P918" s="2"/>
      <c r="Q918" s="2"/>
      <c r="R918" s="2" t="s">
        <v>3293</v>
      </c>
      <c r="S918" s="2" t="s">
        <v>44</v>
      </c>
      <c r="T918" s="2"/>
      <c r="U918" s="2" t="s">
        <v>3527</v>
      </c>
      <c r="V918" s="2" t="s">
        <v>46</v>
      </c>
      <c r="W918" s="2" t="s">
        <v>3527</v>
      </c>
      <c r="X918" s="2" t="s">
        <v>10787</v>
      </c>
      <c r="Y918" s="2" t="s">
        <v>10801</v>
      </c>
      <c r="Z918" s="2" t="s">
        <v>7864</v>
      </c>
      <c r="AA918" s="2">
        <v>100</v>
      </c>
      <c r="AB918" s="2">
        <v>10</v>
      </c>
      <c r="AC918" s="2" t="s">
        <v>10789</v>
      </c>
      <c r="AD918" s="2" t="s">
        <v>24538</v>
      </c>
      <c r="AE918" s="2" t="s">
        <v>18260</v>
      </c>
      <c r="AF918" s="2"/>
      <c r="AG918" s="2" t="s">
        <v>18250</v>
      </c>
    </row>
    <row r="919" spans="1:33" x14ac:dyDescent="0.45">
      <c r="A919" s="2" t="s">
        <v>24539</v>
      </c>
      <c r="B919" s="2" t="s">
        <v>24540</v>
      </c>
      <c r="C919" s="2" t="s">
        <v>24539</v>
      </c>
      <c r="D919" s="2" t="s">
        <v>24541</v>
      </c>
      <c r="E919" s="2" t="s">
        <v>24542</v>
      </c>
      <c r="F919" s="2" t="s">
        <v>24543</v>
      </c>
      <c r="G919" s="2"/>
      <c r="H919" s="2" t="s">
        <v>22142</v>
      </c>
      <c r="I919" s="2" t="s">
        <v>1209</v>
      </c>
      <c r="J919" s="2" t="s">
        <v>24544</v>
      </c>
      <c r="K919" s="2" t="s">
        <v>24541</v>
      </c>
      <c r="L919" s="2"/>
      <c r="M919" s="2"/>
      <c r="N919" s="2"/>
      <c r="O919" s="2" t="s">
        <v>22142</v>
      </c>
      <c r="P919" s="2" t="s">
        <v>1209</v>
      </c>
      <c r="Q919" s="2" t="s">
        <v>24544</v>
      </c>
      <c r="R919" s="2" t="s">
        <v>12637</v>
      </c>
      <c r="S919" s="2" t="s">
        <v>44</v>
      </c>
      <c r="T919" s="2"/>
      <c r="U919" s="2" t="s">
        <v>3527</v>
      </c>
      <c r="V919" s="2" t="s">
        <v>46</v>
      </c>
      <c r="W919" s="2" t="s">
        <v>3527</v>
      </c>
      <c r="X919" s="2" t="s">
        <v>10787</v>
      </c>
      <c r="Y919" s="2" t="s">
        <v>10801</v>
      </c>
      <c r="Z919" s="2" t="s">
        <v>7864</v>
      </c>
      <c r="AA919" s="2">
        <v>100</v>
      </c>
      <c r="AB919" s="2">
        <v>5</v>
      </c>
      <c r="AC919" s="2" t="s">
        <v>10789</v>
      </c>
      <c r="AD919" s="2" t="s">
        <v>24545</v>
      </c>
      <c r="AE919" s="2" t="s">
        <v>18260</v>
      </c>
      <c r="AF919" s="2"/>
      <c r="AG919" s="2" t="s">
        <v>18250</v>
      </c>
    </row>
    <row r="920" spans="1:33" x14ac:dyDescent="0.45">
      <c r="A920" s="2" t="s">
        <v>24546</v>
      </c>
      <c r="B920" s="2" t="s">
        <v>24547</v>
      </c>
      <c r="C920" s="2" t="s">
        <v>24546</v>
      </c>
      <c r="D920" s="2" t="s">
        <v>24548</v>
      </c>
      <c r="E920" s="2" t="s">
        <v>24549</v>
      </c>
      <c r="F920" s="2" t="s">
        <v>24550</v>
      </c>
      <c r="G920" s="2" t="s">
        <v>24550</v>
      </c>
      <c r="H920" s="2" t="s">
        <v>651</v>
      </c>
      <c r="I920" s="2" t="s">
        <v>86</v>
      </c>
      <c r="J920" s="2" t="s">
        <v>24551</v>
      </c>
      <c r="K920" s="2" t="s">
        <v>24552</v>
      </c>
      <c r="L920" s="2"/>
      <c r="M920" s="2"/>
      <c r="N920" s="2"/>
      <c r="O920" s="2" t="s">
        <v>216</v>
      </c>
      <c r="P920" s="2" t="s">
        <v>217</v>
      </c>
      <c r="Q920" s="2" t="s">
        <v>1151</v>
      </c>
      <c r="R920" s="2" t="s">
        <v>10144</v>
      </c>
      <c r="S920" s="2" t="s">
        <v>44</v>
      </c>
      <c r="T920" s="2"/>
      <c r="U920" s="2" t="s">
        <v>821</v>
      </c>
      <c r="V920" s="2" t="s">
        <v>46</v>
      </c>
      <c r="W920" s="2" t="s">
        <v>821</v>
      </c>
      <c r="X920" s="2" t="s">
        <v>10787</v>
      </c>
      <c r="Y920" s="2" t="s">
        <v>10801</v>
      </c>
      <c r="Z920" s="2" t="s">
        <v>7864</v>
      </c>
      <c r="AA920" s="2">
        <v>100</v>
      </c>
      <c r="AB920" s="2">
        <v>17</v>
      </c>
      <c r="AC920" s="2" t="s">
        <v>10789</v>
      </c>
      <c r="AD920" s="2" t="s">
        <v>24553</v>
      </c>
      <c r="AE920" s="2" t="s">
        <v>18260</v>
      </c>
      <c r="AF920" s="2"/>
      <c r="AG920" s="2" t="s">
        <v>18250</v>
      </c>
    </row>
    <row r="921" spans="1:33" x14ac:dyDescent="0.45">
      <c r="A921" s="2" t="s">
        <v>24554</v>
      </c>
      <c r="B921" s="2" t="s">
        <v>24555</v>
      </c>
      <c r="C921" s="2" t="s">
        <v>24554</v>
      </c>
      <c r="D921" s="2" t="s">
        <v>24556</v>
      </c>
      <c r="E921" s="2" t="s">
        <v>24557</v>
      </c>
      <c r="F921" s="2" t="s">
        <v>24558</v>
      </c>
      <c r="G921" s="2" t="s">
        <v>24558</v>
      </c>
      <c r="H921" s="2" t="s">
        <v>5821</v>
      </c>
      <c r="I921" s="2" t="s">
        <v>278</v>
      </c>
      <c r="J921" s="2" t="s">
        <v>16943</v>
      </c>
      <c r="K921" s="2" t="s">
        <v>24556</v>
      </c>
      <c r="L921" s="2"/>
      <c r="M921" s="2"/>
      <c r="N921" s="2"/>
      <c r="O921" s="2" t="s">
        <v>5821</v>
      </c>
      <c r="P921" s="2" t="s">
        <v>278</v>
      </c>
      <c r="Q921" s="2" t="s">
        <v>16943</v>
      </c>
      <c r="R921" s="2" t="s">
        <v>2964</v>
      </c>
      <c r="S921" s="2" t="s">
        <v>44</v>
      </c>
      <c r="T921" s="2"/>
      <c r="U921" s="2" t="s">
        <v>3527</v>
      </c>
      <c r="V921" s="2" t="s">
        <v>46</v>
      </c>
      <c r="W921" s="2" t="s">
        <v>3527</v>
      </c>
      <c r="X921" s="2" t="s">
        <v>10787</v>
      </c>
      <c r="Y921" s="2" t="s">
        <v>10801</v>
      </c>
      <c r="Z921" s="2" t="s">
        <v>7864</v>
      </c>
      <c r="AA921" s="2">
        <v>100</v>
      </c>
      <c r="AB921" s="2">
        <v>5</v>
      </c>
      <c r="AC921" s="2" t="s">
        <v>10789</v>
      </c>
      <c r="AD921" s="2" t="s">
        <v>24559</v>
      </c>
      <c r="AE921" s="2" t="s">
        <v>18260</v>
      </c>
      <c r="AF921" s="2"/>
      <c r="AG921" s="2" t="s">
        <v>18250</v>
      </c>
    </row>
    <row r="922" spans="1:33" x14ac:dyDescent="0.45">
      <c r="A922" s="2" t="s">
        <v>24560</v>
      </c>
      <c r="B922" s="2" t="s">
        <v>24561</v>
      </c>
      <c r="C922" s="2"/>
      <c r="D922" s="2" t="s">
        <v>24562</v>
      </c>
      <c r="E922" s="2" t="s">
        <v>24563</v>
      </c>
      <c r="F922" s="2"/>
      <c r="G922" s="2"/>
      <c r="H922" s="2" t="s">
        <v>174</v>
      </c>
      <c r="I922" s="2" t="s">
        <v>175</v>
      </c>
      <c r="J922" s="2" t="s">
        <v>5660</v>
      </c>
      <c r="K922" s="2" t="s">
        <v>24562</v>
      </c>
      <c r="L922" s="2"/>
      <c r="M922" s="2"/>
      <c r="N922" s="2"/>
      <c r="O922" s="2" t="s">
        <v>174</v>
      </c>
      <c r="P922" s="2" t="s">
        <v>175</v>
      </c>
      <c r="Q922" s="2" t="s">
        <v>5660</v>
      </c>
      <c r="R922" s="2" t="s">
        <v>24564</v>
      </c>
      <c r="S922" s="2" t="s">
        <v>44</v>
      </c>
      <c r="T922" s="2"/>
      <c r="U922" s="2" t="s">
        <v>3527</v>
      </c>
      <c r="V922" s="2" t="s">
        <v>46</v>
      </c>
      <c r="W922" s="2" t="s">
        <v>3527</v>
      </c>
      <c r="X922" s="2" t="s">
        <v>10787</v>
      </c>
      <c r="Y922" s="2" t="s">
        <v>10801</v>
      </c>
      <c r="Z922" s="2" t="s">
        <v>7864</v>
      </c>
      <c r="AA922" s="2">
        <v>75</v>
      </c>
      <c r="AB922" s="2">
        <v>0</v>
      </c>
      <c r="AC922" s="2" t="s">
        <v>10789</v>
      </c>
      <c r="AD922" s="2" t="s">
        <v>24565</v>
      </c>
      <c r="AE922" s="2" t="s">
        <v>18260</v>
      </c>
      <c r="AF922" s="2"/>
      <c r="AG922" s="2" t="s">
        <v>18250</v>
      </c>
    </row>
    <row r="923" spans="1:33" x14ac:dyDescent="0.45">
      <c r="A923" s="2" t="s">
        <v>24566</v>
      </c>
      <c r="B923" s="2" t="s">
        <v>24567</v>
      </c>
      <c r="C923" s="2" t="s">
        <v>24566</v>
      </c>
      <c r="D923" s="2" t="s">
        <v>24568</v>
      </c>
      <c r="E923" s="2" t="s">
        <v>24569</v>
      </c>
      <c r="F923" s="2"/>
      <c r="G923" s="2"/>
      <c r="H923" s="2" t="s">
        <v>72</v>
      </c>
      <c r="I923" s="2" t="s">
        <v>73</v>
      </c>
      <c r="J923" s="2" t="s">
        <v>6376</v>
      </c>
      <c r="K923" s="2" t="s">
        <v>24570</v>
      </c>
      <c r="L923" s="2"/>
      <c r="M923" s="2"/>
      <c r="N923" s="2"/>
      <c r="O923" s="2" t="s">
        <v>72</v>
      </c>
      <c r="P923" s="2" t="s">
        <v>73</v>
      </c>
      <c r="Q923" s="2" t="s">
        <v>6376</v>
      </c>
      <c r="R923" s="2" t="s">
        <v>24571</v>
      </c>
      <c r="S923" s="2" t="s">
        <v>44</v>
      </c>
      <c r="T923" s="2"/>
      <c r="U923" s="2" t="s">
        <v>3527</v>
      </c>
      <c r="V923" s="2" t="s">
        <v>46</v>
      </c>
      <c r="W923" s="2" t="s">
        <v>3527</v>
      </c>
      <c r="X923" s="2" t="s">
        <v>10787</v>
      </c>
      <c r="Y923" s="2" t="s">
        <v>10801</v>
      </c>
      <c r="Z923" s="2" t="s">
        <v>7864</v>
      </c>
      <c r="AA923" s="2">
        <v>90</v>
      </c>
      <c r="AB923" s="2">
        <v>0</v>
      </c>
      <c r="AC923" s="2" t="s">
        <v>10789</v>
      </c>
      <c r="AD923" s="2" t="s">
        <v>24572</v>
      </c>
      <c r="AE923" s="2" t="s">
        <v>18260</v>
      </c>
      <c r="AF923" s="2"/>
      <c r="AG923" s="2" t="s">
        <v>18250</v>
      </c>
    </row>
    <row r="924" spans="1:33" x14ac:dyDescent="0.45">
      <c r="A924" s="2" t="s">
        <v>24573</v>
      </c>
      <c r="B924" s="2" t="s">
        <v>24574</v>
      </c>
      <c r="C924" s="2" t="s">
        <v>24573</v>
      </c>
      <c r="D924" s="2" t="s">
        <v>24575</v>
      </c>
      <c r="E924" s="2" t="s">
        <v>24576</v>
      </c>
      <c r="F924" s="2" t="s">
        <v>24577</v>
      </c>
      <c r="G924" s="2" t="s">
        <v>24577</v>
      </c>
      <c r="H924" s="2" t="s">
        <v>174</v>
      </c>
      <c r="I924" s="2" t="s">
        <v>175</v>
      </c>
      <c r="J924" s="2" t="s">
        <v>24578</v>
      </c>
      <c r="K924" s="2" t="s">
        <v>24579</v>
      </c>
      <c r="L924" s="2"/>
      <c r="M924" s="2"/>
      <c r="N924" s="2"/>
      <c r="O924" s="2" t="s">
        <v>174</v>
      </c>
      <c r="P924" s="2" t="s">
        <v>175</v>
      </c>
      <c r="Q924" s="2" t="s">
        <v>24578</v>
      </c>
      <c r="R924" s="2" t="s">
        <v>14943</v>
      </c>
      <c r="S924" s="2" t="s">
        <v>44</v>
      </c>
      <c r="T924" s="2"/>
      <c r="U924" s="2" t="s">
        <v>821</v>
      </c>
      <c r="V924" s="2" t="s">
        <v>46</v>
      </c>
      <c r="W924" s="2" t="s">
        <v>821</v>
      </c>
      <c r="X924" s="2" t="s">
        <v>10787</v>
      </c>
      <c r="Y924" s="2" t="s">
        <v>10801</v>
      </c>
      <c r="Z924" s="2" t="s">
        <v>7864</v>
      </c>
      <c r="AA924" s="2">
        <v>100</v>
      </c>
      <c r="AB924" s="2">
        <v>17</v>
      </c>
      <c r="AC924" s="2" t="s">
        <v>10789</v>
      </c>
      <c r="AD924" s="2" t="s">
        <v>24580</v>
      </c>
      <c r="AE924" s="2" t="s">
        <v>18260</v>
      </c>
      <c r="AF924" s="2"/>
      <c r="AG924" s="2" t="s">
        <v>18250</v>
      </c>
    </row>
    <row r="925" spans="1:33" x14ac:dyDescent="0.45">
      <c r="A925" s="2" t="s">
        <v>24581</v>
      </c>
      <c r="B925" s="2" t="s">
        <v>24582</v>
      </c>
      <c r="C925" s="2" t="s">
        <v>24581</v>
      </c>
      <c r="D925" s="2" t="s">
        <v>24583</v>
      </c>
      <c r="E925" s="2" t="s">
        <v>24584</v>
      </c>
      <c r="F925" s="2"/>
      <c r="G925" s="2"/>
      <c r="H925" s="2" t="s">
        <v>8495</v>
      </c>
      <c r="I925" s="2" t="s">
        <v>8496</v>
      </c>
      <c r="J925" s="2" t="s">
        <v>14128</v>
      </c>
      <c r="K925" s="2" t="s">
        <v>24583</v>
      </c>
      <c r="L925" s="2"/>
      <c r="M925" s="2"/>
      <c r="N925" s="2"/>
      <c r="O925" s="2" t="s">
        <v>8495</v>
      </c>
      <c r="P925" s="2" t="s">
        <v>8496</v>
      </c>
      <c r="Q925" s="2" t="s">
        <v>14128</v>
      </c>
      <c r="R925" s="2" t="s">
        <v>24585</v>
      </c>
      <c r="S925" s="2" t="s">
        <v>44</v>
      </c>
      <c r="T925" s="2"/>
      <c r="U925" s="2" t="s">
        <v>3527</v>
      </c>
      <c r="V925" s="2" t="s">
        <v>46</v>
      </c>
      <c r="W925" s="2" t="s">
        <v>3527</v>
      </c>
      <c r="X925" s="2" t="s">
        <v>10787</v>
      </c>
      <c r="Y925" s="2" t="s">
        <v>10801</v>
      </c>
      <c r="Z925" s="2" t="s">
        <v>7864</v>
      </c>
      <c r="AA925" s="2">
        <v>90</v>
      </c>
      <c r="AB925" s="2">
        <v>0</v>
      </c>
      <c r="AC925" s="2" t="s">
        <v>10789</v>
      </c>
      <c r="AD925" s="2" t="s">
        <v>24586</v>
      </c>
      <c r="AE925" s="2" t="s">
        <v>18260</v>
      </c>
      <c r="AF925" s="2"/>
      <c r="AG925" s="2" t="s">
        <v>18250</v>
      </c>
    </row>
    <row r="926" spans="1:33" x14ac:dyDescent="0.45">
      <c r="A926" s="2" t="s">
        <v>24587</v>
      </c>
      <c r="B926" s="2" t="s">
        <v>24588</v>
      </c>
      <c r="C926" s="2" t="s">
        <v>24589</v>
      </c>
      <c r="D926" s="2" t="s">
        <v>24590</v>
      </c>
      <c r="E926" s="2" t="s">
        <v>24591</v>
      </c>
      <c r="F926" s="2" t="s">
        <v>24592</v>
      </c>
      <c r="G926" s="2"/>
      <c r="H926" s="2" t="s">
        <v>324</v>
      </c>
      <c r="I926" s="2" t="s">
        <v>73</v>
      </c>
      <c r="J926" s="2" t="s">
        <v>516</v>
      </c>
      <c r="K926" s="2" t="s">
        <v>24590</v>
      </c>
      <c r="L926" s="2"/>
      <c r="M926" s="2"/>
      <c r="N926" s="2"/>
      <c r="O926" s="2" t="s">
        <v>324</v>
      </c>
      <c r="P926" s="2" t="s">
        <v>73</v>
      </c>
      <c r="Q926" s="2" t="s">
        <v>516</v>
      </c>
      <c r="R926" s="2" t="s">
        <v>10493</v>
      </c>
      <c r="S926" s="2" t="s">
        <v>44</v>
      </c>
      <c r="T926" s="2"/>
      <c r="U926" s="2" t="s">
        <v>3527</v>
      </c>
      <c r="V926" s="2" t="s">
        <v>46</v>
      </c>
      <c r="W926" s="2" t="s">
        <v>3527</v>
      </c>
      <c r="X926" s="2" t="s">
        <v>10787</v>
      </c>
      <c r="Y926" s="2" t="s">
        <v>10801</v>
      </c>
      <c r="Z926" s="2" t="s">
        <v>7864</v>
      </c>
      <c r="AA926" s="2">
        <v>100</v>
      </c>
      <c r="AB926" s="2">
        <v>10</v>
      </c>
      <c r="AC926" s="2" t="s">
        <v>10789</v>
      </c>
      <c r="AD926" s="2" t="s">
        <v>24593</v>
      </c>
      <c r="AE926" s="2" t="s">
        <v>18260</v>
      </c>
      <c r="AF926" s="2"/>
      <c r="AG926" s="2" t="s">
        <v>18250</v>
      </c>
    </row>
    <row r="927" spans="1:33" x14ac:dyDescent="0.45">
      <c r="A927" s="2" t="s">
        <v>24594</v>
      </c>
      <c r="B927" s="2" t="s">
        <v>24595</v>
      </c>
      <c r="C927" s="2" t="s">
        <v>24596</v>
      </c>
      <c r="D927" s="2" t="s">
        <v>24597</v>
      </c>
      <c r="E927" s="2" t="s">
        <v>24598</v>
      </c>
      <c r="F927" s="2"/>
      <c r="G927" s="2"/>
      <c r="H927" s="2" t="s">
        <v>17659</v>
      </c>
      <c r="I927" s="2" t="s">
        <v>217</v>
      </c>
      <c r="J927" s="2" t="s">
        <v>21622</v>
      </c>
      <c r="K927" s="2" t="s">
        <v>24599</v>
      </c>
      <c r="L927" s="2"/>
      <c r="M927" s="2"/>
      <c r="N927" s="2"/>
      <c r="O927" s="2" t="s">
        <v>17659</v>
      </c>
      <c r="P927" s="2" t="s">
        <v>217</v>
      </c>
      <c r="Q927" s="2" t="s">
        <v>21622</v>
      </c>
      <c r="R927" s="2" t="s">
        <v>6958</v>
      </c>
      <c r="S927" s="2" t="s">
        <v>44</v>
      </c>
      <c r="T927" s="2"/>
      <c r="U927" s="2" t="s">
        <v>3527</v>
      </c>
      <c r="V927" s="2" t="s">
        <v>46</v>
      </c>
      <c r="W927" s="2" t="s">
        <v>3527</v>
      </c>
      <c r="X927" s="2" t="s">
        <v>10787</v>
      </c>
      <c r="Y927" s="2" t="s">
        <v>10801</v>
      </c>
      <c r="Z927" s="2" t="s">
        <v>7864</v>
      </c>
      <c r="AA927" s="2">
        <v>90</v>
      </c>
      <c r="AB927" s="2">
        <v>0</v>
      </c>
      <c r="AC927" s="2" t="s">
        <v>10789</v>
      </c>
      <c r="AD927" s="2" t="s">
        <v>24600</v>
      </c>
      <c r="AE927" s="2" t="s">
        <v>18260</v>
      </c>
      <c r="AF927" s="2"/>
      <c r="AG927" s="2" t="s">
        <v>18250</v>
      </c>
    </row>
    <row r="928" spans="1:33" x14ac:dyDescent="0.45">
      <c r="A928" s="2" t="s">
        <v>24601</v>
      </c>
      <c r="B928" s="2" t="s">
        <v>24602</v>
      </c>
      <c r="C928" s="2" t="s">
        <v>24603</v>
      </c>
      <c r="D928" s="2" t="s">
        <v>24604</v>
      </c>
      <c r="E928" s="2" t="s">
        <v>24605</v>
      </c>
      <c r="F928" s="2" t="s">
        <v>24606</v>
      </c>
      <c r="G928" s="2"/>
      <c r="H928" s="2" t="s">
        <v>174</v>
      </c>
      <c r="I928" s="2" t="s">
        <v>175</v>
      </c>
      <c r="J928" s="2" t="s">
        <v>24607</v>
      </c>
      <c r="K928" s="2" t="s">
        <v>24604</v>
      </c>
      <c r="L928" s="2"/>
      <c r="M928" s="2"/>
      <c r="N928" s="2"/>
      <c r="O928" s="2" t="s">
        <v>174</v>
      </c>
      <c r="P928" s="2" t="s">
        <v>175</v>
      </c>
      <c r="Q928" s="2" t="s">
        <v>24607</v>
      </c>
      <c r="R928" s="2" t="s">
        <v>1347</v>
      </c>
      <c r="S928" s="2" t="s">
        <v>44</v>
      </c>
      <c r="T928" s="2"/>
      <c r="U928" s="2" t="s">
        <v>821</v>
      </c>
      <c r="V928" s="2" t="s">
        <v>46</v>
      </c>
      <c r="W928" s="2" t="s">
        <v>821</v>
      </c>
      <c r="X928" s="2" t="s">
        <v>10787</v>
      </c>
      <c r="Y928" s="2" t="s">
        <v>10801</v>
      </c>
      <c r="Z928" s="2" t="s">
        <v>7864</v>
      </c>
      <c r="AA928" s="2">
        <v>100</v>
      </c>
      <c r="AB928" s="2">
        <v>17</v>
      </c>
      <c r="AC928" s="2" t="s">
        <v>10789</v>
      </c>
      <c r="AD928" s="2" t="s">
        <v>24608</v>
      </c>
      <c r="AE928" s="2" t="s">
        <v>18260</v>
      </c>
      <c r="AF928" s="2"/>
      <c r="AG928" s="2" t="s">
        <v>18250</v>
      </c>
    </row>
    <row r="929" spans="1:33" x14ac:dyDescent="0.45">
      <c r="A929" s="2" t="s">
        <v>24609</v>
      </c>
      <c r="B929" s="2" t="s">
        <v>24610</v>
      </c>
      <c r="C929" s="2" t="s">
        <v>24611</v>
      </c>
      <c r="D929" s="2" t="s">
        <v>24612</v>
      </c>
      <c r="E929" s="2" t="s">
        <v>24613</v>
      </c>
      <c r="F929" s="2" t="s">
        <v>24614</v>
      </c>
      <c r="G929" s="2" t="s">
        <v>24614</v>
      </c>
      <c r="H929" s="2" t="s">
        <v>20236</v>
      </c>
      <c r="I929" s="2" t="s">
        <v>1281</v>
      </c>
      <c r="J929" s="2" t="s">
        <v>20384</v>
      </c>
      <c r="K929" s="2" t="s">
        <v>24612</v>
      </c>
      <c r="L929" s="2"/>
      <c r="M929" s="2"/>
      <c r="N929" s="2"/>
      <c r="O929" s="2" t="s">
        <v>20236</v>
      </c>
      <c r="P929" s="2" t="s">
        <v>1281</v>
      </c>
      <c r="Q929" s="2" t="s">
        <v>20384</v>
      </c>
      <c r="R929" s="2" t="s">
        <v>9795</v>
      </c>
      <c r="S929" s="2" t="s">
        <v>44</v>
      </c>
      <c r="T929" s="2"/>
      <c r="U929" s="2" t="s">
        <v>821</v>
      </c>
      <c r="V929" s="2" t="s">
        <v>46</v>
      </c>
      <c r="W929" s="2" t="s">
        <v>821</v>
      </c>
      <c r="X929" s="2" t="s">
        <v>10787</v>
      </c>
      <c r="Y929" s="2" t="s">
        <v>10801</v>
      </c>
      <c r="Z929" s="2" t="s">
        <v>7864</v>
      </c>
      <c r="AA929" s="2">
        <v>100</v>
      </c>
      <c r="AB929" s="2">
        <v>12</v>
      </c>
      <c r="AC929" s="2" t="s">
        <v>10789</v>
      </c>
      <c r="AD929" s="2" t="s">
        <v>24615</v>
      </c>
      <c r="AE929" s="2" t="s">
        <v>18260</v>
      </c>
      <c r="AF929" s="2"/>
      <c r="AG929" s="2" t="s">
        <v>18250</v>
      </c>
    </row>
    <row r="930" spans="1:33" x14ac:dyDescent="0.45">
      <c r="A930" s="2" t="s">
        <v>24616</v>
      </c>
      <c r="B930" s="2" t="s">
        <v>24617</v>
      </c>
      <c r="C930" s="2" t="s">
        <v>24618</v>
      </c>
      <c r="D930" s="2" t="s">
        <v>24619</v>
      </c>
      <c r="E930" s="2" t="s">
        <v>24620</v>
      </c>
      <c r="F930" s="2" t="s">
        <v>24621</v>
      </c>
      <c r="G930" s="2"/>
      <c r="H930" s="2" t="s">
        <v>8369</v>
      </c>
      <c r="I930" s="2" t="s">
        <v>1112</v>
      </c>
      <c r="J930" s="2" t="s">
        <v>24622</v>
      </c>
      <c r="K930" s="2"/>
      <c r="L930" s="2"/>
      <c r="M930" s="2"/>
      <c r="N930" s="2"/>
      <c r="O930" s="2"/>
      <c r="P930" s="2"/>
      <c r="Q930" s="2"/>
      <c r="R930" s="2" t="s">
        <v>1061</v>
      </c>
      <c r="S930" s="2" t="s">
        <v>44</v>
      </c>
      <c r="T930" s="2"/>
      <c r="U930" s="2" t="s">
        <v>3527</v>
      </c>
      <c r="V930" s="2" t="s">
        <v>46</v>
      </c>
      <c r="W930" s="2" t="s">
        <v>3527</v>
      </c>
      <c r="X930" s="2" t="s">
        <v>10787</v>
      </c>
      <c r="Y930" s="2" t="s">
        <v>10801</v>
      </c>
      <c r="Z930" s="2" t="s">
        <v>7864</v>
      </c>
      <c r="AA930" s="2">
        <v>100</v>
      </c>
      <c r="AB930" s="2">
        <v>5</v>
      </c>
      <c r="AC930" s="2" t="s">
        <v>10789</v>
      </c>
      <c r="AD930" s="2" t="s">
        <v>24623</v>
      </c>
      <c r="AE930" s="2" t="s">
        <v>18260</v>
      </c>
      <c r="AF930" s="2"/>
      <c r="AG930" s="2" t="s">
        <v>18250</v>
      </c>
    </row>
    <row r="931" spans="1:33" x14ac:dyDescent="0.45">
      <c r="A931" s="2" t="s">
        <v>24624</v>
      </c>
      <c r="B931" s="2" t="s">
        <v>24625</v>
      </c>
      <c r="C931" s="2" t="s">
        <v>24626</v>
      </c>
      <c r="D931" s="2" t="s">
        <v>24627</v>
      </c>
      <c r="E931" s="2" t="s">
        <v>24628</v>
      </c>
      <c r="F931" s="2" t="s">
        <v>24629</v>
      </c>
      <c r="G931" s="2" t="s">
        <v>24629</v>
      </c>
      <c r="H931" s="2" t="s">
        <v>10605</v>
      </c>
      <c r="I931" s="2" t="s">
        <v>1281</v>
      </c>
      <c r="J931" s="2" t="s">
        <v>13222</v>
      </c>
      <c r="K931" s="2" t="s">
        <v>24630</v>
      </c>
      <c r="L931" s="2"/>
      <c r="M931" s="2"/>
      <c r="N931" s="2"/>
      <c r="O931" s="2" t="s">
        <v>536</v>
      </c>
      <c r="P931" s="2" t="s">
        <v>537</v>
      </c>
      <c r="Q931" s="2" t="s">
        <v>18926</v>
      </c>
      <c r="R931" s="2" t="s">
        <v>973</v>
      </c>
      <c r="S931" s="2" t="s">
        <v>44</v>
      </c>
      <c r="T931" s="2"/>
      <c r="U931" s="2" t="s">
        <v>3527</v>
      </c>
      <c r="V931" s="2" t="s">
        <v>46</v>
      </c>
      <c r="W931" s="2" t="s">
        <v>3527</v>
      </c>
      <c r="X931" s="2" t="s">
        <v>10787</v>
      </c>
      <c r="Y931" s="2" t="s">
        <v>10801</v>
      </c>
      <c r="Z931" s="2" t="s">
        <v>7864</v>
      </c>
      <c r="AA931" s="2">
        <v>100</v>
      </c>
      <c r="AB931" s="2">
        <v>5</v>
      </c>
      <c r="AC931" s="2" t="s">
        <v>10789</v>
      </c>
      <c r="AD931" s="2" t="s">
        <v>24631</v>
      </c>
      <c r="AE931" s="2" t="s">
        <v>18260</v>
      </c>
      <c r="AF931" s="2"/>
      <c r="AG931" s="2" t="s">
        <v>18250</v>
      </c>
    </row>
    <row r="932" spans="1:33" x14ac:dyDescent="0.45">
      <c r="A932" s="2" t="s">
        <v>24632</v>
      </c>
      <c r="B932" s="2" t="s">
        <v>24633</v>
      </c>
      <c r="C932" s="2" t="s">
        <v>24632</v>
      </c>
      <c r="D932" s="2" t="s">
        <v>24634</v>
      </c>
      <c r="E932" s="2" t="s">
        <v>24635</v>
      </c>
      <c r="F932" s="2"/>
      <c r="G932" s="2"/>
      <c r="H932" s="2" t="s">
        <v>20236</v>
      </c>
      <c r="I932" s="2" t="s">
        <v>1281</v>
      </c>
      <c r="J932" s="2" t="s">
        <v>20384</v>
      </c>
      <c r="K932" s="2" t="s">
        <v>24634</v>
      </c>
      <c r="L932" s="2"/>
      <c r="M932" s="2"/>
      <c r="N932" s="2"/>
      <c r="O932" s="2" t="s">
        <v>20236</v>
      </c>
      <c r="P932" s="2" t="s">
        <v>1281</v>
      </c>
      <c r="Q932" s="2" t="s">
        <v>20384</v>
      </c>
      <c r="R932" s="2" t="s">
        <v>24636</v>
      </c>
      <c r="S932" s="2" t="s">
        <v>44</v>
      </c>
      <c r="T932" s="2"/>
      <c r="U932" s="2" t="s">
        <v>821</v>
      </c>
      <c r="V932" s="2" t="s">
        <v>46</v>
      </c>
      <c r="W932" s="2" t="s">
        <v>821</v>
      </c>
      <c r="X932" s="2" t="s">
        <v>10787</v>
      </c>
      <c r="Y932" s="2" t="s">
        <v>10801</v>
      </c>
      <c r="Z932" s="2" t="s">
        <v>7864</v>
      </c>
      <c r="AA932" s="2">
        <v>90</v>
      </c>
      <c r="AB932" s="2">
        <v>2</v>
      </c>
      <c r="AC932" s="2" t="s">
        <v>10789</v>
      </c>
      <c r="AD932" s="2" t="s">
        <v>24637</v>
      </c>
      <c r="AE932" s="2" t="s">
        <v>18260</v>
      </c>
      <c r="AF932" s="2"/>
      <c r="AG932" s="2" t="s">
        <v>18250</v>
      </c>
    </row>
    <row r="933" spans="1:33" x14ac:dyDescent="0.45">
      <c r="A933" s="2" t="s">
        <v>24638</v>
      </c>
      <c r="B933" s="2" t="s">
        <v>24639</v>
      </c>
      <c r="C933" s="2" t="s">
        <v>24638</v>
      </c>
      <c r="D933" s="2" t="s">
        <v>24640</v>
      </c>
      <c r="E933" s="2" t="s">
        <v>24641</v>
      </c>
      <c r="F933" s="2"/>
      <c r="G933" s="2"/>
      <c r="H933" s="2" t="s">
        <v>59</v>
      </c>
      <c r="I933" s="2" t="s">
        <v>60</v>
      </c>
      <c r="J933" s="2" t="s">
        <v>15541</v>
      </c>
      <c r="K933" s="2" t="s">
        <v>24640</v>
      </c>
      <c r="L933" s="2"/>
      <c r="M933" s="2"/>
      <c r="N933" s="2"/>
      <c r="O933" s="2" t="s">
        <v>59</v>
      </c>
      <c r="P933" s="2" t="s">
        <v>60</v>
      </c>
      <c r="Q933" s="2" t="s">
        <v>15541</v>
      </c>
      <c r="R933" s="2" t="s">
        <v>16693</v>
      </c>
      <c r="S933" s="2" t="s">
        <v>44</v>
      </c>
      <c r="T933" s="2"/>
      <c r="U933" s="2" t="s">
        <v>821</v>
      </c>
      <c r="V933" s="2" t="s">
        <v>46</v>
      </c>
      <c r="W933" s="2" t="s">
        <v>821</v>
      </c>
      <c r="X933" s="2" t="s">
        <v>10787</v>
      </c>
      <c r="Y933" s="2" t="s">
        <v>10801</v>
      </c>
      <c r="Z933" s="2" t="s">
        <v>7864</v>
      </c>
      <c r="AA933" s="2">
        <v>90</v>
      </c>
      <c r="AB933" s="2">
        <v>7</v>
      </c>
      <c r="AC933" s="2" t="s">
        <v>10789</v>
      </c>
      <c r="AD933" s="2" t="s">
        <v>24642</v>
      </c>
      <c r="AE933" s="2" t="s">
        <v>18260</v>
      </c>
      <c r="AF933" s="2"/>
      <c r="AG933" s="2" t="s">
        <v>18250</v>
      </c>
    </row>
    <row r="934" spans="1:33" x14ac:dyDescent="0.45">
      <c r="A934" s="2" t="s">
        <v>24643</v>
      </c>
      <c r="B934" s="2" t="s">
        <v>24644</v>
      </c>
      <c r="C934" s="2" t="s">
        <v>24645</v>
      </c>
      <c r="D934" s="2" t="s">
        <v>24646</v>
      </c>
      <c r="E934" s="2" t="s">
        <v>24647</v>
      </c>
      <c r="F934" s="2" t="s">
        <v>24648</v>
      </c>
      <c r="G934" s="2"/>
      <c r="H934" s="2" t="s">
        <v>39</v>
      </c>
      <c r="I934" s="2" t="s">
        <v>40</v>
      </c>
      <c r="J934" s="2" t="s">
        <v>256</v>
      </c>
      <c r="K934" s="2" t="s">
        <v>24649</v>
      </c>
      <c r="L934" s="2"/>
      <c r="M934" s="2"/>
      <c r="N934" s="2"/>
      <c r="O934" s="2" t="s">
        <v>39</v>
      </c>
      <c r="P934" s="2" t="s">
        <v>40</v>
      </c>
      <c r="Q934" s="2" t="s">
        <v>256</v>
      </c>
      <c r="R934" s="2" t="s">
        <v>4631</v>
      </c>
      <c r="S934" s="2" t="s">
        <v>44</v>
      </c>
      <c r="T934" s="2"/>
      <c r="U934" s="2" t="s">
        <v>821</v>
      </c>
      <c r="V934" s="2" t="s">
        <v>46</v>
      </c>
      <c r="W934" s="2" t="s">
        <v>821</v>
      </c>
      <c r="X934" s="2" t="s">
        <v>10787</v>
      </c>
      <c r="Y934" s="2" t="s">
        <v>10801</v>
      </c>
      <c r="Z934" s="2" t="s">
        <v>7864</v>
      </c>
      <c r="AA934" s="2">
        <v>100</v>
      </c>
      <c r="AB934" s="2">
        <v>17</v>
      </c>
      <c r="AC934" s="2" t="s">
        <v>10789</v>
      </c>
      <c r="AD934" s="2" t="s">
        <v>24650</v>
      </c>
      <c r="AE934" s="2" t="s">
        <v>18260</v>
      </c>
      <c r="AF934" s="2"/>
      <c r="AG934" s="2" t="s">
        <v>18250</v>
      </c>
    </row>
    <row r="935" spans="1:33" x14ac:dyDescent="0.45">
      <c r="A935" s="2" t="s">
        <v>24651</v>
      </c>
      <c r="B935" s="2" t="s">
        <v>24652</v>
      </c>
      <c r="C935" s="2" t="s">
        <v>24653</v>
      </c>
      <c r="D935" s="2" t="s">
        <v>24654</v>
      </c>
      <c r="E935" s="2" t="s">
        <v>24655</v>
      </c>
      <c r="F935" s="2" t="s">
        <v>24656</v>
      </c>
      <c r="G935" s="2" t="s">
        <v>24656</v>
      </c>
      <c r="H935" s="2" t="s">
        <v>72</v>
      </c>
      <c r="I935" s="2" t="s">
        <v>73</v>
      </c>
      <c r="J935" s="2" t="s">
        <v>197</v>
      </c>
      <c r="K935" s="2" t="s">
        <v>24654</v>
      </c>
      <c r="L935" s="2"/>
      <c r="M935" s="2"/>
      <c r="N935" s="2"/>
      <c r="O935" s="2" t="s">
        <v>72</v>
      </c>
      <c r="P935" s="2" t="s">
        <v>73</v>
      </c>
      <c r="Q935" s="2" t="s">
        <v>197</v>
      </c>
      <c r="R935" s="2" t="s">
        <v>9955</v>
      </c>
      <c r="S935" s="2" t="s">
        <v>44</v>
      </c>
      <c r="T935" s="2"/>
      <c r="U935" s="2" t="s">
        <v>3527</v>
      </c>
      <c r="V935" s="2" t="s">
        <v>46</v>
      </c>
      <c r="W935" s="2" t="s">
        <v>3527</v>
      </c>
      <c r="X935" s="2" t="s">
        <v>10787</v>
      </c>
      <c r="Y935" s="2" t="s">
        <v>10801</v>
      </c>
      <c r="Z935" s="2" t="s">
        <v>7864</v>
      </c>
      <c r="AA935" s="2">
        <v>100</v>
      </c>
      <c r="AB935" s="2">
        <v>10</v>
      </c>
      <c r="AC935" s="2" t="s">
        <v>10789</v>
      </c>
      <c r="AD935" s="2" t="s">
        <v>24657</v>
      </c>
      <c r="AE935" s="2" t="s">
        <v>18260</v>
      </c>
      <c r="AF935" s="2"/>
      <c r="AG935" s="2" t="s">
        <v>18250</v>
      </c>
    </row>
    <row r="936" spans="1:33" x14ac:dyDescent="0.45">
      <c r="A936" s="2" t="s">
        <v>24658</v>
      </c>
      <c r="B936" s="2" t="s">
        <v>24659</v>
      </c>
      <c r="C936" s="2" t="s">
        <v>24660</v>
      </c>
      <c r="D936" s="2" t="s">
        <v>24661</v>
      </c>
      <c r="E936" s="2" t="s">
        <v>24662</v>
      </c>
      <c r="F936" s="2" t="s">
        <v>24663</v>
      </c>
      <c r="G936" s="2"/>
      <c r="H936" s="2" t="s">
        <v>12804</v>
      </c>
      <c r="I936" s="2" t="s">
        <v>221</v>
      </c>
      <c r="J936" s="2" t="s">
        <v>24664</v>
      </c>
      <c r="K936" s="2" t="s">
        <v>24665</v>
      </c>
      <c r="L936" s="2"/>
      <c r="M936" s="2"/>
      <c r="N936" s="2"/>
      <c r="O936" s="2" t="s">
        <v>12804</v>
      </c>
      <c r="P936" s="2" t="s">
        <v>221</v>
      </c>
      <c r="Q936" s="2" t="s">
        <v>24664</v>
      </c>
      <c r="R936" s="2" t="s">
        <v>7494</v>
      </c>
      <c r="S936" s="2" t="s">
        <v>44</v>
      </c>
      <c r="T936" s="2"/>
      <c r="U936" s="2" t="s">
        <v>3527</v>
      </c>
      <c r="V936" s="2" t="s">
        <v>46</v>
      </c>
      <c r="W936" s="2" t="s">
        <v>3527</v>
      </c>
      <c r="X936" s="2" t="s">
        <v>10787</v>
      </c>
      <c r="Y936" s="2" t="s">
        <v>10801</v>
      </c>
      <c r="Z936" s="2" t="s">
        <v>7864</v>
      </c>
      <c r="AA936" s="2">
        <v>100</v>
      </c>
      <c r="AB936" s="2">
        <v>5</v>
      </c>
      <c r="AC936" s="2" t="s">
        <v>10789</v>
      </c>
      <c r="AD936" s="2" t="s">
        <v>24666</v>
      </c>
      <c r="AE936" s="2" t="s">
        <v>18260</v>
      </c>
      <c r="AF936" s="2"/>
      <c r="AG936" s="2" t="s">
        <v>18250</v>
      </c>
    </row>
    <row r="937" spans="1:33" x14ac:dyDescent="0.45">
      <c r="A937" s="2" t="s">
        <v>24667</v>
      </c>
      <c r="B937" s="2" t="s">
        <v>24668</v>
      </c>
      <c r="C937" s="2" t="s">
        <v>24669</v>
      </c>
      <c r="D937" s="2" t="s">
        <v>24670</v>
      </c>
      <c r="E937" s="2" t="s">
        <v>24671</v>
      </c>
      <c r="F937" s="2" t="s">
        <v>24672</v>
      </c>
      <c r="G937" s="2"/>
      <c r="H937" s="2" t="s">
        <v>24673</v>
      </c>
      <c r="I937" s="2" t="s">
        <v>221</v>
      </c>
      <c r="J937" s="2" t="s">
        <v>24674</v>
      </c>
      <c r="K937" s="2" t="s">
        <v>24670</v>
      </c>
      <c r="L937" s="2"/>
      <c r="M937" s="2"/>
      <c r="N937" s="2"/>
      <c r="O937" s="2" t="s">
        <v>24673</v>
      </c>
      <c r="P937" s="2" t="s">
        <v>221</v>
      </c>
      <c r="Q937" s="2" t="s">
        <v>24674</v>
      </c>
      <c r="R937" s="2" t="s">
        <v>3199</v>
      </c>
      <c r="S937" s="2" t="s">
        <v>44</v>
      </c>
      <c r="T937" s="2"/>
      <c r="U937" s="2" t="s">
        <v>3527</v>
      </c>
      <c r="V937" s="2" t="s">
        <v>46</v>
      </c>
      <c r="W937" s="2" t="s">
        <v>3527</v>
      </c>
      <c r="X937" s="2" t="s">
        <v>10787</v>
      </c>
      <c r="Y937" s="2" t="s">
        <v>10801</v>
      </c>
      <c r="Z937" s="2" t="s">
        <v>7864</v>
      </c>
      <c r="AA937" s="2">
        <v>100</v>
      </c>
      <c r="AB937" s="2">
        <v>5</v>
      </c>
      <c r="AC937" s="2" t="s">
        <v>10789</v>
      </c>
      <c r="AD937" s="2" t="s">
        <v>24675</v>
      </c>
      <c r="AE937" s="2" t="s">
        <v>18260</v>
      </c>
      <c r="AF937" s="2"/>
      <c r="AG937" s="2" t="s">
        <v>18250</v>
      </c>
    </row>
    <row r="938" spans="1:33" x14ac:dyDescent="0.45">
      <c r="A938" s="2" t="s">
        <v>24676</v>
      </c>
      <c r="B938" s="2" t="s">
        <v>24677</v>
      </c>
      <c r="C938" s="2" t="s">
        <v>24678</v>
      </c>
      <c r="D938" s="2" t="s">
        <v>24679</v>
      </c>
      <c r="E938" s="2" t="s">
        <v>24680</v>
      </c>
      <c r="F938" s="2"/>
      <c r="G938" s="2"/>
      <c r="H938" s="2" t="s">
        <v>1208</v>
      </c>
      <c r="I938" s="2" t="s">
        <v>1209</v>
      </c>
      <c r="J938" s="2" t="s">
        <v>24681</v>
      </c>
      <c r="K938" s="2" t="s">
        <v>24679</v>
      </c>
      <c r="L938" s="2"/>
      <c r="M938" s="2"/>
      <c r="N938" s="2"/>
      <c r="O938" s="2" t="s">
        <v>1208</v>
      </c>
      <c r="P938" s="2" t="s">
        <v>1209</v>
      </c>
      <c r="Q938" s="2" t="s">
        <v>24681</v>
      </c>
      <c r="R938" s="2" t="s">
        <v>24682</v>
      </c>
      <c r="S938" s="2" t="s">
        <v>44</v>
      </c>
      <c r="T938" s="2"/>
      <c r="U938" s="2" t="s">
        <v>821</v>
      </c>
      <c r="V938" s="2" t="s">
        <v>46</v>
      </c>
      <c r="W938" s="2" t="s">
        <v>821</v>
      </c>
      <c r="X938" s="2" t="s">
        <v>10787</v>
      </c>
      <c r="Y938" s="2" t="s">
        <v>10801</v>
      </c>
      <c r="Z938" s="2" t="s">
        <v>7864</v>
      </c>
      <c r="AA938" s="2">
        <v>90</v>
      </c>
      <c r="AB938" s="2">
        <v>2</v>
      </c>
      <c r="AC938" s="2" t="s">
        <v>10789</v>
      </c>
      <c r="AD938" s="2" t="s">
        <v>24683</v>
      </c>
      <c r="AE938" s="2" t="s">
        <v>18260</v>
      </c>
      <c r="AF938" s="2"/>
      <c r="AG938" s="2" t="s">
        <v>18250</v>
      </c>
    </row>
    <row r="939" spans="1:33" x14ac:dyDescent="0.45">
      <c r="A939" s="2" t="s">
        <v>24684</v>
      </c>
      <c r="B939" s="2" t="s">
        <v>24685</v>
      </c>
      <c r="C939" s="2" t="s">
        <v>24686</v>
      </c>
      <c r="D939" s="2" t="s">
        <v>24687</v>
      </c>
      <c r="E939" s="2" t="s">
        <v>24688</v>
      </c>
      <c r="F939" s="2" t="s">
        <v>24689</v>
      </c>
      <c r="G939" s="2" t="s">
        <v>24689</v>
      </c>
      <c r="H939" s="2" t="s">
        <v>59</v>
      </c>
      <c r="I939" s="2" t="s">
        <v>60</v>
      </c>
      <c r="J939" s="2" t="s">
        <v>5513</v>
      </c>
      <c r="K939" s="2" t="s">
        <v>24690</v>
      </c>
      <c r="L939" s="2"/>
      <c r="M939" s="2"/>
      <c r="N939" s="2"/>
      <c r="O939" s="2" t="s">
        <v>59</v>
      </c>
      <c r="P939" s="2" t="s">
        <v>60</v>
      </c>
      <c r="Q939" s="2" t="s">
        <v>5513</v>
      </c>
      <c r="R939" s="2" t="s">
        <v>10587</v>
      </c>
      <c r="S939" s="2" t="s">
        <v>44</v>
      </c>
      <c r="T939" s="2"/>
      <c r="U939" s="2" t="s">
        <v>821</v>
      </c>
      <c r="V939" s="2" t="s">
        <v>46</v>
      </c>
      <c r="W939" s="2" t="s">
        <v>821</v>
      </c>
      <c r="X939" s="2" t="s">
        <v>10787</v>
      </c>
      <c r="Y939" s="2" t="s">
        <v>10801</v>
      </c>
      <c r="Z939" s="2" t="s">
        <v>7864</v>
      </c>
      <c r="AA939" s="2">
        <v>100</v>
      </c>
      <c r="AB939" s="2">
        <v>17</v>
      </c>
      <c r="AC939" s="2" t="s">
        <v>10789</v>
      </c>
      <c r="AD939" s="2" t="s">
        <v>24691</v>
      </c>
      <c r="AE939" s="2" t="s">
        <v>18260</v>
      </c>
      <c r="AF939" s="2"/>
      <c r="AG939" s="2" t="s">
        <v>18250</v>
      </c>
    </row>
    <row r="940" spans="1:33" x14ac:dyDescent="0.45">
      <c r="A940" s="2" t="s">
        <v>24692</v>
      </c>
      <c r="B940" s="2" t="s">
        <v>24693</v>
      </c>
      <c r="C940" s="2" t="s">
        <v>24692</v>
      </c>
      <c r="D940" s="2" t="s">
        <v>24694</v>
      </c>
      <c r="E940" s="2" t="s">
        <v>24695</v>
      </c>
      <c r="F940" s="2"/>
      <c r="G940" s="2"/>
      <c r="H940" s="2" t="s">
        <v>72</v>
      </c>
      <c r="I940" s="2" t="s">
        <v>73</v>
      </c>
      <c r="J940" s="2" t="s">
        <v>98</v>
      </c>
      <c r="K940" s="2" t="s">
        <v>24696</v>
      </c>
      <c r="L940" s="2"/>
      <c r="M940" s="2"/>
      <c r="N940" s="2"/>
      <c r="O940" s="2" t="s">
        <v>72</v>
      </c>
      <c r="P940" s="2" t="s">
        <v>73</v>
      </c>
      <c r="Q940" s="2" t="s">
        <v>98</v>
      </c>
      <c r="R940" s="2" t="s">
        <v>10704</v>
      </c>
      <c r="S940" s="2" t="s">
        <v>44</v>
      </c>
      <c r="T940" s="2"/>
      <c r="U940" s="2" t="s">
        <v>3527</v>
      </c>
      <c r="V940" s="2" t="s">
        <v>46</v>
      </c>
      <c r="W940" s="2" t="s">
        <v>3527</v>
      </c>
      <c r="X940" s="2" t="s">
        <v>10787</v>
      </c>
      <c r="Y940" s="2" t="s">
        <v>10801</v>
      </c>
      <c r="Z940" s="2" t="s">
        <v>7864</v>
      </c>
      <c r="AA940" s="2">
        <v>90</v>
      </c>
      <c r="AB940" s="2">
        <v>0</v>
      </c>
      <c r="AC940" s="2" t="s">
        <v>10789</v>
      </c>
      <c r="AD940" s="2" t="s">
        <v>24697</v>
      </c>
      <c r="AE940" s="2" t="s">
        <v>18260</v>
      </c>
      <c r="AF940" s="2"/>
      <c r="AG940" s="2" t="s">
        <v>18250</v>
      </c>
    </row>
    <row r="941" spans="1:33" x14ac:dyDescent="0.45">
      <c r="A941" s="2" t="s">
        <v>24698</v>
      </c>
      <c r="B941" s="2" t="s">
        <v>24699</v>
      </c>
      <c r="C941" s="2" t="s">
        <v>24700</v>
      </c>
      <c r="D941" s="2" t="s">
        <v>24701</v>
      </c>
      <c r="E941" s="2" t="s">
        <v>24702</v>
      </c>
      <c r="F941" s="2"/>
      <c r="G941" s="2"/>
      <c r="H941" s="2" t="s">
        <v>1208</v>
      </c>
      <c r="I941" s="2" t="s">
        <v>1209</v>
      </c>
      <c r="J941" s="2" t="s">
        <v>24703</v>
      </c>
      <c r="K941" s="2" t="s">
        <v>24701</v>
      </c>
      <c r="L941" s="2"/>
      <c r="M941" s="2"/>
      <c r="N941" s="2"/>
      <c r="O941" s="2" t="s">
        <v>1208</v>
      </c>
      <c r="P941" s="2" t="s">
        <v>1209</v>
      </c>
      <c r="Q941" s="2" t="s">
        <v>24703</v>
      </c>
      <c r="R941" s="2" t="s">
        <v>13550</v>
      </c>
      <c r="S941" s="2" t="s">
        <v>44</v>
      </c>
      <c r="T941" s="2"/>
      <c r="U941" s="2" t="s">
        <v>3527</v>
      </c>
      <c r="V941" s="2" t="s">
        <v>46</v>
      </c>
      <c r="W941" s="2" t="s">
        <v>3527</v>
      </c>
      <c r="X941" s="2" t="s">
        <v>10787</v>
      </c>
      <c r="Y941" s="2" t="s">
        <v>10801</v>
      </c>
      <c r="Z941" s="2" t="s">
        <v>7864</v>
      </c>
      <c r="AA941" s="2">
        <v>90</v>
      </c>
      <c r="AB941" s="2">
        <v>0</v>
      </c>
      <c r="AC941" s="2" t="s">
        <v>10789</v>
      </c>
      <c r="AD941" s="2" t="s">
        <v>24704</v>
      </c>
      <c r="AE941" s="2" t="s">
        <v>18260</v>
      </c>
      <c r="AF941" s="2"/>
      <c r="AG941" s="2" t="s">
        <v>18250</v>
      </c>
    </row>
    <row r="942" spans="1:33" x14ac:dyDescent="0.45">
      <c r="A942" s="2" t="s">
        <v>24705</v>
      </c>
      <c r="B942" s="2" t="s">
        <v>24706</v>
      </c>
      <c r="C942" s="2"/>
      <c r="D942" s="2" t="s">
        <v>24707</v>
      </c>
      <c r="E942" s="2" t="s">
        <v>24708</v>
      </c>
      <c r="F942" s="2" t="s">
        <v>24709</v>
      </c>
      <c r="G942" s="2" t="s">
        <v>24709</v>
      </c>
      <c r="H942" s="2" t="s">
        <v>536</v>
      </c>
      <c r="I942" s="2"/>
      <c r="J942" s="2" t="s">
        <v>24710</v>
      </c>
      <c r="K942" s="2"/>
      <c r="L942" s="2"/>
      <c r="M942" s="2"/>
      <c r="N942" s="2"/>
      <c r="O942" s="2"/>
      <c r="P942" s="2"/>
      <c r="Q942" s="2"/>
      <c r="R942" s="2" t="s">
        <v>8332</v>
      </c>
      <c r="S942" s="2" t="s">
        <v>44</v>
      </c>
      <c r="T942" s="2"/>
      <c r="U942" s="2" t="s">
        <v>3527</v>
      </c>
      <c r="V942" s="2" t="s">
        <v>46</v>
      </c>
      <c r="W942" s="2" t="s">
        <v>3527</v>
      </c>
      <c r="X942" s="2" t="s">
        <v>10787</v>
      </c>
      <c r="Y942" s="2" t="s">
        <v>10801</v>
      </c>
      <c r="Z942" s="2" t="s">
        <v>7864</v>
      </c>
      <c r="AA942" s="2">
        <v>70</v>
      </c>
      <c r="AB942" s="2">
        <v>5</v>
      </c>
      <c r="AC942" s="2" t="s">
        <v>10789</v>
      </c>
      <c r="AD942" s="2" t="s">
        <v>24711</v>
      </c>
      <c r="AE942" s="2" t="s">
        <v>18260</v>
      </c>
      <c r="AF942" s="2"/>
      <c r="AG942" s="2" t="s">
        <v>18250</v>
      </c>
    </row>
    <row r="943" spans="1:33" x14ac:dyDescent="0.45">
      <c r="A943" s="2" t="s">
        <v>24712</v>
      </c>
      <c r="B943" s="2" t="s">
        <v>24713</v>
      </c>
      <c r="C943" s="2" t="s">
        <v>24714</v>
      </c>
      <c r="D943" s="2" t="s">
        <v>24715</v>
      </c>
      <c r="E943" s="2" t="s">
        <v>24716</v>
      </c>
      <c r="F943" s="2" t="s">
        <v>24717</v>
      </c>
      <c r="G943" s="2" t="s">
        <v>24717</v>
      </c>
      <c r="H943" s="2" t="s">
        <v>651</v>
      </c>
      <c r="I943" s="2" t="s">
        <v>86</v>
      </c>
      <c r="J943" s="2" t="s">
        <v>4500</v>
      </c>
      <c r="K943" s="2" t="s">
        <v>24718</v>
      </c>
      <c r="L943" s="2"/>
      <c r="M943" s="2"/>
      <c r="N943" s="2"/>
      <c r="O943" s="2" t="s">
        <v>651</v>
      </c>
      <c r="P943" s="2" t="s">
        <v>86</v>
      </c>
      <c r="Q943" s="2" t="s">
        <v>4500</v>
      </c>
      <c r="R943" s="2" t="s">
        <v>5356</v>
      </c>
      <c r="S943" s="2" t="s">
        <v>44</v>
      </c>
      <c r="T943" s="2"/>
      <c r="U943" s="2" t="s">
        <v>821</v>
      </c>
      <c r="V943" s="2" t="s">
        <v>46</v>
      </c>
      <c r="W943" s="2" t="s">
        <v>821</v>
      </c>
      <c r="X943" s="2" t="s">
        <v>10787</v>
      </c>
      <c r="Y943" s="2" t="s">
        <v>10801</v>
      </c>
      <c r="Z943" s="2" t="s">
        <v>7864</v>
      </c>
      <c r="AA943" s="2">
        <v>100</v>
      </c>
      <c r="AB943" s="2">
        <v>17</v>
      </c>
      <c r="AC943" s="2" t="s">
        <v>10789</v>
      </c>
      <c r="AD943" s="2" t="s">
        <v>24719</v>
      </c>
      <c r="AE943" s="2" t="s">
        <v>18260</v>
      </c>
      <c r="AF943" s="2"/>
      <c r="AG943" s="2" t="s">
        <v>18250</v>
      </c>
    </row>
    <row r="944" spans="1:33" x14ac:dyDescent="0.45">
      <c r="A944" s="2" t="s">
        <v>24720</v>
      </c>
      <c r="B944" s="2" t="s">
        <v>24721</v>
      </c>
      <c r="C944" s="2" t="s">
        <v>24720</v>
      </c>
      <c r="D944" s="2" t="s">
        <v>24722</v>
      </c>
      <c r="E944" s="2" t="s">
        <v>24723</v>
      </c>
      <c r="F944" s="2"/>
      <c r="G944" s="2"/>
      <c r="H944" s="2" t="s">
        <v>324</v>
      </c>
      <c r="I944" s="2" t="s">
        <v>73</v>
      </c>
      <c r="J944" s="2" t="s">
        <v>4463</v>
      </c>
      <c r="K944" s="2" t="s">
        <v>24724</v>
      </c>
      <c r="L944" s="2"/>
      <c r="M944" s="2"/>
      <c r="N944" s="2"/>
      <c r="O944" s="2" t="s">
        <v>324</v>
      </c>
      <c r="P944" s="2" t="s">
        <v>73</v>
      </c>
      <c r="Q944" s="2" t="s">
        <v>4463</v>
      </c>
      <c r="R944" s="2" t="s">
        <v>5872</v>
      </c>
      <c r="S944" s="2" t="s">
        <v>44</v>
      </c>
      <c r="T944" s="2"/>
      <c r="U944" s="2" t="s">
        <v>821</v>
      </c>
      <c r="V944" s="2" t="s">
        <v>46</v>
      </c>
      <c r="W944" s="2" t="s">
        <v>821</v>
      </c>
      <c r="X944" s="2" t="s">
        <v>10787</v>
      </c>
      <c r="Y944" s="2" t="s">
        <v>10801</v>
      </c>
      <c r="Z944" s="2" t="s">
        <v>7864</v>
      </c>
      <c r="AA944" s="2">
        <v>90</v>
      </c>
      <c r="AB944" s="2">
        <v>7</v>
      </c>
      <c r="AC944" s="2" t="s">
        <v>10789</v>
      </c>
      <c r="AD944" s="2" t="s">
        <v>24725</v>
      </c>
      <c r="AE944" s="2" t="s">
        <v>18260</v>
      </c>
      <c r="AF944" s="2"/>
      <c r="AG944" s="2" t="s">
        <v>18250</v>
      </c>
    </row>
    <row r="945" spans="1:33" x14ac:dyDescent="0.45">
      <c r="A945" s="2" t="s">
        <v>24726</v>
      </c>
      <c r="B945" s="2" t="s">
        <v>24727</v>
      </c>
      <c r="C945" s="2" t="s">
        <v>24728</v>
      </c>
      <c r="D945" s="2" t="s">
        <v>24729</v>
      </c>
      <c r="E945" s="2" t="s">
        <v>24730</v>
      </c>
      <c r="F945" s="2"/>
      <c r="G945" s="2"/>
      <c r="H945" s="2" t="s">
        <v>8431</v>
      </c>
      <c r="I945" s="2" t="s">
        <v>175</v>
      </c>
      <c r="J945" s="2" t="s">
        <v>24731</v>
      </c>
      <c r="K945" s="2" t="s">
        <v>24729</v>
      </c>
      <c r="L945" s="2"/>
      <c r="M945" s="2"/>
      <c r="N945" s="2"/>
      <c r="O945" s="2" t="s">
        <v>8431</v>
      </c>
      <c r="P945" s="2" t="s">
        <v>175</v>
      </c>
      <c r="Q945" s="2" t="s">
        <v>24731</v>
      </c>
      <c r="R945" s="2" t="s">
        <v>24732</v>
      </c>
      <c r="S945" s="2" t="s">
        <v>44</v>
      </c>
      <c r="T945" s="2"/>
      <c r="U945" s="2" t="s">
        <v>821</v>
      </c>
      <c r="V945" s="2" t="s">
        <v>46</v>
      </c>
      <c r="W945" s="2" t="s">
        <v>821</v>
      </c>
      <c r="X945" s="2" t="s">
        <v>10787</v>
      </c>
      <c r="Y945" s="2" t="s">
        <v>10801</v>
      </c>
      <c r="Z945" s="2" t="s">
        <v>7864</v>
      </c>
      <c r="AA945" s="2">
        <v>90</v>
      </c>
      <c r="AB945" s="2">
        <v>2</v>
      </c>
      <c r="AC945" s="2" t="s">
        <v>10789</v>
      </c>
      <c r="AD945" s="2" t="s">
        <v>24733</v>
      </c>
      <c r="AE945" s="2" t="s">
        <v>18260</v>
      </c>
      <c r="AF945" s="2"/>
      <c r="AG945" s="2" t="s">
        <v>18250</v>
      </c>
    </row>
    <row r="946" spans="1:33" x14ac:dyDescent="0.45">
      <c r="A946" s="2" t="s">
        <v>24734</v>
      </c>
      <c r="B946" s="2" t="s">
        <v>24735</v>
      </c>
      <c r="C946" s="2" t="s">
        <v>24736</v>
      </c>
      <c r="D946" s="2" t="s">
        <v>24737</v>
      </c>
      <c r="E946" s="2" t="s">
        <v>24738</v>
      </c>
      <c r="F946" s="2"/>
      <c r="G946" s="2"/>
      <c r="H946" s="2" t="s">
        <v>59</v>
      </c>
      <c r="I946" s="2" t="s">
        <v>60</v>
      </c>
      <c r="J946" s="2" t="s">
        <v>4610</v>
      </c>
      <c r="K946" s="2" t="s">
        <v>24739</v>
      </c>
      <c r="L946" s="2"/>
      <c r="M946" s="2"/>
      <c r="N946" s="2"/>
      <c r="O946" s="2" t="s">
        <v>59</v>
      </c>
      <c r="P946" s="2" t="s">
        <v>60</v>
      </c>
      <c r="Q946" s="2" t="s">
        <v>4610</v>
      </c>
      <c r="R946" s="2" t="s">
        <v>16021</v>
      </c>
      <c r="S946" s="2" t="s">
        <v>44</v>
      </c>
      <c r="T946" s="2"/>
      <c r="U946" s="2" t="s">
        <v>3527</v>
      </c>
      <c r="V946" s="2" t="s">
        <v>46</v>
      </c>
      <c r="W946" s="2" t="s">
        <v>3527</v>
      </c>
      <c r="X946" s="2" t="s">
        <v>10787</v>
      </c>
      <c r="Y946" s="2" t="s">
        <v>10801</v>
      </c>
      <c r="Z946" s="2" t="s">
        <v>7864</v>
      </c>
      <c r="AA946" s="2">
        <v>90</v>
      </c>
      <c r="AB946" s="2">
        <v>0</v>
      </c>
      <c r="AC946" s="2" t="s">
        <v>10789</v>
      </c>
      <c r="AD946" s="2" t="s">
        <v>24740</v>
      </c>
      <c r="AE946" s="2" t="s">
        <v>18260</v>
      </c>
      <c r="AF946" s="2"/>
      <c r="AG946" s="2" t="s">
        <v>18250</v>
      </c>
    </row>
    <row r="947" spans="1:33" x14ac:dyDescent="0.45">
      <c r="A947" s="2" t="s">
        <v>24741</v>
      </c>
      <c r="B947" s="2" t="s">
        <v>24742</v>
      </c>
      <c r="C947" s="2" t="s">
        <v>24741</v>
      </c>
      <c r="D947" s="2" t="s">
        <v>24743</v>
      </c>
      <c r="E947" s="2" t="s">
        <v>24744</v>
      </c>
      <c r="F947" s="2" t="s">
        <v>24745</v>
      </c>
      <c r="G947" s="2" t="s">
        <v>24745</v>
      </c>
      <c r="H947" s="2" t="s">
        <v>216</v>
      </c>
      <c r="I947" s="2" t="s">
        <v>217</v>
      </c>
      <c r="J947" s="2" t="s">
        <v>18552</v>
      </c>
      <c r="K947" s="2" t="s">
        <v>24743</v>
      </c>
      <c r="L947" s="2"/>
      <c r="M947" s="2"/>
      <c r="N947" s="2"/>
      <c r="O947" s="2" t="s">
        <v>216</v>
      </c>
      <c r="P947" s="2" t="s">
        <v>217</v>
      </c>
      <c r="Q947" s="2" t="s">
        <v>18552</v>
      </c>
      <c r="R947" s="2" t="s">
        <v>9560</v>
      </c>
      <c r="S947" s="2" t="s">
        <v>44</v>
      </c>
      <c r="T947" s="2"/>
      <c r="U947" s="2" t="s">
        <v>821</v>
      </c>
      <c r="V947" s="2" t="s">
        <v>46</v>
      </c>
      <c r="W947" s="2" t="s">
        <v>821</v>
      </c>
      <c r="X947" s="2" t="s">
        <v>10787</v>
      </c>
      <c r="Y947" s="2" t="s">
        <v>10801</v>
      </c>
      <c r="Z947" s="2" t="s">
        <v>7864</v>
      </c>
      <c r="AA947" s="2">
        <v>100</v>
      </c>
      <c r="AB947" s="2">
        <v>17</v>
      </c>
      <c r="AC947" s="2" t="s">
        <v>10789</v>
      </c>
      <c r="AD947" s="2" t="s">
        <v>24746</v>
      </c>
      <c r="AE947" s="2" t="s">
        <v>18260</v>
      </c>
      <c r="AF947" s="2"/>
      <c r="AG947" s="2" t="s">
        <v>18250</v>
      </c>
    </row>
    <row r="948" spans="1:33" x14ac:dyDescent="0.45">
      <c r="A948" s="2" t="s">
        <v>24747</v>
      </c>
      <c r="B948" s="2" t="s">
        <v>24748</v>
      </c>
      <c r="C948" s="2" t="s">
        <v>24749</v>
      </c>
      <c r="D948" s="2" t="s">
        <v>24750</v>
      </c>
      <c r="E948" s="2" t="s">
        <v>24751</v>
      </c>
      <c r="F948" s="2"/>
      <c r="G948" s="2"/>
      <c r="H948" s="2" t="s">
        <v>59</v>
      </c>
      <c r="I948" s="2" t="s">
        <v>60</v>
      </c>
      <c r="J948" s="2" t="s">
        <v>5251</v>
      </c>
      <c r="K948" s="2" t="s">
        <v>24750</v>
      </c>
      <c r="L948" s="2"/>
      <c r="M948" s="2"/>
      <c r="N948" s="2"/>
      <c r="O948" s="2" t="s">
        <v>59</v>
      </c>
      <c r="P948" s="2" t="s">
        <v>60</v>
      </c>
      <c r="Q948" s="2" t="s">
        <v>5251</v>
      </c>
      <c r="R948" s="2" t="s">
        <v>327</v>
      </c>
      <c r="S948" s="2" t="s">
        <v>44</v>
      </c>
      <c r="T948" s="2"/>
      <c r="U948" s="2" t="s">
        <v>821</v>
      </c>
      <c r="V948" s="2" t="s">
        <v>46</v>
      </c>
      <c r="W948" s="2" t="s">
        <v>821</v>
      </c>
      <c r="X948" s="2" t="s">
        <v>10787</v>
      </c>
      <c r="Y948" s="2" t="s">
        <v>10801</v>
      </c>
      <c r="Z948" s="2" t="s">
        <v>7864</v>
      </c>
      <c r="AA948" s="2">
        <v>90</v>
      </c>
      <c r="AB948" s="2">
        <v>7</v>
      </c>
      <c r="AC948" s="2" t="s">
        <v>10789</v>
      </c>
      <c r="AD948" s="2" t="s">
        <v>24752</v>
      </c>
      <c r="AE948" s="2" t="s">
        <v>18260</v>
      </c>
      <c r="AF948" s="2"/>
      <c r="AG948" s="2" t="s">
        <v>18250</v>
      </c>
    </row>
    <row r="949" spans="1:33" x14ac:dyDescent="0.45">
      <c r="A949" s="2" t="s">
        <v>24753</v>
      </c>
      <c r="B949" s="2" t="s">
        <v>24754</v>
      </c>
      <c r="C949" s="2" t="s">
        <v>24753</v>
      </c>
      <c r="D949" s="2" t="s">
        <v>24755</v>
      </c>
      <c r="E949" s="2" t="s">
        <v>24756</v>
      </c>
      <c r="F949" s="2"/>
      <c r="G949" s="2"/>
      <c r="H949" s="2" t="s">
        <v>72</v>
      </c>
      <c r="I949" s="2" t="s">
        <v>73</v>
      </c>
      <c r="J949" s="2" t="s">
        <v>187</v>
      </c>
      <c r="K949" s="2" t="s">
        <v>24755</v>
      </c>
      <c r="L949" s="2"/>
      <c r="M949" s="2"/>
      <c r="N949" s="2"/>
      <c r="O949" s="2" t="s">
        <v>72</v>
      </c>
      <c r="P949" s="2" t="s">
        <v>73</v>
      </c>
      <c r="Q949" s="2" t="s">
        <v>187</v>
      </c>
      <c r="R949" s="2" t="s">
        <v>24757</v>
      </c>
      <c r="S949" s="2" t="s">
        <v>44</v>
      </c>
      <c r="T949" s="2"/>
      <c r="U949" s="2" t="s">
        <v>3527</v>
      </c>
      <c r="V949" s="2" t="s">
        <v>46</v>
      </c>
      <c r="W949" s="2" t="s">
        <v>3527</v>
      </c>
      <c r="X949" s="2" t="s">
        <v>10787</v>
      </c>
      <c r="Y949" s="2" t="s">
        <v>10801</v>
      </c>
      <c r="Z949" s="2" t="s">
        <v>7864</v>
      </c>
      <c r="AA949" s="2">
        <v>90</v>
      </c>
      <c r="AB949" s="2">
        <v>0</v>
      </c>
      <c r="AC949" s="2" t="s">
        <v>10789</v>
      </c>
      <c r="AD949" s="2" t="s">
        <v>24758</v>
      </c>
      <c r="AE949" s="2" t="s">
        <v>18260</v>
      </c>
      <c r="AF949" s="2"/>
      <c r="AG949" s="2" t="s">
        <v>18250</v>
      </c>
    </row>
    <row r="950" spans="1:33" x14ac:dyDescent="0.45">
      <c r="A950" s="2" t="s">
        <v>24759</v>
      </c>
      <c r="B950" s="2" t="s">
        <v>24760</v>
      </c>
      <c r="C950" s="2" t="s">
        <v>24761</v>
      </c>
      <c r="D950" s="2" t="s">
        <v>24762</v>
      </c>
      <c r="E950" s="2" t="s">
        <v>24763</v>
      </c>
      <c r="F950" s="2" t="s">
        <v>9550</v>
      </c>
      <c r="G950" s="2" t="s">
        <v>9550</v>
      </c>
      <c r="H950" s="2" t="s">
        <v>384</v>
      </c>
      <c r="I950" s="2" t="s">
        <v>73</v>
      </c>
      <c r="J950" s="2" t="s">
        <v>24764</v>
      </c>
      <c r="K950" s="2"/>
      <c r="L950" s="2"/>
      <c r="M950" s="2"/>
      <c r="N950" s="2"/>
      <c r="O950" s="2"/>
      <c r="P950" s="2"/>
      <c r="Q950" s="2"/>
      <c r="R950" s="2" t="s">
        <v>3485</v>
      </c>
      <c r="S950" s="2" t="s">
        <v>44</v>
      </c>
      <c r="T950" s="2"/>
      <c r="U950" s="2" t="s">
        <v>821</v>
      </c>
      <c r="V950" s="2" t="s">
        <v>46</v>
      </c>
      <c r="W950" s="2" t="s">
        <v>821</v>
      </c>
      <c r="X950" s="2" t="s">
        <v>10787</v>
      </c>
      <c r="Y950" s="2" t="s">
        <v>10801</v>
      </c>
      <c r="Z950" s="2" t="s">
        <v>7864</v>
      </c>
      <c r="AA950" s="2">
        <v>100</v>
      </c>
      <c r="AB950" s="2">
        <v>17</v>
      </c>
      <c r="AC950" s="2" t="s">
        <v>10789</v>
      </c>
      <c r="AD950" s="2" t="s">
        <v>24765</v>
      </c>
      <c r="AE950" s="2" t="s">
        <v>18260</v>
      </c>
      <c r="AF950" s="2"/>
      <c r="AG950" s="2" t="s">
        <v>18250</v>
      </c>
    </row>
    <row r="951" spans="1:33" x14ac:dyDescent="0.45">
      <c r="A951" s="2" t="s">
        <v>24766</v>
      </c>
      <c r="B951" s="2" t="s">
        <v>24767</v>
      </c>
      <c r="C951" s="2" t="s">
        <v>24768</v>
      </c>
      <c r="D951" s="2" t="s">
        <v>24769</v>
      </c>
      <c r="E951" s="2" t="s">
        <v>24770</v>
      </c>
      <c r="F951" s="2" t="s">
        <v>24771</v>
      </c>
      <c r="G951" s="2" t="s">
        <v>24771</v>
      </c>
      <c r="H951" s="2" t="s">
        <v>59</v>
      </c>
      <c r="I951" s="2" t="s">
        <v>60</v>
      </c>
      <c r="J951" s="2" t="s">
        <v>24772</v>
      </c>
      <c r="K951" s="2"/>
      <c r="L951" s="2"/>
      <c r="M951" s="2"/>
      <c r="N951" s="2"/>
      <c r="O951" s="2"/>
      <c r="P951" s="2"/>
      <c r="Q951" s="2"/>
      <c r="R951" s="2" t="s">
        <v>6214</v>
      </c>
      <c r="S951" s="2" t="s">
        <v>44</v>
      </c>
      <c r="T951" s="2"/>
      <c r="U951" s="2" t="s">
        <v>3527</v>
      </c>
      <c r="V951" s="2" t="s">
        <v>46</v>
      </c>
      <c r="W951" s="2" t="s">
        <v>3527</v>
      </c>
      <c r="X951" s="2" t="s">
        <v>10787</v>
      </c>
      <c r="Y951" s="2" t="s">
        <v>10801</v>
      </c>
      <c r="Z951" s="2" t="s">
        <v>7864</v>
      </c>
      <c r="AA951" s="2">
        <v>100</v>
      </c>
      <c r="AB951" s="2">
        <v>10</v>
      </c>
      <c r="AC951" s="2" t="s">
        <v>10789</v>
      </c>
      <c r="AD951" s="2" t="s">
        <v>24773</v>
      </c>
      <c r="AE951" s="2" t="s">
        <v>18260</v>
      </c>
      <c r="AF951" s="2"/>
      <c r="AG951" s="2" t="s">
        <v>18250</v>
      </c>
    </row>
    <row r="952" spans="1:33" x14ac:dyDescent="0.45">
      <c r="A952" s="2" t="s">
        <v>24774</v>
      </c>
      <c r="B952" s="2" t="s">
        <v>24775</v>
      </c>
      <c r="C952" s="2" t="s">
        <v>24774</v>
      </c>
      <c r="D952" s="2" t="s">
        <v>24776</v>
      </c>
      <c r="E952" s="2" t="s">
        <v>24777</v>
      </c>
      <c r="F952" s="2" t="s">
        <v>24778</v>
      </c>
      <c r="G952" s="2" t="s">
        <v>24778</v>
      </c>
      <c r="H952" s="2" t="s">
        <v>220</v>
      </c>
      <c r="I952" s="2" t="s">
        <v>221</v>
      </c>
      <c r="J952" s="2" t="s">
        <v>222</v>
      </c>
      <c r="K952" s="2" t="s">
        <v>24776</v>
      </c>
      <c r="L952" s="2"/>
      <c r="M952" s="2"/>
      <c r="N952" s="2"/>
      <c r="O952" s="2" t="s">
        <v>220</v>
      </c>
      <c r="P952" s="2" t="s">
        <v>221</v>
      </c>
      <c r="Q952" s="2" t="s">
        <v>222</v>
      </c>
      <c r="R952" s="2" t="s">
        <v>12013</v>
      </c>
      <c r="S952" s="2" t="s">
        <v>44</v>
      </c>
      <c r="T952" s="2"/>
      <c r="U952" s="2" t="s">
        <v>821</v>
      </c>
      <c r="V952" s="2" t="s">
        <v>46</v>
      </c>
      <c r="W952" s="2" t="s">
        <v>821</v>
      </c>
      <c r="X952" s="2" t="s">
        <v>10787</v>
      </c>
      <c r="Y952" s="2" t="s">
        <v>10801</v>
      </c>
      <c r="Z952" s="2" t="s">
        <v>7864</v>
      </c>
      <c r="AA952" s="2">
        <v>100</v>
      </c>
      <c r="AB952" s="2">
        <v>12</v>
      </c>
      <c r="AC952" s="2" t="s">
        <v>10789</v>
      </c>
      <c r="AD952" s="2" t="s">
        <v>24779</v>
      </c>
      <c r="AE952" s="2" t="s">
        <v>18260</v>
      </c>
      <c r="AF952" s="2"/>
      <c r="AG952" s="2" t="s">
        <v>18250</v>
      </c>
    </row>
    <row r="953" spans="1:33" x14ac:dyDescent="0.45">
      <c r="A953" s="2" t="s">
        <v>24780</v>
      </c>
      <c r="B953" s="2" t="s">
        <v>24781</v>
      </c>
      <c r="C953" s="2" t="s">
        <v>24782</v>
      </c>
      <c r="D953" s="2" t="s">
        <v>24783</v>
      </c>
      <c r="E953" s="2" t="s">
        <v>24784</v>
      </c>
      <c r="F953" s="2" t="s">
        <v>24785</v>
      </c>
      <c r="G953" s="2" t="s">
        <v>24785</v>
      </c>
      <c r="H953" s="2" t="s">
        <v>59</v>
      </c>
      <c r="I953" s="2" t="s">
        <v>60</v>
      </c>
      <c r="J953" s="2" t="s">
        <v>5251</v>
      </c>
      <c r="K953" s="2" t="s">
        <v>24783</v>
      </c>
      <c r="L953" s="2"/>
      <c r="M953" s="2"/>
      <c r="N953" s="2"/>
      <c r="O953" s="2" t="s">
        <v>59</v>
      </c>
      <c r="P953" s="2" t="s">
        <v>60</v>
      </c>
      <c r="Q953" s="2" t="s">
        <v>5251</v>
      </c>
      <c r="R953" s="2" t="s">
        <v>11138</v>
      </c>
      <c r="S953" s="2" t="s">
        <v>44</v>
      </c>
      <c r="T953" s="2"/>
      <c r="U953" s="2" t="s">
        <v>3527</v>
      </c>
      <c r="V953" s="2" t="s">
        <v>46</v>
      </c>
      <c r="W953" s="2" t="s">
        <v>3527</v>
      </c>
      <c r="X953" s="2" t="s">
        <v>10787</v>
      </c>
      <c r="Y953" s="2" t="s">
        <v>10801</v>
      </c>
      <c r="Z953" s="2" t="s">
        <v>7864</v>
      </c>
      <c r="AA953" s="2">
        <v>100</v>
      </c>
      <c r="AB953" s="2">
        <v>10</v>
      </c>
      <c r="AC953" s="2" t="s">
        <v>10789</v>
      </c>
      <c r="AD953" s="2" t="s">
        <v>24786</v>
      </c>
      <c r="AE953" s="2" t="s">
        <v>18260</v>
      </c>
      <c r="AF953" s="2"/>
      <c r="AG953" s="2" t="s">
        <v>18250</v>
      </c>
    </row>
    <row r="954" spans="1:33" x14ac:dyDescent="0.45">
      <c r="A954" s="2" t="s">
        <v>24787</v>
      </c>
      <c r="B954" s="2" t="s">
        <v>24788</v>
      </c>
      <c r="C954" s="2" t="s">
        <v>24787</v>
      </c>
      <c r="D954" s="2" t="s">
        <v>24789</v>
      </c>
      <c r="E954" s="2" t="s">
        <v>24790</v>
      </c>
      <c r="F954" s="2" t="s">
        <v>24791</v>
      </c>
      <c r="G954" s="2" t="s">
        <v>24791</v>
      </c>
      <c r="H954" s="2" t="s">
        <v>72</v>
      </c>
      <c r="I954" s="2" t="s">
        <v>73</v>
      </c>
      <c r="J954" s="2" t="s">
        <v>4550</v>
      </c>
      <c r="K954" s="2" t="s">
        <v>24792</v>
      </c>
      <c r="L954" s="2"/>
      <c r="M954" s="2"/>
      <c r="N954" s="2"/>
      <c r="O954" s="2" t="s">
        <v>72</v>
      </c>
      <c r="P954" s="2" t="s">
        <v>73</v>
      </c>
      <c r="Q954" s="2" t="s">
        <v>4550</v>
      </c>
      <c r="R954" s="2" t="s">
        <v>6299</v>
      </c>
      <c r="S954" s="2" t="s">
        <v>44</v>
      </c>
      <c r="T954" s="2"/>
      <c r="U954" s="2" t="s">
        <v>3527</v>
      </c>
      <c r="V954" s="2" t="s">
        <v>46</v>
      </c>
      <c r="W954" s="2" t="s">
        <v>3527</v>
      </c>
      <c r="X954" s="2" t="s">
        <v>10787</v>
      </c>
      <c r="Y954" s="2" t="s">
        <v>10801</v>
      </c>
      <c r="Z954" s="2" t="s">
        <v>7864</v>
      </c>
      <c r="AA954" s="2">
        <v>100</v>
      </c>
      <c r="AB954" s="2">
        <v>10</v>
      </c>
      <c r="AC954" s="2" t="s">
        <v>10789</v>
      </c>
      <c r="AD954" s="2" t="s">
        <v>24793</v>
      </c>
      <c r="AE954" s="2" t="s">
        <v>18260</v>
      </c>
      <c r="AF954" s="2"/>
      <c r="AG954" s="2" t="s">
        <v>18250</v>
      </c>
    </row>
    <row r="955" spans="1:33" x14ac:dyDescent="0.45">
      <c r="A955" s="2" t="s">
        <v>24794</v>
      </c>
      <c r="B955" s="2" t="s">
        <v>24795</v>
      </c>
      <c r="C955" s="2" t="s">
        <v>24794</v>
      </c>
      <c r="D955" s="2" t="s">
        <v>24796</v>
      </c>
      <c r="E955" s="2" t="s">
        <v>24797</v>
      </c>
      <c r="F955" s="2"/>
      <c r="G955" s="2"/>
      <c r="H955" s="2" t="s">
        <v>536</v>
      </c>
      <c r="I955" s="2" t="s">
        <v>537</v>
      </c>
      <c r="J955" s="2" t="s">
        <v>24798</v>
      </c>
      <c r="K955" s="2" t="s">
        <v>24799</v>
      </c>
      <c r="L955" s="2"/>
      <c r="M955" s="2"/>
      <c r="N955" s="2"/>
      <c r="O955" s="2" t="s">
        <v>536</v>
      </c>
      <c r="P955" s="2" t="s">
        <v>537</v>
      </c>
      <c r="Q955" s="2" t="s">
        <v>24798</v>
      </c>
      <c r="R955" s="2" t="s">
        <v>24800</v>
      </c>
      <c r="S955" s="2" t="s">
        <v>44</v>
      </c>
      <c r="T955" s="2"/>
      <c r="U955" s="2" t="s">
        <v>3527</v>
      </c>
      <c r="V955" s="2" t="s">
        <v>46</v>
      </c>
      <c r="W955" s="2" t="s">
        <v>3527</v>
      </c>
      <c r="X955" s="2" t="s">
        <v>10787</v>
      </c>
      <c r="Y955" s="2" t="s">
        <v>10801</v>
      </c>
      <c r="Z955" s="2" t="s">
        <v>7864</v>
      </c>
      <c r="AA955" s="2">
        <v>90</v>
      </c>
      <c r="AB955" s="2">
        <v>0</v>
      </c>
      <c r="AC955" s="2" t="s">
        <v>10789</v>
      </c>
      <c r="AD955" s="2" t="s">
        <v>24801</v>
      </c>
      <c r="AE955" s="2" t="s">
        <v>18260</v>
      </c>
      <c r="AF955" s="2"/>
      <c r="AG955" s="2" t="s">
        <v>18250</v>
      </c>
    </row>
    <row r="956" spans="1:33" x14ac:dyDescent="0.45">
      <c r="A956" s="2" t="s">
        <v>24802</v>
      </c>
      <c r="B956" s="2" t="s">
        <v>24803</v>
      </c>
      <c r="C956" s="2" t="s">
        <v>24804</v>
      </c>
      <c r="D956" s="2" t="s">
        <v>24805</v>
      </c>
      <c r="E956" s="2" t="s">
        <v>24806</v>
      </c>
      <c r="F956" s="2"/>
      <c r="G956" s="2"/>
      <c r="H956" s="2" t="s">
        <v>24807</v>
      </c>
      <c r="I956" s="2" t="s">
        <v>1112</v>
      </c>
      <c r="J956" s="2" t="s">
        <v>24808</v>
      </c>
      <c r="K956" s="2" t="s">
        <v>24809</v>
      </c>
      <c r="L956" s="2"/>
      <c r="M956" s="2"/>
      <c r="N956" s="2"/>
      <c r="O956" s="2" t="s">
        <v>24807</v>
      </c>
      <c r="P956" s="2" t="s">
        <v>1112</v>
      </c>
      <c r="Q956" s="2" t="s">
        <v>24808</v>
      </c>
      <c r="R956" s="2" t="s">
        <v>580</v>
      </c>
      <c r="S956" s="2" t="s">
        <v>44</v>
      </c>
      <c r="T956" s="2"/>
      <c r="U956" s="2" t="s">
        <v>3527</v>
      </c>
      <c r="V956" s="2" t="s">
        <v>46</v>
      </c>
      <c r="W956" s="2" t="s">
        <v>3527</v>
      </c>
      <c r="X956" s="2" t="s">
        <v>10787</v>
      </c>
      <c r="Y956" s="2" t="s">
        <v>10801</v>
      </c>
      <c r="Z956" s="2" t="s">
        <v>7864</v>
      </c>
      <c r="AA956" s="2">
        <v>90</v>
      </c>
      <c r="AB956" s="2">
        <v>0</v>
      </c>
      <c r="AC956" s="2" t="s">
        <v>10789</v>
      </c>
      <c r="AD956" s="2" t="s">
        <v>24810</v>
      </c>
      <c r="AE956" s="2" t="s">
        <v>18260</v>
      </c>
      <c r="AF956" s="2"/>
      <c r="AG956" s="2" t="s">
        <v>18250</v>
      </c>
    </row>
    <row r="957" spans="1:33" x14ac:dyDescent="0.45">
      <c r="A957" s="2" t="s">
        <v>24811</v>
      </c>
      <c r="B957" s="2" t="s">
        <v>24812</v>
      </c>
      <c r="C957" s="2" t="s">
        <v>24811</v>
      </c>
      <c r="D957" s="2" t="s">
        <v>24813</v>
      </c>
      <c r="E957" s="2" t="s">
        <v>24814</v>
      </c>
      <c r="F957" s="2"/>
      <c r="G957" s="2"/>
      <c r="H957" s="2" t="s">
        <v>424</v>
      </c>
      <c r="I957" s="2" t="s">
        <v>217</v>
      </c>
      <c r="J957" s="2" t="s">
        <v>218</v>
      </c>
      <c r="K957" s="2" t="s">
        <v>24813</v>
      </c>
      <c r="L957" s="2"/>
      <c r="M957" s="2"/>
      <c r="N957" s="2"/>
      <c r="O957" s="2" t="s">
        <v>424</v>
      </c>
      <c r="P957" s="2" t="s">
        <v>217</v>
      </c>
      <c r="Q957" s="2" t="s">
        <v>218</v>
      </c>
      <c r="R957" s="2" t="s">
        <v>2158</v>
      </c>
      <c r="S957" s="2" t="s">
        <v>44</v>
      </c>
      <c r="T957" s="2"/>
      <c r="U957" s="2" t="s">
        <v>3527</v>
      </c>
      <c r="V957" s="2" t="s">
        <v>46</v>
      </c>
      <c r="W957" s="2" t="s">
        <v>3527</v>
      </c>
      <c r="X957" s="2" t="s">
        <v>10787</v>
      </c>
      <c r="Y957" s="2" t="s">
        <v>10801</v>
      </c>
      <c r="Z957" s="2" t="s">
        <v>7864</v>
      </c>
      <c r="AA957" s="2">
        <v>90</v>
      </c>
      <c r="AB957" s="2">
        <v>0</v>
      </c>
      <c r="AC957" s="2" t="s">
        <v>10789</v>
      </c>
      <c r="AD957" s="2" t="s">
        <v>24815</v>
      </c>
      <c r="AE957" s="2" t="s">
        <v>18260</v>
      </c>
      <c r="AF957" s="2"/>
      <c r="AG957" s="2" t="s">
        <v>18250</v>
      </c>
    </row>
    <row r="958" spans="1:33" x14ac:dyDescent="0.45">
      <c r="A958" s="2" t="s">
        <v>24816</v>
      </c>
      <c r="B958" s="2" t="s">
        <v>24817</v>
      </c>
      <c r="C958" s="2" t="s">
        <v>24816</v>
      </c>
      <c r="D958" s="2" t="s">
        <v>24818</v>
      </c>
      <c r="E958" s="2" t="s">
        <v>24819</v>
      </c>
      <c r="F958" s="2"/>
      <c r="G958" s="2"/>
      <c r="H958" s="2" t="s">
        <v>24820</v>
      </c>
      <c r="I958" s="2" t="s">
        <v>9680</v>
      </c>
      <c r="J958" s="2" t="s">
        <v>24821</v>
      </c>
      <c r="K958" s="2" t="s">
        <v>24822</v>
      </c>
      <c r="L958" s="2"/>
      <c r="M958" s="2"/>
      <c r="N958" s="2"/>
      <c r="O958" s="2" t="s">
        <v>24820</v>
      </c>
      <c r="P958" s="2" t="s">
        <v>9680</v>
      </c>
      <c r="Q958" s="2" t="s">
        <v>24821</v>
      </c>
      <c r="R958" s="2" t="s">
        <v>580</v>
      </c>
      <c r="S958" s="2" t="s">
        <v>44</v>
      </c>
      <c r="T958" s="2"/>
      <c r="U958" s="2" t="s">
        <v>3527</v>
      </c>
      <c r="V958" s="2" t="s">
        <v>46</v>
      </c>
      <c r="W958" s="2" t="s">
        <v>3527</v>
      </c>
      <c r="X958" s="2" t="s">
        <v>10787</v>
      </c>
      <c r="Y958" s="2" t="s">
        <v>10801</v>
      </c>
      <c r="Z958" s="2" t="s">
        <v>7864</v>
      </c>
      <c r="AA958" s="2">
        <v>90</v>
      </c>
      <c r="AB958" s="2">
        <v>0</v>
      </c>
      <c r="AC958" s="2" t="s">
        <v>10789</v>
      </c>
      <c r="AD958" s="2" t="s">
        <v>24823</v>
      </c>
      <c r="AE958" s="2" t="s">
        <v>18260</v>
      </c>
      <c r="AF958" s="2"/>
      <c r="AG958" s="2" t="s">
        <v>18250</v>
      </c>
    </row>
    <row r="959" spans="1:33" x14ac:dyDescent="0.45">
      <c r="A959" s="2" t="s">
        <v>24824</v>
      </c>
      <c r="B959" s="2" t="s">
        <v>24825</v>
      </c>
      <c r="C959" s="2" t="s">
        <v>24826</v>
      </c>
      <c r="D959" s="2" t="s">
        <v>24827</v>
      </c>
      <c r="E959" s="2" t="s">
        <v>24828</v>
      </c>
      <c r="F959" s="2"/>
      <c r="G959" s="2"/>
      <c r="H959" s="2" t="s">
        <v>2962</v>
      </c>
      <c r="I959" s="2" t="s">
        <v>73</v>
      </c>
      <c r="J959" s="2" t="s">
        <v>24829</v>
      </c>
      <c r="K959" s="2" t="s">
        <v>24827</v>
      </c>
      <c r="L959" s="2"/>
      <c r="M959" s="2"/>
      <c r="N959" s="2"/>
      <c r="O959" s="2" t="s">
        <v>2962</v>
      </c>
      <c r="P959" s="2" t="s">
        <v>73</v>
      </c>
      <c r="Q959" s="2" t="s">
        <v>24829</v>
      </c>
      <c r="R959" s="2" t="s">
        <v>12433</v>
      </c>
      <c r="S959" s="2" t="s">
        <v>44</v>
      </c>
      <c r="T959" s="2"/>
      <c r="U959" s="2" t="s">
        <v>821</v>
      </c>
      <c r="V959" s="2" t="s">
        <v>46</v>
      </c>
      <c r="W959" s="2" t="s">
        <v>821</v>
      </c>
      <c r="X959" s="2" t="s">
        <v>10787</v>
      </c>
      <c r="Y959" s="2" t="s">
        <v>10801</v>
      </c>
      <c r="Z959" s="2" t="s">
        <v>7864</v>
      </c>
      <c r="AA959" s="2">
        <v>90</v>
      </c>
      <c r="AB959" s="2">
        <v>2</v>
      </c>
      <c r="AC959" s="2" t="s">
        <v>10789</v>
      </c>
      <c r="AD959" s="2" t="s">
        <v>24830</v>
      </c>
      <c r="AE959" s="2" t="s">
        <v>18260</v>
      </c>
      <c r="AF959" s="2"/>
      <c r="AG959" s="2" t="s">
        <v>18250</v>
      </c>
    </row>
    <row r="960" spans="1:33" x14ac:dyDescent="0.45">
      <c r="A960" s="2" t="s">
        <v>24831</v>
      </c>
      <c r="B960" s="2" t="s">
        <v>24832</v>
      </c>
      <c r="C960" s="2" t="s">
        <v>24831</v>
      </c>
      <c r="D960" s="2" t="s">
        <v>24833</v>
      </c>
      <c r="E960" s="2" t="s">
        <v>24834</v>
      </c>
      <c r="F960" s="2" t="s">
        <v>24835</v>
      </c>
      <c r="G960" s="2" t="s">
        <v>24835</v>
      </c>
      <c r="H960" s="2" t="s">
        <v>72</v>
      </c>
      <c r="I960" s="2" t="s">
        <v>73</v>
      </c>
      <c r="J960" s="2" t="s">
        <v>913</v>
      </c>
      <c r="K960" s="2" t="s">
        <v>24836</v>
      </c>
      <c r="L960" s="2"/>
      <c r="M960" s="2"/>
      <c r="N960" s="2"/>
      <c r="O960" s="2" t="s">
        <v>72</v>
      </c>
      <c r="P960" s="2" t="s">
        <v>73</v>
      </c>
      <c r="Q960" s="2" t="s">
        <v>913</v>
      </c>
      <c r="R960" s="2" t="s">
        <v>23238</v>
      </c>
      <c r="S960" s="2" t="s">
        <v>44</v>
      </c>
      <c r="T960" s="2"/>
      <c r="U960" s="2" t="s">
        <v>3527</v>
      </c>
      <c r="V960" s="2" t="s">
        <v>46</v>
      </c>
      <c r="W960" s="2" t="s">
        <v>3527</v>
      </c>
      <c r="X960" s="2" t="s">
        <v>10787</v>
      </c>
      <c r="Y960" s="2" t="s">
        <v>10801</v>
      </c>
      <c r="Z960" s="2" t="s">
        <v>7864</v>
      </c>
      <c r="AA960" s="2">
        <v>100</v>
      </c>
      <c r="AB960" s="2">
        <v>10</v>
      </c>
      <c r="AC960" s="2" t="s">
        <v>10789</v>
      </c>
      <c r="AD960" s="2" t="s">
        <v>24837</v>
      </c>
      <c r="AE960" s="2" t="s">
        <v>18260</v>
      </c>
      <c r="AF960" s="2"/>
      <c r="AG960" s="2" t="s">
        <v>18250</v>
      </c>
    </row>
    <row r="961" spans="1:33" x14ac:dyDescent="0.45">
      <c r="A961" s="2" t="s">
        <v>24838</v>
      </c>
      <c r="B961" s="2" t="s">
        <v>24839</v>
      </c>
      <c r="C961" s="2" t="s">
        <v>24838</v>
      </c>
      <c r="D961" s="2" t="s">
        <v>24840</v>
      </c>
      <c r="E961" s="2" t="s">
        <v>24841</v>
      </c>
      <c r="F961" s="2" t="s">
        <v>24842</v>
      </c>
      <c r="G961" s="2"/>
      <c r="H961" s="2" t="s">
        <v>1136</v>
      </c>
      <c r="I961" s="2" t="s">
        <v>1137</v>
      </c>
      <c r="J961" s="2" t="s">
        <v>8637</v>
      </c>
      <c r="K961" s="2" t="s">
        <v>24840</v>
      </c>
      <c r="L961" s="2"/>
      <c r="M961" s="2"/>
      <c r="N961" s="2"/>
      <c r="O961" s="2" t="s">
        <v>1136</v>
      </c>
      <c r="P961" s="2" t="s">
        <v>1137</v>
      </c>
      <c r="Q961" s="2" t="s">
        <v>8637</v>
      </c>
      <c r="R961" s="2" t="s">
        <v>692</v>
      </c>
      <c r="S961" s="2" t="s">
        <v>44</v>
      </c>
      <c r="T961" s="2"/>
      <c r="U961" s="2" t="s">
        <v>3527</v>
      </c>
      <c r="V961" s="2" t="s">
        <v>46</v>
      </c>
      <c r="W961" s="2" t="s">
        <v>3527</v>
      </c>
      <c r="X961" s="2" t="s">
        <v>10787</v>
      </c>
      <c r="Y961" s="2" t="s">
        <v>10801</v>
      </c>
      <c r="Z961" s="2" t="s">
        <v>7864</v>
      </c>
      <c r="AA961" s="2">
        <v>100</v>
      </c>
      <c r="AB961" s="2">
        <v>5</v>
      </c>
      <c r="AC961" s="2" t="s">
        <v>10789</v>
      </c>
      <c r="AD961" s="2" t="s">
        <v>24843</v>
      </c>
      <c r="AE961" s="2" t="s">
        <v>18260</v>
      </c>
      <c r="AF961" s="2"/>
      <c r="AG961" s="2" t="s">
        <v>18250</v>
      </c>
    </row>
    <row r="962" spans="1:33" x14ac:dyDescent="0.45">
      <c r="A962" s="2" t="s">
        <v>24844</v>
      </c>
      <c r="B962" s="2" t="s">
        <v>24845</v>
      </c>
      <c r="C962" s="2" t="s">
        <v>24846</v>
      </c>
      <c r="D962" s="2" t="s">
        <v>24847</v>
      </c>
      <c r="E962" s="2" t="s">
        <v>24848</v>
      </c>
      <c r="F962" s="2"/>
      <c r="G962" s="2"/>
      <c r="H962" s="2" t="s">
        <v>72</v>
      </c>
      <c r="I962" s="2" t="s">
        <v>73</v>
      </c>
      <c r="J962" s="2" t="s">
        <v>24849</v>
      </c>
      <c r="K962" s="2" t="s">
        <v>24850</v>
      </c>
      <c r="L962" s="2"/>
      <c r="M962" s="2"/>
      <c r="N962" s="2"/>
      <c r="O962" s="2" t="s">
        <v>72</v>
      </c>
      <c r="P962" s="2" t="s">
        <v>73</v>
      </c>
      <c r="Q962" s="2" t="s">
        <v>24849</v>
      </c>
      <c r="R962" s="2" t="s">
        <v>24851</v>
      </c>
      <c r="S962" s="2" t="s">
        <v>44</v>
      </c>
      <c r="T962" s="2"/>
      <c r="U962" s="2" t="s">
        <v>821</v>
      </c>
      <c r="V962" s="2" t="s">
        <v>46</v>
      </c>
      <c r="W962" s="2" t="s">
        <v>821</v>
      </c>
      <c r="X962" s="2" t="s">
        <v>10787</v>
      </c>
      <c r="Y962" s="2" t="s">
        <v>10801</v>
      </c>
      <c r="Z962" s="2" t="s">
        <v>7864</v>
      </c>
      <c r="AA962" s="2">
        <v>90</v>
      </c>
      <c r="AB962" s="2">
        <v>7</v>
      </c>
      <c r="AC962" s="2" t="s">
        <v>10789</v>
      </c>
      <c r="AD962" s="2" t="s">
        <v>24852</v>
      </c>
      <c r="AE962" s="2" t="s">
        <v>18260</v>
      </c>
      <c r="AF962" s="2"/>
      <c r="AG962" s="2" t="s">
        <v>18250</v>
      </c>
    </row>
    <row r="963" spans="1:33" x14ac:dyDescent="0.45">
      <c r="A963" s="2" t="s">
        <v>24853</v>
      </c>
      <c r="B963" s="2" t="s">
        <v>24854</v>
      </c>
      <c r="C963" s="2" t="s">
        <v>24853</v>
      </c>
      <c r="D963" s="2" t="s">
        <v>24855</v>
      </c>
      <c r="E963" s="2" t="s">
        <v>24856</v>
      </c>
      <c r="F963" s="2" t="s">
        <v>24857</v>
      </c>
      <c r="G963" s="2"/>
      <c r="H963" s="2" t="s">
        <v>10502</v>
      </c>
      <c r="I963" s="2" t="s">
        <v>1112</v>
      </c>
      <c r="J963" s="2" t="s">
        <v>10503</v>
      </c>
      <c r="K963" s="2" t="s">
        <v>24855</v>
      </c>
      <c r="L963" s="2"/>
      <c r="M963" s="2"/>
      <c r="N963" s="2"/>
      <c r="O963" s="2" t="s">
        <v>10502</v>
      </c>
      <c r="P963" s="2" t="s">
        <v>1112</v>
      </c>
      <c r="Q963" s="2" t="s">
        <v>10503</v>
      </c>
      <c r="R963" s="2" t="s">
        <v>5286</v>
      </c>
      <c r="S963" s="2" t="s">
        <v>44</v>
      </c>
      <c r="T963" s="2"/>
      <c r="U963" s="2" t="s">
        <v>3527</v>
      </c>
      <c r="V963" s="2" t="s">
        <v>46</v>
      </c>
      <c r="W963" s="2" t="s">
        <v>3527</v>
      </c>
      <c r="X963" s="2" t="s">
        <v>10787</v>
      </c>
      <c r="Y963" s="2" t="s">
        <v>10801</v>
      </c>
      <c r="Z963" s="2" t="s">
        <v>7864</v>
      </c>
      <c r="AA963" s="2">
        <v>100</v>
      </c>
      <c r="AB963" s="2">
        <v>5</v>
      </c>
      <c r="AC963" s="2" t="s">
        <v>10789</v>
      </c>
      <c r="AD963" s="2" t="s">
        <v>24858</v>
      </c>
      <c r="AE963" s="2" t="s">
        <v>18260</v>
      </c>
      <c r="AF963" s="2"/>
      <c r="AG963" s="2" t="s">
        <v>18250</v>
      </c>
    </row>
    <row r="964" spans="1:33" x14ac:dyDescent="0.45">
      <c r="A964" s="2" t="s">
        <v>3024</v>
      </c>
      <c r="B964" s="2" t="s">
        <v>24859</v>
      </c>
      <c r="C964" s="2" t="s">
        <v>3024</v>
      </c>
      <c r="D964" s="2" t="s">
        <v>24860</v>
      </c>
      <c r="E964" s="2" t="s">
        <v>24861</v>
      </c>
      <c r="F964" s="2"/>
      <c r="G964" s="2"/>
      <c r="H964" s="2" t="s">
        <v>651</v>
      </c>
      <c r="I964" s="2" t="s">
        <v>86</v>
      </c>
      <c r="J964" s="2" t="s">
        <v>3499</v>
      </c>
      <c r="K964" s="2" t="s">
        <v>24860</v>
      </c>
      <c r="L964" s="2"/>
      <c r="M964" s="2"/>
      <c r="N964" s="2"/>
      <c r="O964" s="2" t="s">
        <v>651</v>
      </c>
      <c r="P964" s="2" t="s">
        <v>86</v>
      </c>
      <c r="Q964" s="2" t="s">
        <v>3499</v>
      </c>
      <c r="R964" s="2" t="s">
        <v>4984</v>
      </c>
      <c r="S964" s="2" t="s">
        <v>44</v>
      </c>
      <c r="T964" s="2"/>
      <c r="U964" s="2" t="s">
        <v>3527</v>
      </c>
      <c r="V964" s="2" t="s">
        <v>46</v>
      </c>
      <c r="W964" s="2" t="s">
        <v>3527</v>
      </c>
      <c r="X964" s="2" t="s">
        <v>10787</v>
      </c>
      <c r="Y964" s="2" t="s">
        <v>10801</v>
      </c>
      <c r="Z964" s="2" t="s">
        <v>7864</v>
      </c>
      <c r="AA964" s="2">
        <v>90</v>
      </c>
      <c r="AB964" s="2">
        <v>0</v>
      </c>
      <c r="AC964" s="2" t="s">
        <v>10789</v>
      </c>
      <c r="AD964" s="2" t="s">
        <v>24862</v>
      </c>
      <c r="AE964" s="2" t="s">
        <v>18260</v>
      </c>
      <c r="AF964" s="2"/>
      <c r="AG964" s="2" t="s">
        <v>18250</v>
      </c>
    </row>
    <row r="965" spans="1:33" x14ac:dyDescent="0.45">
      <c r="A965" s="2" t="s">
        <v>24863</v>
      </c>
      <c r="B965" s="2" t="s">
        <v>24864</v>
      </c>
      <c r="C965" s="2" t="s">
        <v>24865</v>
      </c>
      <c r="D965" s="2" t="s">
        <v>24866</v>
      </c>
      <c r="E965" s="2" t="s">
        <v>24867</v>
      </c>
      <c r="F965" s="2" t="s">
        <v>3562</v>
      </c>
      <c r="G965" s="2" t="s">
        <v>3562</v>
      </c>
      <c r="H965" s="2" t="s">
        <v>1269</v>
      </c>
      <c r="I965" s="2" t="s">
        <v>1176</v>
      </c>
      <c r="J965" s="2" t="s">
        <v>1270</v>
      </c>
      <c r="K965" s="2"/>
      <c r="L965" s="2"/>
      <c r="M965" s="2"/>
      <c r="N965" s="2"/>
      <c r="O965" s="2"/>
      <c r="P965" s="2"/>
      <c r="Q965" s="2"/>
      <c r="R965" s="2" t="s">
        <v>792</v>
      </c>
      <c r="S965" s="2" t="s">
        <v>44</v>
      </c>
      <c r="T965" s="2"/>
      <c r="U965" s="2" t="s">
        <v>3527</v>
      </c>
      <c r="V965" s="2" t="s">
        <v>46</v>
      </c>
      <c r="W965" s="2" t="s">
        <v>3527</v>
      </c>
      <c r="X965" s="2" t="s">
        <v>10787</v>
      </c>
      <c r="Y965" s="2" t="s">
        <v>10801</v>
      </c>
      <c r="Z965" s="2" t="s">
        <v>7864</v>
      </c>
      <c r="AA965" s="2">
        <v>100</v>
      </c>
      <c r="AB965" s="2">
        <v>5</v>
      </c>
      <c r="AC965" s="2" t="s">
        <v>10789</v>
      </c>
      <c r="AD965" s="2" t="s">
        <v>24868</v>
      </c>
      <c r="AE965" s="2" t="s">
        <v>18260</v>
      </c>
      <c r="AF965" s="2"/>
      <c r="AG965" s="2" t="s">
        <v>18250</v>
      </c>
    </row>
    <row r="966" spans="1:33" x14ac:dyDescent="0.45">
      <c r="A966" s="2" t="s">
        <v>24869</v>
      </c>
      <c r="B966" s="2" t="s">
        <v>24870</v>
      </c>
      <c r="C966" s="2" t="s">
        <v>24869</v>
      </c>
      <c r="D966" s="2" t="s">
        <v>24871</v>
      </c>
      <c r="E966" s="2" t="s">
        <v>24872</v>
      </c>
      <c r="F966" s="2"/>
      <c r="G966" s="2"/>
      <c r="H966" s="2" t="s">
        <v>11247</v>
      </c>
      <c r="I966" s="2" t="s">
        <v>1137</v>
      </c>
      <c r="J966" s="2" t="s">
        <v>11248</v>
      </c>
      <c r="K966" s="2" t="s">
        <v>24871</v>
      </c>
      <c r="L966" s="2"/>
      <c r="M966" s="2"/>
      <c r="N966" s="2"/>
      <c r="O966" s="2" t="s">
        <v>11247</v>
      </c>
      <c r="P966" s="2" t="s">
        <v>1137</v>
      </c>
      <c r="Q966" s="2" t="s">
        <v>11248</v>
      </c>
      <c r="R966" s="2" t="s">
        <v>7147</v>
      </c>
      <c r="S966" s="2" t="s">
        <v>44</v>
      </c>
      <c r="T966" s="2"/>
      <c r="U966" s="2" t="s">
        <v>3527</v>
      </c>
      <c r="V966" s="2" t="s">
        <v>46</v>
      </c>
      <c r="W966" s="2" t="s">
        <v>3527</v>
      </c>
      <c r="X966" s="2" t="s">
        <v>10787</v>
      </c>
      <c r="Y966" s="2" t="s">
        <v>10801</v>
      </c>
      <c r="Z966" s="2" t="s">
        <v>7864</v>
      </c>
      <c r="AA966" s="2">
        <v>90</v>
      </c>
      <c r="AB966" s="2">
        <v>0</v>
      </c>
      <c r="AC966" s="2" t="s">
        <v>10789</v>
      </c>
      <c r="AD966" s="2" t="s">
        <v>24873</v>
      </c>
      <c r="AE966" s="2" t="s">
        <v>18260</v>
      </c>
      <c r="AF966" s="2"/>
      <c r="AG966" s="2" t="s">
        <v>18250</v>
      </c>
    </row>
    <row r="967" spans="1:33" x14ac:dyDescent="0.45">
      <c r="A967" s="2" t="s">
        <v>24874</v>
      </c>
      <c r="B967" s="2" t="s">
        <v>24875</v>
      </c>
      <c r="C967" s="2" t="s">
        <v>24874</v>
      </c>
      <c r="D967" s="2" t="s">
        <v>24876</v>
      </c>
      <c r="E967" s="2" t="s">
        <v>24877</v>
      </c>
      <c r="F967" s="2"/>
      <c r="G967" s="2"/>
      <c r="H967" s="2" t="s">
        <v>651</v>
      </c>
      <c r="I967" s="2" t="s">
        <v>86</v>
      </c>
      <c r="J967" s="2" t="s">
        <v>16004</v>
      </c>
      <c r="K967" s="2" t="s">
        <v>24876</v>
      </c>
      <c r="L967" s="2"/>
      <c r="M967" s="2"/>
      <c r="N967" s="2"/>
      <c r="O967" s="2" t="s">
        <v>651</v>
      </c>
      <c r="P967" s="2" t="s">
        <v>86</v>
      </c>
      <c r="Q967" s="2" t="s">
        <v>16004</v>
      </c>
      <c r="R967" s="2" t="s">
        <v>16021</v>
      </c>
      <c r="S967" s="2" t="s">
        <v>44</v>
      </c>
      <c r="T967" s="2"/>
      <c r="U967" s="2" t="s">
        <v>3527</v>
      </c>
      <c r="V967" s="2" t="s">
        <v>46</v>
      </c>
      <c r="W967" s="2" t="s">
        <v>3527</v>
      </c>
      <c r="X967" s="2" t="s">
        <v>10787</v>
      </c>
      <c r="Y967" s="2" t="s">
        <v>10801</v>
      </c>
      <c r="Z967" s="2" t="s">
        <v>7864</v>
      </c>
      <c r="AA967" s="2">
        <v>90</v>
      </c>
      <c r="AB967" s="2">
        <v>0</v>
      </c>
      <c r="AC967" s="2" t="s">
        <v>10789</v>
      </c>
      <c r="AD967" s="2" t="s">
        <v>24878</v>
      </c>
      <c r="AE967" s="2" t="s">
        <v>18260</v>
      </c>
      <c r="AF967" s="2"/>
      <c r="AG967" s="2" t="s">
        <v>18250</v>
      </c>
    </row>
    <row r="968" spans="1:33" x14ac:dyDescent="0.45">
      <c r="A968" s="2" t="s">
        <v>24879</v>
      </c>
      <c r="B968" s="2" t="s">
        <v>24880</v>
      </c>
      <c r="C968" s="2" t="s">
        <v>24879</v>
      </c>
      <c r="D968" s="2" t="s">
        <v>24881</v>
      </c>
      <c r="E968" s="2" t="s">
        <v>24882</v>
      </c>
      <c r="F968" s="2" t="s">
        <v>24883</v>
      </c>
      <c r="G968" s="2" t="s">
        <v>24883</v>
      </c>
      <c r="H968" s="2" t="s">
        <v>651</v>
      </c>
      <c r="I968" s="2" t="s">
        <v>86</v>
      </c>
      <c r="J968" s="2" t="s">
        <v>1507</v>
      </c>
      <c r="K968" s="2" t="s">
        <v>24884</v>
      </c>
      <c r="L968" s="2"/>
      <c r="M968" s="2"/>
      <c r="N968" s="2"/>
      <c r="O968" s="2" t="s">
        <v>651</v>
      </c>
      <c r="P968" s="2" t="s">
        <v>86</v>
      </c>
      <c r="Q968" s="2" t="s">
        <v>12119</v>
      </c>
      <c r="R968" s="2" t="s">
        <v>3273</v>
      </c>
      <c r="S968" s="2" t="s">
        <v>44</v>
      </c>
      <c r="T968" s="2"/>
      <c r="U968" s="2" t="s">
        <v>3527</v>
      </c>
      <c r="V968" s="2" t="s">
        <v>46</v>
      </c>
      <c r="W968" s="2" t="s">
        <v>3527</v>
      </c>
      <c r="X968" s="2" t="s">
        <v>10787</v>
      </c>
      <c r="Y968" s="2" t="s">
        <v>10801</v>
      </c>
      <c r="Z968" s="2" t="s">
        <v>7864</v>
      </c>
      <c r="AA968" s="2">
        <v>100</v>
      </c>
      <c r="AB968" s="2">
        <v>10</v>
      </c>
      <c r="AC968" s="2" t="s">
        <v>10789</v>
      </c>
      <c r="AD968" s="2" t="s">
        <v>24885</v>
      </c>
      <c r="AE968" s="2" t="s">
        <v>18260</v>
      </c>
      <c r="AF968" s="2"/>
      <c r="AG968" s="2" t="s">
        <v>18250</v>
      </c>
    </row>
    <row r="969" spans="1:33" x14ac:dyDescent="0.45">
      <c r="A969" s="2" t="s">
        <v>24886</v>
      </c>
      <c r="B969" s="2" t="s">
        <v>24887</v>
      </c>
      <c r="C969" s="2" t="s">
        <v>24888</v>
      </c>
      <c r="D969" s="2" t="s">
        <v>24889</v>
      </c>
      <c r="E969" s="2" t="s">
        <v>24890</v>
      </c>
      <c r="F969" s="2" t="s">
        <v>24891</v>
      </c>
      <c r="G969" s="2"/>
      <c r="H969" s="2" t="s">
        <v>12930</v>
      </c>
      <c r="I969" s="2" t="s">
        <v>73</v>
      </c>
      <c r="J969" s="2" t="s">
        <v>24892</v>
      </c>
      <c r="K969" s="2" t="s">
        <v>24889</v>
      </c>
      <c r="L969" s="2"/>
      <c r="M969" s="2"/>
      <c r="N969" s="2"/>
      <c r="O969" s="2" t="s">
        <v>12930</v>
      </c>
      <c r="P969" s="2" t="s">
        <v>73</v>
      </c>
      <c r="Q969" s="2" t="s">
        <v>24892</v>
      </c>
      <c r="R969" s="2" t="s">
        <v>3083</v>
      </c>
      <c r="S969" s="2" t="s">
        <v>44</v>
      </c>
      <c r="T969" s="2"/>
      <c r="U969" s="2" t="s">
        <v>3527</v>
      </c>
      <c r="V969" s="2" t="s">
        <v>46</v>
      </c>
      <c r="W969" s="2" t="s">
        <v>3527</v>
      </c>
      <c r="X969" s="2" t="s">
        <v>10787</v>
      </c>
      <c r="Y969" s="2" t="s">
        <v>10801</v>
      </c>
      <c r="Z969" s="2" t="s">
        <v>7864</v>
      </c>
      <c r="AA969" s="2">
        <v>100</v>
      </c>
      <c r="AB969" s="2">
        <v>5</v>
      </c>
      <c r="AC969" s="2" t="s">
        <v>10789</v>
      </c>
      <c r="AD969" s="2" t="s">
        <v>24893</v>
      </c>
      <c r="AE969" s="2" t="s">
        <v>18260</v>
      </c>
      <c r="AF969" s="2"/>
      <c r="AG969" s="2" t="s">
        <v>18250</v>
      </c>
    </row>
    <row r="970" spans="1:33" x14ac:dyDescent="0.45">
      <c r="A970" s="2" t="s">
        <v>24894</v>
      </c>
      <c r="B970" s="2" t="s">
        <v>24895</v>
      </c>
      <c r="C970" s="2" t="s">
        <v>24894</v>
      </c>
      <c r="D970" s="2" t="s">
        <v>24896</v>
      </c>
      <c r="E970" s="2" t="s">
        <v>24897</v>
      </c>
      <c r="F970" s="2"/>
      <c r="G970" s="2"/>
      <c r="H970" s="2" t="s">
        <v>59</v>
      </c>
      <c r="I970" s="2" t="s">
        <v>60</v>
      </c>
      <c r="J970" s="2" t="s">
        <v>21698</v>
      </c>
      <c r="K970" s="2" t="s">
        <v>24896</v>
      </c>
      <c r="L970" s="2"/>
      <c r="M970" s="2"/>
      <c r="N970" s="2"/>
      <c r="O970" s="2" t="s">
        <v>59</v>
      </c>
      <c r="P970" s="2" t="s">
        <v>60</v>
      </c>
      <c r="Q970" s="2" t="s">
        <v>21698</v>
      </c>
      <c r="R970" s="2" t="s">
        <v>13275</v>
      </c>
      <c r="S970" s="2" t="s">
        <v>44</v>
      </c>
      <c r="T970" s="2"/>
      <c r="U970" s="2" t="s">
        <v>821</v>
      </c>
      <c r="V970" s="2" t="s">
        <v>46</v>
      </c>
      <c r="W970" s="2" t="s">
        <v>821</v>
      </c>
      <c r="X970" s="2" t="s">
        <v>10787</v>
      </c>
      <c r="Y970" s="2" t="s">
        <v>10801</v>
      </c>
      <c r="Z970" s="2" t="s">
        <v>7864</v>
      </c>
      <c r="AA970" s="2">
        <v>90</v>
      </c>
      <c r="AB970" s="2">
        <v>7</v>
      </c>
      <c r="AC970" s="2" t="s">
        <v>10789</v>
      </c>
      <c r="AD970" s="2" t="s">
        <v>24898</v>
      </c>
      <c r="AE970" s="2" t="s">
        <v>18260</v>
      </c>
      <c r="AF970" s="2"/>
      <c r="AG970" s="2" t="s">
        <v>18250</v>
      </c>
    </row>
    <row r="971" spans="1:33" x14ac:dyDescent="0.45">
      <c r="A971" s="2" t="s">
        <v>24899</v>
      </c>
      <c r="B971" s="2" t="s">
        <v>24900</v>
      </c>
      <c r="C971" s="2" t="s">
        <v>24901</v>
      </c>
      <c r="D971" s="2" t="s">
        <v>24902</v>
      </c>
      <c r="E971" s="2" t="s">
        <v>24903</v>
      </c>
      <c r="F971" s="2" t="s">
        <v>24904</v>
      </c>
      <c r="G971" s="2"/>
      <c r="H971" s="2" t="s">
        <v>72</v>
      </c>
      <c r="I971" s="2" t="s">
        <v>73</v>
      </c>
      <c r="J971" s="2" t="s">
        <v>3419</v>
      </c>
      <c r="K971" s="2" t="s">
        <v>24902</v>
      </c>
      <c r="L971" s="2"/>
      <c r="M971" s="2"/>
      <c r="N971" s="2"/>
      <c r="O971" s="2" t="s">
        <v>72</v>
      </c>
      <c r="P971" s="2" t="s">
        <v>73</v>
      </c>
      <c r="Q971" s="2" t="s">
        <v>3419</v>
      </c>
      <c r="R971" s="2" t="s">
        <v>5286</v>
      </c>
      <c r="S971" s="2" t="s">
        <v>44</v>
      </c>
      <c r="T971" s="2"/>
      <c r="U971" s="2" t="s">
        <v>821</v>
      </c>
      <c r="V971" s="2" t="s">
        <v>199</v>
      </c>
      <c r="W971" s="2" t="s">
        <v>821</v>
      </c>
      <c r="X971" s="2" t="s">
        <v>10787</v>
      </c>
      <c r="Y971" s="2" t="s">
        <v>10801</v>
      </c>
      <c r="Z971" s="2" t="s">
        <v>7864</v>
      </c>
      <c r="AA971" s="2">
        <v>100</v>
      </c>
      <c r="AB971" s="2">
        <v>27</v>
      </c>
      <c r="AC971" s="2" t="s">
        <v>10789</v>
      </c>
      <c r="AD971" s="2" t="s">
        <v>24905</v>
      </c>
      <c r="AE971" s="2" t="s">
        <v>18260</v>
      </c>
      <c r="AF971" s="2"/>
      <c r="AG971" s="2" t="s">
        <v>18250</v>
      </c>
    </row>
    <row r="972" spans="1:33" x14ac:dyDescent="0.45">
      <c r="A972" s="2" t="s">
        <v>24899</v>
      </c>
      <c r="B972" s="2" t="s">
        <v>24906</v>
      </c>
      <c r="C972" s="2" t="s">
        <v>24901</v>
      </c>
      <c r="D972" s="2" t="s">
        <v>24907</v>
      </c>
      <c r="E972" s="2" t="s">
        <v>24903</v>
      </c>
      <c r="F972" s="2" t="s">
        <v>24908</v>
      </c>
      <c r="G972" s="2" t="s">
        <v>24908</v>
      </c>
      <c r="H972" s="2" t="s">
        <v>72</v>
      </c>
      <c r="I972" s="2" t="s">
        <v>73</v>
      </c>
      <c r="J972" s="2" t="s">
        <v>3419</v>
      </c>
      <c r="K972" s="2" t="s">
        <v>24909</v>
      </c>
      <c r="L972" s="2"/>
      <c r="M972" s="2"/>
      <c r="N972" s="2"/>
      <c r="O972" s="2" t="s">
        <v>72</v>
      </c>
      <c r="P972" s="2" t="s">
        <v>73</v>
      </c>
      <c r="Q972" s="2" t="s">
        <v>3419</v>
      </c>
      <c r="R972" s="2" t="s">
        <v>5233</v>
      </c>
      <c r="S972" s="2" t="s">
        <v>44</v>
      </c>
      <c r="T972" s="2"/>
      <c r="U972" s="2" t="s">
        <v>3527</v>
      </c>
      <c r="V972" s="2" t="s">
        <v>199</v>
      </c>
      <c r="W972" s="2" t="s">
        <v>3527</v>
      </c>
      <c r="X972" s="2" t="s">
        <v>10787</v>
      </c>
      <c r="Y972" s="2" t="s">
        <v>10801</v>
      </c>
      <c r="Z972" s="2" t="s">
        <v>7864</v>
      </c>
      <c r="AA972" s="2">
        <v>100</v>
      </c>
      <c r="AB972" s="2">
        <v>20</v>
      </c>
      <c r="AC972" s="2" t="s">
        <v>10789</v>
      </c>
      <c r="AD972" s="2" t="s">
        <v>24905</v>
      </c>
      <c r="AE972" s="2" t="s">
        <v>18260</v>
      </c>
      <c r="AF972" s="2"/>
      <c r="AG972" s="2" t="s">
        <v>18250</v>
      </c>
    </row>
    <row r="973" spans="1:33" x14ac:dyDescent="0.45">
      <c r="A973" s="2" t="s">
        <v>24910</v>
      </c>
      <c r="B973" s="2" t="s">
        <v>24911</v>
      </c>
      <c r="C973" s="2" t="s">
        <v>24912</v>
      </c>
      <c r="D973" s="2" t="s">
        <v>24913</v>
      </c>
      <c r="E973" s="2" t="s">
        <v>24914</v>
      </c>
      <c r="F973" s="2" t="s">
        <v>24915</v>
      </c>
      <c r="G973" s="2"/>
      <c r="H973" s="2" t="s">
        <v>220</v>
      </c>
      <c r="I973" s="2" t="s">
        <v>221</v>
      </c>
      <c r="J973" s="2" t="s">
        <v>24916</v>
      </c>
      <c r="K973" s="2"/>
      <c r="L973" s="2"/>
      <c r="M973" s="2"/>
      <c r="N973" s="2"/>
      <c r="O973" s="2"/>
      <c r="P973" s="2"/>
      <c r="Q973" s="2"/>
      <c r="R973" s="2" t="s">
        <v>10041</v>
      </c>
      <c r="S973" s="2" t="s">
        <v>44</v>
      </c>
      <c r="T973" s="2"/>
      <c r="U973" s="2" t="s">
        <v>3527</v>
      </c>
      <c r="V973" s="2" t="s">
        <v>46</v>
      </c>
      <c r="W973" s="2" t="s">
        <v>3527</v>
      </c>
      <c r="X973" s="2" t="s">
        <v>10787</v>
      </c>
      <c r="Y973" s="2" t="s">
        <v>10801</v>
      </c>
      <c r="Z973" s="2" t="s">
        <v>7864</v>
      </c>
      <c r="AA973" s="2">
        <v>100</v>
      </c>
      <c r="AB973" s="2">
        <v>5</v>
      </c>
      <c r="AC973" s="2" t="s">
        <v>10789</v>
      </c>
      <c r="AD973" s="2" t="s">
        <v>24917</v>
      </c>
      <c r="AE973" s="2" t="s">
        <v>18260</v>
      </c>
      <c r="AF973" s="2"/>
      <c r="AG973" s="2" t="s">
        <v>18250</v>
      </c>
    </row>
    <row r="974" spans="1:33" x14ac:dyDescent="0.45">
      <c r="A974" s="2" t="s">
        <v>18041</v>
      </c>
      <c r="B974" s="2" t="s">
        <v>24918</v>
      </c>
      <c r="C974" s="2" t="s">
        <v>6451</v>
      </c>
      <c r="D974" s="2" t="s">
        <v>24919</v>
      </c>
      <c r="E974" s="2" t="s">
        <v>24920</v>
      </c>
      <c r="F974" s="2"/>
      <c r="G974" s="2"/>
      <c r="H974" s="2" t="s">
        <v>6156</v>
      </c>
      <c r="I974" s="2" t="s">
        <v>217</v>
      </c>
      <c r="J974" s="2" t="s">
        <v>24921</v>
      </c>
      <c r="K974" s="2" t="s">
        <v>24919</v>
      </c>
      <c r="L974" s="2"/>
      <c r="M974" s="2"/>
      <c r="N974" s="2"/>
      <c r="O974" s="2" t="s">
        <v>6156</v>
      </c>
      <c r="P974" s="2" t="s">
        <v>217</v>
      </c>
      <c r="Q974" s="2" t="s">
        <v>24921</v>
      </c>
      <c r="R974" s="2" t="s">
        <v>10712</v>
      </c>
      <c r="S974" s="2" t="s">
        <v>44</v>
      </c>
      <c r="T974" s="2"/>
      <c r="U974" s="2" t="s">
        <v>3527</v>
      </c>
      <c r="V974" s="2" t="s">
        <v>46</v>
      </c>
      <c r="W974" s="2" t="s">
        <v>3527</v>
      </c>
      <c r="X974" s="2" t="s">
        <v>10787</v>
      </c>
      <c r="Y974" s="2" t="s">
        <v>10801</v>
      </c>
      <c r="Z974" s="2" t="s">
        <v>7864</v>
      </c>
      <c r="AA974" s="2">
        <v>90</v>
      </c>
      <c r="AB974" s="2">
        <v>0</v>
      </c>
      <c r="AC974" s="2" t="s">
        <v>10789</v>
      </c>
      <c r="AD974" s="2" t="s">
        <v>24922</v>
      </c>
      <c r="AE974" s="2" t="s">
        <v>18260</v>
      </c>
      <c r="AF974" s="2"/>
      <c r="AG974" s="2" t="s">
        <v>18250</v>
      </c>
    </row>
    <row r="975" spans="1:33" x14ac:dyDescent="0.45">
      <c r="A975" s="2" t="s">
        <v>24923</v>
      </c>
      <c r="B975" s="2" t="s">
        <v>24924</v>
      </c>
      <c r="C975" s="2" t="s">
        <v>24923</v>
      </c>
      <c r="D975" s="2" t="s">
        <v>24925</v>
      </c>
      <c r="E975" s="2" t="s">
        <v>24926</v>
      </c>
      <c r="F975" s="2" t="s">
        <v>24927</v>
      </c>
      <c r="G975" s="2" t="s">
        <v>24927</v>
      </c>
      <c r="H975" s="2" t="s">
        <v>312</v>
      </c>
      <c r="I975" s="2" t="s">
        <v>313</v>
      </c>
      <c r="J975" s="2" t="s">
        <v>11535</v>
      </c>
      <c r="K975" s="2"/>
      <c r="L975" s="2"/>
      <c r="M975" s="2"/>
      <c r="N975" s="2"/>
      <c r="O975" s="2"/>
      <c r="P975" s="2"/>
      <c r="Q975" s="2"/>
      <c r="R975" s="2" t="s">
        <v>6214</v>
      </c>
      <c r="S975" s="2" t="s">
        <v>44</v>
      </c>
      <c r="T975" s="2"/>
      <c r="U975" s="2" t="s">
        <v>3527</v>
      </c>
      <c r="V975" s="2" t="s">
        <v>46</v>
      </c>
      <c r="W975" s="2" t="s">
        <v>3527</v>
      </c>
      <c r="X975" s="2" t="s">
        <v>10787</v>
      </c>
      <c r="Y975" s="2" t="s">
        <v>10801</v>
      </c>
      <c r="Z975" s="2" t="s">
        <v>7864</v>
      </c>
      <c r="AA975" s="2">
        <v>100</v>
      </c>
      <c r="AB975" s="2">
        <v>10</v>
      </c>
      <c r="AC975" s="2" t="s">
        <v>10789</v>
      </c>
      <c r="AD975" s="2" t="s">
        <v>24928</v>
      </c>
      <c r="AE975" s="2" t="s">
        <v>18260</v>
      </c>
      <c r="AF975" s="2"/>
      <c r="AG975" s="2" t="s">
        <v>18250</v>
      </c>
    </row>
    <row r="976" spans="1:33" x14ac:dyDescent="0.45">
      <c r="A976" s="2" t="s">
        <v>24929</v>
      </c>
      <c r="B976" s="2" t="s">
        <v>24930</v>
      </c>
      <c r="C976" s="2" t="s">
        <v>24929</v>
      </c>
      <c r="D976" s="2" t="s">
        <v>24931</v>
      </c>
      <c r="E976" s="2" t="s">
        <v>24932</v>
      </c>
      <c r="F976" s="2"/>
      <c r="G976" s="2"/>
      <c r="H976" s="2" t="s">
        <v>12898</v>
      </c>
      <c r="I976" s="2" t="s">
        <v>73</v>
      </c>
      <c r="J976" s="2" t="s">
        <v>12899</v>
      </c>
      <c r="K976" s="2" t="s">
        <v>24933</v>
      </c>
      <c r="L976" s="2"/>
      <c r="M976" s="2"/>
      <c r="N976" s="2"/>
      <c r="O976" s="2" t="s">
        <v>12898</v>
      </c>
      <c r="P976" s="2" t="s">
        <v>73</v>
      </c>
      <c r="Q976" s="2" t="s">
        <v>24934</v>
      </c>
      <c r="R976" s="2" t="s">
        <v>24935</v>
      </c>
      <c r="S976" s="2" t="s">
        <v>44</v>
      </c>
      <c r="T976" s="2"/>
      <c r="U976" s="2" t="s">
        <v>3527</v>
      </c>
      <c r="V976" s="2" t="s">
        <v>46</v>
      </c>
      <c r="W976" s="2" t="s">
        <v>3527</v>
      </c>
      <c r="X976" s="2" t="s">
        <v>10787</v>
      </c>
      <c r="Y976" s="2" t="s">
        <v>10801</v>
      </c>
      <c r="Z976" s="2" t="s">
        <v>7864</v>
      </c>
      <c r="AA976" s="2">
        <v>90</v>
      </c>
      <c r="AB976" s="2">
        <v>0</v>
      </c>
      <c r="AC976" s="2" t="s">
        <v>10789</v>
      </c>
      <c r="AD976" s="2" t="s">
        <v>24936</v>
      </c>
      <c r="AE976" s="2" t="s">
        <v>18260</v>
      </c>
      <c r="AF976" s="2"/>
      <c r="AG976" s="2" t="s">
        <v>18250</v>
      </c>
    </row>
    <row r="977" spans="1:33" x14ac:dyDescent="0.45">
      <c r="A977" s="2" t="s">
        <v>24937</v>
      </c>
      <c r="B977" s="2" t="s">
        <v>24938</v>
      </c>
      <c r="C977" s="2" t="s">
        <v>24939</v>
      </c>
      <c r="D977" s="2" t="s">
        <v>24940</v>
      </c>
      <c r="E977" s="2" t="s">
        <v>24941</v>
      </c>
      <c r="F977" s="2" t="s">
        <v>24942</v>
      </c>
      <c r="G977" s="2"/>
      <c r="H977" s="2" t="s">
        <v>59</v>
      </c>
      <c r="I977" s="2" t="s">
        <v>60</v>
      </c>
      <c r="J977" s="2" t="s">
        <v>1589</v>
      </c>
      <c r="K977" s="2" t="s">
        <v>24940</v>
      </c>
      <c r="L977" s="2"/>
      <c r="M977" s="2"/>
      <c r="N977" s="2"/>
      <c r="O977" s="2" t="s">
        <v>59</v>
      </c>
      <c r="P977" s="2" t="s">
        <v>60</v>
      </c>
      <c r="Q977" s="2" t="s">
        <v>1589</v>
      </c>
      <c r="R977" s="2" t="s">
        <v>24943</v>
      </c>
      <c r="S977" s="2" t="s">
        <v>44</v>
      </c>
      <c r="T977" s="2"/>
      <c r="U977" s="2" t="s">
        <v>3527</v>
      </c>
      <c r="V977" s="2" t="s">
        <v>46</v>
      </c>
      <c r="W977" s="2" t="s">
        <v>3527</v>
      </c>
      <c r="X977" s="2" t="s">
        <v>10787</v>
      </c>
      <c r="Y977" s="2" t="s">
        <v>10801</v>
      </c>
      <c r="Z977" s="2" t="s">
        <v>7864</v>
      </c>
      <c r="AA977" s="2">
        <v>100</v>
      </c>
      <c r="AB977" s="2">
        <v>10</v>
      </c>
      <c r="AC977" s="2" t="s">
        <v>10789</v>
      </c>
      <c r="AD977" s="2" t="s">
        <v>24944</v>
      </c>
      <c r="AE977" s="2" t="s">
        <v>18260</v>
      </c>
      <c r="AF977" s="2"/>
      <c r="AG977" s="2" t="s">
        <v>18250</v>
      </c>
    </row>
    <row r="978" spans="1:33" x14ac:dyDescent="0.45">
      <c r="A978" s="2" t="s">
        <v>24945</v>
      </c>
      <c r="B978" s="2" t="s">
        <v>24946</v>
      </c>
      <c r="C978" s="2" t="s">
        <v>24947</v>
      </c>
      <c r="D978" s="2" t="s">
        <v>24948</v>
      </c>
      <c r="E978" s="2" t="s">
        <v>24949</v>
      </c>
      <c r="F978" s="2" t="s">
        <v>24950</v>
      </c>
      <c r="G978" s="2" t="s">
        <v>24950</v>
      </c>
      <c r="H978" s="2" t="s">
        <v>1023</v>
      </c>
      <c r="I978" s="2" t="s">
        <v>73</v>
      </c>
      <c r="J978" s="2" t="s">
        <v>8190</v>
      </c>
      <c r="K978" s="2" t="s">
        <v>24951</v>
      </c>
      <c r="L978" s="2"/>
      <c r="M978" s="2"/>
      <c r="N978" s="2"/>
      <c r="O978" s="2" t="s">
        <v>1023</v>
      </c>
      <c r="P978" s="2" t="s">
        <v>73</v>
      </c>
      <c r="Q978" s="2" t="s">
        <v>8190</v>
      </c>
      <c r="R978" s="2" t="s">
        <v>21521</v>
      </c>
      <c r="S978" s="2" t="s">
        <v>44</v>
      </c>
      <c r="T978" s="2"/>
      <c r="U978" s="2" t="s">
        <v>821</v>
      </c>
      <c r="V978" s="2" t="s">
        <v>46</v>
      </c>
      <c r="W978" s="2" t="s">
        <v>821</v>
      </c>
      <c r="X978" s="2" t="s">
        <v>10787</v>
      </c>
      <c r="Y978" s="2" t="s">
        <v>10801</v>
      </c>
      <c r="Z978" s="2" t="s">
        <v>7864</v>
      </c>
      <c r="AA978" s="2">
        <v>100</v>
      </c>
      <c r="AB978" s="2">
        <v>17</v>
      </c>
      <c r="AC978" s="2" t="s">
        <v>10789</v>
      </c>
      <c r="AD978" s="2" t="s">
        <v>24952</v>
      </c>
      <c r="AE978" s="2" t="s">
        <v>18260</v>
      </c>
      <c r="AF978" s="2"/>
      <c r="AG978" s="2" t="s">
        <v>18250</v>
      </c>
    </row>
    <row r="979" spans="1:33" x14ac:dyDescent="0.45">
      <c r="A979" s="2" t="s">
        <v>24953</v>
      </c>
      <c r="B979" s="2" t="s">
        <v>24954</v>
      </c>
      <c r="C979" s="2" t="s">
        <v>24953</v>
      </c>
      <c r="D979" s="2" t="s">
        <v>24955</v>
      </c>
      <c r="E979" s="2" t="s">
        <v>24956</v>
      </c>
      <c r="F979" s="2" t="s">
        <v>24957</v>
      </c>
      <c r="G979" s="2" t="s">
        <v>24957</v>
      </c>
      <c r="H979" s="2" t="s">
        <v>10776</v>
      </c>
      <c r="I979" s="2" t="s">
        <v>313</v>
      </c>
      <c r="J979" s="2" t="s">
        <v>24958</v>
      </c>
      <c r="K979" s="2" t="s">
        <v>24955</v>
      </c>
      <c r="L979" s="2"/>
      <c r="M979" s="2"/>
      <c r="N979" s="2"/>
      <c r="O979" s="2" t="s">
        <v>10776</v>
      </c>
      <c r="P979" s="2" t="s">
        <v>313</v>
      </c>
      <c r="Q979" s="2" t="s">
        <v>24958</v>
      </c>
      <c r="R979" s="2" t="s">
        <v>6685</v>
      </c>
      <c r="S979" s="2" t="s">
        <v>44</v>
      </c>
      <c r="T979" s="2"/>
      <c r="U979" s="2" t="s">
        <v>3527</v>
      </c>
      <c r="V979" s="2" t="s">
        <v>46</v>
      </c>
      <c r="W979" s="2" t="s">
        <v>3527</v>
      </c>
      <c r="X979" s="2" t="s">
        <v>10787</v>
      </c>
      <c r="Y979" s="2" t="s">
        <v>10801</v>
      </c>
      <c r="Z979" s="2" t="s">
        <v>7864</v>
      </c>
      <c r="AA979" s="2">
        <v>100</v>
      </c>
      <c r="AB979" s="2">
        <v>5</v>
      </c>
      <c r="AC979" s="2" t="s">
        <v>10789</v>
      </c>
      <c r="AD979" s="2" t="s">
        <v>24959</v>
      </c>
      <c r="AE979" s="2" t="s">
        <v>18260</v>
      </c>
      <c r="AF979" s="2"/>
      <c r="AG979" s="2" t="s">
        <v>18250</v>
      </c>
    </row>
    <row r="980" spans="1:33" x14ac:dyDescent="0.45">
      <c r="A980" s="2" t="s">
        <v>24960</v>
      </c>
      <c r="B980" s="2" t="s">
        <v>24961</v>
      </c>
      <c r="C980" s="2" t="s">
        <v>24960</v>
      </c>
      <c r="D980" s="2" t="s">
        <v>24962</v>
      </c>
      <c r="E980" s="2" t="s">
        <v>24963</v>
      </c>
      <c r="F980" s="2" t="s">
        <v>24964</v>
      </c>
      <c r="G980" s="2" t="s">
        <v>24964</v>
      </c>
      <c r="H980" s="2" t="s">
        <v>18538</v>
      </c>
      <c r="I980" s="2" t="s">
        <v>8496</v>
      </c>
      <c r="J980" s="2" t="s">
        <v>24965</v>
      </c>
      <c r="K980" s="2" t="s">
        <v>24962</v>
      </c>
      <c r="L980" s="2"/>
      <c r="M980" s="2"/>
      <c r="N980" s="2"/>
      <c r="O980" s="2" t="s">
        <v>18538</v>
      </c>
      <c r="P980" s="2" t="s">
        <v>8496</v>
      </c>
      <c r="Q980" s="2" t="s">
        <v>24965</v>
      </c>
      <c r="R980" s="2" t="s">
        <v>5785</v>
      </c>
      <c r="S980" s="2" t="s">
        <v>44</v>
      </c>
      <c r="T980" s="2"/>
      <c r="U980" s="2" t="s">
        <v>3527</v>
      </c>
      <c r="V980" s="2" t="s">
        <v>46</v>
      </c>
      <c r="W980" s="2" t="s">
        <v>3527</v>
      </c>
      <c r="X980" s="2" t="s">
        <v>10787</v>
      </c>
      <c r="Y980" s="2" t="s">
        <v>10801</v>
      </c>
      <c r="Z980" s="2" t="s">
        <v>7864</v>
      </c>
      <c r="AA980" s="2">
        <v>100</v>
      </c>
      <c r="AB980" s="2">
        <v>5</v>
      </c>
      <c r="AC980" s="2" t="s">
        <v>10789</v>
      </c>
      <c r="AD980" s="2" t="s">
        <v>24966</v>
      </c>
      <c r="AE980" s="2" t="s">
        <v>18260</v>
      </c>
      <c r="AF980" s="2"/>
      <c r="AG980" s="2" t="s">
        <v>18250</v>
      </c>
    </row>
    <row r="981" spans="1:33" x14ac:dyDescent="0.45">
      <c r="A981" s="2" t="s">
        <v>24967</v>
      </c>
      <c r="B981" s="2" t="s">
        <v>24968</v>
      </c>
      <c r="C981" s="2" t="s">
        <v>24967</v>
      </c>
      <c r="D981" s="2" t="s">
        <v>24969</v>
      </c>
      <c r="E981" s="2" t="s">
        <v>24970</v>
      </c>
      <c r="F981" s="2" t="s">
        <v>24971</v>
      </c>
      <c r="G981" s="2" t="s">
        <v>24971</v>
      </c>
      <c r="H981" s="2" t="s">
        <v>1188</v>
      </c>
      <c r="I981" s="2" t="s">
        <v>221</v>
      </c>
      <c r="J981" s="2" t="s">
        <v>1189</v>
      </c>
      <c r="K981" s="2" t="s">
        <v>24969</v>
      </c>
      <c r="L981" s="2"/>
      <c r="M981" s="2"/>
      <c r="N981" s="2"/>
      <c r="O981" s="2" t="s">
        <v>1188</v>
      </c>
      <c r="P981" s="2" t="s">
        <v>221</v>
      </c>
      <c r="Q981" s="2" t="s">
        <v>1189</v>
      </c>
      <c r="R981" s="2" t="s">
        <v>11138</v>
      </c>
      <c r="S981" s="2" t="s">
        <v>44</v>
      </c>
      <c r="T981" s="2"/>
      <c r="U981" s="2" t="s">
        <v>3527</v>
      </c>
      <c r="V981" s="2" t="s">
        <v>46</v>
      </c>
      <c r="W981" s="2" t="s">
        <v>3527</v>
      </c>
      <c r="X981" s="2" t="s">
        <v>10787</v>
      </c>
      <c r="Y981" s="2" t="s">
        <v>10801</v>
      </c>
      <c r="Z981" s="2" t="s">
        <v>7864</v>
      </c>
      <c r="AA981" s="2">
        <v>100</v>
      </c>
      <c r="AB981" s="2">
        <v>10</v>
      </c>
      <c r="AC981" s="2" t="s">
        <v>10789</v>
      </c>
      <c r="AD981" s="2" t="s">
        <v>24972</v>
      </c>
      <c r="AE981" s="2" t="s">
        <v>18260</v>
      </c>
      <c r="AF981" s="2"/>
      <c r="AG981" s="2" t="s">
        <v>18250</v>
      </c>
    </row>
    <row r="982" spans="1:33" x14ac:dyDescent="0.45">
      <c r="A982" s="2" t="s">
        <v>24973</v>
      </c>
      <c r="B982" s="2" t="s">
        <v>24974</v>
      </c>
      <c r="C982" s="2" t="s">
        <v>24973</v>
      </c>
      <c r="D982" s="2" t="s">
        <v>24975</v>
      </c>
      <c r="E982" s="2" t="s">
        <v>24976</v>
      </c>
      <c r="F982" s="2" t="s">
        <v>24977</v>
      </c>
      <c r="G982" s="2"/>
      <c r="H982" s="2" t="s">
        <v>174</v>
      </c>
      <c r="I982" s="2" t="s">
        <v>175</v>
      </c>
      <c r="J982" s="2" t="s">
        <v>23225</v>
      </c>
      <c r="K982" s="2" t="s">
        <v>24975</v>
      </c>
      <c r="L982" s="2"/>
      <c r="M982" s="2"/>
      <c r="N982" s="2"/>
      <c r="O982" s="2" t="s">
        <v>174</v>
      </c>
      <c r="P982" s="2" t="s">
        <v>175</v>
      </c>
      <c r="Q982" s="2" t="s">
        <v>23225</v>
      </c>
      <c r="R982" s="2" t="s">
        <v>5261</v>
      </c>
      <c r="S982" s="2" t="s">
        <v>44</v>
      </c>
      <c r="T982" s="2"/>
      <c r="U982" s="2" t="s">
        <v>3527</v>
      </c>
      <c r="V982" s="2" t="s">
        <v>46</v>
      </c>
      <c r="W982" s="2" t="s">
        <v>3527</v>
      </c>
      <c r="X982" s="2" t="s">
        <v>10787</v>
      </c>
      <c r="Y982" s="2" t="s">
        <v>10801</v>
      </c>
      <c r="Z982" s="2" t="s">
        <v>7864</v>
      </c>
      <c r="AA982" s="2">
        <v>100</v>
      </c>
      <c r="AB982" s="2">
        <v>10</v>
      </c>
      <c r="AC982" s="2" t="s">
        <v>10789</v>
      </c>
      <c r="AD982" s="2" t="s">
        <v>24978</v>
      </c>
      <c r="AE982" s="2" t="s">
        <v>18260</v>
      </c>
      <c r="AF982" s="2"/>
      <c r="AG982" s="2" t="s">
        <v>18250</v>
      </c>
    </row>
    <row r="983" spans="1:33" x14ac:dyDescent="0.45">
      <c r="A983" s="2" t="s">
        <v>24979</v>
      </c>
      <c r="B983" s="2" t="s">
        <v>24980</v>
      </c>
      <c r="C983" s="2" t="s">
        <v>24979</v>
      </c>
      <c r="D983" s="2" t="s">
        <v>24981</v>
      </c>
      <c r="E983" s="2" t="s">
        <v>24982</v>
      </c>
      <c r="F983" s="2" t="s">
        <v>24983</v>
      </c>
      <c r="G983" s="2" t="s">
        <v>24983</v>
      </c>
      <c r="H983" s="2" t="s">
        <v>5984</v>
      </c>
      <c r="I983" s="2" t="s">
        <v>313</v>
      </c>
      <c r="J983" s="2" t="s">
        <v>12678</v>
      </c>
      <c r="K983" s="2" t="s">
        <v>24981</v>
      </c>
      <c r="L983" s="2"/>
      <c r="M983" s="2"/>
      <c r="N983" s="2"/>
      <c r="O983" s="2" t="s">
        <v>5984</v>
      </c>
      <c r="P983" s="2" t="s">
        <v>313</v>
      </c>
      <c r="Q983" s="2" t="s">
        <v>12678</v>
      </c>
      <c r="R983" s="2" t="s">
        <v>6685</v>
      </c>
      <c r="S983" s="2" t="s">
        <v>44</v>
      </c>
      <c r="T983" s="2"/>
      <c r="U983" s="2" t="s">
        <v>3527</v>
      </c>
      <c r="V983" s="2" t="s">
        <v>46</v>
      </c>
      <c r="W983" s="2" t="s">
        <v>3527</v>
      </c>
      <c r="X983" s="2" t="s">
        <v>10787</v>
      </c>
      <c r="Y983" s="2" t="s">
        <v>10801</v>
      </c>
      <c r="Z983" s="2" t="s">
        <v>7864</v>
      </c>
      <c r="AA983" s="2">
        <v>100</v>
      </c>
      <c r="AB983" s="2">
        <v>5</v>
      </c>
      <c r="AC983" s="2" t="s">
        <v>10789</v>
      </c>
      <c r="AD983" s="2" t="s">
        <v>24984</v>
      </c>
      <c r="AE983" s="2" t="s">
        <v>18260</v>
      </c>
      <c r="AF983" s="2"/>
      <c r="AG983" s="2" t="s">
        <v>18250</v>
      </c>
    </row>
    <row r="984" spans="1:33" x14ac:dyDescent="0.45">
      <c r="A984" s="2" t="s">
        <v>24985</v>
      </c>
      <c r="B984" s="2" t="s">
        <v>24986</v>
      </c>
      <c r="C984" s="2" t="s">
        <v>24987</v>
      </c>
      <c r="D984" s="2" t="s">
        <v>24988</v>
      </c>
      <c r="E984" s="2" t="s">
        <v>24989</v>
      </c>
      <c r="F984" s="2" t="s">
        <v>24990</v>
      </c>
      <c r="G984" s="2"/>
      <c r="H984" s="2" t="s">
        <v>72</v>
      </c>
      <c r="I984" s="2" t="s">
        <v>73</v>
      </c>
      <c r="J984" s="2" t="s">
        <v>7553</v>
      </c>
      <c r="K984" s="2" t="s">
        <v>24991</v>
      </c>
      <c r="L984" s="2"/>
      <c r="M984" s="2"/>
      <c r="N984" s="2"/>
      <c r="O984" s="2" t="s">
        <v>72</v>
      </c>
      <c r="P984" s="2" t="s">
        <v>73</v>
      </c>
      <c r="Q984" s="2" t="s">
        <v>7553</v>
      </c>
      <c r="R984" s="2" t="s">
        <v>8298</v>
      </c>
      <c r="S984" s="2" t="s">
        <v>44</v>
      </c>
      <c r="T984" s="2"/>
      <c r="U984" s="2" t="s">
        <v>3527</v>
      </c>
      <c r="V984" s="2" t="s">
        <v>46</v>
      </c>
      <c r="W984" s="2" t="s">
        <v>3527</v>
      </c>
      <c r="X984" s="2" t="s">
        <v>11537</v>
      </c>
      <c r="Y984" s="2" t="s">
        <v>10801</v>
      </c>
      <c r="Z984" s="2" t="s">
        <v>7864</v>
      </c>
      <c r="AA984" s="2">
        <v>100</v>
      </c>
      <c r="AB984" s="2">
        <v>10</v>
      </c>
      <c r="AC984" s="2" t="s">
        <v>10789</v>
      </c>
      <c r="AD984" s="2" t="s">
        <v>24992</v>
      </c>
      <c r="AE984" s="2" t="s">
        <v>18260</v>
      </c>
      <c r="AF984" s="2"/>
      <c r="AG984" s="2" t="s">
        <v>18250</v>
      </c>
    </row>
    <row r="985" spans="1:33" x14ac:dyDescent="0.45">
      <c r="A985" s="2" t="s">
        <v>24993</v>
      </c>
      <c r="B985" s="2" t="s">
        <v>24994</v>
      </c>
      <c r="C985" s="2" t="s">
        <v>24993</v>
      </c>
      <c r="D985" s="2" t="s">
        <v>24995</v>
      </c>
      <c r="E985" s="2" t="s">
        <v>24996</v>
      </c>
      <c r="F985" s="2"/>
      <c r="G985" s="2"/>
      <c r="H985" s="2" t="s">
        <v>651</v>
      </c>
      <c r="I985" s="2" t="s">
        <v>86</v>
      </c>
      <c r="J985" s="2" t="s">
        <v>16567</v>
      </c>
      <c r="K985" s="2" t="s">
        <v>24995</v>
      </c>
      <c r="L985" s="2"/>
      <c r="M985" s="2"/>
      <c r="N985" s="2"/>
      <c r="O985" s="2" t="s">
        <v>651</v>
      </c>
      <c r="P985" s="2" t="s">
        <v>86</v>
      </c>
      <c r="Q985" s="2" t="s">
        <v>16567</v>
      </c>
      <c r="R985" s="2" t="s">
        <v>10303</v>
      </c>
      <c r="S985" s="2" t="s">
        <v>44</v>
      </c>
      <c r="T985" s="2"/>
      <c r="U985" s="2" t="s">
        <v>3527</v>
      </c>
      <c r="V985" s="2" t="s">
        <v>46</v>
      </c>
      <c r="W985" s="2" t="s">
        <v>3527</v>
      </c>
      <c r="X985" s="2" t="s">
        <v>10787</v>
      </c>
      <c r="Y985" s="2" t="s">
        <v>10801</v>
      </c>
      <c r="Z985" s="2" t="s">
        <v>7864</v>
      </c>
      <c r="AA985" s="2">
        <v>90</v>
      </c>
      <c r="AB985" s="2">
        <v>0</v>
      </c>
      <c r="AC985" s="2" t="s">
        <v>10789</v>
      </c>
      <c r="AD985" s="2" t="s">
        <v>24997</v>
      </c>
      <c r="AE985" s="2" t="s">
        <v>18260</v>
      </c>
      <c r="AF985" s="2"/>
      <c r="AG985" s="2" t="s">
        <v>18250</v>
      </c>
    </row>
    <row r="986" spans="1:33" x14ac:dyDescent="0.45">
      <c r="A986" s="2" t="s">
        <v>24998</v>
      </c>
      <c r="B986" s="2" t="s">
        <v>24999</v>
      </c>
      <c r="C986" s="2" t="s">
        <v>24998</v>
      </c>
      <c r="D986" s="2" t="s">
        <v>25000</v>
      </c>
      <c r="E986" s="2" t="s">
        <v>25001</v>
      </c>
      <c r="F986" s="2"/>
      <c r="G986" s="2"/>
      <c r="H986" s="2" t="s">
        <v>85</v>
      </c>
      <c r="I986" s="2" t="s">
        <v>86</v>
      </c>
      <c r="J986" s="2" t="s">
        <v>24278</v>
      </c>
      <c r="K986" s="2" t="s">
        <v>25000</v>
      </c>
      <c r="L986" s="2"/>
      <c r="M986" s="2"/>
      <c r="N986" s="2"/>
      <c r="O986" s="2" t="s">
        <v>85</v>
      </c>
      <c r="P986" s="2" t="s">
        <v>86</v>
      </c>
      <c r="Q986" s="2" t="s">
        <v>24278</v>
      </c>
      <c r="R986" s="2" t="s">
        <v>22094</v>
      </c>
      <c r="S986" s="2" t="s">
        <v>44</v>
      </c>
      <c r="T986" s="2"/>
      <c r="U986" s="2" t="s">
        <v>821</v>
      </c>
      <c r="V986" s="2" t="s">
        <v>46</v>
      </c>
      <c r="W986" s="2" t="s">
        <v>821</v>
      </c>
      <c r="X986" s="2" t="s">
        <v>10787</v>
      </c>
      <c r="Y986" s="2" t="s">
        <v>10801</v>
      </c>
      <c r="Z986" s="2" t="s">
        <v>7864</v>
      </c>
      <c r="AA986" s="2">
        <v>90</v>
      </c>
      <c r="AB986" s="2">
        <v>7</v>
      </c>
      <c r="AC986" s="2" t="s">
        <v>10789</v>
      </c>
      <c r="AD986" s="2" t="s">
        <v>25002</v>
      </c>
      <c r="AE986" s="2" t="s">
        <v>18260</v>
      </c>
      <c r="AF986" s="2"/>
      <c r="AG986" s="2" t="s">
        <v>18250</v>
      </c>
    </row>
    <row r="987" spans="1:33" x14ac:dyDescent="0.45">
      <c r="A987" s="2" t="s">
        <v>25003</v>
      </c>
      <c r="B987" s="2" t="s">
        <v>25004</v>
      </c>
      <c r="C987" s="2" t="s">
        <v>25003</v>
      </c>
      <c r="D987" s="2" t="s">
        <v>25005</v>
      </c>
      <c r="E987" s="2" t="s">
        <v>25006</v>
      </c>
      <c r="F987" s="2" t="s">
        <v>25007</v>
      </c>
      <c r="G987" s="2"/>
      <c r="H987" s="2" t="s">
        <v>8599</v>
      </c>
      <c r="I987" s="2" t="s">
        <v>40</v>
      </c>
      <c r="J987" s="2" t="s">
        <v>25008</v>
      </c>
      <c r="K987" s="2"/>
      <c r="L987" s="2"/>
      <c r="M987" s="2"/>
      <c r="N987" s="2"/>
      <c r="O987" s="2"/>
      <c r="P987" s="2"/>
      <c r="Q987" s="2"/>
      <c r="R987" s="2" t="s">
        <v>25009</v>
      </c>
      <c r="S987" s="2" t="s">
        <v>44</v>
      </c>
      <c r="T987" s="2"/>
      <c r="U987" s="2" t="s">
        <v>3527</v>
      </c>
      <c r="V987" s="2" t="s">
        <v>46</v>
      </c>
      <c r="W987" s="2" t="s">
        <v>3527</v>
      </c>
      <c r="X987" s="2" t="s">
        <v>10787</v>
      </c>
      <c r="Y987" s="2" t="s">
        <v>10801</v>
      </c>
      <c r="Z987" s="2" t="s">
        <v>7864</v>
      </c>
      <c r="AA987" s="2">
        <v>100</v>
      </c>
      <c r="AB987" s="2">
        <v>5</v>
      </c>
      <c r="AC987" s="2" t="s">
        <v>10789</v>
      </c>
      <c r="AD987" s="2" t="s">
        <v>25010</v>
      </c>
      <c r="AE987" s="2" t="s">
        <v>18260</v>
      </c>
      <c r="AF987" s="2"/>
      <c r="AG987" s="2" t="s">
        <v>18250</v>
      </c>
    </row>
    <row r="988" spans="1:33" x14ac:dyDescent="0.45">
      <c r="A988" s="2" t="s">
        <v>25011</v>
      </c>
      <c r="B988" s="2" t="s">
        <v>25012</v>
      </c>
      <c r="C988" s="2" t="s">
        <v>25011</v>
      </c>
      <c r="D988" s="2" t="s">
        <v>25013</v>
      </c>
      <c r="E988" s="2" t="s">
        <v>25014</v>
      </c>
      <c r="F988" s="2" t="s">
        <v>3562</v>
      </c>
      <c r="G988" s="2" t="s">
        <v>3562</v>
      </c>
      <c r="H988" s="2" t="s">
        <v>216</v>
      </c>
      <c r="I988" s="2" t="s">
        <v>217</v>
      </c>
      <c r="J988" s="2" t="s">
        <v>25015</v>
      </c>
      <c r="K988" s="2"/>
      <c r="L988" s="2"/>
      <c r="M988" s="2"/>
      <c r="N988" s="2"/>
      <c r="O988" s="2"/>
      <c r="P988" s="2"/>
      <c r="Q988" s="2"/>
      <c r="R988" s="2" t="s">
        <v>792</v>
      </c>
      <c r="S988" s="2" t="s">
        <v>44</v>
      </c>
      <c r="T988" s="2"/>
      <c r="U988" s="2" t="s">
        <v>3527</v>
      </c>
      <c r="V988" s="2" t="s">
        <v>46</v>
      </c>
      <c r="W988" s="2" t="s">
        <v>3527</v>
      </c>
      <c r="X988" s="2" t="s">
        <v>10787</v>
      </c>
      <c r="Y988" s="2" t="s">
        <v>10801</v>
      </c>
      <c r="Z988" s="2" t="s">
        <v>7864</v>
      </c>
      <c r="AA988" s="2">
        <v>100</v>
      </c>
      <c r="AB988" s="2">
        <v>10</v>
      </c>
      <c r="AC988" s="2" t="s">
        <v>10789</v>
      </c>
      <c r="AD988" s="2" t="s">
        <v>25016</v>
      </c>
      <c r="AE988" s="2" t="s">
        <v>18260</v>
      </c>
      <c r="AF988" s="2"/>
      <c r="AG988" s="2" t="s">
        <v>18250</v>
      </c>
    </row>
    <row r="989" spans="1:33" x14ac:dyDescent="0.45">
      <c r="A989" s="2" t="s">
        <v>25017</v>
      </c>
      <c r="B989" s="2" t="s">
        <v>25018</v>
      </c>
      <c r="C989" s="2" t="s">
        <v>25017</v>
      </c>
      <c r="D989" s="2" t="s">
        <v>25019</v>
      </c>
      <c r="E989" s="2" t="s">
        <v>25020</v>
      </c>
      <c r="F989" s="2"/>
      <c r="G989" s="2"/>
      <c r="H989" s="2" t="s">
        <v>39</v>
      </c>
      <c r="I989" s="2" t="s">
        <v>40</v>
      </c>
      <c r="J989" s="2" t="s">
        <v>5621</v>
      </c>
      <c r="K989" s="2" t="s">
        <v>25019</v>
      </c>
      <c r="L989" s="2"/>
      <c r="M989" s="2"/>
      <c r="N989" s="2"/>
      <c r="O989" s="2" t="s">
        <v>39</v>
      </c>
      <c r="P989" s="2" t="s">
        <v>40</v>
      </c>
      <c r="Q989" s="2" t="s">
        <v>5621</v>
      </c>
      <c r="R989" s="2" t="s">
        <v>25021</v>
      </c>
      <c r="S989" s="2" t="s">
        <v>44</v>
      </c>
      <c r="T989" s="2"/>
      <c r="U989" s="2" t="s">
        <v>821</v>
      </c>
      <c r="V989" s="2" t="s">
        <v>46</v>
      </c>
      <c r="W989" s="2" t="s">
        <v>821</v>
      </c>
      <c r="X989" s="2" t="s">
        <v>11537</v>
      </c>
      <c r="Y989" s="2" t="s">
        <v>10801</v>
      </c>
      <c r="Z989" s="2" t="s">
        <v>7864</v>
      </c>
      <c r="AA989" s="2">
        <v>90</v>
      </c>
      <c r="AB989" s="2">
        <v>7</v>
      </c>
      <c r="AC989" s="2" t="s">
        <v>10789</v>
      </c>
      <c r="AD989" s="2" t="s">
        <v>25022</v>
      </c>
      <c r="AE989" s="2" t="s">
        <v>18260</v>
      </c>
      <c r="AF989" s="2"/>
      <c r="AG989" s="2" t="s">
        <v>18250</v>
      </c>
    </row>
    <row r="990" spans="1:33" x14ac:dyDescent="0.45">
      <c r="A990" s="2" t="s">
        <v>25023</v>
      </c>
      <c r="B990" s="2" t="s">
        <v>25024</v>
      </c>
      <c r="C990" s="2" t="s">
        <v>25025</v>
      </c>
      <c r="D990" s="2" t="s">
        <v>25026</v>
      </c>
      <c r="E990" s="2" t="s">
        <v>25027</v>
      </c>
      <c r="F990" s="2" t="s">
        <v>25028</v>
      </c>
      <c r="G990" s="2"/>
      <c r="H990" s="2" t="s">
        <v>1023</v>
      </c>
      <c r="I990" s="2" t="s">
        <v>73</v>
      </c>
      <c r="J990" s="2" t="s">
        <v>25029</v>
      </c>
      <c r="K990" s="2" t="s">
        <v>25026</v>
      </c>
      <c r="L990" s="2"/>
      <c r="M990" s="2"/>
      <c r="N990" s="2"/>
      <c r="O990" s="2" t="s">
        <v>1023</v>
      </c>
      <c r="P990" s="2" t="s">
        <v>73</v>
      </c>
      <c r="Q990" s="2" t="s">
        <v>25029</v>
      </c>
      <c r="R990" s="2" t="s">
        <v>11776</v>
      </c>
      <c r="S990" s="2" t="s">
        <v>44</v>
      </c>
      <c r="T990" s="2"/>
      <c r="U990" s="2" t="s">
        <v>3527</v>
      </c>
      <c r="V990" s="2" t="s">
        <v>46</v>
      </c>
      <c r="W990" s="2" t="s">
        <v>3527</v>
      </c>
      <c r="X990" s="2" t="s">
        <v>10787</v>
      </c>
      <c r="Y990" s="2" t="s">
        <v>10801</v>
      </c>
      <c r="Z990" s="2" t="s">
        <v>7864</v>
      </c>
      <c r="AA990" s="2">
        <v>100</v>
      </c>
      <c r="AB990" s="2">
        <v>10</v>
      </c>
      <c r="AC990" s="2" t="s">
        <v>10789</v>
      </c>
      <c r="AD990" s="2" t="s">
        <v>25030</v>
      </c>
      <c r="AE990" s="2" t="s">
        <v>18260</v>
      </c>
      <c r="AF990" s="2"/>
      <c r="AG990" s="2" t="s">
        <v>18250</v>
      </c>
    </row>
    <row r="991" spans="1:33" x14ac:dyDescent="0.45">
      <c r="A991" s="2" t="s">
        <v>25031</v>
      </c>
      <c r="B991" s="2" t="s">
        <v>25032</v>
      </c>
      <c r="C991" s="2" t="s">
        <v>25033</v>
      </c>
      <c r="D991" s="2" t="s">
        <v>25034</v>
      </c>
      <c r="E991" s="2" t="s">
        <v>25035</v>
      </c>
      <c r="F991" s="2" t="s">
        <v>25036</v>
      </c>
      <c r="G991" s="2" t="s">
        <v>25036</v>
      </c>
      <c r="H991" s="2" t="s">
        <v>17165</v>
      </c>
      <c r="I991" s="2" t="s">
        <v>17166</v>
      </c>
      <c r="J991" s="2" t="s">
        <v>17167</v>
      </c>
      <c r="K991" s="2" t="s">
        <v>25034</v>
      </c>
      <c r="L991" s="2"/>
      <c r="M991" s="2"/>
      <c r="N991" s="2"/>
      <c r="O991" s="2" t="s">
        <v>17165</v>
      </c>
      <c r="P991" s="2" t="s">
        <v>17166</v>
      </c>
      <c r="Q991" s="2" t="s">
        <v>17167</v>
      </c>
      <c r="R991" s="2" t="s">
        <v>11138</v>
      </c>
      <c r="S991" s="2" t="s">
        <v>44</v>
      </c>
      <c r="T991" s="2"/>
      <c r="U991" s="2" t="s">
        <v>3527</v>
      </c>
      <c r="V991" s="2" t="s">
        <v>46</v>
      </c>
      <c r="W991" s="2" t="s">
        <v>3527</v>
      </c>
      <c r="X991" s="2" t="s">
        <v>10787</v>
      </c>
      <c r="Y991" s="2" t="s">
        <v>10801</v>
      </c>
      <c r="Z991" s="2" t="s">
        <v>7864</v>
      </c>
      <c r="AA991" s="2">
        <v>100</v>
      </c>
      <c r="AB991" s="2">
        <v>5</v>
      </c>
      <c r="AC991" s="2" t="s">
        <v>10789</v>
      </c>
      <c r="AD991" s="2" t="s">
        <v>25037</v>
      </c>
      <c r="AE991" s="2" t="s">
        <v>18260</v>
      </c>
      <c r="AF991" s="2"/>
      <c r="AG991" s="2" t="s">
        <v>18250</v>
      </c>
    </row>
    <row r="992" spans="1:33" x14ac:dyDescent="0.45">
      <c r="A992" s="2" t="s">
        <v>25038</v>
      </c>
      <c r="B992" s="2" t="s">
        <v>25039</v>
      </c>
      <c r="C992" s="2" t="s">
        <v>25040</v>
      </c>
      <c r="D992" s="2" t="s">
        <v>25041</v>
      </c>
      <c r="E992" s="2" t="s">
        <v>25042</v>
      </c>
      <c r="F992" s="2" t="s">
        <v>25043</v>
      </c>
      <c r="G992" s="2"/>
      <c r="H992" s="2" t="s">
        <v>651</v>
      </c>
      <c r="I992" s="2" t="s">
        <v>86</v>
      </c>
      <c r="J992" s="2" t="s">
        <v>7873</v>
      </c>
      <c r="K992" s="2" t="s">
        <v>25041</v>
      </c>
      <c r="L992" s="2"/>
      <c r="M992" s="2"/>
      <c r="N992" s="2"/>
      <c r="O992" s="2" t="s">
        <v>651</v>
      </c>
      <c r="P992" s="2" t="s">
        <v>86</v>
      </c>
      <c r="Q992" s="2" t="s">
        <v>7873</v>
      </c>
      <c r="R992" s="2" t="s">
        <v>10041</v>
      </c>
      <c r="S992" s="2" t="s">
        <v>44</v>
      </c>
      <c r="T992" s="2"/>
      <c r="U992" s="2" t="s">
        <v>3527</v>
      </c>
      <c r="V992" s="2" t="s">
        <v>46</v>
      </c>
      <c r="W992" s="2" t="s">
        <v>3527</v>
      </c>
      <c r="X992" s="2" t="s">
        <v>10787</v>
      </c>
      <c r="Y992" s="2" t="s">
        <v>10801</v>
      </c>
      <c r="Z992" s="2" t="s">
        <v>7864</v>
      </c>
      <c r="AA992" s="2">
        <v>100</v>
      </c>
      <c r="AB992" s="2">
        <v>10</v>
      </c>
      <c r="AC992" s="2" t="s">
        <v>10789</v>
      </c>
      <c r="AD992" s="2" t="s">
        <v>25044</v>
      </c>
      <c r="AE992" s="2" t="s">
        <v>18260</v>
      </c>
      <c r="AF992" s="2"/>
      <c r="AG992" s="2" t="s">
        <v>18250</v>
      </c>
    </row>
    <row r="993" spans="1:33" x14ac:dyDescent="0.45">
      <c r="A993" s="2" t="s">
        <v>25045</v>
      </c>
      <c r="B993" s="2" t="s">
        <v>25046</v>
      </c>
      <c r="C993" s="2" t="s">
        <v>25047</v>
      </c>
      <c r="D993" s="2" t="s">
        <v>25048</v>
      </c>
      <c r="E993" s="2" t="s">
        <v>25049</v>
      </c>
      <c r="F993" s="2" t="s">
        <v>25050</v>
      </c>
      <c r="G993" s="2"/>
      <c r="H993" s="2" t="s">
        <v>290</v>
      </c>
      <c r="I993" s="2" t="s">
        <v>278</v>
      </c>
      <c r="J993" s="2" t="s">
        <v>291</v>
      </c>
      <c r="K993" s="2" t="s">
        <v>25051</v>
      </c>
      <c r="L993" s="2"/>
      <c r="M993" s="2"/>
      <c r="N993" s="2"/>
      <c r="O993" s="2" t="s">
        <v>290</v>
      </c>
      <c r="P993" s="2" t="s">
        <v>278</v>
      </c>
      <c r="Q993" s="2" t="s">
        <v>291</v>
      </c>
      <c r="R993" s="2" t="s">
        <v>11776</v>
      </c>
      <c r="S993" s="2" t="s">
        <v>44</v>
      </c>
      <c r="T993" s="2"/>
      <c r="U993" s="2" t="s">
        <v>3527</v>
      </c>
      <c r="V993" s="2" t="s">
        <v>46</v>
      </c>
      <c r="W993" s="2" t="s">
        <v>3527</v>
      </c>
      <c r="X993" s="2" t="s">
        <v>20075</v>
      </c>
      <c r="Y993" s="2" t="s">
        <v>10801</v>
      </c>
      <c r="Z993" s="2" t="s">
        <v>7864</v>
      </c>
      <c r="AA993" s="2">
        <v>100</v>
      </c>
      <c r="AB993" s="2">
        <v>10</v>
      </c>
      <c r="AC993" s="2" t="s">
        <v>10789</v>
      </c>
      <c r="AD993" s="2" t="s">
        <v>25052</v>
      </c>
      <c r="AE993" s="2" t="s">
        <v>18260</v>
      </c>
      <c r="AF993" s="2"/>
      <c r="AG993" s="2" t="s">
        <v>18250</v>
      </c>
    </row>
    <row r="994" spans="1:33" x14ac:dyDescent="0.45">
      <c r="A994" s="2" t="s">
        <v>25053</v>
      </c>
      <c r="B994" s="2" t="s">
        <v>25054</v>
      </c>
      <c r="C994" s="2" t="s">
        <v>25055</v>
      </c>
      <c r="D994" s="2" t="s">
        <v>25056</v>
      </c>
      <c r="E994" s="2" t="s">
        <v>25057</v>
      </c>
      <c r="F994" s="2" t="s">
        <v>25058</v>
      </c>
      <c r="G994" s="2" t="s">
        <v>25058</v>
      </c>
      <c r="H994" s="2" t="s">
        <v>10376</v>
      </c>
      <c r="I994" s="2" t="s">
        <v>1137</v>
      </c>
      <c r="J994" s="2" t="s">
        <v>10427</v>
      </c>
      <c r="K994" s="2"/>
      <c r="L994" s="2"/>
      <c r="M994" s="2"/>
      <c r="N994" s="2"/>
      <c r="O994" s="2"/>
      <c r="P994" s="2"/>
      <c r="Q994" s="2"/>
      <c r="R994" s="2" t="s">
        <v>5678</v>
      </c>
      <c r="S994" s="2" t="s">
        <v>44</v>
      </c>
      <c r="T994" s="2"/>
      <c r="U994" s="2" t="s">
        <v>3527</v>
      </c>
      <c r="V994" s="2" t="s">
        <v>46</v>
      </c>
      <c r="W994" s="2" t="s">
        <v>3527</v>
      </c>
      <c r="X994" s="2" t="s">
        <v>10787</v>
      </c>
      <c r="Y994" s="2" t="s">
        <v>10801</v>
      </c>
      <c r="Z994" s="2" t="s">
        <v>7864</v>
      </c>
      <c r="AA994" s="2">
        <v>100</v>
      </c>
      <c r="AB994" s="2">
        <v>5</v>
      </c>
      <c r="AC994" s="2" t="s">
        <v>10789</v>
      </c>
      <c r="AD994" s="2" t="s">
        <v>25059</v>
      </c>
      <c r="AE994" s="2" t="s">
        <v>18260</v>
      </c>
      <c r="AF994" s="2"/>
      <c r="AG994" s="2" t="s">
        <v>18250</v>
      </c>
    </row>
    <row r="995" spans="1:33" x14ac:dyDescent="0.45">
      <c r="A995" s="2" t="s">
        <v>25060</v>
      </c>
      <c r="B995" s="2" t="s">
        <v>25061</v>
      </c>
      <c r="C995" s="2" t="s">
        <v>25062</v>
      </c>
      <c r="D995" s="2" t="s">
        <v>25063</v>
      </c>
      <c r="E995" s="2" t="s">
        <v>25064</v>
      </c>
      <c r="F995" s="2"/>
      <c r="G995" s="2"/>
      <c r="H995" s="2" t="s">
        <v>1023</v>
      </c>
      <c r="I995" s="2" t="s">
        <v>73</v>
      </c>
      <c r="J995" s="2" t="s">
        <v>25065</v>
      </c>
      <c r="K995" s="2" t="s">
        <v>25066</v>
      </c>
      <c r="L995" s="2"/>
      <c r="M995" s="2"/>
      <c r="N995" s="2"/>
      <c r="O995" s="2" t="s">
        <v>72</v>
      </c>
      <c r="P995" s="2" t="s">
        <v>73</v>
      </c>
      <c r="Q995" s="2" t="s">
        <v>3419</v>
      </c>
      <c r="R995" s="2" t="s">
        <v>632</v>
      </c>
      <c r="S995" s="2" t="s">
        <v>44</v>
      </c>
      <c r="T995" s="2"/>
      <c r="U995" s="2" t="s">
        <v>3527</v>
      </c>
      <c r="V995" s="2" t="s">
        <v>46</v>
      </c>
      <c r="W995" s="2" t="s">
        <v>3527</v>
      </c>
      <c r="X995" s="2" t="s">
        <v>10787</v>
      </c>
      <c r="Y995" s="2" t="s">
        <v>10801</v>
      </c>
      <c r="Z995" s="2" t="s">
        <v>7864</v>
      </c>
      <c r="AA995" s="2">
        <v>90</v>
      </c>
      <c r="AB995" s="2">
        <v>0</v>
      </c>
      <c r="AC995" s="2" t="s">
        <v>10789</v>
      </c>
      <c r="AD995" s="2" t="s">
        <v>25067</v>
      </c>
      <c r="AE995" s="2" t="s">
        <v>18260</v>
      </c>
      <c r="AF995" s="2"/>
      <c r="AG995" s="2" t="s">
        <v>18250</v>
      </c>
    </row>
    <row r="996" spans="1:33" x14ac:dyDescent="0.45">
      <c r="A996" s="2" t="s">
        <v>25068</v>
      </c>
      <c r="B996" s="2" t="s">
        <v>25069</v>
      </c>
      <c r="C996" s="2" t="s">
        <v>25068</v>
      </c>
      <c r="D996" s="2" t="s">
        <v>25070</v>
      </c>
      <c r="E996" s="2" t="s">
        <v>25071</v>
      </c>
      <c r="F996" s="2"/>
      <c r="G996" s="2"/>
      <c r="H996" s="2" t="s">
        <v>174</v>
      </c>
      <c r="I996" s="2" t="s">
        <v>175</v>
      </c>
      <c r="J996" s="2" t="s">
        <v>25072</v>
      </c>
      <c r="K996" s="2" t="s">
        <v>25070</v>
      </c>
      <c r="L996" s="2"/>
      <c r="M996" s="2"/>
      <c r="N996" s="2"/>
      <c r="O996" s="2" t="s">
        <v>174</v>
      </c>
      <c r="P996" s="2" t="s">
        <v>175</v>
      </c>
      <c r="Q996" s="2" t="s">
        <v>25072</v>
      </c>
      <c r="R996" s="2" t="s">
        <v>13873</v>
      </c>
      <c r="S996" s="2" t="s">
        <v>44</v>
      </c>
      <c r="T996" s="2"/>
      <c r="U996" s="2" t="s">
        <v>3527</v>
      </c>
      <c r="V996" s="2" t="s">
        <v>46</v>
      </c>
      <c r="W996" s="2" t="s">
        <v>3527</v>
      </c>
      <c r="X996" s="2" t="s">
        <v>10787</v>
      </c>
      <c r="Y996" s="2" t="s">
        <v>10801</v>
      </c>
      <c r="Z996" s="2" t="s">
        <v>7864</v>
      </c>
      <c r="AA996" s="2">
        <v>90</v>
      </c>
      <c r="AB996" s="2">
        <v>0</v>
      </c>
      <c r="AC996" s="2" t="s">
        <v>10789</v>
      </c>
      <c r="AD996" s="2" t="s">
        <v>25073</v>
      </c>
      <c r="AE996" s="2" t="s">
        <v>18260</v>
      </c>
      <c r="AF996" s="2"/>
      <c r="AG996" s="2" t="s">
        <v>18250</v>
      </c>
    </row>
    <row r="997" spans="1:33" x14ac:dyDescent="0.45">
      <c r="A997" s="2" t="s">
        <v>25074</v>
      </c>
      <c r="B997" s="2" t="s">
        <v>25075</v>
      </c>
      <c r="C997" s="2" t="s">
        <v>25076</v>
      </c>
      <c r="D997" s="2" t="s">
        <v>25077</v>
      </c>
      <c r="E997" s="2" t="s">
        <v>25078</v>
      </c>
      <c r="F997" s="2"/>
      <c r="G997" s="2"/>
      <c r="H997" s="2" t="s">
        <v>1023</v>
      </c>
      <c r="I997" s="2" t="s">
        <v>73</v>
      </c>
      <c r="J997" s="2" t="s">
        <v>1024</v>
      </c>
      <c r="K997" s="2" t="s">
        <v>25077</v>
      </c>
      <c r="L997" s="2"/>
      <c r="M997" s="2"/>
      <c r="N997" s="2"/>
      <c r="O997" s="2" t="s">
        <v>1023</v>
      </c>
      <c r="P997" s="2" t="s">
        <v>73</v>
      </c>
      <c r="Q997" s="2" t="s">
        <v>1024</v>
      </c>
      <c r="R997" s="2" t="s">
        <v>6912</v>
      </c>
      <c r="S997" s="2" t="s">
        <v>44</v>
      </c>
      <c r="T997" s="2"/>
      <c r="U997" s="2" t="s">
        <v>821</v>
      </c>
      <c r="V997" s="2" t="s">
        <v>46</v>
      </c>
      <c r="W997" s="2" t="s">
        <v>821</v>
      </c>
      <c r="X997" s="2" t="s">
        <v>11537</v>
      </c>
      <c r="Y997" s="2" t="s">
        <v>10801</v>
      </c>
      <c r="Z997" s="2" t="s">
        <v>7864</v>
      </c>
      <c r="AA997" s="2">
        <v>90</v>
      </c>
      <c r="AB997" s="2">
        <v>7</v>
      </c>
      <c r="AC997" s="2" t="s">
        <v>10789</v>
      </c>
      <c r="AD997" s="2" t="s">
        <v>25079</v>
      </c>
      <c r="AE997" s="2" t="s">
        <v>18260</v>
      </c>
      <c r="AF997" s="2"/>
      <c r="AG997" s="2" t="s">
        <v>18250</v>
      </c>
    </row>
    <row r="998" spans="1:33" x14ac:dyDescent="0.45">
      <c r="A998" s="2" t="s">
        <v>25080</v>
      </c>
      <c r="B998" s="2" t="s">
        <v>25081</v>
      </c>
      <c r="C998" s="2" t="s">
        <v>25082</v>
      </c>
      <c r="D998" s="2" t="s">
        <v>25083</v>
      </c>
      <c r="E998" s="2" t="s">
        <v>25084</v>
      </c>
      <c r="F998" s="2" t="s">
        <v>25085</v>
      </c>
      <c r="G998" s="2"/>
      <c r="H998" s="2" t="s">
        <v>651</v>
      </c>
      <c r="I998" s="2" t="s">
        <v>86</v>
      </c>
      <c r="J998" s="2" t="s">
        <v>9449</v>
      </c>
      <c r="K998" s="2" t="s">
        <v>25083</v>
      </c>
      <c r="L998" s="2"/>
      <c r="M998" s="2"/>
      <c r="N998" s="2"/>
      <c r="O998" s="2" t="s">
        <v>651</v>
      </c>
      <c r="P998" s="2" t="s">
        <v>86</v>
      </c>
      <c r="Q998" s="2" t="s">
        <v>9449</v>
      </c>
      <c r="R998" s="2" t="s">
        <v>7404</v>
      </c>
      <c r="S998" s="2" t="s">
        <v>44</v>
      </c>
      <c r="T998" s="2"/>
      <c r="U998" s="2" t="s">
        <v>3527</v>
      </c>
      <c r="V998" s="2" t="s">
        <v>46</v>
      </c>
      <c r="W998" s="2" t="s">
        <v>3527</v>
      </c>
      <c r="X998" s="2" t="s">
        <v>10787</v>
      </c>
      <c r="Y998" s="2" t="s">
        <v>10801</v>
      </c>
      <c r="Z998" s="2" t="s">
        <v>7864</v>
      </c>
      <c r="AA998" s="2">
        <v>100</v>
      </c>
      <c r="AB998" s="2">
        <v>10</v>
      </c>
      <c r="AC998" s="2" t="s">
        <v>10789</v>
      </c>
      <c r="AD998" s="2" t="s">
        <v>25086</v>
      </c>
      <c r="AE998" s="2" t="s">
        <v>18260</v>
      </c>
      <c r="AF998" s="2"/>
      <c r="AG998" s="2" t="s">
        <v>18250</v>
      </c>
    </row>
    <row r="999" spans="1:33" x14ac:dyDescent="0.45">
      <c r="A999" s="2" t="s">
        <v>25087</v>
      </c>
      <c r="B999" s="2" t="s">
        <v>25088</v>
      </c>
      <c r="C999" s="2" t="s">
        <v>25087</v>
      </c>
      <c r="D999" s="2" t="s">
        <v>25089</v>
      </c>
      <c r="E999" s="2" t="s">
        <v>25090</v>
      </c>
      <c r="F999" s="2"/>
      <c r="G999" s="2"/>
      <c r="H999" s="2" t="s">
        <v>174</v>
      </c>
      <c r="I999" s="2" t="s">
        <v>175</v>
      </c>
      <c r="J999" s="2" t="s">
        <v>6714</v>
      </c>
      <c r="K999" s="2" t="s">
        <v>25089</v>
      </c>
      <c r="L999" s="2"/>
      <c r="M999" s="2"/>
      <c r="N999" s="2"/>
      <c r="O999" s="2" t="s">
        <v>174</v>
      </c>
      <c r="P999" s="2" t="s">
        <v>175</v>
      </c>
      <c r="Q999" s="2" t="s">
        <v>6714</v>
      </c>
      <c r="R999" s="2" t="s">
        <v>10728</v>
      </c>
      <c r="S999" s="2" t="s">
        <v>44</v>
      </c>
      <c r="T999" s="2"/>
      <c r="U999" s="2" t="s">
        <v>3527</v>
      </c>
      <c r="V999" s="2" t="s">
        <v>46</v>
      </c>
      <c r="W999" s="2" t="s">
        <v>3527</v>
      </c>
      <c r="X999" s="2" t="s">
        <v>12462</v>
      </c>
      <c r="Y999" s="2" t="s">
        <v>10801</v>
      </c>
      <c r="Z999" s="2" t="s">
        <v>7864</v>
      </c>
      <c r="AA999" s="2">
        <v>90</v>
      </c>
      <c r="AB999" s="2">
        <v>0</v>
      </c>
      <c r="AC999" s="2" t="s">
        <v>10789</v>
      </c>
      <c r="AD999" s="2" t="s">
        <v>25091</v>
      </c>
      <c r="AE999" s="2" t="s">
        <v>18260</v>
      </c>
      <c r="AF999" s="2"/>
      <c r="AG999" s="2" t="s">
        <v>18250</v>
      </c>
    </row>
    <row r="1000" spans="1:33" x14ac:dyDescent="0.45">
      <c r="A1000" s="2" t="s">
        <v>25092</v>
      </c>
      <c r="B1000" s="2" t="s">
        <v>25093</v>
      </c>
      <c r="C1000" s="2" t="s">
        <v>25094</v>
      </c>
      <c r="D1000" s="2" t="s">
        <v>25095</v>
      </c>
      <c r="E1000" s="2" t="s">
        <v>25096</v>
      </c>
      <c r="F1000" s="2" t="s">
        <v>25097</v>
      </c>
      <c r="G1000" s="2"/>
      <c r="H1000" s="2" t="s">
        <v>72</v>
      </c>
      <c r="I1000" s="2" t="s">
        <v>73</v>
      </c>
      <c r="J1000" s="2" t="s">
        <v>20681</v>
      </c>
      <c r="K1000" s="2" t="s">
        <v>25098</v>
      </c>
      <c r="L1000" s="2"/>
      <c r="M1000" s="2"/>
      <c r="N1000" s="2"/>
      <c r="O1000" s="2" t="s">
        <v>72</v>
      </c>
      <c r="P1000" s="2" t="s">
        <v>73</v>
      </c>
      <c r="Q1000" s="2" t="s">
        <v>20681</v>
      </c>
      <c r="R1000" s="2" t="s">
        <v>24409</v>
      </c>
      <c r="S1000" s="2" t="s">
        <v>44</v>
      </c>
      <c r="T1000" s="2"/>
      <c r="U1000" s="2" t="s">
        <v>3527</v>
      </c>
      <c r="V1000" s="2" t="s">
        <v>46</v>
      </c>
      <c r="W1000" s="2" t="s">
        <v>3527</v>
      </c>
      <c r="X1000" s="2" t="s">
        <v>10787</v>
      </c>
      <c r="Y1000" s="2" t="s">
        <v>10801</v>
      </c>
      <c r="Z1000" s="2" t="s">
        <v>7864</v>
      </c>
      <c r="AA1000" s="2">
        <v>100</v>
      </c>
      <c r="AB1000" s="2">
        <v>10</v>
      </c>
      <c r="AC1000" s="2" t="s">
        <v>10789</v>
      </c>
      <c r="AD1000" s="2" t="s">
        <v>25099</v>
      </c>
      <c r="AE1000" s="2" t="s">
        <v>18260</v>
      </c>
      <c r="AF1000" s="2"/>
      <c r="AG1000" s="2" t="s">
        <v>18250</v>
      </c>
    </row>
    <row r="1001" spans="1:33" x14ac:dyDescent="0.45">
      <c r="A1001" s="2" t="s">
        <v>25100</v>
      </c>
      <c r="B1001" s="2" t="s">
        <v>25101</v>
      </c>
      <c r="C1001" s="2" t="s">
        <v>25102</v>
      </c>
      <c r="D1001" s="2" t="s">
        <v>25103</v>
      </c>
      <c r="E1001" s="2" t="s">
        <v>25104</v>
      </c>
      <c r="F1001" s="2"/>
      <c r="G1001" s="2"/>
      <c r="H1001" s="2" t="s">
        <v>12556</v>
      </c>
      <c r="I1001" s="2" t="s">
        <v>278</v>
      </c>
      <c r="J1001" s="2" t="s">
        <v>17189</v>
      </c>
      <c r="K1001" s="2" t="s">
        <v>25103</v>
      </c>
      <c r="L1001" s="2"/>
      <c r="M1001" s="2"/>
      <c r="N1001" s="2"/>
      <c r="O1001" s="2" t="s">
        <v>12556</v>
      </c>
      <c r="P1001" s="2" t="s">
        <v>278</v>
      </c>
      <c r="Q1001" s="2" t="s">
        <v>17189</v>
      </c>
      <c r="R1001" s="2" t="s">
        <v>25105</v>
      </c>
      <c r="S1001" s="2" t="s">
        <v>44</v>
      </c>
      <c r="T1001" s="2"/>
      <c r="U1001" s="2" t="s">
        <v>3527</v>
      </c>
      <c r="V1001" s="2" t="s">
        <v>46</v>
      </c>
      <c r="W1001" s="2" t="s">
        <v>3527</v>
      </c>
      <c r="X1001" s="2" t="s">
        <v>10787</v>
      </c>
      <c r="Y1001" s="2" t="s">
        <v>10801</v>
      </c>
      <c r="Z1001" s="2" t="s">
        <v>7864</v>
      </c>
      <c r="AA1001" s="2">
        <v>90</v>
      </c>
      <c r="AB1001" s="2">
        <v>0</v>
      </c>
      <c r="AC1001" s="2" t="s">
        <v>10789</v>
      </c>
      <c r="AD1001" s="2" t="s">
        <v>25106</v>
      </c>
      <c r="AE1001" s="2" t="s">
        <v>18260</v>
      </c>
      <c r="AF1001" s="2"/>
      <c r="AG1001" s="2" t="s">
        <v>18250</v>
      </c>
    </row>
    <row r="1002" spans="1:33" x14ac:dyDescent="0.45">
      <c r="A1002" s="2" t="s">
        <v>25107</v>
      </c>
      <c r="B1002" s="2" t="s">
        <v>25108</v>
      </c>
      <c r="C1002" s="2" t="s">
        <v>25109</v>
      </c>
      <c r="D1002" s="2" t="s">
        <v>25110</v>
      </c>
      <c r="E1002" s="2" t="s">
        <v>25111</v>
      </c>
      <c r="F1002" s="2" t="s">
        <v>25112</v>
      </c>
      <c r="G1002" s="2"/>
      <c r="H1002" s="2" t="s">
        <v>72</v>
      </c>
      <c r="I1002" s="2" t="s">
        <v>73</v>
      </c>
      <c r="J1002" s="2" t="s">
        <v>2800</v>
      </c>
      <c r="K1002" s="2" t="s">
        <v>25110</v>
      </c>
      <c r="L1002" s="2"/>
      <c r="M1002" s="2"/>
      <c r="N1002" s="2"/>
      <c r="O1002" s="2" t="s">
        <v>72</v>
      </c>
      <c r="P1002" s="2" t="s">
        <v>73</v>
      </c>
      <c r="Q1002" s="2" t="s">
        <v>2800</v>
      </c>
      <c r="R1002" s="2" t="s">
        <v>701</v>
      </c>
      <c r="S1002" s="2" t="s">
        <v>44</v>
      </c>
      <c r="T1002" s="2"/>
      <c r="U1002" s="2" t="s">
        <v>3527</v>
      </c>
      <c r="V1002" s="2" t="s">
        <v>46</v>
      </c>
      <c r="W1002" s="2" t="s">
        <v>3527</v>
      </c>
      <c r="X1002" s="2" t="s">
        <v>10787</v>
      </c>
      <c r="Y1002" s="2" t="s">
        <v>10801</v>
      </c>
      <c r="Z1002" s="2" t="s">
        <v>7864</v>
      </c>
      <c r="AA1002" s="2">
        <v>100</v>
      </c>
      <c r="AB1002" s="2">
        <v>10</v>
      </c>
      <c r="AC1002" s="2" t="s">
        <v>10789</v>
      </c>
      <c r="AD1002" s="2" t="s">
        <v>25113</v>
      </c>
      <c r="AE1002" s="2" t="s">
        <v>18260</v>
      </c>
      <c r="AF1002" s="2"/>
      <c r="AG1002" s="2" t="s">
        <v>18250</v>
      </c>
    </row>
    <row r="1003" spans="1:33" x14ac:dyDescent="0.45">
      <c r="A1003" s="2" t="s">
        <v>25114</v>
      </c>
      <c r="B1003" s="2" t="s">
        <v>25115</v>
      </c>
      <c r="C1003" s="2" t="s">
        <v>17670</v>
      </c>
      <c r="D1003" s="2" t="s">
        <v>25116</v>
      </c>
      <c r="E1003" s="2" t="s">
        <v>17672</v>
      </c>
      <c r="F1003" s="2"/>
      <c r="G1003" s="2"/>
      <c r="H1003" s="2" t="s">
        <v>12989</v>
      </c>
      <c r="I1003" s="2" t="s">
        <v>313</v>
      </c>
      <c r="J1003" s="2" t="s">
        <v>12990</v>
      </c>
      <c r="K1003" s="2" t="s">
        <v>25116</v>
      </c>
      <c r="L1003" s="2"/>
      <c r="M1003" s="2"/>
      <c r="N1003" s="2"/>
      <c r="O1003" s="2" t="s">
        <v>12989</v>
      </c>
      <c r="P1003" s="2" t="s">
        <v>313</v>
      </c>
      <c r="Q1003" s="2" t="s">
        <v>12990</v>
      </c>
      <c r="R1003" s="2" t="s">
        <v>25117</v>
      </c>
      <c r="S1003" s="2" t="s">
        <v>44</v>
      </c>
      <c r="T1003" s="2"/>
      <c r="U1003" s="2" t="s">
        <v>3527</v>
      </c>
      <c r="V1003" s="2" t="s">
        <v>46</v>
      </c>
      <c r="W1003" s="2" t="s">
        <v>3527</v>
      </c>
      <c r="X1003" s="2" t="s">
        <v>10787</v>
      </c>
      <c r="Y1003" s="2" t="s">
        <v>10801</v>
      </c>
      <c r="Z1003" s="2" t="s">
        <v>7864</v>
      </c>
      <c r="AA1003" s="2">
        <v>90</v>
      </c>
      <c r="AB1003" s="2">
        <v>0</v>
      </c>
      <c r="AC1003" s="2" t="s">
        <v>10789</v>
      </c>
      <c r="AD1003" s="2" t="s">
        <v>25118</v>
      </c>
      <c r="AE1003" s="2" t="s">
        <v>18260</v>
      </c>
      <c r="AF1003" s="2"/>
      <c r="AG1003" s="2" t="s">
        <v>18250</v>
      </c>
    </row>
    <row r="1004" spans="1:33" x14ac:dyDescent="0.45">
      <c r="A1004" s="2" t="s">
        <v>25119</v>
      </c>
      <c r="B1004" s="2" t="s">
        <v>25120</v>
      </c>
      <c r="C1004" s="2" t="s">
        <v>25121</v>
      </c>
      <c r="D1004" s="2" t="s">
        <v>25122</v>
      </c>
      <c r="E1004" s="2" t="s">
        <v>25123</v>
      </c>
      <c r="F1004" s="2" t="s">
        <v>709</v>
      </c>
      <c r="G1004" s="2" t="s">
        <v>709</v>
      </c>
      <c r="H1004" s="2" t="s">
        <v>72</v>
      </c>
      <c r="I1004" s="2" t="s">
        <v>73</v>
      </c>
      <c r="J1004" s="2" t="s">
        <v>9857</v>
      </c>
      <c r="K1004" s="2" t="s">
        <v>25122</v>
      </c>
      <c r="L1004" s="2"/>
      <c r="M1004" s="2"/>
      <c r="N1004" s="2"/>
      <c r="O1004" s="2" t="s">
        <v>72</v>
      </c>
      <c r="P1004" s="2" t="s">
        <v>73</v>
      </c>
      <c r="Q1004" s="2" t="s">
        <v>9857</v>
      </c>
      <c r="R1004" s="2" t="s">
        <v>20505</v>
      </c>
      <c r="S1004" s="2" t="s">
        <v>44</v>
      </c>
      <c r="T1004" s="2"/>
      <c r="U1004" s="2" t="s">
        <v>3527</v>
      </c>
      <c r="V1004" s="2" t="s">
        <v>46</v>
      </c>
      <c r="W1004" s="2" t="s">
        <v>3527</v>
      </c>
      <c r="X1004" s="2" t="s">
        <v>10787</v>
      </c>
      <c r="Y1004" s="2" t="s">
        <v>10801</v>
      </c>
      <c r="Z1004" s="2" t="s">
        <v>7864</v>
      </c>
      <c r="AA1004" s="2">
        <v>100</v>
      </c>
      <c r="AB1004" s="2">
        <v>10</v>
      </c>
      <c r="AC1004" s="2" t="s">
        <v>10789</v>
      </c>
      <c r="AD1004" s="2" t="s">
        <v>25124</v>
      </c>
      <c r="AE1004" s="2" t="s">
        <v>18260</v>
      </c>
      <c r="AF1004" s="2"/>
      <c r="AG1004" s="2" t="s">
        <v>18250</v>
      </c>
    </row>
    <row r="1005" spans="1:33" x14ac:dyDescent="0.45">
      <c r="A1005" s="2" t="s">
        <v>25125</v>
      </c>
      <c r="B1005" s="2" t="s">
        <v>25126</v>
      </c>
      <c r="C1005" s="2" t="s">
        <v>25127</v>
      </c>
      <c r="D1005" s="2" t="s">
        <v>25128</v>
      </c>
      <c r="E1005" s="2" t="s">
        <v>25129</v>
      </c>
      <c r="F1005" s="2" t="s">
        <v>25130</v>
      </c>
      <c r="G1005" s="2"/>
      <c r="H1005" s="2" t="s">
        <v>424</v>
      </c>
      <c r="I1005" s="2" t="s">
        <v>217</v>
      </c>
      <c r="J1005" s="2" t="s">
        <v>3767</v>
      </c>
      <c r="K1005" s="2" t="s">
        <v>25131</v>
      </c>
      <c r="L1005" s="2"/>
      <c r="M1005" s="2"/>
      <c r="N1005" s="2"/>
      <c r="O1005" s="2" t="s">
        <v>424</v>
      </c>
      <c r="P1005" s="2" t="s">
        <v>217</v>
      </c>
      <c r="Q1005" s="2" t="s">
        <v>3767</v>
      </c>
      <c r="R1005" s="2" t="s">
        <v>13634</v>
      </c>
      <c r="S1005" s="2" t="s">
        <v>44</v>
      </c>
      <c r="T1005" s="2"/>
      <c r="U1005" s="2" t="s">
        <v>821</v>
      </c>
      <c r="V1005" s="2" t="s">
        <v>46</v>
      </c>
      <c r="W1005" s="2" t="s">
        <v>821</v>
      </c>
      <c r="X1005" s="2" t="s">
        <v>10787</v>
      </c>
      <c r="Y1005" s="2" t="s">
        <v>10801</v>
      </c>
      <c r="Z1005" s="2" t="s">
        <v>7864</v>
      </c>
      <c r="AA1005" s="2">
        <v>100</v>
      </c>
      <c r="AB1005" s="2">
        <v>17</v>
      </c>
      <c r="AC1005" s="2" t="s">
        <v>10789</v>
      </c>
      <c r="AD1005" s="2" t="s">
        <v>25132</v>
      </c>
      <c r="AE1005" s="2" t="s">
        <v>18260</v>
      </c>
      <c r="AF1005" s="2"/>
      <c r="AG1005" s="2" t="s">
        <v>18250</v>
      </c>
    </row>
    <row r="1006" spans="1:33" x14ac:dyDescent="0.45">
      <c r="A1006" s="2" t="s">
        <v>25133</v>
      </c>
      <c r="B1006" s="2" t="s">
        <v>25134</v>
      </c>
      <c r="C1006" s="2" t="s">
        <v>25133</v>
      </c>
      <c r="D1006" s="2" t="s">
        <v>25135</v>
      </c>
      <c r="E1006" s="2" t="s">
        <v>25136</v>
      </c>
      <c r="F1006" s="2"/>
      <c r="G1006" s="2"/>
      <c r="H1006" s="2" t="s">
        <v>9626</v>
      </c>
      <c r="I1006" s="2" t="s">
        <v>1209</v>
      </c>
      <c r="J1006" s="2" t="s">
        <v>25137</v>
      </c>
      <c r="K1006" s="2" t="s">
        <v>25135</v>
      </c>
      <c r="L1006" s="2"/>
      <c r="M1006" s="2"/>
      <c r="N1006" s="2"/>
      <c r="O1006" s="2" t="s">
        <v>9626</v>
      </c>
      <c r="P1006" s="2" t="s">
        <v>1209</v>
      </c>
      <c r="Q1006" s="2" t="s">
        <v>25137</v>
      </c>
      <c r="R1006" s="2" t="s">
        <v>13350</v>
      </c>
      <c r="S1006" s="2" t="s">
        <v>44</v>
      </c>
      <c r="T1006" s="2"/>
      <c r="U1006" s="2" t="s">
        <v>821</v>
      </c>
      <c r="V1006" s="2" t="s">
        <v>46</v>
      </c>
      <c r="W1006" s="2" t="s">
        <v>821</v>
      </c>
      <c r="X1006" s="2" t="s">
        <v>12462</v>
      </c>
      <c r="Y1006" s="2" t="s">
        <v>10801</v>
      </c>
      <c r="Z1006" s="2" t="s">
        <v>7864</v>
      </c>
      <c r="AA1006" s="2">
        <v>90</v>
      </c>
      <c r="AB1006" s="2">
        <v>2</v>
      </c>
      <c r="AC1006" s="2" t="s">
        <v>10789</v>
      </c>
      <c r="AD1006" s="2" t="s">
        <v>25138</v>
      </c>
      <c r="AE1006" s="2" t="s">
        <v>18260</v>
      </c>
      <c r="AF1006" s="2"/>
      <c r="AG1006" s="2" t="s">
        <v>18250</v>
      </c>
    </row>
    <row r="1007" spans="1:33" x14ac:dyDescent="0.45">
      <c r="A1007" s="2" t="s">
        <v>25139</v>
      </c>
      <c r="B1007" s="2" t="s">
        <v>25140</v>
      </c>
      <c r="C1007" s="2" t="s">
        <v>25139</v>
      </c>
      <c r="D1007" s="2" t="s">
        <v>25141</v>
      </c>
      <c r="E1007" s="2" t="s">
        <v>25142</v>
      </c>
      <c r="F1007" s="2" t="s">
        <v>25143</v>
      </c>
      <c r="G1007" s="2"/>
      <c r="H1007" s="2" t="s">
        <v>277</v>
      </c>
      <c r="I1007" s="2" t="s">
        <v>278</v>
      </c>
      <c r="J1007" s="2" t="s">
        <v>279</v>
      </c>
      <c r="K1007" s="2" t="s">
        <v>25141</v>
      </c>
      <c r="L1007" s="2"/>
      <c r="M1007" s="2"/>
      <c r="N1007" s="2"/>
      <c r="O1007" s="2" t="s">
        <v>277</v>
      </c>
      <c r="P1007" s="2" t="s">
        <v>278</v>
      </c>
      <c r="Q1007" s="2" t="s">
        <v>279</v>
      </c>
      <c r="R1007" s="2" t="s">
        <v>23460</v>
      </c>
      <c r="S1007" s="2" t="s">
        <v>44</v>
      </c>
      <c r="T1007" s="2"/>
      <c r="U1007" s="2" t="s">
        <v>821</v>
      </c>
      <c r="V1007" s="2" t="s">
        <v>46</v>
      </c>
      <c r="W1007" s="2" t="s">
        <v>821</v>
      </c>
      <c r="X1007" s="2" t="s">
        <v>10787</v>
      </c>
      <c r="Y1007" s="2" t="s">
        <v>10801</v>
      </c>
      <c r="Z1007" s="2" t="s">
        <v>7864</v>
      </c>
      <c r="AA1007" s="2">
        <v>100</v>
      </c>
      <c r="AB1007" s="2">
        <v>17</v>
      </c>
      <c r="AC1007" s="2" t="s">
        <v>10789</v>
      </c>
      <c r="AD1007" s="2" t="s">
        <v>25144</v>
      </c>
      <c r="AE1007" s="2" t="s">
        <v>18260</v>
      </c>
      <c r="AF1007" s="2"/>
      <c r="AG1007" s="2" t="s">
        <v>18250</v>
      </c>
    </row>
    <row r="1008" spans="1:33" x14ac:dyDescent="0.45">
      <c r="A1008" s="2" t="s">
        <v>25145</v>
      </c>
      <c r="B1008" s="2" t="s">
        <v>25146</v>
      </c>
      <c r="C1008" s="2" t="s">
        <v>25145</v>
      </c>
      <c r="D1008" s="2" t="s">
        <v>25147</v>
      </c>
      <c r="E1008" s="2" t="s">
        <v>25148</v>
      </c>
      <c r="F1008" s="2" t="s">
        <v>25149</v>
      </c>
      <c r="G1008" s="2" t="s">
        <v>25149</v>
      </c>
      <c r="H1008" s="2" t="s">
        <v>39</v>
      </c>
      <c r="I1008" s="2" t="s">
        <v>40</v>
      </c>
      <c r="J1008" s="2" t="s">
        <v>1711</v>
      </c>
      <c r="K1008" s="2" t="s">
        <v>25147</v>
      </c>
      <c r="L1008" s="2"/>
      <c r="M1008" s="2"/>
      <c r="N1008" s="2"/>
      <c r="O1008" s="2" t="s">
        <v>39</v>
      </c>
      <c r="P1008" s="2" t="s">
        <v>40</v>
      </c>
      <c r="Q1008" s="2" t="s">
        <v>1711</v>
      </c>
      <c r="R1008" s="2" t="s">
        <v>11905</v>
      </c>
      <c r="S1008" s="2" t="s">
        <v>44</v>
      </c>
      <c r="T1008" s="2"/>
      <c r="U1008" s="2" t="s">
        <v>821</v>
      </c>
      <c r="V1008" s="2" t="s">
        <v>46</v>
      </c>
      <c r="W1008" s="2" t="s">
        <v>821</v>
      </c>
      <c r="X1008" s="2" t="s">
        <v>11537</v>
      </c>
      <c r="Y1008" s="2" t="s">
        <v>10801</v>
      </c>
      <c r="Z1008" s="2" t="s">
        <v>7864</v>
      </c>
      <c r="AA1008" s="2">
        <v>100</v>
      </c>
      <c r="AB1008" s="2">
        <v>17</v>
      </c>
      <c r="AC1008" s="2" t="s">
        <v>10789</v>
      </c>
      <c r="AD1008" s="2" t="s">
        <v>25150</v>
      </c>
      <c r="AE1008" s="2" t="s">
        <v>18260</v>
      </c>
      <c r="AF1008" s="2"/>
      <c r="AG1008" s="2" t="s">
        <v>18250</v>
      </c>
    </row>
    <row r="1009" spans="1:33" x14ac:dyDescent="0.45">
      <c r="A1009" s="2" t="s">
        <v>25151</v>
      </c>
      <c r="B1009" s="2" t="s">
        <v>25152</v>
      </c>
      <c r="C1009" s="2" t="s">
        <v>25153</v>
      </c>
      <c r="D1009" s="2" t="s">
        <v>25154</v>
      </c>
      <c r="E1009" s="2" t="s">
        <v>25155</v>
      </c>
      <c r="F1009" s="2"/>
      <c r="G1009" s="2"/>
      <c r="H1009" s="2" t="s">
        <v>220</v>
      </c>
      <c r="I1009" s="2" t="s">
        <v>221</v>
      </c>
      <c r="J1009" s="2" t="s">
        <v>10337</v>
      </c>
      <c r="K1009" s="2" t="s">
        <v>25154</v>
      </c>
      <c r="L1009" s="2"/>
      <c r="M1009" s="2"/>
      <c r="N1009" s="2"/>
      <c r="O1009" s="2" t="s">
        <v>220</v>
      </c>
      <c r="P1009" s="2" t="s">
        <v>221</v>
      </c>
      <c r="Q1009" s="2" t="s">
        <v>10337</v>
      </c>
      <c r="R1009" s="2" t="s">
        <v>4502</v>
      </c>
      <c r="S1009" s="2" t="s">
        <v>44</v>
      </c>
      <c r="T1009" s="2"/>
      <c r="U1009" s="2" t="s">
        <v>3527</v>
      </c>
      <c r="V1009" s="2" t="s">
        <v>46</v>
      </c>
      <c r="W1009" s="2" t="s">
        <v>3527</v>
      </c>
      <c r="X1009" s="2" t="s">
        <v>10787</v>
      </c>
      <c r="Y1009" s="2" t="s">
        <v>10801</v>
      </c>
      <c r="Z1009" s="2" t="s">
        <v>7864</v>
      </c>
      <c r="AA1009" s="2">
        <v>90</v>
      </c>
      <c r="AB1009" s="2">
        <v>0</v>
      </c>
      <c r="AC1009" s="2" t="s">
        <v>10789</v>
      </c>
      <c r="AD1009" s="2" t="s">
        <v>25156</v>
      </c>
      <c r="AE1009" s="2" t="s">
        <v>18260</v>
      </c>
      <c r="AF1009" s="2"/>
      <c r="AG1009" s="2" t="s">
        <v>18250</v>
      </c>
    </row>
    <row r="1010" spans="1:33" x14ac:dyDescent="0.45">
      <c r="A1010" s="2" t="s">
        <v>25157</v>
      </c>
      <c r="B1010" s="2" t="s">
        <v>25158</v>
      </c>
      <c r="C1010" s="2" t="s">
        <v>25157</v>
      </c>
      <c r="D1010" s="2" t="s">
        <v>25159</v>
      </c>
      <c r="E1010" s="2" t="s">
        <v>25160</v>
      </c>
      <c r="F1010" s="2" t="s">
        <v>25161</v>
      </c>
      <c r="G1010" s="2" t="s">
        <v>25161</v>
      </c>
      <c r="H1010" s="2" t="s">
        <v>5984</v>
      </c>
      <c r="I1010" s="2" t="s">
        <v>313</v>
      </c>
      <c r="J1010" s="2" t="s">
        <v>25162</v>
      </c>
      <c r="K1010" s="2" t="s">
        <v>25159</v>
      </c>
      <c r="L1010" s="2"/>
      <c r="M1010" s="2"/>
      <c r="N1010" s="2"/>
      <c r="O1010" s="2" t="s">
        <v>5984</v>
      </c>
      <c r="P1010" s="2" t="s">
        <v>313</v>
      </c>
      <c r="Q1010" s="2" t="s">
        <v>25162</v>
      </c>
      <c r="R1010" s="2" t="s">
        <v>5678</v>
      </c>
      <c r="S1010" s="2" t="s">
        <v>44</v>
      </c>
      <c r="T1010" s="2"/>
      <c r="U1010" s="2" t="s">
        <v>3527</v>
      </c>
      <c r="V1010" s="2" t="s">
        <v>46</v>
      </c>
      <c r="W1010" s="2" t="s">
        <v>3527</v>
      </c>
      <c r="X1010" s="2" t="s">
        <v>10787</v>
      </c>
      <c r="Y1010" s="2" t="s">
        <v>10801</v>
      </c>
      <c r="Z1010" s="2" t="s">
        <v>7864</v>
      </c>
      <c r="AA1010" s="2">
        <v>100</v>
      </c>
      <c r="AB1010" s="2">
        <v>5</v>
      </c>
      <c r="AC1010" s="2" t="s">
        <v>10789</v>
      </c>
      <c r="AD1010" s="2" t="s">
        <v>25163</v>
      </c>
      <c r="AE1010" s="2" t="s">
        <v>18260</v>
      </c>
      <c r="AF1010" s="2"/>
      <c r="AG1010" s="2" t="s">
        <v>18250</v>
      </c>
    </row>
    <row r="1011" spans="1:33" x14ac:dyDescent="0.45">
      <c r="A1011" s="2" t="s">
        <v>25164</v>
      </c>
      <c r="B1011" s="2" t="s">
        <v>25165</v>
      </c>
      <c r="C1011" s="2" t="s">
        <v>25166</v>
      </c>
      <c r="D1011" s="2" t="s">
        <v>25167</v>
      </c>
      <c r="E1011" s="2" t="s">
        <v>25168</v>
      </c>
      <c r="F1011" s="2" t="s">
        <v>25169</v>
      </c>
      <c r="G1011" s="2"/>
      <c r="H1011" s="2" t="s">
        <v>1023</v>
      </c>
      <c r="I1011" s="2" t="s">
        <v>73</v>
      </c>
      <c r="J1011" s="2" t="s">
        <v>5260</v>
      </c>
      <c r="K1011" s="2" t="s">
        <v>25167</v>
      </c>
      <c r="L1011" s="2"/>
      <c r="M1011" s="2"/>
      <c r="N1011" s="2"/>
      <c r="O1011" s="2" t="s">
        <v>1023</v>
      </c>
      <c r="P1011" s="2" t="s">
        <v>73</v>
      </c>
      <c r="Q1011" s="2" t="s">
        <v>5260</v>
      </c>
      <c r="R1011" s="2" t="s">
        <v>653</v>
      </c>
      <c r="S1011" s="2" t="s">
        <v>44</v>
      </c>
      <c r="T1011" s="2"/>
      <c r="U1011" s="2" t="s">
        <v>3527</v>
      </c>
      <c r="V1011" s="2" t="s">
        <v>46</v>
      </c>
      <c r="W1011" s="2" t="s">
        <v>3527</v>
      </c>
      <c r="X1011" s="2" t="s">
        <v>10787</v>
      </c>
      <c r="Y1011" s="2" t="s">
        <v>10801</v>
      </c>
      <c r="Z1011" s="2" t="s">
        <v>7864</v>
      </c>
      <c r="AA1011" s="2">
        <v>100</v>
      </c>
      <c r="AB1011" s="2">
        <v>10</v>
      </c>
      <c r="AC1011" s="2" t="s">
        <v>10789</v>
      </c>
      <c r="AD1011" s="2" t="s">
        <v>25170</v>
      </c>
      <c r="AE1011" s="2" t="s">
        <v>18260</v>
      </c>
      <c r="AF1011" s="2"/>
      <c r="AG1011" s="2" t="s">
        <v>18250</v>
      </c>
    </row>
    <row r="1012" spans="1:33" x14ac:dyDescent="0.45">
      <c r="A1012" s="2" t="s">
        <v>25171</v>
      </c>
      <c r="B1012" s="2" t="s">
        <v>25172</v>
      </c>
      <c r="C1012" s="2" t="s">
        <v>25171</v>
      </c>
      <c r="D1012" s="2" t="s">
        <v>25173</v>
      </c>
      <c r="E1012" s="2" t="s">
        <v>25174</v>
      </c>
      <c r="F1012" s="2" t="s">
        <v>25175</v>
      </c>
      <c r="G1012" s="2" t="s">
        <v>25175</v>
      </c>
      <c r="H1012" s="2" t="s">
        <v>5842</v>
      </c>
      <c r="I1012" s="2" t="s">
        <v>221</v>
      </c>
      <c r="J1012" s="2" t="s">
        <v>17047</v>
      </c>
      <c r="K1012" s="2" t="s">
        <v>25173</v>
      </c>
      <c r="L1012" s="2"/>
      <c r="M1012" s="2"/>
      <c r="N1012" s="2"/>
      <c r="O1012" s="2" t="s">
        <v>5842</v>
      </c>
      <c r="P1012" s="2" t="s">
        <v>221</v>
      </c>
      <c r="Q1012" s="2" t="s">
        <v>17047</v>
      </c>
      <c r="R1012" s="2" t="s">
        <v>11138</v>
      </c>
      <c r="S1012" s="2" t="s">
        <v>44</v>
      </c>
      <c r="T1012" s="2"/>
      <c r="U1012" s="2" t="s">
        <v>3527</v>
      </c>
      <c r="V1012" s="2" t="s">
        <v>46</v>
      </c>
      <c r="W1012" s="2" t="s">
        <v>3527</v>
      </c>
      <c r="X1012" s="2" t="s">
        <v>10787</v>
      </c>
      <c r="Y1012" s="2" t="s">
        <v>10801</v>
      </c>
      <c r="Z1012" s="2" t="s">
        <v>7864</v>
      </c>
      <c r="AA1012" s="2">
        <v>100</v>
      </c>
      <c r="AB1012" s="2">
        <v>5</v>
      </c>
      <c r="AC1012" s="2" t="s">
        <v>10789</v>
      </c>
      <c r="AD1012" s="2" t="s">
        <v>25176</v>
      </c>
      <c r="AE1012" s="2" t="s">
        <v>18260</v>
      </c>
      <c r="AF1012" s="2"/>
      <c r="AG1012" s="2" t="s">
        <v>18250</v>
      </c>
    </row>
    <row r="1013" spans="1:33" x14ac:dyDescent="0.45">
      <c r="A1013" s="2" t="s">
        <v>25177</v>
      </c>
      <c r="B1013" s="2" t="s">
        <v>25178</v>
      </c>
      <c r="C1013" s="2" t="s">
        <v>25177</v>
      </c>
      <c r="D1013" s="2" t="s">
        <v>25179</v>
      </c>
      <c r="E1013" s="2" t="s">
        <v>25180</v>
      </c>
      <c r="F1013" s="2"/>
      <c r="G1013" s="2"/>
      <c r="H1013" s="2" t="s">
        <v>72</v>
      </c>
      <c r="I1013" s="2" t="s">
        <v>73</v>
      </c>
      <c r="J1013" s="2" t="s">
        <v>2665</v>
      </c>
      <c r="K1013" s="2" t="s">
        <v>25181</v>
      </c>
      <c r="L1013" s="2"/>
      <c r="M1013" s="2"/>
      <c r="N1013" s="2"/>
      <c r="O1013" s="2" t="s">
        <v>384</v>
      </c>
      <c r="P1013" s="2" t="s">
        <v>73</v>
      </c>
      <c r="Q1013" s="2" t="s">
        <v>832</v>
      </c>
      <c r="R1013" s="2" t="s">
        <v>25182</v>
      </c>
      <c r="S1013" s="2" t="s">
        <v>44</v>
      </c>
      <c r="T1013" s="2"/>
      <c r="U1013" s="2" t="s">
        <v>821</v>
      </c>
      <c r="V1013" s="2" t="s">
        <v>46</v>
      </c>
      <c r="W1013" s="2" t="s">
        <v>821</v>
      </c>
      <c r="X1013" s="2" t="s">
        <v>10787</v>
      </c>
      <c r="Y1013" s="2" t="s">
        <v>10801</v>
      </c>
      <c r="Z1013" s="2" t="s">
        <v>7864</v>
      </c>
      <c r="AA1013" s="2">
        <v>90</v>
      </c>
      <c r="AB1013" s="2">
        <v>7</v>
      </c>
      <c r="AC1013" s="2" t="s">
        <v>10789</v>
      </c>
      <c r="AD1013" s="2" t="s">
        <v>25183</v>
      </c>
      <c r="AE1013" s="2" t="s">
        <v>18260</v>
      </c>
      <c r="AF1013" s="2"/>
      <c r="AG1013" s="2" t="s">
        <v>18250</v>
      </c>
    </row>
    <row r="1014" spans="1:33" x14ac:dyDescent="0.45">
      <c r="A1014" s="2" t="s">
        <v>25184</v>
      </c>
      <c r="B1014" s="2" t="s">
        <v>25185</v>
      </c>
      <c r="C1014" s="2" t="s">
        <v>25186</v>
      </c>
      <c r="D1014" s="2" t="s">
        <v>25187</v>
      </c>
      <c r="E1014" s="2" t="s">
        <v>25188</v>
      </c>
      <c r="F1014" s="2"/>
      <c r="G1014" s="2"/>
      <c r="H1014" s="2" t="s">
        <v>536</v>
      </c>
      <c r="I1014" s="2" t="s">
        <v>537</v>
      </c>
      <c r="J1014" s="2" t="s">
        <v>3214</v>
      </c>
      <c r="K1014" s="2" t="s">
        <v>25187</v>
      </c>
      <c r="L1014" s="2"/>
      <c r="M1014" s="2"/>
      <c r="N1014" s="2"/>
      <c r="O1014" s="2" t="s">
        <v>536</v>
      </c>
      <c r="P1014" s="2" t="s">
        <v>537</v>
      </c>
      <c r="Q1014" s="2" t="s">
        <v>3214</v>
      </c>
      <c r="R1014" s="2" t="s">
        <v>25189</v>
      </c>
      <c r="S1014" s="2" t="s">
        <v>44</v>
      </c>
      <c r="T1014" s="2"/>
      <c r="U1014" s="2" t="s">
        <v>821</v>
      </c>
      <c r="V1014" s="2" t="s">
        <v>46</v>
      </c>
      <c r="W1014" s="2" t="s">
        <v>821</v>
      </c>
      <c r="X1014" s="2" t="s">
        <v>10787</v>
      </c>
      <c r="Y1014" s="2" t="s">
        <v>10801</v>
      </c>
      <c r="Z1014" s="2" t="s">
        <v>7864</v>
      </c>
      <c r="AA1014" s="2">
        <v>90</v>
      </c>
      <c r="AB1014" s="2">
        <v>7</v>
      </c>
      <c r="AC1014" s="2" t="s">
        <v>10789</v>
      </c>
      <c r="AD1014" s="2" t="s">
        <v>25190</v>
      </c>
      <c r="AE1014" s="2" t="s">
        <v>18260</v>
      </c>
      <c r="AF1014" s="2"/>
      <c r="AG1014" s="2" t="s">
        <v>18250</v>
      </c>
    </row>
    <row r="1015" spans="1:33" x14ac:dyDescent="0.45">
      <c r="A1015" s="2" t="s">
        <v>25191</v>
      </c>
      <c r="B1015" s="2" t="s">
        <v>25192</v>
      </c>
      <c r="C1015" s="2" t="s">
        <v>25193</v>
      </c>
      <c r="D1015" s="2" t="s">
        <v>25194</v>
      </c>
      <c r="E1015" s="2" t="s">
        <v>25195</v>
      </c>
      <c r="F1015" s="2"/>
      <c r="G1015" s="2"/>
      <c r="H1015" s="2" t="s">
        <v>85</v>
      </c>
      <c r="I1015" s="2" t="s">
        <v>86</v>
      </c>
      <c r="J1015" s="2" t="s">
        <v>4500</v>
      </c>
      <c r="K1015" s="2" t="s">
        <v>25196</v>
      </c>
      <c r="L1015" s="2"/>
      <c r="M1015" s="2"/>
      <c r="N1015" s="2"/>
      <c r="O1015" s="2" t="s">
        <v>85</v>
      </c>
      <c r="P1015" s="2" t="s">
        <v>86</v>
      </c>
      <c r="Q1015" s="2" t="s">
        <v>24551</v>
      </c>
      <c r="R1015" s="2" t="s">
        <v>25197</v>
      </c>
      <c r="S1015" s="2" t="s">
        <v>44</v>
      </c>
      <c r="T1015" s="2"/>
      <c r="U1015" s="2" t="s">
        <v>3527</v>
      </c>
      <c r="V1015" s="2" t="s">
        <v>46</v>
      </c>
      <c r="W1015" s="2" t="s">
        <v>3527</v>
      </c>
      <c r="X1015" s="2" t="s">
        <v>10787</v>
      </c>
      <c r="Y1015" s="2" t="s">
        <v>10801</v>
      </c>
      <c r="Z1015" s="2" t="s">
        <v>7864</v>
      </c>
      <c r="AA1015" s="2">
        <v>90</v>
      </c>
      <c r="AB1015" s="2">
        <v>0</v>
      </c>
      <c r="AC1015" s="2" t="s">
        <v>10789</v>
      </c>
      <c r="AD1015" s="2" t="s">
        <v>25198</v>
      </c>
      <c r="AE1015" s="2" t="s">
        <v>18260</v>
      </c>
      <c r="AF1015" s="2"/>
      <c r="AG1015" s="2" t="s">
        <v>18250</v>
      </c>
    </row>
    <row r="1016" spans="1:33" x14ac:dyDescent="0.45">
      <c r="A1016" s="2" t="s">
        <v>25199</v>
      </c>
      <c r="B1016" s="2" t="s">
        <v>25200</v>
      </c>
      <c r="C1016" s="2" t="s">
        <v>25201</v>
      </c>
      <c r="D1016" s="2" t="s">
        <v>25202</v>
      </c>
      <c r="E1016" s="2" t="s">
        <v>25203</v>
      </c>
      <c r="F1016" s="2"/>
      <c r="G1016" s="2"/>
      <c r="H1016" s="2" t="s">
        <v>312</v>
      </c>
      <c r="I1016" s="2" t="s">
        <v>313</v>
      </c>
      <c r="J1016" s="2" t="s">
        <v>314</v>
      </c>
      <c r="K1016" s="2" t="s">
        <v>25204</v>
      </c>
      <c r="L1016" s="2"/>
      <c r="M1016" s="2"/>
      <c r="N1016" s="2"/>
      <c r="O1016" s="2" t="s">
        <v>12989</v>
      </c>
      <c r="P1016" s="2" t="s">
        <v>313</v>
      </c>
      <c r="Q1016" s="2" t="s">
        <v>12990</v>
      </c>
      <c r="R1016" s="2" t="s">
        <v>25205</v>
      </c>
      <c r="S1016" s="2" t="s">
        <v>44</v>
      </c>
      <c r="T1016" s="2"/>
      <c r="U1016" s="2" t="s">
        <v>3527</v>
      </c>
      <c r="V1016" s="2" t="s">
        <v>46</v>
      </c>
      <c r="W1016" s="2" t="s">
        <v>3527</v>
      </c>
      <c r="X1016" s="2" t="s">
        <v>10787</v>
      </c>
      <c r="Y1016" s="2" t="s">
        <v>10801</v>
      </c>
      <c r="Z1016" s="2" t="s">
        <v>7864</v>
      </c>
      <c r="AA1016" s="2">
        <v>90</v>
      </c>
      <c r="AB1016" s="2">
        <v>0</v>
      </c>
      <c r="AC1016" s="2" t="s">
        <v>10789</v>
      </c>
      <c r="AD1016" s="2" t="s">
        <v>25206</v>
      </c>
      <c r="AE1016" s="2" t="s">
        <v>18260</v>
      </c>
      <c r="AF1016" s="2"/>
      <c r="AG1016" s="2" t="s">
        <v>18250</v>
      </c>
    </row>
    <row r="1017" spans="1:33" x14ac:dyDescent="0.45">
      <c r="A1017" s="2" t="s">
        <v>25207</v>
      </c>
      <c r="B1017" s="2" t="s">
        <v>25208</v>
      </c>
      <c r="C1017" s="2" t="s">
        <v>25207</v>
      </c>
      <c r="D1017" s="2" t="s">
        <v>25209</v>
      </c>
      <c r="E1017" s="2" t="s">
        <v>25210</v>
      </c>
      <c r="F1017" s="2" t="s">
        <v>25211</v>
      </c>
      <c r="G1017" s="2" t="s">
        <v>25211</v>
      </c>
      <c r="H1017" s="2" t="s">
        <v>1023</v>
      </c>
      <c r="I1017" s="2" t="s">
        <v>73</v>
      </c>
      <c r="J1017" s="2" t="s">
        <v>4550</v>
      </c>
      <c r="K1017" s="2"/>
      <c r="L1017" s="2"/>
      <c r="M1017" s="2"/>
      <c r="N1017" s="2"/>
      <c r="O1017" s="2"/>
      <c r="P1017" s="2"/>
      <c r="Q1017" s="2"/>
      <c r="R1017" s="2" t="s">
        <v>10126</v>
      </c>
      <c r="S1017" s="2" t="s">
        <v>44</v>
      </c>
      <c r="T1017" s="2"/>
      <c r="U1017" s="2" t="s">
        <v>3527</v>
      </c>
      <c r="V1017" s="2" t="s">
        <v>46</v>
      </c>
      <c r="W1017" s="2" t="s">
        <v>3527</v>
      </c>
      <c r="X1017" s="2" t="s">
        <v>10787</v>
      </c>
      <c r="Y1017" s="2" t="s">
        <v>10801</v>
      </c>
      <c r="Z1017" s="2" t="s">
        <v>7864</v>
      </c>
      <c r="AA1017" s="2">
        <v>100</v>
      </c>
      <c r="AB1017" s="2">
        <v>10</v>
      </c>
      <c r="AC1017" s="2" t="s">
        <v>10789</v>
      </c>
      <c r="AD1017" s="2" t="s">
        <v>25212</v>
      </c>
      <c r="AE1017" s="2" t="s">
        <v>18260</v>
      </c>
      <c r="AF1017" s="2"/>
      <c r="AG1017" s="2" t="s">
        <v>18250</v>
      </c>
    </row>
    <row r="1018" spans="1:33" x14ac:dyDescent="0.45">
      <c r="A1018" s="2" t="s">
        <v>25213</v>
      </c>
      <c r="B1018" s="2" t="s">
        <v>25214</v>
      </c>
      <c r="C1018" s="2" t="s">
        <v>25213</v>
      </c>
      <c r="D1018" s="2" t="s">
        <v>25215</v>
      </c>
      <c r="E1018" s="2" t="s">
        <v>25216</v>
      </c>
      <c r="F1018" s="2" t="s">
        <v>25217</v>
      </c>
      <c r="G1018" s="2"/>
      <c r="H1018" s="2" t="s">
        <v>72</v>
      </c>
      <c r="I1018" s="2" t="s">
        <v>73</v>
      </c>
      <c r="J1018" s="2" t="s">
        <v>1808</v>
      </c>
      <c r="K1018" s="2" t="s">
        <v>25215</v>
      </c>
      <c r="L1018" s="2"/>
      <c r="M1018" s="2"/>
      <c r="N1018" s="2"/>
      <c r="O1018" s="2" t="s">
        <v>72</v>
      </c>
      <c r="P1018" s="2" t="s">
        <v>73</v>
      </c>
      <c r="Q1018" s="2" t="s">
        <v>1808</v>
      </c>
      <c r="R1018" s="2" t="s">
        <v>924</v>
      </c>
      <c r="S1018" s="2" t="s">
        <v>44</v>
      </c>
      <c r="T1018" s="2"/>
      <c r="U1018" s="2" t="s">
        <v>3527</v>
      </c>
      <c r="V1018" s="2" t="s">
        <v>46</v>
      </c>
      <c r="W1018" s="2" t="s">
        <v>3527</v>
      </c>
      <c r="X1018" s="2" t="s">
        <v>10787</v>
      </c>
      <c r="Y1018" s="2" t="s">
        <v>10801</v>
      </c>
      <c r="Z1018" s="2" t="s">
        <v>7864</v>
      </c>
      <c r="AA1018" s="2">
        <v>100</v>
      </c>
      <c r="AB1018" s="2">
        <v>10</v>
      </c>
      <c r="AC1018" s="2" t="s">
        <v>10789</v>
      </c>
      <c r="AD1018" s="2" t="s">
        <v>25218</v>
      </c>
      <c r="AE1018" s="2" t="s">
        <v>18260</v>
      </c>
      <c r="AF1018" s="2"/>
      <c r="AG1018" s="2" t="s">
        <v>18250</v>
      </c>
    </row>
    <row r="1019" spans="1:33" x14ac:dyDescent="0.45">
      <c r="A1019" s="2" t="s">
        <v>25219</v>
      </c>
      <c r="B1019" s="2" t="s">
        <v>25220</v>
      </c>
      <c r="C1019" s="2" t="s">
        <v>25221</v>
      </c>
      <c r="D1019" s="2" t="s">
        <v>25222</v>
      </c>
      <c r="E1019" s="2" t="s">
        <v>25223</v>
      </c>
      <c r="F1019" s="2" t="s">
        <v>25224</v>
      </c>
      <c r="G1019" s="2" t="s">
        <v>25224</v>
      </c>
      <c r="H1019" s="2" t="s">
        <v>1188</v>
      </c>
      <c r="I1019" s="2" t="s">
        <v>221</v>
      </c>
      <c r="J1019" s="2" t="s">
        <v>18793</v>
      </c>
      <c r="K1019" s="2" t="s">
        <v>25225</v>
      </c>
      <c r="L1019" s="2"/>
      <c r="M1019" s="2"/>
      <c r="N1019" s="2"/>
      <c r="O1019" s="2" t="s">
        <v>1188</v>
      </c>
      <c r="P1019" s="2" t="s">
        <v>221</v>
      </c>
      <c r="Q1019" s="2" t="s">
        <v>18793</v>
      </c>
      <c r="R1019" s="2" t="s">
        <v>10378</v>
      </c>
      <c r="S1019" s="2" t="s">
        <v>44</v>
      </c>
      <c r="T1019" s="2"/>
      <c r="U1019" s="2" t="s">
        <v>821</v>
      </c>
      <c r="V1019" s="2" t="s">
        <v>46</v>
      </c>
      <c r="W1019" s="2" t="s">
        <v>821</v>
      </c>
      <c r="X1019" s="2" t="s">
        <v>11537</v>
      </c>
      <c r="Y1019" s="2" t="s">
        <v>10801</v>
      </c>
      <c r="Z1019" s="2" t="s">
        <v>7864</v>
      </c>
      <c r="AA1019" s="2">
        <v>100</v>
      </c>
      <c r="AB1019" s="2">
        <v>17</v>
      </c>
      <c r="AC1019" s="2" t="s">
        <v>10789</v>
      </c>
      <c r="AD1019" s="2" t="s">
        <v>25226</v>
      </c>
      <c r="AE1019" s="2" t="s">
        <v>18260</v>
      </c>
      <c r="AF1019" s="2"/>
      <c r="AG1019" s="2" t="s">
        <v>18250</v>
      </c>
    </row>
    <row r="1020" spans="1:33" x14ac:dyDescent="0.45">
      <c r="A1020" s="2" t="s">
        <v>25227</v>
      </c>
      <c r="B1020" s="2" t="s">
        <v>25228</v>
      </c>
      <c r="C1020" s="2" t="s">
        <v>25227</v>
      </c>
      <c r="D1020" s="2" t="s">
        <v>25229</v>
      </c>
      <c r="E1020" s="2" t="s">
        <v>25230</v>
      </c>
      <c r="F1020" s="2" t="s">
        <v>25231</v>
      </c>
      <c r="G1020" s="2" t="s">
        <v>25231</v>
      </c>
      <c r="H1020" s="2" t="s">
        <v>18323</v>
      </c>
      <c r="I1020" s="2" t="s">
        <v>221</v>
      </c>
      <c r="J1020" s="2" t="s">
        <v>20892</v>
      </c>
      <c r="K1020" s="2"/>
      <c r="L1020" s="2"/>
      <c r="M1020" s="2"/>
      <c r="N1020" s="2"/>
      <c r="O1020" s="2"/>
      <c r="P1020" s="2"/>
      <c r="Q1020" s="2"/>
      <c r="R1020" s="2" t="s">
        <v>5594</v>
      </c>
      <c r="S1020" s="2" t="s">
        <v>44</v>
      </c>
      <c r="T1020" s="2"/>
      <c r="U1020" s="2" t="s">
        <v>821</v>
      </c>
      <c r="V1020" s="2" t="s">
        <v>46</v>
      </c>
      <c r="W1020" s="2" t="s">
        <v>821</v>
      </c>
      <c r="X1020" s="2" t="s">
        <v>10787</v>
      </c>
      <c r="Y1020" s="2" t="s">
        <v>10801</v>
      </c>
      <c r="Z1020" s="2" t="s">
        <v>7864</v>
      </c>
      <c r="AA1020" s="2">
        <v>100</v>
      </c>
      <c r="AB1020" s="2">
        <v>12</v>
      </c>
      <c r="AC1020" s="2" t="s">
        <v>10789</v>
      </c>
      <c r="AD1020" s="2" t="s">
        <v>25232</v>
      </c>
      <c r="AE1020" s="2" t="s">
        <v>18260</v>
      </c>
      <c r="AF1020" s="2"/>
      <c r="AG1020" s="2" t="s">
        <v>18250</v>
      </c>
    </row>
    <row r="1021" spans="1:33" x14ac:dyDescent="0.45">
      <c r="A1021" s="2" t="s">
        <v>25233</v>
      </c>
      <c r="B1021" s="2" t="s">
        <v>25234</v>
      </c>
      <c r="C1021" s="2" t="s">
        <v>25235</v>
      </c>
      <c r="D1021" s="2" t="s">
        <v>25236</v>
      </c>
      <c r="E1021" s="2" t="s">
        <v>25237</v>
      </c>
      <c r="F1021" s="2" t="s">
        <v>25238</v>
      </c>
      <c r="G1021" s="2" t="s">
        <v>25238</v>
      </c>
      <c r="H1021" s="2" t="s">
        <v>8495</v>
      </c>
      <c r="I1021" s="2" t="s">
        <v>8496</v>
      </c>
      <c r="J1021" s="2" t="s">
        <v>17175</v>
      </c>
      <c r="K1021" s="2"/>
      <c r="L1021" s="2"/>
      <c r="M1021" s="2"/>
      <c r="N1021" s="2"/>
      <c r="O1021" s="2"/>
      <c r="P1021" s="2"/>
      <c r="Q1021" s="2"/>
      <c r="R1021" s="2" t="s">
        <v>10224</v>
      </c>
      <c r="S1021" s="2" t="s">
        <v>44</v>
      </c>
      <c r="T1021" s="2"/>
      <c r="U1021" s="2" t="s">
        <v>3527</v>
      </c>
      <c r="V1021" s="2" t="s">
        <v>46</v>
      </c>
      <c r="W1021" s="2" t="s">
        <v>3527</v>
      </c>
      <c r="X1021" s="2" t="s">
        <v>10787</v>
      </c>
      <c r="Y1021" s="2" t="s">
        <v>10801</v>
      </c>
      <c r="Z1021" s="2" t="s">
        <v>7864</v>
      </c>
      <c r="AA1021" s="2">
        <v>100</v>
      </c>
      <c r="AB1021" s="2">
        <v>5</v>
      </c>
      <c r="AC1021" s="2" t="s">
        <v>10789</v>
      </c>
      <c r="AD1021" s="2" t="s">
        <v>25239</v>
      </c>
      <c r="AE1021" s="2" t="s">
        <v>18260</v>
      </c>
      <c r="AF1021" s="2"/>
      <c r="AG1021" s="2" t="s">
        <v>18250</v>
      </c>
    </row>
    <row r="1022" spans="1:33" x14ac:dyDescent="0.45">
      <c r="A1022" s="2" t="s">
        <v>25240</v>
      </c>
      <c r="B1022" s="2" t="s">
        <v>25241</v>
      </c>
      <c r="C1022" s="2" t="s">
        <v>12975</v>
      </c>
      <c r="D1022" s="2" t="s">
        <v>25242</v>
      </c>
      <c r="E1022" s="2" t="s">
        <v>25243</v>
      </c>
      <c r="F1022" s="2" t="s">
        <v>25244</v>
      </c>
      <c r="G1022" s="2"/>
      <c r="H1022" s="2" t="s">
        <v>72</v>
      </c>
      <c r="I1022" s="2" t="s">
        <v>73</v>
      </c>
      <c r="J1022" s="2" t="s">
        <v>2222</v>
      </c>
      <c r="K1022" s="2" t="s">
        <v>25242</v>
      </c>
      <c r="L1022" s="2"/>
      <c r="M1022" s="2"/>
      <c r="N1022" s="2"/>
      <c r="O1022" s="2" t="s">
        <v>72</v>
      </c>
      <c r="P1022" s="2" t="s">
        <v>73</v>
      </c>
      <c r="Q1022" s="2" t="s">
        <v>2222</v>
      </c>
      <c r="R1022" s="2" t="s">
        <v>25245</v>
      </c>
      <c r="S1022" s="2" t="s">
        <v>44</v>
      </c>
      <c r="T1022" s="2"/>
      <c r="U1022" s="2" t="s">
        <v>3527</v>
      </c>
      <c r="V1022" s="2" t="s">
        <v>46</v>
      </c>
      <c r="W1022" s="2" t="s">
        <v>3527</v>
      </c>
      <c r="X1022" s="2" t="s">
        <v>10787</v>
      </c>
      <c r="Y1022" s="2" t="s">
        <v>10801</v>
      </c>
      <c r="Z1022" s="2" t="s">
        <v>7864</v>
      </c>
      <c r="AA1022" s="2">
        <v>100</v>
      </c>
      <c r="AB1022" s="2">
        <v>10</v>
      </c>
      <c r="AC1022" s="2" t="s">
        <v>10789</v>
      </c>
      <c r="AD1022" s="2" t="s">
        <v>25246</v>
      </c>
      <c r="AE1022" s="2" t="s">
        <v>18260</v>
      </c>
      <c r="AF1022" s="2"/>
      <c r="AG1022" s="2" t="s">
        <v>18250</v>
      </c>
    </row>
    <row r="1023" spans="1:33" x14ac:dyDescent="0.45">
      <c r="A1023" s="2" t="s">
        <v>25247</v>
      </c>
      <c r="B1023" s="2" t="s">
        <v>25248</v>
      </c>
      <c r="C1023" s="2" t="s">
        <v>25247</v>
      </c>
      <c r="D1023" s="2" t="s">
        <v>25249</v>
      </c>
      <c r="E1023" s="2" t="s">
        <v>25250</v>
      </c>
      <c r="F1023" s="2"/>
      <c r="G1023" s="2"/>
      <c r="H1023" s="2" t="s">
        <v>651</v>
      </c>
      <c r="I1023" s="2" t="s">
        <v>86</v>
      </c>
      <c r="J1023" s="2" t="s">
        <v>1376</v>
      </c>
      <c r="K1023" s="2" t="s">
        <v>25249</v>
      </c>
      <c r="L1023" s="2"/>
      <c r="M1023" s="2"/>
      <c r="N1023" s="2"/>
      <c r="O1023" s="2" t="s">
        <v>651</v>
      </c>
      <c r="P1023" s="2" t="s">
        <v>86</v>
      </c>
      <c r="Q1023" s="2" t="s">
        <v>1376</v>
      </c>
      <c r="R1023" s="2" t="s">
        <v>10010</v>
      </c>
      <c r="S1023" s="2" t="s">
        <v>44</v>
      </c>
      <c r="T1023" s="2"/>
      <c r="U1023" s="2" t="s">
        <v>3527</v>
      </c>
      <c r="V1023" s="2" t="s">
        <v>46</v>
      </c>
      <c r="W1023" s="2" t="s">
        <v>3527</v>
      </c>
      <c r="X1023" s="2" t="s">
        <v>10787</v>
      </c>
      <c r="Y1023" s="2" t="s">
        <v>10801</v>
      </c>
      <c r="Z1023" s="2" t="s">
        <v>7864</v>
      </c>
      <c r="AA1023" s="2">
        <v>90</v>
      </c>
      <c r="AB1023" s="2">
        <v>0</v>
      </c>
      <c r="AC1023" s="2" t="s">
        <v>10789</v>
      </c>
      <c r="AD1023" s="2" t="s">
        <v>25251</v>
      </c>
      <c r="AE1023" s="2" t="s">
        <v>18260</v>
      </c>
      <c r="AF1023" s="2"/>
      <c r="AG1023" s="2" t="s">
        <v>18250</v>
      </c>
    </row>
    <row r="1024" spans="1:33" x14ac:dyDescent="0.45">
      <c r="A1024" s="2" t="s">
        <v>25252</v>
      </c>
      <c r="B1024" s="2" t="s">
        <v>25253</v>
      </c>
      <c r="C1024" s="2" t="s">
        <v>25252</v>
      </c>
      <c r="D1024" s="2" t="s">
        <v>25254</v>
      </c>
      <c r="E1024" s="2" t="s">
        <v>25255</v>
      </c>
      <c r="F1024" s="2" t="s">
        <v>25256</v>
      </c>
      <c r="G1024" s="2" t="s">
        <v>25256</v>
      </c>
      <c r="H1024" s="2" t="s">
        <v>312</v>
      </c>
      <c r="I1024" s="2" t="s">
        <v>313</v>
      </c>
      <c r="J1024" s="2" t="s">
        <v>7647</v>
      </c>
      <c r="K1024" s="2"/>
      <c r="L1024" s="2"/>
      <c r="M1024" s="2"/>
      <c r="N1024" s="2"/>
      <c r="O1024" s="2"/>
      <c r="P1024" s="2"/>
      <c r="Q1024" s="2"/>
      <c r="R1024" s="2" t="s">
        <v>5785</v>
      </c>
      <c r="S1024" s="2" t="s">
        <v>44</v>
      </c>
      <c r="T1024" s="2"/>
      <c r="U1024" s="2" t="s">
        <v>3527</v>
      </c>
      <c r="V1024" s="2" t="s">
        <v>46</v>
      </c>
      <c r="W1024" s="2" t="s">
        <v>3527</v>
      </c>
      <c r="X1024" s="2" t="s">
        <v>10787</v>
      </c>
      <c r="Y1024" s="2" t="s">
        <v>10801</v>
      </c>
      <c r="Z1024" s="2" t="s">
        <v>7864</v>
      </c>
      <c r="AA1024" s="2">
        <v>100</v>
      </c>
      <c r="AB1024" s="2">
        <v>10</v>
      </c>
      <c r="AC1024" s="2" t="s">
        <v>10789</v>
      </c>
      <c r="AD1024" s="2" t="s">
        <v>25257</v>
      </c>
      <c r="AE1024" s="2" t="s">
        <v>18260</v>
      </c>
      <c r="AF1024" s="2"/>
      <c r="AG1024" s="2" t="s">
        <v>18250</v>
      </c>
    </row>
    <row r="1025" spans="1:33" x14ac:dyDescent="0.45">
      <c r="A1025" s="2" t="s">
        <v>25258</v>
      </c>
      <c r="B1025" s="2" t="s">
        <v>25259</v>
      </c>
      <c r="C1025" s="2" t="s">
        <v>25260</v>
      </c>
      <c r="D1025" s="2" t="s">
        <v>25261</v>
      </c>
      <c r="E1025" s="2" t="s">
        <v>25262</v>
      </c>
      <c r="F1025" s="2" t="s">
        <v>25263</v>
      </c>
      <c r="G1025" s="2"/>
      <c r="H1025" s="2" t="s">
        <v>13766</v>
      </c>
      <c r="I1025" s="2" t="s">
        <v>1137</v>
      </c>
      <c r="J1025" s="2" t="s">
        <v>18229</v>
      </c>
      <c r="K1025" s="2"/>
      <c r="L1025" s="2"/>
      <c r="M1025" s="2"/>
      <c r="N1025" s="2"/>
      <c r="O1025" s="2"/>
      <c r="P1025" s="2"/>
      <c r="Q1025" s="2"/>
      <c r="R1025" s="2" t="s">
        <v>25264</v>
      </c>
      <c r="S1025" s="2" t="s">
        <v>44</v>
      </c>
      <c r="T1025" s="2"/>
      <c r="U1025" s="2" t="s">
        <v>3527</v>
      </c>
      <c r="V1025" s="2" t="s">
        <v>46</v>
      </c>
      <c r="W1025" s="2" t="s">
        <v>3527</v>
      </c>
      <c r="X1025" s="2" t="s">
        <v>10787</v>
      </c>
      <c r="Y1025" s="2" t="s">
        <v>10801</v>
      </c>
      <c r="Z1025" s="2" t="s">
        <v>7864</v>
      </c>
      <c r="AA1025" s="2">
        <v>100</v>
      </c>
      <c r="AB1025" s="2">
        <v>5</v>
      </c>
      <c r="AC1025" s="2" t="s">
        <v>10789</v>
      </c>
      <c r="AD1025" s="2" t="s">
        <v>25265</v>
      </c>
      <c r="AE1025" s="2" t="s">
        <v>18260</v>
      </c>
      <c r="AF1025" s="2"/>
      <c r="AG1025" s="2" t="s">
        <v>18250</v>
      </c>
    </row>
    <row r="1026" spans="1:33" x14ac:dyDescent="0.45">
      <c r="A1026" s="2" t="s">
        <v>25266</v>
      </c>
      <c r="B1026" s="2" t="s">
        <v>25267</v>
      </c>
      <c r="C1026" s="2" t="s">
        <v>25266</v>
      </c>
      <c r="D1026" s="2" t="s">
        <v>25268</v>
      </c>
      <c r="E1026" s="2" t="s">
        <v>25269</v>
      </c>
      <c r="F1026" s="2"/>
      <c r="G1026" s="2"/>
      <c r="H1026" s="2" t="s">
        <v>1208</v>
      </c>
      <c r="I1026" s="2" t="s">
        <v>1209</v>
      </c>
      <c r="J1026" s="2" t="s">
        <v>1210</v>
      </c>
      <c r="K1026" s="2" t="s">
        <v>25270</v>
      </c>
      <c r="L1026" s="2"/>
      <c r="M1026" s="2"/>
      <c r="N1026" s="2"/>
      <c r="O1026" s="2" t="s">
        <v>312</v>
      </c>
      <c r="P1026" s="2" t="s">
        <v>313</v>
      </c>
      <c r="Q1026" s="2" t="s">
        <v>7647</v>
      </c>
      <c r="R1026" s="2" t="s">
        <v>589</v>
      </c>
      <c r="S1026" s="2" t="s">
        <v>44</v>
      </c>
      <c r="T1026" s="2"/>
      <c r="U1026" s="2" t="s">
        <v>3527</v>
      </c>
      <c r="V1026" s="2" t="s">
        <v>46</v>
      </c>
      <c r="W1026" s="2" t="s">
        <v>3527</v>
      </c>
      <c r="X1026" s="2" t="s">
        <v>10787</v>
      </c>
      <c r="Y1026" s="2" t="s">
        <v>10801</v>
      </c>
      <c r="Z1026" s="2" t="s">
        <v>7864</v>
      </c>
      <c r="AA1026" s="2">
        <v>90</v>
      </c>
      <c r="AB1026" s="2">
        <v>0</v>
      </c>
      <c r="AC1026" s="2" t="s">
        <v>10789</v>
      </c>
      <c r="AD1026" s="2" t="s">
        <v>25271</v>
      </c>
      <c r="AE1026" s="2" t="s">
        <v>18260</v>
      </c>
      <c r="AF1026" s="2"/>
      <c r="AG1026" s="2" t="s">
        <v>18250</v>
      </c>
    </row>
    <row r="1027" spans="1:33" x14ac:dyDescent="0.45">
      <c r="A1027" s="2" t="s">
        <v>25272</v>
      </c>
      <c r="B1027" s="2" t="s">
        <v>25273</v>
      </c>
      <c r="C1027" s="2" t="s">
        <v>25274</v>
      </c>
      <c r="D1027" s="2" t="s">
        <v>25275</v>
      </c>
      <c r="E1027" s="2" t="s">
        <v>25276</v>
      </c>
      <c r="F1027" s="2" t="s">
        <v>25277</v>
      </c>
      <c r="G1027" s="2" t="s">
        <v>25277</v>
      </c>
      <c r="H1027" s="2" t="s">
        <v>72</v>
      </c>
      <c r="I1027" s="2" t="s">
        <v>73</v>
      </c>
      <c r="J1027" s="2" t="s">
        <v>607</v>
      </c>
      <c r="K1027" s="2"/>
      <c r="L1027" s="2"/>
      <c r="M1027" s="2"/>
      <c r="N1027" s="2"/>
      <c r="O1027" s="2"/>
      <c r="P1027" s="2"/>
      <c r="Q1027" s="2"/>
      <c r="R1027" s="2" t="s">
        <v>9511</v>
      </c>
      <c r="S1027" s="2" t="s">
        <v>44</v>
      </c>
      <c r="T1027" s="2"/>
      <c r="U1027" s="2" t="s">
        <v>3527</v>
      </c>
      <c r="V1027" s="2" t="s">
        <v>46</v>
      </c>
      <c r="W1027" s="2" t="s">
        <v>3527</v>
      </c>
      <c r="X1027" s="2" t="s">
        <v>10787</v>
      </c>
      <c r="Y1027" s="2" t="s">
        <v>10801</v>
      </c>
      <c r="Z1027" s="2" t="s">
        <v>7864</v>
      </c>
      <c r="AA1027" s="2">
        <v>100</v>
      </c>
      <c r="AB1027" s="2">
        <v>10</v>
      </c>
      <c r="AC1027" s="2" t="s">
        <v>10789</v>
      </c>
      <c r="AD1027" s="2" t="s">
        <v>25278</v>
      </c>
      <c r="AE1027" s="2" t="s">
        <v>18260</v>
      </c>
      <c r="AF1027" s="2"/>
      <c r="AG1027" s="2" t="s">
        <v>18250</v>
      </c>
    </row>
    <row r="1028" spans="1:33" x14ac:dyDescent="0.45">
      <c r="A1028" s="2" t="s">
        <v>25279</v>
      </c>
      <c r="B1028" s="2" t="s">
        <v>25280</v>
      </c>
      <c r="C1028" s="2" t="s">
        <v>25281</v>
      </c>
      <c r="D1028" s="2" t="s">
        <v>25282</v>
      </c>
      <c r="E1028" s="2" t="s">
        <v>25283</v>
      </c>
      <c r="F1028" s="2"/>
      <c r="G1028" s="2"/>
      <c r="H1028" s="2" t="s">
        <v>72</v>
      </c>
      <c r="I1028" s="2" t="s">
        <v>73</v>
      </c>
      <c r="J1028" s="2" t="s">
        <v>162</v>
      </c>
      <c r="K1028" s="2" t="s">
        <v>25282</v>
      </c>
      <c r="L1028" s="2"/>
      <c r="M1028" s="2"/>
      <c r="N1028" s="2"/>
      <c r="O1028" s="2" t="s">
        <v>72</v>
      </c>
      <c r="P1028" s="2" t="s">
        <v>73</v>
      </c>
      <c r="Q1028" s="2" t="s">
        <v>162</v>
      </c>
      <c r="R1028" s="2" t="s">
        <v>25284</v>
      </c>
      <c r="S1028" s="2" t="s">
        <v>44</v>
      </c>
      <c r="T1028" s="2"/>
      <c r="U1028" s="2" t="s">
        <v>3527</v>
      </c>
      <c r="V1028" s="2" t="s">
        <v>46</v>
      </c>
      <c r="W1028" s="2" t="s">
        <v>3527</v>
      </c>
      <c r="X1028" s="2" t="s">
        <v>10787</v>
      </c>
      <c r="Y1028" s="2" t="s">
        <v>10801</v>
      </c>
      <c r="Z1028" s="2" t="s">
        <v>7864</v>
      </c>
      <c r="AA1028" s="2">
        <v>90</v>
      </c>
      <c r="AB1028" s="2">
        <v>0</v>
      </c>
      <c r="AC1028" s="2" t="s">
        <v>10789</v>
      </c>
      <c r="AD1028" s="2" t="s">
        <v>25285</v>
      </c>
      <c r="AE1028" s="2" t="s">
        <v>18260</v>
      </c>
      <c r="AF1028" s="2"/>
      <c r="AG1028" s="2" t="s">
        <v>18250</v>
      </c>
    </row>
    <row r="1029" spans="1:33" x14ac:dyDescent="0.45">
      <c r="A1029" s="2" t="s">
        <v>25286</v>
      </c>
      <c r="B1029" s="2" t="s">
        <v>25287</v>
      </c>
      <c r="C1029" s="2" t="s">
        <v>25288</v>
      </c>
      <c r="D1029" s="2" t="s">
        <v>25289</v>
      </c>
      <c r="E1029" s="2" t="s">
        <v>25290</v>
      </c>
      <c r="F1029" s="2" t="s">
        <v>25291</v>
      </c>
      <c r="G1029" s="2" t="s">
        <v>25291</v>
      </c>
      <c r="H1029" s="2" t="s">
        <v>72</v>
      </c>
      <c r="I1029" s="2" t="s">
        <v>73</v>
      </c>
      <c r="J1029" s="2" t="s">
        <v>1808</v>
      </c>
      <c r="K1029" s="2" t="s">
        <v>25289</v>
      </c>
      <c r="L1029" s="2"/>
      <c r="M1029" s="2"/>
      <c r="N1029" s="2"/>
      <c r="O1029" s="2" t="s">
        <v>72</v>
      </c>
      <c r="P1029" s="2" t="s">
        <v>73</v>
      </c>
      <c r="Q1029" s="2" t="s">
        <v>1808</v>
      </c>
      <c r="R1029" s="2" t="s">
        <v>10515</v>
      </c>
      <c r="S1029" s="2" t="s">
        <v>44</v>
      </c>
      <c r="T1029" s="2"/>
      <c r="U1029" s="2" t="s">
        <v>3527</v>
      </c>
      <c r="V1029" s="2" t="s">
        <v>46</v>
      </c>
      <c r="W1029" s="2" t="s">
        <v>3527</v>
      </c>
      <c r="X1029" s="2" t="s">
        <v>10787</v>
      </c>
      <c r="Y1029" s="2" t="s">
        <v>10801</v>
      </c>
      <c r="Z1029" s="2" t="s">
        <v>7864</v>
      </c>
      <c r="AA1029" s="2">
        <v>100</v>
      </c>
      <c r="AB1029" s="2">
        <v>10</v>
      </c>
      <c r="AC1029" s="2" t="s">
        <v>10789</v>
      </c>
      <c r="AD1029" s="2" t="s">
        <v>25292</v>
      </c>
      <c r="AE1029" s="2" t="s">
        <v>18260</v>
      </c>
      <c r="AF1029" s="2"/>
      <c r="AG1029" s="2" t="s">
        <v>18250</v>
      </c>
    </row>
    <row r="1030" spans="1:33" x14ac:dyDescent="0.45">
      <c r="A1030" s="2" t="s">
        <v>25293</v>
      </c>
      <c r="B1030" s="2" t="s">
        <v>25294</v>
      </c>
      <c r="C1030" s="2" t="s">
        <v>25295</v>
      </c>
      <c r="D1030" s="2" t="s">
        <v>25296</v>
      </c>
      <c r="E1030" s="2" t="s">
        <v>25297</v>
      </c>
      <c r="F1030" s="2"/>
      <c r="G1030" s="2"/>
      <c r="H1030" s="2" t="s">
        <v>72</v>
      </c>
      <c r="I1030" s="2" t="s">
        <v>73</v>
      </c>
      <c r="J1030" s="2" t="s">
        <v>11323</v>
      </c>
      <c r="K1030" s="2" t="s">
        <v>25296</v>
      </c>
      <c r="L1030" s="2"/>
      <c r="M1030" s="2"/>
      <c r="N1030" s="2"/>
      <c r="O1030" s="2" t="s">
        <v>72</v>
      </c>
      <c r="P1030" s="2" t="s">
        <v>73</v>
      </c>
      <c r="Q1030" s="2" t="s">
        <v>11323</v>
      </c>
      <c r="R1030" s="2" t="s">
        <v>6949</v>
      </c>
      <c r="S1030" s="2" t="s">
        <v>44</v>
      </c>
      <c r="T1030" s="2"/>
      <c r="U1030" s="2" t="s">
        <v>3527</v>
      </c>
      <c r="V1030" s="2" t="s">
        <v>46</v>
      </c>
      <c r="W1030" s="2" t="s">
        <v>3527</v>
      </c>
      <c r="X1030" s="2" t="s">
        <v>10787</v>
      </c>
      <c r="Y1030" s="2" t="s">
        <v>10801</v>
      </c>
      <c r="Z1030" s="2" t="s">
        <v>7864</v>
      </c>
      <c r="AA1030" s="2">
        <v>90</v>
      </c>
      <c r="AB1030" s="2">
        <v>0</v>
      </c>
      <c r="AC1030" s="2" t="s">
        <v>10789</v>
      </c>
      <c r="AD1030" s="2" t="s">
        <v>25298</v>
      </c>
      <c r="AE1030" s="2" t="s">
        <v>18260</v>
      </c>
      <c r="AF1030" s="2"/>
      <c r="AG1030" s="2" t="s">
        <v>18250</v>
      </c>
    </row>
    <row r="1031" spans="1:33" x14ac:dyDescent="0.45">
      <c r="A1031" s="2" t="s">
        <v>25299</v>
      </c>
      <c r="B1031" s="2" t="s">
        <v>25300</v>
      </c>
      <c r="C1031" s="2" t="s">
        <v>25299</v>
      </c>
      <c r="D1031" s="2" t="s">
        <v>25301</v>
      </c>
      <c r="E1031" s="2" t="s">
        <v>25302</v>
      </c>
      <c r="F1031" s="2"/>
      <c r="G1031" s="2"/>
      <c r="H1031" s="2" t="s">
        <v>1115</v>
      </c>
      <c r="I1031" s="2" t="s">
        <v>1112</v>
      </c>
      <c r="J1031" s="2" t="s">
        <v>25303</v>
      </c>
      <c r="K1031" s="2" t="s">
        <v>25301</v>
      </c>
      <c r="L1031" s="2"/>
      <c r="M1031" s="2"/>
      <c r="N1031" s="2"/>
      <c r="O1031" s="2" t="s">
        <v>1115</v>
      </c>
      <c r="P1031" s="2" t="s">
        <v>1112</v>
      </c>
      <c r="Q1031" s="2" t="s">
        <v>25303</v>
      </c>
      <c r="R1031" s="2" t="s">
        <v>164</v>
      </c>
      <c r="S1031" s="2" t="s">
        <v>44</v>
      </c>
      <c r="T1031" s="2"/>
      <c r="U1031" s="2" t="s">
        <v>3527</v>
      </c>
      <c r="V1031" s="2" t="s">
        <v>46</v>
      </c>
      <c r="W1031" s="2" t="s">
        <v>3527</v>
      </c>
      <c r="X1031" s="2" t="s">
        <v>10787</v>
      </c>
      <c r="Y1031" s="2" t="s">
        <v>10801</v>
      </c>
      <c r="Z1031" s="2" t="s">
        <v>7864</v>
      </c>
      <c r="AA1031" s="2">
        <v>90</v>
      </c>
      <c r="AB1031" s="2">
        <v>0</v>
      </c>
      <c r="AC1031" s="2" t="s">
        <v>10789</v>
      </c>
      <c r="AD1031" s="2" t="s">
        <v>25304</v>
      </c>
      <c r="AE1031" s="2" t="s">
        <v>18260</v>
      </c>
      <c r="AF1031" s="2"/>
      <c r="AG1031" s="2" t="s">
        <v>18250</v>
      </c>
    </row>
    <row r="1032" spans="1:33" x14ac:dyDescent="0.45">
      <c r="A1032" s="2" t="s">
        <v>25305</v>
      </c>
      <c r="B1032" s="2" t="s">
        <v>25306</v>
      </c>
      <c r="C1032" s="2" t="s">
        <v>25305</v>
      </c>
      <c r="D1032" s="2" t="s">
        <v>25307</v>
      </c>
      <c r="E1032" s="2" t="s">
        <v>25308</v>
      </c>
      <c r="F1032" s="2" t="s">
        <v>25309</v>
      </c>
      <c r="G1032" s="2"/>
      <c r="H1032" s="2" t="s">
        <v>17659</v>
      </c>
      <c r="I1032" s="2" t="s">
        <v>217</v>
      </c>
      <c r="J1032" s="2" t="s">
        <v>25310</v>
      </c>
      <c r="K1032" s="2" t="s">
        <v>25307</v>
      </c>
      <c r="L1032" s="2"/>
      <c r="M1032" s="2"/>
      <c r="N1032" s="2"/>
      <c r="O1032" s="2" t="s">
        <v>17659</v>
      </c>
      <c r="P1032" s="2" t="s">
        <v>217</v>
      </c>
      <c r="Q1032" s="2" t="s">
        <v>25310</v>
      </c>
      <c r="R1032" s="2" t="s">
        <v>4867</v>
      </c>
      <c r="S1032" s="2" t="s">
        <v>44</v>
      </c>
      <c r="T1032" s="2"/>
      <c r="U1032" s="2" t="s">
        <v>3527</v>
      </c>
      <c r="V1032" s="2" t="s">
        <v>46</v>
      </c>
      <c r="W1032" s="2" t="s">
        <v>3527</v>
      </c>
      <c r="X1032" s="2" t="s">
        <v>10787</v>
      </c>
      <c r="Y1032" s="2" t="s">
        <v>10801</v>
      </c>
      <c r="Z1032" s="2" t="s">
        <v>7864</v>
      </c>
      <c r="AA1032" s="2">
        <v>100</v>
      </c>
      <c r="AB1032" s="2">
        <v>5</v>
      </c>
      <c r="AC1032" s="2" t="s">
        <v>10789</v>
      </c>
      <c r="AD1032" s="2" t="s">
        <v>25311</v>
      </c>
      <c r="AE1032" s="2" t="s">
        <v>18260</v>
      </c>
      <c r="AF1032" s="2"/>
      <c r="AG1032" s="2" t="s">
        <v>18250</v>
      </c>
    </row>
    <row r="1033" spans="1:33" x14ac:dyDescent="0.45">
      <c r="A1033" s="2" t="s">
        <v>25312</v>
      </c>
      <c r="B1033" s="2" t="s">
        <v>25313</v>
      </c>
      <c r="C1033" s="2" t="s">
        <v>25312</v>
      </c>
      <c r="D1033" s="2" t="s">
        <v>25314</v>
      </c>
      <c r="E1033" s="2" t="s">
        <v>25315</v>
      </c>
      <c r="F1033" s="2"/>
      <c r="G1033" s="2"/>
      <c r="H1033" s="2" t="s">
        <v>1136</v>
      </c>
      <c r="I1033" s="2" t="s">
        <v>1137</v>
      </c>
      <c r="J1033" s="2" t="s">
        <v>5996</v>
      </c>
      <c r="K1033" s="2"/>
      <c r="L1033" s="2"/>
      <c r="M1033" s="2"/>
      <c r="N1033" s="2"/>
      <c r="O1033" s="2"/>
      <c r="P1033" s="2"/>
      <c r="Q1033" s="2"/>
      <c r="R1033" s="2" t="s">
        <v>4378</v>
      </c>
      <c r="S1033" s="2" t="s">
        <v>44</v>
      </c>
      <c r="T1033" s="2"/>
      <c r="U1033" s="2" t="s">
        <v>3527</v>
      </c>
      <c r="V1033" s="2" t="s">
        <v>46</v>
      </c>
      <c r="W1033" s="2" t="s">
        <v>3527</v>
      </c>
      <c r="X1033" s="2" t="s">
        <v>10787</v>
      </c>
      <c r="Y1033" s="2" t="s">
        <v>10801</v>
      </c>
      <c r="Z1033" s="2" t="s">
        <v>7864</v>
      </c>
      <c r="AA1033" s="2">
        <v>90</v>
      </c>
      <c r="AB1033" s="2">
        <v>0</v>
      </c>
      <c r="AC1033" s="2" t="s">
        <v>10789</v>
      </c>
      <c r="AD1033" s="2" t="s">
        <v>25316</v>
      </c>
      <c r="AE1033" s="2" t="s">
        <v>18260</v>
      </c>
      <c r="AF1033" s="2"/>
      <c r="AG1033" s="2" t="s">
        <v>18250</v>
      </c>
    </row>
    <row r="1034" spans="1:33" x14ac:dyDescent="0.45">
      <c r="A1034" s="2" t="s">
        <v>25317</v>
      </c>
      <c r="B1034" s="2" t="s">
        <v>25318</v>
      </c>
      <c r="C1034" s="2" t="s">
        <v>25317</v>
      </c>
      <c r="D1034" s="2" t="s">
        <v>25319</v>
      </c>
      <c r="E1034" s="2" t="s">
        <v>25320</v>
      </c>
      <c r="F1034" s="2" t="s">
        <v>25321</v>
      </c>
      <c r="G1034" s="2"/>
      <c r="H1034" s="2" t="s">
        <v>59</v>
      </c>
      <c r="I1034" s="2" t="s">
        <v>60</v>
      </c>
      <c r="J1034" s="2" t="s">
        <v>5251</v>
      </c>
      <c r="K1034" s="2" t="s">
        <v>25322</v>
      </c>
      <c r="L1034" s="2"/>
      <c r="M1034" s="2"/>
      <c r="N1034" s="2"/>
      <c r="O1034" s="2" t="s">
        <v>59</v>
      </c>
      <c r="P1034" s="2" t="s">
        <v>60</v>
      </c>
      <c r="Q1034" s="2" t="s">
        <v>5251</v>
      </c>
      <c r="R1034" s="2" t="s">
        <v>3819</v>
      </c>
      <c r="S1034" s="2" t="s">
        <v>44</v>
      </c>
      <c r="T1034" s="2"/>
      <c r="U1034" s="2" t="s">
        <v>821</v>
      </c>
      <c r="V1034" s="2" t="s">
        <v>46</v>
      </c>
      <c r="W1034" s="2" t="s">
        <v>821</v>
      </c>
      <c r="X1034" s="2" t="s">
        <v>10787</v>
      </c>
      <c r="Y1034" s="2" t="s">
        <v>10801</v>
      </c>
      <c r="Z1034" s="2" t="s">
        <v>7864</v>
      </c>
      <c r="AA1034" s="2">
        <v>100</v>
      </c>
      <c r="AB1034" s="2">
        <v>17</v>
      </c>
      <c r="AC1034" s="2" t="s">
        <v>10789</v>
      </c>
      <c r="AD1034" s="2" t="s">
        <v>25323</v>
      </c>
      <c r="AE1034" s="2" t="s">
        <v>18260</v>
      </c>
      <c r="AF1034" s="2"/>
      <c r="AG1034" s="2" t="s">
        <v>18250</v>
      </c>
    </row>
    <row r="1035" spans="1:33" x14ac:dyDescent="0.45">
      <c r="A1035" s="2" t="s">
        <v>25324</v>
      </c>
      <c r="B1035" s="2" t="s">
        <v>25325</v>
      </c>
      <c r="C1035" s="2" t="s">
        <v>25326</v>
      </c>
      <c r="D1035" s="2" t="s">
        <v>25327</v>
      </c>
      <c r="E1035" s="2" t="s">
        <v>25328</v>
      </c>
      <c r="F1035" s="2"/>
      <c r="G1035" s="2"/>
      <c r="H1035" s="2" t="s">
        <v>59</v>
      </c>
      <c r="I1035" s="2" t="s">
        <v>60</v>
      </c>
      <c r="J1035" s="2" t="s">
        <v>5603</v>
      </c>
      <c r="K1035" s="2" t="s">
        <v>25327</v>
      </c>
      <c r="L1035" s="2"/>
      <c r="M1035" s="2"/>
      <c r="N1035" s="2"/>
      <c r="O1035" s="2" t="s">
        <v>59</v>
      </c>
      <c r="P1035" s="2" t="s">
        <v>60</v>
      </c>
      <c r="Q1035" s="2" t="s">
        <v>5603</v>
      </c>
      <c r="R1035" s="2" t="s">
        <v>25329</v>
      </c>
      <c r="S1035" s="2" t="s">
        <v>44</v>
      </c>
      <c r="T1035" s="2"/>
      <c r="U1035" s="2" t="s">
        <v>3527</v>
      </c>
      <c r="V1035" s="2" t="s">
        <v>46</v>
      </c>
      <c r="W1035" s="2" t="s">
        <v>3527</v>
      </c>
      <c r="X1035" s="2" t="s">
        <v>10787</v>
      </c>
      <c r="Y1035" s="2" t="s">
        <v>10801</v>
      </c>
      <c r="Z1035" s="2" t="s">
        <v>7864</v>
      </c>
      <c r="AA1035" s="2">
        <v>90</v>
      </c>
      <c r="AB1035" s="2">
        <v>0</v>
      </c>
      <c r="AC1035" s="2" t="s">
        <v>10789</v>
      </c>
      <c r="AD1035" s="2" t="s">
        <v>25330</v>
      </c>
      <c r="AE1035" s="2" t="s">
        <v>18260</v>
      </c>
      <c r="AF1035" s="2"/>
      <c r="AG1035" s="2" t="s">
        <v>18250</v>
      </c>
    </row>
    <row r="1036" spans="1:33" x14ac:dyDescent="0.45">
      <c r="A1036" s="2" t="s">
        <v>25331</v>
      </c>
      <c r="B1036" s="2" t="s">
        <v>25332</v>
      </c>
      <c r="C1036" s="2" t="s">
        <v>25331</v>
      </c>
      <c r="D1036" s="2" t="s">
        <v>25333</v>
      </c>
      <c r="E1036" s="2" t="s">
        <v>25334</v>
      </c>
      <c r="F1036" s="2" t="s">
        <v>25335</v>
      </c>
      <c r="G1036" s="2" t="s">
        <v>25335</v>
      </c>
      <c r="H1036" s="2" t="s">
        <v>5623</v>
      </c>
      <c r="I1036" s="2" t="s">
        <v>40</v>
      </c>
      <c r="J1036" s="2" t="s">
        <v>25336</v>
      </c>
      <c r="K1036" s="2"/>
      <c r="L1036" s="2"/>
      <c r="M1036" s="2"/>
      <c r="N1036" s="2"/>
      <c r="O1036" s="2"/>
      <c r="P1036" s="2"/>
      <c r="Q1036" s="2"/>
      <c r="R1036" s="2" t="s">
        <v>3889</v>
      </c>
      <c r="S1036" s="2" t="s">
        <v>44</v>
      </c>
      <c r="T1036" s="2"/>
      <c r="U1036" s="2" t="s">
        <v>821</v>
      </c>
      <c r="V1036" s="2" t="s">
        <v>46</v>
      </c>
      <c r="W1036" s="2" t="s">
        <v>821</v>
      </c>
      <c r="X1036" s="2" t="s">
        <v>10787</v>
      </c>
      <c r="Y1036" s="2" t="s">
        <v>10801</v>
      </c>
      <c r="Z1036" s="2" t="s">
        <v>7864</v>
      </c>
      <c r="AA1036" s="2">
        <v>100</v>
      </c>
      <c r="AB1036" s="2">
        <v>12</v>
      </c>
      <c r="AC1036" s="2" t="s">
        <v>10789</v>
      </c>
      <c r="AD1036" s="2" t="s">
        <v>25337</v>
      </c>
      <c r="AE1036" s="2" t="s">
        <v>18260</v>
      </c>
      <c r="AF1036" s="2"/>
      <c r="AG1036" s="2" t="s">
        <v>18250</v>
      </c>
    </row>
    <row r="1037" spans="1:33" x14ac:dyDescent="0.45">
      <c r="A1037" s="2" t="s">
        <v>25338</v>
      </c>
      <c r="B1037" s="2" t="s">
        <v>25339</v>
      </c>
      <c r="C1037" s="2" t="s">
        <v>25340</v>
      </c>
      <c r="D1037" s="2" t="s">
        <v>25341</v>
      </c>
      <c r="E1037" s="2" t="s">
        <v>25342</v>
      </c>
      <c r="F1037" s="2" t="s">
        <v>25343</v>
      </c>
      <c r="G1037" s="2" t="s">
        <v>25343</v>
      </c>
      <c r="H1037" s="2" t="s">
        <v>39</v>
      </c>
      <c r="I1037" s="2" t="s">
        <v>40</v>
      </c>
      <c r="J1037" s="2" t="s">
        <v>25344</v>
      </c>
      <c r="K1037" s="2"/>
      <c r="L1037" s="2"/>
      <c r="M1037" s="2"/>
      <c r="N1037" s="2"/>
      <c r="O1037" s="2"/>
      <c r="P1037" s="2"/>
      <c r="Q1037" s="2"/>
      <c r="R1037" s="2" t="s">
        <v>5766</v>
      </c>
      <c r="S1037" s="2" t="s">
        <v>44</v>
      </c>
      <c r="T1037" s="2"/>
      <c r="U1037" s="2" t="s">
        <v>821</v>
      </c>
      <c r="V1037" s="2" t="s">
        <v>46</v>
      </c>
      <c r="W1037" s="2" t="s">
        <v>821</v>
      </c>
      <c r="X1037" s="2" t="s">
        <v>10787</v>
      </c>
      <c r="Y1037" s="2" t="s">
        <v>10801</v>
      </c>
      <c r="Z1037" s="2" t="s">
        <v>7864</v>
      </c>
      <c r="AA1037" s="2">
        <v>100</v>
      </c>
      <c r="AB1037" s="2">
        <v>17</v>
      </c>
      <c r="AC1037" s="2" t="s">
        <v>10789</v>
      </c>
      <c r="AD1037" s="2" t="s">
        <v>25345</v>
      </c>
      <c r="AE1037" s="2" t="s">
        <v>18260</v>
      </c>
      <c r="AF1037" s="2"/>
      <c r="AG1037" s="2" t="s">
        <v>18250</v>
      </c>
    </row>
    <row r="1038" spans="1:33" x14ac:dyDescent="0.45">
      <c r="A1038" s="2" t="s">
        <v>25346</v>
      </c>
      <c r="B1038" s="2" t="s">
        <v>25347</v>
      </c>
      <c r="C1038" s="2" t="s">
        <v>25346</v>
      </c>
      <c r="D1038" s="2" t="s">
        <v>25348</v>
      </c>
      <c r="E1038" s="2" t="s">
        <v>25349</v>
      </c>
      <c r="F1038" s="2"/>
      <c r="G1038" s="2"/>
      <c r="H1038" s="2" t="s">
        <v>59</v>
      </c>
      <c r="I1038" s="2" t="s">
        <v>60</v>
      </c>
      <c r="J1038" s="2" t="s">
        <v>10241</v>
      </c>
      <c r="K1038" s="2" t="s">
        <v>25348</v>
      </c>
      <c r="L1038" s="2"/>
      <c r="M1038" s="2"/>
      <c r="N1038" s="2"/>
      <c r="O1038" s="2" t="s">
        <v>59</v>
      </c>
      <c r="P1038" s="2" t="s">
        <v>60</v>
      </c>
      <c r="Q1038" s="2" t="s">
        <v>10241</v>
      </c>
      <c r="R1038" s="2" t="s">
        <v>25350</v>
      </c>
      <c r="S1038" s="2" t="s">
        <v>44</v>
      </c>
      <c r="T1038" s="2"/>
      <c r="U1038" s="2" t="s">
        <v>821</v>
      </c>
      <c r="V1038" s="2" t="s">
        <v>46</v>
      </c>
      <c r="W1038" s="2" t="s">
        <v>821</v>
      </c>
      <c r="X1038" s="2" t="s">
        <v>10787</v>
      </c>
      <c r="Y1038" s="2" t="s">
        <v>10801</v>
      </c>
      <c r="Z1038" s="2" t="s">
        <v>7864</v>
      </c>
      <c r="AA1038" s="2">
        <v>90</v>
      </c>
      <c r="AB1038" s="2">
        <v>7</v>
      </c>
      <c r="AC1038" s="2" t="s">
        <v>10789</v>
      </c>
      <c r="AD1038" s="2" t="s">
        <v>25351</v>
      </c>
      <c r="AE1038" s="2" t="s">
        <v>18260</v>
      </c>
      <c r="AF1038" s="2"/>
      <c r="AG1038" s="2" t="s">
        <v>18250</v>
      </c>
    </row>
    <row r="1039" spans="1:33" x14ac:dyDescent="0.45">
      <c r="A1039" s="2" t="s">
        <v>25352</v>
      </c>
      <c r="B1039" s="2" t="s">
        <v>25353</v>
      </c>
      <c r="C1039" s="2" t="s">
        <v>25354</v>
      </c>
      <c r="D1039" s="2" t="s">
        <v>25355</v>
      </c>
      <c r="E1039" s="2" t="s">
        <v>25356</v>
      </c>
      <c r="F1039" s="2"/>
      <c r="G1039" s="2"/>
      <c r="H1039" s="2" t="s">
        <v>424</v>
      </c>
      <c r="I1039" s="2" t="s">
        <v>217</v>
      </c>
      <c r="J1039" s="2" t="s">
        <v>1151</v>
      </c>
      <c r="K1039" s="2" t="s">
        <v>25355</v>
      </c>
      <c r="L1039" s="2"/>
      <c r="M1039" s="2"/>
      <c r="N1039" s="2"/>
      <c r="O1039" s="2" t="s">
        <v>424</v>
      </c>
      <c r="P1039" s="2" t="s">
        <v>217</v>
      </c>
      <c r="Q1039" s="2" t="s">
        <v>1151</v>
      </c>
      <c r="R1039" s="2" t="s">
        <v>7071</v>
      </c>
      <c r="S1039" s="2" t="s">
        <v>44</v>
      </c>
      <c r="T1039" s="2"/>
      <c r="U1039" s="2" t="s">
        <v>3527</v>
      </c>
      <c r="V1039" s="2" t="s">
        <v>46</v>
      </c>
      <c r="W1039" s="2" t="s">
        <v>3527</v>
      </c>
      <c r="X1039" s="2" t="s">
        <v>10787</v>
      </c>
      <c r="Y1039" s="2" t="s">
        <v>10801</v>
      </c>
      <c r="Z1039" s="2" t="s">
        <v>7864</v>
      </c>
      <c r="AA1039" s="2">
        <v>90</v>
      </c>
      <c r="AB1039" s="2">
        <v>0</v>
      </c>
      <c r="AC1039" s="2" t="s">
        <v>10789</v>
      </c>
      <c r="AD1039" s="2" t="s">
        <v>25357</v>
      </c>
      <c r="AE1039" s="2" t="s">
        <v>18260</v>
      </c>
      <c r="AF1039" s="2"/>
      <c r="AG1039" s="2" t="s">
        <v>18250</v>
      </c>
    </row>
    <row r="1040" spans="1:33" x14ac:dyDescent="0.45">
      <c r="A1040" s="2" t="s">
        <v>25358</v>
      </c>
      <c r="B1040" s="2" t="s">
        <v>25359</v>
      </c>
      <c r="C1040" s="2" t="s">
        <v>25358</v>
      </c>
      <c r="D1040" s="2" t="s">
        <v>25360</v>
      </c>
      <c r="E1040" s="2" t="s">
        <v>25361</v>
      </c>
      <c r="F1040" s="2" t="s">
        <v>25362</v>
      </c>
      <c r="G1040" s="2"/>
      <c r="H1040" s="2" t="s">
        <v>8506</v>
      </c>
      <c r="I1040" s="2" t="s">
        <v>221</v>
      </c>
      <c r="J1040" s="2" t="s">
        <v>25363</v>
      </c>
      <c r="K1040" s="2"/>
      <c r="L1040" s="2"/>
      <c r="M1040" s="2"/>
      <c r="N1040" s="2"/>
      <c r="O1040" s="2"/>
      <c r="P1040" s="2"/>
      <c r="Q1040" s="2"/>
      <c r="R1040" s="2" t="s">
        <v>792</v>
      </c>
      <c r="S1040" s="2" t="s">
        <v>44</v>
      </c>
      <c r="T1040" s="2"/>
      <c r="U1040" s="2" t="s">
        <v>3527</v>
      </c>
      <c r="V1040" s="2" t="s">
        <v>46</v>
      </c>
      <c r="W1040" s="2" t="s">
        <v>3527</v>
      </c>
      <c r="X1040" s="2" t="s">
        <v>10787</v>
      </c>
      <c r="Y1040" s="2" t="s">
        <v>10801</v>
      </c>
      <c r="Z1040" s="2" t="s">
        <v>7864</v>
      </c>
      <c r="AA1040" s="2">
        <v>100</v>
      </c>
      <c r="AB1040" s="2">
        <v>5</v>
      </c>
      <c r="AC1040" s="2" t="s">
        <v>10789</v>
      </c>
      <c r="AD1040" s="2" t="s">
        <v>25364</v>
      </c>
      <c r="AE1040" s="2" t="s">
        <v>18260</v>
      </c>
      <c r="AF1040" s="2"/>
      <c r="AG1040" s="2" t="s">
        <v>18250</v>
      </c>
    </row>
    <row r="1041" spans="1:33" x14ac:dyDescent="0.45">
      <c r="A1041" s="2" t="s">
        <v>25365</v>
      </c>
      <c r="B1041" s="2" t="s">
        <v>25366</v>
      </c>
      <c r="C1041" s="2" t="s">
        <v>25367</v>
      </c>
      <c r="D1041" s="2" t="s">
        <v>25368</v>
      </c>
      <c r="E1041" s="2" t="s">
        <v>25369</v>
      </c>
      <c r="F1041" s="2"/>
      <c r="G1041" s="2"/>
      <c r="H1041" s="2" t="s">
        <v>20104</v>
      </c>
      <c r="I1041" s="2" t="s">
        <v>1281</v>
      </c>
      <c r="J1041" s="2" t="s">
        <v>25370</v>
      </c>
      <c r="K1041" s="2" t="s">
        <v>25368</v>
      </c>
      <c r="L1041" s="2"/>
      <c r="M1041" s="2"/>
      <c r="N1041" s="2"/>
      <c r="O1041" s="2" t="s">
        <v>20104</v>
      </c>
      <c r="P1041" s="2" t="s">
        <v>1281</v>
      </c>
      <c r="Q1041" s="2" t="s">
        <v>25370</v>
      </c>
      <c r="R1041" s="2" t="s">
        <v>25371</v>
      </c>
      <c r="S1041" s="2" t="s">
        <v>44</v>
      </c>
      <c r="T1041" s="2"/>
      <c r="U1041" s="2" t="s">
        <v>821</v>
      </c>
      <c r="V1041" s="2" t="s">
        <v>46</v>
      </c>
      <c r="W1041" s="2" t="s">
        <v>821</v>
      </c>
      <c r="X1041" s="2" t="s">
        <v>11214</v>
      </c>
      <c r="Y1041" s="2" t="s">
        <v>10801</v>
      </c>
      <c r="Z1041" s="2" t="s">
        <v>7864</v>
      </c>
      <c r="AA1041" s="2">
        <v>90</v>
      </c>
      <c r="AB1041" s="2">
        <v>2</v>
      </c>
      <c r="AC1041" s="2" t="s">
        <v>10789</v>
      </c>
      <c r="AD1041" s="2" t="s">
        <v>25372</v>
      </c>
      <c r="AE1041" s="2" t="s">
        <v>18260</v>
      </c>
      <c r="AF1041" s="2"/>
      <c r="AG1041" s="2" t="s">
        <v>18250</v>
      </c>
    </row>
    <row r="1042" spans="1:33" x14ac:dyDescent="0.45">
      <c r="A1042" s="2" t="s">
        <v>25373</v>
      </c>
      <c r="B1042" s="2" t="s">
        <v>25374</v>
      </c>
      <c r="C1042" s="2" t="s">
        <v>25373</v>
      </c>
      <c r="D1042" s="2" t="s">
        <v>25375</v>
      </c>
      <c r="E1042" s="2" t="s">
        <v>25376</v>
      </c>
      <c r="F1042" s="2" t="s">
        <v>25377</v>
      </c>
      <c r="G1042" s="2"/>
      <c r="H1042" s="2" t="s">
        <v>9626</v>
      </c>
      <c r="I1042" s="2" t="s">
        <v>1209</v>
      </c>
      <c r="J1042" s="2" t="s">
        <v>9627</v>
      </c>
      <c r="K1042" s="2" t="s">
        <v>25378</v>
      </c>
      <c r="L1042" s="2"/>
      <c r="M1042" s="2"/>
      <c r="N1042" s="2"/>
      <c r="O1042" s="2" t="s">
        <v>9626</v>
      </c>
      <c r="P1042" s="2" t="s">
        <v>1209</v>
      </c>
      <c r="Q1042" s="2" t="s">
        <v>9627</v>
      </c>
      <c r="R1042" s="2" t="s">
        <v>7024</v>
      </c>
      <c r="S1042" s="2" t="s">
        <v>44</v>
      </c>
      <c r="T1042" s="2"/>
      <c r="U1042" s="2" t="s">
        <v>3527</v>
      </c>
      <c r="V1042" s="2" t="s">
        <v>46</v>
      </c>
      <c r="W1042" s="2" t="s">
        <v>3527</v>
      </c>
      <c r="X1042" s="2" t="s">
        <v>10787</v>
      </c>
      <c r="Y1042" s="2" t="s">
        <v>10801</v>
      </c>
      <c r="Z1042" s="2" t="s">
        <v>7864</v>
      </c>
      <c r="AA1042" s="2">
        <v>100</v>
      </c>
      <c r="AB1042" s="2">
        <v>5</v>
      </c>
      <c r="AC1042" s="2" t="s">
        <v>10789</v>
      </c>
      <c r="AD1042" s="2" t="s">
        <v>25379</v>
      </c>
      <c r="AE1042" s="2" t="s">
        <v>18260</v>
      </c>
      <c r="AF1042" s="2"/>
      <c r="AG1042" s="2" t="s">
        <v>18250</v>
      </c>
    </row>
    <row r="1043" spans="1:33" x14ac:dyDescent="0.45">
      <c r="A1043" s="2" t="s">
        <v>25380</v>
      </c>
      <c r="B1043" s="2" t="s">
        <v>25381</v>
      </c>
      <c r="C1043" s="2" t="s">
        <v>25380</v>
      </c>
      <c r="D1043" s="2" t="s">
        <v>25382</v>
      </c>
      <c r="E1043" s="2" t="s">
        <v>25383</v>
      </c>
      <c r="F1043" s="2"/>
      <c r="G1043" s="2"/>
      <c r="H1043" s="2" t="s">
        <v>16951</v>
      </c>
      <c r="I1043" s="2" t="s">
        <v>175</v>
      </c>
      <c r="J1043" s="2" t="s">
        <v>25384</v>
      </c>
      <c r="K1043" s="2" t="s">
        <v>25382</v>
      </c>
      <c r="L1043" s="2"/>
      <c r="M1043" s="2"/>
      <c r="N1043" s="2"/>
      <c r="O1043" s="2" t="s">
        <v>16951</v>
      </c>
      <c r="P1043" s="2" t="s">
        <v>175</v>
      </c>
      <c r="Q1043" s="2" t="s">
        <v>25384</v>
      </c>
      <c r="R1043" s="2" t="s">
        <v>6893</v>
      </c>
      <c r="S1043" s="2" t="s">
        <v>44</v>
      </c>
      <c r="T1043" s="2"/>
      <c r="U1043" s="2" t="s">
        <v>3527</v>
      </c>
      <c r="V1043" s="2" t="s">
        <v>46</v>
      </c>
      <c r="W1043" s="2" t="s">
        <v>3527</v>
      </c>
      <c r="X1043" s="2" t="s">
        <v>10787</v>
      </c>
      <c r="Y1043" s="2" t="s">
        <v>10801</v>
      </c>
      <c r="Z1043" s="2" t="s">
        <v>7864</v>
      </c>
      <c r="AA1043" s="2">
        <v>90</v>
      </c>
      <c r="AB1043" s="2">
        <v>0</v>
      </c>
      <c r="AC1043" s="2" t="s">
        <v>10789</v>
      </c>
      <c r="AD1043" s="2" t="s">
        <v>25385</v>
      </c>
      <c r="AE1043" s="2" t="s">
        <v>18260</v>
      </c>
      <c r="AF1043" s="2"/>
      <c r="AG1043" s="2" t="s">
        <v>18250</v>
      </c>
    </row>
    <row r="1044" spans="1:33" x14ac:dyDescent="0.45">
      <c r="A1044" s="2" t="s">
        <v>25386</v>
      </c>
      <c r="B1044" s="2" t="s">
        <v>25387</v>
      </c>
      <c r="C1044" s="2" t="s">
        <v>25388</v>
      </c>
      <c r="D1044" s="2" t="s">
        <v>25389</v>
      </c>
      <c r="E1044" s="2" t="s">
        <v>25390</v>
      </c>
      <c r="F1044" s="2" t="s">
        <v>25391</v>
      </c>
      <c r="G1044" s="2" t="s">
        <v>25391</v>
      </c>
      <c r="H1044" s="2" t="s">
        <v>8544</v>
      </c>
      <c r="I1044" s="2" t="s">
        <v>73</v>
      </c>
      <c r="J1044" s="2" t="s">
        <v>12565</v>
      </c>
      <c r="K1044" s="2" t="s">
        <v>25389</v>
      </c>
      <c r="L1044" s="2"/>
      <c r="M1044" s="2"/>
      <c r="N1044" s="2"/>
      <c r="O1044" s="2" t="s">
        <v>8544</v>
      </c>
      <c r="P1044" s="2" t="s">
        <v>73</v>
      </c>
      <c r="Q1044" s="2" t="s">
        <v>12565</v>
      </c>
      <c r="R1044" s="2" t="s">
        <v>6685</v>
      </c>
      <c r="S1044" s="2" t="s">
        <v>44</v>
      </c>
      <c r="T1044" s="2"/>
      <c r="U1044" s="2" t="s">
        <v>3527</v>
      </c>
      <c r="V1044" s="2" t="s">
        <v>46</v>
      </c>
      <c r="W1044" s="2" t="s">
        <v>3527</v>
      </c>
      <c r="X1044" s="2" t="s">
        <v>10787</v>
      </c>
      <c r="Y1044" s="2" t="s">
        <v>10801</v>
      </c>
      <c r="Z1044" s="2" t="s">
        <v>7864</v>
      </c>
      <c r="AA1044" s="2">
        <v>100</v>
      </c>
      <c r="AB1044" s="2">
        <v>5</v>
      </c>
      <c r="AC1044" s="2" t="s">
        <v>10789</v>
      </c>
      <c r="AD1044" s="2" t="s">
        <v>25392</v>
      </c>
      <c r="AE1044" s="2" t="s">
        <v>18260</v>
      </c>
      <c r="AF1044" s="2"/>
      <c r="AG1044" s="2" t="s">
        <v>18250</v>
      </c>
    </row>
    <row r="1045" spans="1:33" x14ac:dyDescent="0.45">
      <c r="A1045" s="2" t="s">
        <v>25393</v>
      </c>
      <c r="B1045" s="2" t="s">
        <v>25394</v>
      </c>
      <c r="C1045" s="2" t="s">
        <v>25393</v>
      </c>
      <c r="D1045" s="2" t="s">
        <v>25395</v>
      </c>
      <c r="E1045" s="2" t="s">
        <v>25396</v>
      </c>
      <c r="F1045" s="2"/>
      <c r="G1045" s="2"/>
      <c r="H1045" s="2" t="s">
        <v>277</v>
      </c>
      <c r="I1045" s="2" t="s">
        <v>278</v>
      </c>
      <c r="J1045" s="2" t="s">
        <v>12269</v>
      </c>
      <c r="K1045" s="2" t="s">
        <v>25395</v>
      </c>
      <c r="L1045" s="2"/>
      <c r="M1045" s="2"/>
      <c r="N1045" s="2"/>
      <c r="O1045" s="2" t="s">
        <v>277</v>
      </c>
      <c r="P1045" s="2" t="s">
        <v>278</v>
      </c>
      <c r="Q1045" s="2" t="s">
        <v>12269</v>
      </c>
      <c r="R1045" s="2" t="s">
        <v>11415</v>
      </c>
      <c r="S1045" s="2" t="s">
        <v>44</v>
      </c>
      <c r="T1045" s="2"/>
      <c r="U1045" s="2" t="s">
        <v>3527</v>
      </c>
      <c r="V1045" s="2" t="s">
        <v>46</v>
      </c>
      <c r="W1045" s="2" t="s">
        <v>3527</v>
      </c>
      <c r="X1045" s="2" t="s">
        <v>10787</v>
      </c>
      <c r="Y1045" s="2" t="s">
        <v>10801</v>
      </c>
      <c r="Z1045" s="2" t="s">
        <v>7864</v>
      </c>
      <c r="AA1045" s="2">
        <v>90</v>
      </c>
      <c r="AB1045" s="2">
        <v>0</v>
      </c>
      <c r="AC1045" s="2" t="s">
        <v>10789</v>
      </c>
      <c r="AD1045" s="2" t="s">
        <v>25397</v>
      </c>
      <c r="AE1045" s="2" t="s">
        <v>18260</v>
      </c>
      <c r="AF1045" s="2"/>
      <c r="AG1045" s="2" t="s">
        <v>18250</v>
      </c>
    </row>
    <row r="1046" spans="1:33" x14ac:dyDescent="0.45">
      <c r="A1046" s="2" t="s">
        <v>25398</v>
      </c>
      <c r="B1046" s="2" t="s">
        <v>25399</v>
      </c>
      <c r="C1046" s="2" t="s">
        <v>25400</v>
      </c>
      <c r="D1046" s="2" t="s">
        <v>25401</v>
      </c>
      <c r="E1046" s="2" t="s">
        <v>25402</v>
      </c>
      <c r="F1046" s="2"/>
      <c r="G1046" s="2"/>
      <c r="H1046" s="2" t="s">
        <v>59</v>
      </c>
      <c r="I1046" s="2" t="s">
        <v>60</v>
      </c>
      <c r="J1046" s="2" t="s">
        <v>3938</v>
      </c>
      <c r="K1046" s="2" t="s">
        <v>25403</v>
      </c>
      <c r="L1046" s="2"/>
      <c r="M1046" s="2"/>
      <c r="N1046" s="2"/>
      <c r="O1046" s="2" t="s">
        <v>59</v>
      </c>
      <c r="P1046" s="2" t="s">
        <v>60</v>
      </c>
      <c r="Q1046" s="2" t="s">
        <v>3938</v>
      </c>
      <c r="R1046" s="2" t="s">
        <v>14606</v>
      </c>
      <c r="S1046" s="2" t="s">
        <v>44</v>
      </c>
      <c r="T1046" s="2"/>
      <c r="U1046" s="2" t="s">
        <v>821</v>
      </c>
      <c r="V1046" s="2" t="s">
        <v>46</v>
      </c>
      <c r="W1046" s="2" t="s">
        <v>821</v>
      </c>
      <c r="X1046" s="2" t="s">
        <v>10787</v>
      </c>
      <c r="Y1046" s="2" t="s">
        <v>10801</v>
      </c>
      <c r="Z1046" s="2" t="s">
        <v>7864</v>
      </c>
      <c r="AA1046" s="2">
        <v>90</v>
      </c>
      <c r="AB1046" s="2">
        <v>7</v>
      </c>
      <c r="AC1046" s="2" t="s">
        <v>10789</v>
      </c>
      <c r="AD1046" s="2" t="s">
        <v>25404</v>
      </c>
      <c r="AE1046" s="2" t="s">
        <v>18260</v>
      </c>
      <c r="AF1046" s="2"/>
      <c r="AG1046" s="2" t="s">
        <v>18250</v>
      </c>
    </row>
    <row r="1047" spans="1:33" x14ac:dyDescent="0.45">
      <c r="A1047" s="2" t="s">
        <v>25405</v>
      </c>
      <c r="B1047" s="2" t="s">
        <v>25406</v>
      </c>
      <c r="C1047" s="2" t="s">
        <v>25407</v>
      </c>
      <c r="D1047" s="2" t="s">
        <v>25408</v>
      </c>
      <c r="E1047" s="2" t="s">
        <v>25409</v>
      </c>
      <c r="F1047" s="2" t="s">
        <v>25410</v>
      </c>
      <c r="G1047" s="2" t="s">
        <v>25410</v>
      </c>
      <c r="H1047" s="2" t="s">
        <v>384</v>
      </c>
      <c r="I1047" s="2" t="s">
        <v>73</v>
      </c>
      <c r="J1047" s="2" t="s">
        <v>953</v>
      </c>
      <c r="K1047" s="2" t="s">
        <v>25408</v>
      </c>
      <c r="L1047" s="2"/>
      <c r="M1047" s="2"/>
      <c r="N1047" s="2"/>
      <c r="O1047" s="2" t="s">
        <v>384</v>
      </c>
      <c r="P1047" s="2" t="s">
        <v>73</v>
      </c>
      <c r="Q1047" s="2" t="s">
        <v>953</v>
      </c>
      <c r="R1047" s="2" t="s">
        <v>8315</v>
      </c>
      <c r="S1047" s="2" t="s">
        <v>44</v>
      </c>
      <c r="T1047" s="2"/>
      <c r="U1047" s="2" t="s">
        <v>3527</v>
      </c>
      <c r="V1047" s="2" t="s">
        <v>46</v>
      </c>
      <c r="W1047" s="2" t="s">
        <v>3527</v>
      </c>
      <c r="X1047" s="2" t="s">
        <v>10787</v>
      </c>
      <c r="Y1047" s="2" t="s">
        <v>10801</v>
      </c>
      <c r="Z1047" s="2" t="s">
        <v>7864</v>
      </c>
      <c r="AA1047" s="2">
        <v>100</v>
      </c>
      <c r="AB1047" s="2">
        <v>10</v>
      </c>
      <c r="AC1047" s="2" t="s">
        <v>10789</v>
      </c>
      <c r="AD1047" s="2" t="s">
        <v>25411</v>
      </c>
      <c r="AE1047" s="2" t="s">
        <v>18260</v>
      </c>
      <c r="AF1047" s="2"/>
      <c r="AG1047" s="2" t="s">
        <v>18250</v>
      </c>
    </row>
    <row r="1048" spans="1:33" x14ac:dyDescent="0.45">
      <c r="A1048" s="2" t="s">
        <v>25412</v>
      </c>
      <c r="B1048" s="2" t="s">
        <v>25413</v>
      </c>
      <c r="C1048" s="2" t="s">
        <v>25414</v>
      </c>
      <c r="D1048" s="2" t="s">
        <v>25415</v>
      </c>
      <c r="E1048" s="2" t="s">
        <v>25416</v>
      </c>
      <c r="F1048" s="2"/>
      <c r="G1048" s="2"/>
      <c r="H1048" s="2" t="s">
        <v>5984</v>
      </c>
      <c r="I1048" s="2" t="s">
        <v>313</v>
      </c>
      <c r="J1048" s="2" t="s">
        <v>13851</v>
      </c>
      <c r="K1048" s="2" t="s">
        <v>25417</v>
      </c>
      <c r="L1048" s="2"/>
      <c r="M1048" s="2"/>
      <c r="N1048" s="2"/>
      <c r="O1048" s="2" t="s">
        <v>5984</v>
      </c>
      <c r="P1048" s="2" t="s">
        <v>313</v>
      </c>
      <c r="Q1048" s="2" t="s">
        <v>13851</v>
      </c>
      <c r="R1048" s="2" t="s">
        <v>2605</v>
      </c>
      <c r="S1048" s="2" t="s">
        <v>44</v>
      </c>
      <c r="T1048" s="2"/>
      <c r="U1048" s="2" t="s">
        <v>3527</v>
      </c>
      <c r="V1048" s="2" t="s">
        <v>46</v>
      </c>
      <c r="W1048" s="2" t="s">
        <v>3527</v>
      </c>
      <c r="X1048" s="2" t="s">
        <v>10787</v>
      </c>
      <c r="Y1048" s="2" t="s">
        <v>10801</v>
      </c>
      <c r="Z1048" s="2" t="s">
        <v>7864</v>
      </c>
      <c r="AA1048" s="2">
        <v>90</v>
      </c>
      <c r="AB1048" s="2">
        <v>0</v>
      </c>
      <c r="AC1048" s="2" t="s">
        <v>10789</v>
      </c>
      <c r="AD1048" s="2" t="s">
        <v>25418</v>
      </c>
      <c r="AE1048" s="2" t="s">
        <v>18260</v>
      </c>
      <c r="AF1048" s="2"/>
      <c r="AG1048" s="2" t="s">
        <v>18250</v>
      </c>
    </row>
    <row r="1049" spans="1:33" x14ac:dyDescent="0.45">
      <c r="A1049" s="2" t="s">
        <v>25419</v>
      </c>
      <c r="B1049" s="2" t="s">
        <v>25420</v>
      </c>
      <c r="C1049" s="2" t="s">
        <v>25421</v>
      </c>
      <c r="D1049" s="2" t="s">
        <v>25422</v>
      </c>
      <c r="E1049" s="2" t="s">
        <v>25423</v>
      </c>
      <c r="F1049" s="2"/>
      <c r="G1049" s="2"/>
      <c r="H1049" s="2" t="s">
        <v>424</v>
      </c>
      <c r="I1049" s="2" t="s">
        <v>217</v>
      </c>
      <c r="J1049" s="2" t="s">
        <v>4292</v>
      </c>
      <c r="K1049" s="2" t="s">
        <v>25422</v>
      </c>
      <c r="L1049" s="2"/>
      <c r="M1049" s="2"/>
      <c r="N1049" s="2"/>
      <c r="O1049" s="2" t="s">
        <v>424</v>
      </c>
      <c r="P1049" s="2" t="s">
        <v>217</v>
      </c>
      <c r="Q1049" s="2" t="s">
        <v>4292</v>
      </c>
      <c r="R1049" s="2" t="s">
        <v>25424</v>
      </c>
      <c r="S1049" s="2" t="s">
        <v>44</v>
      </c>
      <c r="T1049" s="2"/>
      <c r="U1049" s="2" t="s">
        <v>821</v>
      </c>
      <c r="V1049" s="2" t="s">
        <v>46</v>
      </c>
      <c r="W1049" s="2" t="s">
        <v>821</v>
      </c>
      <c r="X1049" s="2" t="s">
        <v>10787</v>
      </c>
      <c r="Y1049" s="2" t="s">
        <v>10801</v>
      </c>
      <c r="Z1049" s="2" t="s">
        <v>7864</v>
      </c>
      <c r="AA1049" s="2">
        <v>90</v>
      </c>
      <c r="AB1049" s="2">
        <v>7</v>
      </c>
      <c r="AC1049" s="2" t="s">
        <v>10789</v>
      </c>
      <c r="AD1049" s="2" t="s">
        <v>25425</v>
      </c>
      <c r="AE1049" s="2" t="s">
        <v>18260</v>
      </c>
      <c r="AF1049" s="2"/>
      <c r="AG1049" s="2" t="s">
        <v>18250</v>
      </c>
    </row>
    <row r="1050" spans="1:33" x14ac:dyDescent="0.45">
      <c r="A1050" s="2" t="s">
        <v>16525</v>
      </c>
      <c r="B1050" s="2" t="s">
        <v>25426</v>
      </c>
      <c r="C1050" s="2" t="s">
        <v>16525</v>
      </c>
      <c r="D1050" s="2" t="s">
        <v>25427</v>
      </c>
      <c r="E1050" s="2" t="s">
        <v>25428</v>
      </c>
      <c r="F1050" s="2" t="s">
        <v>25429</v>
      </c>
      <c r="G1050" s="2"/>
      <c r="H1050" s="2" t="s">
        <v>11247</v>
      </c>
      <c r="I1050" s="2" t="s">
        <v>1137</v>
      </c>
      <c r="J1050" s="2" t="s">
        <v>14172</v>
      </c>
      <c r="K1050" s="2" t="s">
        <v>25430</v>
      </c>
      <c r="L1050" s="2"/>
      <c r="M1050" s="2"/>
      <c r="N1050" s="2"/>
      <c r="O1050" s="2" t="s">
        <v>11247</v>
      </c>
      <c r="P1050" s="2" t="s">
        <v>1137</v>
      </c>
      <c r="Q1050" s="2" t="s">
        <v>14172</v>
      </c>
      <c r="R1050" s="2" t="s">
        <v>8954</v>
      </c>
      <c r="S1050" s="2" t="s">
        <v>44</v>
      </c>
      <c r="T1050" s="2"/>
      <c r="U1050" s="2" t="s">
        <v>3527</v>
      </c>
      <c r="V1050" s="2" t="s">
        <v>46</v>
      </c>
      <c r="W1050" s="2" t="s">
        <v>3527</v>
      </c>
      <c r="X1050" s="2" t="s">
        <v>10787</v>
      </c>
      <c r="Y1050" s="2" t="s">
        <v>10801</v>
      </c>
      <c r="Z1050" s="2" t="s">
        <v>7864</v>
      </c>
      <c r="AA1050" s="2">
        <v>100</v>
      </c>
      <c r="AB1050" s="2">
        <v>5</v>
      </c>
      <c r="AC1050" s="2" t="s">
        <v>10789</v>
      </c>
      <c r="AD1050" s="2" t="s">
        <v>25431</v>
      </c>
      <c r="AE1050" s="2" t="s">
        <v>18260</v>
      </c>
      <c r="AF1050" s="2"/>
      <c r="AG1050" s="2" t="s">
        <v>18250</v>
      </c>
    </row>
    <row r="1051" spans="1:33" x14ac:dyDescent="0.45">
      <c r="A1051" s="2" t="s">
        <v>25432</v>
      </c>
      <c r="B1051" s="2" t="s">
        <v>25433</v>
      </c>
      <c r="C1051" s="2" t="s">
        <v>25432</v>
      </c>
      <c r="D1051" s="2" t="s">
        <v>25434</v>
      </c>
      <c r="E1051" s="2" t="s">
        <v>25435</v>
      </c>
      <c r="F1051" s="2" t="s">
        <v>9550</v>
      </c>
      <c r="G1051" s="2" t="s">
        <v>9550</v>
      </c>
      <c r="H1051" s="2" t="s">
        <v>1248</v>
      </c>
      <c r="I1051" s="2" t="s">
        <v>1137</v>
      </c>
      <c r="J1051" s="2" t="s">
        <v>10406</v>
      </c>
      <c r="K1051" s="2"/>
      <c r="L1051" s="2"/>
      <c r="M1051" s="2"/>
      <c r="N1051" s="2"/>
      <c r="O1051" s="2"/>
      <c r="P1051" s="2"/>
      <c r="Q1051" s="2"/>
      <c r="R1051" s="2" t="s">
        <v>5594</v>
      </c>
      <c r="S1051" s="2" t="s">
        <v>44</v>
      </c>
      <c r="T1051" s="2"/>
      <c r="U1051" s="2" t="s">
        <v>821</v>
      </c>
      <c r="V1051" s="2" t="s">
        <v>46</v>
      </c>
      <c r="W1051" s="2" t="s">
        <v>821</v>
      </c>
      <c r="X1051" s="2" t="s">
        <v>10787</v>
      </c>
      <c r="Y1051" s="2" t="s">
        <v>10801</v>
      </c>
      <c r="Z1051" s="2" t="s">
        <v>7864</v>
      </c>
      <c r="AA1051" s="2">
        <v>100</v>
      </c>
      <c r="AB1051" s="2">
        <v>12</v>
      </c>
      <c r="AC1051" s="2" t="s">
        <v>10789</v>
      </c>
      <c r="AD1051" s="2" t="s">
        <v>25436</v>
      </c>
      <c r="AE1051" s="2" t="s">
        <v>18260</v>
      </c>
      <c r="AF1051" s="2"/>
      <c r="AG1051" s="2" t="s">
        <v>18250</v>
      </c>
    </row>
    <row r="1052" spans="1:33" x14ac:dyDescent="0.45">
      <c r="A1052" s="2" t="s">
        <v>25437</v>
      </c>
      <c r="B1052" s="2" t="s">
        <v>25438</v>
      </c>
      <c r="C1052" s="2" t="s">
        <v>25437</v>
      </c>
      <c r="D1052" s="2" t="s">
        <v>25439</v>
      </c>
      <c r="E1052" s="2" t="s">
        <v>25440</v>
      </c>
      <c r="F1052" s="2"/>
      <c r="G1052" s="2"/>
      <c r="H1052" s="2" t="s">
        <v>324</v>
      </c>
      <c r="I1052" s="2" t="s">
        <v>73</v>
      </c>
      <c r="J1052" s="2" t="s">
        <v>3807</v>
      </c>
      <c r="K1052" s="2" t="s">
        <v>25439</v>
      </c>
      <c r="L1052" s="2"/>
      <c r="M1052" s="2"/>
      <c r="N1052" s="2"/>
      <c r="O1052" s="2" t="s">
        <v>324</v>
      </c>
      <c r="P1052" s="2" t="s">
        <v>73</v>
      </c>
      <c r="Q1052" s="2" t="s">
        <v>3807</v>
      </c>
      <c r="R1052" s="2" t="s">
        <v>25441</v>
      </c>
      <c r="S1052" s="2" t="s">
        <v>44</v>
      </c>
      <c r="T1052" s="2"/>
      <c r="U1052" s="2" t="s">
        <v>821</v>
      </c>
      <c r="V1052" s="2" t="s">
        <v>46</v>
      </c>
      <c r="W1052" s="2" t="s">
        <v>821</v>
      </c>
      <c r="X1052" s="2" t="s">
        <v>10787</v>
      </c>
      <c r="Y1052" s="2" t="s">
        <v>10801</v>
      </c>
      <c r="Z1052" s="2" t="s">
        <v>7864</v>
      </c>
      <c r="AA1052" s="2">
        <v>90</v>
      </c>
      <c r="AB1052" s="2">
        <v>7</v>
      </c>
      <c r="AC1052" s="2" t="s">
        <v>10789</v>
      </c>
      <c r="AD1052" s="2" t="s">
        <v>25442</v>
      </c>
      <c r="AE1052" s="2" t="s">
        <v>18260</v>
      </c>
      <c r="AF1052" s="2"/>
      <c r="AG1052" s="2" t="s">
        <v>18250</v>
      </c>
    </row>
    <row r="1053" spans="1:33" x14ac:dyDescent="0.45">
      <c r="A1053" s="2" t="s">
        <v>25443</v>
      </c>
      <c r="B1053" s="2" t="s">
        <v>25444</v>
      </c>
      <c r="C1053" s="2" t="s">
        <v>25445</v>
      </c>
      <c r="D1053" s="2" t="s">
        <v>25446</v>
      </c>
      <c r="E1053" s="2" t="s">
        <v>25447</v>
      </c>
      <c r="F1053" s="2" t="s">
        <v>25448</v>
      </c>
      <c r="G1053" s="2" t="s">
        <v>25448</v>
      </c>
      <c r="H1053" s="2" t="s">
        <v>39</v>
      </c>
      <c r="I1053" s="2" t="s">
        <v>40</v>
      </c>
      <c r="J1053" s="2" t="s">
        <v>25449</v>
      </c>
      <c r="K1053" s="2" t="s">
        <v>25446</v>
      </c>
      <c r="L1053" s="2"/>
      <c r="M1053" s="2"/>
      <c r="N1053" s="2"/>
      <c r="O1053" s="2" t="s">
        <v>39</v>
      </c>
      <c r="P1053" s="2" t="s">
        <v>40</v>
      </c>
      <c r="Q1053" s="2" t="s">
        <v>25449</v>
      </c>
      <c r="R1053" s="2" t="s">
        <v>12351</v>
      </c>
      <c r="S1053" s="2" t="s">
        <v>44</v>
      </c>
      <c r="T1053" s="2"/>
      <c r="U1053" s="2" t="s">
        <v>3527</v>
      </c>
      <c r="V1053" s="2" t="s">
        <v>46</v>
      </c>
      <c r="W1053" s="2" t="s">
        <v>3527</v>
      </c>
      <c r="X1053" s="2" t="s">
        <v>10787</v>
      </c>
      <c r="Y1053" s="2" t="s">
        <v>10801</v>
      </c>
      <c r="Z1053" s="2" t="s">
        <v>7864</v>
      </c>
      <c r="AA1053" s="2">
        <v>100</v>
      </c>
      <c r="AB1053" s="2">
        <v>10</v>
      </c>
      <c r="AC1053" s="2" t="s">
        <v>10789</v>
      </c>
      <c r="AD1053" s="2" t="s">
        <v>25450</v>
      </c>
      <c r="AE1053" s="2" t="s">
        <v>18260</v>
      </c>
      <c r="AF1053" s="2"/>
      <c r="AG1053" s="2" t="s">
        <v>18250</v>
      </c>
    </row>
    <row r="1054" spans="1:33" x14ac:dyDescent="0.45">
      <c r="A1054" s="2" t="s">
        <v>25451</v>
      </c>
      <c r="B1054" s="2" t="s">
        <v>25452</v>
      </c>
      <c r="C1054" s="2" t="s">
        <v>25453</v>
      </c>
      <c r="D1054" s="2" t="s">
        <v>25454</v>
      </c>
      <c r="E1054" s="2" t="s">
        <v>25455</v>
      </c>
      <c r="F1054" s="2" t="s">
        <v>25456</v>
      </c>
      <c r="G1054" s="2"/>
      <c r="H1054" s="2" t="s">
        <v>8544</v>
      </c>
      <c r="I1054" s="2" t="s">
        <v>73</v>
      </c>
      <c r="J1054" s="2" t="s">
        <v>25457</v>
      </c>
      <c r="K1054" s="2" t="s">
        <v>25454</v>
      </c>
      <c r="L1054" s="2"/>
      <c r="M1054" s="2"/>
      <c r="N1054" s="2"/>
      <c r="O1054" s="2" t="s">
        <v>8544</v>
      </c>
      <c r="P1054" s="2" t="s">
        <v>73</v>
      </c>
      <c r="Q1054" s="2" t="s">
        <v>25457</v>
      </c>
      <c r="R1054" s="2" t="s">
        <v>25458</v>
      </c>
      <c r="S1054" s="2" t="s">
        <v>44</v>
      </c>
      <c r="T1054" s="2"/>
      <c r="U1054" s="2" t="s">
        <v>3527</v>
      </c>
      <c r="V1054" s="2" t="s">
        <v>46</v>
      </c>
      <c r="W1054" s="2" t="s">
        <v>3527</v>
      </c>
      <c r="X1054" s="2" t="s">
        <v>10787</v>
      </c>
      <c r="Y1054" s="2" t="s">
        <v>10801</v>
      </c>
      <c r="Z1054" s="2" t="s">
        <v>7864</v>
      </c>
      <c r="AA1054" s="2">
        <v>100</v>
      </c>
      <c r="AB1054" s="2">
        <v>5</v>
      </c>
      <c r="AC1054" s="2" t="s">
        <v>10789</v>
      </c>
      <c r="AD1054" s="2" t="s">
        <v>25459</v>
      </c>
      <c r="AE1054" s="2" t="s">
        <v>18260</v>
      </c>
      <c r="AF1054" s="2"/>
      <c r="AG1054" s="2" t="s">
        <v>18250</v>
      </c>
    </row>
    <row r="1055" spans="1:33" x14ac:dyDescent="0.45">
      <c r="A1055" s="2" t="s">
        <v>25460</v>
      </c>
      <c r="B1055" s="2" t="s">
        <v>25461</v>
      </c>
      <c r="C1055" s="2" t="s">
        <v>25460</v>
      </c>
      <c r="D1055" s="2" t="s">
        <v>25462</v>
      </c>
      <c r="E1055" s="2" t="s">
        <v>25463</v>
      </c>
      <c r="F1055" s="2" t="s">
        <v>25464</v>
      </c>
      <c r="G1055" s="2"/>
      <c r="H1055" s="2" t="s">
        <v>59</v>
      </c>
      <c r="I1055" s="2" t="s">
        <v>60</v>
      </c>
      <c r="J1055" s="2" t="s">
        <v>25465</v>
      </c>
      <c r="K1055" s="2" t="s">
        <v>25462</v>
      </c>
      <c r="L1055" s="2"/>
      <c r="M1055" s="2"/>
      <c r="N1055" s="2"/>
      <c r="O1055" s="2" t="s">
        <v>59</v>
      </c>
      <c r="P1055" s="2" t="s">
        <v>60</v>
      </c>
      <c r="Q1055" s="2" t="s">
        <v>25465</v>
      </c>
      <c r="R1055" s="2" t="s">
        <v>3199</v>
      </c>
      <c r="S1055" s="2" t="s">
        <v>44</v>
      </c>
      <c r="T1055" s="2"/>
      <c r="U1055" s="2" t="s">
        <v>821</v>
      </c>
      <c r="V1055" s="2" t="s">
        <v>46</v>
      </c>
      <c r="W1055" s="2" t="s">
        <v>821</v>
      </c>
      <c r="X1055" s="2" t="s">
        <v>10787</v>
      </c>
      <c r="Y1055" s="2" t="s">
        <v>10801</v>
      </c>
      <c r="Z1055" s="2" t="s">
        <v>7864</v>
      </c>
      <c r="AA1055" s="2">
        <v>100</v>
      </c>
      <c r="AB1055" s="2">
        <v>17</v>
      </c>
      <c r="AC1055" s="2" t="s">
        <v>10789</v>
      </c>
      <c r="AD1055" s="2" t="s">
        <v>25466</v>
      </c>
      <c r="AE1055" s="2" t="s">
        <v>18260</v>
      </c>
      <c r="AF1055" s="2"/>
      <c r="AG1055" s="2" t="s">
        <v>18250</v>
      </c>
    </row>
    <row r="1056" spans="1:33" x14ac:dyDescent="0.45">
      <c r="A1056" s="2" t="s">
        <v>25467</v>
      </c>
      <c r="B1056" s="2" t="s">
        <v>25468</v>
      </c>
      <c r="C1056" s="2" t="s">
        <v>25467</v>
      </c>
      <c r="D1056" s="2" t="s">
        <v>25469</v>
      </c>
      <c r="E1056" s="2" t="s">
        <v>25470</v>
      </c>
      <c r="F1056" s="2"/>
      <c r="G1056" s="2"/>
      <c r="H1056" s="2" t="s">
        <v>174</v>
      </c>
      <c r="I1056" s="2" t="s">
        <v>175</v>
      </c>
      <c r="J1056" s="2" t="s">
        <v>25471</v>
      </c>
      <c r="K1056" s="2" t="s">
        <v>25469</v>
      </c>
      <c r="L1056" s="2"/>
      <c r="M1056" s="2"/>
      <c r="N1056" s="2"/>
      <c r="O1056" s="2" t="s">
        <v>174</v>
      </c>
      <c r="P1056" s="2" t="s">
        <v>175</v>
      </c>
      <c r="Q1056" s="2" t="s">
        <v>25471</v>
      </c>
      <c r="R1056" s="2" t="s">
        <v>25472</v>
      </c>
      <c r="S1056" s="2" t="s">
        <v>44</v>
      </c>
      <c r="T1056" s="2"/>
      <c r="U1056" s="2" t="s">
        <v>3527</v>
      </c>
      <c r="V1056" s="2" t="s">
        <v>46</v>
      </c>
      <c r="W1056" s="2" t="s">
        <v>3527</v>
      </c>
      <c r="X1056" s="2" t="s">
        <v>10787</v>
      </c>
      <c r="Y1056" s="2" t="s">
        <v>10801</v>
      </c>
      <c r="Z1056" s="2" t="s">
        <v>7864</v>
      </c>
      <c r="AA1056" s="2">
        <v>90</v>
      </c>
      <c r="AB1056" s="2">
        <v>0</v>
      </c>
      <c r="AC1056" s="2" t="s">
        <v>10789</v>
      </c>
      <c r="AD1056" s="2" t="s">
        <v>25473</v>
      </c>
      <c r="AE1056" s="2" t="s">
        <v>18260</v>
      </c>
      <c r="AF1056" s="2"/>
      <c r="AG1056" s="2" t="s">
        <v>18250</v>
      </c>
    </row>
    <row r="1057" spans="1:33" x14ac:dyDescent="0.45">
      <c r="A1057" s="2" t="s">
        <v>25474</v>
      </c>
      <c r="B1057" s="2" t="s">
        <v>25475</v>
      </c>
      <c r="C1057" s="2" t="s">
        <v>25474</v>
      </c>
      <c r="D1057" s="2" t="s">
        <v>25476</v>
      </c>
      <c r="E1057" s="2" t="s">
        <v>25477</v>
      </c>
      <c r="F1057" s="2" t="s">
        <v>25478</v>
      </c>
      <c r="G1057" s="2"/>
      <c r="H1057" s="2" t="s">
        <v>536</v>
      </c>
      <c r="I1057" s="2" t="s">
        <v>537</v>
      </c>
      <c r="J1057" s="2" t="s">
        <v>25479</v>
      </c>
      <c r="K1057" s="2" t="s">
        <v>25476</v>
      </c>
      <c r="L1057" s="2"/>
      <c r="M1057" s="2"/>
      <c r="N1057" s="2"/>
      <c r="O1057" s="2" t="s">
        <v>536</v>
      </c>
      <c r="P1057" s="2" t="s">
        <v>537</v>
      </c>
      <c r="Q1057" s="2" t="s">
        <v>25479</v>
      </c>
      <c r="R1057" s="2" t="s">
        <v>5069</v>
      </c>
      <c r="S1057" s="2" t="s">
        <v>44</v>
      </c>
      <c r="T1057" s="2"/>
      <c r="U1057" s="2" t="s">
        <v>3527</v>
      </c>
      <c r="V1057" s="2" t="s">
        <v>46</v>
      </c>
      <c r="W1057" s="2" t="s">
        <v>3527</v>
      </c>
      <c r="X1057" s="2" t="s">
        <v>10787</v>
      </c>
      <c r="Y1057" s="2" t="s">
        <v>10801</v>
      </c>
      <c r="Z1057" s="2" t="s">
        <v>7864</v>
      </c>
      <c r="AA1057" s="2">
        <v>100</v>
      </c>
      <c r="AB1057" s="2">
        <v>10</v>
      </c>
      <c r="AC1057" s="2" t="s">
        <v>10789</v>
      </c>
      <c r="AD1057" s="2" t="s">
        <v>25480</v>
      </c>
      <c r="AE1057" s="2" t="s">
        <v>18260</v>
      </c>
      <c r="AF1057" s="2"/>
      <c r="AG1057" s="2" t="s">
        <v>18250</v>
      </c>
    </row>
    <row r="1058" spans="1:33" x14ac:dyDescent="0.45">
      <c r="A1058" s="2" t="s">
        <v>25481</v>
      </c>
      <c r="B1058" s="2" t="s">
        <v>25482</v>
      </c>
      <c r="C1058" s="2" t="s">
        <v>25481</v>
      </c>
      <c r="D1058" s="2" t="s">
        <v>25483</v>
      </c>
      <c r="E1058" s="2" t="s">
        <v>25484</v>
      </c>
      <c r="F1058" s="2"/>
      <c r="G1058" s="2"/>
      <c r="H1058" s="2" t="s">
        <v>1161</v>
      </c>
      <c r="I1058" s="2" t="s">
        <v>221</v>
      </c>
      <c r="J1058" s="2" t="s">
        <v>25485</v>
      </c>
      <c r="K1058" s="2" t="s">
        <v>25483</v>
      </c>
      <c r="L1058" s="2"/>
      <c r="M1058" s="2"/>
      <c r="N1058" s="2"/>
      <c r="O1058" s="2" t="s">
        <v>1161</v>
      </c>
      <c r="P1058" s="2" t="s">
        <v>221</v>
      </c>
      <c r="Q1058" s="2" t="s">
        <v>25485</v>
      </c>
      <c r="R1058" s="2" t="s">
        <v>993</v>
      </c>
      <c r="S1058" s="2" t="s">
        <v>44</v>
      </c>
      <c r="T1058" s="2"/>
      <c r="U1058" s="2" t="s">
        <v>3527</v>
      </c>
      <c r="V1058" s="2" t="s">
        <v>46</v>
      </c>
      <c r="W1058" s="2" t="s">
        <v>3527</v>
      </c>
      <c r="X1058" s="2" t="s">
        <v>10787</v>
      </c>
      <c r="Y1058" s="2" t="s">
        <v>10801</v>
      </c>
      <c r="Z1058" s="2" t="s">
        <v>7864</v>
      </c>
      <c r="AA1058" s="2">
        <v>90</v>
      </c>
      <c r="AB1058" s="2">
        <v>0</v>
      </c>
      <c r="AC1058" s="2" t="s">
        <v>10789</v>
      </c>
      <c r="AD1058" s="2" t="s">
        <v>25486</v>
      </c>
      <c r="AE1058" s="2" t="s">
        <v>18260</v>
      </c>
      <c r="AF1058" s="2"/>
      <c r="AG1058" s="2" t="s">
        <v>18250</v>
      </c>
    </row>
    <row r="1059" spans="1:33" x14ac:dyDescent="0.45">
      <c r="A1059" s="2" t="s">
        <v>25487</v>
      </c>
      <c r="B1059" s="2" t="s">
        <v>25488</v>
      </c>
      <c r="C1059" s="2" t="s">
        <v>25489</v>
      </c>
      <c r="D1059" s="2" t="s">
        <v>25490</v>
      </c>
      <c r="E1059" s="2" t="s">
        <v>25491</v>
      </c>
      <c r="F1059" s="2" t="s">
        <v>25492</v>
      </c>
      <c r="G1059" s="2"/>
      <c r="H1059" s="2" t="s">
        <v>290</v>
      </c>
      <c r="I1059" s="2" t="s">
        <v>278</v>
      </c>
      <c r="J1059" s="2" t="s">
        <v>291</v>
      </c>
      <c r="K1059" s="2" t="s">
        <v>25493</v>
      </c>
      <c r="L1059" s="2"/>
      <c r="M1059" s="2"/>
      <c r="N1059" s="2"/>
      <c r="O1059" s="2" t="s">
        <v>290</v>
      </c>
      <c r="P1059" s="2" t="s">
        <v>278</v>
      </c>
      <c r="Q1059" s="2" t="s">
        <v>1460</v>
      </c>
      <c r="R1059" s="2" t="s">
        <v>548</v>
      </c>
      <c r="S1059" s="2" t="s">
        <v>44</v>
      </c>
      <c r="T1059" s="2"/>
      <c r="U1059" s="2" t="s">
        <v>821</v>
      </c>
      <c r="V1059" s="2" t="s">
        <v>46</v>
      </c>
      <c r="W1059" s="2" t="s">
        <v>821</v>
      </c>
      <c r="X1059" s="2" t="s">
        <v>10787</v>
      </c>
      <c r="Y1059" s="2" t="s">
        <v>10801</v>
      </c>
      <c r="Z1059" s="2" t="s">
        <v>7864</v>
      </c>
      <c r="AA1059" s="2">
        <v>100</v>
      </c>
      <c r="AB1059" s="2">
        <v>17</v>
      </c>
      <c r="AC1059" s="2" t="s">
        <v>10789</v>
      </c>
      <c r="AD1059" s="2" t="s">
        <v>25494</v>
      </c>
      <c r="AE1059" s="2" t="s">
        <v>18260</v>
      </c>
      <c r="AF1059" s="2"/>
      <c r="AG1059" s="2" t="s">
        <v>18250</v>
      </c>
    </row>
    <row r="1060" spans="1:33" x14ac:dyDescent="0.45">
      <c r="A1060" s="2" t="s">
        <v>25495</v>
      </c>
      <c r="B1060" s="2" t="s">
        <v>25496</v>
      </c>
      <c r="C1060" s="2" t="s">
        <v>25495</v>
      </c>
      <c r="D1060" s="2" t="s">
        <v>25497</v>
      </c>
      <c r="E1060" s="2" t="s">
        <v>25498</v>
      </c>
      <c r="F1060" s="2" t="s">
        <v>25499</v>
      </c>
      <c r="G1060" s="2"/>
      <c r="H1060" s="2" t="s">
        <v>536</v>
      </c>
      <c r="I1060" s="2" t="s">
        <v>537</v>
      </c>
      <c r="J1060" s="2" t="s">
        <v>4926</v>
      </c>
      <c r="K1060" s="2" t="s">
        <v>25500</v>
      </c>
      <c r="L1060" s="2"/>
      <c r="M1060" s="2"/>
      <c r="N1060" s="2"/>
      <c r="O1060" s="2" t="s">
        <v>536</v>
      </c>
      <c r="P1060" s="2" t="s">
        <v>537</v>
      </c>
      <c r="Q1060" s="2" t="s">
        <v>4926</v>
      </c>
      <c r="R1060" s="2" t="s">
        <v>11575</v>
      </c>
      <c r="S1060" s="2" t="s">
        <v>44</v>
      </c>
      <c r="T1060" s="2"/>
      <c r="U1060" s="2" t="s">
        <v>3527</v>
      </c>
      <c r="V1060" s="2" t="s">
        <v>46</v>
      </c>
      <c r="W1060" s="2" t="s">
        <v>3527</v>
      </c>
      <c r="X1060" s="2" t="s">
        <v>10787</v>
      </c>
      <c r="Y1060" s="2" t="s">
        <v>10801</v>
      </c>
      <c r="Z1060" s="2" t="s">
        <v>7864</v>
      </c>
      <c r="AA1060" s="2">
        <v>100</v>
      </c>
      <c r="AB1060" s="2">
        <v>10</v>
      </c>
      <c r="AC1060" s="2" t="s">
        <v>10789</v>
      </c>
      <c r="AD1060" s="2" t="s">
        <v>25501</v>
      </c>
      <c r="AE1060" s="2" t="s">
        <v>18260</v>
      </c>
      <c r="AF1060" s="2"/>
      <c r="AG1060" s="2" t="s">
        <v>18250</v>
      </c>
    </row>
    <row r="1061" spans="1:33" x14ac:dyDescent="0.45">
      <c r="A1061" s="2" t="s">
        <v>25502</v>
      </c>
      <c r="B1061" s="2" t="s">
        <v>25503</v>
      </c>
      <c r="C1061" s="2" t="s">
        <v>25504</v>
      </c>
      <c r="D1061" s="2" t="s">
        <v>25505</v>
      </c>
      <c r="E1061" s="2" t="s">
        <v>25506</v>
      </c>
      <c r="F1061" s="2" t="s">
        <v>25507</v>
      </c>
      <c r="G1061" s="2" t="s">
        <v>25507</v>
      </c>
      <c r="H1061" s="2" t="s">
        <v>39</v>
      </c>
      <c r="I1061" s="2" t="s">
        <v>40</v>
      </c>
      <c r="J1061" s="2" t="s">
        <v>25508</v>
      </c>
      <c r="K1061" s="2" t="s">
        <v>25505</v>
      </c>
      <c r="L1061" s="2"/>
      <c r="M1061" s="2"/>
      <c r="N1061" s="2"/>
      <c r="O1061" s="2" t="s">
        <v>39</v>
      </c>
      <c r="P1061" s="2" t="s">
        <v>40</v>
      </c>
      <c r="Q1061" s="2" t="s">
        <v>25508</v>
      </c>
      <c r="R1061" s="2" t="s">
        <v>18896</v>
      </c>
      <c r="S1061" s="2" t="s">
        <v>44</v>
      </c>
      <c r="T1061" s="2"/>
      <c r="U1061" s="2" t="s">
        <v>3527</v>
      </c>
      <c r="V1061" s="2" t="s">
        <v>46</v>
      </c>
      <c r="W1061" s="2" t="s">
        <v>3527</v>
      </c>
      <c r="X1061" s="2" t="s">
        <v>10787</v>
      </c>
      <c r="Y1061" s="2" t="s">
        <v>10801</v>
      </c>
      <c r="Z1061" s="2" t="s">
        <v>7864</v>
      </c>
      <c r="AA1061" s="2">
        <v>100</v>
      </c>
      <c r="AB1061" s="2">
        <v>10</v>
      </c>
      <c r="AC1061" s="2" t="s">
        <v>10789</v>
      </c>
      <c r="AD1061" s="2" t="s">
        <v>25509</v>
      </c>
      <c r="AE1061" s="2" t="s">
        <v>18260</v>
      </c>
      <c r="AF1061" s="2"/>
      <c r="AG1061" s="2" t="s">
        <v>18250</v>
      </c>
    </row>
    <row r="1062" spans="1:33" x14ac:dyDescent="0.45">
      <c r="A1062" s="2" t="s">
        <v>25510</v>
      </c>
      <c r="B1062" s="2" t="s">
        <v>25511</v>
      </c>
      <c r="C1062" s="2" t="s">
        <v>25510</v>
      </c>
      <c r="D1062" s="2" t="s">
        <v>25512</v>
      </c>
      <c r="E1062" s="2" t="s">
        <v>25513</v>
      </c>
      <c r="F1062" s="2" t="s">
        <v>25514</v>
      </c>
      <c r="G1062" s="2"/>
      <c r="H1062" s="2" t="s">
        <v>12804</v>
      </c>
      <c r="I1062" s="2" t="s">
        <v>221</v>
      </c>
      <c r="J1062" s="2" t="s">
        <v>25515</v>
      </c>
      <c r="K1062" s="2" t="s">
        <v>25516</v>
      </c>
      <c r="L1062" s="2"/>
      <c r="M1062" s="2"/>
      <c r="N1062" s="2"/>
      <c r="O1062" s="2" t="s">
        <v>12804</v>
      </c>
      <c r="P1062" s="2" t="s">
        <v>221</v>
      </c>
      <c r="Q1062" s="2" t="s">
        <v>25515</v>
      </c>
      <c r="R1062" s="2" t="s">
        <v>6993</v>
      </c>
      <c r="S1062" s="2" t="s">
        <v>44</v>
      </c>
      <c r="T1062" s="2"/>
      <c r="U1062" s="2" t="s">
        <v>3527</v>
      </c>
      <c r="V1062" s="2" t="s">
        <v>46</v>
      </c>
      <c r="W1062" s="2" t="s">
        <v>3527</v>
      </c>
      <c r="X1062" s="2" t="s">
        <v>25517</v>
      </c>
      <c r="Y1062" s="2" t="s">
        <v>10801</v>
      </c>
      <c r="Z1062" s="2" t="s">
        <v>7864</v>
      </c>
      <c r="AA1062" s="2">
        <v>100</v>
      </c>
      <c r="AB1062" s="2">
        <v>5</v>
      </c>
      <c r="AC1062" s="2" t="s">
        <v>10789</v>
      </c>
      <c r="AD1062" s="2" t="s">
        <v>25518</v>
      </c>
      <c r="AE1062" s="2" t="s">
        <v>18260</v>
      </c>
      <c r="AF1062" s="2"/>
      <c r="AG1062" s="2" t="s">
        <v>18250</v>
      </c>
    </row>
    <row r="1063" spans="1:33" x14ac:dyDescent="0.45">
      <c r="A1063" s="2" t="s">
        <v>25519</v>
      </c>
      <c r="B1063" s="2" t="s">
        <v>25520</v>
      </c>
      <c r="C1063" s="2" t="s">
        <v>25521</v>
      </c>
      <c r="D1063" s="2" t="s">
        <v>25522</v>
      </c>
      <c r="E1063" s="2" t="s">
        <v>25523</v>
      </c>
      <c r="F1063" s="2" t="s">
        <v>709</v>
      </c>
      <c r="G1063" s="2" t="s">
        <v>709</v>
      </c>
      <c r="H1063" s="2" t="s">
        <v>290</v>
      </c>
      <c r="I1063" s="2" t="s">
        <v>278</v>
      </c>
      <c r="J1063" s="2" t="s">
        <v>671</v>
      </c>
      <c r="K1063" s="2" t="s">
        <v>25522</v>
      </c>
      <c r="L1063" s="2"/>
      <c r="M1063" s="2"/>
      <c r="N1063" s="2"/>
      <c r="O1063" s="2" t="s">
        <v>290</v>
      </c>
      <c r="P1063" s="2" t="s">
        <v>278</v>
      </c>
      <c r="Q1063" s="2" t="s">
        <v>671</v>
      </c>
      <c r="R1063" s="2" t="s">
        <v>7704</v>
      </c>
      <c r="S1063" s="2" t="s">
        <v>44</v>
      </c>
      <c r="T1063" s="2"/>
      <c r="U1063" s="2" t="s">
        <v>3527</v>
      </c>
      <c r="V1063" s="2" t="s">
        <v>46</v>
      </c>
      <c r="W1063" s="2" t="s">
        <v>3527</v>
      </c>
      <c r="X1063" s="2" t="s">
        <v>10787</v>
      </c>
      <c r="Y1063" s="2" t="s">
        <v>10801</v>
      </c>
      <c r="Z1063" s="2" t="s">
        <v>7864</v>
      </c>
      <c r="AA1063" s="2">
        <v>100</v>
      </c>
      <c r="AB1063" s="2">
        <v>10</v>
      </c>
      <c r="AC1063" s="2" t="s">
        <v>10789</v>
      </c>
      <c r="AD1063" s="2" t="s">
        <v>25524</v>
      </c>
      <c r="AE1063" s="2" t="s">
        <v>18260</v>
      </c>
      <c r="AF1063" s="2"/>
      <c r="AG1063" s="2" t="s">
        <v>18250</v>
      </c>
    </row>
    <row r="1064" spans="1:33" x14ac:dyDescent="0.45">
      <c r="A1064" s="2" t="s">
        <v>25525</v>
      </c>
      <c r="B1064" s="2" t="s">
        <v>25526</v>
      </c>
      <c r="C1064" s="2" t="s">
        <v>25525</v>
      </c>
      <c r="D1064" s="2" t="s">
        <v>25527</v>
      </c>
      <c r="E1064" s="2" t="s">
        <v>25528</v>
      </c>
      <c r="F1064" s="2" t="s">
        <v>25529</v>
      </c>
      <c r="G1064" s="2"/>
      <c r="H1064" s="2" t="s">
        <v>384</v>
      </c>
      <c r="I1064" s="2" t="s">
        <v>73</v>
      </c>
      <c r="J1064" s="2" t="s">
        <v>4885</v>
      </c>
      <c r="K1064" s="2" t="s">
        <v>25527</v>
      </c>
      <c r="L1064" s="2"/>
      <c r="M1064" s="2"/>
      <c r="N1064" s="2"/>
      <c r="O1064" s="2" t="s">
        <v>384</v>
      </c>
      <c r="P1064" s="2" t="s">
        <v>73</v>
      </c>
      <c r="Q1064" s="2" t="s">
        <v>4885</v>
      </c>
      <c r="R1064" s="2" t="s">
        <v>4984</v>
      </c>
      <c r="S1064" s="2" t="s">
        <v>44</v>
      </c>
      <c r="T1064" s="2"/>
      <c r="U1064" s="2" t="s">
        <v>3527</v>
      </c>
      <c r="V1064" s="2" t="s">
        <v>46</v>
      </c>
      <c r="W1064" s="2" t="s">
        <v>3527</v>
      </c>
      <c r="X1064" s="2" t="s">
        <v>10787</v>
      </c>
      <c r="Y1064" s="2" t="s">
        <v>10801</v>
      </c>
      <c r="Z1064" s="2" t="s">
        <v>7864</v>
      </c>
      <c r="AA1064" s="2">
        <v>100</v>
      </c>
      <c r="AB1064" s="2">
        <v>10</v>
      </c>
      <c r="AC1064" s="2" t="s">
        <v>10789</v>
      </c>
      <c r="AD1064" s="2" t="s">
        <v>25530</v>
      </c>
      <c r="AE1064" s="2" t="s">
        <v>18260</v>
      </c>
      <c r="AF1064" s="2"/>
      <c r="AG1064" s="2" t="s">
        <v>18250</v>
      </c>
    </row>
    <row r="1065" spans="1:33" x14ac:dyDescent="0.45">
      <c r="A1065" s="2" t="s">
        <v>25531</v>
      </c>
      <c r="B1065" s="2" t="s">
        <v>25532</v>
      </c>
      <c r="C1065" s="2" t="s">
        <v>25531</v>
      </c>
      <c r="D1065" s="2" t="s">
        <v>25533</v>
      </c>
      <c r="E1065" s="2" t="s">
        <v>25534</v>
      </c>
      <c r="F1065" s="2"/>
      <c r="G1065" s="2"/>
      <c r="H1065" s="2" t="s">
        <v>536</v>
      </c>
      <c r="I1065" s="2" t="s">
        <v>537</v>
      </c>
      <c r="J1065" s="2" t="s">
        <v>25535</v>
      </c>
      <c r="K1065" s="2" t="s">
        <v>25533</v>
      </c>
      <c r="L1065" s="2"/>
      <c r="M1065" s="2"/>
      <c r="N1065" s="2"/>
      <c r="O1065" s="2" t="s">
        <v>536</v>
      </c>
      <c r="P1065" s="2" t="s">
        <v>537</v>
      </c>
      <c r="Q1065" s="2" t="s">
        <v>25535</v>
      </c>
      <c r="R1065" s="2" t="s">
        <v>22975</v>
      </c>
      <c r="S1065" s="2" t="s">
        <v>44</v>
      </c>
      <c r="T1065" s="2"/>
      <c r="U1065" s="2" t="s">
        <v>821</v>
      </c>
      <c r="V1065" s="2" t="s">
        <v>46</v>
      </c>
      <c r="W1065" s="2" t="s">
        <v>821</v>
      </c>
      <c r="X1065" s="2" t="s">
        <v>12462</v>
      </c>
      <c r="Y1065" s="2" t="s">
        <v>10801</v>
      </c>
      <c r="Z1065" s="2" t="s">
        <v>7864</v>
      </c>
      <c r="AA1065" s="2">
        <v>90</v>
      </c>
      <c r="AB1065" s="2">
        <v>7</v>
      </c>
      <c r="AC1065" s="2" t="s">
        <v>10789</v>
      </c>
      <c r="AD1065" s="2" t="s">
        <v>25536</v>
      </c>
      <c r="AE1065" s="2" t="s">
        <v>18260</v>
      </c>
      <c r="AF1065" s="2"/>
      <c r="AG1065" s="2" t="s">
        <v>18250</v>
      </c>
    </row>
    <row r="1066" spans="1:33" x14ac:dyDescent="0.45">
      <c r="A1066" s="2" t="s">
        <v>25537</v>
      </c>
      <c r="B1066" s="2" t="s">
        <v>25538</v>
      </c>
      <c r="C1066" s="2" t="s">
        <v>25537</v>
      </c>
      <c r="D1066" s="2" t="s">
        <v>25539</v>
      </c>
      <c r="E1066" s="2" t="s">
        <v>25540</v>
      </c>
      <c r="F1066" s="2" t="s">
        <v>25541</v>
      </c>
      <c r="G1066" s="2"/>
      <c r="H1066" s="2" t="s">
        <v>12645</v>
      </c>
      <c r="I1066" s="2" t="s">
        <v>1176</v>
      </c>
      <c r="J1066" s="2" t="s">
        <v>25542</v>
      </c>
      <c r="K1066" s="2" t="s">
        <v>25539</v>
      </c>
      <c r="L1066" s="2"/>
      <c r="M1066" s="2"/>
      <c r="N1066" s="2"/>
      <c r="O1066" s="2" t="s">
        <v>12645</v>
      </c>
      <c r="P1066" s="2" t="s">
        <v>1176</v>
      </c>
      <c r="Q1066" s="2" t="s">
        <v>25542</v>
      </c>
      <c r="R1066" s="2" t="s">
        <v>4867</v>
      </c>
      <c r="S1066" s="2" t="s">
        <v>44</v>
      </c>
      <c r="T1066" s="2"/>
      <c r="U1066" s="2" t="s">
        <v>3527</v>
      </c>
      <c r="V1066" s="2" t="s">
        <v>46</v>
      </c>
      <c r="W1066" s="2" t="s">
        <v>3527</v>
      </c>
      <c r="X1066" s="2" t="s">
        <v>10787</v>
      </c>
      <c r="Y1066" s="2" t="s">
        <v>10801</v>
      </c>
      <c r="Z1066" s="2" t="s">
        <v>7864</v>
      </c>
      <c r="AA1066" s="2">
        <v>100</v>
      </c>
      <c r="AB1066" s="2">
        <v>5</v>
      </c>
      <c r="AC1066" s="2" t="s">
        <v>10789</v>
      </c>
      <c r="AD1066" s="2" t="s">
        <v>25543</v>
      </c>
      <c r="AE1066" s="2" t="s">
        <v>18260</v>
      </c>
      <c r="AF1066" s="2"/>
      <c r="AG1066" s="2" t="s">
        <v>18250</v>
      </c>
    </row>
    <row r="1067" spans="1:33" x14ac:dyDescent="0.45">
      <c r="A1067" s="2" t="s">
        <v>25544</v>
      </c>
      <c r="B1067" s="2" t="s">
        <v>25545</v>
      </c>
      <c r="C1067" s="2" t="s">
        <v>25546</v>
      </c>
      <c r="D1067" s="2" t="s">
        <v>25547</v>
      </c>
      <c r="E1067" s="2" t="s">
        <v>25548</v>
      </c>
      <c r="F1067" s="2" t="s">
        <v>25549</v>
      </c>
      <c r="G1067" s="2"/>
      <c r="H1067" s="2" t="s">
        <v>10502</v>
      </c>
      <c r="I1067" s="2" t="s">
        <v>1112</v>
      </c>
      <c r="J1067" s="2" t="s">
        <v>25550</v>
      </c>
      <c r="K1067" s="2" t="s">
        <v>25551</v>
      </c>
      <c r="L1067" s="2"/>
      <c r="M1067" s="2"/>
      <c r="N1067" s="2"/>
      <c r="O1067" s="2" t="s">
        <v>1115</v>
      </c>
      <c r="P1067" s="2" t="s">
        <v>1112</v>
      </c>
      <c r="Q1067" s="2" t="s">
        <v>25552</v>
      </c>
      <c r="R1067" s="2" t="s">
        <v>25553</v>
      </c>
      <c r="S1067" s="2" t="s">
        <v>44</v>
      </c>
      <c r="T1067" s="2"/>
      <c r="U1067" s="2" t="s">
        <v>821</v>
      </c>
      <c r="V1067" s="2" t="s">
        <v>46</v>
      </c>
      <c r="W1067" s="2" t="s">
        <v>821</v>
      </c>
      <c r="X1067" s="2" t="s">
        <v>10787</v>
      </c>
      <c r="Y1067" s="2" t="s">
        <v>10801</v>
      </c>
      <c r="Z1067" s="2" t="s">
        <v>7864</v>
      </c>
      <c r="AA1067" s="2">
        <v>100</v>
      </c>
      <c r="AB1067" s="2">
        <v>12</v>
      </c>
      <c r="AC1067" s="2" t="s">
        <v>10789</v>
      </c>
      <c r="AD1067" s="2" t="s">
        <v>25554</v>
      </c>
      <c r="AE1067" s="2" t="s">
        <v>18260</v>
      </c>
      <c r="AF1067" s="2"/>
      <c r="AG1067" s="2" t="s">
        <v>18250</v>
      </c>
    </row>
    <row r="1068" spans="1:33" x14ac:dyDescent="0.45">
      <c r="A1068" s="2" t="s">
        <v>25555</v>
      </c>
      <c r="B1068" s="2" t="s">
        <v>25556</v>
      </c>
      <c r="C1068" s="2" t="s">
        <v>25557</v>
      </c>
      <c r="D1068" s="2" t="s">
        <v>25558</v>
      </c>
      <c r="E1068" s="2" t="s">
        <v>25559</v>
      </c>
      <c r="F1068" s="2" t="s">
        <v>25560</v>
      </c>
      <c r="G1068" s="2" t="s">
        <v>25560</v>
      </c>
      <c r="H1068" s="2" t="s">
        <v>290</v>
      </c>
      <c r="I1068" s="2" t="s">
        <v>278</v>
      </c>
      <c r="J1068" s="2" t="s">
        <v>25561</v>
      </c>
      <c r="K1068" s="2" t="s">
        <v>25562</v>
      </c>
      <c r="L1068" s="2"/>
      <c r="M1068" s="2"/>
      <c r="N1068" s="2"/>
      <c r="O1068" s="2" t="s">
        <v>290</v>
      </c>
      <c r="P1068" s="2" t="s">
        <v>278</v>
      </c>
      <c r="Q1068" s="2" t="s">
        <v>25561</v>
      </c>
      <c r="R1068" s="2" t="s">
        <v>25563</v>
      </c>
      <c r="S1068" s="2" t="s">
        <v>44</v>
      </c>
      <c r="T1068" s="2"/>
      <c r="U1068" s="2" t="s">
        <v>821</v>
      </c>
      <c r="V1068" s="2" t="s">
        <v>46</v>
      </c>
      <c r="W1068" s="2" t="s">
        <v>821</v>
      </c>
      <c r="X1068" s="2" t="s">
        <v>10787</v>
      </c>
      <c r="Y1068" s="2" t="s">
        <v>10801</v>
      </c>
      <c r="Z1068" s="2" t="s">
        <v>7864</v>
      </c>
      <c r="AA1068" s="2">
        <v>100</v>
      </c>
      <c r="AB1068" s="2">
        <v>17</v>
      </c>
      <c r="AC1068" s="2" t="s">
        <v>10789</v>
      </c>
      <c r="AD1068" s="2" t="s">
        <v>25564</v>
      </c>
      <c r="AE1068" s="2" t="s">
        <v>18260</v>
      </c>
      <c r="AF1068" s="2"/>
      <c r="AG1068" s="2" t="s">
        <v>18250</v>
      </c>
    </row>
    <row r="1069" spans="1:33" x14ac:dyDescent="0.45">
      <c r="A1069" s="2" t="s">
        <v>25565</v>
      </c>
      <c r="B1069" s="2" t="s">
        <v>25566</v>
      </c>
      <c r="C1069" s="2" t="s">
        <v>25565</v>
      </c>
      <c r="D1069" s="2" t="s">
        <v>25567</v>
      </c>
      <c r="E1069" s="2" t="s">
        <v>25568</v>
      </c>
      <c r="F1069" s="2"/>
      <c r="G1069" s="2"/>
      <c r="H1069" s="2" t="s">
        <v>20104</v>
      </c>
      <c r="I1069" s="2" t="s">
        <v>1281</v>
      </c>
      <c r="J1069" s="2" t="s">
        <v>25569</v>
      </c>
      <c r="K1069" s="2" t="s">
        <v>25570</v>
      </c>
      <c r="L1069" s="2"/>
      <c r="M1069" s="2"/>
      <c r="N1069" s="2"/>
      <c r="O1069" s="2" t="s">
        <v>20104</v>
      </c>
      <c r="P1069" s="2" t="s">
        <v>1281</v>
      </c>
      <c r="Q1069" s="2" t="s">
        <v>25569</v>
      </c>
      <c r="R1069" s="2" t="s">
        <v>8963</v>
      </c>
      <c r="S1069" s="2" t="s">
        <v>44</v>
      </c>
      <c r="T1069" s="2"/>
      <c r="U1069" s="2" t="s">
        <v>3527</v>
      </c>
      <c r="V1069" s="2" t="s">
        <v>46</v>
      </c>
      <c r="W1069" s="2" t="s">
        <v>3527</v>
      </c>
      <c r="X1069" s="2" t="s">
        <v>10787</v>
      </c>
      <c r="Y1069" s="2" t="s">
        <v>10801</v>
      </c>
      <c r="Z1069" s="2" t="s">
        <v>7864</v>
      </c>
      <c r="AA1069" s="2">
        <v>90</v>
      </c>
      <c r="AB1069" s="2">
        <v>0</v>
      </c>
      <c r="AC1069" s="2" t="s">
        <v>10789</v>
      </c>
      <c r="AD1069" s="2" t="s">
        <v>25571</v>
      </c>
      <c r="AE1069" s="2" t="s">
        <v>18260</v>
      </c>
      <c r="AF1069" s="2"/>
      <c r="AG1069" s="2" t="s">
        <v>18250</v>
      </c>
    </row>
    <row r="1070" spans="1:33" x14ac:dyDescent="0.45">
      <c r="A1070" s="2" t="s">
        <v>25572</v>
      </c>
      <c r="B1070" s="2" t="s">
        <v>25573</v>
      </c>
      <c r="C1070" s="2" t="s">
        <v>25574</v>
      </c>
      <c r="D1070" s="2" t="s">
        <v>25575</v>
      </c>
      <c r="E1070" s="2" t="s">
        <v>25576</v>
      </c>
      <c r="F1070" s="2" t="s">
        <v>25577</v>
      </c>
      <c r="G1070" s="2" t="s">
        <v>25577</v>
      </c>
      <c r="H1070" s="2" t="s">
        <v>25578</v>
      </c>
      <c r="I1070" s="2" t="s">
        <v>11347</v>
      </c>
      <c r="J1070" s="2" t="s">
        <v>22974</v>
      </c>
      <c r="K1070" s="2" t="s">
        <v>25575</v>
      </c>
      <c r="L1070" s="2"/>
      <c r="M1070" s="2"/>
      <c r="N1070" s="2"/>
      <c r="O1070" s="2" t="s">
        <v>25578</v>
      </c>
      <c r="P1070" s="2" t="s">
        <v>11347</v>
      </c>
      <c r="Q1070" s="2" t="s">
        <v>22974</v>
      </c>
      <c r="R1070" s="2" t="s">
        <v>9618</v>
      </c>
      <c r="S1070" s="2" t="s">
        <v>44</v>
      </c>
      <c r="T1070" s="2"/>
      <c r="U1070" s="2" t="s">
        <v>3527</v>
      </c>
      <c r="V1070" s="2" t="s">
        <v>46</v>
      </c>
      <c r="W1070" s="2" t="s">
        <v>3527</v>
      </c>
      <c r="X1070" s="2" t="s">
        <v>10787</v>
      </c>
      <c r="Y1070" s="2" t="s">
        <v>10801</v>
      </c>
      <c r="Z1070" s="2" t="s">
        <v>7864</v>
      </c>
      <c r="AA1070" s="2">
        <v>100</v>
      </c>
      <c r="AB1070" s="2">
        <v>5</v>
      </c>
      <c r="AC1070" s="2" t="s">
        <v>10789</v>
      </c>
      <c r="AD1070" s="2" t="s">
        <v>25579</v>
      </c>
      <c r="AE1070" s="2" t="s">
        <v>18260</v>
      </c>
      <c r="AF1070" s="2"/>
      <c r="AG1070" s="2" t="s">
        <v>18250</v>
      </c>
    </row>
    <row r="1071" spans="1:33" x14ac:dyDescent="0.45">
      <c r="A1071" s="2" t="s">
        <v>25580</v>
      </c>
      <c r="B1071" s="2" t="s">
        <v>25581</v>
      </c>
      <c r="C1071" s="2" t="s">
        <v>25582</v>
      </c>
      <c r="D1071" s="2" t="s">
        <v>25583</v>
      </c>
      <c r="E1071" s="2" t="s">
        <v>25584</v>
      </c>
      <c r="F1071" s="2" t="s">
        <v>25585</v>
      </c>
      <c r="G1071" s="2"/>
      <c r="H1071" s="2" t="s">
        <v>1023</v>
      </c>
      <c r="I1071" s="2" t="s">
        <v>73</v>
      </c>
      <c r="J1071" s="2" t="s">
        <v>3854</v>
      </c>
      <c r="K1071" s="2" t="s">
        <v>25586</v>
      </c>
      <c r="L1071" s="2"/>
      <c r="M1071" s="2"/>
      <c r="N1071" s="2"/>
      <c r="O1071" s="2" t="s">
        <v>1023</v>
      </c>
      <c r="P1071" s="2" t="s">
        <v>73</v>
      </c>
      <c r="Q1071" s="2" t="s">
        <v>20060</v>
      </c>
      <c r="R1071" s="2" t="s">
        <v>25587</v>
      </c>
      <c r="S1071" s="2" t="s">
        <v>44</v>
      </c>
      <c r="T1071" s="2"/>
      <c r="U1071" s="2" t="s">
        <v>821</v>
      </c>
      <c r="V1071" s="2" t="s">
        <v>46</v>
      </c>
      <c r="W1071" s="2" t="s">
        <v>821</v>
      </c>
      <c r="X1071" s="2" t="s">
        <v>10787</v>
      </c>
      <c r="Y1071" s="2" t="s">
        <v>10801</v>
      </c>
      <c r="Z1071" s="2" t="s">
        <v>7864</v>
      </c>
      <c r="AA1071" s="2">
        <v>100</v>
      </c>
      <c r="AB1071" s="2">
        <v>17</v>
      </c>
      <c r="AC1071" s="2" t="s">
        <v>10789</v>
      </c>
      <c r="AD1071" s="2" t="s">
        <v>25588</v>
      </c>
      <c r="AE1071" s="2" t="s">
        <v>18260</v>
      </c>
      <c r="AF1071" s="2"/>
      <c r="AG1071" s="2" t="s">
        <v>18250</v>
      </c>
    </row>
    <row r="1072" spans="1:33" x14ac:dyDescent="0.45">
      <c r="A1072" s="2" t="s">
        <v>25589</v>
      </c>
      <c r="B1072" s="2" t="s">
        <v>25590</v>
      </c>
      <c r="C1072" s="2" t="s">
        <v>25589</v>
      </c>
      <c r="D1072" s="2" t="s">
        <v>25591</v>
      </c>
      <c r="E1072" s="2" t="s">
        <v>25592</v>
      </c>
      <c r="F1072" s="2" t="s">
        <v>25593</v>
      </c>
      <c r="G1072" s="2"/>
      <c r="H1072" s="2" t="s">
        <v>1136</v>
      </c>
      <c r="I1072" s="2" t="s">
        <v>1137</v>
      </c>
      <c r="J1072" s="2" t="s">
        <v>13439</v>
      </c>
      <c r="K1072" s="2" t="s">
        <v>25591</v>
      </c>
      <c r="L1072" s="2"/>
      <c r="M1072" s="2"/>
      <c r="N1072" s="2"/>
      <c r="O1072" s="2" t="s">
        <v>1136</v>
      </c>
      <c r="P1072" s="2" t="s">
        <v>1137</v>
      </c>
      <c r="Q1072" s="2" t="s">
        <v>13439</v>
      </c>
      <c r="R1072" s="2" t="s">
        <v>5548</v>
      </c>
      <c r="S1072" s="2" t="s">
        <v>44</v>
      </c>
      <c r="T1072" s="2"/>
      <c r="U1072" s="2" t="s">
        <v>3527</v>
      </c>
      <c r="V1072" s="2" t="s">
        <v>46</v>
      </c>
      <c r="W1072" s="2" t="s">
        <v>3527</v>
      </c>
      <c r="X1072" s="2" t="s">
        <v>10787</v>
      </c>
      <c r="Y1072" s="2" t="s">
        <v>10801</v>
      </c>
      <c r="Z1072" s="2" t="s">
        <v>7864</v>
      </c>
      <c r="AA1072" s="2">
        <v>100</v>
      </c>
      <c r="AB1072" s="2">
        <v>5</v>
      </c>
      <c r="AC1072" s="2" t="s">
        <v>10789</v>
      </c>
      <c r="AD1072" s="2" t="s">
        <v>25594</v>
      </c>
      <c r="AE1072" s="2" t="s">
        <v>18260</v>
      </c>
      <c r="AF1072" s="2"/>
      <c r="AG1072" s="2" t="s">
        <v>18250</v>
      </c>
    </row>
    <row r="1073" spans="1:33" x14ac:dyDescent="0.45">
      <c r="A1073" s="2" t="s">
        <v>25595</v>
      </c>
      <c r="B1073" s="2" t="s">
        <v>25596</v>
      </c>
      <c r="C1073" s="2" t="s">
        <v>25597</v>
      </c>
      <c r="D1073" s="2" t="s">
        <v>25598</v>
      </c>
      <c r="E1073" s="2" t="s">
        <v>25599</v>
      </c>
      <c r="F1073" s="2" t="s">
        <v>25600</v>
      </c>
      <c r="G1073" s="2"/>
      <c r="H1073" s="2" t="s">
        <v>290</v>
      </c>
      <c r="I1073" s="2" t="s">
        <v>278</v>
      </c>
      <c r="J1073" s="2" t="s">
        <v>291</v>
      </c>
      <c r="K1073" s="2" t="s">
        <v>25598</v>
      </c>
      <c r="L1073" s="2"/>
      <c r="M1073" s="2"/>
      <c r="N1073" s="2"/>
      <c r="O1073" s="2" t="s">
        <v>290</v>
      </c>
      <c r="P1073" s="2" t="s">
        <v>278</v>
      </c>
      <c r="Q1073" s="2" t="s">
        <v>291</v>
      </c>
      <c r="R1073" s="2" t="s">
        <v>12608</v>
      </c>
      <c r="S1073" s="2" t="s">
        <v>44</v>
      </c>
      <c r="T1073" s="2"/>
      <c r="U1073" s="2" t="s">
        <v>3527</v>
      </c>
      <c r="V1073" s="2" t="s">
        <v>46</v>
      </c>
      <c r="W1073" s="2" t="s">
        <v>3527</v>
      </c>
      <c r="X1073" s="2" t="s">
        <v>10787</v>
      </c>
      <c r="Y1073" s="2" t="s">
        <v>10801</v>
      </c>
      <c r="Z1073" s="2" t="s">
        <v>7864</v>
      </c>
      <c r="AA1073" s="2">
        <v>100</v>
      </c>
      <c r="AB1073" s="2">
        <v>10</v>
      </c>
      <c r="AC1073" s="2" t="s">
        <v>10789</v>
      </c>
      <c r="AD1073" s="2" t="s">
        <v>25601</v>
      </c>
      <c r="AE1073" s="2" t="s">
        <v>18260</v>
      </c>
      <c r="AF1073" s="2"/>
      <c r="AG1073" s="2" t="s">
        <v>18250</v>
      </c>
    </row>
    <row r="1074" spans="1:33" x14ac:dyDescent="0.45">
      <c r="A1074" s="2" t="s">
        <v>25602</v>
      </c>
      <c r="B1074" s="2" t="s">
        <v>25603</v>
      </c>
      <c r="C1074" s="2" t="s">
        <v>25602</v>
      </c>
      <c r="D1074" s="2" t="s">
        <v>25604</v>
      </c>
      <c r="E1074" s="2" t="s">
        <v>25605</v>
      </c>
      <c r="F1074" s="2"/>
      <c r="G1074" s="2"/>
      <c r="H1074" s="2" t="s">
        <v>25606</v>
      </c>
      <c r="I1074" s="2" t="s">
        <v>25607</v>
      </c>
      <c r="J1074" s="2" t="s">
        <v>25608</v>
      </c>
      <c r="K1074" s="2" t="s">
        <v>25604</v>
      </c>
      <c r="L1074" s="2"/>
      <c r="M1074" s="2"/>
      <c r="N1074" s="2"/>
      <c r="O1074" s="2" t="s">
        <v>25606</v>
      </c>
      <c r="P1074" s="2" t="s">
        <v>25607</v>
      </c>
      <c r="Q1074" s="2" t="s">
        <v>25608</v>
      </c>
      <c r="R1074" s="2" t="s">
        <v>23198</v>
      </c>
      <c r="S1074" s="2" t="s">
        <v>44</v>
      </c>
      <c r="T1074" s="2"/>
      <c r="U1074" s="2" t="s">
        <v>3527</v>
      </c>
      <c r="V1074" s="2" t="s">
        <v>46</v>
      </c>
      <c r="W1074" s="2" t="s">
        <v>3527</v>
      </c>
      <c r="X1074" s="2" t="s">
        <v>10787</v>
      </c>
      <c r="Y1074" s="2" t="s">
        <v>10801</v>
      </c>
      <c r="Z1074" s="2" t="s">
        <v>7864</v>
      </c>
      <c r="AA1074" s="2">
        <v>90</v>
      </c>
      <c r="AB1074" s="2">
        <v>0</v>
      </c>
      <c r="AC1074" s="2" t="s">
        <v>10789</v>
      </c>
      <c r="AD1074" s="2" t="s">
        <v>25609</v>
      </c>
      <c r="AE1074" s="2" t="s">
        <v>18260</v>
      </c>
      <c r="AF1074" s="2"/>
      <c r="AG1074" s="2" t="s">
        <v>18250</v>
      </c>
    </row>
    <row r="1075" spans="1:33" x14ac:dyDescent="0.45">
      <c r="A1075" s="2" t="s">
        <v>25610</v>
      </c>
      <c r="B1075" s="2" t="s">
        <v>25611</v>
      </c>
      <c r="C1075" s="2" t="s">
        <v>25612</v>
      </c>
      <c r="D1075" s="2" t="s">
        <v>25613</v>
      </c>
      <c r="E1075" s="2" t="s">
        <v>25614</v>
      </c>
      <c r="F1075" s="2" t="s">
        <v>3562</v>
      </c>
      <c r="G1075" s="2" t="s">
        <v>3562</v>
      </c>
      <c r="H1075" s="2" t="s">
        <v>312</v>
      </c>
      <c r="I1075" s="2" t="s">
        <v>313</v>
      </c>
      <c r="J1075" s="2" t="s">
        <v>11661</v>
      </c>
      <c r="K1075" s="2"/>
      <c r="L1075" s="2"/>
      <c r="M1075" s="2"/>
      <c r="N1075" s="2"/>
      <c r="O1075" s="2"/>
      <c r="P1075" s="2"/>
      <c r="Q1075" s="2"/>
      <c r="R1075" s="2" t="s">
        <v>5678</v>
      </c>
      <c r="S1075" s="2" t="s">
        <v>44</v>
      </c>
      <c r="T1075" s="2"/>
      <c r="U1075" s="2" t="s">
        <v>3527</v>
      </c>
      <c r="V1075" s="2" t="s">
        <v>46</v>
      </c>
      <c r="W1075" s="2" t="s">
        <v>3527</v>
      </c>
      <c r="X1075" s="2" t="s">
        <v>10787</v>
      </c>
      <c r="Y1075" s="2" t="s">
        <v>10801</v>
      </c>
      <c r="Z1075" s="2" t="s">
        <v>7864</v>
      </c>
      <c r="AA1075" s="2">
        <v>100</v>
      </c>
      <c r="AB1075" s="2">
        <v>10</v>
      </c>
      <c r="AC1075" s="2" t="s">
        <v>10789</v>
      </c>
      <c r="AD1075" s="2" t="s">
        <v>25615</v>
      </c>
      <c r="AE1075" s="2" t="s">
        <v>18260</v>
      </c>
      <c r="AF1075" s="2"/>
      <c r="AG1075" s="2" t="s">
        <v>18250</v>
      </c>
    </row>
    <row r="1076" spans="1:33" x14ac:dyDescent="0.45">
      <c r="A1076" s="2" t="s">
        <v>25616</v>
      </c>
      <c r="B1076" s="2" t="s">
        <v>25617</v>
      </c>
      <c r="C1076" s="2" t="s">
        <v>25616</v>
      </c>
      <c r="D1076" s="2" t="s">
        <v>25618</v>
      </c>
      <c r="E1076" s="2" t="s">
        <v>25619</v>
      </c>
      <c r="F1076" s="2" t="s">
        <v>25620</v>
      </c>
      <c r="G1076" s="2"/>
      <c r="H1076" s="2" t="s">
        <v>18569</v>
      </c>
      <c r="I1076" s="2" t="s">
        <v>175</v>
      </c>
      <c r="J1076" s="2" t="s">
        <v>25621</v>
      </c>
      <c r="K1076" s="2" t="s">
        <v>25618</v>
      </c>
      <c r="L1076" s="2"/>
      <c r="M1076" s="2"/>
      <c r="N1076" s="2"/>
      <c r="O1076" s="2" t="s">
        <v>18569</v>
      </c>
      <c r="P1076" s="2" t="s">
        <v>175</v>
      </c>
      <c r="Q1076" s="2" t="s">
        <v>25621</v>
      </c>
      <c r="R1076" s="2" t="s">
        <v>5233</v>
      </c>
      <c r="S1076" s="2" t="s">
        <v>44</v>
      </c>
      <c r="T1076" s="2"/>
      <c r="U1076" s="2" t="s">
        <v>3527</v>
      </c>
      <c r="V1076" s="2" t="s">
        <v>46</v>
      </c>
      <c r="W1076" s="2" t="s">
        <v>3527</v>
      </c>
      <c r="X1076" s="2" t="s">
        <v>10787</v>
      </c>
      <c r="Y1076" s="2" t="s">
        <v>10801</v>
      </c>
      <c r="Z1076" s="2" t="s">
        <v>7864</v>
      </c>
      <c r="AA1076" s="2">
        <v>100</v>
      </c>
      <c r="AB1076" s="2">
        <v>5</v>
      </c>
      <c r="AC1076" s="2" t="s">
        <v>10789</v>
      </c>
      <c r="AD1076" s="2" t="s">
        <v>25622</v>
      </c>
      <c r="AE1076" s="2" t="s">
        <v>18260</v>
      </c>
      <c r="AF1076" s="2"/>
      <c r="AG1076" s="2" t="s">
        <v>18250</v>
      </c>
    </row>
    <row r="1077" spans="1:33" x14ac:dyDescent="0.45">
      <c r="A1077" s="2" t="s">
        <v>25623</v>
      </c>
      <c r="B1077" s="2" t="s">
        <v>25624</v>
      </c>
      <c r="C1077" s="2" t="s">
        <v>25625</v>
      </c>
      <c r="D1077" s="2" t="s">
        <v>25626</v>
      </c>
      <c r="E1077" s="2" t="s">
        <v>25627</v>
      </c>
      <c r="F1077" s="2" t="s">
        <v>25628</v>
      </c>
      <c r="G1077" s="2"/>
      <c r="H1077" s="2" t="s">
        <v>18303</v>
      </c>
      <c r="I1077" s="2" t="s">
        <v>278</v>
      </c>
      <c r="J1077" s="2" t="s">
        <v>25629</v>
      </c>
      <c r="K1077" s="2" t="s">
        <v>25630</v>
      </c>
      <c r="L1077" s="2"/>
      <c r="M1077" s="2"/>
      <c r="N1077" s="2"/>
      <c r="O1077" s="2" t="s">
        <v>18303</v>
      </c>
      <c r="P1077" s="2" t="s">
        <v>278</v>
      </c>
      <c r="Q1077" s="2" t="s">
        <v>25629</v>
      </c>
      <c r="R1077" s="2" t="s">
        <v>10051</v>
      </c>
      <c r="S1077" s="2" t="s">
        <v>44</v>
      </c>
      <c r="T1077" s="2"/>
      <c r="U1077" s="2" t="s">
        <v>3527</v>
      </c>
      <c r="V1077" s="2" t="s">
        <v>46</v>
      </c>
      <c r="W1077" s="2" t="s">
        <v>3527</v>
      </c>
      <c r="X1077" s="2" t="s">
        <v>10787</v>
      </c>
      <c r="Y1077" s="2" t="s">
        <v>10801</v>
      </c>
      <c r="Z1077" s="2" t="s">
        <v>7864</v>
      </c>
      <c r="AA1077" s="2">
        <v>100</v>
      </c>
      <c r="AB1077" s="2">
        <v>5</v>
      </c>
      <c r="AC1077" s="2" t="s">
        <v>10789</v>
      </c>
      <c r="AD1077" s="2" t="s">
        <v>25631</v>
      </c>
      <c r="AE1077" s="2" t="s">
        <v>18260</v>
      </c>
      <c r="AF1077" s="2"/>
      <c r="AG1077" s="2" t="s">
        <v>18250</v>
      </c>
    </row>
    <row r="1078" spans="1:33" x14ac:dyDescent="0.45">
      <c r="A1078" s="2" t="s">
        <v>25632</v>
      </c>
      <c r="B1078" s="2" t="s">
        <v>25633</v>
      </c>
      <c r="C1078" s="2" t="s">
        <v>25634</v>
      </c>
      <c r="D1078" s="2" t="s">
        <v>25635</v>
      </c>
      <c r="E1078" s="2" t="s">
        <v>25636</v>
      </c>
      <c r="F1078" s="2" t="s">
        <v>25637</v>
      </c>
      <c r="G1078" s="2" t="s">
        <v>25637</v>
      </c>
      <c r="H1078" s="2" t="s">
        <v>8392</v>
      </c>
      <c r="I1078" s="2" t="s">
        <v>313</v>
      </c>
      <c r="J1078" s="2" t="s">
        <v>25638</v>
      </c>
      <c r="K1078" s="2" t="s">
        <v>25635</v>
      </c>
      <c r="L1078" s="2"/>
      <c r="M1078" s="2"/>
      <c r="N1078" s="2"/>
      <c r="O1078" s="2" t="s">
        <v>8392</v>
      </c>
      <c r="P1078" s="2" t="s">
        <v>313</v>
      </c>
      <c r="Q1078" s="2" t="s">
        <v>25638</v>
      </c>
      <c r="R1078" s="2" t="s">
        <v>7730</v>
      </c>
      <c r="S1078" s="2" t="s">
        <v>44</v>
      </c>
      <c r="T1078" s="2"/>
      <c r="U1078" s="2" t="s">
        <v>3527</v>
      </c>
      <c r="V1078" s="2" t="s">
        <v>46</v>
      </c>
      <c r="W1078" s="2" t="s">
        <v>3527</v>
      </c>
      <c r="X1078" s="2" t="s">
        <v>10787</v>
      </c>
      <c r="Y1078" s="2" t="s">
        <v>10801</v>
      </c>
      <c r="Z1078" s="2" t="s">
        <v>7864</v>
      </c>
      <c r="AA1078" s="2">
        <v>100</v>
      </c>
      <c r="AB1078" s="2">
        <v>5</v>
      </c>
      <c r="AC1078" s="2" t="s">
        <v>10789</v>
      </c>
      <c r="AD1078" s="2" t="s">
        <v>25639</v>
      </c>
      <c r="AE1078" s="2" t="s">
        <v>18260</v>
      </c>
      <c r="AF1078" s="2"/>
      <c r="AG1078" s="2" t="s">
        <v>18250</v>
      </c>
    </row>
    <row r="1079" spans="1:33" x14ac:dyDescent="0.45">
      <c r="A1079" s="2" t="s">
        <v>25640</v>
      </c>
      <c r="B1079" s="2" t="s">
        <v>25641</v>
      </c>
      <c r="C1079" s="2" t="s">
        <v>25642</v>
      </c>
      <c r="D1079" s="2" t="s">
        <v>25643</v>
      </c>
      <c r="E1079" s="2" t="s">
        <v>25644</v>
      </c>
      <c r="F1079" s="2"/>
      <c r="G1079" s="2"/>
      <c r="H1079" s="2" t="s">
        <v>12556</v>
      </c>
      <c r="I1079" s="2" t="s">
        <v>278</v>
      </c>
      <c r="J1079" s="2" t="s">
        <v>25645</v>
      </c>
      <c r="K1079" s="2" t="s">
        <v>25646</v>
      </c>
      <c r="L1079" s="2"/>
      <c r="M1079" s="2"/>
      <c r="N1079" s="2"/>
      <c r="O1079" s="2" t="s">
        <v>12556</v>
      </c>
      <c r="P1079" s="2" t="s">
        <v>278</v>
      </c>
      <c r="Q1079" s="2" t="s">
        <v>25645</v>
      </c>
      <c r="R1079" s="2" t="s">
        <v>6975</v>
      </c>
      <c r="S1079" s="2" t="s">
        <v>44</v>
      </c>
      <c r="T1079" s="2"/>
      <c r="U1079" s="2" t="s">
        <v>3527</v>
      </c>
      <c r="V1079" s="2" t="s">
        <v>46</v>
      </c>
      <c r="W1079" s="2" t="s">
        <v>3527</v>
      </c>
      <c r="X1079" s="2" t="s">
        <v>10787</v>
      </c>
      <c r="Y1079" s="2" t="s">
        <v>10801</v>
      </c>
      <c r="Z1079" s="2" t="s">
        <v>7864</v>
      </c>
      <c r="AA1079" s="2">
        <v>90</v>
      </c>
      <c r="AB1079" s="2">
        <v>0</v>
      </c>
      <c r="AC1079" s="2" t="s">
        <v>10789</v>
      </c>
      <c r="AD1079" s="2" t="s">
        <v>25647</v>
      </c>
      <c r="AE1079" s="2" t="s">
        <v>18260</v>
      </c>
      <c r="AF1079" s="2"/>
      <c r="AG1079" s="2" t="s">
        <v>18250</v>
      </c>
    </row>
    <row r="1080" spans="1:33" x14ac:dyDescent="0.45">
      <c r="A1080" s="2" t="s">
        <v>25648</v>
      </c>
      <c r="B1080" s="2" t="s">
        <v>25649</v>
      </c>
      <c r="C1080" s="2" t="s">
        <v>25650</v>
      </c>
      <c r="D1080" s="2" t="s">
        <v>25651</v>
      </c>
      <c r="E1080" s="2" t="s">
        <v>25652</v>
      </c>
      <c r="F1080" s="2"/>
      <c r="G1080" s="2"/>
      <c r="H1080" s="2" t="s">
        <v>2962</v>
      </c>
      <c r="I1080" s="2" t="s">
        <v>73</v>
      </c>
      <c r="J1080" s="2" t="s">
        <v>19013</v>
      </c>
      <c r="K1080" s="2" t="s">
        <v>25651</v>
      </c>
      <c r="L1080" s="2"/>
      <c r="M1080" s="2"/>
      <c r="N1080" s="2"/>
      <c r="O1080" s="2" t="s">
        <v>2962</v>
      </c>
      <c r="P1080" s="2" t="s">
        <v>73</v>
      </c>
      <c r="Q1080" s="2" t="s">
        <v>19013</v>
      </c>
      <c r="R1080" s="2" t="s">
        <v>4965</v>
      </c>
      <c r="S1080" s="2" t="s">
        <v>44</v>
      </c>
      <c r="T1080" s="2"/>
      <c r="U1080" s="2" t="s">
        <v>3527</v>
      </c>
      <c r="V1080" s="2" t="s">
        <v>46</v>
      </c>
      <c r="W1080" s="2" t="s">
        <v>3527</v>
      </c>
      <c r="X1080" s="2" t="s">
        <v>10787</v>
      </c>
      <c r="Y1080" s="2" t="s">
        <v>10801</v>
      </c>
      <c r="Z1080" s="2" t="s">
        <v>7864</v>
      </c>
      <c r="AA1080" s="2">
        <v>90</v>
      </c>
      <c r="AB1080" s="2">
        <v>0</v>
      </c>
      <c r="AC1080" s="2" t="s">
        <v>10789</v>
      </c>
      <c r="AD1080" s="2" t="s">
        <v>25653</v>
      </c>
      <c r="AE1080" s="2" t="s">
        <v>18260</v>
      </c>
      <c r="AF1080" s="2"/>
      <c r="AG1080" s="2" t="s">
        <v>18250</v>
      </c>
    </row>
    <row r="1081" spans="1:33" x14ac:dyDescent="0.45">
      <c r="A1081" s="2" t="s">
        <v>25654</v>
      </c>
      <c r="B1081" s="2" t="s">
        <v>25655</v>
      </c>
      <c r="C1081" s="2" t="s">
        <v>25654</v>
      </c>
      <c r="D1081" s="2" t="s">
        <v>25656</v>
      </c>
      <c r="E1081" s="2" t="s">
        <v>25657</v>
      </c>
      <c r="F1081" s="2" t="s">
        <v>25658</v>
      </c>
      <c r="G1081" s="2" t="s">
        <v>25658</v>
      </c>
      <c r="H1081" s="2" t="s">
        <v>1188</v>
      </c>
      <c r="I1081" s="2" t="s">
        <v>221</v>
      </c>
      <c r="J1081" s="2" t="s">
        <v>18793</v>
      </c>
      <c r="K1081" s="2"/>
      <c r="L1081" s="2"/>
      <c r="M1081" s="2"/>
      <c r="N1081" s="2"/>
      <c r="O1081" s="2"/>
      <c r="P1081" s="2"/>
      <c r="Q1081" s="2"/>
      <c r="R1081" s="2" t="s">
        <v>5747</v>
      </c>
      <c r="S1081" s="2" t="s">
        <v>44</v>
      </c>
      <c r="T1081" s="2"/>
      <c r="U1081" s="2" t="s">
        <v>3527</v>
      </c>
      <c r="V1081" s="2" t="s">
        <v>46</v>
      </c>
      <c r="W1081" s="2" t="s">
        <v>3527</v>
      </c>
      <c r="X1081" s="2" t="s">
        <v>10787</v>
      </c>
      <c r="Y1081" s="2" t="s">
        <v>10801</v>
      </c>
      <c r="Z1081" s="2" t="s">
        <v>7864</v>
      </c>
      <c r="AA1081" s="2">
        <v>100</v>
      </c>
      <c r="AB1081" s="2">
        <v>10</v>
      </c>
      <c r="AC1081" s="2" t="s">
        <v>10789</v>
      </c>
      <c r="AD1081" s="2" t="s">
        <v>25659</v>
      </c>
      <c r="AE1081" s="2" t="s">
        <v>18260</v>
      </c>
      <c r="AF1081" s="2"/>
      <c r="AG1081" s="2" t="s">
        <v>18250</v>
      </c>
    </row>
    <row r="1082" spans="1:33" x14ac:dyDescent="0.45">
      <c r="A1082" s="2" t="s">
        <v>25660</v>
      </c>
      <c r="B1082" s="2" t="s">
        <v>25661</v>
      </c>
      <c r="C1082" s="2" t="s">
        <v>25662</v>
      </c>
      <c r="D1082" s="2" t="s">
        <v>25663</v>
      </c>
      <c r="E1082" s="2" t="s">
        <v>25664</v>
      </c>
      <c r="F1082" s="2" t="s">
        <v>25665</v>
      </c>
      <c r="G1082" s="2"/>
      <c r="H1082" s="2" t="s">
        <v>6062</v>
      </c>
      <c r="I1082" s="2" t="s">
        <v>217</v>
      </c>
      <c r="J1082" s="2" t="s">
        <v>6212</v>
      </c>
      <c r="K1082" s="2" t="s">
        <v>25663</v>
      </c>
      <c r="L1082" s="2"/>
      <c r="M1082" s="2"/>
      <c r="N1082" s="2"/>
      <c r="O1082" s="2" t="s">
        <v>6062</v>
      </c>
      <c r="P1082" s="2" t="s">
        <v>217</v>
      </c>
      <c r="Q1082" s="2" t="s">
        <v>6212</v>
      </c>
      <c r="R1082" s="2" t="s">
        <v>5069</v>
      </c>
      <c r="S1082" s="2" t="s">
        <v>44</v>
      </c>
      <c r="T1082" s="2"/>
      <c r="U1082" s="2" t="s">
        <v>3527</v>
      </c>
      <c r="V1082" s="2" t="s">
        <v>46</v>
      </c>
      <c r="W1082" s="2" t="s">
        <v>3527</v>
      </c>
      <c r="X1082" s="2" t="s">
        <v>10787</v>
      </c>
      <c r="Y1082" s="2" t="s">
        <v>10801</v>
      </c>
      <c r="Z1082" s="2" t="s">
        <v>7864</v>
      </c>
      <c r="AA1082" s="2">
        <v>100</v>
      </c>
      <c r="AB1082" s="2">
        <v>5</v>
      </c>
      <c r="AC1082" s="2" t="s">
        <v>10789</v>
      </c>
      <c r="AD1082" s="2" t="s">
        <v>25666</v>
      </c>
      <c r="AE1082" s="2" t="s">
        <v>18260</v>
      </c>
      <c r="AF1082" s="2"/>
      <c r="AG1082" s="2" t="s">
        <v>18250</v>
      </c>
    </row>
    <row r="1083" spans="1:33" x14ac:dyDescent="0.45">
      <c r="A1083" s="2" t="s">
        <v>25667</v>
      </c>
      <c r="B1083" s="2" t="s">
        <v>25668</v>
      </c>
      <c r="C1083" s="2" t="s">
        <v>25667</v>
      </c>
      <c r="D1083" s="2" t="s">
        <v>25669</v>
      </c>
      <c r="E1083" s="2" t="s">
        <v>25670</v>
      </c>
      <c r="F1083" s="2" t="s">
        <v>25671</v>
      </c>
      <c r="G1083" s="2" t="s">
        <v>25671</v>
      </c>
      <c r="H1083" s="2" t="s">
        <v>1269</v>
      </c>
      <c r="I1083" s="2" t="s">
        <v>1176</v>
      </c>
      <c r="J1083" s="2" t="s">
        <v>5963</v>
      </c>
      <c r="K1083" s="2" t="s">
        <v>25669</v>
      </c>
      <c r="L1083" s="2"/>
      <c r="M1083" s="2"/>
      <c r="N1083" s="2"/>
      <c r="O1083" s="2" t="s">
        <v>1269</v>
      </c>
      <c r="P1083" s="2" t="s">
        <v>1176</v>
      </c>
      <c r="Q1083" s="2" t="s">
        <v>5963</v>
      </c>
      <c r="R1083" s="2" t="s">
        <v>3304</v>
      </c>
      <c r="S1083" s="2" t="s">
        <v>44</v>
      </c>
      <c r="T1083" s="2"/>
      <c r="U1083" s="2" t="s">
        <v>821</v>
      </c>
      <c r="V1083" s="2" t="s">
        <v>46</v>
      </c>
      <c r="W1083" s="2" t="s">
        <v>821</v>
      </c>
      <c r="X1083" s="2" t="s">
        <v>10787</v>
      </c>
      <c r="Y1083" s="2" t="s">
        <v>10801</v>
      </c>
      <c r="Z1083" s="2" t="s">
        <v>7864</v>
      </c>
      <c r="AA1083" s="2">
        <v>100</v>
      </c>
      <c r="AB1083" s="2">
        <v>12</v>
      </c>
      <c r="AC1083" s="2" t="s">
        <v>10789</v>
      </c>
      <c r="AD1083" s="2" t="s">
        <v>25672</v>
      </c>
      <c r="AE1083" s="2" t="s">
        <v>18260</v>
      </c>
      <c r="AF1083" s="2"/>
      <c r="AG1083" s="2" t="s">
        <v>18250</v>
      </c>
    </row>
    <row r="1084" spans="1:33" x14ac:dyDescent="0.45">
      <c r="A1084" s="2" t="s">
        <v>25673</v>
      </c>
      <c r="B1084" s="2" t="s">
        <v>25674</v>
      </c>
      <c r="C1084" s="2" t="s">
        <v>25675</v>
      </c>
      <c r="D1084" s="2" t="s">
        <v>25676</v>
      </c>
      <c r="E1084" s="2" t="s">
        <v>25677</v>
      </c>
      <c r="F1084" s="2" t="s">
        <v>25678</v>
      </c>
      <c r="G1084" s="2"/>
      <c r="H1084" s="2" t="s">
        <v>22337</v>
      </c>
      <c r="I1084" s="2" t="s">
        <v>73</v>
      </c>
      <c r="J1084" s="2" t="s">
        <v>22338</v>
      </c>
      <c r="K1084" s="2" t="s">
        <v>25676</v>
      </c>
      <c r="L1084" s="2"/>
      <c r="M1084" s="2"/>
      <c r="N1084" s="2"/>
      <c r="O1084" s="2" t="s">
        <v>22337</v>
      </c>
      <c r="P1084" s="2" t="s">
        <v>73</v>
      </c>
      <c r="Q1084" s="2" t="s">
        <v>22338</v>
      </c>
      <c r="R1084" s="2" t="s">
        <v>14592</v>
      </c>
      <c r="S1084" s="2" t="s">
        <v>44</v>
      </c>
      <c r="T1084" s="2"/>
      <c r="U1084" s="2" t="s">
        <v>3527</v>
      </c>
      <c r="V1084" s="2" t="s">
        <v>46</v>
      </c>
      <c r="W1084" s="2" t="s">
        <v>3527</v>
      </c>
      <c r="X1084" s="2" t="s">
        <v>10787</v>
      </c>
      <c r="Y1084" s="2" t="s">
        <v>10801</v>
      </c>
      <c r="Z1084" s="2" t="s">
        <v>7864</v>
      </c>
      <c r="AA1084" s="2">
        <v>100</v>
      </c>
      <c r="AB1084" s="2">
        <v>5</v>
      </c>
      <c r="AC1084" s="2" t="s">
        <v>10789</v>
      </c>
      <c r="AD1084" s="2" t="s">
        <v>25679</v>
      </c>
      <c r="AE1084" s="2" t="s">
        <v>18260</v>
      </c>
      <c r="AF1084" s="2"/>
      <c r="AG1084" s="2" t="s">
        <v>18250</v>
      </c>
    </row>
    <row r="1085" spans="1:33" x14ac:dyDescent="0.45">
      <c r="A1085" s="2" t="s">
        <v>25680</v>
      </c>
      <c r="B1085" s="2" t="s">
        <v>25681</v>
      </c>
      <c r="C1085" s="2" t="s">
        <v>25680</v>
      </c>
      <c r="D1085" s="2" t="s">
        <v>25682</v>
      </c>
      <c r="E1085" s="2" t="s">
        <v>25683</v>
      </c>
      <c r="F1085" s="2"/>
      <c r="G1085" s="2"/>
      <c r="H1085" s="2" t="s">
        <v>1023</v>
      </c>
      <c r="I1085" s="2" t="s">
        <v>73</v>
      </c>
      <c r="J1085" s="2" t="s">
        <v>12204</v>
      </c>
      <c r="K1085" s="2" t="s">
        <v>25682</v>
      </c>
      <c r="L1085" s="2"/>
      <c r="M1085" s="2"/>
      <c r="N1085" s="2"/>
      <c r="O1085" s="2" t="s">
        <v>1023</v>
      </c>
      <c r="P1085" s="2" t="s">
        <v>73</v>
      </c>
      <c r="Q1085" s="2" t="s">
        <v>12204</v>
      </c>
      <c r="R1085" s="2" t="s">
        <v>223</v>
      </c>
      <c r="S1085" s="2" t="s">
        <v>44</v>
      </c>
      <c r="T1085" s="2"/>
      <c r="U1085" s="2" t="s">
        <v>3527</v>
      </c>
      <c r="V1085" s="2" t="s">
        <v>46</v>
      </c>
      <c r="W1085" s="2" t="s">
        <v>3527</v>
      </c>
      <c r="X1085" s="2" t="s">
        <v>10787</v>
      </c>
      <c r="Y1085" s="2" t="s">
        <v>10801</v>
      </c>
      <c r="Z1085" s="2" t="s">
        <v>7864</v>
      </c>
      <c r="AA1085" s="2">
        <v>90</v>
      </c>
      <c r="AB1085" s="2">
        <v>0</v>
      </c>
      <c r="AC1085" s="2" t="s">
        <v>10789</v>
      </c>
      <c r="AD1085" s="2" t="s">
        <v>25684</v>
      </c>
      <c r="AE1085" s="2" t="s">
        <v>18260</v>
      </c>
      <c r="AF1085" s="2"/>
      <c r="AG1085" s="2" t="s">
        <v>18250</v>
      </c>
    </row>
    <row r="1086" spans="1:33" x14ac:dyDescent="0.45">
      <c r="A1086" s="2" t="s">
        <v>25685</v>
      </c>
      <c r="B1086" s="2" t="s">
        <v>25686</v>
      </c>
      <c r="C1086" s="2" t="s">
        <v>25687</v>
      </c>
      <c r="D1086" s="2" t="s">
        <v>25688</v>
      </c>
      <c r="E1086" s="2" t="s">
        <v>25689</v>
      </c>
      <c r="F1086" s="2" t="s">
        <v>25690</v>
      </c>
      <c r="G1086" s="2" t="s">
        <v>25690</v>
      </c>
      <c r="H1086" s="2" t="s">
        <v>25691</v>
      </c>
      <c r="I1086" s="2" t="s">
        <v>1137</v>
      </c>
      <c r="J1086" s="2" t="s">
        <v>25692</v>
      </c>
      <c r="K1086" s="2" t="s">
        <v>25688</v>
      </c>
      <c r="L1086" s="2"/>
      <c r="M1086" s="2"/>
      <c r="N1086" s="2"/>
      <c r="O1086" s="2" t="s">
        <v>25691</v>
      </c>
      <c r="P1086" s="2" t="s">
        <v>1137</v>
      </c>
      <c r="Q1086" s="2" t="s">
        <v>25692</v>
      </c>
      <c r="R1086" s="2" t="s">
        <v>6685</v>
      </c>
      <c r="S1086" s="2" t="s">
        <v>44</v>
      </c>
      <c r="T1086" s="2"/>
      <c r="U1086" s="2" t="s">
        <v>3527</v>
      </c>
      <c r="V1086" s="2" t="s">
        <v>46</v>
      </c>
      <c r="W1086" s="2" t="s">
        <v>3527</v>
      </c>
      <c r="X1086" s="2" t="s">
        <v>10787</v>
      </c>
      <c r="Y1086" s="2" t="s">
        <v>10801</v>
      </c>
      <c r="Z1086" s="2" t="s">
        <v>7864</v>
      </c>
      <c r="AA1086" s="2">
        <v>100</v>
      </c>
      <c r="AB1086" s="2">
        <v>5</v>
      </c>
      <c r="AC1086" s="2" t="s">
        <v>10789</v>
      </c>
      <c r="AD1086" s="2" t="s">
        <v>25693</v>
      </c>
      <c r="AE1086" s="2" t="s">
        <v>18260</v>
      </c>
      <c r="AF1086" s="2"/>
      <c r="AG1086" s="2" t="s">
        <v>18250</v>
      </c>
    </row>
    <row r="1087" spans="1:33" x14ac:dyDescent="0.45">
      <c r="A1087" s="2" t="s">
        <v>25694</v>
      </c>
      <c r="B1087" s="2" t="s">
        <v>25695</v>
      </c>
      <c r="C1087" s="2" t="s">
        <v>25696</v>
      </c>
      <c r="D1087" s="2" t="s">
        <v>25697</v>
      </c>
      <c r="E1087" s="2" t="s">
        <v>25698</v>
      </c>
      <c r="F1087" s="2"/>
      <c r="G1087" s="2"/>
      <c r="H1087" s="2" t="s">
        <v>384</v>
      </c>
      <c r="I1087" s="2" t="s">
        <v>73</v>
      </c>
      <c r="J1087" s="2" t="s">
        <v>951</v>
      </c>
      <c r="K1087" s="2" t="s">
        <v>25697</v>
      </c>
      <c r="L1087" s="2"/>
      <c r="M1087" s="2"/>
      <c r="N1087" s="2"/>
      <c r="O1087" s="2" t="s">
        <v>384</v>
      </c>
      <c r="P1087" s="2" t="s">
        <v>73</v>
      </c>
      <c r="Q1087" s="2" t="s">
        <v>951</v>
      </c>
      <c r="R1087" s="2" t="s">
        <v>25699</v>
      </c>
      <c r="S1087" s="2" t="s">
        <v>44</v>
      </c>
      <c r="T1087" s="2"/>
      <c r="U1087" s="2" t="s">
        <v>3527</v>
      </c>
      <c r="V1087" s="2" t="s">
        <v>46</v>
      </c>
      <c r="W1087" s="2" t="s">
        <v>3527</v>
      </c>
      <c r="X1087" s="2" t="s">
        <v>10787</v>
      </c>
      <c r="Y1087" s="2" t="s">
        <v>10801</v>
      </c>
      <c r="Z1087" s="2" t="s">
        <v>7864</v>
      </c>
      <c r="AA1087" s="2">
        <v>90</v>
      </c>
      <c r="AB1087" s="2">
        <v>0</v>
      </c>
      <c r="AC1087" s="2" t="s">
        <v>10789</v>
      </c>
      <c r="AD1087" s="2" t="s">
        <v>25700</v>
      </c>
      <c r="AE1087" s="2" t="s">
        <v>18260</v>
      </c>
      <c r="AF1087" s="2"/>
      <c r="AG1087" s="2" t="s">
        <v>18250</v>
      </c>
    </row>
    <row r="1088" spans="1:33" x14ac:dyDescent="0.45">
      <c r="A1088" s="2" t="s">
        <v>25701</v>
      </c>
      <c r="B1088" s="2" t="s">
        <v>25702</v>
      </c>
      <c r="C1088" s="2" t="s">
        <v>25703</v>
      </c>
      <c r="D1088" s="2" t="s">
        <v>25704</v>
      </c>
      <c r="E1088" s="2" t="s">
        <v>25705</v>
      </c>
      <c r="F1088" s="2"/>
      <c r="G1088" s="2"/>
      <c r="H1088" s="2" t="s">
        <v>8506</v>
      </c>
      <c r="I1088" s="2" t="s">
        <v>221</v>
      </c>
      <c r="J1088" s="2" t="s">
        <v>8507</v>
      </c>
      <c r="K1088" s="2" t="s">
        <v>25706</v>
      </c>
      <c r="L1088" s="2"/>
      <c r="M1088" s="2"/>
      <c r="N1088" s="2"/>
      <c r="O1088" s="2" t="s">
        <v>10473</v>
      </c>
      <c r="P1088" s="2" t="s">
        <v>313</v>
      </c>
      <c r="Q1088" s="2" t="s">
        <v>10474</v>
      </c>
      <c r="R1088" s="2" t="s">
        <v>25117</v>
      </c>
      <c r="S1088" s="2" t="s">
        <v>44</v>
      </c>
      <c r="T1088" s="2"/>
      <c r="U1088" s="2" t="s">
        <v>3527</v>
      </c>
      <c r="V1088" s="2" t="s">
        <v>46</v>
      </c>
      <c r="W1088" s="2" t="s">
        <v>3527</v>
      </c>
      <c r="X1088" s="2" t="s">
        <v>10787</v>
      </c>
      <c r="Y1088" s="2" t="s">
        <v>10801</v>
      </c>
      <c r="Z1088" s="2" t="s">
        <v>7864</v>
      </c>
      <c r="AA1088" s="2">
        <v>90</v>
      </c>
      <c r="AB1088" s="2">
        <v>0</v>
      </c>
      <c r="AC1088" s="2" t="s">
        <v>10789</v>
      </c>
      <c r="AD1088" s="2" t="s">
        <v>25707</v>
      </c>
      <c r="AE1088" s="2" t="s">
        <v>18260</v>
      </c>
      <c r="AF1088" s="2"/>
      <c r="AG1088" s="2" t="s">
        <v>18250</v>
      </c>
    </row>
    <row r="1089" spans="1:33" x14ac:dyDescent="0.45">
      <c r="A1089" s="2" t="s">
        <v>25708</v>
      </c>
      <c r="B1089" s="2" t="s">
        <v>25709</v>
      </c>
      <c r="C1089" s="2" t="s">
        <v>25708</v>
      </c>
      <c r="D1089" s="2" t="s">
        <v>25710</v>
      </c>
      <c r="E1089" s="2" t="s">
        <v>25711</v>
      </c>
      <c r="F1089" s="2" t="s">
        <v>3562</v>
      </c>
      <c r="G1089" s="2" t="s">
        <v>3562</v>
      </c>
      <c r="H1089" s="2" t="s">
        <v>1248</v>
      </c>
      <c r="I1089" s="2" t="s">
        <v>1137</v>
      </c>
      <c r="J1089" s="2" t="s">
        <v>25712</v>
      </c>
      <c r="K1089" s="2" t="s">
        <v>25710</v>
      </c>
      <c r="L1089" s="2"/>
      <c r="M1089" s="2"/>
      <c r="N1089" s="2"/>
      <c r="O1089" s="2" t="s">
        <v>1248</v>
      </c>
      <c r="P1089" s="2" t="s">
        <v>1137</v>
      </c>
      <c r="Q1089" s="2" t="s">
        <v>25712</v>
      </c>
      <c r="R1089" s="2" t="s">
        <v>7464</v>
      </c>
      <c r="S1089" s="2" t="s">
        <v>44</v>
      </c>
      <c r="T1089" s="2"/>
      <c r="U1089" s="2" t="s">
        <v>3527</v>
      </c>
      <c r="V1089" s="2" t="s">
        <v>46</v>
      </c>
      <c r="W1089" s="2" t="s">
        <v>3527</v>
      </c>
      <c r="X1089" s="2" t="s">
        <v>11537</v>
      </c>
      <c r="Y1089" s="2" t="s">
        <v>10801</v>
      </c>
      <c r="Z1089" s="2" t="s">
        <v>7864</v>
      </c>
      <c r="AA1089" s="2">
        <v>100</v>
      </c>
      <c r="AB1089" s="2">
        <v>5</v>
      </c>
      <c r="AC1089" s="2" t="s">
        <v>10789</v>
      </c>
      <c r="AD1089" s="2" t="s">
        <v>25713</v>
      </c>
      <c r="AE1089" s="2" t="s">
        <v>18260</v>
      </c>
      <c r="AF1089" s="2"/>
      <c r="AG1089" s="2" t="s">
        <v>18250</v>
      </c>
    </row>
    <row r="1090" spans="1:33" x14ac:dyDescent="0.45">
      <c r="A1090" s="2" t="s">
        <v>25714</v>
      </c>
      <c r="B1090" s="2" t="s">
        <v>25715</v>
      </c>
      <c r="C1090" s="2" t="s">
        <v>25714</v>
      </c>
      <c r="D1090" s="2" t="s">
        <v>25716</v>
      </c>
      <c r="E1090" s="2" t="s">
        <v>25717</v>
      </c>
      <c r="F1090" s="2"/>
      <c r="G1090" s="2"/>
      <c r="H1090" s="2" t="s">
        <v>85</v>
      </c>
      <c r="I1090" s="2" t="s">
        <v>86</v>
      </c>
      <c r="J1090" s="2" t="s">
        <v>12027</v>
      </c>
      <c r="K1090" s="2" t="s">
        <v>25716</v>
      </c>
      <c r="L1090" s="2"/>
      <c r="M1090" s="2"/>
      <c r="N1090" s="2"/>
      <c r="O1090" s="2" t="s">
        <v>85</v>
      </c>
      <c r="P1090" s="2" t="s">
        <v>86</v>
      </c>
      <c r="Q1090" s="2" t="s">
        <v>12027</v>
      </c>
      <c r="R1090" s="2" t="s">
        <v>12608</v>
      </c>
      <c r="S1090" s="2" t="s">
        <v>44</v>
      </c>
      <c r="T1090" s="2"/>
      <c r="U1090" s="2" t="s">
        <v>3527</v>
      </c>
      <c r="V1090" s="2" t="s">
        <v>46</v>
      </c>
      <c r="W1090" s="2" t="s">
        <v>3527</v>
      </c>
      <c r="X1090" s="2" t="s">
        <v>10787</v>
      </c>
      <c r="Y1090" s="2" t="s">
        <v>10801</v>
      </c>
      <c r="Z1090" s="2" t="s">
        <v>7864</v>
      </c>
      <c r="AA1090" s="2">
        <v>90</v>
      </c>
      <c r="AB1090" s="2">
        <v>0</v>
      </c>
      <c r="AC1090" s="2" t="s">
        <v>10789</v>
      </c>
      <c r="AD1090" s="2" t="s">
        <v>25718</v>
      </c>
      <c r="AE1090" s="2" t="s">
        <v>18260</v>
      </c>
      <c r="AF1090" s="2"/>
      <c r="AG1090" s="2" t="s">
        <v>18250</v>
      </c>
    </row>
    <row r="1091" spans="1:33" x14ac:dyDescent="0.45">
      <c r="A1091" s="2" t="s">
        <v>25719</v>
      </c>
      <c r="B1091" s="2" t="s">
        <v>25720</v>
      </c>
      <c r="C1091" s="2" t="s">
        <v>25719</v>
      </c>
      <c r="D1091" s="2" t="s">
        <v>25721</v>
      </c>
      <c r="E1091" s="2" t="s">
        <v>25722</v>
      </c>
      <c r="F1091" s="2"/>
      <c r="G1091" s="2"/>
      <c r="H1091" s="2" t="s">
        <v>25723</v>
      </c>
      <c r="I1091" s="2" t="s">
        <v>11362</v>
      </c>
      <c r="J1091" s="2" t="s">
        <v>25724</v>
      </c>
      <c r="K1091" s="2" t="s">
        <v>25725</v>
      </c>
      <c r="L1091" s="2"/>
      <c r="M1091" s="2"/>
      <c r="N1091" s="2"/>
      <c r="O1091" s="2" t="s">
        <v>25723</v>
      </c>
      <c r="P1091" s="2" t="s">
        <v>11362</v>
      </c>
      <c r="Q1091" s="2" t="s">
        <v>25724</v>
      </c>
      <c r="R1091" s="2" t="s">
        <v>25726</v>
      </c>
      <c r="S1091" s="2" t="s">
        <v>44</v>
      </c>
      <c r="T1091" s="2"/>
      <c r="U1091" s="2" t="s">
        <v>821</v>
      </c>
      <c r="V1091" s="2" t="s">
        <v>46</v>
      </c>
      <c r="W1091" s="2" t="s">
        <v>821</v>
      </c>
      <c r="X1091" s="2" t="s">
        <v>11225</v>
      </c>
      <c r="Y1091" s="2" t="s">
        <v>10801</v>
      </c>
      <c r="Z1091" s="2" t="s">
        <v>7864</v>
      </c>
      <c r="AA1091" s="2">
        <v>90</v>
      </c>
      <c r="AB1091" s="2">
        <v>2</v>
      </c>
      <c r="AC1091" s="2" t="s">
        <v>10789</v>
      </c>
      <c r="AD1091" s="2" t="s">
        <v>25727</v>
      </c>
      <c r="AE1091" s="2" t="s">
        <v>18260</v>
      </c>
      <c r="AF1091" s="2"/>
      <c r="AG1091" s="2" t="s">
        <v>18250</v>
      </c>
    </row>
    <row r="1092" spans="1:33" x14ac:dyDescent="0.45">
      <c r="A1092" s="2" t="s">
        <v>25728</v>
      </c>
      <c r="B1092" s="2" t="s">
        <v>25729</v>
      </c>
      <c r="C1092" s="2" t="s">
        <v>25728</v>
      </c>
      <c r="D1092" s="2" t="s">
        <v>25730</v>
      </c>
      <c r="E1092" s="2" t="s">
        <v>25731</v>
      </c>
      <c r="F1092" s="2" t="s">
        <v>25732</v>
      </c>
      <c r="G1092" s="2"/>
      <c r="H1092" s="2" t="s">
        <v>85</v>
      </c>
      <c r="I1092" s="2" t="s">
        <v>86</v>
      </c>
      <c r="J1092" s="2" t="s">
        <v>336</v>
      </c>
      <c r="K1092" s="2" t="s">
        <v>25730</v>
      </c>
      <c r="L1092" s="2"/>
      <c r="M1092" s="2"/>
      <c r="N1092" s="2"/>
      <c r="O1092" s="2" t="s">
        <v>85</v>
      </c>
      <c r="P1092" s="2" t="s">
        <v>86</v>
      </c>
      <c r="Q1092" s="2" t="s">
        <v>336</v>
      </c>
      <c r="R1092" s="2" t="s">
        <v>3046</v>
      </c>
      <c r="S1092" s="2" t="s">
        <v>44</v>
      </c>
      <c r="T1092" s="2"/>
      <c r="U1092" s="2" t="s">
        <v>3527</v>
      </c>
      <c r="V1092" s="2" t="s">
        <v>46</v>
      </c>
      <c r="W1092" s="2" t="s">
        <v>3527</v>
      </c>
      <c r="X1092" s="2" t="s">
        <v>10787</v>
      </c>
      <c r="Y1092" s="2" t="s">
        <v>10801</v>
      </c>
      <c r="Z1092" s="2" t="s">
        <v>7864</v>
      </c>
      <c r="AA1092" s="2">
        <v>100</v>
      </c>
      <c r="AB1092" s="2">
        <v>10</v>
      </c>
      <c r="AC1092" s="2" t="s">
        <v>10789</v>
      </c>
      <c r="AD1092" s="2" t="s">
        <v>25733</v>
      </c>
      <c r="AE1092" s="2" t="s">
        <v>18260</v>
      </c>
      <c r="AF1092" s="2"/>
      <c r="AG1092" s="2" t="s">
        <v>18250</v>
      </c>
    </row>
    <row r="1093" spans="1:33" x14ac:dyDescent="0.45">
      <c r="A1093" s="2" t="s">
        <v>25734</v>
      </c>
      <c r="B1093" s="2" t="s">
        <v>25735</v>
      </c>
      <c r="C1093" s="2"/>
      <c r="D1093" s="2" t="s">
        <v>25736</v>
      </c>
      <c r="E1093" s="2" t="s">
        <v>25737</v>
      </c>
      <c r="F1093" s="2" t="s">
        <v>25738</v>
      </c>
      <c r="G1093" s="2" t="s">
        <v>25738</v>
      </c>
      <c r="H1093" s="2" t="s">
        <v>1023</v>
      </c>
      <c r="I1093" s="2" t="s">
        <v>73</v>
      </c>
      <c r="J1093" s="2" t="s">
        <v>18495</v>
      </c>
      <c r="K1093" s="2" t="s">
        <v>25739</v>
      </c>
      <c r="L1093" s="2"/>
      <c r="M1093" s="2"/>
      <c r="N1093" s="2"/>
      <c r="O1093" s="2" t="s">
        <v>216</v>
      </c>
      <c r="P1093" s="2" t="s">
        <v>217</v>
      </c>
      <c r="Q1093" s="2" t="s">
        <v>218</v>
      </c>
      <c r="R1093" s="2" t="s">
        <v>9849</v>
      </c>
      <c r="S1093" s="2" t="s">
        <v>44</v>
      </c>
      <c r="T1093" s="2"/>
      <c r="U1093" s="2" t="s">
        <v>821</v>
      </c>
      <c r="V1093" s="2" t="s">
        <v>46</v>
      </c>
      <c r="W1093" s="2" t="s">
        <v>821</v>
      </c>
      <c r="X1093" s="2" t="s">
        <v>11225</v>
      </c>
      <c r="Y1093" s="2" t="s">
        <v>10801</v>
      </c>
      <c r="Z1093" s="2" t="s">
        <v>7864</v>
      </c>
      <c r="AA1093" s="2">
        <v>85</v>
      </c>
      <c r="AB1093" s="2">
        <v>17</v>
      </c>
      <c r="AC1093" s="2" t="s">
        <v>10789</v>
      </c>
      <c r="AD1093" s="2" t="s">
        <v>25740</v>
      </c>
      <c r="AE1093" s="2" t="s">
        <v>18260</v>
      </c>
      <c r="AF1093" s="2"/>
      <c r="AG1093" s="2" t="s">
        <v>18250</v>
      </c>
    </row>
    <row r="1094" spans="1:33" x14ac:dyDescent="0.45">
      <c r="A1094" s="2" t="s">
        <v>25741</v>
      </c>
      <c r="B1094" s="2" t="s">
        <v>25742</v>
      </c>
      <c r="C1094" s="2" t="s">
        <v>25743</v>
      </c>
      <c r="D1094" s="2" t="s">
        <v>25744</v>
      </c>
      <c r="E1094" s="2" t="s">
        <v>25745</v>
      </c>
      <c r="F1094" s="2" t="s">
        <v>25746</v>
      </c>
      <c r="G1094" s="2"/>
      <c r="H1094" s="2" t="s">
        <v>277</v>
      </c>
      <c r="I1094" s="2" t="s">
        <v>278</v>
      </c>
      <c r="J1094" s="2" t="s">
        <v>11414</v>
      </c>
      <c r="K1094" s="2" t="s">
        <v>25744</v>
      </c>
      <c r="L1094" s="2"/>
      <c r="M1094" s="2"/>
      <c r="N1094" s="2"/>
      <c r="O1094" s="2" t="s">
        <v>277</v>
      </c>
      <c r="P1094" s="2" t="s">
        <v>278</v>
      </c>
      <c r="Q1094" s="2" t="s">
        <v>11414</v>
      </c>
      <c r="R1094" s="2" t="s">
        <v>7404</v>
      </c>
      <c r="S1094" s="2" t="s">
        <v>44</v>
      </c>
      <c r="T1094" s="2"/>
      <c r="U1094" s="2" t="s">
        <v>3527</v>
      </c>
      <c r="V1094" s="2" t="s">
        <v>46</v>
      </c>
      <c r="W1094" s="2" t="s">
        <v>3527</v>
      </c>
      <c r="X1094" s="2" t="s">
        <v>10787</v>
      </c>
      <c r="Y1094" s="2" t="s">
        <v>10801</v>
      </c>
      <c r="Z1094" s="2" t="s">
        <v>7864</v>
      </c>
      <c r="AA1094" s="2">
        <v>100</v>
      </c>
      <c r="AB1094" s="2">
        <v>10</v>
      </c>
      <c r="AC1094" s="2" t="s">
        <v>10789</v>
      </c>
      <c r="AD1094" s="2" t="s">
        <v>25747</v>
      </c>
      <c r="AE1094" s="2" t="s">
        <v>18260</v>
      </c>
      <c r="AF1094" s="2"/>
      <c r="AG1094" s="2" t="s">
        <v>18250</v>
      </c>
    </row>
    <row r="1095" spans="1:33" x14ac:dyDescent="0.45">
      <c r="A1095" s="2" t="s">
        <v>25748</v>
      </c>
      <c r="B1095" s="2" t="s">
        <v>25749</v>
      </c>
      <c r="C1095" s="2" t="s">
        <v>25750</v>
      </c>
      <c r="D1095" s="2" t="s">
        <v>25751</v>
      </c>
      <c r="E1095" s="2" t="s">
        <v>25752</v>
      </c>
      <c r="F1095" s="2"/>
      <c r="G1095" s="2"/>
      <c r="H1095" s="2" t="s">
        <v>277</v>
      </c>
      <c r="I1095" s="2" t="s">
        <v>278</v>
      </c>
      <c r="J1095" s="2" t="s">
        <v>22414</v>
      </c>
      <c r="K1095" s="2" t="s">
        <v>25751</v>
      </c>
      <c r="L1095" s="2"/>
      <c r="M1095" s="2"/>
      <c r="N1095" s="2"/>
      <c r="O1095" s="2" t="s">
        <v>277</v>
      </c>
      <c r="P1095" s="2" t="s">
        <v>278</v>
      </c>
      <c r="Q1095" s="2" t="s">
        <v>22414</v>
      </c>
      <c r="R1095" s="2" t="s">
        <v>13566</v>
      </c>
      <c r="S1095" s="2" t="s">
        <v>44</v>
      </c>
      <c r="T1095" s="2"/>
      <c r="U1095" s="2" t="s">
        <v>3527</v>
      </c>
      <c r="V1095" s="2" t="s">
        <v>46</v>
      </c>
      <c r="W1095" s="2" t="s">
        <v>3527</v>
      </c>
      <c r="X1095" s="2" t="s">
        <v>10787</v>
      </c>
      <c r="Y1095" s="2" t="s">
        <v>10801</v>
      </c>
      <c r="Z1095" s="2" t="s">
        <v>7864</v>
      </c>
      <c r="AA1095" s="2">
        <v>90</v>
      </c>
      <c r="AB1095" s="2">
        <v>0</v>
      </c>
      <c r="AC1095" s="2" t="s">
        <v>10789</v>
      </c>
      <c r="AD1095" s="2" t="s">
        <v>25753</v>
      </c>
      <c r="AE1095" s="2" t="s">
        <v>18260</v>
      </c>
      <c r="AF1095" s="2"/>
      <c r="AG1095" s="2" t="s">
        <v>18250</v>
      </c>
    </row>
    <row r="1096" spans="1:33" x14ac:dyDescent="0.45">
      <c r="A1096" s="2" t="s">
        <v>25754</v>
      </c>
      <c r="B1096" s="2" t="s">
        <v>25755</v>
      </c>
      <c r="C1096" s="2" t="s">
        <v>25754</v>
      </c>
      <c r="D1096" s="2" t="s">
        <v>25756</v>
      </c>
      <c r="E1096" s="2" t="s">
        <v>25757</v>
      </c>
      <c r="F1096" s="2" t="s">
        <v>25758</v>
      </c>
      <c r="G1096" s="2" t="s">
        <v>25758</v>
      </c>
      <c r="H1096" s="2" t="s">
        <v>85</v>
      </c>
      <c r="I1096" s="2" t="s">
        <v>86</v>
      </c>
      <c r="J1096" s="2" t="s">
        <v>25759</v>
      </c>
      <c r="K1096" s="2" t="s">
        <v>25756</v>
      </c>
      <c r="L1096" s="2"/>
      <c r="M1096" s="2"/>
      <c r="N1096" s="2"/>
      <c r="O1096" s="2" t="s">
        <v>85</v>
      </c>
      <c r="P1096" s="2" t="s">
        <v>86</v>
      </c>
      <c r="Q1096" s="2" t="s">
        <v>25759</v>
      </c>
      <c r="R1096" s="2" t="s">
        <v>5913</v>
      </c>
      <c r="S1096" s="2" t="s">
        <v>44</v>
      </c>
      <c r="T1096" s="2"/>
      <c r="U1096" s="2" t="s">
        <v>3527</v>
      </c>
      <c r="V1096" s="2" t="s">
        <v>46</v>
      </c>
      <c r="W1096" s="2" t="s">
        <v>3527</v>
      </c>
      <c r="X1096" s="2" t="s">
        <v>12417</v>
      </c>
      <c r="Y1096" s="2" t="s">
        <v>10801</v>
      </c>
      <c r="Z1096" s="2" t="s">
        <v>7864</v>
      </c>
      <c r="AA1096" s="2">
        <v>100</v>
      </c>
      <c r="AB1096" s="2">
        <v>10</v>
      </c>
      <c r="AC1096" s="2" t="s">
        <v>10789</v>
      </c>
      <c r="AD1096" s="2" t="s">
        <v>25760</v>
      </c>
      <c r="AE1096" s="2" t="s">
        <v>18260</v>
      </c>
      <c r="AF1096" s="2"/>
      <c r="AG1096" s="2" t="s">
        <v>18250</v>
      </c>
    </row>
    <row r="1097" spans="1:33" x14ac:dyDescent="0.45">
      <c r="A1097" s="2" t="s">
        <v>25761</v>
      </c>
      <c r="B1097" s="2" t="s">
        <v>25762</v>
      </c>
      <c r="C1097" s="2" t="s">
        <v>25763</v>
      </c>
      <c r="D1097" s="2" t="s">
        <v>25764</v>
      </c>
      <c r="E1097" s="2" t="s">
        <v>25765</v>
      </c>
      <c r="F1097" s="2"/>
      <c r="G1097" s="2"/>
      <c r="H1097" s="2" t="s">
        <v>59</v>
      </c>
      <c r="I1097" s="2" t="s">
        <v>60</v>
      </c>
      <c r="J1097" s="2" t="s">
        <v>25766</v>
      </c>
      <c r="K1097" s="2" t="s">
        <v>25764</v>
      </c>
      <c r="L1097" s="2"/>
      <c r="M1097" s="2"/>
      <c r="N1097" s="2"/>
      <c r="O1097" s="2" t="s">
        <v>59</v>
      </c>
      <c r="P1097" s="2" t="s">
        <v>60</v>
      </c>
      <c r="Q1097" s="2" t="s">
        <v>25766</v>
      </c>
      <c r="R1097" s="2" t="s">
        <v>9297</v>
      </c>
      <c r="S1097" s="2" t="s">
        <v>44</v>
      </c>
      <c r="T1097" s="2"/>
      <c r="U1097" s="2" t="s">
        <v>821</v>
      </c>
      <c r="V1097" s="2" t="s">
        <v>46</v>
      </c>
      <c r="W1097" s="2" t="s">
        <v>821</v>
      </c>
      <c r="X1097" s="2" t="s">
        <v>11537</v>
      </c>
      <c r="Y1097" s="2" t="s">
        <v>10801</v>
      </c>
      <c r="Z1097" s="2" t="s">
        <v>7864</v>
      </c>
      <c r="AA1097" s="2">
        <v>90</v>
      </c>
      <c r="AB1097" s="2">
        <v>7</v>
      </c>
      <c r="AC1097" s="2" t="s">
        <v>10789</v>
      </c>
      <c r="AD1097" s="2" t="s">
        <v>25767</v>
      </c>
      <c r="AE1097" s="2" t="s">
        <v>18260</v>
      </c>
      <c r="AF1097" s="2"/>
      <c r="AG1097" s="2" t="s">
        <v>18250</v>
      </c>
    </row>
    <row r="1098" spans="1:33" x14ac:dyDescent="0.45">
      <c r="A1098" s="2" t="s">
        <v>25768</v>
      </c>
      <c r="B1098" s="2" t="s">
        <v>25769</v>
      </c>
      <c r="C1098" s="2" t="s">
        <v>25768</v>
      </c>
      <c r="D1098" s="2" t="s">
        <v>25770</v>
      </c>
      <c r="E1098" s="2" t="s">
        <v>25771</v>
      </c>
      <c r="F1098" s="2" t="s">
        <v>25772</v>
      </c>
      <c r="G1098" s="2"/>
      <c r="H1098" s="2" t="s">
        <v>651</v>
      </c>
      <c r="I1098" s="2" t="s">
        <v>86</v>
      </c>
      <c r="J1098" s="2" t="s">
        <v>3948</v>
      </c>
      <c r="K1098" s="2"/>
      <c r="L1098" s="2"/>
      <c r="M1098" s="2"/>
      <c r="N1098" s="2"/>
      <c r="O1098" s="2"/>
      <c r="P1098" s="2"/>
      <c r="Q1098" s="2"/>
      <c r="R1098" s="2" t="s">
        <v>14840</v>
      </c>
      <c r="S1098" s="2" t="s">
        <v>44</v>
      </c>
      <c r="T1098" s="2"/>
      <c r="U1098" s="2" t="s">
        <v>3527</v>
      </c>
      <c r="V1098" s="2" t="s">
        <v>46</v>
      </c>
      <c r="W1098" s="2" t="s">
        <v>3527</v>
      </c>
      <c r="X1098" s="2" t="s">
        <v>10787</v>
      </c>
      <c r="Y1098" s="2" t="s">
        <v>10801</v>
      </c>
      <c r="Z1098" s="2" t="s">
        <v>7864</v>
      </c>
      <c r="AA1098" s="2">
        <v>100</v>
      </c>
      <c r="AB1098" s="2">
        <v>10</v>
      </c>
      <c r="AC1098" s="2" t="s">
        <v>10789</v>
      </c>
      <c r="AD1098" s="2" t="s">
        <v>25773</v>
      </c>
      <c r="AE1098" s="2" t="s">
        <v>18260</v>
      </c>
      <c r="AF1098" s="2"/>
      <c r="AG1098" s="2" t="s">
        <v>18250</v>
      </c>
    </row>
    <row r="1099" spans="1:33" x14ac:dyDescent="0.45">
      <c r="A1099" s="2" t="s">
        <v>25774</v>
      </c>
      <c r="B1099" s="2" t="s">
        <v>25775</v>
      </c>
      <c r="C1099" s="2" t="s">
        <v>25774</v>
      </c>
      <c r="D1099" s="2" t="s">
        <v>25776</v>
      </c>
      <c r="E1099" s="2" t="s">
        <v>25777</v>
      </c>
      <c r="F1099" s="2" t="s">
        <v>3562</v>
      </c>
      <c r="G1099" s="2" t="s">
        <v>3562</v>
      </c>
      <c r="H1099" s="2" t="s">
        <v>17601</v>
      </c>
      <c r="I1099" s="2" t="s">
        <v>17166</v>
      </c>
      <c r="J1099" s="2" t="s">
        <v>22782</v>
      </c>
      <c r="K1099" s="2"/>
      <c r="L1099" s="2"/>
      <c r="M1099" s="2"/>
      <c r="N1099" s="2"/>
      <c r="O1099" s="2"/>
      <c r="P1099" s="2"/>
      <c r="Q1099" s="2"/>
      <c r="R1099" s="2" t="s">
        <v>8629</v>
      </c>
      <c r="S1099" s="2" t="s">
        <v>44</v>
      </c>
      <c r="T1099" s="2"/>
      <c r="U1099" s="2" t="s">
        <v>3527</v>
      </c>
      <c r="V1099" s="2" t="s">
        <v>46</v>
      </c>
      <c r="W1099" s="2" t="s">
        <v>3527</v>
      </c>
      <c r="X1099" s="2" t="s">
        <v>10787</v>
      </c>
      <c r="Y1099" s="2" t="s">
        <v>10801</v>
      </c>
      <c r="Z1099" s="2" t="s">
        <v>7864</v>
      </c>
      <c r="AA1099" s="2">
        <v>100</v>
      </c>
      <c r="AB1099" s="2">
        <v>5</v>
      </c>
      <c r="AC1099" s="2" t="s">
        <v>10789</v>
      </c>
      <c r="AD1099" s="2" t="s">
        <v>25778</v>
      </c>
      <c r="AE1099" s="2" t="s">
        <v>18260</v>
      </c>
      <c r="AF1099" s="2"/>
      <c r="AG1099" s="2" t="s">
        <v>18250</v>
      </c>
    </row>
    <row r="1100" spans="1:33" x14ac:dyDescent="0.45">
      <c r="A1100" s="2" t="s">
        <v>25779</v>
      </c>
      <c r="B1100" s="2" t="s">
        <v>25780</v>
      </c>
      <c r="C1100" s="2" t="s">
        <v>25781</v>
      </c>
      <c r="D1100" s="2" t="s">
        <v>25782</v>
      </c>
      <c r="E1100" s="2" t="s">
        <v>25783</v>
      </c>
      <c r="F1100" s="2" t="s">
        <v>3562</v>
      </c>
      <c r="G1100" s="2" t="s">
        <v>3562</v>
      </c>
      <c r="H1100" s="2" t="s">
        <v>384</v>
      </c>
      <c r="I1100" s="2" t="s">
        <v>73</v>
      </c>
      <c r="J1100" s="2" t="s">
        <v>1906</v>
      </c>
      <c r="K1100" s="2" t="s">
        <v>25784</v>
      </c>
      <c r="L1100" s="2"/>
      <c r="M1100" s="2"/>
      <c r="N1100" s="2"/>
      <c r="O1100" s="2" t="s">
        <v>384</v>
      </c>
      <c r="P1100" s="2" t="s">
        <v>73</v>
      </c>
      <c r="Q1100" s="2" t="s">
        <v>1906</v>
      </c>
      <c r="R1100" s="2" t="s">
        <v>7730</v>
      </c>
      <c r="S1100" s="2" t="s">
        <v>44</v>
      </c>
      <c r="T1100" s="2"/>
      <c r="U1100" s="2" t="s">
        <v>3527</v>
      </c>
      <c r="V1100" s="2" t="s">
        <v>46</v>
      </c>
      <c r="W1100" s="2" t="s">
        <v>3527</v>
      </c>
      <c r="X1100" s="2" t="s">
        <v>10787</v>
      </c>
      <c r="Y1100" s="2" t="s">
        <v>10801</v>
      </c>
      <c r="Z1100" s="2" t="s">
        <v>7864</v>
      </c>
      <c r="AA1100" s="2">
        <v>100</v>
      </c>
      <c r="AB1100" s="2">
        <v>10</v>
      </c>
      <c r="AC1100" s="2" t="s">
        <v>10789</v>
      </c>
      <c r="AD1100" s="2" t="s">
        <v>25785</v>
      </c>
      <c r="AE1100" s="2" t="s">
        <v>18260</v>
      </c>
      <c r="AF1100" s="2"/>
      <c r="AG1100" s="2" t="s">
        <v>18250</v>
      </c>
    </row>
    <row r="1101" spans="1:33" x14ac:dyDescent="0.45">
      <c r="A1101" s="2" t="s">
        <v>25786</v>
      </c>
      <c r="B1101" s="2" t="s">
        <v>25787</v>
      </c>
      <c r="C1101" s="2" t="s">
        <v>25786</v>
      </c>
      <c r="D1101" s="2" t="s">
        <v>25788</v>
      </c>
      <c r="E1101" s="2" t="s">
        <v>25789</v>
      </c>
      <c r="F1101" s="2" t="s">
        <v>709</v>
      </c>
      <c r="G1101" s="2" t="s">
        <v>709</v>
      </c>
      <c r="H1101" s="2" t="s">
        <v>25790</v>
      </c>
      <c r="I1101" s="2" t="s">
        <v>175</v>
      </c>
      <c r="J1101" s="2" t="s">
        <v>25791</v>
      </c>
      <c r="K1101" s="2"/>
      <c r="L1101" s="2"/>
      <c r="M1101" s="2"/>
      <c r="N1101" s="2"/>
      <c r="O1101" s="2"/>
      <c r="P1101" s="2"/>
      <c r="Q1101" s="2"/>
      <c r="R1101" s="2" t="s">
        <v>3485</v>
      </c>
      <c r="S1101" s="2" t="s">
        <v>44</v>
      </c>
      <c r="T1101" s="2"/>
      <c r="U1101" s="2" t="s">
        <v>3527</v>
      </c>
      <c r="V1101" s="2" t="s">
        <v>46</v>
      </c>
      <c r="W1101" s="2" t="s">
        <v>3527</v>
      </c>
      <c r="X1101" s="2" t="s">
        <v>10787</v>
      </c>
      <c r="Y1101" s="2" t="s">
        <v>10801</v>
      </c>
      <c r="Z1101" s="2" t="s">
        <v>7864</v>
      </c>
      <c r="AA1101" s="2">
        <v>100</v>
      </c>
      <c r="AB1101" s="2">
        <v>5</v>
      </c>
      <c r="AC1101" s="2" t="s">
        <v>10789</v>
      </c>
      <c r="AD1101" s="2" t="s">
        <v>25792</v>
      </c>
      <c r="AE1101" s="2" t="s">
        <v>18260</v>
      </c>
      <c r="AF1101" s="2"/>
      <c r="AG1101" s="2" t="s">
        <v>18250</v>
      </c>
    </row>
    <row r="1102" spans="1:33" x14ac:dyDescent="0.45">
      <c r="A1102" s="2" t="s">
        <v>25793</v>
      </c>
      <c r="B1102" s="2" t="s">
        <v>25794</v>
      </c>
      <c r="C1102" s="2" t="s">
        <v>25795</v>
      </c>
      <c r="D1102" s="2" t="s">
        <v>25796</v>
      </c>
      <c r="E1102" s="2" t="s">
        <v>25797</v>
      </c>
      <c r="F1102" s="2"/>
      <c r="G1102" s="2"/>
      <c r="H1102" s="2" t="s">
        <v>536</v>
      </c>
      <c r="I1102" s="2" t="s">
        <v>537</v>
      </c>
      <c r="J1102" s="2" t="s">
        <v>3959</v>
      </c>
      <c r="K1102" s="2" t="s">
        <v>25796</v>
      </c>
      <c r="L1102" s="2"/>
      <c r="M1102" s="2"/>
      <c r="N1102" s="2"/>
      <c r="O1102" s="2" t="s">
        <v>536</v>
      </c>
      <c r="P1102" s="2" t="s">
        <v>537</v>
      </c>
      <c r="Q1102" s="2" t="s">
        <v>3959</v>
      </c>
      <c r="R1102" s="2" t="s">
        <v>13448</v>
      </c>
      <c r="S1102" s="2" t="s">
        <v>44</v>
      </c>
      <c r="T1102" s="2"/>
      <c r="U1102" s="2" t="s">
        <v>3527</v>
      </c>
      <c r="V1102" s="2" t="s">
        <v>46</v>
      </c>
      <c r="W1102" s="2" t="s">
        <v>3527</v>
      </c>
      <c r="X1102" s="2" t="s">
        <v>10787</v>
      </c>
      <c r="Y1102" s="2" t="s">
        <v>10801</v>
      </c>
      <c r="Z1102" s="2" t="s">
        <v>7864</v>
      </c>
      <c r="AA1102" s="2">
        <v>90</v>
      </c>
      <c r="AB1102" s="2">
        <v>0</v>
      </c>
      <c r="AC1102" s="2" t="s">
        <v>10789</v>
      </c>
      <c r="AD1102" s="2" t="s">
        <v>25798</v>
      </c>
      <c r="AE1102" s="2" t="s">
        <v>18260</v>
      </c>
      <c r="AF1102" s="2"/>
      <c r="AG1102" s="2" t="s">
        <v>18250</v>
      </c>
    </row>
    <row r="1103" spans="1:33" x14ac:dyDescent="0.45">
      <c r="A1103" s="2" t="s">
        <v>25799</v>
      </c>
      <c r="B1103" s="2" t="s">
        <v>25800</v>
      </c>
      <c r="C1103" s="2" t="s">
        <v>25799</v>
      </c>
      <c r="D1103" s="2" t="s">
        <v>25801</v>
      </c>
      <c r="E1103" s="2" t="s">
        <v>25802</v>
      </c>
      <c r="F1103" s="2" t="s">
        <v>25803</v>
      </c>
      <c r="G1103" s="2"/>
      <c r="H1103" s="2" t="s">
        <v>312</v>
      </c>
      <c r="I1103" s="2" t="s">
        <v>313</v>
      </c>
      <c r="J1103" s="2" t="s">
        <v>314</v>
      </c>
      <c r="K1103" s="2" t="s">
        <v>25801</v>
      </c>
      <c r="L1103" s="2"/>
      <c r="M1103" s="2"/>
      <c r="N1103" s="2"/>
      <c r="O1103" s="2" t="s">
        <v>312</v>
      </c>
      <c r="P1103" s="2" t="s">
        <v>313</v>
      </c>
      <c r="Q1103" s="2" t="s">
        <v>314</v>
      </c>
      <c r="R1103" s="2" t="s">
        <v>8963</v>
      </c>
      <c r="S1103" s="2" t="s">
        <v>44</v>
      </c>
      <c r="T1103" s="2"/>
      <c r="U1103" s="2" t="s">
        <v>821</v>
      </c>
      <c r="V1103" s="2" t="s">
        <v>46</v>
      </c>
      <c r="W1103" s="2" t="s">
        <v>821</v>
      </c>
      <c r="X1103" s="2" t="s">
        <v>10787</v>
      </c>
      <c r="Y1103" s="2" t="s">
        <v>10801</v>
      </c>
      <c r="Z1103" s="2" t="s">
        <v>7864</v>
      </c>
      <c r="AA1103" s="2">
        <v>100</v>
      </c>
      <c r="AB1103" s="2">
        <v>17</v>
      </c>
      <c r="AC1103" s="2" t="s">
        <v>10789</v>
      </c>
      <c r="AD1103" s="2" t="s">
        <v>25804</v>
      </c>
      <c r="AE1103" s="2" t="s">
        <v>18260</v>
      </c>
      <c r="AF1103" s="2"/>
      <c r="AG1103" s="2" t="s">
        <v>18250</v>
      </c>
    </row>
    <row r="1104" spans="1:33" x14ac:dyDescent="0.45">
      <c r="A1104" s="2" t="s">
        <v>25805</v>
      </c>
      <c r="B1104" s="2" t="s">
        <v>25806</v>
      </c>
      <c r="C1104" s="2" t="s">
        <v>25805</v>
      </c>
      <c r="D1104" s="2" t="s">
        <v>25807</v>
      </c>
      <c r="E1104" s="2" t="s">
        <v>25808</v>
      </c>
      <c r="F1104" s="2" t="s">
        <v>25809</v>
      </c>
      <c r="G1104" s="2" t="s">
        <v>25809</v>
      </c>
      <c r="H1104" s="2" t="s">
        <v>220</v>
      </c>
      <c r="I1104" s="2" t="s">
        <v>221</v>
      </c>
      <c r="J1104" s="2" t="s">
        <v>10250</v>
      </c>
      <c r="K1104" s="2" t="s">
        <v>25807</v>
      </c>
      <c r="L1104" s="2"/>
      <c r="M1104" s="2"/>
      <c r="N1104" s="2"/>
      <c r="O1104" s="2" t="s">
        <v>220</v>
      </c>
      <c r="P1104" s="2" t="s">
        <v>221</v>
      </c>
      <c r="Q1104" s="2" t="s">
        <v>10250</v>
      </c>
      <c r="R1104" s="2" t="s">
        <v>653</v>
      </c>
      <c r="S1104" s="2" t="s">
        <v>44</v>
      </c>
      <c r="T1104" s="2"/>
      <c r="U1104" s="2" t="s">
        <v>3527</v>
      </c>
      <c r="V1104" s="2" t="s">
        <v>46</v>
      </c>
      <c r="W1104" s="2" t="s">
        <v>3527</v>
      </c>
      <c r="X1104" s="2" t="s">
        <v>10787</v>
      </c>
      <c r="Y1104" s="2" t="s">
        <v>10801</v>
      </c>
      <c r="Z1104" s="2" t="s">
        <v>7864</v>
      </c>
      <c r="AA1104" s="2">
        <v>100</v>
      </c>
      <c r="AB1104" s="2">
        <v>5</v>
      </c>
      <c r="AC1104" s="2" t="s">
        <v>10789</v>
      </c>
      <c r="AD1104" s="2" t="s">
        <v>25810</v>
      </c>
      <c r="AE1104" s="2" t="s">
        <v>18260</v>
      </c>
      <c r="AF1104" s="2"/>
      <c r="AG1104" s="2" t="s">
        <v>18250</v>
      </c>
    </row>
    <row r="1105" spans="1:33" x14ac:dyDescent="0.45">
      <c r="A1105" s="2" t="s">
        <v>25811</v>
      </c>
      <c r="B1105" s="2" t="s">
        <v>25812</v>
      </c>
      <c r="C1105" s="2" t="s">
        <v>25813</v>
      </c>
      <c r="D1105" s="2" t="s">
        <v>25814</v>
      </c>
      <c r="E1105" s="2" t="s">
        <v>25815</v>
      </c>
      <c r="F1105" s="2" t="s">
        <v>25816</v>
      </c>
      <c r="G1105" s="2"/>
      <c r="H1105" s="2" t="s">
        <v>25817</v>
      </c>
      <c r="I1105" s="2" t="s">
        <v>1281</v>
      </c>
      <c r="J1105" s="2" t="s">
        <v>25818</v>
      </c>
      <c r="K1105" s="2"/>
      <c r="L1105" s="2"/>
      <c r="M1105" s="2"/>
      <c r="N1105" s="2"/>
      <c r="O1105" s="2"/>
      <c r="P1105" s="2"/>
      <c r="Q1105" s="2"/>
      <c r="R1105" s="2" t="s">
        <v>1419</v>
      </c>
      <c r="S1105" s="2" t="s">
        <v>44</v>
      </c>
      <c r="T1105" s="2"/>
      <c r="U1105" s="2" t="s">
        <v>3527</v>
      </c>
      <c r="V1105" s="2" t="s">
        <v>46</v>
      </c>
      <c r="W1105" s="2" t="s">
        <v>3527</v>
      </c>
      <c r="X1105" s="2" t="s">
        <v>10787</v>
      </c>
      <c r="Y1105" s="2" t="s">
        <v>10801</v>
      </c>
      <c r="Z1105" s="2" t="s">
        <v>7864</v>
      </c>
      <c r="AA1105" s="2">
        <v>100</v>
      </c>
      <c r="AB1105" s="2">
        <v>5</v>
      </c>
      <c r="AC1105" s="2" t="s">
        <v>10789</v>
      </c>
      <c r="AD1105" s="2" t="s">
        <v>25819</v>
      </c>
      <c r="AE1105" s="2" t="s">
        <v>18260</v>
      </c>
      <c r="AF1105" s="2"/>
      <c r="AG1105" s="2" t="s">
        <v>18250</v>
      </c>
    </row>
    <row r="1106" spans="1:33" x14ac:dyDescent="0.45">
      <c r="A1106" s="2" t="s">
        <v>25820</v>
      </c>
      <c r="B1106" s="2" t="s">
        <v>25821</v>
      </c>
      <c r="C1106" s="2" t="s">
        <v>25822</v>
      </c>
      <c r="D1106" s="2" t="s">
        <v>25823</v>
      </c>
      <c r="E1106" s="2" t="s">
        <v>25824</v>
      </c>
      <c r="F1106" s="2" t="s">
        <v>25825</v>
      </c>
      <c r="G1106" s="2" t="s">
        <v>25825</v>
      </c>
      <c r="H1106" s="2" t="s">
        <v>651</v>
      </c>
      <c r="I1106" s="2" t="s">
        <v>86</v>
      </c>
      <c r="J1106" s="2" t="s">
        <v>3948</v>
      </c>
      <c r="K1106" s="2"/>
      <c r="L1106" s="2"/>
      <c r="M1106" s="2"/>
      <c r="N1106" s="2"/>
      <c r="O1106" s="2"/>
      <c r="P1106" s="2"/>
      <c r="Q1106" s="2"/>
      <c r="R1106" s="2" t="s">
        <v>25826</v>
      </c>
      <c r="S1106" s="2" t="s">
        <v>44</v>
      </c>
      <c r="T1106" s="2"/>
      <c r="U1106" s="2" t="s">
        <v>3527</v>
      </c>
      <c r="V1106" s="2" t="s">
        <v>46</v>
      </c>
      <c r="W1106" s="2" t="s">
        <v>3527</v>
      </c>
      <c r="X1106" s="2" t="s">
        <v>10787</v>
      </c>
      <c r="Y1106" s="2" t="s">
        <v>10801</v>
      </c>
      <c r="Z1106" s="2" t="s">
        <v>7864</v>
      </c>
      <c r="AA1106" s="2">
        <v>100</v>
      </c>
      <c r="AB1106" s="2">
        <v>20</v>
      </c>
      <c r="AC1106" s="2" t="s">
        <v>10789</v>
      </c>
      <c r="AD1106" s="2" t="s">
        <v>25827</v>
      </c>
      <c r="AE1106" s="2" t="s">
        <v>18260</v>
      </c>
      <c r="AF1106" s="2"/>
      <c r="AG1106" s="2" t="s">
        <v>18250</v>
      </c>
    </row>
    <row r="1107" spans="1:33" x14ac:dyDescent="0.45">
      <c r="A1107" s="2" t="s">
        <v>25828</v>
      </c>
      <c r="B1107" s="2" t="s">
        <v>25829</v>
      </c>
      <c r="C1107" s="2" t="s">
        <v>25830</v>
      </c>
      <c r="D1107" s="2" t="s">
        <v>25831</v>
      </c>
      <c r="E1107" s="2" t="s">
        <v>25832</v>
      </c>
      <c r="F1107" s="2"/>
      <c r="G1107" s="2"/>
      <c r="H1107" s="2" t="s">
        <v>85</v>
      </c>
      <c r="I1107" s="2" t="s">
        <v>86</v>
      </c>
      <c r="J1107" s="2" t="s">
        <v>3499</v>
      </c>
      <c r="K1107" s="2" t="s">
        <v>25833</v>
      </c>
      <c r="L1107" s="2"/>
      <c r="M1107" s="2"/>
      <c r="N1107" s="2"/>
      <c r="O1107" s="2" t="s">
        <v>85</v>
      </c>
      <c r="P1107" s="2" t="s">
        <v>86</v>
      </c>
      <c r="Q1107" s="2" t="s">
        <v>3499</v>
      </c>
      <c r="R1107" s="2" t="s">
        <v>178</v>
      </c>
      <c r="S1107" s="2" t="s">
        <v>44</v>
      </c>
      <c r="T1107" s="2"/>
      <c r="U1107" s="2" t="s">
        <v>3527</v>
      </c>
      <c r="V1107" s="2" t="s">
        <v>46</v>
      </c>
      <c r="W1107" s="2" t="s">
        <v>3527</v>
      </c>
      <c r="X1107" s="2" t="s">
        <v>10787</v>
      </c>
      <c r="Y1107" s="2" t="s">
        <v>10801</v>
      </c>
      <c r="Z1107" s="2" t="s">
        <v>7864</v>
      </c>
      <c r="AA1107" s="2">
        <v>90</v>
      </c>
      <c r="AB1107" s="2">
        <v>0</v>
      </c>
      <c r="AC1107" s="2" t="s">
        <v>10789</v>
      </c>
      <c r="AD1107" s="2" t="s">
        <v>25834</v>
      </c>
      <c r="AE1107" s="2" t="s">
        <v>18260</v>
      </c>
      <c r="AF1107" s="2"/>
      <c r="AG1107" s="2" t="s">
        <v>18250</v>
      </c>
    </row>
    <row r="1108" spans="1:33" x14ac:dyDescent="0.45">
      <c r="A1108" s="2" t="s">
        <v>25835</v>
      </c>
      <c r="B1108" s="2" t="s">
        <v>25836</v>
      </c>
      <c r="C1108" s="2" t="s">
        <v>25837</v>
      </c>
      <c r="D1108" s="2" t="s">
        <v>25838</v>
      </c>
      <c r="E1108" s="2" t="s">
        <v>25839</v>
      </c>
      <c r="F1108" s="2" t="s">
        <v>25840</v>
      </c>
      <c r="G1108" s="2" t="s">
        <v>25840</v>
      </c>
      <c r="H1108" s="2" t="s">
        <v>17601</v>
      </c>
      <c r="I1108" s="2" t="s">
        <v>17166</v>
      </c>
      <c r="J1108" s="2" t="s">
        <v>22782</v>
      </c>
      <c r="K1108" s="2" t="s">
        <v>25841</v>
      </c>
      <c r="L1108" s="2"/>
      <c r="M1108" s="2"/>
      <c r="N1108" s="2"/>
      <c r="O1108" s="2" t="s">
        <v>17601</v>
      </c>
      <c r="P1108" s="2" t="s">
        <v>17166</v>
      </c>
      <c r="Q1108" s="2" t="s">
        <v>22782</v>
      </c>
      <c r="R1108" s="2" t="s">
        <v>11122</v>
      </c>
      <c r="S1108" s="2" t="s">
        <v>44</v>
      </c>
      <c r="T1108" s="2"/>
      <c r="U1108" s="2" t="s">
        <v>821</v>
      </c>
      <c r="V1108" s="2" t="s">
        <v>46</v>
      </c>
      <c r="W1108" s="2" t="s">
        <v>821</v>
      </c>
      <c r="X1108" s="2" t="s">
        <v>10787</v>
      </c>
      <c r="Y1108" s="2" t="s">
        <v>10801</v>
      </c>
      <c r="Z1108" s="2" t="s">
        <v>7864</v>
      </c>
      <c r="AA1108" s="2">
        <v>100</v>
      </c>
      <c r="AB1108" s="2">
        <v>12</v>
      </c>
      <c r="AC1108" s="2" t="s">
        <v>10789</v>
      </c>
      <c r="AD1108" s="2" t="s">
        <v>25842</v>
      </c>
      <c r="AE1108" s="2" t="s">
        <v>18260</v>
      </c>
      <c r="AF1108" s="2"/>
      <c r="AG1108" s="2" t="s">
        <v>18250</v>
      </c>
    </row>
    <row r="1109" spans="1:33" x14ac:dyDescent="0.45">
      <c r="A1109" s="2" t="s">
        <v>25843</v>
      </c>
      <c r="B1109" s="2" t="s">
        <v>25844</v>
      </c>
      <c r="C1109" s="2" t="s">
        <v>25845</v>
      </c>
      <c r="D1109" s="2" t="s">
        <v>25846</v>
      </c>
      <c r="E1109" s="2" t="s">
        <v>25847</v>
      </c>
      <c r="F1109" s="2" t="s">
        <v>25848</v>
      </c>
      <c r="G1109" s="2"/>
      <c r="H1109" s="2" t="s">
        <v>59</v>
      </c>
      <c r="I1109" s="2" t="s">
        <v>60</v>
      </c>
      <c r="J1109" s="2" t="s">
        <v>992</v>
      </c>
      <c r="K1109" s="2" t="s">
        <v>25846</v>
      </c>
      <c r="L1109" s="2"/>
      <c r="M1109" s="2"/>
      <c r="N1109" s="2"/>
      <c r="O1109" s="2" t="s">
        <v>59</v>
      </c>
      <c r="P1109" s="2" t="s">
        <v>60</v>
      </c>
      <c r="Q1109" s="2" t="s">
        <v>992</v>
      </c>
      <c r="R1109" s="2" t="s">
        <v>25849</v>
      </c>
      <c r="S1109" s="2" t="s">
        <v>44</v>
      </c>
      <c r="T1109" s="2"/>
      <c r="U1109" s="2" t="s">
        <v>821</v>
      </c>
      <c r="V1109" s="2" t="s">
        <v>46</v>
      </c>
      <c r="W1109" s="2" t="s">
        <v>821</v>
      </c>
      <c r="X1109" s="2" t="s">
        <v>10787</v>
      </c>
      <c r="Y1109" s="2" t="s">
        <v>10801</v>
      </c>
      <c r="Z1109" s="2" t="s">
        <v>7864</v>
      </c>
      <c r="AA1109" s="2">
        <v>100</v>
      </c>
      <c r="AB1109" s="2">
        <v>17</v>
      </c>
      <c r="AC1109" s="2" t="s">
        <v>10789</v>
      </c>
      <c r="AD1109" s="2" t="s">
        <v>25850</v>
      </c>
      <c r="AE1109" s="2" t="s">
        <v>18260</v>
      </c>
      <c r="AF1109" s="2"/>
      <c r="AG1109" s="2" t="s">
        <v>18250</v>
      </c>
    </row>
    <row r="1110" spans="1:33" x14ac:dyDescent="0.45">
      <c r="A1110" s="2" t="s">
        <v>25851</v>
      </c>
      <c r="B1110" s="2" t="s">
        <v>25852</v>
      </c>
      <c r="C1110" s="2" t="s">
        <v>25853</v>
      </c>
      <c r="D1110" s="2" t="s">
        <v>25854</v>
      </c>
      <c r="E1110" s="2" t="s">
        <v>25855</v>
      </c>
      <c r="F1110" s="2" t="s">
        <v>25856</v>
      </c>
      <c r="G1110" s="2"/>
      <c r="H1110" s="2" t="s">
        <v>59</v>
      </c>
      <c r="I1110" s="2" t="s">
        <v>60</v>
      </c>
      <c r="J1110" s="2" t="s">
        <v>5251</v>
      </c>
      <c r="K1110" s="2" t="s">
        <v>25854</v>
      </c>
      <c r="L1110" s="2"/>
      <c r="M1110" s="2"/>
      <c r="N1110" s="2"/>
      <c r="O1110" s="2" t="s">
        <v>59</v>
      </c>
      <c r="P1110" s="2" t="s">
        <v>60</v>
      </c>
      <c r="Q1110" s="2" t="s">
        <v>5251</v>
      </c>
      <c r="R1110" s="2" t="s">
        <v>13759</v>
      </c>
      <c r="S1110" s="2" t="s">
        <v>44</v>
      </c>
      <c r="T1110" s="2"/>
      <c r="U1110" s="2" t="s">
        <v>3527</v>
      </c>
      <c r="V1110" s="2" t="s">
        <v>46</v>
      </c>
      <c r="W1110" s="2" t="s">
        <v>3527</v>
      </c>
      <c r="X1110" s="2" t="s">
        <v>10787</v>
      </c>
      <c r="Y1110" s="2" t="s">
        <v>10801</v>
      </c>
      <c r="Z1110" s="2" t="s">
        <v>7864</v>
      </c>
      <c r="AA1110" s="2">
        <v>100</v>
      </c>
      <c r="AB1110" s="2">
        <v>10</v>
      </c>
      <c r="AC1110" s="2" t="s">
        <v>10789</v>
      </c>
      <c r="AD1110" s="2" t="s">
        <v>25857</v>
      </c>
      <c r="AE1110" s="2" t="s">
        <v>18260</v>
      </c>
      <c r="AF1110" s="2"/>
      <c r="AG1110" s="2" t="s">
        <v>18250</v>
      </c>
    </row>
    <row r="1111" spans="1:33" x14ac:dyDescent="0.45">
      <c r="A1111" s="2" t="s">
        <v>25858</v>
      </c>
      <c r="B1111" s="2" t="s">
        <v>25859</v>
      </c>
      <c r="C1111" s="2" t="s">
        <v>25858</v>
      </c>
      <c r="D1111" s="2" t="s">
        <v>25860</v>
      </c>
      <c r="E1111" s="2" t="s">
        <v>25861</v>
      </c>
      <c r="F1111" s="2" t="s">
        <v>3562</v>
      </c>
      <c r="G1111" s="2" t="s">
        <v>3562</v>
      </c>
      <c r="H1111" s="2" t="s">
        <v>10397</v>
      </c>
      <c r="I1111" s="2" t="s">
        <v>221</v>
      </c>
      <c r="J1111" s="2" t="s">
        <v>25862</v>
      </c>
      <c r="K1111" s="2"/>
      <c r="L1111" s="2"/>
      <c r="M1111" s="2"/>
      <c r="N1111" s="2"/>
      <c r="O1111" s="2"/>
      <c r="P1111" s="2"/>
      <c r="Q1111" s="2"/>
      <c r="R1111" s="2" t="s">
        <v>5566</v>
      </c>
      <c r="S1111" s="2" t="s">
        <v>44</v>
      </c>
      <c r="T1111" s="2"/>
      <c r="U1111" s="2" t="s">
        <v>3527</v>
      </c>
      <c r="V1111" s="2" t="s">
        <v>46</v>
      </c>
      <c r="W1111" s="2" t="s">
        <v>3527</v>
      </c>
      <c r="X1111" s="2" t="s">
        <v>10787</v>
      </c>
      <c r="Y1111" s="2" t="s">
        <v>10801</v>
      </c>
      <c r="Z1111" s="2" t="s">
        <v>7864</v>
      </c>
      <c r="AA1111" s="2">
        <v>100</v>
      </c>
      <c r="AB1111" s="2">
        <v>5</v>
      </c>
      <c r="AC1111" s="2" t="s">
        <v>10789</v>
      </c>
      <c r="AD1111" s="2" t="s">
        <v>25863</v>
      </c>
      <c r="AE1111" s="2" t="s">
        <v>18260</v>
      </c>
      <c r="AF1111" s="2"/>
      <c r="AG1111" s="2" t="s">
        <v>18250</v>
      </c>
    </row>
    <row r="1112" spans="1:33" x14ac:dyDescent="0.45">
      <c r="A1112" s="2" t="s">
        <v>25864</v>
      </c>
      <c r="B1112" s="2" t="s">
        <v>25865</v>
      </c>
      <c r="C1112" s="2" t="s">
        <v>25864</v>
      </c>
      <c r="D1112" s="2" t="s">
        <v>25866</v>
      </c>
      <c r="E1112" s="2" t="s">
        <v>25867</v>
      </c>
      <c r="F1112" s="2" t="s">
        <v>25868</v>
      </c>
      <c r="G1112" s="2"/>
      <c r="H1112" s="2" t="s">
        <v>1175</v>
      </c>
      <c r="I1112" s="2" t="s">
        <v>1176</v>
      </c>
      <c r="J1112" s="2" t="s">
        <v>1177</v>
      </c>
      <c r="K1112" s="2" t="s">
        <v>25866</v>
      </c>
      <c r="L1112" s="2"/>
      <c r="M1112" s="2"/>
      <c r="N1112" s="2"/>
      <c r="O1112" s="2" t="s">
        <v>1175</v>
      </c>
      <c r="P1112" s="2" t="s">
        <v>1176</v>
      </c>
      <c r="Q1112" s="2" t="s">
        <v>1177</v>
      </c>
      <c r="R1112" s="2" t="s">
        <v>3246</v>
      </c>
      <c r="S1112" s="2" t="s">
        <v>44</v>
      </c>
      <c r="T1112" s="2"/>
      <c r="U1112" s="2" t="s">
        <v>3527</v>
      </c>
      <c r="V1112" s="2" t="s">
        <v>46</v>
      </c>
      <c r="W1112" s="2" t="s">
        <v>3527</v>
      </c>
      <c r="X1112" s="2" t="s">
        <v>11214</v>
      </c>
      <c r="Y1112" s="2" t="s">
        <v>10801</v>
      </c>
      <c r="Z1112" s="2" t="s">
        <v>7864</v>
      </c>
      <c r="AA1112" s="2">
        <v>100</v>
      </c>
      <c r="AB1112" s="2">
        <v>5</v>
      </c>
      <c r="AC1112" s="2" t="s">
        <v>10789</v>
      </c>
      <c r="AD1112" s="2" t="s">
        <v>25869</v>
      </c>
      <c r="AE1112" s="2" t="s">
        <v>18260</v>
      </c>
      <c r="AF1112" s="2"/>
      <c r="AG1112" s="2" t="s">
        <v>18250</v>
      </c>
    </row>
    <row r="1113" spans="1:33" x14ac:dyDescent="0.45">
      <c r="A1113" s="2" t="s">
        <v>25870</v>
      </c>
      <c r="B1113" s="2" t="s">
        <v>25871</v>
      </c>
      <c r="C1113" s="2" t="s">
        <v>25870</v>
      </c>
      <c r="D1113" s="2" t="s">
        <v>25872</v>
      </c>
      <c r="E1113" s="2" t="s">
        <v>25873</v>
      </c>
      <c r="F1113" s="2"/>
      <c r="G1113" s="2"/>
      <c r="H1113" s="2" t="s">
        <v>174</v>
      </c>
      <c r="I1113" s="2" t="s">
        <v>175</v>
      </c>
      <c r="J1113" s="2" t="s">
        <v>25874</v>
      </c>
      <c r="K1113" s="2" t="s">
        <v>25872</v>
      </c>
      <c r="L1113" s="2"/>
      <c r="M1113" s="2"/>
      <c r="N1113" s="2"/>
      <c r="O1113" s="2" t="s">
        <v>174</v>
      </c>
      <c r="P1113" s="2" t="s">
        <v>175</v>
      </c>
      <c r="Q1113" s="2" t="s">
        <v>25874</v>
      </c>
      <c r="R1113" s="2" t="s">
        <v>13372</v>
      </c>
      <c r="S1113" s="2" t="s">
        <v>44</v>
      </c>
      <c r="T1113" s="2"/>
      <c r="U1113" s="2" t="s">
        <v>3527</v>
      </c>
      <c r="V1113" s="2" t="s">
        <v>46</v>
      </c>
      <c r="W1113" s="2" t="s">
        <v>3527</v>
      </c>
      <c r="X1113" s="2" t="s">
        <v>12028</v>
      </c>
      <c r="Y1113" s="2" t="s">
        <v>10801</v>
      </c>
      <c r="Z1113" s="2" t="s">
        <v>7864</v>
      </c>
      <c r="AA1113" s="2">
        <v>90</v>
      </c>
      <c r="AB1113" s="2">
        <v>0</v>
      </c>
      <c r="AC1113" s="2" t="s">
        <v>10789</v>
      </c>
      <c r="AD1113" s="2" t="s">
        <v>25875</v>
      </c>
      <c r="AE1113" s="2" t="s">
        <v>18260</v>
      </c>
      <c r="AF1113" s="2"/>
      <c r="AG1113" s="2" t="s">
        <v>18250</v>
      </c>
    </row>
    <row r="1114" spans="1:33" x14ac:dyDescent="0.45">
      <c r="A1114" s="2" t="s">
        <v>25876</v>
      </c>
      <c r="B1114" s="2" t="s">
        <v>25877</v>
      </c>
      <c r="C1114" s="2" t="s">
        <v>25876</v>
      </c>
      <c r="D1114" s="2" t="s">
        <v>25878</v>
      </c>
      <c r="E1114" s="2" t="s">
        <v>25879</v>
      </c>
      <c r="F1114" s="2"/>
      <c r="G1114" s="2"/>
      <c r="H1114" s="2" t="s">
        <v>59</v>
      </c>
      <c r="I1114" s="2" t="s">
        <v>60</v>
      </c>
      <c r="J1114" s="2" t="s">
        <v>17574</v>
      </c>
      <c r="K1114" s="2" t="s">
        <v>25880</v>
      </c>
      <c r="L1114" s="2"/>
      <c r="M1114" s="2"/>
      <c r="N1114" s="2"/>
      <c r="O1114" s="2" t="s">
        <v>59</v>
      </c>
      <c r="P1114" s="2" t="s">
        <v>60</v>
      </c>
      <c r="Q1114" s="2" t="s">
        <v>17574</v>
      </c>
      <c r="R1114" s="2" t="s">
        <v>8159</v>
      </c>
      <c r="S1114" s="2" t="s">
        <v>44</v>
      </c>
      <c r="T1114" s="2"/>
      <c r="U1114" s="2" t="s">
        <v>3527</v>
      </c>
      <c r="V1114" s="2" t="s">
        <v>46</v>
      </c>
      <c r="W1114" s="2" t="s">
        <v>3527</v>
      </c>
      <c r="X1114" s="2" t="s">
        <v>11005</v>
      </c>
      <c r="Y1114" s="2" t="s">
        <v>10801</v>
      </c>
      <c r="Z1114" s="2" t="s">
        <v>7864</v>
      </c>
      <c r="AA1114" s="2">
        <v>90</v>
      </c>
      <c r="AB1114" s="2">
        <v>0</v>
      </c>
      <c r="AC1114" s="2" t="s">
        <v>10789</v>
      </c>
      <c r="AD1114" s="2" t="s">
        <v>25881</v>
      </c>
      <c r="AE1114" s="2" t="s">
        <v>18260</v>
      </c>
      <c r="AF1114" s="2"/>
      <c r="AG1114" s="2" t="s">
        <v>18250</v>
      </c>
    </row>
    <row r="1115" spans="1:33" x14ac:dyDescent="0.45">
      <c r="A1115" s="2" t="s">
        <v>25882</v>
      </c>
      <c r="B1115" s="2" t="s">
        <v>25883</v>
      </c>
      <c r="C1115" s="2" t="s">
        <v>25882</v>
      </c>
      <c r="D1115" s="2" t="s">
        <v>25884</v>
      </c>
      <c r="E1115" s="2" t="s">
        <v>25885</v>
      </c>
      <c r="F1115" s="2"/>
      <c r="G1115" s="2"/>
      <c r="H1115" s="2" t="s">
        <v>2962</v>
      </c>
      <c r="I1115" s="2" t="s">
        <v>73</v>
      </c>
      <c r="J1115" s="2" t="s">
        <v>2963</v>
      </c>
      <c r="K1115" s="2" t="s">
        <v>25884</v>
      </c>
      <c r="L1115" s="2"/>
      <c r="M1115" s="2"/>
      <c r="N1115" s="2"/>
      <c r="O1115" s="2" t="s">
        <v>2962</v>
      </c>
      <c r="P1115" s="2" t="s">
        <v>73</v>
      </c>
      <c r="Q1115" s="2" t="s">
        <v>2963</v>
      </c>
      <c r="R1115" s="2" t="s">
        <v>25886</v>
      </c>
      <c r="S1115" s="2" t="s">
        <v>44</v>
      </c>
      <c r="T1115" s="2"/>
      <c r="U1115" s="2" t="s">
        <v>3527</v>
      </c>
      <c r="V1115" s="2" t="s">
        <v>46</v>
      </c>
      <c r="W1115" s="2" t="s">
        <v>3527</v>
      </c>
      <c r="X1115" s="2" t="s">
        <v>10787</v>
      </c>
      <c r="Y1115" s="2" t="s">
        <v>10801</v>
      </c>
      <c r="Z1115" s="2" t="s">
        <v>7864</v>
      </c>
      <c r="AA1115" s="2">
        <v>90</v>
      </c>
      <c r="AB1115" s="2">
        <v>0</v>
      </c>
      <c r="AC1115" s="2" t="s">
        <v>10789</v>
      </c>
      <c r="AD1115" s="2" t="s">
        <v>25887</v>
      </c>
      <c r="AE1115" s="2" t="s">
        <v>18260</v>
      </c>
      <c r="AF1115" s="2"/>
      <c r="AG1115" s="2" t="s">
        <v>18250</v>
      </c>
    </row>
    <row r="1116" spans="1:33" x14ac:dyDescent="0.45">
      <c r="A1116" s="2" t="s">
        <v>25888</v>
      </c>
      <c r="B1116" s="2" t="s">
        <v>25889</v>
      </c>
      <c r="C1116" s="2" t="s">
        <v>25890</v>
      </c>
      <c r="D1116" s="2" t="s">
        <v>25891</v>
      </c>
      <c r="E1116" s="2" t="s">
        <v>25892</v>
      </c>
      <c r="F1116" s="2" t="s">
        <v>25893</v>
      </c>
      <c r="G1116" s="2" t="s">
        <v>25893</v>
      </c>
      <c r="H1116" s="2" t="s">
        <v>59</v>
      </c>
      <c r="I1116" s="2" t="s">
        <v>60</v>
      </c>
      <c r="J1116" s="2" t="s">
        <v>1640</v>
      </c>
      <c r="K1116" s="2" t="s">
        <v>25891</v>
      </c>
      <c r="L1116" s="2"/>
      <c r="M1116" s="2"/>
      <c r="N1116" s="2"/>
      <c r="O1116" s="2" t="s">
        <v>59</v>
      </c>
      <c r="P1116" s="2" t="s">
        <v>60</v>
      </c>
      <c r="Q1116" s="2" t="s">
        <v>1640</v>
      </c>
      <c r="R1116" s="2" t="s">
        <v>5440</v>
      </c>
      <c r="S1116" s="2" t="s">
        <v>44</v>
      </c>
      <c r="T1116" s="2"/>
      <c r="U1116" s="2" t="s">
        <v>821</v>
      </c>
      <c r="V1116" s="2" t="s">
        <v>46</v>
      </c>
      <c r="W1116" s="2" t="s">
        <v>821</v>
      </c>
      <c r="X1116" s="2" t="s">
        <v>10787</v>
      </c>
      <c r="Y1116" s="2" t="s">
        <v>10801</v>
      </c>
      <c r="Z1116" s="2" t="s">
        <v>7864</v>
      </c>
      <c r="AA1116" s="2">
        <v>100</v>
      </c>
      <c r="AB1116" s="2">
        <v>17</v>
      </c>
      <c r="AC1116" s="2" t="s">
        <v>10789</v>
      </c>
      <c r="AD1116" s="2" t="s">
        <v>25894</v>
      </c>
      <c r="AE1116" s="2" t="s">
        <v>18260</v>
      </c>
      <c r="AF1116" s="2"/>
      <c r="AG1116" s="2" t="s">
        <v>18250</v>
      </c>
    </row>
    <row r="1117" spans="1:33" x14ac:dyDescent="0.45">
      <c r="A1117" s="2" t="s">
        <v>25895</v>
      </c>
      <c r="B1117" s="2" t="s">
        <v>25896</v>
      </c>
      <c r="C1117" s="2" t="s">
        <v>25895</v>
      </c>
      <c r="D1117" s="2" t="s">
        <v>25897</v>
      </c>
      <c r="E1117" s="2" t="s">
        <v>25898</v>
      </c>
      <c r="F1117" s="2" t="s">
        <v>25899</v>
      </c>
      <c r="G1117" s="2" t="s">
        <v>25899</v>
      </c>
      <c r="H1117" s="2" t="s">
        <v>25900</v>
      </c>
      <c r="I1117" s="2" t="s">
        <v>60</v>
      </c>
      <c r="J1117" s="2" t="s">
        <v>25901</v>
      </c>
      <c r="K1117" s="2" t="s">
        <v>25902</v>
      </c>
      <c r="L1117" s="2"/>
      <c r="M1117" s="2"/>
      <c r="N1117" s="2"/>
      <c r="O1117" s="2" t="s">
        <v>25900</v>
      </c>
      <c r="P1117" s="2" t="s">
        <v>60</v>
      </c>
      <c r="Q1117" s="2" t="s">
        <v>25901</v>
      </c>
      <c r="R1117" s="2" t="s">
        <v>11138</v>
      </c>
      <c r="S1117" s="2" t="s">
        <v>44</v>
      </c>
      <c r="T1117" s="2"/>
      <c r="U1117" s="2" t="s">
        <v>821</v>
      </c>
      <c r="V1117" s="2" t="s">
        <v>46</v>
      </c>
      <c r="W1117" s="2" t="s">
        <v>821</v>
      </c>
      <c r="X1117" s="2" t="s">
        <v>10787</v>
      </c>
      <c r="Y1117" s="2" t="s">
        <v>10801</v>
      </c>
      <c r="Z1117" s="2" t="s">
        <v>7864</v>
      </c>
      <c r="AA1117" s="2">
        <v>100</v>
      </c>
      <c r="AB1117" s="2">
        <v>12</v>
      </c>
      <c r="AC1117" s="2" t="s">
        <v>10789</v>
      </c>
      <c r="AD1117" s="2" t="s">
        <v>25903</v>
      </c>
      <c r="AE1117" s="2" t="s">
        <v>18260</v>
      </c>
      <c r="AF1117" s="2"/>
      <c r="AG1117" s="2" t="s">
        <v>18250</v>
      </c>
    </row>
    <row r="1118" spans="1:33" x14ac:dyDescent="0.45">
      <c r="A1118" s="2" t="s">
        <v>25904</v>
      </c>
      <c r="B1118" s="2" t="s">
        <v>25905</v>
      </c>
      <c r="C1118" s="2" t="s">
        <v>25906</v>
      </c>
      <c r="D1118" s="2" t="s">
        <v>25907</v>
      </c>
      <c r="E1118" s="2" t="s">
        <v>25908</v>
      </c>
      <c r="F1118" s="2"/>
      <c r="G1118" s="2"/>
      <c r="H1118" s="2" t="s">
        <v>14219</v>
      </c>
      <c r="I1118" s="2" t="s">
        <v>60</v>
      </c>
      <c r="J1118" s="2" t="s">
        <v>22345</v>
      </c>
      <c r="K1118" s="2" t="s">
        <v>25907</v>
      </c>
      <c r="L1118" s="2"/>
      <c r="M1118" s="2"/>
      <c r="N1118" s="2"/>
      <c r="O1118" s="2" t="s">
        <v>14219</v>
      </c>
      <c r="P1118" s="2" t="s">
        <v>60</v>
      </c>
      <c r="Q1118" s="2" t="s">
        <v>22345</v>
      </c>
      <c r="R1118" s="2" t="s">
        <v>25909</v>
      </c>
      <c r="S1118" s="2" t="s">
        <v>44</v>
      </c>
      <c r="T1118" s="2"/>
      <c r="U1118" s="2" t="s">
        <v>821</v>
      </c>
      <c r="V1118" s="2" t="s">
        <v>46</v>
      </c>
      <c r="W1118" s="2" t="s">
        <v>821</v>
      </c>
      <c r="X1118" s="2" t="s">
        <v>10787</v>
      </c>
      <c r="Y1118" s="2" t="s">
        <v>10801</v>
      </c>
      <c r="Z1118" s="2" t="s">
        <v>7864</v>
      </c>
      <c r="AA1118" s="2">
        <v>90</v>
      </c>
      <c r="AB1118" s="2">
        <v>2</v>
      </c>
      <c r="AC1118" s="2" t="s">
        <v>10789</v>
      </c>
      <c r="AD1118" s="2" t="s">
        <v>25910</v>
      </c>
      <c r="AE1118" s="2" t="s">
        <v>18260</v>
      </c>
      <c r="AF1118" s="2"/>
      <c r="AG1118" s="2" t="s">
        <v>18250</v>
      </c>
    </row>
    <row r="1119" spans="1:33" x14ac:dyDescent="0.45">
      <c r="A1119" s="2" t="s">
        <v>25911</v>
      </c>
      <c r="B1119" s="2" t="s">
        <v>25912</v>
      </c>
      <c r="C1119" s="2" t="s">
        <v>25913</v>
      </c>
      <c r="D1119" s="2" t="s">
        <v>25914</v>
      </c>
      <c r="E1119" s="2" t="s">
        <v>25915</v>
      </c>
      <c r="F1119" s="2"/>
      <c r="G1119" s="2"/>
      <c r="H1119" s="2" t="s">
        <v>1023</v>
      </c>
      <c r="I1119" s="2" t="s">
        <v>73</v>
      </c>
      <c r="J1119" s="2" t="s">
        <v>5695</v>
      </c>
      <c r="K1119" s="2" t="s">
        <v>25914</v>
      </c>
      <c r="L1119" s="2"/>
      <c r="M1119" s="2"/>
      <c r="N1119" s="2"/>
      <c r="O1119" s="2" t="s">
        <v>1023</v>
      </c>
      <c r="P1119" s="2" t="s">
        <v>73</v>
      </c>
      <c r="Q1119" s="2" t="s">
        <v>5695</v>
      </c>
      <c r="R1119" s="2" t="s">
        <v>25916</v>
      </c>
      <c r="S1119" s="2" t="s">
        <v>44</v>
      </c>
      <c r="T1119" s="2"/>
      <c r="U1119" s="2" t="s">
        <v>821</v>
      </c>
      <c r="V1119" s="2" t="s">
        <v>46</v>
      </c>
      <c r="W1119" s="2" t="s">
        <v>821</v>
      </c>
      <c r="X1119" s="2" t="s">
        <v>10787</v>
      </c>
      <c r="Y1119" s="2" t="s">
        <v>10801</v>
      </c>
      <c r="Z1119" s="2" t="s">
        <v>7864</v>
      </c>
      <c r="AA1119" s="2">
        <v>90</v>
      </c>
      <c r="AB1119" s="2">
        <v>7</v>
      </c>
      <c r="AC1119" s="2" t="s">
        <v>10789</v>
      </c>
      <c r="AD1119" s="2" t="s">
        <v>25917</v>
      </c>
      <c r="AE1119" s="2" t="s">
        <v>18260</v>
      </c>
      <c r="AF1119" s="2"/>
      <c r="AG1119" s="2" t="s">
        <v>18250</v>
      </c>
    </row>
    <row r="1120" spans="1:33" x14ac:dyDescent="0.45">
      <c r="A1120" s="2" t="s">
        <v>25918</v>
      </c>
      <c r="B1120" s="2" t="s">
        <v>25919</v>
      </c>
      <c r="C1120" s="2" t="s">
        <v>25918</v>
      </c>
      <c r="D1120" s="2" t="s">
        <v>25920</v>
      </c>
      <c r="E1120" s="2" t="s">
        <v>25921</v>
      </c>
      <c r="F1120" s="2" t="s">
        <v>25922</v>
      </c>
      <c r="G1120" s="2" t="s">
        <v>25922</v>
      </c>
      <c r="H1120" s="2" t="s">
        <v>384</v>
      </c>
      <c r="I1120" s="2" t="s">
        <v>73</v>
      </c>
      <c r="J1120" s="2" t="s">
        <v>25923</v>
      </c>
      <c r="K1120" s="2" t="s">
        <v>25924</v>
      </c>
      <c r="L1120" s="2"/>
      <c r="M1120" s="2"/>
      <c r="N1120" s="2"/>
      <c r="O1120" s="2" t="s">
        <v>324</v>
      </c>
      <c r="P1120" s="2" t="s">
        <v>73</v>
      </c>
      <c r="Q1120" s="2" t="s">
        <v>4463</v>
      </c>
      <c r="R1120" s="2" t="s">
        <v>6565</v>
      </c>
      <c r="S1120" s="2" t="s">
        <v>44</v>
      </c>
      <c r="T1120" s="2"/>
      <c r="U1120" s="2" t="s">
        <v>821</v>
      </c>
      <c r="V1120" s="2" t="s">
        <v>46</v>
      </c>
      <c r="W1120" s="2" t="s">
        <v>821</v>
      </c>
      <c r="X1120" s="2" t="s">
        <v>10787</v>
      </c>
      <c r="Y1120" s="2" t="s">
        <v>10801</v>
      </c>
      <c r="Z1120" s="2" t="s">
        <v>7864</v>
      </c>
      <c r="AA1120" s="2">
        <v>100</v>
      </c>
      <c r="AB1120" s="2">
        <v>17</v>
      </c>
      <c r="AC1120" s="2" t="s">
        <v>10789</v>
      </c>
      <c r="AD1120" s="2" t="s">
        <v>25925</v>
      </c>
      <c r="AE1120" s="2" t="s">
        <v>18260</v>
      </c>
      <c r="AF1120" s="2"/>
      <c r="AG1120" s="2" t="s">
        <v>18250</v>
      </c>
    </row>
    <row r="1121" spans="1:33" x14ac:dyDescent="0.45">
      <c r="A1121" s="2" t="s">
        <v>25926</v>
      </c>
      <c r="B1121" s="2" t="s">
        <v>25927</v>
      </c>
      <c r="C1121" s="2" t="s">
        <v>25926</v>
      </c>
      <c r="D1121" s="2" t="s">
        <v>25928</v>
      </c>
      <c r="E1121" s="2" t="s">
        <v>25929</v>
      </c>
      <c r="F1121" s="2" t="s">
        <v>25930</v>
      </c>
      <c r="G1121" s="2" t="s">
        <v>25930</v>
      </c>
      <c r="H1121" s="2" t="s">
        <v>85</v>
      </c>
      <c r="I1121" s="2" t="s">
        <v>86</v>
      </c>
      <c r="J1121" s="2" t="s">
        <v>24278</v>
      </c>
      <c r="K1121" s="2" t="s">
        <v>25928</v>
      </c>
      <c r="L1121" s="2"/>
      <c r="M1121" s="2"/>
      <c r="N1121" s="2"/>
      <c r="O1121" s="2" t="s">
        <v>85</v>
      </c>
      <c r="P1121" s="2" t="s">
        <v>86</v>
      </c>
      <c r="Q1121" s="2" t="s">
        <v>24278</v>
      </c>
      <c r="R1121" s="2" t="s">
        <v>12351</v>
      </c>
      <c r="S1121" s="2" t="s">
        <v>44</v>
      </c>
      <c r="T1121" s="2"/>
      <c r="U1121" s="2" t="s">
        <v>3527</v>
      </c>
      <c r="V1121" s="2" t="s">
        <v>46</v>
      </c>
      <c r="W1121" s="2" t="s">
        <v>3527</v>
      </c>
      <c r="X1121" s="2" t="s">
        <v>10787</v>
      </c>
      <c r="Y1121" s="2" t="s">
        <v>10801</v>
      </c>
      <c r="Z1121" s="2" t="s">
        <v>7864</v>
      </c>
      <c r="AA1121" s="2">
        <v>100</v>
      </c>
      <c r="AB1121" s="2">
        <v>10</v>
      </c>
      <c r="AC1121" s="2" t="s">
        <v>10789</v>
      </c>
      <c r="AD1121" s="2" t="s">
        <v>25931</v>
      </c>
      <c r="AE1121" s="2" t="s">
        <v>18260</v>
      </c>
      <c r="AF1121" s="2"/>
      <c r="AG1121" s="2" t="s">
        <v>18250</v>
      </c>
    </row>
    <row r="1122" spans="1:33" x14ac:dyDescent="0.45">
      <c r="A1122" s="2" t="s">
        <v>25932</v>
      </c>
      <c r="B1122" s="2" t="s">
        <v>25933</v>
      </c>
      <c r="C1122" s="2" t="s">
        <v>25932</v>
      </c>
      <c r="D1122" s="2" t="s">
        <v>25934</v>
      </c>
      <c r="E1122" s="2" t="s">
        <v>25935</v>
      </c>
      <c r="F1122" s="2" t="s">
        <v>3562</v>
      </c>
      <c r="G1122" s="2" t="s">
        <v>3562</v>
      </c>
      <c r="H1122" s="2" t="s">
        <v>85</v>
      </c>
      <c r="I1122" s="2" t="s">
        <v>86</v>
      </c>
      <c r="J1122" s="2" t="s">
        <v>4731</v>
      </c>
      <c r="K1122" s="2"/>
      <c r="L1122" s="2"/>
      <c r="M1122" s="2"/>
      <c r="N1122" s="2"/>
      <c r="O1122" s="2"/>
      <c r="P1122" s="2"/>
      <c r="Q1122" s="2"/>
      <c r="R1122" s="2" t="s">
        <v>7581</v>
      </c>
      <c r="S1122" s="2" t="s">
        <v>44</v>
      </c>
      <c r="T1122" s="2"/>
      <c r="U1122" s="2" t="s">
        <v>3527</v>
      </c>
      <c r="V1122" s="2" t="s">
        <v>46</v>
      </c>
      <c r="W1122" s="2" t="s">
        <v>3527</v>
      </c>
      <c r="X1122" s="2" t="s">
        <v>10787</v>
      </c>
      <c r="Y1122" s="2" t="s">
        <v>10801</v>
      </c>
      <c r="Z1122" s="2" t="s">
        <v>7864</v>
      </c>
      <c r="AA1122" s="2">
        <v>100</v>
      </c>
      <c r="AB1122" s="2">
        <v>10</v>
      </c>
      <c r="AC1122" s="2" t="s">
        <v>10789</v>
      </c>
      <c r="AD1122" s="2" t="s">
        <v>25936</v>
      </c>
      <c r="AE1122" s="2" t="s">
        <v>18260</v>
      </c>
      <c r="AF1122" s="2"/>
      <c r="AG1122" s="2" t="s">
        <v>18250</v>
      </c>
    </row>
    <row r="1123" spans="1:33" x14ac:dyDescent="0.45">
      <c r="A1123" s="2" t="s">
        <v>25937</v>
      </c>
      <c r="B1123" s="2" t="s">
        <v>25938</v>
      </c>
      <c r="C1123" s="2" t="s">
        <v>25939</v>
      </c>
      <c r="D1123" s="2" t="s">
        <v>25940</v>
      </c>
      <c r="E1123" s="2" t="s">
        <v>25941</v>
      </c>
      <c r="F1123" s="2" t="s">
        <v>25942</v>
      </c>
      <c r="G1123" s="2" t="s">
        <v>25942</v>
      </c>
      <c r="H1123" s="2" t="s">
        <v>6029</v>
      </c>
      <c r="I1123" s="2" t="s">
        <v>278</v>
      </c>
      <c r="J1123" s="2" t="s">
        <v>19675</v>
      </c>
      <c r="K1123" s="2"/>
      <c r="L1123" s="2"/>
      <c r="M1123" s="2"/>
      <c r="N1123" s="2"/>
      <c r="O1123" s="2"/>
      <c r="P1123" s="2"/>
      <c r="Q1123" s="2"/>
      <c r="R1123" s="2" t="s">
        <v>9560</v>
      </c>
      <c r="S1123" s="2" t="s">
        <v>44</v>
      </c>
      <c r="T1123" s="2"/>
      <c r="U1123" s="2" t="s">
        <v>3527</v>
      </c>
      <c r="V1123" s="2" t="s">
        <v>46</v>
      </c>
      <c r="W1123" s="2" t="s">
        <v>3527</v>
      </c>
      <c r="X1123" s="2" t="s">
        <v>10787</v>
      </c>
      <c r="Y1123" s="2" t="s">
        <v>10801</v>
      </c>
      <c r="Z1123" s="2" t="s">
        <v>7864</v>
      </c>
      <c r="AA1123" s="2">
        <v>100</v>
      </c>
      <c r="AB1123" s="2">
        <v>5</v>
      </c>
      <c r="AC1123" s="2" t="s">
        <v>10789</v>
      </c>
      <c r="AD1123" s="2" t="s">
        <v>25943</v>
      </c>
      <c r="AE1123" s="2" t="s">
        <v>18260</v>
      </c>
      <c r="AF1123" s="2"/>
      <c r="AG1123" s="2" t="s">
        <v>18250</v>
      </c>
    </row>
    <row r="1124" spans="1:33" x14ac:dyDescent="0.45">
      <c r="A1124" s="2" t="s">
        <v>25944</v>
      </c>
      <c r="B1124" s="2" t="s">
        <v>25945</v>
      </c>
      <c r="C1124" s="2" t="s">
        <v>25946</v>
      </c>
      <c r="D1124" s="2" t="s">
        <v>25947</v>
      </c>
      <c r="E1124" s="2" t="s">
        <v>25948</v>
      </c>
      <c r="F1124" s="2"/>
      <c r="G1124" s="2"/>
      <c r="H1124" s="2" t="s">
        <v>72</v>
      </c>
      <c r="I1124" s="2" t="s">
        <v>73</v>
      </c>
      <c r="J1124" s="2" t="s">
        <v>2725</v>
      </c>
      <c r="K1124" s="2" t="s">
        <v>25947</v>
      </c>
      <c r="L1124" s="2"/>
      <c r="M1124" s="2"/>
      <c r="N1124" s="2"/>
      <c r="O1124" s="2" t="s">
        <v>72</v>
      </c>
      <c r="P1124" s="2" t="s">
        <v>73</v>
      </c>
      <c r="Q1124" s="2" t="s">
        <v>2725</v>
      </c>
      <c r="R1124" s="2" t="s">
        <v>9649</v>
      </c>
      <c r="S1124" s="2" t="s">
        <v>44</v>
      </c>
      <c r="T1124" s="2"/>
      <c r="U1124" s="2" t="s">
        <v>3527</v>
      </c>
      <c r="V1124" s="2" t="s">
        <v>46</v>
      </c>
      <c r="W1124" s="2" t="s">
        <v>3527</v>
      </c>
      <c r="X1124" s="2" t="s">
        <v>10787</v>
      </c>
      <c r="Y1124" s="2" t="s">
        <v>10801</v>
      </c>
      <c r="Z1124" s="2" t="s">
        <v>7864</v>
      </c>
      <c r="AA1124" s="2">
        <v>90</v>
      </c>
      <c r="AB1124" s="2">
        <v>0</v>
      </c>
      <c r="AC1124" s="2" t="s">
        <v>10789</v>
      </c>
      <c r="AD1124" s="2" t="s">
        <v>25949</v>
      </c>
      <c r="AE1124" s="2" t="s">
        <v>18260</v>
      </c>
      <c r="AF1124" s="2"/>
      <c r="AG1124" s="2" t="s">
        <v>18250</v>
      </c>
    </row>
    <row r="1125" spans="1:33" x14ac:dyDescent="0.45">
      <c r="A1125" s="2" t="s">
        <v>25950</v>
      </c>
      <c r="B1125" s="2" t="s">
        <v>25951</v>
      </c>
      <c r="C1125" s="2" t="s">
        <v>25950</v>
      </c>
      <c r="D1125" s="2" t="s">
        <v>25952</v>
      </c>
      <c r="E1125" s="2" t="s">
        <v>25953</v>
      </c>
      <c r="F1125" s="2"/>
      <c r="G1125" s="2"/>
      <c r="H1125" s="2" t="s">
        <v>312</v>
      </c>
      <c r="I1125" s="2" t="s">
        <v>313</v>
      </c>
      <c r="J1125" s="2" t="s">
        <v>1048</v>
      </c>
      <c r="K1125" s="2" t="s">
        <v>25952</v>
      </c>
      <c r="L1125" s="2"/>
      <c r="M1125" s="2"/>
      <c r="N1125" s="2"/>
      <c r="O1125" s="2" t="s">
        <v>312</v>
      </c>
      <c r="P1125" s="2" t="s">
        <v>313</v>
      </c>
      <c r="Q1125" s="2" t="s">
        <v>1048</v>
      </c>
      <c r="R1125" s="2" t="s">
        <v>7024</v>
      </c>
      <c r="S1125" s="2" t="s">
        <v>44</v>
      </c>
      <c r="T1125" s="2"/>
      <c r="U1125" s="2" t="s">
        <v>3527</v>
      </c>
      <c r="V1125" s="2" t="s">
        <v>46</v>
      </c>
      <c r="W1125" s="2" t="s">
        <v>3527</v>
      </c>
      <c r="X1125" s="2" t="s">
        <v>10787</v>
      </c>
      <c r="Y1125" s="2" t="s">
        <v>10801</v>
      </c>
      <c r="Z1125" s="2" t="s">
        <v>7864</v>
      </c>
      <c r="AA1125" s="2">
        <v>90</v>
      </c>
      <c r="AB1125" s="2">
        <v>0</v>
      </c>
      <c r="AC1125" s="2" t="s">
        <v>10789</v>
      </c>
      <c r="AD1125" s="2" t="s">
        <v>25954</v>
      </c>
      <c r="AE1125" s="2" t="s">
        <v>18260</v>
      </c>
      <c r="AF1125" s="2"/>
      <c r="AG1125" s="2" t="s">
        <v>18250</v>
      </c>
    </row>
    <row r="1126" spans="1:33" x14ac:dyDescent="0.45">
      <c r="A1126" s="2" t="s">
        <v>25955</v>
      </c>
      <c r="B1126" s="2" t="s">
        <v>25956</v>
      </c>
      <c r="C1126" s="2" t="s">
        <v>25955</v>
      </c>
      <c r="D1126" s="2" t="s">
        <v>25957</v>
      </c>
      <c r="E1126" s="2" t="s">
        <v>25958</v>
      </c>
      <c r="F1126" s="2" t="s">
        <v>25959</v>
      </c>
      <c r="G1126" s="2" t="s">
        <v>25959</v>
      </c>
      <c r="H1126" s="2" t="s">
        <v>6156</v>
      </c>
      <c r="I1126" s="2" t="s">
        <v>217</v>
      </c>
      <c r="J1126" s="2" t="s">
        <v>25960</v>
      </c>
      <c r="K1126" s="2" t="s">
        <v>25957</v>
      </c>
      <c r="L1126" s="2"/>
      <c r="M1126" s="2"/>
      <c r="N1126" s="2"/>
      <c r="O1126" s="2" t="s">
        <v>6156</v>
      </c>
      <c r="P1126" s="2" t="s">
        <v>217</v>
      </c>
      <c r="Q1126" s="2" t="s">
        <v>25960</v>
      </c>
      <c r="R1126" s="2" t="s">
        <v>13574</v>
      </c>
      <c r="S1126" s="2" t="s">
        <v>44</v>
      </c>
      <c r="T1126" s="2"/>
      <c r="U1126" s="2" t="s">
        <v>821</v>
      </c>
      <c r="V1126" s="2" t="s">
        <v>46</v>
      </c>
      <c r="W1126" s="2" t="s">
        <v>821</v>
      </c>
      <c r="X1126" s="2" t="s">
        <v>10787</v>
      </c>
      <c r="Y1126" s="2" t="s">
        <v>10801</v>
      </c>
      <c r="Z1126" s="2" t="s">
        <v>7864</v>
      </c>
      <c r="AA1126" s="2">
        <v>100</v>
      </c>
      <c r="AB1126" s="2">
        <v>22</v>
      </c>
      <c r="AC1126" s="2" t="s">
        <v>10789</v>
      </c>
      <c r="AD1126" s="2" t="s">
        <v>25961</v>
      </c>
      <c r="AE1126" s="2" t="s">
        <v>18260</v>
      </c>
      <c r="AF1126" s="2"/>
      <c r="AG1126" s="2" t="s">
        <v>18250</v>
      </c>
    </row>
    <row r="1127" spans="1:33" x14ac:dyDescent="0.45">
      <c r="A1127" s="2" t="s">
        <v>25962</v>
      </c>
      <c r="B1127" s="2" t="s">
        <v>25963</v>
      </c>
      <c r="C1127" s="2" t="s">
        <v>25955</v>
      </c>
      <c r="D1127" s="2" t="s">
        <v>25964</v>
      </c>
      <c r="E1127" s="2" t="s">
        <v>25965</v>
      </c>
      <c r="F1127" s="2"/>
      <c r="G1127" s="2"/>
      <c r="H1127" s="2" t="s">
        <v>1248</v>
      </c>
      <c r="I1127" s="2" t="s">
        <v>1137</v>
      </c>
      <c r="J1127" s="2" t="s">
        <v>10406</v>
      </c>
      <c r="K1127" s="2" t="s">
        <v>25964</v>
      </c>
      <c r="L1127" s="2"/>
      <c r="M1127" s="2"/>
      <c r="N1127" s="2"/>
      <c r="O1127" s="2" t="s">
        <v>1248</v>
      </c>
      <c r="P1127" s="2" t="s">
        <v>1137</v>
      </c>
      <c r="Q1127" s="2" t="s">
        <v>10406</v>
      </c>
      <c r="R1127" s="2" t="s">
        <v>9639</v>
      </c>
      <c r="S1127" s="2" t="s">
        <v>44</v>
      </c>
      <c r="T1127" s="2"/>
      <c r="U1127" s="2" t="s">
        <v>3527</v>
      </c>
      <c r="V1127" s="2" t="s">
        <v>46</v>
      </c>
      <c r="W1127" s="2" t="s">
        <v>3527</v>
      </c>
      <c r="X1127" s="2" t="s">
        <v>10787</v>
      </c>
      <c r="Y1127" s="2" t="s">
        <v>10801</v>
      </c>
      <c r="Z1127" s="2" t="s">
        <v>7864</v>
      </c>
      <c r="AA1127" s="2">
        <v>90</v>
      </c>
      <c r="AB1127" s="2">
        <v>5</v>
      </c>
      <c r="AC1127" s="2" t="s">
        <v>10789</v>
      </c>
      <c r="AD1127" s="2" t="s">
        <v>25961</v>
      </c>
      <c r="AE1127" s="2" t="s">
        <v>18260</v>
      </c>
      <c r="AF1127" s="2"/>
      <c r="AG1127" s="2" t="s">
        <v>18250</v>
      </c>
    </row>
    <row r="1128" spans="1:33" x14ac:dyDescent="0.45">
      <c r="A1128" s="2" t="s">
        <v>25966</v>
      </c>
      <c r="B1128" s="2" t="s">
        <v>25967</v>
      </c>
      <c r="C1128" s="2" t="s">
        <v>25968</v>
      </c>
      <c r="D1128" s="2" t="s">
        <v>25969</v>
      </c>
      <c r="E1128" s="2" t="s">
        <v>25970</v>
      </c>
      <c r="F1128" s="2" t="s">
        <v>25971</v>
      </c>
      <c r="G1128" s="2" t="s">
        <v>25971</v>
      </c>
      <c r="H1128" s="2" t="s">
        <v>59</v>
      </c>
      <c r="I1128" s="2" t="s">
        <v>60</v>
      </c>
      <c r="J1128" s="2" t="s">
        <v>5251</v>
      </c>
      <c r="K1128" s="2" t="s">
        <v>25969</v>
      </c>
      <c r="L1128" s="2"/>
      <c r="M1128" s="2"/>
      <c r="N1128" s="2"/>
      <c r="O1128" s="2" t="s">
        <v>59</v>
      </c>
      <c r="P1128" s="2" t="s">
        <v>60</v>
      </c>
      <c r="Q1128" s="2" t="s">
        <v>5251</v>
      </c>
      <c r="R1128" s="2" t="s">
        <v>5913</v>
      </c>
      <c r="S1128" s="2" t="s">
        <v>44</v>
      </c>
      <c r="T1128" s="2"/>
      <c r="U1128" s="2" t="s">
        <v>3527</v>
      </c>
      <c r="V1128" s="2" t="s">
        <v>46</v>
      </c>
      <c r="W1128" s="2" t="s">
        <v>3527</v>
      </c>
      <c r="X1128" s="2" t="s">
        <v>10787</v>
      </c>
      <c r="Y1128" s="2" t="s">
        <v>10801</v>
      </c>
      <c r="Z1128" s="2" t="s">
        <v>7864</v>
      </c>
      <c r="AA1128" s="2">
        <v>100</v>
      </c>
      <c r="AB1128" s="2">
        <v>10</v>
      </c>
      <c r="AC1128" s="2" t="s">
        <v>10789</v>
      </c>
      <c r="AD1128" s="2" t="s">
        <v>25972</v>
      </c>
      <c r="AE1128" s="2" t="s">
        <v>18260</v>
      </c>
      <c r="AF1128" s="2"/>
      <c r="AG1128" s="2" t="s">
        <v>18250</v>
      </c>
    </row>
    <row r="1129" spans="1:33" x14ac:dyDescent="0.45">
      <c r="A1129" s="2" t="s">
        <v>25973</v>
      </c>
      <c r="B1129" s="2" t="s">
        <v>25974</v>
      </c>
      <c r="C1129" s="2" t="s">
        <v>25975</v>
      </c>
      <c r="D1129" s="2" t="s">
        <v>25976</v>
      </c>
      <c r="E1129" s="2" t="s">
        <v>25977</v>
      </c>
      <c r="F1129" s="2"/>
      <c r="G1129" s="2"/>
      <c r="H1129" s="2" t="s">
        <v>59</v>
      </c>
      <c r="I1129" s="2" t="s">
        <v>60</v>
      </c>
      <c r="J1129" s="2" t="s">
        <v>10241</v>
      </c>
      <c r="K1129" s="2" t="s">
        <v>25976</v>
      </c>
      <c r="L1129" s="2"/>
      <c r="M1129" s="2"/>
      <c r="N1129" s="2"/>
      <c r="O1129" s="2" t="s">
        <v>59</v>
      </c>
      <c r="P1129" s="2" t="s">
        <v>60</v>
      </c>
      <c r="Q1129" s="2" t="s">
        <v>10241</v>
      </c>
      <c r="R1129" s="2" t="s">
        <v>6855</v>
      </c>
      <c r="S1129" s="2" t="s">
        <v>44</v>
      </c>
      <c r="T1129" s="2"/>
      <c r="U1129" s="2" t="s">
        <v>3527</v>
      </c>
      <c r="V1129" s="2" t="s">
        <v>46</v>
      </c>
      <c r="W1129" s="2" t="s">
        <v>3527</v>
      </c>
      <c r="X1129" s="2" t="s">
        <v>10787</v>
      </c>
      <c r="Y1129" s="2" t="s">
        <v>10801</v>
      </c>
      <c r="Z1129" s="2" t="s">
        <v>7864</v>
      </c>
      <c r="AA1129" s="2">
        <v>90</v>
      </c>
      <c r="AB1129" s="2">
        <v>0</v>
      </c>
      <c r="AC1129" s="2" t="s">
        <v>10789</v>
      </c>
      <c r="AD1129" s="2" t="s">
        <v>25978</v>
      </c>
      <c r="AE1129" s="2" t="s">
        <v>18260</v>
      </c>
      <c r="AF1129" s="2"/>
      <c r="AG1129" s="2" t="s">
        <v>18250</v>
      </c>
    </row>
    <row r="1130" spans="1:33" x14ac:dyDescent="0.45">
      <c r="A1130" s="2" t="s">
        <v>25979</v>
      </c>
      <c r="B1130" s="2" t="s">
        <v>25980</v>
      </c>
      <c r="C1130" s="2" t="s">
        <v>25981</v>
      </c>
      <c r="D1130" s="2" t="s">
        <v>25982</v>
      </c>
      <c r="E1130" s="2" t="s">
        <v>25983</v>
      </c>
      <c r="F1130" s="2"/>
      <c r="G1130" s="2"/>
      <c r="H1130" s="2" t="s">
        <v>384</v>
      </c>
      <c r="I1130" s="2" t="s">
        <v>73</v>
      </c>
      <c r="J1130" s="2" t="s">
        <v>25984</v>
      </c>
      <c r="K1130" s="2" t="s">
        <v>25985</v>
      </c>
      <c r="L1130" s="2"/>
      <c r="M1130" s="2"/>
      <c r="N1130" s="2"/>
      <c r="O1130" s="2" t="s">
        <v>384</v>
      </c>
      <c r="P1130" s="2" t="s">
        <v>73</v>
      </c>
      <c r="Q1130" s="2" t="s">
        <v>8264</v>
      </c>
      <c r="R1130" s="2" t="s">
        <v>14480</v>
      </c>
      <c r="S1130" s="2" t="s">
        <v>44</v>
      </c>
      <c r="T1130" s="2"/>
      <c r="U1130" s="2" t="s">
        <v>821</v>
      </c>
      <c r="V1130" s="2" t="s">
        <v>46</v>
      </c>
      <c r="W1130" s="2" t="s">
        <v>821</v>
      </c>
      <c r="X1130" s="2" t="s">
        <v>10787</v>
      </c>
      <c r="Y1130" s="2" t="s">
        <v>10801</v>
      </c>
      <c r="Z1130" s="2" t="s">
        <v>7864</v>
      </c>
      <c r="AA1130" s="2">
        <v>90</v>
      </c>
      <c r="AB1130" s="2">
        <v>7</v>
      </c>
      <c r="AC1130" s="2" t="s">
        <v>10789</v>
      </c>
      <c r="AD1130" s="2" t="s">
        <v>25986</v>
      </c>
      <c r="AE1130" s="2" t="s">
        <v>18260</v>
      </c>
      <c r="AF1130" s="2"/>
      <c r="AG1130" s="2" t="s">
        <v>18250</v>
      </c>
    </row>
    <row r="1131" spans="1:33" x14ac:dyDescent="0.45">
      <c r="A1131" s="2" t="s">
        <v>25987</v>
      </c>
      <c r="B1131" s="2" t="s">
        <v>25988</v>
      </c>
      <c r="C1131" s="2" t="s">
        <v>25989</v>
      </c>
      <c r="D1131" s="2" t="s">
        <v>25990</v>
      </c>
      <c r="E1131" s="2" t="s">
        <v>25991</v>
      </c>
      <c r="F1131" s="2"/>
      <c r="G1131" s="2"/>
      <c r="H1131" s="2" t="s">
        <v>536</v>
      </c>
      <c r="I1131" s="2" t="s">
        <v>537</v>
      </c>
      <c r="J1131" s="2" t="s">
        <v>691</v>
      </c>
      <c r="K1131" s="2" t="s">
        <v>25990</v>
      </c>
      <c r="L1131" s="2"/>
      <c r="M1131" s="2"/>
      <c r="N1131" s="2"/>
      <c r="O1131" s="2" t="s">
        <v>536</v>
      </c>
      <c r="P1131" s="2" t="s">
        <v>537</v>
      </c>
      <c r="Q1131" s="2" t="s">
        <v>691</v>
      </c>
      <c r="R1131" s="2" t="s">
        <v>8071</v>
      </c>
      <c r="S1131" s="2" t="s">
        <v>44</v>
      </c>
      <c r="T1131" s="2"/>
      <c r="U1131" s="2" t="s">
        <v>3527</v>
      </c>
      <c r="V1131" s="2" t="s">
        <v>46</v>
      </c>
      <c r="W1131" s="2" t="s">
        <v>3527</v>
      </c>
      <c r="X1131" s="2" t="s">
        <v>10787</v>
      </c>
      <c r="Y1131" s="2" t="s">
        <v>10801</v>
      </c>
      <c r="Z1131" s="2" t="s">
        <v>7864</v>
      </c>
      <c r="AA1131" s="2">
        <v>90</v>
      </c>
      <c r="AB1131" s="2">
        <v>0</v>
      </c>
      <c r="AC1131" s="2" t="s">
        <v>10789</v>
      </c>
      <c r="AD1131" s="2" t="s">
        <v>25992</v>
      </c>
      <c r="AE1131" s="2" t="s">
        <v>18260</v>
      </c>
      <c r="AF1131" s="2"/>
      <c r="AG1131" s="2" t="s">
        <v>18250</v>
      </c>
    </row>
    <row r="1132" spans="1:33" x14ac:dyDescent="0.45">
      <c r="A1132" s="2" t="s">
        <v>25993</v>
      </c>
      <c r="B1132" s="2" t="s">
        <v>25994</v>
      </c>
      <c r="C1132" s="2" t="s">
        <v>25993</v>
      </c>
      <c r="D1132" s="2" t="s">
        <v>25995</v>
      </c>
      <c r="E1132" s="2" t="s">
        <v>25996</v>
      </c>
      <c r="F1132" s="2" t="s">
        <v>25997</v>
      </c>
      <c r="G1132" s="2"/>
      <c r="H1132" s="2" t="s">
        <v>72</v>
      </c>
      <c r="I1132" s="2" t="s">
        <v>73</v>
      </c>
      <c r="J1132" s="2" t="s">
        <v>6837</v>
      </c>
      <c r="K1132" s="2" t="s">
        <v>25995</v>
      </c>
      <c r="L1132" s="2"/>
      <c r="M1132" s="2"/>
      <c r="N1132" s="2"/>
      <c r="O1132" s="2" t="s">
        <v>72</v>
      </c>
      <c r="P1132" s="2" t="s">
        <v>73</v>
      </c>
      <c r="Q1132" s="2" t="s">
        <v>6837</v>
      </c>
      <c r="R1132" s="2" t="s">
        <v>653</v>
      </c>
      <c r="S1132" s="2" t="s">
        <v>44</v>
      </c>
      <c r="T1132" s="2"/>
      <c r="U1132" s="2" t="s">
        <v>3527</v>
      </c>
      <c r="V1132" s="2" t="s">
        <v>46</v>
      </c>
      <c r="W1132" s="2" t="s">
        <v>3527</v>
      </c>
      <c r="X1132" s="2" t="s">
        <v>10787</v>
      </c>
      <c r="Y1132" s="2" t="s">
        <v>10801</v>
      </c>
      <c r="Z1132" s="2" t="s">
        <v>7864</v>
      </c>
      <c r="AA1132" s="2">
        <v>100</v>
      </c>
      <c r="AB1132" s="2">
        <v>10</v>
      </c>
      <c r="AC1132" s="2" t="s">
        <v>10789</v>
      </c>
      <c r="AD1132" s="2" t="s">
        <v>25998</v>
      </c>
      <c r="AE1132" s="2" t="s">
        <v>18260</v>
      </c>
      <c r="AF1132" s="2"/>
      <c r="AG1132" s="2" t="s">
        <v>18250</v>
      </c>
    </row>
    <row r="1133" spans="1:33" x14ac:dyDescent="0.45">
      <c r="A1133" s="2" t="s">
        <v>25999</v>
      </c>
      <c r="B1133" s="2" t="s">
        <v>26000</v>
      </c>
      <c r="C1133" s="2" t="s">
        <v>26001</v>
      </c>
      <c r="D1133" s="2" t="s">
        <v>26002</v>
      </c>
      <c r="E1133" s="2" t="s">
        <v>26003</v>
      </c>
      <c r="F1133" s="2" t="s">
        <v>26004</v>
      </c>
      <c r="G1133" s="2"/>
      <c r="H1133" s="2" t="s">
        <v>72</v>
      </c>
      <c r="I1133" s="2" t="s">
        <v>73</v>
      </c>
      <c r="J1133" s="2" t="s">
        <v>1808</v>
      </c>
      <c r="K1133" s="2"/>
      <c r="L1133" s="2"/>
      <c r="M1133" s="2"/>
      <c r="N1133" s="2"/>
      <c r="O1133" s="2"/>
      <c r="P1133" s="2"/>
      <c r="Q1133" s="2"/>
      <c r="R1133" s="2" t="s">
        <v>963</v>
      </c>
      <c r="S1133" s="2" t="s">
        <v>44</v>
      </c>
      <c r="T1133" s="2"/>
      <c r="U1133" s="2" t="s">
        <v>3527</v>
      </c>
      <c r="V1133" s="2" t="s">
        <v>46</v>
      </c>
      <c r="W1133" s="2" t="s">
        <v>3527</v>
      </c>
      <c r="X1133" s="2" t="s">
        <v>10787</v>
      </c>
      <c r="Y1133" s="2" t="s">
        <v>10801</v>
      </c>
      <c r="Z1133" s="2" t="s">
        <v>7864</v>
      </c>
      <c r="AA1133" s="2">
        <v>100</v>
      </c>
      <c r="AB1133" s="2">
        <v>10</v>
      </c>
      <c r="AC1133" s="2" t="s">
        <v>10789</v>
      </c>
      <c r="AD1133" s="2" t="s">
        <v>26005</v>
      </c>
      <c r="AE1133" s="2" t="s">
        <v>18260</v>
      </c>
      <c r="AF1133" s="2"/>
      <c r="AG1133" s="2" t="s">
        <v>18250</v>
      </c>
    </row>
    <row r="1134" spans="1:33" x14ac:dyDescent="0.45">
      <c r="A1134" s="2" t="s">
        <v>26006</v>
      </c>
      <c r="B1134" s="2" t="s">
        <v>26007</v>
      </c>
      <c r="C1134" s="2" t="s">
        <v>26006</v>
      </c>
      <c r="D1134" s="2" t="s">
        <v>26008</v>
      </c>
      <c r="E1134" s="2" t="s">
        <v>26009</v>
      </c>
      <c r="F1134" s="2"/>
      <c r="G1134" s="2"/>
      <c r="H1134" s="2" t="s">
        <v>8544</v>
      </c>
      <c r="I1134" s="2" t="s">
        <v>73</v>
      </c>
      <c r="J1134" s="2" t="s">
        <v>8545</v>
      </c>
      <c r="K1134" s="2" t="s">
        <v>26008</v>
      </c>
      <c r="L1134" s="2"/>
      <c r="M1134" s="2"/>
      <c r="N1134" s="2"/>
      <c r="O1134" s="2" t="s">
        <v>8544</v>
      </c>
      <c r="P1134" s="2" t="s">
        <v>73</v>
      </c>
      <c r="Q1134" s="2" t="s">
        <v>8545</v>
      </c>
      <c r="R1134" s="2" t="s">
        <v>281</v>
      </c>
      <c r="S1134" s="2" t="s">
        <v>44</v>
      </c>
      <c r="T1134" s="2"/>
      <c r="U1134" s="2" t="s">
        <v>821</v>
      </c>
      <c r="V1134" s="2" t="s">
        <v>46</v>
      </c>
      <c r="W1134" s="2" t="s">
        <v>821</v>
      </c>
      <c r="X1134" s="2" t="s">
        <v>10787</v>
      </c>
      <c r="Y1134" s="2" t="s">
        <v>10801</v>
      </c>
      <c r="Z1134" s="2" t="s">
        <v>7864</v>
      </c>
      <c r="AA1134" s="2">
        <v>90</v>
      </c>
      <c r="AB1134" s="2">
        <v>2</v>
      </c>
      <c r="AC1134" s="2" t="s">
        <v>10789</v>
      </c>
      <c r="AD1134" s="2" t="s">
        <v>26010</v>
      </c>
      <c r="AE1134" s="2" t="s">
        <v>18260</v>
      </c>
      <c r="AF1134" s="2"/>
      <c r="AG1134" s="2" t="s">
        <v>18250</v>
      </c>
    </row>
    <row r="1135" spans="1:33" x14ac:dyDescent="0.45">
      <c r="A1135" s="2" t="s">
        <v>26011</v>
      </c>
      <c r="B1135" s="2" t="s">
        <v>26012</v>
      </c>
      <c r="C1135" s="2" t="s">
        <v>26011</v>
      </c>
      <c r="D1135" s="2" t="s">
        <v>26013</v>
      </c>
      <c r="E1135" s="2" t="s">
        <v>26014</v>
      </c>
      <c r="F1135" s="2" t="s">
        <v>26015</v>
      </c>
      <c r="G1135" s="2" t="s">
        <v>26015</v>
      </c>
      <c r="H1135" s="2" t="s">
        <v>85</v>
      </c>
      <c r="I1135" s="2" t="s">
        <v>86</v>
      </c>
      <c r="J1135" s="2" t="s">
        <v>15516</v>
      </c>
      <c r="K1135" s="2" t="s">
        <v>26013</v>
      </c>
      <c r="L1135" s="2"/>
      <c r="M1135" s="2"/>
      <c r="N1135" s="2"/>
      <c r="O1135" s="2" t="s">
        <v>85</v>
      </c>
      <c r="P1135" s="2" t="s">
        <v>86</v>
      </c>
      <c r="Q1135" s="2" t="s">
        <v>15516</v>
      </c>
      <c r="R1135" s="2" t="s">
        <v>3458</v>
      </c>
      <c r="S1135" s="2" t="s">
        <v>44</v>
      </c>
      <c r="T1135" s="2"/>
      <c r="U1135" s="2" t="s">
        <v>3527</v>
      </c>
      <c r="V1135" s="2" t="s">
        <v>46</v>
      </c>
      <c r="W1135" s="2" t="s">
        <v>3527</v>
      </c>
      <c r="X1135" s="2" t="s">
        <v>10787</v>
      </c>
      <c r="Y1135" s="2" t="s">
        <v>10801</v>
      </c>
      <c r="Z1135" s="2" t="s">
        <v>7864</v>
      </c>
      <c r="AA1135" s="2">
        <v>100</v>
      </c>
      <c r="AB1135" s="2">
        <v>10</v>
      </c>
      <c r="AC1135" s="2" t="s">
        <v>10789</v>
      </c>
      <c r="AD1135" s="2" t="s">
        <v>26016</v>
      </c>
      <c r="AE1135" s="2" t="s">
        <v>18260</v>
      </c>
      <c r="AF1135" s="2"/>
      <c r="AG1135" s="2" t="s">
        <v>18250</v>
      </c>
    </row>
    <row r="1136" spans="1:33" x14ac:dyDescent="0.45">
      <c r="A1136" s="2" t="s">
        <v>26017</v>
      </c>
      <c r="B1136" s="2" t="s">
        <v>26018</v>
      </c>
      <c r="C1136" s="2" t="s">
        <v>26017</v>
      </c>
      <c r="D1136" s="2" t="s">
        <v>26019</v>
      </c>
      <c r="E1136" s="2" t="s">
        <v>26020</v>
      </c>
      <c r="F1136" s="2" t="s">
        <v>3562</v>
      </c>
      <c r="G1136" s="2" t="s">
        <v>3562</v>
      </c>
      <c r="H1136" s="2" t="s">
        <v>312</v>
      </c>
      <c r="I1136" s="2" t="s">
        <v>313</v>
      </c>
      <c r="J1136" s="2" t="s">
        <v>26021</v>
      </c>
      <c r="K1136" s="2" t="s">
        <v>26019</v>
      </c>
      <c r="L1136" s="2"/>
      <c r="M1136" s="2"/>
      <c r="N1136" s="2"/>
      <c r="O1136" s="2" t="s">
        <v>312</v>
      </c>
      <c r="P1136" s="2" t="s">
        <v>313</v>
      </c>
      <c r="Q1136" s="2" t="s">
        <v>26021</v>
      </c>
      <c r="R1136" s="2" t="s">
        <v>13150</v>
      </c>
      <c r="S1136" s="2" t="s">
        <v>44</v>
      </c>
      <c r="T1136" s="2"/>
      <c r="U1136" s="2" t="s">
        <v>3527</v>
      </c>
      <c r="V1136" s="2" t="s">
        <v>46</v>
      </c>
      <c r="W1136" s="2" t="s">
        <v>3527</v>
      </c>
      <c r="X1136" s="2" t="s">
        <v>10787</v>
      </c>
      <c r="Y1136" s="2" t="s">
        <v>10801</v>
      </c>
      <c r="Z1136" s="2" t="s">
        <v>7864</v>
      </c>
      <c r="AA1136" s="2">
        <v>100</v>
      </c>
      <c r="AB1136" s="2">
        <v>10</v>
      </c>
      <c r="AC1136" s="2" t="s">
        <v>10789</v>
      </c>
      <c r="AD1136" s="2" t="s">
        <v>26022</v>
      </c>
      <c r="AE1136" s="2" t="s">
        <v>18260</v>
      </c>
      <c r="AF1136" s="2"/>
      <c r="AG1136" s="2" t="s">
        <v>18250</v>
      </c>
    </row>
    <row r="1137" spans="1:33" x14ac:dyDescent="0.45">
      <c r="A1137" s="2" t="s">
        <v>26023</v>
      </c>
      <c r="B1137" s="2" t="s">
        <v>26024</v>
      </c>
      <c r="C1137" s="2" t="s">
        <v>26023</v>
      </c>
      <c r="D1137" s="2" t="s">
        <v>26025</v>
      </c>
      <c r="E1137" s="2" t="s">
        <v>26026</v>
      </c>
      <c r="F1137" s="2"/>
      <c r="G1137" s="2"/>
      <c r="H1137" s="2" t="s">
        <v>85</v>
      </c>
      <c r="I1137" s="2" t="s">
        <v>86</v>
      </c>
      <c r="J1137" s="2" t="s">
        <v>26027</v>
      </c>
      <c r="K1137" s="2" t="s">
        <v>26025</v>
      </c>
      <c r="L1137" s="2"/>
      <c r="M1137" s="2"/>
      <c r="N1137" s="2"/>
      <c r="O1137" s="2" t="s">
        <v>85</v>
      </c>
      <c r="P1137" s="2" t="s">
        <v>86</v>
      </c>
      <c r="Q1137" s="2" t="s">
        <v>26027</v>
      </c>
      <c r="R1137" s="2" t="s">
        <v>1347</v>
      </c>
      <c r="S1137" s="2" t="s">
        <v>44</v>
      </c>
      <c r="T1137" s="2"/>
      <c r="U1137" s="2" t="s">
        <v>3527</v>
      </c>
      <c r="V1137" s="2" t="s">
        <v>46</v>
      </c>
      <c r="W1137" s="2" t="s">
        <v>3527</v>
      </c>
      <c r="X1137" s="2" t="s">
        <v>12462</v>
      </c>
      <c r="Y1137" s="2" t="s">
        <v>10801</v>
      </c>
      <c r="Z1137" s="2" t="s">
        <v>7864</v>
      </c>
      <c r="AA1137" s="2">
        <v>90</v>
      </c>
      <c r="AB1137" s="2">
        <v>0</v>
      </c>
      <c r="AC1137" s="2" t="s">
        <v>10789</v>
      </c>
      <c r="AD1137" s="2" t="s">
        <v>26028</v>
      </c>
      <c r="AE1137" s="2" t="s">
        <v>18260</v>
      </c>
      <c r="AF1137" s="2"/>
      <c r="AG1137" s="2" t="s">
        <v>18250</v>
      </c>
    </row>
    <row r="1138" spans="1:33" x14ac:dyDescent="0.45">
      <c r="A1138" s="2" t="s">
        <v>26029</v>
      </c>
      <c r="B1138" s="2" t="s">
        <v>26030</v>
      </c>
      <c r="C1138" s="2" t="s">
        <v>26031</v>
      </c>
      <c r="D1138" s="2" t="s">
        <v>26032</v>
      </c>
      <c r="E1138" s="2" t="s">
        <v>26033</v>
      </c>
      <c r="F1138" s="2" t="s">
        <v>26034</v>
      </c>
      <c r="G1138" s="2" t="s">
        <v>26034</v>
      </c>
      <c r="H1138" s="2" t="s">
        <v>1161</v>
      </c>
      <c r="I1138" s="2" t="s">
        <v>221</v>
      </c>
      <c r="J1138" s="2" t="s">
        <v>26035</v>
      </c>
      <c r="K1138" s="2"/>
      <c r="L1138" s="2"/>
      <c r="M1138" s="2"/>
      <c r="N1138" s="2"/>
      <c r="O1138" s="2"/>
      <c r="P1138" s="2"/>
      <c r="Q1138" s="2"/>
      <c r="R1138" s="2" t="s">
        <v>9528</v>
      </c>
      <c r="S1138" s="2" t="s">
        <v>44</v>
      </c>
      <c r="T1138" s="2"/>
      <c r="U1138" s="2" t="s">
        <v>3527</v>
      </c>
      <c r="V1138" s="2" t="s">
        <v>46</v>
      </c>
      <c r="W1138" s="2" t="s">
        <v>3527</v>
      </c>
      <c r="X1138" s="2" t="s">
        <v>10787</v>
      </c>
      <c r="Y1138" s="2" t="s">
        <v>10801</v>
      </c>
      <c r="Z1138" s="2" t="s">
        <v>7864</v>
      </c>
      <c r="AA1138" s="2">
        <v>100</v>
      </c>
      <c r="AB1138" s="2">
        <v>5</v>
      </c>
      <c r="AC1138" s="2" t="s">
        <v>10789</v>
      </c>
      <c r="AD1138" s="2" t="s">
        <v>26036</v>
      </c>
      <c r="AE1138" s="2" t="s">
        <v>18260</v>
      </c>
      <c r="AF1138" s="2"/>
      <c r="AG1138" s="2" t="s">
        <v>18250</v>
      </c>
    </row>
    <row r="1139" spans="1:33" x14ac:dyDescent="0.45">
      <c r="A1139" s="2" t="s">
        <v>26037</v>
      </c>
      <c r="B1139" s="2" t="s">
        <v>26038</v>
      </c>
      <c r="C1139" s="2" t="s">
        <v>12303</v>
      </c>
      <c r="D1139" s="2" t="s">
        <v>26039</v>
      </c>
      <c r="E1139" s="2" t="s">
        <v>26040</v>
      </c>
      <c r="F1139" s="2" t="s">
        <v>26041</v>
      </c>
      <c r="G1139" s="2"/>
      <c r="H1139" s="2" t="s">
        <v>651</v>
      </c>
      <c r="I1139" s="2" t="s">
        <v>86</v>
      </c>
      <c r="J1139" s="2" t="s">
        <v>4731</v>
      </c>
      <c r="K1139" s="2"/>
      <c r="L1139" s="2"/>
      <c r="M1139" s="2"/>
      <c r="N1139" s="2"/>
      <c r="O1139" s="2"/>
      <c r="P1139" s="2"/>
      <c r="Q1139" s="2"/>
      <c r="R1139" s="2" t="s">
        <v>14840</v>
      </c>
      <c r="S1139" s="2" t="s">
        <v>44</v>
      </c>
      <c r="T1139" s="2"/>
      <c r="U1139" s="2" t="s">
        <v>3527</v>
      </c>
      <c r="V1139" s="2" t="s">
        <v>46</v>
      </c>
      <c r="W1139" s="2" t="s">
        <v>3527</v>
      </c>
      <c r="X1139" s="2" t="s">
        <v>10787</v>
      </c>
      <c r="Y1139" s="2" t="s">
        <v>10801</v>
      </c>
      <c r="Z1139" s="2" t="s">
        <v>7864</v>
      </c>
      <c r="AA1139" s="2">
        <v>100</v>
      </c>
      <c r="AB1139" s="2">
        <v>20</v>
      </c>
      <c r="AC1139" s="2" t="s">
        <v>10789</v>
      </c>
      <c r="AD1139" s="2" t="s">
        <v>25827</v>
      </c>
      <c r="AE1139" s="2" t="s">
        <v>18260</v>
      </c>
      <c r="AF1139" s="2"/>
      <c r="AG1139" s="2" t="s">
        <v>18250</v>
      </c>
    </row>
    <row r="1140" spans="1:33" x14ac:dyDescent="0.45">
      <c r="A1140" s="2" t="s">
        <v>26042</v>
      </c>
      <c r="B1140" s="2" t="s">
        <v>26043</v>
      </c>
      <c r="C1140" s="2" t="s">
        <v>26042</v>
      </c>
      <c r="D1140" s="2" t="s">
        <v>26044</v>
      </c>
      <c r="E1140" s="2" t="s">
        <v>26045</v>
      </c>
      <c r="F1140" s="2"/>
      <c r="G1140" s="2"/>
      <c r="H1140" s="2" t="s">
        <v>26046</v>
      </c>
      <c r="I1140" s="2" t="s">
        <v>73</v>
      </c>
      <c r="J1140" s="2" t="s">
        <v>26047</v>
      </c>
      <c r="K1140" s="2" t="s">
        <v>26044</v>
      </c>
      <c r="L1140" s="2"/>
      <c r="M1140" s="2"/>
      <c r="N1140" s="2"/>
      <c r="O1140" s="2" t="s">
        <v>26046</v>
      </c>
      <c r="P1140" s="2" t="s">
        <v>73</v>
      </c>
      <c r="Q1140" s="2" t="s">
        <v>26047</v>
      </c>
      <c r="R1140" s="2" t="s">
        <v>13448</v>
      </c>
      <c r="S1140" s="2" t="s">
        <v>44</v>
      </c>
      <c r="T1140" s="2"/>
      <c r="U1140" s="2" t="s">
        <v>3527</v>
      </c>
      <c r="V1140" s="2" t="s">
        <v>46</v>
      </c>
      <c r="W1140" s="2" t="s">
        <v>3527</v>
      </c>
      <c r="X1140" s="2" t="s">
        <v>10787</v>
      </c>
      <c r="Y1140" s="2" t="s">
        <v>10801</v>
      </c>
      <c r="Z1140" s="2" t="s">
        <v>7864</v>
      </c>
      <c r="AA1140" s="2">
        <v>90</v>
      </c>
      <c r="AB1140" s="2">
        <v>0</v>
      </c>
      <c r="AC1140" s="2" t="s">
        <v>10789</v>
      </c>
      <c r="AD1140" s="2" t="s">
        <v>26048</v>
      </c>
      <c r="AE1140" s="2" t="s">
        <v>18260</v>
      </c>
      <c r="AF1140" s="2"/>
      <c r="AG1140" s="2" t="s">
        <v>18250</v>
      </c>
    </row>
    <row r="1141" spans="1:33" x14ac:dyDescent="0.45">
      <c r="A1141" s="2" t="s">
        <v>26049</v>
      </c>
      <c r="B1141" s="2" t="s">
        <v>26050</v>
      </c>
      <c r="C1141" s="2" t="s">
        <v>26049</v>
      </c>
      <c r="D1141" s="2" t="s">
        <v>26051</v>
      </c>
      <c r="E1141" s="2" t="s">
        <v>26052</v>
      </c>
      <c r="F1141" s="2"/>
      <c r="G1141" s="2"/>
      <c r="H1141" s="2" t="s">
        <v>22892</v>
      </c>
      <c r="I1141" s="2" t="s">
        <v>217</v>
      </c>
      <c r="J1141" s="2" t="s">
        <v>26053</v>
      </c>
      <c r="K1141" s="2" t="s">
        <v>26054</v>
      </c>
      <c r="L1141" s="2"/>
      <c r="M1141" s="2"/>
      <c r="N1141" s="2"/>
      <c r="O1141" s="2" t="s">
        <v>22892</v>
      </c>
      <c r="P1141" s="2" t="s">
        <v>217</v>
      </c>
      <c r="Q1141" s="2" t="s">
        <v>26053</v>
      </c>
      <c r="R1141" s="2" t="s">
        <v>11406</v>
      </c>
      <c r="S1141" s="2" t="s">
        <v>44</v>
      </c>
      <c r="T1141" s="2"/>
      <c r="U1141" s="2" t="s">
        <v>3527</v>
      </c>
      <c r="V1141" s="2" t="s">
        <v>46</v>
      </c>
      <c r="W1141" s="2" t="s">
        <v>3527</v>
      </c>
      <c r="X1141" s="2" t="s">
        <v>10787</v>
      </c>
      <c r="Y1141" s="2" t="s">
        <v>10801</v>
      </c>
      <c r="Z1141" s="2" t="s">
        <v>7864</v>
      </c>
      <c r="AA1141" s="2">
        <v>90</v>
      </c>
      <c r="AB1141" s="2">
        <v>0</v>
      </c>
      <c r="AC1141" s="2" t="s">
        <v>10789</v>
      </c>
      <c r="AD1141" s="2" t="s">
        <v>26055</v>
      </c>
      <c r="AE1141" s="2" t="s">
        <v>18260</v>
      </c>
      <c r="AF1141" s="2"/>
      <c r="AG1141" s="2" t="s">
        <v>18250</v>
      </c>
    </row>
    <row r="1142" spans="1:33" x14ac:dyDescent="0.45">
      <c r="A1142" s="2" t="s">
        <v>26056</v>
      </c>
      <c r="B1142" s="2" t="s">
        <v>26057</v>
      </c>
      <c r="C1142" s="2" t="s">
        <v>26056</v>
      </c>
      <c r="D1142" s="2" t="s">
        <v>26058</v>
      </c>
      <c r="E1142" s="2" t="s">
        <v>26059</v>
      </c>
      <c r="F1142" s="2" t="s">
        <v>26060</v>
      </c>
      <c r="G1142" s="2" t="s">
        <v>26060</v>
      </c>
      <c r="H1142" s="2" t="s">
        <v>312</v>
      </c>
      <c r="I1142" s="2" t="s">
        <v>313</v>
      </c>
      <c r="J1142" s="2" t="s">
        <v>22134</v>
      </c>
      <c r="K1142" s="2" t="s">
        <v>26058</v>
      </c>
      <c r="L1142" s="2"/>
      <c r="M1142" s="2"/>
      <c r="N1142" s="2"/>
      <c r="O1142" s="2" t="s">
        <v>312</v>
      </c>
      <c r="P1142" s="2" t="s">
        <v>313</v>
      </c>
      <c r="Q1142" s="2" t="s">
        <v>22134</v>
      </c>
      <c r="R1142" s="2" t="s">
        <v>801</v>
      </c>
      <c r="S1142" s="2" t="s">
        <v>44</v>
      </c>
      <c r="T1142" s="2"/>
      <c r="U1142" s="2" t="s">
        <v>3527</v>
      </c>
      <c r="V1142" s="2" t="s">
        <v>46</v>
      </c>
      <c r="W1142" s="2" t="s">
        <v>3527</v>
      </c>
      <c r="X1142" s="2" t="s">
        <v>10787</v>
      </c>
      <c r="Y1142" s="2" t="s">
        <v>10801</v>
      </c>
      <c r="Z1142" s="2" t="s">
        <v>7864</v>
      </c>
      <c r="AA1142" s="2">
        <v>100</v>
      </c>
      <c r="AB1142" s="2">
        <v>10</v>
      </c>
      <c r="AC1142" s="2" t="s">
        <v>10789</v>
      </c>
      <c r="AD1142" s="2" t="s">
        <v>26061</v>
      </c>
      <c r="AE1142" s="2" t="s">
        <v>18260</v>
      </c>
      <c r="AF1142" s="2"/>
      <c r="AG1142" s="2" t="s">
        <v>18250</v>
      </c>
    </row>
    <row r="1143" spans="1:33" x14ac:dyDescent="0.45">
      <c r="A1143" s="2" t="s">
        <v>26062</v>
      </c>
      <c r="B1143" s="2" t="s">
        <v>26063</v>
      </c>
      <c r="C1143" s="2" t="s">
        <v>12303</v>
      </c>
      <c r="D1143" s="2" t="s">
        <v>26064</v>
      </c>
      <c r="E1143" s="2" t="s">
        <v>26040</v>
      </c>
      <c r="F1143" s="2" t="s">
        <v>26065</v>
      </c>
      <c r="G1143" s="2" t="s">
        <v>26065</v>
      </c>
      <c r="H1143" s="2" t="s">
        <v>651</v>
      </c>
      <c r="I1143" s="2" t="s">
        <v>86</v>
      </c>
      <c r="J1143" s="2" t="s">
        <v>4731</v>
      </c>
      <c r="K1143" s="2" t="s">
        <v>26064</v>
      </c>
      <c r="L1143" s="2"/>
      <c r="M1143" s="2"/>
      <c r="N1143" s="2"/>
      <c r="O1143" s="2" t="s">
        <v>651</v>
      </c>
      <c r="P1143" s="2" t="s">
        <v>86</v>
      </c>
      <c r="Q1143" s="2" t="s">
        <v>4731</v>
      </c>
      <c r="R1143" s="2" t="s">
        <v>26066</v>
      </c>
      <c r="S1143" s="2" t="s">
        <v>44</v>
      </c>
      <c r="T1143" s="2"/>
      <c r="U1143" s="2" t="s">
        <v>821</v>
      </c>
      <c r="V1143" s="2" t="s">
        <v>46</v>
      </c>
      <c r="W1143" s="2" t="s">
        <v>821</v>
      </c>
      <c r="X1143" s="2" t="s">
        <v>10787</v>
      </c>
      <c r="Y1143" s="2" t="s">
        <v>10801</v>
      </c>
      <c r="Z1143" s="2" t="s">
        <v>7864</v>
      </c>
      <c r="AA1143" s="2">
        <v>100</v>
      </c>
      <c r="AB1143" s="2">
        <v>27</v>
      </c>
      <c r="AC1143" s="2" t="s">
        <v>10789</v>
      </c>
      <c r="AD1143" s="2" t="s">
        <v>25827</v>
      </c>
      <c r="AE1143" s="2" t="s">
        <v>18260</v>
      </c>
      <c r="AF1143" s="2"/>
      <c r="AG1143" s="2" t="s">
        <v>18250</v>
      </c>
    </row>
    <row r="1144" spans="1:33" x14ac:dyDescent="0.45">
      <c r="A1144" s="2" t="s">
        <v>26067</v>
      </c>
      <c r="B1144" s="2" t="s">
        <v>26068</v>
      </c>
      <c r="C1144" s="2" t="s">
        <v>26067</v>
      </c>
      <c r="D1144" s="2" t="s">
        <v>26069</v>
      </c>
      <c r="E1144" s="2" t="s">
        <v>26070</v>
      </c>
      <c r="F1144" s="2" t="s">
        <v>26071</v>
      </c>
      <c r="G1144" s="2" t="s">
        <v>26071</v>
      </c>
      <c r="H1144" s="2" t="s">
        <v>59</v>
      </c>
      <c r="I1144" s="2" t="s">
        <v>60</v>
      </c>
      <c r="J1144" s="2" t="s">
        <v>4251</v>
      </c>
      <c r="K1144" s="2" t="s">
        <v>26072</v>
      </c>
      <c r="L1144" s="2"/>
      <c r="M1144" s="2"/>
      <c r="N1144" s="2"/>
      <c r="O1144" s="2" t="s">
        <v>59</v>
      </c>
      <c r="P1144" s="2" t="s">
        <v>60</v>
      </c>
      <c r="Q1144" s="2" t="s">
        <v>4251</v>
      </c>
      <c r="R1144" s="2" t="s">
        <v>5356</v>
      </c>
      <c r="S1144" s="2" t="s">
        <v>44</v>
      </c>
      <c r="T1144" s="2"/>
      <c r="U1144" s="2" t="s">
        <v>821</v>
      </c>
      <c r="V1144" s="2" t="s">
        <v>46</v>
      </c>
      <c r="W1144" s="2" t="s">
        <v>821</v>
      </c>
      <c r="X1144" s="2" t="s">
        <v>11225</v>
      </c>
      <c r="Y1144" s="2" t="s">
        <v>10801</v>
      </c>
      <c r="Z1144" s="2" t="s">
        <v>7864</v>
      </c>
      <c r="AA1144" s="2">
        <v>100</v>
      </c>
      <c r="AB1144" s="2">
        <v>17</v>
      </c>
      <c r="AC1144" s="2" t="s">
        <v>10789</v>
      </c>
      <c r="AD1144" s="2" t="s">
        <v>26073</v>
      </c>
      <c r="AE1144" s="2" t="s">
        <v>18260</v>
      </c>
      <c r="AF1144" s="2"/>
      <c r="AG1144" s="2" t="s">
        <v>18250</v>
      </c>
    </row>
    <row r="1145" spans="1:33" x14ac:dyDescent="0.45">
      <c r="A1145" s="2" t="s">
        <v>26074</v>
      </c>
      <c r="B1145" s="2" t="s">
        <v>26075</v>
      </c>
      <c r="C1145" s="2" t="s">
        <v>26074</v>
      </c>
      <c r="D1145" s="2" t="s">
        <v>26076</v>
      </c>
      <c r="E1145" s="2" t="s">
        <v>26077</v>
      </c>
      <c r="F1145" s="2" t="s">
        <v>26078</v>
      </c>
      <c r="G1145" s="2"/>
      <c r="H1145" s="2" t="s">
        <v>312</v>
      </c>
      <c r="I1145" s="2" t="s">
        <v>313</v>
      </c>
      <c r="J1145" s="2" t="s">
        <v>314</v>
      </c>
      <c r="K1145" s="2" t="s">
        <v>26076</v>
      </c>
      <c r="L1145" s="2"/>
      <c r="M1145" s="2"/>
      <c r="N1145" s="2"/>
      <c r="O1145" s="2" t="s">
        <v>312</v>
      </c>
      <c r="P1145" s="2" t="s">
        <v>313</v>
      </c>
      <c r="Q1145" s="2" t="s">
        <v>314</v>
      </c>
      <c r="R1145" s="2" t="s">
        <v>5913</v>
      </c>
      <c r="S1145" s="2" t="s">
        <v>44</v>
      </c>
      <c r="T1145" s="2"/>
      <c r="U1145" s="2" t="s">
        <v>3527</v>
      </c>
      <c r="V1145" s="2" t="s">
        <v>46</v>
      </c>
      <c r="W1145" s="2" t="s">
        <v>3527</v>
      </c>
      <c r="X1145" s="2" t="s">
        <v>10787</v>
      </c>
      <c r="Y1145" s="2" t="s">
        <v>10801</v>
      </c>
      <c r="Z1145" s="2" t="s">
        <v>7864</v>
      </c>
      <c r="AA1145" s="2">
        <v>100</v>
      </c>
      <c r="AB1145" s="2">
        <v>10</v>
      </c>
      <c r="AC1145" s="2" t="s">
        <v>10789</v>
      </c>
      <c r="AD1145" s="2" t="s">
        <v>26079</v>
      </c>
      <c r="AE1145" s="2" t="s">
        <v>18260</v>
      </c>
      <c r="AF1145" s="2"/>
      <c r="AG1145" s="2" t="s">
        <v>18250</v>
      </c>
    </row>
    <row r="1146" spans="1:33" x14ac:dyDescent="0.45">
      <c r="A1146" s="2" t="s">
        <v>26080</v>
      </c>
      <c r="B1146" s="2" t="s">
        <v>26081</v>
      </c>
      <c r="C1146" s="2" t="s">
        <v>26082</v>
      </c>
      <c r="D1146" s="2" t="s">
        <v>26083</v>
      </c>
      <c r="E1146" s="2" t="s">
        <v>26084</v>
      </c>
      <c r="F1146" s="2" t="s">
        <v>26085</v>
      </c>
      <c r="G1146" s="2" t="s">
        <v>26085</v>
      </c>
      <c r="H1146" s="2" t="s">
        <v>8475</v>
      </c>
      <c r="I1146" s="2" t="s">
        <v>221</v>
      </c>
      <c r="J1146" s="2" t="s">
        <v>8476</v>
      </c>
      <c r="K1146" s="2" t="s">
        <v>26083</v>
      </c>
      <c r="L1146" s="2"/>
      <c r="M1146" s="2"/>
      <c r="N1146" s="2"/>
      <c r="O1146" s="2" t="s">
        <v>8475</v>
      </c>
      <c r="P1146" s="2" t="s">
        <v>221</v>
      </c>
      <c r="Q1146" s="2" t="s">
        <v>8476</v>
      </c>
      <c r="R1146" s="2" t="s">
        <v>3199</v>
      </c>
      <c r="S1146" s="2" t="s">
        <v>44</v>
      </c>
      <c r="T1146" s="2"/>
      <c r="U1146" s="2" t="s">
        <v>821</v>
      </c>
      <c r="V1146" s="2" t="s">
        <v>46</v>
      </c>
      <c r="W1146" s="2" t="s">
        <v>821</v>
      </c>
      <c r="X1146" s="2" t="s">
        <v>10787</v>
      </c>
      <c r="Y1146" s="2" t="s">
        <v>10801</v>
      </c>
      <c r="Z1146" s="2" t="s">
        <v>7864</v>
      </c>
      <c r="AA1146" s="2">
        <v>100</v>
      </c>
      <c r="AB1146" s="2">
        <v>12</v>
      </c>
      <c r="AC1146" s="2" t="s">
        <v>10789</v>
      </c>
      <c r="AD1146" s="2" t="s">
        <v>26086</v>
      </c>
      <c r="AE1146" s="2" t="s">
        <v>18260</v>
      </c>
      <c r="AF1146" s="2"/>
      <c r="AG1146" s="2" t="s">
        <v>18250</v>
      </c>
    </row>
    <row r="1147" spans="1:33" x14ac:dyDescent="0.45">
      <c r="A1147" s="2" t="s">
        <v>26087</v>
      </c>
      <c r="B1147" s="2" t="s">
        <v>26088</v>
      </c>
      <c r="C1147" s="2" t="s">
        <v>26087</v>
      </c>
      <c r="D1147" s="2" t="s">
        <v>26089</v>
      </c>
      <c r="E1147" s="2" t="s">
        <v>26090</v>
      </c>
      <c r="F1147" s="2" t="s">
        <v>26091</v>
      </c>
      <c r="G1147" s="2"/>
      <c r="H1147" s="2" t="s">
        <v>5821</v>
      </c>
      <c r="I1147" s="2" t="s">
        <v>278</v>
      </c>
      <c r="J1147" s="2" t="s">
        <v>26092</v>
      </c>
      <c r="K1147" s="2" t="s">
        <v>26093</v>
      </c>
      <c r="L1147" s="2"/>
      <c r="M1147" s="2"/>
      <c r="N1147" s="2"/>
      <c r="O1147" s="2" t="s">
        <v>5821</v>
      </c>
      <c r="P1147" s="2" t="s">
        <v>278</v>
      </c>
      <c r="Q1147" s="2" t="s">
        <v>16943</v>
      </c>
      <c r="R1147" s="2" t="s">
        <v>3226</v>
      </c>
      <c r="S1147" s="2" t="s">
        <v>44</v>
      </c>
      <c r="T1147" s="2"/>
      <c r="U1147" s="2" t="s">
        <v>3527</v>
      </c>
      <c r="V1147" s="2" t="s">
        <v>46</v>
      </c>
      <c r="W1147" s="2" t="s">
        <v>3527</v>
      </c>
      <c r="X1147" s="2" t="s">
        <v>10787</v>
      </c>
      <c r="Y1147" s="2" t="s">
        <v>10801</v>
      </c>
      <c r="Z1147" s="2" t="s">
        <v>7864</v>
      </c>
      <c r="AA1147" s="2">
        <v>100</v>
      </c>
      <c r="AB1147" s="2">
        <v>5</v>
      </c>
      <c r="AC1147" s="2" t="s">
        <v>10789</v>
      </c>
      <c r="AD1147" s="2" t="s">
        <v>26094</v>
      </c>
      <c r="AE1147" s="2" t="s">
        <v>18260</v>
      </c>
      <c r="AF1147" s="2"/>
      <c r="AG1147" s="2" t="s">
        <v>18250</v>
      </c>
    </row>
    <row r="1148" spans="1:33" x14ac:dyDescent="0.45">
      <c r="A1148" s="2" t="s">
        <v>26095</v>
      </c>
      <c r="B1148" s="2" t="s">
        <v>26096</v>
      </c>
      <c r="C1148" s="2" t="s">
        <v>15789</v>
      </c>
      <c r="D1148" s="2" t="s">
        <v>26097</v>
      </c>
      <c r="E1148" s="2" t="s">
        <v>26098</v>
      </c>
      <c r="F1148" s="2" t="s">
        <v>26099</v>
      </c>
      <c r="G1148" s="2"/>
      <c r="H1148" s="2" t="s">
        <v>384</v>
      </c>
      <c r="I1148" s="2" t="s">
        <v>73</v>
      </c>
      <c r="J1148" s="2" t="s">
        <v>4885</v>
      </c>
      <c r="K1148" s="2" t="s">
        <v>26097</v>
      </c>
      <c r="L1148" s="2"/>
      <c r="M1148" s="2"/>
      <c r="N1148" s="2"/>
      <c r="O1148" s="2" t="s">
        <v>384</v>
      </c>
      <c r="P1148" s="2" t="s">
        <v>73</v>
      </c>
      <c r="Q1148" s="2" t="s">
        <v>4885</v>
      </c>
      <c r="R1148" s="2" t="s">
        <v>8745</v>
      </c>
      <c r="S1148" s="2" t="s">
        <v>44</v>
      </c>
      <c r="T1148" s="2"/>
      <c r="U1148" s="2" t="s">
        <v>3527</v>
      </c>
      <c r="V1148" s="2" t="s">
        <v>46</v>
      </c>
      <c r="W1148" s="2" t="s">
        <v>3527</v>
      </c>
      <c r="X1148" s="2" t="s">
        <v>10787</v>
      </c>
      <c r="Y1148" s="2" t="s">
        <v>10801</v>
      </c>
      <c r="Z1148" s="2" t="s">
        <v>7864</v>
      </c>
      <c r="AA1148" s="2">
        <v>100</v>
      </c>
      <c r="AB1148" s="2">
        <v>10</v>
      </c>
      <c r="AC1148" s="2" t="s">
        <v>10789</v>
      </c>
      <c r="AD1148" s="2" t="s">
        <v>26100</v>
      </c>
      <c r="AE1148" s="2" t="s">
        <v>18260</v>
      </c>
      <c r="AF1148" s="2"/>
      <c r="AG1148" s="2" t="s">
        <v>18250</v>
      </c>
    </row>
    <row r="1149" spans="1:33" x14ac:dyDescent="0.45">
      <c r="A1149" s="2" t="s">
        <v>26101</v>
      </c>
      <c r="B1149" s="2" t="s">
        <v>26102</v>
      </c>
      <c r="C1149" s="2" t="s">
        <v>26103</v>
      </c>
      <c r="D1149" s="2" t="s">
        <v>26104</v>
      </c>
      <c r="E1149" s="2" t="s">
        <v>26105</v>
      </c>
      <c r="F1149" s="2" t="s">
        <v>26106</v>
      </c>
      <c r="G1149" s="2" t="s">
        <v>26106</v>
      </c>
      <c r="H1149" s="2" t="s">
        <v>651</v>
      </c>
      <c r="I1149" s="2" t="s">
        <v>86</v>
      </c>
      <c r="J1149" s="2" t="s">
        <v>3948</v>
      </c>
      <c r="K1149" s="2"/>
      <c r="L1149" s="2"/>
      <c r="M1149" s="2"/>
      <c r="N1149" s="2"/>
      <c r="O1149" s="2"/>
      <c r="P1149" s="2"/>
      <c r="Q1149" s="2"/>
      <c r="R1149" s="2" t="s">
        <v>792</v>
      </c>
      <c r="S1149" s="2" t="s">
        <v>44</v>
      </c>
      <c r="T1149" s="2"/>
      <c r="U1149" s="2" t="s">
        <v>3527</v>
      </c>
      <c r="V1149" s="2" t="s">
        <v>46</v>
      </c>
      <c r="W1149" s="2" t="s">
        <v>3527</v>
      </c>
      <c r="X1149" s="2" t="s">
        <v>10787</v>
      </c>
      <c r="Y1149" s="2" t="s">
        <v>10801</v>
      </c>
      <c r="Z1149" s="2" t="s">
        <v>7864</v>
      </c>
      <c r="AA1149" s="2">
        <v>100</v>
      </c>
      <c r="AB1149" s="2">
        <v>10</v>
      </c>
      <c r="AC1149" s="2" t="s">
        <v>10789</v>
      </c>
      <c r="AD1149" s="2" t="s">
        <v>26107</v>
      </c>
      <c r="AE1149" s="2" t="s">
        <v>18260</v>
      </c>
      <c r="AF1149" s="2"/>
      <c r="AG1149" s="2" t="s">
        <v>18250</v>
      </c>
    </row>
    <row r="1150" spans="1:33" x14ac:dyDescent="0.45">
      <c r="A1150" s="2" t="s">
        <v>26108</v>
      </c>
      <c r="B1150" s="2" t="s">
        <v>26109</v>
      </c>
      <c r="C1150" s="2" t="s">
        <v>26110</v>
      </c>
      <c r="D1150" s="2" t="s">
        <v>26111</v>
      </c>
      <c r="E1150" s="2" t="s">
        <v>26112</v>
      </c>
      <c r="F1150" s="2"/>
      <c r="G1150" s="2"/>
      <c r="H1150" s="2" t="s">
        <v>1188</v>
      </c>
      <c r="I1150" s="2" t="s">
        <v>221</v>
      </c>
      <c r="J1150" s="2" t="s">
        <v>1189</v>
      </c>
      <c r="K1150" s="2" t="s">
        <v>26111</v>
      </c>
      <c r="L1150" s="2"/>
      <c r="M1150" s="2"/>
      <c r="N1150" s="2"/>
      <c r="O1150" s="2" t="s">
        <v>1188</v>
      </c>
      <c r="P1150" s="2" t="s">
        <v>221</v>
      </c>
      <c r="Q1150" s="2" t="s">
        <v>1189</v>
      </c>
      <c r="R1150" s="2" t="s">
        <v>1014</v>
      </c>
      <c r="S1150" s="2" t="s">
        <v>44</v>
      </c>
      <c r="T1150" s="2"/>
      <c r="U1150" s="2" t="s">
        <v>3527</v>
      </c>
      <c r="V1150" s="2" t="s">
        <v>46</v>
      </c>
      <c r="W1150" s="2" t="s">
        <v>3527</v>
      </c>
      <c r="X1150" s="2" t="s">
        <v>10787</v>
      </c>
      <c r="Y1150" s="2" t="s">
        <v>10801</v>
      </c>
      <c r="Z1150" s="2" t="s">
        <v>7864</v>
      </c>
      <c r="AA1150" s="2">
        <v>90</v>
      </c>
      <c r="AB1150" s="2">
        <v>0</v>
      </c>
      <c r="AC1150" s="2" t="s">
        <v>10789</v>
      </c>
      <c r="AD1150" s="2" t="s">
        <v>26113</v>
      </c>
      <c r="AE1150" s="2" t="s">
        <v>18260</v>
      </c>
      <c r="AF1150" s="2"/>
      <c r="AG1150" s="2" t="s">
        <v>18250</v>
      </c>
    </row>
    <row r="1151" spans="1:33" x14ac:dyDescent="0.45">
      <c r="A1151" s="2" t="s">
        <v>26114</v>
      </c>
      <c r="B1151" s="2" t="s">
        <v>26115</v>
      </c>
      <c r="C1151" s="2" t="s">
        <v>7543</v>
      </c>
      <c r="D1151" s="2" t="s">
        <v>26116</v>
      </c>
      <c r="E1151" s="2" t="s">
        <v>26117</v>
      </c>
      <c r="F1151" s="2"/>
      <c r="G1151" s="2"/>
      <c r="H1151" s="2" t="s">
        <v>12804</v>
      </c>
      <c r="I1151" s="2" t="s">
        <v>221</v>
      </c>
      <c r="J1151" s="2" t="s">
        <v>17131</v>
      </c>
      <c r="K1151" s="2" t="s">
        <v>26118</v>
      </c>
      <c r="L1151" s="2"/>
      <c r="M1151" s="2"/>
      <c r="N1151" s="2"/>
      <c r="O1151" s="2" t="s">
        <v>12804</v>
      </c>
      <c r="P1151" s="2" t="s">
        <v>221</v>
      </c>
      <c r="Q1151" s="2" t="s">
        <v>17131</v>
      </c>
      <c r="R1151" s="2" t="s">
        <v>26119</v>
      </c>
      <c r="S1151" s="2" t="s">
        <v>44</v>
      </c>
      <c r="T1151" s="2"/>
      <c r="U1151" s="2" t="s">
        <v>821</v>
      </c>
      <c r="V1151" s="2" t="s">
        <v>46</v>
      </c>
      <c r="W1151" s="2" t="s">
        <v>821</v>
      </c>
      <c r="X1151" s="2" t="s">
        <v>10787</v>
      </c>
      <c r="Y1151" s="2" t="s">
        <v>10801</v>
      </c>
      <c r="Z1151" s="2" t="s">
        <v>7864</v>
      </c>
      <c r="AA1151" s="2">
        <v>90</v>
      </c>
      <c r="AB1151" s="2">
        <v>2</v>
      </c>
      <c r="AC1151" s="2" t="s">
        <v>10789</v>
      </c>
      <c r="AD1151" s="2" t="s">
        <v>26120</v>
      </c>
      <c r="AE1151" s="2" t="s">
        <v>18260</v>
      </c>
      <c r="AF1151" s="2"/>
      <c r="AG1151" s="2" t="s">
        <v>18250</v>
      </c>
    </row>
    <row r="1152" spans="1:33" x14ac:dyDescent="0.45">
      <c r="A1152" s="2" t="s">
        <v>26121</v>
      </c>
      <c r="B1152" s="2" t="s">
        <v>26122</v>
      </c>
      <c r="C1152" s="2" t="s">
        <v>26123</v>
      </c>
      <c r="D1152" s="2" t="s">
        <v>26124</v>
      </c>
      <c r="E1152" s="2" t="s">
        <v>26125</v>
      </c>
      <c r="F1152" s="2" t="s">
        <v>26126</v>
      </c>
      <c r="G1152" s="2"/>
      <c r="H1152" s="2" t="s">
        <v>651</v>
      </c>
      <c r="I1152" s="2" t="s">
        <v>86</v>
      </c>
      <c r="J1152" s="2" t="s">
        <v>3499</v>
      </c>
      <c r="K1152" s="2" t="s">
        <v>26124</v>
      </c>
      <c r="L1152" s="2"/>
      <c r="M1152" s="2"/>
      <c r="N1152" s="2"/>
      <c r="O1152" s="2" t="s">
        <v>651</v>
      </c>
      <c r="P1152" s="2" t="s">
        <v>86</v>
      </c>
      <c r="Q1152" s="2" t="s">
        <v>3499</v>
      </c>
      <c r="R1152" s="2" t="s">
        <v>3158</v>
      </c>
      <c r="S1152" s="2" t="s">
        <v>44</v>
      </c>
      <c r="T1152" s="2"/>
      <c r="U1152" s="2" t="s">
        <v>3527</v>
      </c>
      <c r="V1152" s="2" t="s">
        <v>46</v>
      </c>
      <c r="W1152" s="2" t="s">
        <v>3527</v>
      </c>
      <c r="X1152" s="2" t="s">
        <v>10787</v>
      </c>
      <c r="Y1152" s="2" t="s">
        <v>10801</v>
      </c>
      <c r="Z1152" s="2" t="s">
        <v>7864</v>
      </c>
      <c r="AA1152" s="2">
        <v>100</v>
      </c>
      <c r="AB1152" s="2">
        <v>10</v>
      </c>
      <c r="AC1152" s="2" t="s">
        <v>10789</v>
      </c>
      <c r="AD1152" s="2" t="s">
        <v>26127</v>
      </c>
      <c r="AE1152" s="2" t="s">
        <v>18260</v>
      </c>
      <c r="AF1152" s="2"/>
      <c r="AG1152" s="2" t="s">
        <v>18250</v>
      </c>
    </row>
    <row r="1153" spans="1:33" x14ac:dyDescent="0.45">
      <c r="A1153" s="2" t="s">
        <v>26128</v>
      </c>
      <c r="B1153" s="2" t="s">
        <v>26129</v>
      </c>
      <c r="C1153" s="2" t="s">
        <v>26128</v>
      </c>
      <c r="D1153" s="2" t="s">
        <v>26130</v>
      </c>
      <c r="E1153" s="2" t="s">
        <v>26131</v>
      </c>
      <c r="F1153" s="2"/>
      <c r="G1153" s="2"/>
      <c r="H1153" s="2" t="s">
        <v>651</v>
      </c>
      <c r="I1153" s="2" t="s">
        <v>86</v>
      </c>
      <c r="J1153" s="2" t="s">
        <v>12119</v>
      </c>
      <c r="K1153" s="2" t="s">
        <v>26130</v>
      </c>
      <c r="L1153" s="2"/>
      <c r="M1153" s="2"/>
      <c r="N1153" s="2"/>
      <c r="O1153" s="2" t="s">
        <v>651</v>
      </c>
      <c r="P1153" s="2" t="s">
        <v>86</v>
      </c>
      <c r="Q1153" s="2" t="s">
        <v>12119</v>
      </c>
      <c r="R1153" s="2" t="s">
        <v>2195</v>
      </c>
      <c r="S1153" s="2" t="s">
        <v>44</v>
      </c>
      <c r="T1153" s="2"/>
      <c r="U1153" s="2" t="s">
        <v>3527</v>
      </c>
      <c r="V1153" s="2" t="s">
        <v>46</v>
      </c>
      <c r="W1153" s="2" t="s">
        <v>3527</v>
      </c>
      <c r="X1153" s="2" t="s">
        <v>10787</v>
      </c>
      <c r="Y1153" s="2" t="s">
        <v>10801</v>
      </c>
      <c r="Z1153" s="2" t="s">
        <v>7864</v>
      </c>
      <c r="AA1153" s="2">
        <v>90</v>
      </c>
      <c r="AB1153" s="2">
        <v>0</v>
      </c>
      <c r="AC1153" s="2" t="s">
        <v>10789</v>
      </c>
      <c r="AD1153" s="2" t="s">
        <v>26132</v>
      </c>
      <c r="AE1153" s="2" t="s">
        <v>18260</v>
      </c>
      <c r="AF1153" s="2"/>
      <c r="AG1153" s="2" t="s">
        <v>18250</v>
      </c>
    </row>
    <row r="1154" spans="1:33" x14ac:dyDescent="0.45">
      <c r="A1154" s="2" t="s">
        <v>26133</v>
      </c>
      <c r="B1154" s="2" t="s">
        <v>26134</v>
      </c>
      <c r="C1154" s="2" t="s">
        <v>26135</v>
      </c>
      <c r="D1154" s="2" t="s">
        <v>26136</v>
      </c>
      <c r="E1154" s="2" t="s">
        <v>26137</v>
      </c>
      <c r="F1154" s="2"/>
      <c r="G1154" s="2"/>
      <c r="H1154" s="2" t="s">
        <v>72</v>
      </c>
      <c r="I1154" s="2" t="s">
        <v>73</v>
      </c>
      <c r="J1154" s="2" t="s">
        <v>74</v>
      </c>
      <c r="K1154" s="2" t="s">
        <v>26138</v>
      </c>
      <c r="L1154" s="2"/>
      <c r="M1154" s="2"/>
      <c r="N1154" s="2"/>
      <c r="O1154" s="2" t="s">
        <v>2962</v>
      </c>
      <c r="P1154" s="2" t="s">
        <v>73</v>
      </c>
      <c r="Q1154" s="2" t="s">
        <v>13484</v>
      </c>
      <c r="R1154" s="2" t="s">
        <v>4359</v>
      </c>
      <c r="S1154" s="2" t="s">
        <v>44</v>
      </c>
      <c r="T1154" s="2"/>
      <c r="U1154" s="2" t="s">
        <v>3527</v>
      </c>
      <c r="V1154" s="2" t="s">
        <v>46</v>
      </c>
      <c r="W1154" s="2" t="s">
        <v>3527</v>
      </c>
      <c r="X1154" s="2" t="s">
        <v>12462</v>
      </c>
      <c r="Y1154" s="2" t="s">
        <v>10801</v>
      </c>
      <c r="Z1154" s="2" t="s">
        <v>7864</v>
      </c>
      <c r="AA1154" s="2">
        <v>90</v>
      </c>
      <c r="AB1154" s="2">
        <v>0</v>
      </c>
      <c r="AC1154" s="2" t="s">
        <v>10789</v>
      </c>
      <c r="AD1154" s="2" t="s">
        <v>26139</v>
      </c>
      <c r="AE1154" s="2" t="s">
        <v>18260</v>
      </c>
      <c r="AF1154" s="2"/>
      <c r="AG1154" s="2" t="s">
        <v>18250</v>
      </c>
    </row>
    <row r="1155" spans="1:33" x14ac:dyDescent="0.45">
      <c r="A1155" s="2" t="s">
        <v>26140</v>
      </c>
      <c r="B1155" s="2" t="s">
        <v>26141</v>
      </c>
      <c r="C1155" s="2" t="s">
        <v>26142</v>
      </c>
      <c r="D1155" s="2" t="s">
        <v>26143</v>
      </c>
      <c r="E1155" s="2" t="s">
        <v>26144</v>
      </c>
      <c r="F1155" s="2" t="s">
        <v>26145</v>
      </c>
      <c r="G1155" s="2" t="s">
        <v>26145</v>
      </c>
      <c r="H1155" s="2" t="s">
        <v>1136</v>
      </c>
      <c r="I1155" s="2" t="s">
        <v>1137</v>
      </c>
      <c r="J1155" s="2" t="s">
        <v>8637</v>
      </c>
      <c r="K1155" s="2" t="s">
        <v>26143</v>
      </c>
      <c r="L1155" s="2"/>
      <c r="M1155" s="2"/>
      <c r="N1155" s="2"/>
      <c r="O1155" s="2" t="s">
        <v>1136</v>
      </c>
      <c r="P1155" s="2" t="s">
        <v>1137</v>
      </c>
      <c r="Q1155" s="2" t="s">
        <v>8637</v>
      </c>
      <c r="R1155" s="2" t="s">
        <v>14859</v>
      </c>
      <c r="S1155" s="2" t="s">
        <v>44</v>
      </c>
      <c r="T1155" s="2"/>
      <c r="U1155" s="2" t="s">
        <v>3527</v>
      </c>
      <c r="V1155" s="2" t="s">
        <v>46</v>
      </c>
      <c r="W1155" s="2" t="s">
        <v>3527</v>
      </c>
      <c r="X1155" s="2" t="s">
        <v>10787</v>
      </c>
      <c r="Y1155" s="2" t="s">
        <v>10801</v>
      </c>
      <c r="Z1155" s="2" t="s">
        <v>7864</v>
      </c>
      <c r="AA1155" s="2">
        <v>100</v>
      </c>
      <c r="AB1155" s="2">
        <v>5</v>
      </c>
      <c r="AC1155" s="2" t="s">
        <v>10789</v>
      </c>
      <c r="AD1155" s="2" t="s">
        <v>26146</v>
      </c>
      <c r="AE1155" s="2" t="s">
        <v>18260</v>
      </c>
      <c r="AF1155" s="2"/>
      <c r="AG1155" s="2" t="s">
        <v>18250</v>
      </c>
    </row>
    <row r="1156" spans="1:33" x14ac:dyDescent="0.45">
      <c r="A1156" s="2" t="s">
        <v>26147</v>
      </c>
      <c r="B1156" s="2" t="s">
        <v>26148</v>
      </c>
      <c r="C1156" s="2" t="s">
        <v>26149</v>
      </c>
      <c r="D1156" s="2" t="s">
        <v>26150</v>
      </c>
      <c r="E1156" s="2" t="s">
        <v>26151</v>
      </c>
      <c r="F1156" s="2"/>
      <c r="G1156" s="2"/>
      <c r="H1156" s="2" t="s">
        <v>384</v>
      </c>
      <c r="I1156" s="2" t="s">
        <v>73</v>
      </c>
      <c r="J1156" s="2" t="s">
        <v>13516</v>
      </c>
      <c r="K1156" s="2" t="s">
        <v>26150</v>
      </c>
      <c r="L1156" s="2"/>
      <c r="M1156" s="2"/>
      <c r="N1156" s="2"/>
      <c r="O1156" s="2" t="s">
        <v>384</v>
      </c>
      <c r="P1156" s="2" t="s">
        <v>73</v>
      </c>
      <c r="Q1156" s="2" t="s">
        <v>13516</v>
      </c>
      <c r="R1156" s="2" t="s">
        <v>2614</v>
      </c>
      <c r="S1156" s="2" t="s">
        <v>44</v>
      </c>
      <c r="T1156" s="2"/>
      <c r="U1156" s="2" t="s">
        <v>3527</v>
      </c>
      <c r="V1156" s="2" t="s">
        <v>46</v>
      </c>
      <c r="W1156" s="2" t="s">
        <v>3527</v>
      </c>
      <c r="X1156" s="2" t="s">
        <v>10787</v>
      </c>
      <c r="Y1156" s="2" t="s">
        <v>10801</v>
      </c>
      <c r="Z1156" s="2" t="s">
        <v>7864</v>
      </c>
      <c r="AA1156" s="2">
        <v>90</v>
      </c>
      <c r="AB1156" s="2">
        <v>0</v>
      </c>
      <c r="AC1156" s="2" t="s">
        <v>10789</v>
      </c>
      <c r="AD1156" s="2" t="s">
        <v>26152</v>
      </c>
      <c r="AE1156" s="2" t="s">
        <v>18260</v>
      </c>
      <c r="AF1156" s="2"/>
      <c r="AG1156" s="2" t="s">
        <v>18250</v>
      </c>
    </row>
    <row r="1157" spans="1:33" x14ac:dyDescent="0.45">
      <c r="A1157" s="2" t="s">
        <v>26153</v>
      </c>
      <c r="B1157" s="2" t="s">
        <v>26154</v>
      </c>
      <c r="C1157" s="2" t="s">
        <v>26155</v>
      </c>
      <c r="D1157" s="2" t="s">
        <v>26156</v>
      </c>
      <c r="E1157" s="2" t="s">
        <v>26157</v>
      </c>
      <c r="F1157" s="2"/>
      <c r="G1157" s="2"/>
      <c r="H1157" s="2" t="s">
        <v>22724</v>
      </c>
      <c r="I1157" s="2" t="s">
        <v>73</v>
      </c>
      <c r="J1157" s="2" t="s">
        <v>26158</v>
      </c>
      <c r="K1157" s="2" t="s">
        <v>26156</v>
      </c>
      <c r="L1157" s="2"/>
      <c r="M1157" s="2"/>
      <c r="N1157" s="2"/>
      <c r="O1157" s="2" t="s">
        <v>22724</v>
      </c>
      <c r="P1157" s="2" t="s">
        <v>73</v>
      </c>
      <c r="Q1157" s="2" t="s">
        <v>26158</v>
      </c>
      <c r="R1157" s="2" t="s">
        <v>9955</v>
      </c>
      <c r="S1157" s="2" t="s">
        <v>44</v>
      </c>
      <c r="T1157" s="2"/>
      <c r="U1157" s="2" t="s">
        <v>3527</v>
      </c>
      <c r="V1157" s="2" t="s">
        <v>46</v>
      </c>
      <c r="W1157" s="2" t="s">
        <v>3527</v>
      </c>
      <c r="X1157" s="2" t="s">
        <v>10787</v>
      </c>
      <c r="Y1157" s="2" t="s">
        <v>10801</v>
      </c>
      <c r="Z1157" s="2" t="s">
        <v>7864</v>
      </c>
      <c r="AA1157" s="2">
        <v>90</v>
      </c>
      <c r="AB1157" s="2">
        <v>0</v>
      </c>
      <c r="AC1157" s="2" t="s">
        <v>10789</v>
      </c>
      <c r="AD1157" s="2" t="s">
        <v>26159</v>
      </c>
      <c r="AE1157" s="2" t="s">
        <v>18260</v>
      </c>
      <c r="AF1157" s="2"/>
      <c r="AG1157" s="2" t="s">
        <v>18250</v>
      </c>
    </row>
    <row r="1158" spans="1:33" x14ac:dyDescent="0.45">
      <c r="A1158" s="2" t="s">
        <v>26160</v>
      </c>
      <c r="B1158" s="2" t="s">
        <v>26161</v>
      </c>
      <c r="C1158" s="2" t="s">
        <v>26160</v>
      </c>
      <c r="D1158" s="2" t="s">
        <v>26162</v>
      </c>
      <c r="E1158" s="2" t="s">
        <v>26163</v>
      </c>
      <c r="F1158" s="2"/>
      <c r="G1158" s="2"/>
      <c r="H1158" s="2" t="s">
        <v>384</v>
      </c>
      <c r="I1158" s="2" t="s">
        <v>73</v>
      </c>
      <c r="J1158" s="2" t="s">
        <v>559</v>
      </c>
      <c r="K1158" s="2" t="s">
        <v>26162</v>
      </c>
      <c r="L1158" s="2"/>
      <c r="M1158" s="2"/>
      <c r="N1158" s="2"/>
      <c r="O1158" s="2" t="s">
        <v>384</v>
      </c>
      <c r="P1158" s="2" t="s">
        <v>73</v>
      </c>
      <c r="Q1158" s="2" t="s">
        <v>559</v>
      </c>
      <c r="R1158" s="2" t="s">
        <v>10994</v>
      </c>
      <c r="S1158" s="2" t="s">
        <v>44</v>
      </c>
      <c r="T1158" s="2"/>
      <c r="U1158" s="2" t="s">
        <v>3527</v>
      </c>
      <c r="V1158" s="2" t="s">
        <v>46</v>
      </c>
      <c r="W1158" s="2" t="s">
        <v>3527</v>
      </c>
      <c r="X1158" s="2" t="s">
        <v>11537</v>
      </c>
      <c r="Y1158" s="2" t="s">
        <v>10801</v>
      </c>
      <c r="Z1158" s="2" t="s">
        <v>7864</v>
      </c>
      <c r="AA1158" s="2">
        <v>90</v>
      </c>
      <c r="AB1158" s="2">
        <v>0</v>
      </c>
      <c r="AC1158" s="2" t="s">
        <v>10789</v>
      </c>
      <c r="AD1158" s="2" t="s">
        <v>26164</v>
      </c>
      <c r="AE1158" s="2" t="s">
        <v>18260</v>
      </c>
      <c r="AF1158" s="2"/>
      <c r="AG1158" s="2" t="s">
        <v>18250</v>
      </c>
    </row>
    <row r="1159" spans="1:33" x14ac:dyDescent="0.45">
      <c r="A1159" s="2" t="s">
        <v>26165</v>
      </c>
      <c r="B1159" s="2" t="s">
        <v>26166</v>
      </c>
      <c r="C1159" s="2" t="s">
        <v>26165</v>
      </c>
      <c r="D1159" s="2" t="s">
        <v>26167</v>
      </c>
      <c r="E1159" s="2" t="s">
        <v>26168</v>
      </c>
      <c r="F1159" s="2" t="s">
        <v>26169</v>
      </c>
      <c r="G1159" s="2" t="s">
        <v>26169</v>
      </c>
      <c r="H1159" s="2" t="s">
        <v>651</v>
      </c>
      <c r="I1159" s="2" t="s">
        <v>86</v>
      </c>
      <c r="J1159" s="2" t="s">
        <v>18583</v>
      </c>
      <c r="K1159" s="2" t="s">
        <v>26167</v>
      </c>
      <c r="L1159" s="2"/>
      <c r="M1159" s="2"/>
      <c r="N1159" s="2"/>
      <c r="O1159" s="2" t="s">
        <v>651</v>
      </c>
      <c r="P1159" s="2" t="s">
        <v>86</v>
      </c>
      <c r="Q1159" s="2" t="s">
        <v>18583</v>
      </c>
      <c r="R1159" s="2" t="s">
        <v>7071</v>
      </c>
      <c r="S1159" s="2" t="s">
        <v>44</v>
      </c>
      <c r="T1159" s="2"/>
      <c r="U1159" s="2" t="s">
        <v>3527</v>
      </c>
      <c r="V1159" s="2" t="s">
        <v>46</v>
      </c>
      <c r="W1159" s="2" t="s">
        <v>3527</v>
      </c>
      <c r="X1159" s="2" t="s">
        <v>10787</v>
      </c>
      <c r="Y1159" s="2" t="s">
        <v>10801</v>
      </c>
      <c r="Z1159" s="2" t="s">
        <v>7864</v>
      </c>
      <c r="AA1159" s="2">
        <v>100</v>
      </c>
      <c r="AB1159" s="2">
        <v>10</v>
      </c>
      <c r="AC1159" s="2" t="s">
        <v>10789</v>
      </c>
      <c r="AD1159" s="2" t="s">
        <v>26170</v>
      </c>
      <c r="AE1159" s="2" t="s">
        <v>18260</v>
      </c>
      <c r="AF1159" s="2"/>
      <c r="AG1159" s="2" t="s">
        <v>18250</v>
      </c>
    </row>
    <row r="1160" spans="1:33" x14ac:dyDescent="0.45">
      <c r="A1160" s="2" t="s">
        <v>26171</v>
      </c>
      <c r="B1160" s="2" t="s">
        <v>26172</v>
      </c>
      <c r="C1160" s="2" t="s">
        <v>26173</v>
      </c>
      <c r="D1160" s="2" t="s">
        <v>26174</v>
      </c>
      <c r="E1160" s="2" t="s">
        <v>26175</v>
      </c>
      <c r="F1160" s="2"/>
      <c r="G1160" s="2"/>
      <c r="H1160" s="2" t="s">
        <v>1188</v>
      </c>
      <c r="I1160" s="2" t="s">
        <v>221</v>
      </c>
      <c r="J1160" s="2" t="s">
        <v>1189</v>
      </c>
      <c r="K1160" s="2" t="s">
        <v>26174</v>
      </c>
      <c r="L1160" s="2"/>
      <c r="M1160" s="2"/>
      <c r="N1160" s="2"/>
      <c r="O1160" s="2" t="s">
        <v>1188</v>
      </c>
      <c r="P1160" s="2" t="s">
        <v>221</v>
      </c>
      <c r="Q1160" s="2" t="s">
        <v>1189</v>
      </c>
      <c r="R1160" s="2" t="s">
        <v>4965</v>
      </c>
      <c r="S1160" s="2" t="s">
        <v>44</v>
      </c>
      <c r="T1160" s="2"/>
      <c r="U1160" s="2" t="s">
        <v>3527</v>
      </c>
      <c r="V1160" s="2" t="s">
        <v>46</v>
      </c>
      <c r="W1160" s="2" t="s">
        <v>3527</v>
      </c>
      <c r="X1160" s="2" t="s">
        <v>11537</v>
      </c>
      <c r="Y1160" s="2" t="s">
        <v>10801</v>
      </c>
      <c r="Z1160" s="2" t="s">
        <v>7864</v>
      </c>
      <c r="AA1160" s="2">
        <v>90</v>
      </c>
      <c r="AB1160" s="2">
        <v>0</v>
      </c>
      <c r="AC1160" s="2" t="s">
        <v>10789</v>
      </c>
      <c r="AD1160" s="2" t="s">
        <v>26176</v>
      </c>
      <c r="AE1160" s="2" t="s">
        <v>18260</v>
      </c>
      <c r="AF1160" s="2"/>
      <c r="AG1160" s="2" t="s">
        <v>18250</v>
      </c>
    </row>
    <row r="1161" spans="1:33" x14ac:dyDescent="0.45">
      <c r="A1161" s="2" t="s">
        <v>26177</v>
      </c>
      <c r="B1161" s="2" t="s">
        <v>26178</v>
      </c>
      <c r="C1161" s="2" t="s">
        <v>26179</v>
      </c>
      <c r="D1161" s="2" t="s">
        <v>26180</v>
      </c>
      <c r="E1161" s="2" t="s">
        <v>26181</v>
      </c>
      <c r="F1161" s="2" t="s">
        <v>26182</v>
      </c>
      <c r="G1161" s="2"/>
      <c r="H1161" s="2" t="s">
        <v>1125</v>
      </c>
      <c r="I1161" s="2" t="s">
        <v>60</v>
      </c>
      <c r="J1161" s="2" t="s">
        <v>26183</v>
      </c>
      <c r="K1161" s="2" t="s">
        <v>26180</v>
      </c>
      <c r="L1161" s="2"/>
      <c r="M1161" s="2"/>
      <c r="N1161" s="2"/>
      <c r="O1161" s="2" t="s">
        <v>1125</v>
      </c>
      <c r="P1161" s="2" t="s">
        <v>60</v>
      </c>
      <c r="Q1161" s="2" t="s">
        <v>26183</v>
      </c>
      <c r="R1161" s="2" t="s">
        <v>10493</v>
      </c>
      <c r="S1161" s="2" t="s">
        <v>44</v>
      </c>
      <c r="T1161" s="2"/>
      <c r="U1161" s="2" t="s">
        <v>3527</v>
      </c>
      <c r="V1161" s="2" t="s">
        <v>46</v>
      </c>
      <c r="W1161" s="2" t="s">
        <v>3527</v>
      </c>
      <c r="X1161" s="2" t="s">
        <v>10787</v>
      </c>
      <c r="Y1161" s="2" t="s">
        <v>10801</v>
      </c>
      <c r="Z1161" s="2" t="s">
        <v>7864</v>
      </c>
      <c r="AA1161" s="2">
        <v>100</v>
      </c>
      <c r="AB1161" s="2">
        <v>5</v>
      </c>
      <c r="AC1161" s="2" t="s">
        <v>10789</v>
      </c>
      <c r="AD1161" s="2" t="s">
        <v>26184</v>
      </c>
      <c r="AE1161" s="2" t="s">
        <v>18260</v>
      </c>
      <c r="AF1161" s="2"/>
      <c r="AG1161" s="2" t="s">
        <v>18250</v>
      </c>
    </row>
    <row r="1162" spans="1:33" x14ac:dyDescent="0.45">
      <c r="A1162" s="2" t="s">
        <v>26185</v>
      </c>
      <c r="B1162" s="2" t="s">
        <v>26186</v>
      </c>
      <c r="C1162" s="2" t="s">
        <v>26185</v>
      </c>
      <c r="D1162" s="2" t="s">
        <v>26187</v>
      </c>
      <c r="E1162" s="2" t="s">
        <v>26188</v>
      </c>
      <c r="F1162" s="2"/>
      <c r="G1162" s="2"/>
      <c r="H1162" s="2" t="s">
        <v>22142</v>
      </c>
      <c r="I1162" s="2" t="s">
        <v>1209</v>
      </c>
      <c r="J1162" s="2" t="s">
        <v>24544</v>
      </c>
      <c r="K1162" s="2" t="s">
        <v>26187</v>
      </c>
      <c r="L1162" s="2"/>
      <c r="M1162" s="2"/>
      <c r="N1162" s="2"/>
      <c r="O1162" s="2" t="s">
        <v>22142</v>
      </c>
      <c r="P1162" s="2" t="s">
        <v>1209</v>
      </c>
      <c r="Q1162" s="2" t="s">
        <v>24544</v>
      </c>
      <c r="R1162" s="2" t="s">
        <v>245</v>
      </c>
      <c r="S1162" s="2" t="s">
        <v>44</v>
      </c>
      <c r="T1162" s="2"/>
      <c r="U1162" s="2" t="s">
        <v>3527</v>
      </c>
      <c r="V1162" s="2" t="s">
        <v>46</v>
      </c>
      <c r="W1162" s="2" t="s">
        <v>3527</v>
      </c>
      <c r="X1162" s="2" t="s">
        <v>10787</v>
      </c>
      <c r="Y1162" s="2" t="s">
        <v>10801</v>
      </c>
      <c r="Z1162" s="2" t="s">
        <v>7864</v>
      </c>
      <c r="AA1162" s="2">
        <v>90</v>
      </c>
      <c r="AB1162" s="2">
        <v>0</v>
      </c>
      <c r="AC1162" s="2" t="s">
        <v>10789</v>
      </c>
      <c r="AD1162" s="2" t="s">
        <v>26189</v>
      </c>
      <c r="AE1162" s="2" t="s">
        <v>18260</v>
      </c>
      <c r="AF1162" s="2"/>
      <c r="AG1162" s="2" t="s">
        <v>18250</v>
      </c>
    </row>
    <row r="1163" spans="1:33" x14ac:dyDescent="0.45">
      <c r="A1163" s="2" t="s">
        <v>26190</v>
      </c>
      <c r="B1163" s="2" t="s">
        <v>26191</v>
      </c>
      <c r="C1163" s="2" t="s">
        <v>26192</v>
      </c>
      <c r="D1163" s="2" t="s">
        <v>26193</v>
      </c>
      <c r="E1163" s="2" t="s">
        <v>26194</v>
      </c>
      <c r="F1163" s="2" t="s">
        <v>3562</v>
      </c>
      <c r="G1163" s="2" t="s">
        <v>3562</v>
      </c>
      <c r="H1163" s="2" t="s">
        <v>72</v>
      </c>
      <c r="I1163" s="2" t="s">
        <v>73</v>
      </c>
      <c r="J1163" s="2" t="s">
        <v>607</v>
      </c>
      <c r="K1163" s="2"/>
      <c r="L1163" s="2"/>
      <c r="M1163" s="2"/>
      <c r="N1163" s="2"/>
      <c r="O1163" s="2"/>
      <c r="P1163" s="2"/>
      <c r="Q1163" s="2"/>
      <c r="R1163" s="2" t="s">
        <v>13105</v>
      </c>
      <c r="S1163" s="2" t="s">
        <v>44</v>
      </c>
      <c r="T1163" s="2"/>
      <c r="U1163" s="2" t="s">
        <v>3527</v>
      </c>
      <c r="V1163" s="2" t="s">
        <v>46</v>
      </c>
      <c r="W1163" s="2" t="s">
        <v>3527</v>
      </c>
      <c r="X1163" s="2" t="s">
        <v>10787</v>
      </c>
      <c r="Y1163" s="2" t="s">
        <v>10801</v>
      </c>
      <c r="Z1163" s="2" t="s">
        <v>7864</v>
      </c>
      <c r="AA1163" s="2">
        <v>100</v>
      </c>
      <c r="AB1163" s="2">
        <v>10</v>
      </c>
      <c r="AC1163" s="2" t="s">
        <v>10789</v>
      </c>
      <c r="AD1163" s="2" t="s">
        <v>26195</v>
      </c>
      <c r="AE1163" s="2" t="s">
        <v>18260</v>
      </c>
      <c r="AF1163" s="2"/>
      <c r="AG1163" s="2" t="s">
        <v>18250</v>
      </c>
    </row>
    <row r="1164" spans="1:33" x14ac:dyDescent="0.45">
      <c r="A1164" s="2" t="s">
        <v>26196</v>
      </c>
      <c r="B1164" s="2" t="s">
        <v>26197</v>
      </c>
      <c r="C1164" s="2" t="s">
        <v>26196</v>
      </c>
      <c r="D1164" s="2" t="s">
        <v>26198</v>
      </c>
      <c r="E1164" s="2" t="s">
        <v>26199</v>
      </c>
      <c r="F1164" s="2" t="s">
        <v>3562</v>
      </c>
      <c r="G1164" s="2" t="s">
        <v>3562</v>
      </c>
      <c r="H1164" s="2" t="s">
        <v>8369</v>
      </c>
      <c r="I1164" s="2" t="s">
        <v>1112</v>
      </c>
      <c r="J1164" s="2" t="s">
        <v>26200</v>
      </c>
      <c r="K1164" s="2"/>
      <c r="L1164" s="2"/>
      <c r="M1164" s="2"/>
      <c r="N1164" s="2"/>
      <c r="O1164" s="2"/>
      <c r="P1164" s="2"/>
      <c r="Q1164" s="2"/>
      <c r="R1164" s="2" t="s">
        <v>5747</v>
      </c>
      <c r="S1164" s="2" t="s">
        <v>44</v>
      </c>
      <c r="T1164" s="2"/>
      <c r="U1164" s="2" t="s">
        <v>3527</v>
      </c>
      <c r="V1164" s="2" t="s">
        <v>46</v>
      </c>
      <c r="W1164" s="2" t="s">
        <v>3527</v>
      </c>
      <c r="X1164" s="2" t="s">
        <v>10787</v>
      </c>
      <c r="Y1164" s="2" t="s">
        <v>10801</v>
      </c>
      <c r="Z1164" s="2" t="s">
        <v>7864</v>
      </c>
      <c r="AA1164" s="2">
        <v>100</v>
      </c>
      <c r="AB1164" s="2">
        <v>5</v>
      </c>
      <c r="AC1164" s="2" t="s">
        <v>10789</v>
      </c>
      <c r="AD1164" s="2" t="s">
        <v>26201</v>
      </c>
      <c r="AE1164" s="2" t="s">
        <v>18260</v>
      </c>
      <c r="AF1164" s="2"/>
      <c r="AG1164" s="2" t="s">
        <v>18250</v>
      </c>
    </row>
    <row r="1165" spans="1:33" x14ac:dyDescent="0.45">
      <c r="A1165" s="2" t="s">
        <v>26202</v>
      </c>
      <c r="B1165" s="2" t="s">
        <v>26203</v>
      </c>
      <c r="C1165" s="2" t="s">
        <v>26202</v>
      </c>
      <c r="D1165" s="2" t="s">
        <v>26204</v>
      </c>
      <c r="E1165" s="2" t="s">
        <v>26205</v>
      </c>
      <c r="F1165" s="2" t="s">
        <v>26206</v>
      </c>
      <c r="G1165" s="2"/>
      <c r="H1165" s="2" t="s">
        <v>1161</v>
      </c>
      <c r="I1165" s="2" t="s">
        <v>221</v>
      </c>
      <c r="J1165" s="2" t="s">
        <v>5871</v>
      </c>
      <c r="K1165" s="2" t="s">
        <v>26207</v>
      </c>
      <c r="L1165" s="2"/>
      <c r="M1165" s="2"/>
      <c r="N1165" s="2"/>
      <c r="O1165" s="2" t="s">
        <v>1161</v>
      </c>
      <c r="P1165" s="2" t="s">
        <v>221</v>
      </c>
      <c r="Q1165" s="2" t="s">
        <v>5871</v>
      </c>
      <c r="R1165" s="2" t="s">
        <v>153</v>
      </c>
      <c r="S1165" s="2" t="s">
        <v>44</v>
      </c>
      <c r="T1165" s="2"/>
      <c r="U1165" s="2" t="s">
        <v>3527</v>
      </c>
      <c r="V1165" s="2" t="s">
        <v>46</v>
      </c>
      <c r="W1165" s="2" t="s">
        <v>3527</v>
      </c>
      <c r="X1165" s="2" t="s">
        <v>10787</v>
      </c>
      <c r="Y1165" s="2" t="s">
        <v>10801</v>
      </c>
      <c r="Z1165" s="2" t="s">
        <v>7864</v>
      </c>
      <c r="AA1165" s="2">
        <v>100</v>
      </c>
      <c r="AB1165" s="2">
        <v>5</v>
      </c>
      <c r="AC1165" s="2" t="s">
        <v>10789</v>
      </c>
      <c r="AD1165" s="2" t="s">
        <v>26208</v>
      </c>
      <c r="AE1165" s="2" t="s">
        <v>18260</v>
      </c>
      <c r="AF1165" s="2"/>
      <c r="AG1165" s="2" t="s">
        <v>18250</v>
      </c>
    </row>
    <row r="1166" spans="1:33" x14ac:dyDescent="0.45">
      <c r="A1166" s="2" t="s">
        <v>26209</v>
      </c>
      <c r="B1166" s="2" t="s">
        <v>26210</v>
      </c>
      <c r="C1166" s="2" t="s">
        <v>26211</v>
      </c>
      <c r="D1166" s="2" t="s">
        <v>26212</v>
      </c>
      <c r="E1166" s="2" t="s">
        <v>26213</v>
      </c>
      <c r="F1166" s="2" t="s">
        <v>26214</v>
      </c>
      <c r="G1166" s="2" t="s">
        <v>26214</v>
      </c>
      <c r="H1166" s="2" t="s">
        <v>72</v>
      </c>
      <c r="I1166" s="2" t="s">
        <v>73</v>
      </c>
      <c r="J1166" s="2" t="s">
        <v>2222</v>
      </c>
      <c r="K1166" s="2"/>
      <c r="L1166" s="2"/>
      <c r="M1166" s="2"/>
      <c r="N1166" s="2"/>
      <c r="O1166" s="2"/>
      <c r="P1166" s="2"/>
      <c r="Q1166" s="2"/>
      <c r="R1166" s="2" t="s">
        <v>13105</v>
      </c>
      <c r="S1166" s="2" t="s">
        <v>44</v>
      </c>
      <c r="T1166" s="2"/>
      <c r="U1166" s="2" t="s">
        <v>821</v>
      </c>
      <c r="V1166" s="2" t="s">
        <v>46</v>
      </c>
      <c r="W1166" s="2" t="s">
        <v>821</v>
      </c>
      <c r="X1166" s="2" t="s">
        <v>10787</v>
      </c>
      <c r="Y1166" s="2" t="s">
        <v>10801</v>
      </c>
      <c r="Z1166" s="2" t="s">
        <v>7864</v>
      </c>
      <c r="AA1166" s="2">
        <v>100</v>
      </c>
      <c r="AB1166" s="2">
        <v>17</v>
      </c>
      <c r="AC1166" s="2" t="s">
        <v>10789</v>
      </c>
      <c r="AD1166" s="2" t="s">
        <v>26215</v>
      </c>
      <c r="AE1166" s="2" t="s">
        <v>18260</v>
      </c>
      <c r="AF1166" s="2"/>
      <c r="AG1166" s="2" t="s">
        <v>18250</v>
      </c>
    </row>
    <row r="1167" spans="1:33" x14ac:dyDescent="0.45">
      <c r="A1167" s="2" t="s">
        <v>26216</v>
      </c>
      <c r="B1167" s="2" t="s">
        <v>26217</v>
      </c>
      <c r="C1167" s="2" t="s">
        <v>26216</v>
      </c>
      <c r="D1167" s="2" t="s">
        <v>26218</v>
      </c>
      <c r="E1167" s="2" t="s">
        <v>26219</v>
      </c>
      <c r="F1167" s="2"/>
      <c r="G1167" s="2"/>
      <c r="H1167" s="2" t="s">
        <v>8495</v>
      </c>
      <c r="I1167" s="2" t="s">
        <v>8496</v>
      </c>
      <c r="J1167" s="2" t="s">
        <v>26220</v>
      </c>
      <c r="K1167" s="2" t="s">
        <v>26218</v>
      </c>
      <c r="L1167" s="2"/>
      <c r="M1167" s="2"/>
      <c r="N1167" s="2"/>
      <c r="O1167" s="2" t="s">
        <v>8495</v>
      </c>
      <c r="P1167" s="2" t="s">
        <v>8496</v>
      </c>
      <c r="Q1167" s="2" t="s">
        <v>26220</v>
      </c>
      <c r="R1167" s="2" t="s">
        <v>26221</v>
      </c>
      <c r="S1167" s="2" t="s">
        <v>44</v>
      </c>
      <c r="T1167" s="2"/>
      <c r="U1167" s="2" t="s">
        <v>821</v>
      </c>
      <c r="V1167" s="2" t="s">
        <v>46</v>
      </c>
      <c r="W1167" s="2" t="s">
        <v>821</v>
      </c>
      <c r="X1167" s="2" t="s">
        <v>10787</v>
      </c>
      <c r="Y1167" s="2" t="s">
        <v>10801</v>
      </c>
      <c r="Z1167" s="2" t="s">
        <v>7864</v>
      </c>
      <c r="AA1167" s="2">
        <v>90</v>
      </c>
      <c r="AB1167" s="2">
        <v>2</v>
      </c>
      <c r="AC1167" s="2" t="s">
        <v>10789</v>
      </c>
      <c r="AD1167" s="2" t="s">
        <v>26222</v>
      </c>
      <c r="AE1167" s="2" t="s">
        <v>18260</v>
      </c>
      <c r="AF1167" s="2"/>
      <c r="AG1167" s="2" t="s">
        <v>18250</v>
      </c>
    </row>
    <row r="1168" spans="1:33" x14ac:dyDescent="0.45">
      <c r="A1168" s="2" t="s">
        <v>26223</v>
      </c>
      <c r="B1168" s="2" t="s">
        <v>26224</v>
      </c>
      <c r="C1168" s="2" t="s">
        <v>26223</v>
      </c>
      <c r="D1168" s="2" t="s">
        <v>26225</v>
      </c>
      <c r="E1168" s="2" t="s">
        <v>26226</v>
      </c>
      <c r="F1168" s="2" t="s">
        <v>26227</v>
      </c>
      <c r="G1168" s="2" t="s">
        <v>26227</v>
      </c>
      <c r="H1168" s="2" t="s">
        <v>216</v>
      </c>
      <c r="I1168" s="2" t="s">
        <v>217</v>
      </c>
      <c r="J1168" s="2" t="s">
        <v>1151</v>
      </c>
      <c r="K1168" s="2" t="s">
        <v>26228</v>
      </c>
      <c r="L1168" s="2"/>
      <c r="M1168" s="2"/>
      <c r="N1168" s="2"/>
      <c r="O1168" s="2" t="s">
        <v>216</v>
      </c>
      <c r="P1168" s="2" t="s">
        <v>217</v>
      </c>
      <c r="Q1168" s="2" t="s">
        <v>1151</v>
      </c>
      <c r="R1168" s="2" t="s">
        <v>7071</v>
      </c>
      <c r="S1168" s="2" t="s">
        <v>44</v>
      </c>
      <c r="T1168" s="2"/>
      <c r="U1168" s="2" t="s">
        <v>3527</v>
      </c>
      <c r="V1168" s="2" t="s">
        <v>46</v>
      </c>
      <c r="W1168" s="2" t="s">
        <v>3527</v>
      </c>
      <c r="X1168" s="2" t="s">
        <v>12417</v>
      </c>
      <c r="Y1168" s="2" t="s">
        <v>10801</v>
      </c>
      <c r="Z1168" s="2" t="s">
        <v>7864</v>
      </c>
      <c r="AA1168" s="2">
        <v>100</v>
      </c>
      <c r="AB1168" s="2">
        <v>10</v>
      </c>
      <c r="AC1168" s="2" t="s">
        <v>10789</v>
      </c>
      <c r="AD1168" s="2" t="s">
        <v>26229</v>
      </c>
      <c r="AE1168" s="2" t="s">
        <v>18260</v>
      </c>
      <c r="AF1168" s="2"/>
      <c r="AG1168" s="2" t="s">
        <v>18250</v>
      </c>
    </row>
    <row r="1169" spans="1:33" x14ac:dyDescent="0.45">
      <c r="A1169" s="2" t="s">
        <v>26230</v>
      </c>
      <c r="B1169" s="2" t="s">
        <v>26231</v>
      </c>
      <c r="C1169" s="2" t="s">
        <v>26232</v>
      </c>
      <c r="D1169" s="2" t="s">
        <v>26233</v>
      </c>
      <c r="E1169" s="2" t="s">
        <v>26234</v>
      </c>
      <c r="F1169" s="2"/>
      <c r="G1169" s="2"/>
      <c r="H1169" s="2" t="s">
        <v>277</v>
      </c>
      <c r="I1169" s="2" t="s">
        <v>278</v>
      </c>
      <c r="J1169" s="2" t="s">
        <v>1058</v>
      </c>
      <c r="K1169" s="2" t="s">
        <v>26233</v>
      </c>
      <c r="L1169" s="2"/>
      <c r="M1169" s="2"/>
      <c r="N1169" s="2"/>
      <c r="O1169" s="2" t="s">
        <v>277</v>
      </c>
      <c r="P1169" s="2" t="s">
        <v>278</v>
      </c>
      <c r="Q1169" s="2" t="s">
        <v>1058</v>
      </c>
      <c r="R1169" s="2" t="s">
        <v>6883</v>
      </c>
      <c r="S1169" s="2" t="s">
        <v>44</v>
      </c>
      <c r="T1169" s="2"/>
      <c r="U1169" s="2" t="s">
        <v>3527</v>
      </c>
      <c r="V1169" s="2" t="s">
        <v>46</v>
      </c>
      <c r="W1169" s="2" t="s">
        <v>3527</v>
      </c>
      <c r="X1169" s="2" t="s">
        <v>10787</v>
      </c>
      <c r="Y1169" s="2" t="s">
        <v>10801</v>
      </c>
      <c r="Z1169" s="2" t="s">
        <v>7864</v>
      </c>
      <c r="AA1169" s="2">
        <v>90</v>
      </c>
      <c r="AB1169" s="2">
        <v>0</v>
      </c>
      <c r="AC1169" s="2" t="s">
        <v>10789</v>
      </c>
      <c r="AD1169" s="2" t="s">
        <v>26235</v>
      </c>
      <c r="AE1169" s="2" t="s">
        <v>18260</v>
      </c>
      <c r="AF1169" s="2"/>
      <c r="AG1169" s="2" t="s">
        <v>18250</v>
      </c>
    </row>
    <row r="1170" spans="1:33" x14ac:dyDescent="0.45">
      <c r="A1170" s="2" t="s">
        <v>26236</v>
      </c>
      <c r="B1170" s="2" t="s">
        <v>26237</v>
      </c>
      <c r="C1170" s="2" t="s">
        <v>26238</v>
      </c>
      <c r="D1170" s="2" t="s">
        <v>26239</v>
      </c>
      <c r="E1170" s="2" t="s">
        <v>26240</v>
      </c>
      <c r="F1170" s="2" t="s">
        <v>26241</v>
      </c>
      <c r="G1170" s="2"/>
      <c r="H1170" s="2" t="s">
        <v>16854</v>
      </c>
      <c r="I1170" s="2" t="s">
        <v>1112</v>
      </c>
      <c r="J1170" s="2" t="s">
        <v>26242</v>
      </c>
      <c r="K1170" s="2" t="s">
        <v>26239</v>
      </c>
      <c r="L1170" s="2"/>
      <c r="M1170" s="2"/>
      <c r="N1170" s="2"/>
      <c r="O1170" s="2" t="s">
        <v>16854</v>
      </c>
      <c r="P1170" s="2" t="s">
        <v>1112</v>
      </c>
      <c r="Q1170" s="2" t="s">
        <v>26242</v>
      </c>
      <c r="R1170" s="2" t="s">
        <v>1419</v>
      </c>
      <c r="S1170" s="2" t="s">
        <v>44</v>
      </c>
      <c r="T1170" s="2"/>
      <c r="U1170" s="2" t="s">
        <v>821</v>
      </c>
      <c r="V1170" s="2" t="s">
        <v>46</v>
      </c>
      <c r="W1170" s="2" t="s">
        <v>821</v>
      </c>
      <c r="X1170" s="2" t="s">
        <v>10787</v>
      </c>
      <c r="Y1170" s="2" t="s">
        <v>10801</v>
      </c>
      <c r="Z1170" s="2" t="s">
        <v>7864</v>
      </c>
      <c r="AA1170" s="2">
        <v>100</v>
      </c>
      <c r="AB1170" s="2">
        <v>12</v>
      </c>
      <c r="AC1170" s="2" t="s">
        <v>10789</v>
      </c>
      <c r="AD1170" s="2" t="s">
        <v>26243</v>
      </c>
      <c r="AE1170" s="2" t="s">
        <v>18260</v>
      </c>
      <c r="AF1170" s="2"/>
      <c r="AG1170" s="2" t="s">
        <v>18250</v>
      </c>
    </row>
    <row r="1171" spans="1:33" x14ac:dyDescent="0.45">
      <c r="A1171" s="2" t="s">
        <v>26244</v>
      </c>
      <c r="B1171" s="2" t="s">
        <v>26245</v>
      </c>
      <c r="C1171" s="2" t="s">
        <v>26244</v>
      </c>
      <c r="D1171" s="2" t="s">
        <v>26246</v>
      </c>
      <c r="E1171" s="2" t="s">
        <v>26247</v>
      </c>
      <c r="F1171" s="2" t="s">
        <v>26248</v>
      </c>
      <c r="G1171" s="2"/>
      <c r="H1171" s="2" t="s">
        <v>10502</v>
      </c>
      <c r="I1171" s="2" t="s">
        <v>1112</v>
      </c>
      <c r="J1171" s="2" t="s">
        <v>26249</v>
      </c>
      <c r="K1171" s="2" t="s">
        <v>26246</v>
      </c>
      <c r="L1171" s="2"/>
      <c r="M1171" s="2"/>
      <c r="N1171" s="2"/>
      <c r="O1171" s="2" t="s">
        <v>10502</v>
      </c>
      <c r="P1171" s="2" t="s">
        <v>1112</v>
      </c>
      <c r="Q1171" s="2" t="s">
        <v>26249</v>
      </c>
      <c r="R1171" s="2" t="s">
        <v>21025</v>
      </c>
      <c r="S1171" s="2" t="s">
        <v>44</v>
      </c>
      <c r="T1171" s="2"/>
      <c r="U1171" s="2" t="s">
        <v>3527</v>
      </c>
      <c r="V1171" s="2" t="s">
        <v>46</v>
      </c>
      <c r="W1171" s="2" t="s">
        <v>3527</v>
      </c>
      <c r="X1171" s="2" t="s">
        <v>10787</v>
      </c>
      <c r="Y1171" s="2" t="s">
        <v>10801</v>
      </c>
      <c r="Z1171" s="2" t="s">
        <v>7864</v>
      </c>
      <c r="AA1171" s="2">
        <v>100</v>
      </c>
      <c r="AB1171" s="2">
        <v>5</v>
      </c>
      <c r="AC1171" s="2" t="s">
        <v>10789</v>
      </c>
      <c r="AD1171" s="2" t="s">
        <v>26250</v>
      </c>
      <c r="AE1171" s="2" t="s">
        <v>18260</v>
      </c>
      <c r="AF1171" s="2"/>
      <c r="AG1171" s="2" t="s">
        <v>18250</v>
      </c>
    </row>
    <row r="1172" spans="1:33" x14ac:dyDescent="0.45">
      <c r="A1172" s="2" t="s">
        <v>26251</v>
      </c>
      <c r="B1172" s="2" t="s">
        <v>26252</v>
      </c>
      <c r="C1172" s="2" t="s">
        <v>26253</v>
      </c>
      <c r="D1172" s="2" t="s">
        <v>26254</v>
      </c>
      <c r="E1172" s="2" t="s">
        <v>26255</v>
      </c>
      <c r="F1172" s="2" t="s">
        <v>26256</v>
      </c>
      <c r="G1172" s="2" t="s">
        <v>26256</v>
      </c>
      <c r="H1172" s="2" t="s">
        <v>59</v>
      </c>
      <c r="I1172" s="2" t="s">
        <v>60</v>
      </c>
      <c r="J1172" s="2" t="s">
        <v>9296</v>
      </c>
      <c r="K1172" s="2" t="s">
        <v>26254</v>
      </c>
      <c r="L1172" s="2"/>
      <c r="M1172" s="2"/>
      <c r="N1172" s="2"/>
      <c r="O1172" s="2" t="s">
        <v>59</v>
      </c>
      <c r="P1172" s="2" t="s">
        <v>60</v>
      </c>
      <c r="Q1172" s="2" t="s">
        <v>9296</v>
      </c>
      <c r="R1172" s="2" t="s">
        <v>14826</v>
      </c>
      <c r="S1172" s="2" t="s">
        <v>44</v>
      </c>
      <c r="T1172" s="2"/>
      <c r="U1172" s="2" t="s">
        <v>821</v>
      </c>
      <c r="V1172" s="2" t="s">
        <v>46</v>
      </c>
      <c r="W1172" s="2" t="s">
        <v>821</v>
      </c>
      <c r="X1172" s="2" t="s">
        <v>10787</v>
      </c>
      <c r="Y1172" s="2" t="s">
        <v>10801</v>
      </c>
      <c r="Z1172" s="2" t="s">
        <v>7864</v>
      </c>
      <c r="AA1172" s="2">
        <v>100</v>
      </c>
      <c r="AB1172" s="2">
        <v>17</v>
      </c>
      <c r="AC1172" s="2" t="s">
        <v>10789</v>
      </c>
      <c r="AD1172" s="2" t="s">
        <v>26257</v>
      </c>
      <c r="AE1172" s="2" t="s">
        <v>18260</v>
      </c>
      <c r="AF1172" s="2"/>
      <c r="AG1172" s="2" t="s">
        <v>18250</v>
      </c>
    </row>
    <row r="1173" spans="1:33" x14ac:dyDescent="0.45">
      <c r="A1173" s="2" t="s">
        <v>26258</v>
      </c>
      <c r="B1173" s="2" t="s">
        <v>26259</v>
      </c>
      <c r="C1173" s="2" t="s">
        <v>26258</v>
      </c>
      <c r="D1173" s="2" t="s">
        <v>26260</v>
      </c>
      <c r="E1173" s="2" t="s">
        <v>26261</v>
      </c>
      <c r="F1173" s="2" t="s">
        <v>26262</v>
      </c>
      <c r="G1173" s="2"/>
      <c r="H1173" s="2" t="s">
        <v>2962</v>
      </c>
      <c r="I1173" s="2" t="s">
        <v>73</v>
      </c>
      <c r="J1173" s="2" t="s">
        <v>26263</v>
      </c>
      <c r="K1173" s="2" t="s">
        <v>26260</v>
      </c>
      <c r="L1173" s="2"/>
      <c r="M1173" s="2"/>
      <c r="N1173" s="2"/>
      <c r="O1173" s="2" t="s">
        <v>2962</v>
      </c>
      <c r="P1173" s="2" t="s">
        <v>73</v>
      </c>
      <c r="Q1173" s="2" t="s">
        <v>26263</v>
      </c>
      <c r="R1173" s="2" t="s">
        <v>3216</v>
      </c>
      <c r="S1173" s="2" t="s">
        <v>44</v>
      </c>
      <c r="T1173" s="2"/>
      <c r="U1173" s="2" t="s">
        <v>3527</v>
      </c>
      <c r="V1173" s="2" t="s">
        <v>46</v>
      </c>
      <c r="W1173" s="2" t="s">
        <v>3527</v>
      </c>
      <c r="X1173" s="2" t="s">
        <v>10787</v>
      </c>
      <c r="Y1173" s="2" t="s">
        <v>10801</v>
      </c>
      <c r="Z1173" s="2" t="s">
        <v>7864</v>
      </c>
      <c r="AA1173" s="2">
        <v>100</v>
      </c>
      <c r="AB1173" s="2">
        <v>5</v>
      </c>
      <c r="AC1173" s="2" t="s">
        <v>10789</v>
      </c>
      <c r="AD1173" s="2" t="s">
        <v>26264</v>
      </c>
      <c r="AE1173" s="2" t="s">
        <v>18260</v>
      </c>
      <c r="AF1173" s="2"/>
      <c r="AG1173" s="2" t="s">
        <v>18250</v>
      </c>
    </row>
    <row r="1174" spans="1:33" x14ac:dyDescent="0.45">
      <c r="A1174" s="2" t="s">
        <v>26265</v>
      </c>
      <c r="B1174" s="2" t="s">
        <v>26266</v>
      </c>
      <c r="C1174" s="2" t="s">
        <v>26267</v>
      </c>
      <c r="D1174" s="2" t="s">
        <v>26268</v>
      </c>
      <c r="E1174" s="2" t="s">
        <v>26269</v>
      </c>
      <c r="F1174" s="2"/>
      <c r="G1174" s="2"/>
      <c r="H1174" s="2" t="s">
        <v>72</v>
      </c>
      <c r="I1174" s="2" t="s">
        <v>73</v>
      </c>
      <c r="J1174" s="2" t="s">
        <v>23669</v>
      </c>
      <c r="K1174" s="2" t="s">
        <v>26270</v>
      </c>
      <c r="L1174" s="2"/>
      <c r="M1174" s="2"/>
      <c r="N1174" s="2"/>
      <c r="O1174" s="2" t="s">
        <v>72</v>
      </c>
      <c r="P1174" s="2" t="s">
        <v>73</v>
      </c>
      <c r="Q1174" s="2" t="s">
        <v>23669</v>
      </c>
      <c r="R1174" s="2" t="s">
        <v>26271</v>
      </c>
      <c r="S1174" s="2" t="s">
        <v>44</v>
      </c>
      <c r="T1174" s="2"/>
      <c r="U1174" s="2" t="s">
        <v>3527</v>
      </c>
      <c r="V1174" s="2" t="s">
        <v>46</v>
      </c>
      <c r="W1174" s="2" t="s">
        <v>3527</v>
      </c>
      <c r="X1174" s="2" t="s">
        <v>10787</v>
      </c>
      <c r="Y1174" s="2" t="s">
        <v>10801</v>
      </c>
      <c r="Z1174" s="2" t="s">
        <v>7864</v>
      </c>
      <c r="AA1174" s="2">
        <v>90</v>
      </c>
      <c r="AB1174" s="2">
        <v>0</v>
      </c>
      <c r="AC1174" s="2" t="s">
        <v>10789</v>
      </c>
      <c r="AD1174" s="2" t="s">
        <v>26272</v>
      </c>
      <c r="AE1174" s="2" t="s">
        <v>18260</v>
      </c>
      <c r="AF1174" s="2"/>
      <c r="AG1174" s="2" t="s">
        <v>18250</v>
      </c>
    </row>
    <row r="1175" spans="1:33" x14ac:dyDescent="0.45">
      <c r="A1175" s="2" t="s">
        <v>26265</v>
      </c>
      <c r="B1175" s="2" t="s">
        <v>26266</v>
      </c>
      <c r="C1175" s="2" t="s">
        <v>26267</v>
      </c>
      <c r="D1175" s="2" t="s">
        <v>26268</v>
      </c>
      <c r="E1175" s="2" t="s">
        <v>26269</v>
      </c>
      <c r="F1175" s="2"/>
      <c r="G1175" s="2"/>
      <c r="H1175" s="2" t="s">
        <v>72</v>
      </c>
      <c r="I1175" s="2" t="s">
        <v>73</v>
      </c>
      <c r="J1175" s="2" t="s">
        <v>23669</v>
      </c>
      <c r="K1175" s="2" t="s">
        <v>26270</v>
      </c>
      <c r="L1175" s="2"/>
      <c r="M1175" s="2"/>
      <c r="N1175" s="2"/>
      <c r="O1175" s="2" t="s">
        <v>72</v>
      </c>
      <c r="P1175" s="2" t="s">
        <v>73</v>
      </c>
      <c r="Q1175" s="2" t="s">
        <v>23669</v>
      </c>
      <c r="R1175" s="2" t="s">
        <v>26271</v>
      </c>
      <c r="S1175" s="2" t="s">
        <v>44</v>
      </c>
      <c r="T1175" s="2"/>
      <c r="U1175" s="2" t="s">
        <v>3527</v>
      </c>
      <c r="V1175" s="2" t="s">
        <v>46</v>
      </c>
      <c r="W1175" s="2" t="s">
        <v>3527</v>
      </c>
      <c r="X1175" s="2" t="s">
        <v>10787</v>
      </c>
      <c r="Y1175" s="2" t="s">
        <v>10801</v>
      </c>
      <c r="Z1175" s="2" t="s">
        <v>7864</v>
      </c>
      <c r="AA1175" s="2">
        <v>90</v>
      </c>
      <c r="AB1175" s="2">
        <v>0</v>
      </c>
      <c r="AC1175" s="2" t="s">
        <v>10789</v>
      </c>
      <c r="AD1175" s="2" t="s">
        <v>26272</v>
      </c>
      <c r="AE1175" s="2" t="s">
        <v>18260</v>
      </c>
      <c r="AF1175" s="2"/>
      <c r="AG1175" s="2" t="s">
        <v>18250</v>
      </c>
    </row>
    <row r="1176" spans="1:33" x14ac:dyDescent="0.45">
      <c r="A1176" s="2" t="s">
        <v>26273</v>
      </c>
      <c r="B1176" s="2" t="s">
        <v>26274</v>
      </c>
      <c r="C1176" s="2" t="s">
        <v>26273</v>
      </c>
      <c r="D1176" s="2" t="s">
        <v>26275</v>
      </c>
      <c r="E1176" s="2" t="s">
        <v>26276</v>
      </c>
      <c r="F1176" s="2" t="s">
        <v>26277</v>
      </c>
      <c r="G1176" s="2" t="s">
        <v>26277</v>
      </c>
      <c r="H1176" s="2" t="s">
        <v>85</v>
      </c>
      <c r="I1176" s="2" t="s">
        <v>86</v>
      </c>
      <c r="J1176" s="2" t="s">
        <v>2260</v>
      </c>
      <c r="K1176" s="2" t="s">
        <v>26275</v>
      </c>
      <c r="L1176" s="2"/>
      <c r="M1176" s="2"/>
      <c r="N1176" s="2"/>
      <c r="O1176" s="2" t="s">
        <v>85</v>
      </c>
      <c r="P1176" s="2" t="s">
        <v>86</v>
      </c>
      <c r="Q1176" s="2" t="s">
        <v>2260</v>
      </c>
      <c r="R1176" s="2" t="s">
        <v>11047</v>
      </c>
      <c r="S1176" s="2" t="s">
        <v>44</v>
      </c>
      <c r="T1176" s="2"/>
      <c r="U1176" s="2" t="s">
        <v>821</v>
      </c>
      <c r="V1176" s="2" t="s">
        <v>46</v>
      </c>
      <c r="W1176" s="2" t="s">
        <v>821</v>
      </c>
      <c r="X1176" s="2" t="s">
        <v>11537</v>
      </c>
      <c r="Y1176" s="2" t="s">
        <v>10801</v>
      </c>
      <c r="Z1176" s="2" t="s">
        <v>7864</v>
      </c>
      <c r="AA1176" s="2">
        <v>100</v>
      </c>
      <c r="AB1176" s="2">
        <v>17</v>
      </c>
      <c r="AC1176" s="2" t="s">
        <v>10789</v>
      </c>
      <c r="AD1176" s="2" t="s">
        <v>26278</v>
      </c>
      <c r="AE1176" s="2" t="s">
        <v>18260</v>
      </c>
      <c r="AF1176" s="2"/>
      <c r="AG1176" s="2" t="s">
        <v>18250</v>
      </c>
    </row>
    <row r="1177" spans="1:33" x14ac:dyDescent="0.45">
      <c r="A1177" s="2" t="s">
        <v>26279</v>
      </c>
      <c r="B1177" s="2" t="s">
        <v>26280</v>
      </c>
      <c r="C1177" s="2" t="s">
        <v>12756</v>
      </c>
      <c r="D1177" s="2" t="s">
        <v>26281</v>
      </c>
      <c r="E1177" s="2" t="s">
        <v>26282</v>
      </c>
      <c r="F1177" s="2"/>
      <c r="G1177" s="2"/>
      <c r="H1177" s="2" t="s">
        <v>1161</v>
      </c>
      <c r="I1177" s="2" t="s">
        <v>221</v>
      </c>
      <c r="J1177" s="2" t="s">
        <v>5871</v>
      </c>
      <c r="K1177" s="2" t="s">
        <v>26281</v>
      </c>
      <c r="L1177" s="2"/>
      <c r="M1177" s="2"/>
      <c r="N1177" s="2"/>
      <c r="O1177" s="2" t="s">
        <v>1161</v>
      </c>
      <c r="P1177" s="2" t="s">
        <v>221</v>
      </c>
      <c r="Q1177" s="2" t="s">
        <v>5871</v>
      </c>
      <c r="R1177" s="2" t="s">
        <v>13507</v>
      </c>
      <c r="S1177" s="2" t="s">
        <v>44</v>
      </c>
      <c r="T1177" s="2"/>
      <c r="U1177" s="2" t="s">
        <v>3527</v>
      </c>
      <c r="V1177" s="2" t="s">
        <v>46</v>
      </c>
      <c r="W1177" s="2" t="s">
        <v>3527</v>
      </c>
      <c r="X1177" s="2" t="s">
        <v>10787</v>
      </c>
      <c r="Y1177" s="2" t="s">
        <v>10801</v>
      </c>
      <c r="Z1177" s="2" t="s">
        <v>7864</v>
      </c>
      <c r="AA1177" s="2">
        <v>90</v>
      </c>
      <c r="AB1177" s="2">
        <v>0</v>
      </c>
      <c r="AC1177" s="2" t="s">
        <v>10789</v>
      </c>
      <c r="AD1177" s="2" t="s">
        <v>26283</v>
      </c>
      <c r="AE1177" s="2" t="s">
        <v>18260</v>
      </c>
      <c r="AF1177" s="2"/>
      <c r="AG1177" s="2" t="s">
        <v>18250</v>
      </c>
    </row>
    <row r="1178" spans="1:33" x14ac:dyDescent="0.45">
      <c r="A1178" s="2" t="s">
        <v>26284</v>
      </c>
      <c r="B1178" s="2" t="s">
        <v>26285</v>
      </c>
      <c r="C1178" s="2" t="s">
        <v>26286</v>
      </c>
      <c r="D1178" s="2" t="s">
        <v>26287</v>
      </c>
      <c r="E1178" s="2" t="s">
        <v>26288</v>
      </c>
      <c r="F1178" s="2" t="s">
        <v>26289</v>
      </c>
      <c r="G1178" s="2" t="s">
        <v>26289</v>
      </c>
      <c r="H1178" s="2" t="s">
        <v>22892</v>
      </c>
      <c r="I1178" s="2" t="s">
        <v>217</v>
      </c>
      <c r="J1178" s="2" t="s">
        <v>26290</v>
      </c>
      <c r="K1178" s="2" t="s">
        <v>26287</v>
      </c>
      <c r="L1178" s="2"/>
      <c r="M1178" s="2"/>
      <c r="N1178" s="2"/>
      <c r="O1178" s="2" t="s">
        <v>22892</v>
      </c>
      <c r="P1178" s="2" t="s">
        <v>217</v>
      </c>
      <c r="Q1178" s="2" t="s">
        <v>26290</v>
      </c>
      <c r="R1178" s="2" t="s">
        <v>12874</v>
      </c>
      <c r="S1178" s="2" t="s">
        <v>44</v>
      </c>
      <c r="T1178" s="2"/>
      <c r="U1178" s="2" t="s">
        <v>3527</v>
      </c>
      <c r="V1178" s="2" t="s">
        <v>46</v>
      </c>
      <c r="W1178" s="2" t="s">
        <v>3527</v>
      </c>
      <c r="X1178" s="2" t="s">
        <v>25517</v>
      </c>
      <c r="Y1178" s="2" t="s">
        <v>10801</v>
      </c>
      <c r="Z1178" s="2" t="s">
        <v>7864</v>
      </c>
      <c r="AA1178" s="2">
        <v>100</v>
      </c>
      <c r="AB1178" s="2">
        <v>5</v>
      </c>
      <c r="AC1178" s="2" t="s">
        <v>10789</v>
      </c>
      <c r="AD1178" s="2" t="s">
        <v>26291</v>
      </c>
      <c r="AE1178" s="2" t="s">
        <v>18260</v>
      </c>
      <c r="AF1178" s="2"/>
      <c r="AG1178" s="2" t="s">
        <v>18250</v>
      </c>
    </row>
    <row r="1179" spans="1:33" x14ac:dyDescent="0.45">
      <c r="A1179" s="2" t="s">
        <v>26292</v>
      </c>
      <c r="B1179" s="2" t="s">
        <v>26293</v>
      </c>
      <c r="C1179" s="2" t="s">
        <v>26294</v>
      </c>
      <c r="D1179" s="2" t="s">
        <v>26295</v>
      </c>
      <c r="E1179" s="2" t="s">
        <v>26296</v>
      </c>
      <c r="F1179" s="2" t="s">
        <v>26297</v>
      </c>
      <c r="G1179" s="2"/>
      <c r="H1179" s="2" t="s">
        <v>1023</v>
      </c>
      <c r="I1179" s="2" t="s">
        <v>73</v>
      </c>
      <c r="J1179" s="2" t="s">
        <v>4550</v>
      </c>
      <c r="K1179" s="2" t="s">
        <v>26295</v>
      </c>
      <c r="L1179" s="2"/>
      <c r="M1179" s="2"/>
      <c r="N1179" s="2"/>
      <c r="O1179" s="2" t="s">
        <v>1023</v>
      </c>
      <c r="P1179" s="2" t="s">
        <v>73</v>
      </c>
      <c r="Q1179" s="2" t="s">
        <v>4550</v>
      </c>
      <c r="R1179" s="2" t="s">
        <v>1199</v>
      </c>
      <c r="S1179" s="2" t="s">
        <v>44</v>
      </c>
      <c r="T1179" s="2"/>
      <c r="U1179" s="2" t="s">
        <v>3527</v>
      </c>
      <c r="V1179" s="2" t="s">
        <v>46</v>
      </c>
      <c r="W1179" s="2" t="s">
        <v>3527</v>
      </c>
      <c r="X1179" s="2" t="s">
        <v>10787</v>
      </c>
      <c r="Y1179" s="2" t="s">
        <v>10801</v>
      </c>
      <c r="Z1179" s="2" t="s">
        <v>7864</v>
      </c>
      <c r="AA1179" s="2">
        <v>100</v>
      </c>
      <c r="AB1179" s="2">
        <v>10</v>
      </c>
      <c r="AC1179" s="2" t="s">
        <v>10789</v>
      </c>
      <c r="AD1179" s="2" t="s">
        <v>26298</v>
      </c>
      <c r="AE1179" s="2" t="s">
        <v>18260</v>
      </c>
      <c r="AF1179" s="2"/>
      <c r="AG1179" s="2" t="s">
        <v>18250</v>
      </c>
    </row>
    <row r="1180" spans="1:33" x14ac:dyDescent="0.45">
      <c r="A1180" s="2" t="s">
        <v>26299</v>
      </c>
      <c r="B1180" s="2" t="s">
        <v>26300</v>
      </c>
      <c r="C1180" s="2" t="s">
        <v>26301</v>
      </c>
      <c r="D1180" s="2" t="s">
        <v>26302</v>
      </c>
      <c r="E1180" s="2" t="s">
        <v>26303</v>
      </c>
      <c r="F1180" s="2"/>
      <c r="G1180" s="2"/>
      <c r="H1180" s="2" t="s">
        <v>384</v>
      </c>
      <c r="I1180" s="2" t="s">
        <v>73</v>
      </c>
      <c r="J1180" s="2" t="s">
        <v>26304</v>
      </c>
      <c r="K1180" s="2" t="s">
        <v>26305</v>
      </c>
      <c r="L1180" s="2"/>
      <c r="M1180" s="2"/>
      <c r="N1180" s="2"/>
      <c r="O1180" s="2" t="s">
        <v>384</v>
      </c>
      <c r="P1180" s="2" t="s">
        <v>73</v>
      </c>
      <c r="Q1180" s="2" t="s">
        <v>26304</v>
      </c>
      <c r="R1180" s="2" t="s">
        <v>26306</v>
      </c>
      <c r="S1180" s="2" t="s">
        <v>44</v>
      </c>
      <c r="T1180" s="2"/>
      <c r="U1180" s="2" t="s">
        <v>3527</v>
      </c>
      <c r="V1180" s="2" t="s">
        <v>46</v>
      </c>
      <c r="W1180" s="2" t="s">
        <v>3527</v>
      </c>
      <c r="X1180" s="2" t="s">
        <v>12462</v>
      </c>
      <c r="Y1180" s="2" t="s">
        <v>10801</v>
      </c>
      <c r="Z1180" s="2" t="s">
        <v>7864</v>
      </c>
      <c r="AA1180" s="2">
        <v>90</v>
      </c>
      <c r="AB1180" s="2">
        <v>0</v>
      </c>
      <c r="AC1180" s="2" t="s">
        <v>10789</v>
      </c>
      <c r="AD1180" s="2" t="s">
        <v>26307</v>
      </c>
      <c r="AE1180" s="2" t="s">
        <v>18260</v>
      </c>
      <c r="AF1180" s="2"/>
      <c r="AG1180" s="2" t="s">
        <v>18250</v>
      </c>
    </row>
    <row r="1181" spans="1:33" x14ac:dyDescent="0.45">
      <c r="A1181" s="2" t="s">
        <v>26308</v>
      </c>
      <c r="B1181" s="2" t="s">
        <v>26309</v>
      </c>
      <c r="C1181" s="2" t="s">
        <v>26308</v>
      </c>
      <c r="D1181" s="2" t="s">
        <v>26310</v>
      </c>
      <c r="E1181" s="2" t="s">
        <v>26311</v>
      </c>
      <c r="F1181" s="2"/>
      <c r="G1181" s="2"/>
      <c r="H1181" s="2" t="s">
        <v>85</v>
      </c>
      <c r="I1181" s="2" t="s">
        <v>86</v>
      </c>
      <c r="J1181" s="2" t="s">
        <v>3073</v>
      </c>
      <c r="K1181" s="2" t="s">
        <v>26310</v>
      </c>
      <c r="L1181" s="2"/>
      <c r="M1181" s="2"/>
      <c r="N1181" s="2"/>
      <c r="O1181" s="2" t="s">
        <v>85</v>
      </c>
      <c r="P1181" s="2" t="s">
        <v>86</v>
      </c>
      <c r="Q1181" s="2" t="s">
        <v>3073</v>
      </c>
      <c r="R1181" s="2" t="s">
        <v>7957</v>
      </c>
      <c r="S1181" s="2" t="s">
        <v>44</v>
      </c>
      <c r="T1181" s="2"/>
      <c r="U1181" s="2" t="s">
        <v>3527</v>
      </c>
      <c r="V1181" s="2" t="s">
        <v>46</v>
      </c>
      <c r="W1181" s="2" t="s">
        <v>3527</v>
      </c>
      <c r="X1181" s="2" t="s">
        <v>12417</v>
      </c>
      <c r="Y1181" s="2" t="s">
        <v>10801</v>
      </c>
      <c r="Z1181" s="2" t="s">
        <v>7864</v>
      </c>
      <c r="AA1181" s="2">
        <v>90</v>
      </c>
      <c r="AB1181" s="2">
        <v>0</v>
      </c>
      <c r="AC1181" s="2" t="s">
        <v>10789</v>
      </c>
      <c r="AD1181" s="2" t="s">
        <v>26312</v>
      </c>
      <c r="AE1181" s="2" t="s">
        <v>18260</v>
      </c>
      <c r="AF1181" s="2"/>
      <c r="AG1181" s="2" t="s">
        <v>18250</v>
      </c>
    </row>
    <row r="1182" spans="1:33" x14ac:dyDescent="0.45">
      <c r="A1182" s="2" t="s">
        <v>26313</v>
      </c>
      <c r="B1182" s="2" t="s">
        <v>26314</v>
      </c>
      <c r="C1182" s="2" t="s">
        <v>26315</v>
      </c>
      <c r="D1182" s="2" t="s">
        <v>26316</v>
      </c>
      <c r="E1182" s="2" t="s">
        <v>26317</v>
      </c>
      <c r="F1182" s="2" t="s">
        <v>26318</v>
      </c>
      <c r="G1182" s="2"/>
      <c r="H1182" s="2" t="s">
        <v>8392</v>
      </c>
      <c r="I1182" s="2" t="s">
        <v>313</v>
      </c>
      <c r="J1182" s="2" t="s">
        <v>8393</v>
      </c>
      <c r="K1182" s="2" t="s">
        <v>26316</v>
      </c>
      <c r="L1182" s="2"/>
      <c r="M1182" s="2"/>
      <c r="N1182" s="2"/>
      <c r="O1182" s="2" t="s">
        <v>8392</v>
      </c>
      <c r="P1182" s="2" t="s">
        <v>313</v>
      </c>
      <c r="Q1182" s="2" t="s">
        <v>8393</v>
      </c>
      <c r="R1182" s="2" t="s">
        <v>5286</v>
      </c>
      <c r="S1182" s="2" t="s">
        <v>44</v>
      </c>
      <c r="T1182" s="2"/>
      <c r="U1182" s="2" t="s">
        <v>3527</v>
      </c>
      <c r="V1182" s="2" t="s">
        <v>46</v>
      </c>
      <c r="W1182" s="2" t="s">
        <v>3527</v>
      </c>
      <c r="X1182" s="2" t="s">
        <v>10787</v>
      </c>
      <c r="Y1182" s="2" t="s">
        <v>10801</v>
      </c>
      <c r="Z1182" s="2" t="s">
        <v>7864</v>
      </c>
      <c r="AA1182" s="2">
        <v>100</v>
      </c>
      <c r="AB1182" s="2">
        <v>5</v>
      </c>
      <c r="AC1182" s="2" t="s">
        <v>10789</v>
      </c>
      <c r="AD1182" s="2" t="s">
        <v>26319</v>
      </c>
      <c r="AE1182" s="2" t="s">
        <v>18260</v>
      </c>
      <c r="AF1182" s="2"/>
      <c r="AG1182" s="2" t="s">
        <v>18250</v>
      </c>
    </row>
    <row r="1183" spans="1:33" x14ac:dyDescent="0.45">
      <c r="A1183" s="2" t="s">
        <v>26320</v>
      </c>
      <c r="B1183" s="2" t="s">
        <v>26321</v>
      </c>
      <c r="C1183" s="2" t="s">
        <v>26322</v>
      </c>
      <c r="D1183" s="2" t="s">
        <v>26323</v>
      </c>
      <c r="E1183" s="2" t="s">
        <v>26324</v>
      </c>
      <c r="F1183" s="2" t="s">
        <v>26325</v>
      </c>
      <c r="G1183" s="2" t="s">
        <v>26325</v>
      </c>
      <c r="H1183" s="2" t="s">
        <v>72</v>
      </c>
      <c r="I1183" s="2" t="s">
        <v>73</v>
      </c>
      <c r="J1183" s="2" t="s">
        <v>2061</v>
      </c>
      <c r="K1183" s="2" t="s">
        <v>26326</v>
      </c>
      <c r="L1183" s="2"/>
      <c r="M1183" s="2"/>
      <c r="N1183" s="2"/>
      <c r="O1183" s="2" t="s">
        <v>72</v>
      </c>
      <c r="P1183" s="2" t="s">
        <v>73</v>
      </c>
      <c r="Q1183" s="2" t="s">
        <v>2061</v>
      </c>
      <c r="R1183" s="2" t="s">
        <v>26327</v>
      </c>
      <c r="S1183" s="2" t="s">
        <v>44</v>
      </c>
      <c r="T1183" s="2"/>
      <c r="U1183" s="2" t="s">
        <v>3527</v>
      </c>
      <c r="V1183" s="2" t="s">
        <v>46</v>
      </c>
      <c r="W1183" s="2" t="s">
        <v>3527</v>
      </c>
      <c r="X1183" s="2" t="s">
        <v>10787</v>
      </c>
      <c r="Y1183" s="2" t="s">
        <v>10801</v>
      </c>
      <c r="Z1183" s="2" t="s">
        <v>7864</v>
      </c>
      <c r="AA1183" s="2">
        <v>100</v>
      </c>
      <c r="AB1183" s="2">
        <v>10</v>
      </c>
      <c r="AC1183" s="2" t="s">
        <v>10789</v>
      </c>
      <c r="AD1183" s="2" t="s">
        <v>26328</v>
      </c>
      <c r="AE1183" s="2" t="s">
        <v>18260</v>
      </c>
      <c r="AF1183" s="2"/>
      <c r="AG1183" s="2" t="s">
        <v>18250</v>
      </c>
    </row>
    <row r="1184" spans="1:33" x14ac:dyDescent="0.45">
      <c r="A1184" s="2" t="s">
        <v>26329</v>
      </c>
      <c r="B1184" s="2" t="s">
        <v>26330</v>
      </c>
      <c r="C1184" s="2" t="s">
        <v>26329</v>
      </c>
      <c r="D1184" s="2" t="s">
        <v>26331</v>
      </c>
      <c r="E1184" s="2" t="s">
        <v>26332</v>
      </c>
      <c r="F1184" s="2"/>
      <c r="G1184" s="2"/>
      <c r="H1184" s="2" t="s">
        <v>26333</v>
      </c>
      <c r="I1184" s="2" t="s">
        <v>1176</v>
      </c>
      <c r="J1184" s="2" t="s">
        <v>18743</v>
      </c>
      <c r="K1184" s="2" t="s">
        <v>26331</v>
      </c>
      <c r="L1184" s="2"/>
      <c r="M1184" s="2"/>
      <c r="N1184" s="2"/>
      <c r="O1184" s="2" t="s">
        <v>26333</v>
      </c>
      <c r="P1184" s="2" t="s">
        <v>1176</v>
      </c>
      <c r="Q1184" s="2" t="s">
        <v>18743</v>
      </c>
      <c r="R1184" s="2" t="s">
        <v>7024</v>
      </c>
      <c r="S1184" s="2" t="s">
        <v>44</v>
      </c>
      <c r="T1184" s="2"/>
      <c r="U1184" s="2" t="s">
        <v>3527</v>
      </c>
      <c r="V1184" s="2" t="s">
        <v>46</v>
      </c>
      <c r="W1184" s="2" t="s">
        <v>3527</v>
      </c>
      <c r="X1184" s="2" t="s">
        <v>10787</v>
      </c>
      <c r="Y1184" s="2" t="s">
        <v>10801</v>
      </c>
      <c r="Z1184" s="2" t="s">
        <v>7864</v>
      </c>
      <c r="AA1184" s="2">
        <v>90</v>
      </c>
      <c r="AB1184" s="2">
        <v>0</v>
      </c>
      <c r="AC1184" s="2" t="s">
        <v>10789</v>
      </c>
      <c r="AD1184" s="2" t="s">
        <v>26334</v>
      </c>
      <c r="AE1184" s="2" t="s">
        <v>18260</v>
      </c>
      <c r="AF1184" s="2"/>
      <c r="AG1184" s="2" t="s">
        <v>18250</v>
      </c>
    </row>
    <row r="1185" spans="1:33" x14ac:dyDescent="0.45">
      <c r="A1185" s="2" t="s">
        <v>26335</v>
      </c>
      <c r="B1185" s="2" t="s">
        <v>26336</v>
      </c>
      <c r="C1185" s="2" t="s">
        <v>26335</v>
      </c>
      <c r="D1185" s="2" t="s">
        <v>26337</v>
      </c>
      <c r="E1185" s="2" t="s">
        <v>26338</v>
      </c>
      <c r="F1185" s="2"/>
      <c r="G1185" s="2"/>
      <c r="H1185" s="2" t="s">
        <v>651</v>
      </c>
      <c r="I1185" s="2" t="s">
        <v>86</v>
      </c>
      <c r="J1185" s="2" t="s">
        <v>6612</v>
      </c>
      <c r="K1185" s="2" t="s">
        <v>26337</v>
      </c>
      <c r="L1185" s="2"/>
      <c r="M1185" s="2"/>
      <c r="N1185" s="2"/>
      <c r="O1185" s="2" t="s">
        <v>651</v>
      </c>
      <c r="P1185" s="2" t="s">
        <v>86</v>
      </c>
      <c r="Q1185" s="2" t="s">
        <v>6612</v>
      </c>
      <c r="R1185" s="2" t="s">
        <v>9022</v>
      </c>
      <c r="S1185" s="2" t="s">
        <v>44</v>
      </c>
      <c r="T1185" s="2"/>
      <c r="U1185" s="2" t="s">
        <v>3527</v>
      </c>
      <c r="V1185" s="2" t="s">
        <v>46</v>
      </c>
      <c r="W1185" s="2" t="s">
        <v>3527</v>
      </c>
      <c r="X1185" s="2" t="s">
        <v>10787</v>
      </c>
      <c r="Y1185" s="2" t="s">
        <v>10801</v>
      </c>
      <c r="Z1185" s="2" t="s">
        <v>7864</v>
      </c>
      <c r="AA1185" s="2">
        <v>90</v>
      </c>
      <c r="AB1185" s="2">
        <v>0</v>
      </c>
      <c r="AC1185" s="2" t="s">
        <v>10789</v>
      </c>
      <c r="AD1185" s="2" t="s">
        <v>26339</v>
      </c>
      <c r="AE1185" s="2" t="s">
        <v>18260</v>
      </c>
      <c r="AF1185" s="2"/>
      <c r="AG1185" s="2" t="s">
        <v>18250</v>
      </c>
    </row>
    <row r="1186" spans="1:33" x14ac:dyDescent="0.45">
      <c r="A1186" s="2" t="s">
        <v>26340</v>
      </c>
      <c r="B1186" s="2" t="s">
        <v>26341</v>
      </c>
      <c r="C1186" s="2" t="s">
        <v>26342</v>
      </c>
      <c r="D1186" s="2" t="s">
        <v>26343</v>
      </c>
      <c r="E1186" s="2" t="s">
        <v>26344</v>
      </c>
      <c r="F1186" s="2"/>
      <c r="G1186" s="2"/>
      <c r="H1186" s="2" t="s">
        <v>651</v>
      </c>
      <c r="I1186" s="2" t="s">
        <v>86</v>
      </c>
      <c r="J1186" s="2" t="s">
        <v>23980</v>
      </c>
      <c r="K1186" s="2" t="s">
        <v>26343</v>
      </c>
      <c r="L1186" s="2"/>
      <c r="M1186" s="2"/>
      <c r="N1186" s="2"/>
      <c r="O1186" s="2" t="s">
        <v>651</v>
      </c>
      <c r="P1186" s="2" t="s">
        <v>86</v>
      </c>
      <c r="Q1186" s="2" t="s">
        <v>23980</v>
      </c>
      <c r="R1186" s="2" t="s">
        <v>10728</v>
      </c>
      <c r="S1186" s="2" t="s">
        <v>44</v>
      </c>
      <c r="T1186" s="2"/>
      <c r="U1186" s="2" t="s">
        <v>3527</v>
      </c>
      <c r="V1186" s="2" t="s">
        <v>46</v>
      </c>
      <c r="W1186" s="2" t="s">
        <v>3527</v>
      </c>
      <c r="X1186" s="2" t="s">
        <v>10787</v>
      </c>
      <c r="Y1186" s="2" t="s">
        <v>10801</v>
      </c>
      <c r="Z1186" s="2" t="s">
        <v>7864</v>
      </c>
      <c r="AA1186" s="2">
        <v>90</v>
      </c>
      <c r="AB1186" s="2">
        <v>0</v>
      </c>
      <c r="AC1186" s="2" t="s">
        <v>10789</v>
      </c>
      <c r="AD1186" s="2" t="s">
        <v>26345</v>
      </c>
      <c r="AE1186" s="2" t="s">
        <v>18260</v>
      </c>
      <c r="AF1186" s="2"/>
      <c r="AG1186" s="2" t="s">
        <v>18250</v>
      </c>
    </row>
    <row r="1187" spans="1:33" x14ac:dyDescent="0.45">
      <c r="A1187" s="2" t="s">
        <v>26346</v>
      </c>
      <c r="B1187" s="2" t="s">
        <v>26347</v>
      </c>
      <c r="C1187" s="2" t="s">
        <v>26348</v>
      </c>
      <c r="D1187" s="2" t="s">
        <v>26349</v>
      </c>
      <c r="E1187" s="2" t="s">
        <v>26350</v>
      </c>
      <c r="F1187" s="2"/>
      <c r="G1187" s="2"/>
      <c r="H1187" s="2" t="s">
        <v>536</v>
      </c>
      <c r="I1187" s="2" t="s">
        <v>537</v>
      </c>
      <c r="J1187" s="2" t="s">
        <v>25479</v>
      </c>
      <c r="K1187" s="2" t="s">
        <v>26349</v>
      </c>
      <c r="L1187" s="2"/>
      <c r="M1187" s="2"/>
      <c r="N1187" s="2"/>
      <c r="O1187" s="2" t="s">
        <v>536</v>
      </c>
      <c r="P1187" s="2" t="s">
        <v>537</v>
      </c>
      <c r="Q1187" s="2" t="s">
        <v>25479</v>
      </c>
      <c r="R1187" s="2" t="s">
        <v>10728</v>
      </c>
      <c r="S1187" s="2" t="s">
        <v>44</v>
      </c>
      <c r="T1187" s="2"/>
      <c r="U1187" s="2" t="s">
        <v>3527</v>
      </c>
      <c r="V1187" s="2" t="s">
        <v>46</v>
      </c>
      <c r="W1187" s="2" t="s">
        <v>3527</v>
      </c>
      <c r="X1187" s="2" t="s">
        <v>10787</v>
      </c>
      <c r="Y1187" s="2" t="s">
        <v>10801</v>
      </c>
      <c r="Z1187" s="2" t="s">
        <v>7864</v>
      </c>
      <c r="AA1187" s="2">
        <v>90</v>
      </c>
      <c r="AB1187" s="2">
        <v>0</v>
      </c>
      <c r="AC1187" s="2" t="s">
        <v>10789</v>
      </c>
      <c r="AD1187" s="2" t="s">
        <v>26351</v>
      </c>
      <c r="AE1187" s="2" t="s">
        <v>18260</v>
      </c>
      <c r="AF1187" s="2"/>
      <c r="AG1187" s="2" t="s">
        <v>18250</v>
      </c>
    </row>
    <row r="1188" spans="1:33" x14ac:dyDescent="0.45">
      <c r="A1188" s="2" t="s">
        <v>26352</v>
      </c>
      <c r="B1188" s="2" t="s">
        <v>26353</v>
      </c>
      <c r="C1188" s="2" t="s">
        <v>26354</v>
      </c>
      <c r="D1188" s="2" t="s">
        <v>26355</v>
      </c>
      <c r="E1188" s="2" t="s">
        <v>26356</v>
      </c>
      <c r="F1188" s="2" t="s">
        <v>25058</v>
      </c>
      <c r="G1188" s="2" t="s">
        <v>25058</v>
      </c>
      <c r="H1188" s="2" t="s">
        <v>10376</v>
      </c>
      <c r="I1188" s="2" t="s">
        <v>1137</v>
      </c>
      <c r="J1188" s="2" t="s">
        <v>10377</v>
      </c>
      <c r="K1188" s="2" t="s">
        <v>26355</v>
      </c>
      <c r="L1188" s="2"/>
      <c r="M1188" s="2"/>
      <c r="N1188" s="2"/>
      <c r="O1188" s="2" t="s">
        <v>10376</v>
      </c>
      <c r="P1188" s="2" t="s">
        <v>1137</v>
      </c>
      <c r="Q1188" s="2" t="s">
        <v>10377</v>
      </c>
      <c r="R1188" s="2" t="s">
        <v>11131</v>
      </c>
      <c r="S1188" s="2" t="s">
        <v>44</v>
      </c>
      <c r="T1188" s="2"/>
      <c r="U1188" s="2" t="s">
        <v>3527</v>
      </c>
      <c r="V1188" s="2" t="s">
        <v>46</v>
      </c>
      <c r="W1188" s="2" t="s">
        <v>3527</v>
      </c>
      <c r="X1188" s="2" t="s">
        <v>10787</v>
      </c>
      <c r="Y1188" s="2" t="s">
        <v>10801</v>
      </c>
      <c r="Z1188" s="2" t="s">
        <v>7864</v>
      </c>
      <c r="AA1188" s="2">
        <v>100</v>
      </c>
      <c r="AB1188" s="2">
        <v>5</v>
      </c>
      <c r="AC1188" s="2" t="s">
        <v>10789</v>
      </c>
      <c r="AD1188" s="2" t="s">
        <v>26357</v>
      </c>
      <c r="AE1188" s="2" t="s">
        <v>18260</v>
      </c>
      <c r="AF1188" s="2"/>
      <c r="AG1188" s="2" t="s">
        <v>18250</v>
      </c>
    </row>
    <row r="1189" spans="1:33" x14ac:dyDescent="0.45">
      <c r="A1189" s="2" t="s">
        <v>26358</v>
      </c>
      <c r="B1189" s="2" t="s">
        <v>26359</v>
      </c>
      <c r="C1189" s="2" t="s">
        <v>26352</v>
      </c>
      <c r="D1189" s="2" t="s">
        <v>26360</v>
      </c>
      <c r="E1189" s="2" t="s">
        <v>26361</v>
      </c>
      <c r="F1189" s="2" t="s">
        <v>26362</v>
      </c>
      <c r="G1189" s="2" t="s">
        <v>26362</v>
      </c>
      <c r="H1189" s="2" t="s">
        <v>1023</v>
      </c>
      <c r="I1189" s="2" t="s">
        <v>73</v>
      </c>
      <c r="J1189" s="2" t="s">
        <v>5260</v>
      </c>
      <c r="K1189" s="2" t="s">
        <v>26360</v>
      </c>
      <c r="L1189" s="2"/>
      <c r="M1189" s="2"/>
      <c r="N1189" s="2"/>
      <c r="O1189" s="2" t="s">
        <v>1023</v>
      </c>
      <c r="P1189" s="2" t="s">
        <v>73</v>
      </c>
      <c r="Q1189" s="2" t="s">
        <v>5260</v>
      </c>
      <c r="R1189" s="2" t="s">
        <v>13150</v>
      </c>
      <c r="S1189" s="2" t="s">
        <v>44</v>
      </c>
      <c r="T1189" s="2"/>
      <c r="U1189" s="2" t="s">
        <v>3527</v>
      </c>
      <c r="V1189" s="2" t="s">
        <v>46</v>
      </c>
      <c r="W1189" s="2" t="s">
        <v>3527</v>
      </c>
      <c r="X1189" s="2" t="s">
        <v>10787</v>
      </c>
      <c r="Y1189" s="2" t="s">
        <v>10801</v>
      </c>
      <c r="Z1189" s="2" t="s">
        <v>7864</v>
      </c>
      <c r="AA1189" s="2">
        <v>100</v>
      </c>
      <c r="AB1189" s="2">
        <v>10</v>
      </c>
      <c r="AC1189" s="2" t="s">
        <v>10789</v>
      </c>
      <c r="AD1189" s="2" t="s">
        <v>26363</v>
      </c>
      <c r="AE1189" s="2" t="s">
        <v>18260</v>
      </c>
      <c r="AF1189" s="2"/>
      <c r="AG1189" s="2" t="s">
        <v>18250</v>
      </c>
    </row>
    <row r="1190" spans="1:33" x14ac:dyDescent="0.45">
      <c r="A1190" s="2" t="s">
        <v>26364</v>
      </c>
      <c r="B1190" s="2" t="s">
        <v>26365</v>
      </c>
      <c r="C1190" s="2" t="s">
        <v>26366</v>
      </c>
      <c r="D1190" s="2" t="s">
        <v>26367</v>
      </c>
      <c r="E1190" s="2" t="s">
        <v>26368</v>
      </c>
      <c r="F1190" s="2" t="s">
        <v>26369</v>
      </c>
      <c r="G1190" s="2" t="s">
        <v>26369</v>
      </c>
      <c r="H1190" s="2" t="s">
        <v>290</v>
      </c>
      <c r="I1190" s="2" t="s">
        <v>278</v>
      </c>
      <c r="J1190" s="2" t="s">
        <v>26370</v>
      </c>
      <c r="K1190" s="2" t="s">
        <v>26367</v>
      </c>
      <c r="L1190" s="2"/>
      <c r="M1190" s="2"/>
      <c r="N1190" s="2"/>
      <c r="O1190" s="2" t="s">
        <v>290</v>
      </c>
      <c r="P1190" s="2" t="s">
        <v>278</v>
      </c>
      <c r="Q1190" s="2" t="s">
        <v>26370</v>
      </c>
      <c r="R1190" s="2" t="s">
        <v>10182</v>
      </c>
      <c r="S1190" s="2" t="s">
        <v>44</v>
      </c>
      <c r="T1190" s="2"/>
      <c r="U1190" s="2" t="s">
        <v>3527</v>
      </c>
      <c r="V1190" s="2" t="s">
        <v>46</v>
      </c>
      <c r="W1190" s="2" t="s">
        <v>3527</v>
      </c>
      <c r="X1190" s="2" t="s">
        <v>10787</v>
      </c>
      <c r="Y1190" s="2" t="s">
        <v>10801</v>
      </c>
      <c r="Z1190" s="2" t="s">
        <v>7864</v>
      </c>
      <c r="AA1190" s="2">
        <v>100</v>
      </c>
      <c r="AB1190" s="2">
        <v>10</v>
      </c>
      <c r="AC1190" s="2" t="s">
        <v>10789</v>
      </c>
      <c r="AD1190" s="2" t="s">
        <v>26371</v>
      </c>
      <c r="AE1190" s="2" t="s">
        <v>18260</v>
      </c>
      <c r="AF1190" s="2"/>
      <c r="AG1190" s="2" t="s">
        <v>18250</v>
      </c>
    </row>
    <row r="1191" spans="1:33" x14ac:dyDescent="0.45">
      <c r="A1191" s="2" t="s">
        <v>26372</v>
      </c>
      <c r="B1191" s="2" t="s">
        <v>26373</v>
      </c>
      <c r="C1191" s="2" t="s">
        <v>26374</v>
      </c>
      <c r="D1191" s="2" t="s">
        <v>26375</v>
      </c>
      <c r="E1191" s="2" t="s">
        <v>26376</v>
      </c>
      <c r="F1191" s="2" t="s">
        <v>26377</v>
      </c>
      <c r="G1191" s="2" t="s">
        <v>26377</v>
      </c>
      <c r="H1191" s="2" t="s">
        <v>277</v>
      </c>
      <c r="I1191" s="2" t="s">
        <v>278</v>
      </c>
      <c r="J1191" s="2" t="s">
        <v>22414</v>
      </c>
      <c r="K1191" s="2" t="s">
        <v>26378</v>
      </c>
      <c r="L1191" s="2"/>
      <c r="M1191" s="2"/>
      <c r="N1191" s="2"/>
      <c r="O1191" s="2" t="s">
        <v>277</v>
      </c>
      <c r="P1191" s="2" t="s">
        <v>278</v>
      </c>
      <c r="Q1191" s="2" t="s">
        <v>22414</v>
      </c>
      <c r="R1191" s="2" t="s">
        <v>5678</v>
      </c>
      <c r="S1191" s="2" t="s">
        <v>44</v>
      </c>
      <c r="T1191" s="2"/>
      <c r="U1191" s="2" t="s">
        <v>3527</v>
      </c>
      <c r="V1191" s="2" t="s">
        <v>46</v>
      </c>
      <c r="W1191" s="2" t="s">
        <v>3527</v>
      </c>
      <c r="X1191" s="2" t="s">
        <v>10787</v>
      </c>
      <c r="Y1191" s="2" t="s">
        <v>10801</v>
      </c>
      <c r="Z1191" s="2" t="s">
        <v>7864</v>
      </c>
      <c r="AA1191" s="2">
        <v>100</v>
      </c>
      <c r="AB1191" s="2">
        <v>10</v>
      </c>
      <c r="AC1191" s="2" t="s">
        <v>10789</v>
      </c>
      <c r="AD1191" s="2" t="s">
        <v>26379</v>
      </c>
      <c r="AE1191" s="2" t="s">
        <v>18260</v>
      </c>
      <c r="AF1191" s="2"/>
      <c r="AG1191" s="2" t="s">
        <v>18250</v>
      </c>
    </row>
    <row r="1192" spans="1:33" x14ac:dyDescent="0.45">
      <c r="A1192" s="2" t="s">
        <v>26380</v>
      </c>
      <c r="B1192" s="2" t="s">
        <v>26381</v>
      </c>
      <c r="C1192" s="2" t="s">
        <v>26380</v>
      </c>
      <c r="D1192" s="2" t="s">
        <v>26382</v>
      </c>
      <c r="E1192" s="2" t="s">
        <v>26383</v>
      </c>
      <c r="F1192" s="2"/>
      <c r="G1192" s="2"/>
      <c r="H1192" s="2" t="s">
        <v>11330</v>
      </c>
      <c r="I1192" s="2" t="s">
        <v>73</v>
      </c>
      <c r="J1192" s="2" t="s">
        <v>26384</v>
      </c>
      <c r="K1192" s="2" t="s">
        <v>26382</v>
      </c>
      <c r="L1192" s="2"/>
      <c r="M1192" s="2"/>
      <c r="N1192" s="2"/>
      <c r="O1192" s="2" t="s">
        <v>11330</v>
      </c>
      <c r="P1192" s="2" t="s">
        <v>73</v>
      </c>
      <c r="Q1192" s="2" t="s">
        <v>26384</v>
      </c>
      <c r="R1192" s="2" t="s">
        <v>6780</v>
      </c>
      <c r="S1192" s="2" t="s">
        <v>44</v>
      </c>
      <c r="T1192" s="2"/>
      <c r="U1192" s="2" t="s">
        <v>821</v>
      </c>
      <c r="V1192" s="2" t="s">
        <v>46</v>
      </c>
      <c r="W1192" s="2" t="s">
        <v>821</v>
      </c>
      <c r="X1192" s="2" t="s">
        <v>10787</v>
      </c>
      <c r="Y1192" s="2" t="s">
        <v>10801</v>
      </c>
      <c r="Z1192" s="2" t="s">
        <v>7864</v>
      </c>
      <c r="AA1192" s="2">
        <v>90</v>
      </c>
      <c r="AB1192" s="2">
        <v>2</v>
      </c>
      <c r="AC1192" s="2" t="s">
        <v>10789</v>
      </c>
      <c r="AD1192" s="2" t="s">
        <v>26385</v>
      </c>
      <c r="AE1192" s="2" t="s">
        <v>18260</v>
      </c>
      <c r="AF1192" s="2"/>
      <c r="AG1192" s="2" t="s">
        <v>18250</v>
      </c>
    </row>
    <row r="1193" spans="1:33" x14ac:dyDescent="0.45">
      <c r="A1193" s="2" t="s">
        <v>26386</v>
      </c>
      <c r="B1193" s="2" t="s">
        <v>26387</v>
      </c>
      <c r="C1193" s="2" t="s">
        <v>26386</v>
      </c>
      <c r="D1193" s="2" t="s">
        <v>26388</v>
      </c>
      <c r="E1193" s="2" t="s">
        <v>26389</v>
      </c>
      <c r="F1193" s="2" t="s">
        <v>26390</v>
      </c>
      <c r="G1193" s="2" t="s">
        <v>26390</v>
      </c>
      <c r="H1193" s="2" t="s">
        <v>1023</v>
      </c>
      <c r="I1193" s="2" t="s">
        <v>73</v>
      </c>
      <c r="J1193" s="2" t="s">
        <v>5695</v>
      </c>
      <c r="K1193" s="2"/>
      <c r="L1193" s="2"/>
      <c r="M1193" s="2"/>
      <c r="N1193" s="2"/>
      <c r="O1193" s="2"/>
      <c r="P1193" s="2"/>
      <c r="Q1193" s="2"/>
      <c r="R1193" s="2" t="s">
        <v>7774</v>
      </c>
      <c r="S1193" s="2" t="s">
        <v>44</v>
      </c>
      <c r="T1193" s="2"/>
      <c r="U1193" s="2" t="s">
        <v>3527</v>
      </c>
      <c r="V1193" s="2" t="s">
        <v>46</v>
      </c>
      <c r="W1193" s="2" t="s">
        <v>3527</v>
      </c>
      <c r="X1193" s="2" t="s">
        <v>10787</v>
      </c>
      <c r="Y1193" s="2" t="s">
        <v>10801</v>
      </c>
      <c r="Z1193" s="2" t="s">
        <v>7864</v>
      </c>
      <c r="AA1193" s="2">
        <v>100</v>
      </c>
      <c r="AB1193" s="2">
        <v>10</v>
      </c>
      <c r="AC1193" s="2" t="s">
        <v>10789</v>
      </c>
      <c r="AD1193" s="2" t="s">
        <v>26391</v>
      </c>
      <c r="AE1193" s="2" t="s">
        <v>18260</v>
      </c>
      <c r="AF1193" s="2"/>
      <c r="AG1193" s="2" t="s">
        <v>18250</v>
      </c>
    </row>
    <row r="1194" spans="1:33" x14ac:dyDescent="0.45">
      <c r="A1194" s="2" t="s">
        <v>26392</v>
      </c>
      <c r="B1194" s="2" t="s">
        <v>26393</v>
      </c>
      <c r="C1194" s="2" t="s">
        <v>26394</v>
      </c>
      <c r="D1194" s="2" t="s">
        <v>26395</v>
      </c>
      <c r="E1194" s="2" t="s">
        <v>26396</v>
      </c>
      <c r="F1194" s="2" t="s">
        <v>26397</v>
      </c>
      <c r="G1194" s="2" t="s">
        <v>26397</v>
      </c>
      <c r="H1194" s="2" t="s">
        <v>72</v>
      </c>
      <c r="I1194" s="2" t="s">
        <v>73</v>
      </c>
      <c r="J1194" s="2" t="s">
        <v>5765</v>
      </c>
      <c r="K1194" s="2"/>
      <c r="L1194" s="2"/>
      <c r="M1194" s="2"/>
      <c r="N1194" s="2"/>
      <c r="O1194" s="2"/>
      <c r="P1194" s="2"/>
      <c r="Q1194" s="2"/>
      <c r="R1194" s="2" t="s">
        <v>14577</v>
      </c>
      <c r="S1194" s="2" t="s">
        <v>44</v>
      </c>
      <c r="T1194" s="2"/>
      <c r="U1194" s="2" t="s">
        <v>3527</v>
      </c>
      <c r="V1194" s="2" t="s">
        <v>46</v>
      </c>
      <c r="W1194" s="2" t="s">
        <v>3527</v>
      </c>
      <c r="X1194" s="2" t="s">
        <v>10787</v>
      </c>
      <c r="Y1194" s="2" t="s">
        <v>10801</v>
      </c>
      <c r="Z1194" s="2" t="s">
        <v>7864</v>
      </c>
      <c r="AA1194" s="2">
        <v>100</v>
      </c>
      <c r="AB1194" s="2">
        <v>10</v>
      </c>
      <c r="AC1194" s="2" t="s">
        <v>10789</v>
      </c>
      <c r="AD1194" s="2" t="s">
        <v>26398</v>
      </c>
      <c r="AE1194" s="2" t="s">
        <v>18260</v>
      </c>
      <c r="AF1194" s="2"/>
      <c r="AG1194" s="2" t="s">
        <v>18250</v>
      </c>
    </row>
    <row r="1195" spans="1:33" x14ac:dyDescent="0.45">
      <c r="A1195" s="2" t="s">
        <v>26399</v>
      </c>
      <c r="B1195" s="2" t="s">
        <v>26400</v>
      </c>
      <c r="C1195" s="2" t="s">
        <v>26399</v>
      </c>
      <c r="D1195" s="2" t="s">
        <v>26401</v>
      </c>
      <c r="E1195" s="2" t="s">
        <v>26402</v>
      </c>
      <c r="F1195" s="2" t="s">
        <v>26403</v>
      </c>
      <c r="G1195" s="2" t="s">
        <v>26403</v>
      </c>
      <c r="H1195" s="2" t="s">
        <v>10397</v>
      </c>
      <c r="I1195" s="2" t="s">
        <v>221</v>
      </c>
      <c r="J1195" s="2" t="s">
        <v>12971</v>
      </c>
      <c r="K1195" s="2" t="s">
        <v>26401</v>
      </c>
      <c r="L1195" s="2"/>
      <c r="M1195" s="2"/>
      <c r="N1195" s="2"/>
      <c r="O1195" s="2" t="s">
        <v>10397</v>
      </c>
      <c r="P1195" s="2" t="s">
        <v>221</v>
      </c>
      <c r="Q1195" s="2" t="s">
        <v>12971</v>
      </c>
      <c r="R1195" s="2" t="s">
        <v>12277</v>
      </c>
      <c r="S1195" s="2" t="s">
        <v>44</v>
      </c>
      <c r="T1195" s="2"/>
      <c r="U1195" s="2" t="s">
        <v>3527</v>
      </c>
      <c r="V1195" s="2" t="s">
        <v>46</v>
      </c>
      <c r="W1195" s="2" t="s">
        <v>3527</v>
      </c>
      <c r="X1195" s="2" t="s">
        <v>10787</v>
      </c>
      <c r="Y1195" s="2" t="s">
        <v>10801</v>
      </c>
      <c r="Z1195" s="2" t="s">
        <v>7864</v>
      </c>
      <c r="AA1195" s="2">
        <v>100</v>
      </c>
      <c r="AB1195" s="2">
        <v>5</v>
      </c>
      <c r="AC1195" s="2" t="s">
        <v>10789</v>
      </c>
      <c r="AD1195" s="2" t="s">
        <v>26404</v>
      </c>
      <c r="AE1195" s="2" t="s">
        <v>18260</v>
      </c>
      <c r="AF1195" s="2"/>
      <c r="AG1195" s="2" t="s">
        <v>18250</v>
      </c>
    </row>
    <row r="1196" spans="1:33" x14ac:dyDescent="0.45">
      <c r="A1196" s="2" t="s">
        <v>26405</v>
      </c>
      <c r="B1196" s="2" t="s">
        <v>26406</v>
      </c>
      <c r="C1196" s="2" t="s">
        <v>26405</v>
      </c>
      <c r="D1196" s="2" t="s">
        <v>26407</v>
      </c>
      <c r="E1196" s="2" t="s">
        <v>26408</v>
      </c>
      <c r="F1196" s="2"/>
      <c r="G1196" s="2"/>
      <c r="H1196" s="2" t="s">
        <v>277</v>
      </c>
      <c r="I1196" s="2" t="s">
        <v>278</v>
      </c>
      <c r="J1196" s="2" t="s">
        <v>279</v>
      </c>
      <c r="K1196" s="2" t="s">
        <v>26407</v>
      </c>
      <c r="L1196" s="2"/>
      <c r="M1196" s="2"/>
      <c r="N1196" s="2"/>
      <c r="O1196" s="2" t="s">
        <v>277</v>
      </c>
      <c r="P1196" s="2" t="s">
        <v>278</v>
      </c>
      <c r="Q1196" s="2" t="s">
        <v>279</v>
      </c>
      <c r="R1196" s="2" t="s">
        <v>7062</v>
      </c>
      <c r="S1196" s="2" t="s">
        <v>44</v>
      </c>
      <c r="T1196" s="2"/>
      <c r="U1196" s="2" t="s">
        <v>3527</v>
      </c>
      <c r="V1196" s="2" t="s">
        <v>46</v>
      </c>
      <c r="W1196" s="2" t="s">
        <v>3527</v>
      </c>
      <c r="X1196" s="2" t="s">
        <v>10787</v>
      </c>
      <c r="Y1196" s="2" t="s">
        <v>10801</v>
      </c>
      <c r="Z1196" s="2" t="s">
        <v>7864</v>
      </c>
      <c r="AA1196" s="2">
        <v>90</v>
      </c>
      <c r="AB1196" s="2">
        <v>0</v>
      </c>
      <c r="AC1196" s="2" t="s">
        <v>10789</v>
      </c>
      <c r="AD1196" s="2" t="s">
        <v>26409</v>
      </c>
      <c r="AE1196" s="2" t="s">
        <v>18260</v>
      </c>
      <c r="AF1196" s="2"/>
      <c r="AG1196" s="2" t="s">
        <v>18250</v>
      </c>
    </row>
    <row r="1197" spans="1:33" x14ac:dyDescent="0.45">
      <c r="A1197" s="2" t="s">
        <v>26410</v>
      </c>
      <c r="B1197" s="2" t="s">
        <v>26411</v>
      </c>
      <c r="C1197" s="2" t="s">
        <v>26412</v>
      </c>
      <c r="D1197" s="2" t="s">
        <v>26413</v>
      </c>
      <c r="E1197" s="2" t="s">
        <v>26414</v>
      </c>
      <c r="F1197" s="2" t="s">
        <v>26415</v>
      </c>
      <c r="G1197" s="2" t="s">
        <v>26415</v>
      </c>
      <c r="H1197" s="2" t="s">
        <v>12804</v>
      </c>
      <c r="I1197" s="2" t="s">
        <v>221</v>
      </c>
      <c r="J1197" s="2" t="s">
        <v>26416</v>
      </c>
      <c r="K1197" s="2"/>
      <c r="L1197" s="2"/>
      <c r="M1197" s="2"/>
      <c r="N1197" s="2"/>
      <c r="O1197" s="2"/>
      <c r="P1197" s="2"/>
      <c r="Q1197" s="2"/>
      <c r="R1197" s="2" t="s">
        <v>885</v>
      </c>
      <c r="S1197" s="2" t="s">
        <v>44</v>
      </c>
      <c r="T1197" s="2"/>
      <c r="U1197" s="2" t="s">
        <v>3527</v>
      </c>
      <c r="V1197" s="2" t="s">
        <v>46</v>
      </c>
      <c r="W1197" s="2" t="s">
        <v>3527</v>
      </c>
      <c r="X1197" s="2" t="s">
        <v>10787</v>
      </c>
      <c r="Y1197" s="2" t="s">
        <v>10801</v>
      </c>
      <c r="Z1197" s="2" t="s">
        <v>7864</v>
      </c>
      <c r="AA1197" s="2">
        <v>100</v>
      </c>
      <c r="AB1197" s="2">
        <v>5</v>
      </c>
      <c r="AC1197" s="2" t="s">
        <v>10789</v>
      </c>
      <c r="AD1197" s="2" t="s">
        <v>26417</v>
      </c>
      <c r="AE1197" s="2" t="s">
        <v>18260</v>
      </c>
      <c r="AF1197" s="2"/>
      <c r="AG1197" s="2" t="s">
        <v>18250</v>
      </c>
    </row>
    <row r="1198" spans="1:33" x14ac:dyDescent="0.45">
      <c r="A1198" s="2" t="s">
        <v>26418</v>
      </c>
      <c r="B1198" s="2" t="s">
        <v>26419</v>
      </c>
      <c r="C1198" s="2" t="s">
        <v>26418</v>
      </c>
      <c r="D1198" s="2" t="s">
        <v>26420</v>
      </c>
      <c r="E1198" s="2" t="s">
        <v>26421</v>
      </c>
      <c r="F1198" s="2" t="s">
        <v>26422</v>
      </c>
      <c r="G1198" s="2"/>
      <c r="H1198" s="2" t="s">
        <v>85</v>
      </c>
      <c r="I1198" s="2" t="s">
        <v>86</v>
      </c>
      <c r="J1198" s="2" t="s">
        <v>3918</v>
      </c>
      <c r="K1198" s="2" t="s">
        <v>26420</v>
      </c>
      <c r="L1198" s="2"/>
      <c r="M1198" s="2"/>
      <c r="N1198" s="2"/>
      <c r="O1198" s="2" t="s">
        <v>85</v>
      </c>
      <c r="P1198" s="2" t="s">
        <v>86</v>
      </c>
      <c r="Q1198" s="2" t="s">
        <v>3918</v>
      </c>
      <c r="R1198" s="2" t="s">
        <v>21025</v>
      </c>
      <c r="S1198" s="2" t="s">
        <v>44</v>
      </c>
      <c r="T1198" s="2"/>
      <c r="U1198" s="2" t="s">
        <v>3527</v>
      </c>
      <c r="V1198" s="2" t="s">
        <v>46</v>
      </c>
      <c r="W1198" s="2" t="s">
        <v>3527</v>
      </c>
      <c r="X1198" s="2" t="s">
        <v>10787</v>
      </c>
      <c r="Y1198" s="2" t="s">
        <v>10801</v>
      </c>
      <c r="Z1198" s="2" t="s">
        <v>7864</v>
      </c>
      <c r="AA1198" s="2">
        <v>100</v>
      </c>
      <c r="AB1198" s="2">
        <v>10</v>
      </c>
      <c r="AC1198" s="2" t="s">
        <v>10789</v>
      </c>
      <c r="AD1198" s="2" t="s">
        <v>26423</v>
      </c>
      <c r="AE1198" s="2" t="s">
        <v>18260</v>
      </c>
      <c r="AF1198" s="2"/>
      <c r="AG1198" s="2" t="s">
        <v>18250</v>
      </c>
    </row>
    <row r="1199" spans="1:33" x14ac:dyDescent="0.45">
      <c r="A1199" s="2" t="s">
        <v>26424</v>
      </c>
      <c r="B1199" s="2" t="s">
        <v>26425</v>
      </c>
      <c r="C1199" s="2" t="s">
        <v>26424</v>
      </c>
      <c r="D1199" s="2" t="s">
        <v>26426</v>
      </c>
      <c r="E1199" s="2" t="s">
        <v>26427</v>
      </c>
      <c r="F1199" s="2" t="s">
        <v>26428</v>
      </c>
      <c r="G1199" s="2"/>
      <c r="H1199" s="2" t="s">
        <v>11247</v>
      </c>
      <c r="I1199" s="2" t="s">
        <v>1137</v>
      </c>
      <c r="J1199" s="2" t="s">
        <v>11248</v>
      </c>
      <c r="K1199" s="2" t="s">
        <v>26426</v>
      </c>
      <c r="L1199" s="2"/>
      <c r="M1199" s="2"/>
      <c r="N1199" s="2"/>
      <c r="O1199" s="2" t="s">
        <v>11247</v>
      </c>
      <c r="P1199" s="2" t="s">
        <v>1137</v>
      </c>
      <c r="Q1199" s="2" t="s">
        <v>11248</v>
      </c>
      <c r="R1199" s="2" t="s">
        <v>5233</v>
      </c>
      <c r="S1199" s="2" t="s">
        <v>44</v>
      </c>
      <c r="T1199" s="2"/>
      <c r="U1199" s="2" t="s">
        <v>3527</v>
      </c>
      <c r="V1199" s="2" t="s">
        <v>46</v>
      </c>
      <c r="W1199" s="2" t="s">
        <v>3527</v>
      </c>
      <c r="X1199" s="2" t="s">
        <v>10787</v>
      </c>
      <c r="Y1199" s="2" t="s">
        <v>10801</v>
      </c>
      <c r="Z1199" s="2" t="s">
        <v>7864</v>
      </c>
      <c r="AA1199" s="2">
        <v>100</v>
      </c>
      <c r="AB1199" s="2">
        <v>5</v>
      </c>
      <c r="AC1199" s="2" t="s">
        <v>10789</v>
      </c>
      <c r="AD1199" s="2" t="s">
        <v>26429</v>
      </c>
      <c r="AE1199" s="2" t="s">
        <v>18260</v>
      </c>
      <c r="AF1199" s="2"/>
      <c r="AG1199" s="2" t="s">
        <v>18250</v>
      </c>
    </row>
    <row r="1200" spans="1:33" x14ac:dyDescent="0.45">
      <c r="A1200" s="2" t="s">
        <v>26430</v>
      </c>
      <c r="B1200" s="2" t="s">
        <v>26431</v>
      </c>
      <c r="C1200" s="2" t="s">
        <v>26432</v>
      </c>
      <c r="D1200" s="2" t="s">
        <v>26433</v>
      </c>
      <c r="E1200" s="2" t="s">
        <v>26434</v>
      </c>
      <c r="F1200" s="2" t="s">
        <v>26435</v>
      </c>
      <c r="G1200" s="2" t="s">
        <v>26435</v>
      </c>
      <c r="H1200" s="2" t="s">
        <v>1023</v>
      </c>
      <c r="I1200" s="2" t="s">
        <v>73</v>
      </c>
      <c r="J1200" s="2" t="s">
        <v>22738</v>
      </c>
      <c r="K1200" s="2"/>
      <c r="L1200" s="2"/>
      <c r="M1200" s="2"/>
      <c r="N1200" s="2"/>
      <c r="O1200" s="2"/>
      <c r="P1200" s="2"/>
      <c r="Q1200" s="2"/>
      <c r="R1200" s="2" t="s">
        <v>1285</v>
      </c>
      <c r="S1200" s="2" t="s">
        <v>44</v>
      </c>
      <c r="T1200" s="2"/>
      <c r="U1200" s="2" t="s">
        <v>3527</v>
      </c>
      <c r="V1200" s="2" t="s">
        <v>46</v>
      </c>
      <c r="W1200" s="2" t="s">
        <v>3527</v>
      </c>
      <c r="X1200" s="2" t="s">
        <v>10787</v>
      </c>
      <c r="Y1200" s="2" t="s">
        <v>10801</v>
      </c>
      <c r="Z1200" s="2" t="s">
        <v>7864</v>
      </c>
      <c r="AA1200" s="2">
        <v>100</v>
      </c>
      <c r="AB1200" s="2">
        <v>10</v>
      </c>
      <c r="AC1200" s="2" t="s">
        <v>10789</v>
      </c>
      <c r="AD1200" s="2" t="s">
        <v>26436</v>
      </c>
      <c r="AE1200" s="2" t="s">
        <v>18260</v>
      </c>
      <c r="AF1200" s="2"/>
      <c r="AG1200" s="2" t="s">
        <v>18250</v>
      </c>
    </row>
    <row r="1201" spans="1:33" x14ac:dyDescent="0.45">
      <c r="A1201" s="2" t="s">
        <v>26437</v>
      </c>
      <c r="B1201" s="2" t="s">
        <v>26438</v>
      </c>
      <c r="C1201" s="2" t="s">
        <v>26439</v>
      </c>
      <c r="D1201" s="2" t="s">
        <v>26440</v>
      </c>
      <c r="E1201" s="2" t="s">
        <v>26441</v>
      </c>
      <c r="F1201" s="2"/>
      <c r="G1201" s="2"/>
      <c r="H1201" s="2" t="s">
        <v>277</v>
      </c>
      <c r="I1201" s="2" t="s">
        <v>278</v>
      </c>
      <c r="J1201" s="2" t="s">
        <v>1060</v>
      </c>
      <c r="K1201" s="2" t="s">
        <v>26442</v>
      </c>
      <c r="L1201" s="2"/>
      <c r="M1201" s="2"/>
      <c r="N1201" s="2"/>
      <c r="O1201" s="2" t="s">
        <v>59</v>
      </c>
      <c r="P1201" s="2" t="s">
        <v>60</v>
      </c>
      <c r="Q1201" s="2" t="s">
        <v>12350</v>
      </c>
      <c r="R1201" s="2" t="s">
        <v>24497</v>
      </c>
      <c r="S1201" s="2" t="s">
        <v>44</v>
      </c>
      <c r="T1201" s="2"/>
      <c r="U1201" s="2" t="s">
        <v>821</v>
      </c>
      <c r="V1201" s="2" t="s">
        <v>46</v>
      </c>
      <c r="W1201" s="2" t="s">
        <v>821</v>
      </c>
      <c r="X1201" s="2" t="s">
        <v>10787</v>
      </c>
      <c r="Y1201" s="2" t="s">
        <v>10801</v>
      </c>
      <c r="Z1201" s="2" t="s">
        <v>7864</v>
      </c>
      <c r="AA1201" s="2">
        <v>90</v>
      </c>
      <c r="AB1201" s="2">
        <v>7</v>
      </c>
      <c r="AC1201" s="2" t="s">
        <v>10789</v>
      </c>
      <c r="AD1201" s="2" t="s">
        <v>26443</v>
      </c>
      <c r="AE1201" s="2" t="s">
        <v>18260</v>
      </c>
      <c r="AF1201" s="2"/>
      <c r="AG1201" s="2" t="s">
        <v>18250</v>
      </c>
    </row>
    <row r="1202" spans="1:33" x14ac:dyDescent="0.45">
      <c r="A1202" s="2" t="s">
        <v>26444</v>
      </c>
      <c r="B1202" s="2" t="s">
        <v>26445</v>
      </c>
      <c r="C1202" s="2" t="s">
        <v>26444</v>
      </c>
      <c r="D1202" s="2" t="s">
        <v>26446</v>
      </c>
      <c r="E1202" s="2" t="s">
        <v>26447</v>
      </c>
      <c r="F1202" s="2" t="s">
        <v>26448</v>
      </c>
      <c r="G1202" s="2" t="s">
        <v>26448</v>
      </c>
      <c r="H1202" s="2" t="s">
        <v>651</v>
      </c>
      <c r="I1202" s="2" t="s">
        <v>86</v>
      </c>
      <c r="J1202" s="2" t="s">
        <v>20148</v>
      </c>
      <c r="K1202" s="2" t="s">
        <v>26446</v>
      </c>
      <c r="L1202" s="2"/>
      <c r="M1202" s="2"/>
      <c r="N1202" s="2"/>
      <c r="O1202" s="2" t="s">
        <v>651</v>
      </c>
      <c r="P1202" s="2" t="s">
        <v>86</v>
      </c>
      <c r="Q1202" s="2" t="s">
        <v>20148</v>
      </c>
      <c r="R1202" s="2" t="s">
        <v>7704</v>
      </c>
      <c r="S1202" s="2" t="s">
        <v>44</v>
      </c>
      <c r="T1202" s="2"/>
      <c r="U1202" s="2" t="s">
        <v>3527</v>
      </c>
      <c r="V1202" s="2" t="s">
        <v>46</v>
      </c>
      <c r="W1202" s="2" t="s">
        <v>3527</v>
      </c>
      <c r="X1202" s="2" t="s">
        <v>10787</v>
      </c>
      <c r="Y1202" s="2" t="s">
        <v>10801</v>
      </c>
      <c r="Z1202" s="2" t="s">
        <v>7864</v>
      </c>
      <c r="AA1202" s="2">
        <v>100</v>
      </c>
      <c r="AB1202" s="2">
        <v>10</v>
      </c>
      <c r="AC1202" s="2" t="s">
        <v>10789</v>
      </c>
      <c r="AD1202" s="2" t="s">
        <v>26449</v>
      </c>
      <c r="AE1202" s="2" t="s">
        <v>18260</v>
      </c>
      <c r="AF1202" s="2"/>
      <c r="AG1202" s="2" t="s">
        <v>18250</v>
      </c>
    </row>
    <row r="1203" spans="1:33" x14ac:dyDescent="0.45">
      <c r="A1203" s="2" t="s">
        <v>26450</v>
      </c>
      <c r="B1203" s="2" t="s">
        <v>26451</v>
      </c>
      <c r="C1203" s="2" t="s">
        <v>26450</v>
      </c>
      <c r="D1203" s="2" t="s">
        <v>26452</v>
      </c>
      <c r="E1203" s="2" t="s">
        <v>26453</v>
      </c>
      <c r="F1203" s="2"/>
      <c r="G1203" s="2"/>
      <c r="H1203" s="2" t="s">
        <v>1161</v>
      </c>
      <c r="I1203" s="2" t="s">
        <v>221</v>
      </c>
      <c r="J1203" s="2" t="s">
        <v>26454</v>
      </c>
      <c r="K1203" s="2" t="s">
        <v>26452</v>
      </c>
      <c r="L1203" s="2"/>
      <c r="M1203" s="2"/>
      <c r="N1203" s="2"/>
      <c r="O1203" s="2" t="s">
        <v>1161</v>
      </c>
      <c r="P1203" s="2" t="s">
        <v>221</v>
      </c>
      <c r="Q1203" s="2" t="s">
        <v>26454</v>
      </c>
      <c r="R1203" s="2" t="s">
        <v>485</v>
      </c>
      <c r="S1203" s="2" t="s">
        <v>44</v>
      </c>
      <c r="T1203" s="2"/>
      <c r="U1203" s="2" t="s">
        <v>3527</v>
      </c>
      <c r="V1203" s="2" t="s">
        <v>46</v>
      </c>
      <c r="W1203" s="2" t="s">
        <v>3527</v>
      </c>
      <c r="X1203" s="2" t="s">
        <v>10787</v>
      </c>
      <c r="Y1203" s="2" t="s">
        <v>10801</v>
      </c>
      <c r="Z1203" s="2" t="s">
        <v>7864</v>
      </c>
      <c r="AA1203" s="2">
        <v>90</v>
      </c>
      <c r="AB1203" s="2">
        <v>0</v>
      </c>
      <c r="AC1203" s="2" t="s">
        <v>10789</v>
      </c>
      <c r="AD1203" s="2" t="s">
        <v>26455</v>
      </c>
      <c r="AE1203" s="2" t="s">
        <v>18260</v>
      </c>
      <c r="AF1203" s="2"/>
      <c r="AG1203" s="2" t="s">
        <v>18250</v>
      </c>
    </row>
    <row r="1204" spans="1:33" x14ac:dyDescent="0.45">
      <c r="A1204" s="2" t="s">
        <v>26456</v>
      </c>
      <c r="B1204" s="2" t="s">
        <v>26457</v>
      </c>
      <c r="C1204" s="2" t="s">
        <v>26458</v>
      </c>
      <c r="D1204" s="2" t="s">
        <v>26459</v>
      </c>
      <c r="E1204" s="2" t="s">
        <v>26460</v>
      </c>
      <c r="F1204" s="2"/>
      <c r="G1204" s="2"/>
      <c r="H1204" s="2" t="s">
        <v>26461</v>
      </c>
      <c r="I1204" s="2" t="s">
        <v>537</v>
      </c>
      <c r="J1204" s="2" t="s">
        <v>26462</v>
      </c>
      <c r="K1204" s="2" t="s">
        <v>26459</v>
      </c>
      <c r="L1204" s="2"/>
      <c r="M1204" s="2"/>
      <c r="N1204" s="2"/>
      <c r="O1204" s="2" t="s">
        <v>26461</v>
      </c>
      <c r="P1204" s="2" t="s">
        <v>537</v>
      </c>
      <c r="Q1204" s="2" t="s">
        <v>26462</v>
      </c>
      <c r="R1204" s="2" t="s">
        <v>580</v>
      </c>
      <c r="S1204" s="2" t="s">
        <v>44</v>
      </c>
      <c r="T1204" s="2"/>
      <c r="U1204" s="2" t="s">
        <v>3527</v>
      </c>
      <c r="V1204" s="2" t="s">
        <v>46</v>
      </c>
      <c r="W1204" s="2" t="s">
        <v>3527</v>
      </c>
      <c r="X1204" s="2" t="s">
        <v>10787</v>
      </c>
      <c r="Y1204" s="2" t="s">
        <v>10801</v>
      </c>
      <c r="Z1204" s="2" t="s">
        <v>7864</v>
      </c>
      <c r="AA1204" s="2">
        <v>90</v>
      </c>
      <c r="AB1204" s="2">
        <v>0</v>
      </c>
      <c r="AC1204" s="2" t="s">
        <v>10789</v>
      </c>
      <c r="AD1204" s="2" t="s">
        <v>26463</v>
      </c>
      <c r="AE1204" s="2" t="s">
        <v>18260</v>
      </c>
      <c r="AF1204" s="2"/>
      <c r="AG1204" s="2" t="s">
        <v>18250</v>
      </c>
    </row>
    <row r="1205" spans="1:33" x14ac:dyDescent="0.45">
      <c r="A1205" s="2" t="s">
        <v>26464</v>
      </c>
      <c r="B1205" s="2" t="s">
        <v>26465</v>
      </c>
      <c r="C1205" s="2" t="s">
        <v>26466</v>
      </c>
      <c r="D1205" s="2" t="s">
        <v>26467</v>
      </c>
      <c r="E1205" s="2" t="s">
        <v>26468</v>
      </c>
      <c r="F1205" s="2"/>
      <c r="G1205" s="2"/>
      <c r="H1205" s="2" t="s">
        <v>6029</v>
      </c>
      <c r="I1205" s="2" t="s">
        <v>278</v>
      </c>
      <c r="J1205" s="2" t="s">
        <v>26469</v>
      </c>
      <c r="K1205" s="2"/>
      <c r="L1205" s="2"/>
      <c r="M1205" s="2"/>
      <c r="N1205" s="2"/>
      <c r="O1205" s="2"/>
      <c r="P1205" s="2"/>
      <c r="Q1205" s="2"/>
      <c r="R1205" s="2" t="s">
        <v>2401</v>
      </c>
      <c r="S1205" s="2" t="s">
        <v>44</v>
      </c>
      <c r="T1205" s="2"/>
      <c r="U1205" s="2" t="s">
        <v>3527</v>
      </c>
      <c r="V1205" s="2" t="s">
        <v>46</v>
      </c>
      <c r="W1205" s="2" t="s">
        <v>3527</v>
      </c>
      <c r="X1205" s="2" t="s">
        <v>10787</v>
      </c>
      <c r="Y1205" s="2" t="s">
        <v>10801</v>
      </c>
      <c r="Z1205" s="2" t="s">
        <v>7864</v>
      </c>
      <c r="AA1205" s="2">
        <v>90</v>
      </c>
      <c r="AB1205" s="2">
        <v>0</v>
      </c>
      <c r="AC1205" s="2" t="s">
        <v>10789</v>
      </c>
      <c r="AD1205" s="2" t="s">
        <v>26470</v>
      </c>
      <c r="AE1205" s="2" t="s">
        <v>18260</v>
      </c>
      <c r="AF1205" s="2"/>
      <c r="AG1205" s="2" t="s">
        <v>18250</v>
      </c>
    </row>
    <row r="1206" spans="1:33" x14ac:dyDescent="0.45">
      <c r="A1206" s="2" t="s">
        <v>26471</v>
      </c>
      <c r="B1206" s="2" t="s">
        <v>26472</v>
      </c>
      <c r="C1206" s="2" t="s">
        <v>26473</v>
      </c>
      <c r="D1206" s="2" t="s">
        <v>26474</v>
      </c>
      <c r="E1206" s="2" t="s">
        <v>26475</v>
      </c>
      <c r="F1206" s="2"/>
      <c r="G1206" s="2"/>
      <c r="H1206" s="2" t="s">
        <v>10740</v>
      </c>
      <c r="I1206" s="2" t="s">
        <v>221</v>
      </c>
      <c r="J1206" s="2" t="s">
        <v>10741</v>
      </c>
      <c r="K1206" s="2" t="s">
        <v>26474</v>
      </c>
      <c r="L1206" s="2"/>
      <c r="M1206" s="2"/>
      <c r="N1206" s="2"/>
      <c r="O1206" s="2" t="s">
        <v>10740</v>
      </c>
      <c r="P1206" s="2" t="s">
        <v>221</v>
      </c>
      <c r="Q1206" s="2" t="s">
        <v>10741</v>
      </c>
      <c r="R1206" s="2" t="s">
        <v>12455</v>
      </c>
      <c r="S1206" s="2" t="s">
        <v>44</v>
      </c>
      <c r="T1206" s="2"/>
      <c r="U1206" s="2" t="s">
        <v>821</v>
      </c>
      <c r="V1206" s="2" t="s">
        <v>46</v>
      </c>
      <c r="W1206" s="2" t="s">
        <v>821</v>
      </c>
      <c r="X1206" s="2" t="s">
        <v>10787</v>
      </c>
      <c r="Y1206" s="2" t="s">
        <v>10801</v>
      </c>
      <c r="Z1206" s="2" t="s">
        <v>7864</v>
      </c>
      <c r="AA1206" s="2">
        <v>90</v>
      </c>
      <c r="AB1206" s="2">
        <v>2</v>
      </c>
      <c r="AC1206" s="2" t="s">
        <v>10789</v>
      </c>
      <c r="AD1206" s="2" t="s">
        <v>26476</v>
      </c>
      <c r="AE1206" s="2" t="s">
        <v>18260</v>
      </c>
      <c r="AF1206" s="2"/>
      <c r="AG1206" s="2" t="s">
        <v>18250</v>
      </c>
    </row>
    <row r="1207" spans="1:33" x14ac:dyDescent="0.45">
      <c r="A1207" s="2" t="s">
        <v>26477</v>
      </c>
      <c r="B1207" s="2" t="s">
        <v>26478</v>
      </c>
      <c r="C1207" s="2" t="s">
        <v>26479</v>
      </c>
      <c r="D1207" s="2" t="s">
        <v>26480</v>
      </c>
      <c r="E1207" s="2" t="s">
        <v>26481</v>
      </c>
      <c r="F1207" s="2"/>
      <c r="G1207" s="2"/>
      <c r="H1207" s="2" t="s">
        <v>59</v>
      </c>
      <c r="I1207" s="2" t="s">
        <v>60</v>
      </c>
      <c r="J1207" s="2" t="s">
        <v>4840</v>
      </c>
      <c r="K1207" s="2" t="s">
        <v>26480</v>
      </c>
      <c r="L1207" s="2"/>
      <c r="M1207" s="2"/>
      <c r="N1207" s="2"/>
      <c r="O1207" s="2" t="s">
        <v>59</v>
      </c>
      <c r="P1207" s="2" t="s">
        <v>60</v>
      </c>
      <c r="Q1207" s="2" t="s">
        <v>4840</v>
      </c>
      <c r="R1207" s="2" t="s">
        <v>8745</v>
      </c>
      <c r="S1207" s="2" t="s">
        <v>44</v>
      </c>
      <c r="T1207" s="2"/>
      <c r="U1207" s="2" t="s">
        <v>821</v>
      </c>
      <c r="V1207" s="2" t="s">
        <v>46</v>
      </c>
      <c r="W1207" s="2" t="s">
        <v>821</v>
      </c>
      <c r="X1207" s="2" t="s">
        <v>12462</v>
      </c>
      <c r="Y1207" s="2" t="s">
        <v>10801</v>
      </c>
      <c r="Z1207" s="2" t="s">
        <v>7864</v>
      </c>
      <c r="AA1207" s="2">
        <v>90</v>
      </c>
      <c r="AB1207" s="2">
        <v>7</v>
      </c>
      <c r="AC1207" s="2" t="s">
        <v>10789</v>
      </c>
      <c r="AD1207" s="2" t="s">
        <v>26482</v>
      </c>
      <c r="AE1207" s="2" t="s">
        <v>18260</v>
      </c>
      <c r="AF1207" s="2"/>
      <c r="AG1207" s="2" t="s">
        <v>18250</v>
      </c>
    </row>
    <row r="1208" spans="1:33" x14ac:dyDescent="0.45">
      <c r="A1208" s="2" t="s">
        <v>26483</v>
      </c>
      <c r="B1208" s="2" t="s">
        <v>26484</v>
      </c>
      <c r="C1208" s="2" t="s">
        <v>26483</v>
      </c>
      <c r="D1208" s="2" t="s">
        <v>26485</v>
      </c>
      <c r="E1208" s="2" t="s">
        <v>26486</v>
      </c>
      <c r="F1208" s="2"/>
      <c r="G1208" s="2"/>
      <c r="H1208" s="2" t="s">
        <v>25606</v>
      </c>
      <c r="I1208" s="2" t="s">
        <v>25607</v>
      </c>
      <c r="J1208" s="2" t="s">
        <v>26487</v>
      </c>
      <c r="K1208" s="2" t="s">
        <v>26485</v>
      </c>
      <c r="L1208" s="2"/>
      <c r="M1208" s="2"/>
      <c r="N1208" s="2"/>
      <c r="O1208" s="2" t="s">
        <v>25606</v>
      </c>
      <c r="P1208" s="2" t="s">
        <v>25607</v>
      </c>
      <c r="Q1208" s="2" t="s">
        <v>26487</v>
      </c>
      <c r="R1208" s="2" t="s">
        <v>26488</v>
      </c>
      <c r="S1208" s="2" t="s">
        <v>44</v>
      </c>
      <c r="T1208" s="2"/>
      <c r="U1208" s="2" t="s">
        <v>821</v>
      </c>
      <c r="V1208" s="2" t="s">
        <v>46</v>
      </c>
      <c r="W1208" s="2" t="s">
        <v>821</v>
      </c>
      <c r="X1208" s="2" t="s">
        <v>10787</v>
      </c>
      <c r="Y1208" s="2" t="s">
        <v>10801</v>
      </c>
      <c r="Z1208" s="2" t="s">
        <v>7864</v>
      </c>
      <c r="AA1208" s="2">
        <v>90</v>
      </c>
      <c r="AB1208" s="2">
        <v>2</v>
      </c>
      <c r="AC1208" s="2" t="s">
        <v>10789</v>
      </c>
      <c r="AD1208" s="2" t="s">
        <v>26489</v>
      </c>
      <c r="AE1208" s="2" t="s">
        <v>18260</v>
      </c>
      <c r="AF1208" s="2"/>
      <c r="AG1208" s="2" t="s">
        <v>18250</v>
      </c>
    </row>
    <row r="1209" spans="1:33" x14ac:dyDescent="0.45">
      <c r="A1209" s="2" t="s">
        <v>26490</v>
      </c>
      <c r="B1209" s="2" t="s">
        <v>26491</v>
      </c>
      <c r="C1209" s="2" t="s">
        <v>26492</v>
      </c>
      <c r="D1209" s="2" t="s">
        <v>26493</v>
      </c>
      <c r="E1209" s="2" t="s">
        <v>26494</v>
      </c>
      <c r="F1209" s="2" t="s">
        <v>26495</v>
      </c>
      <c r="G1209" s="2"/>
      <c r="H1209" s="2" t="s">
        <v>1115</v>
      </c>
      <c r="I1209" s="2" t="s">
        <v>1112</v>
      </c>
      <c r="J1209" s="2" t="s">
        <v>1113</v>
      </c>
      <c r="K1209" s="2" t="s">
        <v>26496</v>
      </c>
      <c r="L1209" s="2"/>
      <c r="M1209" s="2"/>
      <c r="N1209" s="2"/>
      <c r="O1209" s="2" t="s">
        <v>1115</v>
      </c>
      <c r="P1209" s="2" t="s">
        <v>1112</v>
      </c>
      <c r="Q1209" s="2" t="s">
        <v>26497</v>
      </c>
      <c r="R1209" s="2" t="s">
        <v>13358</v>
      </c>
      <c r="S1209" s="2" t="s">
        <v>44</v>
      </c>
      <c r="T1209" s="2"/>
      <c r="U1209" s="2" t="s">
        <v>3527</v>
      </c>
      <c r="V1209" s="2" t="s">
        <v>46</v>
      </c>
      <c r="W1209" s="2" t="s">
        <v>3527</v>
      </c>
      <c r="X1209" s="2" t="s">
        <v>10787</v>
      </c>
      <c r="Y1209" s="2" t="s">
        <v>10801</v>
      </c>
      <c r="Z1209" s="2" t="s">
        <v>7864</v>
      </c>
      <c r="AA1209" s="2">
        <v>100</v>
      </c>
      <c r="AB1209" s="2">
        <v>5</v>
      </c>
      <c r="AC1209" s="2" t="s">
        <v>10789</v>
      </c>
      <c r="AD1209" s="2" t="s">
        <v>26498</v>
      </c>
      <c r="AE1209" s="2" t="s">
        <v>18260</v>
      </c>
      <c r="AF1209" s="2"/>
      <c r="AG1209" s="2" t="s">
        <v>18250</v>
      </c>
    </row>
    <row r="1210" spans="1:33" x14ac:dyDescent="0.45">
      <c r="A1210" s="2" t="s">
        <v>26499</v>
      </c>
      <c r="B1210" s="2" t="s">
        <v>26500</v>
      </c>
      <c r="C1210" s="2" t="s">
        <v>26501</v>
      </c>
      <c r="D1210" s="2" t="s">
        <v>26502</v>
      </c>
      <c r="E1210" s="2" t="s">
        <v>26503</v>
      </c>
      <c r="F1210" s="2" t="s">
        <v>26504</v>
      </c>
      <c r="G1210" s="2" t="s">
        <v>26504</v>
      </c>
      <c r="H1210" s="2" t="s">
        <v>324</v>
      </c>
      <c r="I1210" s="2" t="s">
        <v>73</v>
      </c>
      <c r="J1210" s="2" t="s">
        <v>13703</v>
      </c>
      <c r="K1210" s="2" t="s">
        <v>26505</v>
      </c>
      <c r="L1210" s="2"/>
      <c r="M1210" s="2"/>
      <c r="N1210" s="2"/>
      <c r="O1210" s="2" t="s">
        <v>324</v>
      </c>
      <c r="P1210" s="2" t="s">
        <v>73</v>
      </c>
      <c r="Q1210" s="2" t="s">
        <v>13703</v>
      </c>
      <c r="R1210" s="2" t="s">
        <v>11047</v>
      </c>
      <c r="S1210" s="2" t="s">
        <v>44</v>
      </c>
      <c r="T1210" s="2"/>
      <c r="U1210" s="2" t="s">
        <v>3527</v>
      </c>
      <c r="V1210" s="2" t="s">
        <v>46</v>
      </c>
      <c r="W1210" s="2" t="s">
        <v>3527</v>
      </c>
      <c r="X1210" s="2" t="s">
        <v>10787</v>
      </c>
      <c r="Y1210" s="2" t="s">
        <v>10801</v>
      </c>
      <c r="Z1210" s="2" t="s">
        <v>7864</v>
      </c>
      <c r="AA1210" s="2">
        <v>100</v>
      </c>
      <c r="AB1210" s="2">
        <v>10</v>
      </c>
      <c r="AC1210" s="2" t="s">
        <v>10789</v>
      </c>
      <c r="AD1210" s="2" t="s">
        <v>26506</v>
      </c>
      <c r="AE1210" s="2" t="s">
        <v>18260</v>
      </c>
      <c r="AF1210" s="2"/>
      <c r="AG1210" s="2" t="s">
        <v>18250</v>
      </c>
    </row>
    <row r="1211" spans="1:33" x14ac:dyDescent="0.45">
      <c r="A1211" s="2" t="s">
        <v>26507</v>
      </c>
      <c r="B1211" s="2" t="s">
        <v>26508</v>
      </c>
      <c r="C1211" s="2" t="s">
        <v>26507</v>
      </c>
      <c r="D1211" s="2" t="s">
        <v>26509</v>
      </c>
      <c r="E1211" s="2" t="s">
        <v>26510</v>
      </c>
      <c r="F1211" s="2"/>
      <c r="G1211" s="2"/>
      <c r="H1211" s="2" t="s">
        <v>1136</v>
      </c>
      <c r="I1211" s="2" t="s">
        <v>1137</v>
      </c>
      <c r="J1211" s="2" t="s">
        <v>1138</v>
      </c>
      <c r="K1211" s="2" t="s">
        <v>26509</v>
      </c>
      <c r="L1211" s="2"/>
      <c r="M1211" s="2"/>
      <c r="N1211" s="2"/>
      <c r="O1211" s="2" t="s">
        <v>1136</v>
      </c>
      <c r="P1211" s="2" t="s">
        <v>1137</v>
      </c>
      <c r="Q1211" s="2" t="s">
        <v>1138</v>
      </c>
      <c r="R1211" s="2" t="s">
        <v>10939</v>
      </c>
      <c r="S1211" s="2" t="s">
        <v>44</v>
      </c>
      <c r="T1211" s="2"/>
      <c r="U1211" s="2" t="s">
        <v>3527</v>
      </c>
      <c r="V1211" s="2" t="s">
        <v>46</v>
      </c>
      <c r="W1211" s="2" t="s">
        <v>3527</v>
      </c>
      <c r="X1211" s="2" t="s">
        <v>10787</v>
      </c>
      <c r="Y1211" s="2" t="s">
        <v>10801</v>
      </c>
      <c r="Z1211" s="2" t="s">
        <v>7864</v>
      </c>
      <c r="AA1211" s="2">
        <v>90</v>
      </c>
      <c r="AB1211" s="2">
        <v>0</v>
      </c>
      <c r="AC1211" s="2" t="s">
        <v>10789</v>
      </c>
      <c r="AD1211" s="2" t="s">
        <v>26511</v>
      </c>
      <c r="AE1211" s="2" t="s">
        <v>18260</v>
      </c>
      <c r="AF1211" s="2"/>
      <c r="AG1211" s="2" t="s">
        <v>18250</v>
      </c>
    </row>
    <row r="1212" spans="1:33" x14ac:dyDescent="0.45">
      <c r="A1212" s="2" t="s">
        <v>26512</v>
      </c>
      <c r="B1212" s="2" t="s">
        <v>26513</v>
      </c>
      <c r="C1212" s="2" t="s">
        <v>26514</v>
      </c>
      <c r="D1212" s="2" t="s">
        <v>26515</v>
      </c>
      <c r="E1212" s="2" t="s">
        <v>26516</v>
      </c>
      <c r="F1212" s="2" t="s">
        <v>26517</v>
      </c>
      <c r="G1212" s="2" t="s">
        <v>26517</v>
      </c>
      <c r="H1212" s="2" t="s">
        <v>5623</v>
      </c>
      <c r="I1212" s="2" t="s">
        <v>40</v>
      </c>
      <c r="J1212" s="2" t="s">
        <v>26518</v>
      </c>
      <c r="K1212" s="2" t="s">
        <v>26515</v>
      </c>
      <c r="L1212" s="2"/>
      <c r="M1212" s="2"/>
      <c r="N1212" s="2"/>
      <c r="O1212" s="2" t="s">
        <v>5623</v>
      </c>
      <c r="P1212" s="2" t="s">
        <v>40</v>
      </c>
      <c r="Q1212" s="2" t="s">
        <v>26518</v>
      </c>
      <c r="R1212" s="2" t="s">
        <v>1199</v>
      </c>
      <c r="S1212" s="2" t="s">
        <v>44</v>
      </c>
      <c r="T1212" s="2"/>
      <c r="U1212" s="2" t="s">
        <v>3527</v>
      </c>
      <c r="V1212" s="2" t="s">
        <v>46</v>
      </c>
      <c r="W1212" s="2" t="s">
        <v>3527</v>
      </c>
      <c r="X1212" s="2" t="s">
        <v>10787</v>
      </c>
      <c r="Y1212" s="2" t="s">
        <v>10801</v>
      </c>
      <c r="Z1212" s="2" t="s">
        <v>7864</v>
      </c>
      <c r="AA1212" s="2">
        <v>100</v>
      </c>
      <c r="AB1212" s="2">
        <v>5</v>
      </c>
      <c r="AC1212" s="2" t="s">
        <v>10789</v>
      </c>
      <c r="AD1212" s="2" t="s">
        <v>26519</v>
      </c>
      <c r="AE1212" s="2" t="s">
        <v>18260</v>
      </c>
      <c r="AF1212" s="2"/>
      <c r="AG1212" s="2" t="s">
        <v>18250</v>
      </c>
    </row>
    <row r="1213" spans="1:33" x14ac:dyDescent="0.45">
      <c r="A1213" s="2" t="s">
        <v>26520</v>
      </c>
      <c r="B1213" s="2" t="s">
        <v>26521</v>
      </c>
      <c r="C1213" s="2" t="s">
        <v>26520</v>
      </c>
      <c r="D1213" s="2" t="s">
        <v>26522</v>
      </c>
      <c r="E1213" s="2" t="s">
        <v>26523</v>
      </c>
      <c r="F1213" s="2"/>
      <c r="G1213" s="2"/>
      <c r="H1213" s="2" t="s">
        <v>220</v>
      </c>
      <c r="I1213" s="2" t="s">
        <v>221</v>
      </c>
      <c r="J1213" s="2" t="s">
        <v>18222</v>
      </c>
      <c r="K1213" s="2" t="s">
        <v>26522</v>
      </c>
      <c r="L1213" s="2"/>
      <c r="M1213" s="2"/>
      <c r="N1213" s="2"/>
      <c r="O1213" s="2" t="s">
        <v>220</v>
      </c>
      <c r="P1213" s="2" t="s">
        <v>221</v>
      </c>
      <c r="Q1213" s="2" t="s">
        <v>18222</v>
      </c>
      <c r="R1213" s="2" t="s">
        <v>26524</v>
      </c>
      <c r="S1213" s="2" t="s">
        <v>44</v>
      </c>
      <c r="T1213" s="2"/>
      <c r="U1213" s="2" t="s">
        <v>3527</v>
      </c>
      <c r="V1213" s="2" t="s">
        <v>46</v>
      </c>
      <c r="W1213" s="2" t="s">
        <v>3527</v>
      </c>
      <c r="X1213" s="2" t="s">
        <v>10787</v>
      </c>
      <c r="Y1213" s="2" t="s">
        <v>10801</v>
      </c>
      <c r="Z1213" s="2" t="s">
        <v>7864</v>
      </c>
      <c r="AA1213" s="2">
        <v>90</v>
      </c>
      <c r="AB1213" s="2">
        <v>0</v>
      </c>
      <c r="AC1213" s="2" t="s">
        <v>10789</v>
      </c>
      <c r="AD1213" s="2" t="s">
        <v>26525</v>
      </c>
      <c r="AE1213" s="2" t="s">
        <v>18260</v>
      </c>
      <c r="AF1213" s="2"/>
      <c r="AG1213" s="2" t="s">
        <v>18250</v>
      </c>
    </row>
    <row r="1214" spans="1:33" x14ac:dyDescent="0.45">
      <c r="A1214" s="2" t="s">
        <v>26526</v>
      </c>
      <c r="B1214" s="2" t="s">
        <v>26527</v>
      </c>
      <c r="C1214" s="2" t="s">
        <v>26528</v>
      </c>
      <c r="D1214" s="2" t="s">
        <v>26529</v>
      </c>
      <c r="E1214" s="2" t="s">
        <v>26530</v>
      </c>
      <c r="F1214" s="2" t="s">
        <v>26531</v>
      </c>
      <c r="G1214" s="2" t="s">
        <v>26531</v>
      </c>
      <c r="H1214" s="2" t="s">
        <v>1023</v>
      </c>
      <c r="I1214" s="2" t="s">
        <v>73</v>
      </c>
      <c r="J1214" s="2" t="s">
        <v>1024</v>
      </c>
      <c r="K1214" s="2" t="s">
        <v>26529</v>
      </c>
      <c r="L1214" s="2"/>
      <c r="M1214" s="2"/>
      <c r="N1214" s="2"/>
      <c r="O1214" s="2" t="s">
        <v>1023</v>
      </c>
      <c r="P1214" s="2" t="s">
        <v>73</v>
      </c>
      <c r="Q1214" s="2" t="s">
        <v>1024</v>
      </c>
      <c r="R1214" s="2" t="s">
        <v>5548</v>
      </c>
      <c r="S1214" s="2" t="s">
        <v>44</v>
      </c>
      <c r="T1214" s="2"/>
      <c r="U1214" s="2" t="s">
        <v>3527</v>
      </c>
      <c r="V1214" s="2" t="s">
        <v>46</v>
      </c>
      <c r="W1214" s="2" t="s">
        <v>3527</v>
      </c>
      <c r="X1214" s="2" t="s">
        <v>26532</v>
      </c>
      <c r="Y1214" s="2" t="s">
        <v>48</v>
      </c>
      <c r="Z1214" s="2" t="s">
        <v>49</v>
      </c>
      <c r="AA1214" s="2">
        <v>100</v>
      </c>
      <c r="AB1214" s="2">
        <v>40</v>
      </c>
      <c r="AC1214" s="2" t="s">
        <v>10789</v>
      </c>
      <c r="AD1214" s="2" t="s">
        <v>26533</v>
      </c>
      <c r="AE1214" s="2" t="s">
        <v>26534</v>
      </c>
      <c r="AF1214" s="2"/>
      <c r="AG1214" s="2" t="s">
        <v>18250</v>
      </c>
    </row>
    <row r="1215" spans="1:33" x14ac:dyDescent="0.45">
      <c r="A1215" s="2" t="s">
        <v>26535</v>
      </c>
      <c r="B1215" s="2" t="s">
        <v>26536</v>
      </c>
      <c r="C1215" s="2" t="s">
        <v>26537</v>
      </c>
      <c r="D1215" s="2" t="s">
        <v>26538</v>
      </c>
      <c r="E1215" s="2"/>
      <c r="F1215" s="2" t="s">
        <v>26539</v>
      </c>
      <c r="G1215" s="2" t="s">
        <v>26539</v>
      </c>
      <c r="H1215" s="2"/>
      <c r="I1215" s="2" t="s">
        <v>278</v>
      </c>
      <c r="J1215" s="2" t="s">
        <v>26540</v>
      </c>
      <c r="K1215" s="2" t="s">
        <v>26541</v>
      </c>
      <c r="L1215" s="2"/>
      <c r="M1215" s="2"/>
      <c r="N1215" s="2"/>
      <c r="O1215" s="2" t="s">
        <v>39</v>
      </c>
      <c r="P1215" s="2" t="s">
        <v>40</v>
      </c>
      <c r="Q1215" s="2" t="s">
        <v>41</v>
      </c>
      <c r="R1215" s="2" t="s">
        <v>26542</v>
      </c>
      <c r="S1215" s="2" t="s">
        <v>44</v>
      </c>
      <c r="T1215" s="2"/>
      <c r="U1215" s="2" t="s">
        <v>45</v>
      </c>
      <c r="V1215" s="2" t="s">
        <v>199</v>
      </c>
      <c r="W1215" s="2" t="s">
        <v>45</v>
      </c>
      <c r="X1215" s="2"/>
      <c r="Y1215" s="2" t="s">
        <v>17795</v>
      </c>
      <c r="Z1215" s="2" t="s">
        <v>49</v>
      </c>
      <c r="AA1215" s="2">
        <v>80</v>
      </c>
      <c r="AB1215" s="2">
        <v>5</v>
      </c>
      <c r="AC1215" s="2" t="s">
        <v>10789</v>
      </c>
      <c r="AD1215" s="2" t="s">
        <v>26543</v>
      </c>
      <c r="AE1215" s="2" t="s">
        <v>26534</v>
      </c>
      <c r="AF1215" s="2"/>
      <c r="AG1215" s="2" t="s">
        <v>18250</v>
      </c>
    </row>
    <row r="1216" spans="1:33" x14ac:dyDescent="0.45">
      <c r="A1216" s="2" t="s">
        <v>26535</v>
      </c>
      <c r="B1216" s="2" t="s">
        <v>26544</v>
      </c>
      <c r="C1216" s="2" t="s">
        <v>26545</v>
      </c>
      <c r="D1216" s="2" t="s">
        <v>26546</v>
      </c>
      <c r="E1216" s="2" t="s">
        <v>26547</v>
      </c>
      <c r="F1216" s="2" t="s">
        <v>26548</v>
      </c>
      <c r="G1216" s="2" t="s">
        <v>26548</v>
      </c>
      <c r="H1216" s="2" t="s">
        <v>13237</v>
      </c>
      <c r="I1216" s="2" t="s">
        <v>278</v>
      </c>
      <c r="J1216" s="2" t="s">
        <v>26540</v>
      </c>
      <c r="K1216" s="2" t="s">
        <v>26549</v>
      </c>
      <c r="L1216" s="2"/>
      <c r="M1216" s="2"/>
      <c r="N1216" s="2"/>
      <c r="O1216" s="2" t="s">
        <v>39</v>
      </c>
      <c r="P1216" s="2" t="s">
        <v>40</v>
      </c>
      <c r="Q1216" s="2" t="s">
        <v>8744</v>
      </c>
      <c r="R1216" s="2" t="s">
        <v>1441</v>
      </c>
      <c r="S1216" s="2" t="s">
        <v>44</v>
      </c>
      <c r="T1216" s="2"/>
      <c r="U1216" s="2" t="s">
        <v>3527</v>
      </c>
      <c r="V1216" s="2" t="s">
        <v>199</v>
      </c>
      <c r="W1216" s="2" t="s">
        <v>3527</v>
      </c>
      <c r="X1216" s="2" t="s">
        <v>26550</v>
      </c>
      <c r="Y1216" s="2" t="s">
        <v>48</v>
      </c>
      <c r="Z1216" s="2" t="s">
        <v>49</v>
      </c>
      <c r="AA1216" s="2">
        <v>100</v>
      </c>
      <c r="AB1216" s="2">
        <v>35</v>
      </c>
      <c r="AC1216" s="2" t="s">
        <v>10789</v>
      </c>
      <c r="AD1216" s="2" t="s">
        <v>26551</v>
      </c>
      <c r="AE1216" s="2" t="s">
        <v>26534</v>
      </c>
      <c r="AF1216" s="2"/>
      <c r="AG1216" s="2" t="s">
        <v>18250</v>
      </c>
    </row>
    <row r="1217" spans="1:33" x14ac:dyDescent="0.45">
      <c r="A1217" s="2" t="s">
        <v>26552</v>
      </c>
      <c r="B1217" s="2" t="s">
        <v>26553</v>
      </c>
      <c r="C1217" s="2" t="s">
        <v>26554</v>
      </c>
      <c r="D1217" s="2" t="s">
        <v>26555</v>
      </c>
      <c r="E1217" s="2" t="s">
        <v>26556</v>
      </c>
      <c r="F1217" s="2" t="s">
        <v>26557</v>
      </c>
      <c r="G1217" s="2" t="s">
        <v>26557</v>
      </c>
      <c r="H1217" s="2" t="s">
        <v>72</v>
      </c>
      <c r="I1217" s="2" t="s">
        <v>73</v>
      </c>
      <c r="J1217" s="2" t="s">
        <v>98</v>
      </c>
      <c r="K1217" s="2" t="s">
        <v>26558</v>
      </c>
      <c r="L1217" s="2"/>
      <c r="M1217" s="2"/>
      <c r="N1217" s="2"/>
      <c r="O1217" s="2" t="s">
        <v>72</v>
      </c>
      <c r="P1217" s="2" t="s">
        <v>73</v>
      </c>
      <c r="Q1217" s="2" t="s">
        <v>98</v>
      </c>
      <c r="R1217" s="2" t="s">
        <v>26559</v>
      </c>
      <c r="S1217" s="2" t="s">
        <v>44</v>
      </c>
      <c r="T1217" s="2"/>
      <c r="U1217" s="2" t="s">
        <v>3527</v>
      </c>
      <c r="V1217" s="2" t="s">
        <v>46</v>
      </c>
      <c r="W1217" s="2" t="s">
        <v>3527</v>
      </c>
      <c r="X1217" s="2" t="s">
        <v>26560</v>
      </c>
      <c r="Y1217" s="2" t="s">
        <v>48</v>
      </c>
      <c r="Z1217" s="2" t="s">
        <v>49</v>
      </c>
      <c r="AA1217" s="2">
        <v>100</v>
      </c>
      <c r="AB1217" s="2">
        <v>50</v>
      </c>
      <c r="AC1217" s="2" t="s">
        <v>9685</v>
      </c>
      <c r="AD1217" s="2" t="s">
        <v>26561</v>
      </c>
      <c r="AE1217" s="2" t="s">
        <v>26534</v>
      </c>
      <c r="AF1217" s="2"/>
      <c r="AG1217" s="2" t="s">
        <v>18250</v>
      </c>
    </row>
    <row r="1218" spans="1:33" x14ac:dyDescent="0.45">
      <c r="A1218" s="2" t="s">
        <v>26562</v>
      </c>
      <c r="B1218" s="2" t="s">
        <v>26563</v>
      </c>
      <c r="C1218" s="2" t="s">
        <v>158</v>
      </c>
      <c r="D1218" s="2" t="s">
        <v>26564</v>
      </c>
      <c r="E1218" s="2" t="s">
        <v>26556</v>
      </c>
      <c r="F1218" s="2" t="s">
        <v>26565</v>
      </c>
      <c r="G1218" s="2"/>
      <c r="H1218" s="2" t="s">
        <v>72</v>
      </c>
      <c r="I1218" s="2" t="s">
        <v>73</v>
      </c>
      <c r="J1218" s="2" t="s">
        <v>98</v>
      </c>
      <c r="K1218" s="2" t="s">
        <v>26566</v>
      </c>
      <c r="L1218" s="2"/>
      <c r="M1218" s="2"/>
      <c r="N1218" s="2"/>
      <c r="O1218" s="2" t="s">
        <v>72</v>
      </c>
      <c r="P1218" s="2" t="s">
        <v>73</v>
      </c>
      <c r="Q1218" s="2" t="s">
        <v>98</v>
      </c>
      <c r="R1218" s="2" t="s">
        <v>26567</v>
      </c>
      <c r="S1218" s="2" t="s">
        <v>44</v>
      </c>
      <c r="T1218" s="2"/>
      <c r="U1218" s="2" t="s">
        <v>45</v>
      </c>
      <c r="V1218" s="2" t="s">
        <v>46</v>
      </c>
      <c r="W1218" s="2" t="s">
        <v>45</v>
      </c>
      <c r="X1218" s="2" t="s">
        <v>26560</v>
      </c>
      <c r="Y1218" s="2" t="s">
        <v>48</v>
      </c>
      <c r="Z1218" s="2" t="s">
        <v>49</v>
      </c>
      <c r="AA1218" s="2">
        <v>100</v>
      </c>
      <c r="AB1218" s="2">
        <v>60</v>
      </c>
      <c r="AC1218" s="2" t="s">
        <v>9685</v>
      </c>
      <c r="AD1218" s="2" t="s">
        <v>26561</v>
      </c>
      <c r="AE1218" s="2" t="s">
        <v>26534</v>
      </c>
      <c r="AF1218" s="2"/>
      <c r="AG1218" s="2" t="s">
        <v>18250</v>
      </c>
    </row>
    <row r="1219" spans="1:33" x14ac:dyDescent="0.45">
      <c r="A1219" s="2" t="s">
        <v>26568</v>
      </c>
      <c r="B1219" s="2" t="s">
        <v>26569</v>
      </c>
      <c r="C1219" s="2" t="s">
        <v>26570</v>
      </c>
      <c r="D1219" s="2" t="s">
        <v>26571</v>
      </c>
      <c r="E1219" s="2" t="s">
        <v>26572</v>
      </c>
      <c r="F1219" s="2" t="s">
        <v>26573</v>
      </c>
      <c r="G1219" s="2" t="s">
        <v>26573</v>
      </c>
      <c r="H1219" s="2" t="s">
        <v>72</v>
      </c>
      <c r="I1219" s="2" t="s">
        <v>73</v>
      </c>
      <c r="J1219" s="2" t="s">
        <v>791</v>
      </c>
      <c r="K1219" s="2" t="s">
        <v>26574</v>
      </c>
      <c r="L1219" s="2"/>
      <c r="M1219" s="2"/>
      <c r="N1219" s="2"/>
      <c r="O1219" s="2" t="s">
        <v>72</v>
      </c>
      <c r="P1219" s="2" t="s">
        <v>73</v>
      </c>
      <c r="Q1219" s="2" t="s">
        <v>791</v>
      </c>
      <c r="R1219" s="2" t="s">
        <v>10642</v>
      </c>
      <c r="S1219" s="2" t="s">
        <v>44</v>
      </c>
      <c r="T1219" s="2"/>
      <c r="U1219" s="2" t="s">
        <v>821</v>
      </c>
      <c r="V1219" s="2" t="s">
        <v>199</v>
      </c>
      <c r="W1219" s="2" t="s">
        <v>821</v>
      </c>
      <c r="X1219" s="2" t="s">
        <v>26575</v>
      </c>
      <c r="Y1219" s="2" t="s">
        <v>48</v>
      </c>
      <c r="Z1219" s="2" t="s">
        <v>49</v>
      </c>
      <c r="AA1219" s="2">
        <v>100</v>
      </c>
      <c r="AB1219" s="2">
        <v>47</v>
      </c>
      <c r="AC1219" s="2" t="s">
        <v>9685</v>
      </c>
      <c r="AD1219" s="2" t="s">
        <v>26576</v>
      </c>
      <c r="AE1219" s="2" t="s">
        <v>26534</v>
      </c>
      <c r="AF1219" s="2"/>
      <c r="AG1219" s="2" t="s">
        <v>18250</v>
      </c>
    </row>
    <row r="1220" spans="1:33" x14ac:dyDescent="0.45">
      <c r="A1220" s="2" t="s">
        <v>26568</v>
      </c>
      <c r="B1220" s="2" t="s">
        <v>26577</v>
      </c>
      <c r="C1220" s="2" t="s">
        <v>26578</v>
      </c>
      <c r="D1220" s="2" t="s">
        <v>26579</v>
      </c>
      <c r="E1220" s="2"/>
      <c r="F1220" s="2" t="s">
        <v>26580</v>
      </c>
      <c r="G1220" s="2" t="s">
        <v>26580</v>
      </c>
      <c r="H1220" s="2" t="s">
        <v>72</v>
      </c>
      <c r="I1220" s="2" t="s">
        <v>73</v>
      </c>
      <c r="J1220" s="2" t="s">
        <v>791</v>
      </c>
      <c r="K1220" s="2" t="s">
        <v>26581</v>
      </c>
      <c r="L1220" s="2"/>
      <c r="M1220" s="2"/>
      <c r="N1220" s="2"/>
      <c r="O1220" s="2" t="s">
        <v>72</v>
      </c>
      <c r="P1220" s="2" t="s">
        <v>73</v>
      </c>
      <c r="Q1220" s="2" t="s">
        <v>791</v>
      </c>
      <c r="R1220" s="2" t="s">
        <v>26582</v>
      </c>
      <c r="S1220" s="2" t="s">
        <v>44</v>
      </c>
      <c r="T1220" s="2"/>
      <c r="U1220" s="2" t="s">
        <v>45</v>
      </c>
      <c r="V1220" s="2" t="s">
        <v>199</v>
      </c>
      <c r="W1220" s="2" t="s">
        <v>45</v>
      </c>
      <c r="X1220" s="2"/>
      <c r="Y1220" s="2" t="s">
        <v>17795</v>
      </c>
      <c r="Z1220" s="2" t="s">
        <v>49</v>
      </c>
      <c r="AA1220" s="2">
        <v>80</v>
      </c>
      <c r="AB1220" s="2">
        <v>5</v>
      </c>
      <c r="AC1220" s="2" t="s">
        <v>10789</v>
      </c>
      <c r="AD1220" s="2" t="s">
        <v>26583</v>
      </c>
      <c r="AE1220" s="2" t="s">
        <v>26534</v>
      </c>
      <c r="AF1220" s="2"/>
      <c r="AG1220" s="2" t="s">
        <v>18250</v>
      </c>
    </row>
    <row r="1221" spans="1:33" x14ac:dyDescent="0.45">
      <c r="A1221" s="2" t="s">
        <v>26584</v>
      </c>
      <c r="B1221" s="2" t="s">
        <v>26585</v>
      </c>
      <c r="C1221" s="2" t="s">
        <v>26586</v>
      </c>
      <c r="D1221" s="2" t="s">
        <v>26587</v>
      </c>
      <c r="E1221" s="2" t="s">
        <v>26588</v>
      </c>
      <c r="F1221" s="2" t="s">
        <v>26589</v>
      </c>
      <c r="G1221" s="2"/>
      <c r="H1221" s="2" t="s">
        <v>72</v>
      </c>
      <c r="I1221" s="2" t="s">
        <v>73</v>
      </c>
      <c r="J1221" s="2" t="s">
        <v>98</v>
      </c>
      <c r="K1221" s="2" t="s">
        <v>26590</v>
      </c>
      <c r="L1221" s="2"/>
      <c r="M1221" s="2"/>
      <c r="N1221" s="2"/>
      <c r="O1221" s="2" t="s">
        <v>72</v>
      </c>
      <c r="P1221" s="2" t="s">
        <v>73</v>
      </c>
      <c r="Q1221" s="2" t="s">
        <v>98</v>
      </c>
      <c r="R1221" s="2" t="s">
        <v>26591</v>
      </c>
      <c r="S1221" s="2" t="s">
        <v>44</v>
      </c>
      <c r="T1221" s="2"/>
      <c r="U1221" s="2" t="s">
        <v>45</v>
      </c>
      <c r="V1221" s="2" t="s">
        <v>46</v>
      </c>
      <c r="W1221" s="2" t="s">
        <v>45</v>
      </c>
      <c r="X1221" s="2" t="s">
        <v>26592</v>
      </c>
      <c r="Y1221" s="2" t="s">
        <v>48</v>
      </c>
      <c r="Z1221" s="2" t="s">
        <v>49</v>
      </c>
      <c r="AA1221" s="2">
        <v>100</v>
      </c>
      <c r="AB1221" s="2">
        <v>50</v>
      </c>
      <c r="AC1221" s="2" t="s">
        <v>9685</v>
      </c>
      <c r="AD1221" s="2" t="s">
        <v>26593</v>
      </c>
      <c r="AE1221" s="2" t="s">
        <v>26534</v>
      </c>
      <c r="AF1221" s="2"/>
      <c r="AG1221" s="2" t="s">
        <v>18250</v>
      </c>
    </row>
    <row r="1222" spans="1:33" x14ac:dyDescent="0.45">
      <c r="A1222" s="2" t="s">
        <v>26594</v>
      </c>
      <c r="B1222" s="2" t="s">
        <v>26595</v>
      </c>
      <c r="C1222" s="2" t="s">
        <v>26596</v>
      </c>
      <c r="D1222" s="2"/>
      <c r="E1222" s="2" t="s">
        <v>26597</v>
      </c>
      <c r="F1222" s="2" t="s">
        <v>26598</v>
      </c>
      <c r="G1222" s="2" t="s">
        <v>26598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 t="s">
        <v>26599</v>
      </c>
      <c r="S1222" s="2" t="s">
        <v>44</v>
      </c>
      <c r="T1222" s="2"/>
      <c r="U1222" s="2" t="s">
        <v>3527</v>
      </c>
      <c r="V1222" s="2" t="s">
        <v>46</v>
      </c>
      <c r="W1222" s="2" t="s">
        <v>3527</v>
      </c>
      <c r="X1222" s="2" t="s">
        <v>26600</v>
      </c>
      <c r="Y1222" s="2" t="s">
        <v>48</v>
      </c>
      <c r="Z1222" s="2" t="s">
        <v>49</v>
      </c>
      <c r="AA1222" s="2">
        <v>70</v>
      </c>
      <c r="AB1222" s="2">
        <v>30</v>
      </c>
      <c r="AC1222" s="2" t="s">
        <v>10789</v>
      </c>
      <c r="AD1222" s="2" t="s">
        <v>26601</v>
      </c>
      <c r="AE1222" s="2" t="s">
        <v>26534</v>
      </c>
      <c r="AF1222" s="2"/>
      <c r="AG1222" s="2" t="s">
        <v>18250</v>
      </c>
    </row>
    <row r="1223" spans="1:33" x14ac:dyDescent="0.45">
      <c r="A1223" s="2" t="s">
        <v>26602</v>
      </c>
      <c r="B1223" s="2" t="s">
        <v>26603</v>
      </c>
      <c r="C1223" s="2" t="s">
        <v>26604</v>
      </c>
      <c r="D1223" s="2" t="s">
        <v>26605</v>
      </c>
      <c r="E1223" s="2" t="s">
        <v>26606</v>
      </c>
      <c r="F1223" s="2" t="s">
        <v>26607</v>
      </c>
      <c r="G1223" s="2" t="s">
        <v>26607</v>
      </c>
      <c r="H1223" s="2" t="s">
        <v>72</v>
      </c>
      <c r="I1223" s="2" t="s">
        <v>73</v>
      </c>
      <c r="J1223" s="2" t="s">
        <v>5765</v>
      </c>
      <c r="K1223" s="2" t="s">
        <v>26608</v>
      </c>
      <c r="L1223" s="2"/>
      <c r="M1223" s="2"/>
      <c r="N1223" s="2"/>
      <c r="O1223" s="2" t="s">
        <v>72</v>
      </c>
      <c r="P1223" s="2" t="s">
        <v>73</v>
      </c>
      <c r="Q1223" s="2" t="s">
        <v>5765</v>
      </c>
      <c r="R1223" s="2" t="s">
        <v>9108</v>
      </c>
      <c r="S1223" s="2" t="s">
        <v>44</v>
      </c>
      <c r="T1223" s="2"/>
      <c r="U1223" s="2" t="s">
        <v>821</v>
      </c>
      <c r="V1223" s="2" t="s">
        <v>199</v>
      </c>
      <c r="W1223" s="2" t="s">
        <v>821</v>
      </c>
      <c r="X1223" s="2" t="s">
        <v>26609</v>
      </c>
      <c r="Y1223" s="2" t="s">
        <v>48</v>
      </c>
      <c r="Z1223" s="2" t="s">
        <v>49</v>
      </c>
      <c r="AA1223" s="2">
        <v>100</v>
      </c>
      <c r="AB1223" s="2">
        <v>57</v>
      </c>
      <c r="AC1223" s="2" t="s">
        <v>9685</v>
      </c>
      <c r="AD1223" s="2" t="s">
        <v>26610</v>
      </c>
      <c r="AE1223" s="2" t="s">
        <v>26534</v>
      </c>
      <c r="AF1223" s="2"/>
      <c r="AG1223" s="2" t="s">
        <v>18250</v>
      </c>
    </row>
    <row r="1224" spans="1:33" x14ac:dyDescent="0.45">
      <c r="A1224" s="2" t="s">
        <v>26602</v>
      </c>
      <c r="B1224" s="2" t="s">
        <v>26611</v>
      </c>
      <c r="C1224" s="2" t="s">
        <v>26612</v>
      </c>
      <c r="D1224" s="2" t="s">
        <v>26613</v>
      </c>
      <c r="E1224" s="2"/>
      <c r="F1224" s="2" t="s">
        <v>26614</v>
      </c>
      <c r="G1224" s="2" t="s">
        <v>26614</v>
      </c>
      <c r="H1224" s="2" t="s">
        <v>72</v>
      </c>
      <c r="I1224" s="2" t="s">
        <v>73</v>
      </c>
      <c r="J1224" s="2" t="s">
        <v>5765</v>
      </c>
      <c r="K1224" s="2" t="s">
        <v>26615</v>
      </c>
      <c r="L1224" s="2"/>
      <c r="M1224" s="2"/>
      <c r="N1224" s="2"/>
      <c r="O1224" s="2" t="s">
        <v>72</v>
      </c>
      <c r="P1224" s="2" t="s">
        <v>73</v>
      </c>
      <c r="Q1224" s="2" t="s">
        <v>26616</v>
      </c>
      <c r="R1224" s="2" t="s">
        <v>26617</v>
      </c>
      <c r="S1224" s="2" t="s">
        <v>44</v>
      </c>
      <c r="T1224" s="2"/>
      <c r="U1224" s="2" t="s">
        <v>45</v>
      </c>
      <c r="V1224" s="2" t="s">
        <v>199</v>
      </c>
      <c r="W1224" s="2" t="s">
        <v>45</v>
      </c>
      <c r="X1224" s="2"/>
      <c r="Y1224" s="2" t="s">
        <v>17795</v>
      </c>
      <c r="Z1224" s="2" t="s">
        <v>49</v>
      </c>
      <c r="AA1224" s="2">
        <v>80</v>
      </c>
      <c r="AB1224" s="2">
        <v>5</v>
      </c>
      <c r="AC1224" s="2" t="s">
        <v>10789</v>
      </c>
      <c r="AD1224" s="2" t="s">
        <v>26618</v>
      </c>
      <c r="AE1224" s="2" t="s">
        <v>26534</v>
      </c>
      <c r="AF1224" s="2"/>
      <c r="AG1224" s="2" t="s">
        <v>18250</v>
      </c>
    </row>
    <row r="1225" spans="1:33" x14ac:dyDescent="0.45">
      <c r="A1225" s="2" t="s">
        <v>26602</v>
      </c>
      <c r="B1225" s="2" t="s">
        <v>26619</v>
      </c>
      <c r="C1225" s="2" t="s">
        <v>26604</v>
      </c>
      <c r="D1225" s="2" t="s">
        <v>26620</v>
      </c>
      <c r="E1225" s="2" t="s">
        <v>26606</v>
      </c>
      <c r="F1225" s="2" t="s">
        <v>26621</v>
      </c>
      <c r="G1225" s="2" t="s">
        <v>26621</v>
      </c>
      <c r="H1225" s="2" t="s">
        <v>72</v>
      </c>
      <c r="I1225" s="2" t="s">
        <v>73</v>
      </c>
      <c r="J1225" s="2" t="s">
        <v>5765</v>
      </c>
      <c r="K1225" s="2" t="s">
        <v>26620</v>
      </c>
      <c r="L1225" s="2"/>
      <c r="M1225" s="2"/>
      <c r="N1225" s="2"/>
      <c r="O1225" s="2" t="s">
        <v>72</v>
      </c>
      <c r="P1225" s="2" t="s">
        <v>73</v>
      </c>
      <c r="Q1225" s="2" t="s">
        <v>5765</v>
      </c>
      <c r="R1225" s="2" t="s">
        <v>26622</v>
      </c>
      <c r="S1225" s="2" t="s">
        <v>44</v>
      </c>
      <c r="T1225" s="2"/>
      <c r="U1225" s="2" t="s">
        <v>3527</v>
      </c>
      <c r="V1225" s="2" t="s">
        <v>199</v>
      </c>
      <c r="W1225" s="2" t="s">
        <v>3527</v>
      </c>
      <c r="X1225" s="2" t="s">
        <v>26609</v>
      </c>
      <c r="Y1225" s="2" t="s">
        <v>48</v>
      </c>
      <c r="Z1225" s="2" t="s">
        <v>49</v>
      </c>
      <c r="AA1225" s="2">
        <v>100</v>
      </c>
      <c r="AB1225" s="2">
        <v>50</v>
      </c>
      <c r="AC1225" s="2" t="s">
        <v>9685</v>
      </c>
      <c r="AD1225" s="2" t="s">
        <v>26610</v>
      </c>
      <c r="AE1225" s="2" t="s">
        <v>26534</v>
      </c>
      <c r="AF1225" s="2"/>
      <c r="AG1225" s="2" t="s">
        <v>18250</v>
      </c>
    </row>
    <row r="1226" spans="1:33" x14ac:dyDescent="0.45">
      <c r="A1226" s="2" t="s">
        <v>26623</v>
      </c>
      <c r="B1226" s="2" t="s">
        <v>26624</v>
      </c>
      <c r="C1226" s="2" t="s">
        <v>26625</v>
      </c>
      <c r="D1226" s="2" t="s">
        <v>26626</v>
      </c>
      <c r="E1226" s="2" t="s">
        <v>26627</v>
      </c>
      <c r="F1226" s="2" t="s">
        <v>26628</v>
      </c>
      <c r="G1226" s="2"/>
      <c r="H1226" s="2" t="s">
        <v>72</v>
      </c>
      <c r="I1226" s="2" t="s">
        <v>73</v>
      </c>
      <c r="J1226" s="2" t="s">
        <v>98</v>
      </c>
      <c r="K1226" s="2" t="s">
        <v>26626</v>
      </c>
      <c r="L1226" s="2"/>
      <c r="M1226" s="2"/>
      <c r="N1226" s="2"/>
      <c r="O1226" s="2" t="s">
        <v>72</v>
      </c>
      <c r="P1226" s="2" t="s">
        <v>73</v>
      </c>
      <c r="Q1226" s="2" t="s">
        <v>98</v>
      </c>
      <c r="R1226" s="2" t="s">
        <v>1178</v>
      </c>
      <c r="S1226" s="2" t="s">
        <v>44</v>
      </c>
      <c r="T1226" s="2"/>
      <c r="U1226" s="2" t="s">
        <v>45</v>
      </c>
      <c r="V1226" s="2" t="s">
        <v>199</v>
      </c>
      <c r="W1226" s="2" t="s">
        <v>45</v>
      </c>
      <c r="X1226" s="2" t="s">
        <v>26560</v>
      </c>
      <c r="Y1226" s="2" t="s">
        <v>48</v>
      </c>
      <c r="Z1226" s="2" t="s">
        <v>49</v>
      </c>
      <c r="AA1226" s="2">
        <v>100</v>
      </c>
      <c r="AB1226" s="2">
        <v>60</v>
      </c>
      <c r="AC1226" s="2" t="s">
        <v>9685</v>
      </c>
      <c r="AD1226" s="2" t="s">
        <v>26561</v>
      </c>
      <c r="AE1226" s="2" t="s">
        <v>26534</v>
      </c>
      <c r="AF1226" s="2"/>
      <c r="AG1226" s="2" t="s">
        <v>18250</v>
      </c>
    </row>
    <row r="1227" spans="1:33" x14ac:dyDescent="0.45">
      <c r="A1227" s="2" t="s">
        <v>26623</v>
      </c>
      <c r="B1227" s="2" t="s">
        <v>26624</v>
      </c>
      <c r="C1227" s="2" t="s">
        <v>26625</v>
      </c>
      <c r="D1227" s="2" t="s">
        <v>26626</v>
      </c>
      <c r="E1227" s="2" t="s">
        <v>26627</v>
      </c>
      <c r="F1227" s="2" t="s">
        <v>26628</v>
      </c>
      <c r="G1227" s="2"/>
      <c r="H1227" s="2" t="s">
        <v>72</v>
      </c>
      <c r="I1227" s="2" t="s">
        <v>73</v>
      </c>
      <c r="J1227" s="2" t="s">
        <v>98</v>
      </c>
      <c r="K1227" s="2" t="s">
        <v>26626</v>
      </c>
      <c r="L1227" s="2"/>
      <c r="M1227" s="2"/>
      <c r="N1227" s="2"/>
      <c r="O1227" s="2" t="s">
        <v>72</v>
      </c>
      <c r="P1227" s="2" t="s">
        <v>73</v>
      </c>
      <c r="Q1227" s="2" t="s">
        <v>98</v>
      </c>
      <c r="R1227" s="2" t="s">
        <v>1178</v>
      </c>
      <c r="S1227" s="2" t="s">
        <v>44</v>
      </c>
      <c r="T1227" s="2"/>
      <c r="U1227" s="2" t="s">
        <v>45</v>
      </c>
      <c r="V1227" s="2" t="s">
        <v>199</v>
      </c>
      <c r="W1227" s="2" t="s">
        <v>45</v>
      </c>
      <c r="X1227" s="2" t="s">
        <v>26560</v>
      </c>
      <c r="Y1227" s="2" t="s">
        <v>48</v>
      </c>
      <c r="Z1227" s="2" t="s">
        <v>49</v>
      </c>
      <c r="AA1227" s="2">
        <v>100</v>
      </c>
      <c r="AB1227" s="2">
        <v>60</v>
      </c>
      <c r="AC1227" s="2" t="s">
        <v>9685</v>
      </c>
      <c r="AD1227" s="2" t="s">
        <v>26561</v>
      </c>
      <c r="AE1227" s="2" t="s">
        <v>26534</v>
      </c>
      <c r="AF1227" s="2"/>
      <c r="AG1227" s="2" t="s">
        <v>18250</v>
      </c>
    </row>
    <row r="1228" spans="1:33" x14ac:dyDescent="0.45">
      <c r="A1228" s="2" t="s">
        <v>26623</v>
      </c>
      <c r="B1228" s="2" t="s">
        <v>26629</v>
      </c>
      <c r="C1228" s="2" t="s">
        <v>26625</v>
      </c>
      <c r="D1228" s="2" t="s">
        <v>26630</v>
      </c>
      <c r="E1228" s="2" t="s">
        <v>26627</v>
      </c>
      <c r="F1228" s="2" t="s">
        <v>26631</v>
      </c>
      <c r="G1228" s="2" t="s">
        <v>26631</v>
      </c>
      <c r="H1228" s="2" t="s">
        <v>72</v>
      </c>
      <c r="I1228" s="2" t="s">
        <v>73</v>
      </c>
      <c r="J1228" s="2" t="s">
        <v>98</v>
      </c>
      <c r="K1228" s="2" t="s">
        <v>26630</v>
      </c>
      <c r="L1228" s="2"/>
      <c r="M1228" s="2"/>
      <c r="N1228" s="2"/>
      <c r="O1228" s="2" t="s">
        <v>72</v>
      </c>
      <c r="P1228" s="2" t="s">
        <v>73</v>
      </c>
      <c r="Q1228" s="2" t="s">
        <v>98</v>
      </c>
      <c r="R1228" s="2" t="s">
        <v>5069</v>
      </c>
      <c r="S1228" s="2" t="s">
        <v>44</v>
      </c>
      <c r="T1228" s="2"/>
      <c r="U1228" s="2" t="s">
        <v>3527</v>
      </c>
      <c r="V1228" s="2" t="s">
        <v>199</v>
      </c>
      <c r="W1228" s="2" t="s">
        <v>3527</v>
      </c>
      <c r="X1228" s="2" t="s">
        <v>26560</v>
      </c>
      <c r="Y1228" s="2" t="s">
        <v>48</v>
      </c>
      <c r="Z1228" s="2" t="s">
        <v>49</v>
      </c>
      <c r="AA1228" s="2">
        <v>100</v>
      </c>
      <c r="AB1228" s="2">
        <v>50</v>
      </c>
      <c r="AC1228" s="2" t="s">
        <v>9685</v>
      </c>
      <c r="AD1228" s="2" t="s">
        <v>26561</v>
      </c>
      <c r="AE1228" s="2" t="s">
        <v>26534</v>
      </c>
      <c r="AF1228" s="2"/>
      <c r="AG1228" s="2" t="s">
        <v>18250</v>
      </c>
    </row>
    <row r="1229" spans="1:33" x14ac:dyDescent="0.45">
      <c r="A1229" s="2" t="s">
        <v>26632</v>
      </c>
      <c r="B1229" s="2" t="s">
        <v>26633</v>
      </c>
      <c r="C1229" s="2" t="s">
        <v>26634</v>
      </c>
      <c r="D1229" s="2" t="s">
        <v>26635</v>
      </c>
      <c r="E1229" s="2" t="s">
        <v>26636</v>
      </c>
      <c r="F1229" s="2" t="s">
        <v>26637</v>
      </c>
      <c r="G1229" s="2" t="s">
        <v>26637</v>
      </c>
      <c r="H1229" s="2" t="s">
        <v>72</v>
      </c>
      <c r="I1229" s="2" t="s">
        <v>73</v>
      </c>
      <c r="J1229" s="2" t="s">
        <v>791</v>
      </c>
      <c r="K1229" s="2" t="s">
        <v>26635</v>
      </c>
      <c r="L1229" s="2"/>
      <c r="M1229" s="2"/>
      <c r="N1229" s="2"/>
      <c r="O1229" s="2" t="s">
        <v>72</v>
      </c>
      <c r="P1229" s="2" t="s">
        <v>73</v>
      </c>
      <c r="Q1229" s="2" t="s">
        <v>791</v>
      </c>
      <c r="R1229" s="2" t="s">
        <v>3019</v>
      </c>
      <c r="S1229" s="2" t="s">
        <v>44</v>
      </c>
      <c r="T1229" s="2"/>
      <c r="U1229" s="2" t="s">
        <v>821</v>
      </c>
      <c r="V1229" s="2" t="s">
        <v>199</v>
      </c>
      <c r="W1229" s="2" t="s">
        <v>821</v>
      </c>
      <c r="X1229" s="2" t="s">
        <v>26638</v>
      </c>
      <c r="Y1229" s="2" t="s">
        <v>48</v>
      </c>
      <c r="Z1229" s="2" t="s">
        <v>49</v>
      </c>
      <c r="AA1229" s="2">
        <v>100</v>
      </c>
      <c r="AB1229" s="2">
        <v>47</v>
      </c>
      <c r="AC1229" s="2" t="s">
        <v>9685</v>
      </c>
      <c r="AD1229" s="2" t="s">
        <v>26639</v>
      </c>
      <c r="AE1229" s="2" t="s">
        <v>26534</v>
      </c>
      <c r="AF1229" s="2"/>
      <c r="AG1229" s="2" t="s">
        <v>18250</v>
      </c>
    </row>
    <row r="1230" spans="1:33" x14ac:dyDescent="0.45">
      <c r="A1230" s="2" t="s">
        <v>26640</v>
      </c>
      <c r="B1230" s="2" t="s">
        <v>26641</v>
      </c>
      <c r="C1230" s="2" t="s">
        <v>26642</v>
      </c>
      <c r="D1230" s="2" t="s">
        <v>26643</v>
      </c>
      <c r="E1230" s="2" t="s">
        <v>26644</v>
      </c>
      <c r="F1230" s="2" t="s">
        <v>26645</v>
      </c>
      <c r="G1230" s="2" t="s">
        <v>26645</v>
      </c>
      <c r="H1230" s="2" t="s">
        <v>72</v>
      </c>
      <c r="I1230" s="2" t="s">
        <v>73</v>
      </c>
      <c r="J1230" s="2" t="s">
        <v>791</v>
      </c>
      <c r="K1230" s="2" t="s">
        <v>26646</v>
      </c>
      <c r="L1230" s="2"/>
      <c r="M1230" s="2"/>
      <c r="N1230" s="2"/>
      <c r="O1230" s="2" t="s">
        <v>72</v>
      </c>
      <c r="P1230" s="2" t="s">
        <v>73</v>
      </c>
      <c r="Q1230" s="2" t="s">
        <v>791</v>
      </c>
      <c r="R1230" s="2" t="s">
        <v>1037</v>
      </c>
      <c r="S1230" s="2" t="s">
        <v>44</v>
      </c>
      <c r="T1230" s="2"/>
      <c r="U1230" s="2" t="s">
        <v>3527</v>
      </c>
      <c r="V1230" s="2" t="s">
        <v>46</v>
      </c>
      <c r="W1230" s="2" t="s">
        <v>3527</v>
      </c>
      <c r="X1230" s="2" t="s">
        <v>26647</v>
      </c>
      <c r="Y1230" s="2" t="s">
        <v>48</v>
      </c>
      <c r="Z1230" s="2" t="s">
        <v>49</v>
      </c>
      <c r="AA1230" s="2">
        <v>100</v>
      </c>
      <c r="AB1230" s="2">
        <v>40</v>
      </c>
      <c r="AC1230" s="2" t="s">
        <v>10789</v>
      </c>
      <c r="AD1230" s="2" t="s">
        <v>26648</v>
      </c>
      <c r="AE1230" s="2" t="s">
        <v>26534</v>
      </c>
      <c r="AF1230" s="2"/>
      <c r="AG1230" s="2" t="s">
        <v>18250</v>
      </c>
    </row>
    <row r="1231" spans="1:33" x14ac:dyDescent="0.45">
      <c r="A1231" s="2" t="s">
        <v>26649</v>
      </c>
      <c r="B1231" s="2" t="s">
        <v>26650</v>
      </c>
      <c r="C1231" s="2" t="s">
        <v>26570</v>
      </c>
      <c r="D1231" s="2" t="s">
        <v>26651</v>
      </c>
      <c r="E1231" s="2" t="s">
        <v>26652</v>
      </c>
      <c r="F1231" s="2" t="s">
        <v>26653</v>
      </c>
      <c r="G1231" s="2" t="s">
        <v>26653</v>
      </c>
      <c r="H1231" s="2" t="s">
        <v>72</v>
      </c>
      <c r="I1231" s="2" t="s">
        <v>73</v>
      </c>
      <c r="J1231" s="2" t="s">
        <v>791</v>
      </c>
      <c r="K1231" s="2" t="s">
        <v>26654</v>
      </c>
      <c r="L1231" s="2"/>
      <c r="M1231" s="2"/>
      <c r="N1231" s="2"/>
      <c r="O1231" s="2" t="s">
        <v>72</v>
      </c>
      <c r="P1231" s="2" t="s">
        <v>73</v>
      </c>
      <c r="Q1231" s="2" t="s">
        <v>791</v>
      </c>
      <c r="R1231" s="2" t="s">
        <v>26655</v>
      </c>
      <c r="S1231" s="2" t="s">
        <v>44</v>
      </c>
      <c r="T1231" s="2"/>
      <c r="U1231" s="2" t="s">
        <v>3527</v>
      </c>
      <c r="V1231" s="2" t="s">
        <v>46</v>
      </c>
      <c r="W1231" s="2" t="s">
        <v>3527</v>
      </c>
      <c r="X1231" s="2" t="s">
        <v>6940</v>
      </c>
      <c r="Y1231" s="2" t="s">
        <v>48</v>
      </c>
      <c r="Z1231" s="2" t="s">
        <v>49</v>
      </c>
      <c r="AA1231" s="2">
        <v>100</v>
      </c>
      <c r="AB1231" s="2">
        <v>40</v>
      </c>
      <c r="AC1231" s="2" t="s">
        <v>10789</v>
      </c>
      <c r="AD1231" s="2" t="s">
        <v>6941</v>
      </c>
      <c r="AE1231" s="2" t="s">
        <v>26534</v>
      </c>
      <c r="AF1231" s="2"/>
      <c r="AG1231" s="2" t="s">
        <v>18250</v>
      </c>
    </row>
    <row r="1232" spans="1:33" x14ac:dyDescent="0.45">
      <c r="A1232" s="2" t="s">
        <v>26656</v>
      </c>
      <c r="B1232" s="2" t="s">
        <v>26657</v>
      </c>
      <c r="C1232" s="2" t="s">
        <v>26658</v>
      </c>
      <c r="D1232" s="2" t="s">
        <v>26659</v>
      </c>
      <c r="E1232" s="2" t="s">
        <v>26660</v>
      </c>
      <c r="F1232" s="2" t="s">
        <v>26661</v>
      </c>
      <c r="G1232" s="2" t="s">
        <v>26661</v>
      </c>
      <c r="H1232" s="2" t="s">
        <v>85</v>
      </c>
      <c r="I1232" s="2" t="s">
        <v>86</v>
      </c>
      <c r="J1232" s="2" t="s">
        <v>3073</v>
      </c>
      <c r="K1232" s="2" t="s">
        <v>26662</v>
      </c>
      <c r="L1232" s="2"/>
      <c r="M1232" s="2"/>
      <c r="N1232" s="2"/>
      <c r="O1232" s="2" t="s">
        <v>85</v>
      </c>
      <c r="P1232" s="2" t="s">
        <v>86</v>
      </c>
      <c r="Q1232" s="2" t="s">
        <v>3073</v>
      </c>
      <c r="R1232" s="2" t="s">
        <v>9182</v>
      </c>
      <c r="S1232" s="2" t="s">
        <v>44</v>
      </c>
      <c r="T1232" s="2"/>
      <c r="U1232" s="2" t="s">
        <v>821</v>
      </c>
      <c r="V1232" s="2" t="s">
        <v>46</v>
      </c>
      <c r="W1232" s="2" t="s">
        <v>821</v>
      </c>
      <c r="X1232" s="2" t="s">
        <v>26663</v>
      </c>
      <c r="Y1232" s="2" t="s">
        <v>48</v>
      </c>
      <c r="Z1232" s="2" t="s">
        <v>49</v>
      </c>
      <c r="AA1232" s="2">
        <v>100</v>
      </c>
      <c r="AB1232" s="2">
        <v>57</v>
      </c>
      <c r="AC1232" s="2" t="s">
        <v>9685</v>
      </c>
      <c r="AD1232" s="2" t="s">
        <v>26664</v>
      </c>
      <c r="AE1232" s="2" t="s">
        <v>26534</v>
      </c>
      <c r="AF1232" s="2"/>
      <c r="AG1232" s="2" t="s">
        <v>18250</v>
      </c>
    </row>
    <row r="1233" spans="1:33" x14ac:dyDescent="0.45">
      <c r="A1233" s="2" t="s">
        <v>26665</v>
      </c>
      <c r="B1233" s="2" t="s">
        <v>26666</v>
      </c>
      <c r="C1233" s="2"/>
      <c r="D1233" s="2" t="s">
        <v>26667</v>
      </c>
      <c r="E1233" s="2" t="s">
        <v>26668</v>
      </c>
      <c r="F1233" s="2" t="s">
        <v>26669</v>
      </c>
      <c r="G1233" s="2" t="s">
        <v>26669</v>
      </c>
      <c r="H1233" s="2" t="s">
        <v>85</v>
      </c>
      <c r="I1233" s="2"/>
      <c r="J1233" s="2" t="s">
        <v>3073</v>
      </c>
      <c r="K1233" s="2" t="s">
        <v>26670</v>
      </c>
      <c r="L1233" s="2"/>
      <c r="M1233" s="2"/>
      <c r="N1233" s="2"/>
      <c r="O1233" s="2" t="s">
        <v>85</v>
      </c>
      <c r="P1233" s="2"/>
      <c r="Q1233" s="2" t="s">
        <v>3073</v>
      </c>
      <c r="R1233" s="2" t="s">
        <v>10579</v>
      </c>
      <c r="S1233" s="2" t="s">
        <v>44</v>
      </c>
      <c r="T1233" s="2"/>
      <c r="U1233" s="2" t="s">
        <v>3527</v>
      </c>
      <c r="V1233" s="2" t="s">
        <v>46</v>
      </c>
      <c r="W1233" s="2" t="s">
        <v>3527</v>
      </c>
      <c r="X1233" s="2" t="s">
        <v>26663</v>
      </c>
      <c r="Y1233" s="2" t="s">
        <v>48</v>
      </c>
      <c r="Z1233" s="2" t="s">
        <v>49</v>
      </c>
      <c r="AA1233" s="2">
        <v>70</v>
      </c>
      <c r="AB1233" s="2">
        <v>45</v>
      </c>
      <c r="AC1233" s="2" t="s">
        <v>9685</v>
      </c>
      <c r="AD1233" s="2" t="s">
        <v>26664</v>
      </c>
      <c r="AE1233" s="2" t="s">
        <v>26534</v>
      </c>
      <c r="AF1233" s="2"/>
      <c r="AG1233" s="2" t="s">
        <v>18250</v>
      </c>
    </row>
    <row r="1234" spans="1:33" x14ac:dyDescent="0.45">
      <c r="A1234" s="2" t="s">
        <v>26671</v>
      </c>
      <c r="B1234" s="2" t="s">
        <v>26672</v>
      </c>
      <c r="C1234" s="2" t="s">
        <v>26673</v>
      </c>
      <c r="D1234" s="2" t="s">
        <v>26674</v>
      </c>
      <c r="E1234" s="2" t="s">
        <v>26675</v>
      </c>
      <c r="F1234" s="2" t="s">
        <v>26676</v>
      </c>
      <c r="G1234" s="2" t="s">
        <v>26676</v>
      </c>
      <c r="H1234" s="2" t="s">
        <v>384</v>
      </c>
      <c r="I1234" s="2" t="s">
        <v>73</v>
      </c>
      <c r="J1234" s="2" t="s">
        <v>26677</v>
      </c>
      <c r="K1234" s="2" t="s">
        <v>26678</v>
      </c>
      <c r="L1234" s="2"/>
      <c r="M1234" s="2"/>
      <c r="N1234" s="2"/>
      <c r="O1234" s="2" t="s">
        <v>384</v>
      </c>
      <c r="P1234" s="2" t="s">
        <v>73</v>
      </c>
      <c r="Q1234" s="2" t="s">
        <v>832</v>
      </c>
      <c r="R1234" s="2" t="s">
        <v>26679</v>
      </c>
      <c r="S1234" s="2" t="s">
        <v>44</v>
      </c>
      <c r="T1234" s="2"/>
      <c r="U1234" s="2" t="s">
        <v>3527</v>
      </c>
      <c r="V1234" s="2" t="s">
        <v>46</v>
      </c>
      <c r="W1234" s="2" t="s">
        <v>3527</v>
      </c>
      <c r="X1234" s="2" t="s">
        <v>26680</v>
      </c>
      <c r="Y1234" s="2" t="s">
        <v>48</v>
      </c>
      <c r="Z1234" s="2" t="s">
        <v>49</v>
      </c>
      <c r="AA1234" s="2">
        <v>100</v>
      </c>
      <c r="AB1234" s="2">
        <v>40</v>
      </c>
      <c r="AC1234" s="2" t="s">
        <v>10789</v>
      </c>
      <c r="AD1234" s="2" t="s">
        <v>26681</v>
      </c>
      <c r="AE1234" s="2" t="s">
        <v>26534</v>
      </c>
      <c r="AF1234" s="2"/>
      <c r="AG1234" s="2" t="s">
        <v>18250</v>
      </c>
    </row>
    <row r="1235" spans="1:33" x14ac:dyDescent="0.45">
      <c r="A1235" s="2" t="s">
        <v>26682</v>
      </c>
      <c r="B1235" s="2" t="s">
        <v>26683</v>
      </c>
      <c r="C1235" s="2" t="s">
        <v>26684</v>
      </c>
      <c r="D1235" s="2" t="s">
        <v>26685</v>
      </c>
      <c r="E1235" s="2" t="s">
        <v>26686</v>
      </c>
      <c r="F1235" s="2" t="s">
        <v>26687</v>
      </c>
      <c r="G1235" s="2" t="s">
        <v>26687</v>
      </c>
      <c r="H1235" s="2" t="s">
        <v>72</v>
      </c>
      <c r="I1235" s="2" t="s">
        <v>73</v>
      </c>
      <c r="J1235" s="2" t="s">
        <v>1568</v>
      </c>
      <c r="K1235" s="2" t="s">
        <v>26688</v>
      </c>
      <c r="L1235" s="2"/>
      <c r="M1235" s="2"/>
      <c r="N1235" s="2"/>
      <c r="O1235" s="2" t="s">
        <v>72</v>
      </c>
      <c r="P1235" s="2" t="s">
        <v>73</v>
      </c>
      <c r="Q1235" s="2" t="s">
        <v>1568</v>
      </c>
      <c r="R1235" s="2" t="s">
        <v>3592</v>
      </c>
      <c r="S1235" s="2" t="s">
        <v>44</v>
      </c>
      <c r="T1235" s="2"/>
      <c r="U1235" s="2" t="s">
        <v>821</v>
      </c>
      <c r="V1235" s="2" t="s">
        <v>199</v>
      </c>
      <c r="W1235" s="2" t="s">
        <v>821</v>
      </c>
      <c r="X1235" s="2" t="s">
        <v>26689</v>
      </c>
      <c r="Y1235" s="2" t="s">
        <v>48</v>
      </c>
      <c r="Z1235" s="2" t="s">
        <v>49</v>
      </c>
      <c r="AA1235" s="2">
        <v>100</v>
      </c>
      <c r="AB1235" s="2">
        <v>57</v>
      </c>
      <c r="AC1235" s="2" t="s">
        <v>9685</v>
      </c>
      <c r="AD1235" s="2" t="s">
        <v>26690</v>
      </c>
      <c r="AE1235" s="2" t="s">
        <v>26534</v>
      </c>
      <c r="AF1235" s="2"/>
      <c r="AG1235" s="2" t="s">
        <v>18250</v>
      </c>
    </row>
    <row r="1236" spans="1:33" x14ac:dyDescent="0.45">
      <c r="A1236" s="2" t="s">
        <v>26682</v>
      </c>
      <c r="B1236" s="2" t="s">
        <v>26691</v>
      </c>
      <c r="C1236" s="2" t="s">
        <v>26684</v>
      </c>
      <c r="D1236" s="2" t="s">
        <v>26692</v>
      </c>
      <c r="E1236" s="2" t="s">
        <v>26686</v>
      </c>
      <c r="F1236" s="2" t="s">
        <v>26687</v>
      </c>
      <c r="G1236" s="2" t="s">
        <v>26687</v>
      </c>
      <c r="H1236" s="2" t="s">
        <v>72</v>
      </c>
      <c r="I1236" s="2" t="s">
        <v>73</v>
      </c>
      <c r="J1236" s="2" t="s">
        <v>1568</v>
      </c>
      <c r="K1236" s="2" t="s">
        <v>26693</v>
      </c>
      <c r="L1236" s="2"/>
      <c r="M1236" s="2"/>
      <c r="N1236" s="2"/>
      <c r="O1236" s="2" t="s">
        <v>72</v>
      </c>
      <c r="P1236" s="2" t="s">
        <v>73</v>
      </c>
      <c r="Q1236" s="2" t="s">
        <v>373</v>
      </c>
      <c r="R1236" s="2" t="s">
        <v>26694</v>
      </c>
      <c r="S1236" s="2" t="s">
        <v>44</v>
      </c>
      <c r="T1236" s="2"/>
      <c r="U1236" s="2" t="s">
        <v>3527</v>
      </c>
      <c r="V1236" s="2" t="s">
        <v>199</v>
      </c>
      <c r="W1236" s="2" t="s">
        <v>3527</v>
      </c>
      <c r="X1236" s="2" t="s">
        <v>26689</v>
      </c>
      <c r="Y1236" s="2" t="s">
        <v>48</v>
      </c>
      <c r="Z1236" s="2" t="s">
        <v>49</v>
      </c>
      <c r="AA1236" s="2">
        <v>100</v>
      </c>
      <c r="AB1236" s="2">
        <v>50</v>
      </c>
      <c r="AC1236" s="2" t="s">
        <v>9685</v>
      </c>
      <c r="AD1236" s="2" t="s">
        <v>26690</v>
      </c>
      <c r="AE1236" s="2" t="s">
        <v>26534</v>
      </c>
      <c r="AF1236" s="2"/>
      <c r="AG1236" s="2" t="s">
        <v>18250</v>
      </c>
    </row>
    <row r="1237" spans="1:33" x14ac:dyDescent="0.45">
      <c r="A1237" s="2" t="s">
        <v>26695</v>
      </c>
      <c r="B1237" s="2" t="s">
        <v>26696</v>
      </c>
      <c r="C1237" s="2" t="s">
        <v>26697</v>
      </c>
      <c r="D1237" s="2" t="s">
        <v>26698</v>
      </c>
      <c r="E1237" s="2" t="s">
        <v>26699</v>
      </c>
      <c r="F1237" s="2" t="s">
        <v>26700</v>
      </c>
      <c r="G1237" s="2" t="s">
        <v>26700</v>
      </c>
      <c r="H1237" s="2" t="s">
        <v>72</v>
      </c>
      <c r="I1237" s="2" t="s">
        <v>73</v>
      </c>
      <c r="J1237" s="2" t="s">
        <v>74</v>
      </c>
      <c r="K1237" s="2" t="s">
        <v>26701</v>
      </c>
      <c r="L1237" s="2"/>
      <c r="M1237" s="2"/>
      <c r="N1237" s="2"/>
      <c r="O1237" s="2" t="s">
        <v>72</v>
      </c>
      <c r="P1237" s="2" t="s">
        <v>73</v>
      </c>
      <c r="Q1237" s="2" t="s">
        <v>74</v>
      </c>
      <c r="R1237" s="2" t="s">
        <v>6318</v>
      </c>
      <c r="S1237" s="2" t="s">
        <v>44</v>
      </c>
      <c r="T1237" s="2"/>
      <c r="U1237" s="2" t="s">
        <v>3527</v>
      </c>
      <c r="V1237" s="2" t="s">
        <v>46</v>
      </c>
      <c r="W1237" s="2" t="s">
        <v>3527</v>
      </c>
      <c r="X1237" s="2" t="s">
        <v>26702</v>
      </c>
      <c r="Y1237" s="2" t="s">
        <v>48</v>
      </c>
      <c r="Z1237" s="2" t="s">
        <v>49</v>
      </c>
      <c r="AA1237" s="2">
        <v>100</v>
      </c>
      <c r="AB1237" s="2">
        <v>40</v>
      </c>
      <c r="AC1237" s="2" t="s">
        <v>10789</v>
      </c>
      <c r="AD1237" s="2" t="s">
        <v>26703</v>
      </c>
      <c r="AE1237" s="2" t="s">
        <v>26534</v>
      </c>
      <c r="AF1237" s="2"/>
      <c r="AG1237" s="2" t="s">
        <v>18250</v>
      </c>
    </row>
    <row r="1238" spans="1:33" x14ac:dyDescent="0.45">
      <c r="A1238" s="2" t="s">
        <v>26704</v>
      </c>
      <c r="B1238" s="2" t="s">
        <v>26705</v>
      </c>
      <c r="C1238" s="2" t="s">
        <v>26706</v>
      </c>
      <c r="D1238" s="2" t="s">
        <v>26707</v>
      </c>
      <c r="E1238" s="2" t="s">
        <v>26708</v>
      </c>
      <c r="F1238" s="2" t="s">
        <v>26709</v>
      </c>
      <c r="G1238" s="2"/>
      <c r="H1238" s="2" t="s">
        <v>384</v>
      </c>
      <c r="I1238" s="2" t="s">
        <v>73</v>
      </c>
      <c r="J1238" s="2" t="s">
        <v>832</v>
      </c>
      <c r="K1238" s="2" t="s">
        <v>26710</v>
      </c>
      <c r="L1238" s="2"/>
      <c r="M1238" s="2"/>
      <c r="N1238" s="2"/>
      <c r="O1238" s="2" t="s">
        <v>72</v>
      </c>
      <c r="P1238" s="2" t="s">
        <v>73</v>
      </c>
      <c r="Q1238" s="2" t="s">
        <v>74</v>
      </c>
      <c r="R1238" s="2" t="s">
        <v>3458</v>
      </c>
      <c r="S1238" s="2" t="s">
        <v>44</v>
      </c>
      <c r="T1238" s="2"/>
      <c r="U1238" s="2" t="s">
        <v>45</v>
      </c>
      <c r="V1238" s="2" t="s">
        <v>46</v>
      </c>
      <c r="W1238" s="2" t="s">
        <v>45</v>
      </c>
      <c r="X1238" s="2" t="s">
        <v>26711</v>
      </c>
      <c r="Y1238" s="2" t="s">
        <v>48</v>
      </c>
      <c r="Z1238" s="2" t="s">
        <v>49</v>
      </c>
      <c r="AA1238" s="2">
        <v>100</v>
      </c>
      <c r="AB1238" s="2">
        <v>50</v>
      </c>
      <c r="AC1238" s="2" t="s">
        <v>9685</v>
      </c>
      <c r="AD1238" s="2" t="s">
        <v>26712</v>
      </c>
      <c r="AE1238" s="2" t="s">
        <v>26534</v>
      </c>
      <c r="AF1238" s="2"/>
      <c r="AG1238" s="2" t="s">
        <v>18250</v>
      </c>
    </row>
    <row r="1239" spans="1:33" x14ac:dyDescent="0.45">
      <c r="A1239" s="2" t="s">
        <v>26713</v>
      </c>
      <c r="B1239" s="2" t="s">
        <v>26714</v>
      </c>
      <c r="C1239" s="2" t="s">
        <v>26715</v>
      </c>
      <c r="D1239" s="2" t="s">
        <v>26716</v>
      </c>
      <c r="E1239" s="2" t="s">
        <v>26717</v>
      </c>
      <c r="F1239" s="2" t="s">
        <v>26718</v>
      </c>
      <c r="G1239" s="2" t="s">
        <v>26718</v>
      </c>
      <c r="H1239" s="2" t="s">
        <v>384</v>
      </c>
      <c r="I1239" s="2" t="s">
        <v>73</v>
      </c>
      <c r="J1239" s="2" t="s">
        <v>26677</v>
      </c>
      <c r="K1239" s="2" t="s">
        <v>26719</v>
      </c>
      <c r="L1239" s="2"/>
      <c r="M1239" s="2"/>
      <c r="N1239" s="2"/>
      <c r="O1239" s="2" t="s">
        <v>384</v>
      </c>
      <c r="P1239" s="2" t="s">
        <v>73</v>
      </c>
      <c r="Q1239" s="2" t="s">
        <v>832</v>
      </c>
      <c r="R1239" s="2" t="s">
        <v>26720</v>
      </c>
      <c r="S1239" s="2" t="s">
        <v>44</v>
      </c>
      <c r="T1239" s="2"/>
      <c r="U1239" s="2" t="s">
        <v>821</v>
      </c>
      <c r="V1239" s="2" t="s">
        <v>46</v>
      </c>
      <c r="W1239" s="2" t="s">
        <v>821</v>
      </c>
      <c r="X1239" s="2" t="s">
        <v>26721</v>
      </c>
      <c r="Y1239" s="2" t="s">
        <v>48</v>
      </c>
      <c r="Z1239" s="2" t="s">
        <v>49</v>
      </c>
      <c r="AA1239" s="2">
        <v>100</v>
      </c>
      <c r="AB1239" s="2">
        <v>47</v>
      </c>
      <c r="AC1239" s="2" t="s">
        <v>9685</v>
      </c>
      <c r="AD1239" s="2" t="s">
        <v>26722</v>
      </c>
      <c r="AE1239" s="2" t="s">
        <v>26534</v>
      </c>
      <c r="AF1239" s="2"/>
      <c r="AG1239" s="2" t="s">
        <v>18250</v>
      </c>
    </row>
    <row r="1240" spans="1:33" x14ac:dyDescent="0.45">
      <c r="A1240" s="2" t="s">
        <v>26723</v>
      </c>
      <c r="B1240" s="2" t="s">
        <v>26724</v>
      </c>
      <c r="C1240" s="2" t="s">
        <v>26725</v>
      </c>
      <c r="D1240" s="2" t="s">
        <v>26726</v>
      </c>
      <c r="E1240" s="2" t="s">
        <v>26727</v>
      </c>
      <c r="F1240" s="2" t="s">
        <v>26728</v>
      </c>
      <c r="G1240" s="2" t="s">
        <v>26728</v>
      </c>
      <c r="H1240" s="2" t="s">
        <v>72</v>
      </c>
      <c r="I1240" s="2" t="s">
        <v>73</v>
      </c>
      <c r="J1240" s="2" t="s">
        <v>98</v>
      </c>
      <c r="K1240" s="2" t="s">
        <v>26726</v>
      </c>
      <c r="L1240" s="2"/>
      <c r="M1240" s="2"/>
      <c r="N1240" s="2"/>
      <c r="O1240" s="2" t="s">
        <v>72</v>
      </c>
      <c r="P1240" s="2" t="s">
        <v>73</v>
      </c>
      <c r="Q1240" s="2" t="s">
        <v>98</v>
      </c>
      <c r="R1240" s="2" t="s">
        <v>13873</v>
      </c>
      <c r="S1240" s="2" t="s">
        <v>44</v>
      </c>
      <c r="T1240" s="2"/>
      <c r="U1240" s="2" t="s">
        <v>45</v>
      </c>
      <c r="V1240" s="2" t="s">
        <v>46</v>
      </c>
      <c r="W1240" s="2" t="s">
        <v>45</v>
      </c>
      <c r="X1240" s="2" t="s">
        <v>26729</v>
      </c>
      <c r="Y1240" s="2" t="s">
        <v>48</v>
      </c>
      <c r="Z1240" s="2" t="s">
        <v>49</v>
      </c>
      <c r="AA1240" s="2">
        <v>100</v>
      </c>
      <c r="AB1240" s="2">
        <v>50</v>
      </c>
      <c r="AC1240" s="2" t="s">
        <v>9685</v>
      </c>
      <c r="AD1240" s="2" t="s">
        <v>26730</v>
      </c>
      <c r="AE1240" s="2" t="s">
        <v>26534</v>
      </c>
      <c r="AF1240" s="2"/>
      <c r="AG1240" s="2" t="s">
        <v>18250</v>
      </c>
    </row>
    <row r="1241" spans="1:33" x14ac:dyDescent="0.45">
      <c r="A1241" s="2" t="s">
        <v>26731</v>
      </c>
      <c r="B1241" s="2" t="s">
        <v>26732</v>
      </c>
      <c r="C1241" s="2" t="s">
        <v>26733</v>
      </c>
      <c r="D1241" s="2" t="s">
        <v>26734</v>
      </c>
      <c r="E1241" s="2" t="s">
        <v>26735</v>
      </c>
      <c r="F1241" s="2" t="s">
        <v>26736</v>
      </c>
      <c r="G1241" s="2" t="s">
        <v>26737</v>
      </c>
      <c r="H1241" s="2" t="s">
        <v>72</v>
      </c>
      <c r="I1241" s="2" t="s">
        <v>73</v>
      </c>
      <c r="J1241" s="2" t="s">
        <v>74</v>
      </c>
      <c r="K1241" s="2" t="s">
        <v>26738</v>
      </c>
      <c r="L1241" s="2"/>
      <c r="M1241" s="2"/>
      <c r="N1241" s="2"/>
      <c r="O1241" s="2" t="s">
        <v>72</v>
      </c>
      <c r="P1241" s="2" t="s">
        <v>73</v>
      </c>
      <c r="Q1241" s="2" t="s">
        <v>74</v>
      </c>
      <c r="R1241" s="2" t="s">
        <v>895</v>
      </c>
      <c r="S1241" s="2" t="s">
        <v>44</v>
      </c>
      <c r="T1241" s="2"/>
      <c r="U1241" s="2" t="s">
        <v>45</v>
      </c>
      <c r="V1241" s="2" t="s">
        <v>46</v>
      </c>
      <c r="W1241" s="2" t="s">
        <v>45</v>
      </c>
      <c r="X1241" s="2" t="s">
        <v>26739</v>
      </c>
      <c r="Y1241" s="2" t="s">
        <v>48</v>
      </c>
      <c r="Z1241" s="2" t="s">
        <v>49</v>
      </c>
      <c r="AA1241" s="2">
        <v>100</v>
      </c>
      <c r="AB1241" s="2">
        <v>50</v>
      </c>
      <c r="AC1241" s="2" t="s">
        <v>9685</v>
      </c>
      <c r="AD1241" s="2" t="s">
        <v>26740</v>
      </c>
      <c r="AE1241" s="2" t="s">
        <v>26534</v>
      </c>
      <c r="AF1241" s="2"/>
      <c r="AG1241" s="2" t="s">
        <v>18250</v>
      </c>
    </row>
    <row r="1242" spans="1:33" x14ac:dyDescent="0.45">
      <c r="A1242" s="2" t="s">
        <v>26741</v>
      </c>
      <c r="B1242" s="2" t="s">
        <v>26742</v>
      </c>
      <c r="C1242" s="2" t="s">
        <v>26743</v>
      </c>
      <c r="D1242" s="2" t="s">
        <v>26744</v>
      </c>
      <c r="E1242" s="2" t="s">
        <v>26745</v>
      </c>
      <c r="F1242" s="2" t="s">
        <v>26746</v>
      </c>
      <c r="G1242" s="2" t="s">
        <v>26746</v>
      </c>
      <c r="H1242" s="2" t="s">
        <v>72</v>
      </c>
      <c r="I1242" s="2" t="s">
        <v>73</v>
      </c>
      <c r="J1242" s="2" t="s">
        <v>464</v>
      </c>
      <c r="K1242" s="2" t="s">
        <v>26744</v>
      </c>
      <c r="L1242" s="2"/>
      <c r="M1242" s="2"/>
      <c r="N1242" s="2"/>
      <c r="O1242" s="2" t="s">
        <v>72</v>
      </c>
      <c r="P1242" s="2" t="s">
        <v>73</v>
      </c>
      <c r="Q1242" s="2" t="s">
        <v>464</v>
      </c>
      <c r="R1242" s="2" t="s">
        <v>26747</v>
      </c>
      <c r="S1242" s="2" t="s">
        <v>44</v>
      </c>
      <c r="T1242" s="2"/>
      <c r="U1242" s="2" t="s">
        <v>3527</v>
      </c>
      <c r="V1242" s="2" t="s">
        <v>46</v>
      </c>
      <c r="W1242" s="2" t="s">
        <v>3527</v>
      </c>
      <c r="X1242" s="2" t="s">
        <v>26748</v>
      </c>
      <c r="Y1242" s="2" t="s">
        <v>48</v>
      </c>
      <c r="Z1242" s="2" t="s">
        <v>49</v>
      </c>
      <c r="AA1242" s="2">
        <v>100</v>
      </c>
      <c r="AB1242" s="2">
        <v>40</v>
      </c>
      <c r="AC1242" s="2" t="s">
        <v>10789</v>
      </c>
      <c r="AD1242" s="2" t="s">
        <v>26749</v>
      </c>
      <c r="AE1242" s="2" t="s">
        <v>26534</v>
      </c>
      <c r="AF1242" s="2"/>
      <c r="AG1242" s="2" t="s">
        <v>18250</v>
      </c>
    </row>
    <row r="1243" spans="1:33" x14ac:dyDescent="0.45">
      <c r="A1243" s="2" t="s">
        <v>26750</v>
      </c>
      <c r="B1243" s="2" t="s">
        <v>26751</v>
      </c>
      <c r="C1243" s="2" t="s">
        <v>26752</v>
      </c>
      <c r="D1243" s="2" t="s">
        <v>26753</v>
      </c>
      <c r="E1243" s="2" t="s">
        <v>26754</v>
      </c>
      <c r="F1243" s="2" t="s">
        <v>26755</v>
      </c>
      <c r="G1243" s="2" t="s">
        <v>26755</v>
      </c>
      <c r="H1243" s="2" t="s">
        <v>72</v>
      </c>
      <c r="I1243" s="2" t="s">
        <v>73</v>
      </c>
      <c r="J1243" s="2" t="s">
        <v>464</v>
      </c>
      <c r="K1243" s="2" t="s">
        <v>26756</v>
      </c>
      <c r="L1243" s="2"/>
      <c r="M1243" s="2"/>
      <c r="N1243" s="2"/>
      <c r="O1243" s="2" t="s">
        <v>72</v>
      </c>
      <c r="P1243" s="2" t="s">
        <v>73</v>
      </c>
      <c r="Q1243" s="2" t="s">
        <v>464</v>
      </c>
      <c r="R1243" s="2" t="s">
        <v>6436</v>
      </c>
      <c r="S1243" s="2" t="s">
        <v>44</v>
      </c>
      <c r="T1243" s="2"/>
      <c r="U1243" s="2" t="s">
        <v>3527</v>
      </c>
      <c r="V1243" s="2" t="s">
        <v>46</v>
      </c>
      <c r="W1243" s="2" t="s">
        <v>3527</v>
      </c>
      <c r="X1243" s="2" t="s">
        <v>26757</v>
      </c>
      <c r="Y1243" s="2" t="s">
        <v>48</v>
      </c>
      <c r="Z1243" s="2" t="s">
        <v>49</v>
      </c>
      <c r="AA1243" s="2">
        <v>100</v>
      </c>
      <c r="AB1243" s="2">
        <v>40</v>
      </c>
      <c r="AC1243" s="2" t="s">
        <v>10789</v>
      </c>
      <c r="AD1243" s="2" t="s">
        <v>26758</v>
      </c>
      <c r="AE1243" s="2" t="s">
        <v>26534</v>
      </c>
      <c r="AF1243" s="2"/>
      <c r="AG1243" s="2" t="s">
        <v>18250</v>
      </c>
    </row>
    <row r="1244" spans="1:33" x14ac:dyDescent="0.45">
      <c r="A1244" s="2" t="s">
        <v>26759</v>
      </c>
      <c r="B1244" s="2" t="s">
        <v>26760</v>
      </c>
      <c r="C1244" s="2" t="s">
        <v>26761</v>
      </c>
      <c r="D1244" s="2" t="s">
        <v>26762</v>
      </c>
      <c r="E1244" s="2" t="s">
        <v>26763</v>
      </c>
      <c r="F1244" s="2" t="s">
        <v>26764</v>
      </c>
      <c r="G1244" s="2" t="s">
        <v>26764</v>
      </c>
      <c r="H1244" s="2" t="s">
        <v>72</v>
      </c>
      <c r="I1244" s="2" t="s">
        <v>73</v>
      </c>
      <c r="J1244" s="2" t="s">
        <v>1164</v>
      </c>
      <c r="K1244" s="2" t="s">
        <v>26765</v>
      </c>
      <c r="L1244" s="2"/>
      <c r="M1244" s="2"/>
      <c r="N1244" s="2"/>
      <c r="O1244" s="2" t="s">
        <v>72</v>
      </c>
      <c r="P1244" s="2" t="s">
        <v>73</v>
      </c>
      <c r="Q1244" s="2" t="s">
        <v>1164</v>
      </c>
      <c r="R1244" s="2" t="s">
        <v>6474</v>
      </c>
      <c r="S1244" s="2" t="s">
        <v>44</v>
      </c>
      <c r="T1244" s="2"/>
      <c r="U1244" s="2" t="s">
        <v>3527</v>
      </c>
      <c r="V1244" s="2" t="s">
        <v>46</v>
      </c>
      <c r="W1244" s="2" t="s">
        <v>3527</v>
      </c>
      <c r="X1244" s="2" t="s">
        <v>26766</v>
      </c>
      <c r="Y1244" s="2" t="s">
        <v>48</v>
      </c>
      <c r="Z1244" s="2" t="s">
        <v>49</v>
      </c>
      <c r="AA1244" s="2">
        <v>100</v>
      </c>
      <c r="AB1244" s="2">
        <v>50</v>
      </c>
      <c r="AC1244" s="2" t="s">
        <v>9685</v>
      </c>
      <c r="AD1244" s="2" t="s">
        <v>26767</v>
      </c>
      <c r="AE1244" s="2" t="s">
        <v>26534</v>
      </c>
      <c r="AF1244" s="2"/>
      <c r="AG1244" s="2" t="s">
        <v>18250</v>
      </c>
    </row>
    <row r="1245" spans="1:33" x14ac:dyDescent="0.45">
      <c r="A1245" s="2" t="s">
        <v>26768</v>
      </c>
      <c r="B1245" s="2" t="s">
        <v>26769</v>
      </c>
      <c r="C1245" s="2" t="s">
        <v>17885</v>
      </c>
      <c r="D1245" s="2" t="s">
        <v>26770</v>
      </c>
      <c r="E1245" s="2" t="s">
        <v>26771</v>
      </c>
      <c r="F1245" s="2" t="s">
        <v>26772</v>
      </c>
      <c r="G1245" s="2" t="s">
        <v>26772</v>
      </c>
      <c r="H1245" s="2" t="s">
        <v>72</v>
      </c>
      <c r="I1245" s="2" t="s">
        <v>73</v>
      </c>
      <c r="J1245" s="2" t="s">
        <v>1164</v>
      </c>
      <c r="K1245" s="2" t="s">
        <v>26773</v>
      </c>
      <c r="L1245" s="2"/>
      <c r="M1245" s="2"/>
      <c r="N1245" s="2"/>
      <c r="O1245" s="2" t="s">
        <v>72</v>
      </c>
      <c r="P1245" s="2" t="s">
        <v>73</v>
      </c>
      <c r="Q1245" s="2" t="s">
        <v>1164</v>
      </c>
      <c r="R1245" s="2" t="s">
        <v>26774</v>
      </c>
      <c r="S1245" s="2" t="s">
        <v>44</v>
      </c>
      <c r="T1245" s="2"/>
      <c r="U1245" s="2" t="s">
        <v>821</v>
      </c>
      <c r="V1245" s="2" t="s">
        <v>46</v>
      </c>
      <c r="W1245" s="2" t="s">
        <v>821</v>
      </c>
      <c r="X1245" s="2" t="s">
        <v>26766</v>
      </c>
      <c r="Y1245" s="2" t="s">
        <v>48</v>
      </c>
      <c r="Z1245" s="2" t="s">
        <v>49</v>
      </c>
      <c r="AA1245" s="2">
        <v>100</v>
      </c>
      <c r="AB1245" s="2">
        <v>57</v>
      </c>
      <c r="AC1245" s="2" t="s">
        <v>9685</v>
      </c>
      <c r="AD1245" s="2" t="s">
        <v>26767</v>
      </c>
      <c r="AE1245" s="2" t="s">
        <v>26534</v>
      </c>
      <c r="AF1245" s="2"/>
      <c r="AG1245" s="2" t="s">
        <v>18250</v>
      </c>
    </row>
    <row r="1246" spans="1:33" x14ac:dyDescent="0.45">
      <c r="A1246" s="2" t="s">
        <v>26775</v>
      </c>
      <c r="B1246" s="2" t="s">
        <v>26776</v>
      </c>
      <c r="C1246" s="2" t="s">
        <v>26777</v>
      </c>
      <c r="D1246" s="2" t="s">
        <v>26778</v>
      </c>
      <c r="E1246" s="2" t="s">
        <v>26779</v>
      </c>
      <c r="F1246" s="2" t="s">
        <v>26780</v>
      </c>
      <c r="G1246" s="2" t="s">
        <v>26780</v>
      </c>
      <c r="H1246" s="2" t="s">
        <v>39</v>
      </c>
      <c r="I1246" s="2" t="s">
        <v>40</v>
      </c>
      <c r="J1246" s="2" t="s">
        <v>19038</v>
      </c>
      <c r="K1246" s="2" t="s">
        <v>26781</v>
      </c>
      <c r="L1246" s="2"/>
      <c r="M1246" s="2"/>
      <c r="N1246" s="2"/>
      <c r="O1246" s="2" t="s">
        <v>39</v>
      </c>
      <c r="P1246" s="2" t="s">
        <v>40</v>
      </c>
      <c r="Q1246" s="2" t="s">
        <v>19038</v>
      </c>
      <c r="R1246" s="2" t="s">
        <v>26782</v>
      </c>
      <c r="S1246" s="2" t="s">
        <v>44</v>
      </c>
      <c r="T1246" s="2"/>
      <c r="U1246" s="2" t="s">
        <v>3527</v>
      </c>
      <c r="V1246" s="2" t="s">
        <v>46</v>
      </c>
      <c r="W1246" s="2" t="s">
        <v>3527</v>
      </c>
      <c r="X1246" s="2" t="s">
        <v>26783</v>
      </c>
      <c r="Y1246" s="2" t="s">
        <v>48</v>
      </c>
      <c r="Z1246" s="2" t="s">
        <v>49</v>
      </c>
      <c r="AA1246" s="2">
        <v>100</v>
      </c>
      <c r="AB1246" s="2">
        <v>40</v>
      </c>
      <c r="AC1246" s="2" t="s">
        <v>10789</v>
      </c>
      <c r="AD1246" s="2" t="s">
        <v>26784</v>
      </c>
      <c r="AE1246" s="2" t="s">
        <v>26534</v>
      </c>
      <c r="AF1246" s="2"/>
      <c r="AG1246" s="2" t="s">
        <v>18250</v>
      </c>
    </row>
    <row r="1247" spans="1:33" x14ac:dyDescent="0.45">
      <c r="A1247" s="2" t="s">
        <v>26785</v>
      </c>
      <c r="B1247" s="2" t="s">
        <v>26786</v>
      </c>
      <c r="C1247" s="2" t="s">
        <v>26787</v>
      </c>
      <c r="D1247" s="2" t="s">
        <v>26788</v>
      </c>
      <c r="E1247" s="2" t="s">
        <v>26789</v>
      </c>
      <c r="F1247" s="2" t="s">
        <v>26790</v>
      </c>
      <c r="G1247" s="2" t="s">
        <v>26790</v>
      </c>
      <c r="H1247" s="2" t="s">
        <v>72</v>
      </c>
      <c r="I1247" s="2" t="s">
        <v>73</v>
      </c>
      <c r="J1247" s="2" t="s">
        <v>74</v>
      </c>
      <c r="K1247" s="2" t="s">
        <v>26791</v>
      </c>
      <c r="L1247" s="2"/>
      <c r="M1247" s="2"/>
      <c r="N1247" s="2"/>
      <c r="O1247" s="2" t="s">
        <v>72</v>
      </c>
      <c r="P1247" s="2" t="s">
        <v>73</v>
      </c>
      <c r="Q1247" s="2" t="s">
        <v>74</v>
      </c>
      <c r="R1247" s="2" t="s">
        <v>26792</v>
      </c>
      <c r="S1247" s="2" t="s">
        <v>44</v>
      </c>
      <c r="T1247" s="2"/>
      <c r="U1247" s="2" t="s">
        <v>3527</v>
      </c>
      <c r="V1247" s="2" t="s">
        <v>46</v>
      </c>
      <c r="W1247" s="2" t="s">
        <v>3527</v>
      </c>
      <c r="X1247" s="2" t="s">
        <v>26793</v>
      </c>
      <c r="Y1247" s="2" t="s">
        <v>48</v>
      </c>
      <c r="Z1247" s="2" t="s">
        <v>49</v>
      </c>
      <c r="AA1247" s="2">
        <v>100</v>
      </c>
      <c r="AB1247" s="2">
        <v>40</v>
      </c>
      <c r="AC1247" s="2" t="s">
        <v>10789</v>
      </c>
      <c r="AD1247" s="2" t="s">
        <v>26794</v>
      </c>
      <c r="AE1247" s="2" t="s">
        <v>26534</v>
      </c>
      <c r="AF1247" s="2"/>
      <c r="AG1247" s="2" t="s">
        <v>18250</v>
      </c>
    </row>
    <row r="1248" spans="1:33" x14ac:dyDescent="0.45">
      <c r="A1248" s="2" t="s">
        <v>26795</v>
      </c>
      <c r="B1248" s="2" t="s">
        <v>26796</v>
      </c>
      <c r="C1248" s="2" t="s">
        <v>26797</v>
      </c>
      <c r="D1248" s="2" t="s">
        <v>26798</v>
      </c>
      <c r="E1248" s="2" t="s">
        <v>26799</v>
      </c>
      <c r="F1248" s="2" t="s">
        <v>26800</v>
      </c>
      <c r="G1248" s="2" t="s">
        <v>26800</v>
      </c>
      <c r="H1248" s="2" t="s">
        <v>72</v>
      </c>
      <c r="I1248" s="2" t="s">
        <v>73</v>
      </c>
      <c r="J1248" s="2" t="s">
        <v>1164</v>
      </c>
      <c r="K1248" s="2" t="s">
        <v>26801</v>
      </c>
      <c r="L1248" s="2"/>
      <c r="M1248" s="2"/>
      <c r="N1248" s="2"/>
      <c r="O1248" s="2" t="s">
        <v>72</v>
      </c>
      <c r="P1248" s="2" t="s">
        <v>73</v>
      </c>
      <c r="Q1248" s="2" t="s">
        <v>1164</v>
      </c>
      <c r="R1248" s="2" t="s">
        <v>5012</v>
      </c>
      <c r="S1248" s="2" t="s">
        <v>44</v>
      </c>
      <c r="T1248" s="2"/>
      <c r="U1248" s="2" t="s">
        <v>3527</v>
      </c>
      <c r="V1248" s="2" t="s">
        <v>46</v>
      </c>
      <c r="W1248" s="2" t="s">
        <v>3527</v>
      </c>
      <c r="X1248" s="2" t="s">
        <v>26766</v>
      </c>
      <c r="Y1248" s="2" t="s">
        <v>48</v>
      </c>
      <c r="Z1248" s="2" t="s">
        <v>49</v>
      </c>
      <c r="AA1248" s="2">
        <v>100</v>
      </c>
      <c r="AB1248" s="2">
        <v>50</v>
      </c>
      <c r="AC1248" s="2" t="s">
        <v>9685</v>
      </c>
      <c r="AD1248" s="2" t="s">
        <v>26767</v>
      </c>
      <c r="AE1248" s="2" t="s">
        <v>26534</v>
      </c>
      <c r="AF1248" s="2"/>
      <c r="AG1248" s="2" t="s">
        <v>18250</v>
      </c>
    </row>
    <row r="1249" spans="1:33" x14ac:dyDescent="0.45">
      <c r="A1249" s="2" t="s">
        <v>26802</v>
      </c>
      <c r="B1249" s="2" t="s">
        <v>26803</v>
      </c>
      <c r="C1249" s="2" t="s">
        <v>17885</v>
      </c>
      <c r="D1249" s="2" t="s">
        <v>26804</v>
      </c>
      <c r="E1249" s="2" t="s">
        <v>26771</v>
      </c>
      <c r="F1249" s="2" t="s">
        <v>26805</v>
      </c>
      <c r="G1249" s="2" t="s">
        <v>26806</v>
      </c>
      <c r="H1249" s="2" t="s">
        <v>72</v>
      </c>
      <c r="I1249" s="2" t="s">
        <v>73</v>
      </c>
      <c r="J1249" s="2" t="s">
        <v>1164</v>
      </c>
      <c r="K1249" s="2" t="s">
        <v>26804</v>
      </c>
      <c r="L1249" s="2"/>
      <c r="M1249" s="2"/>
      <c r="N1249" s="2"/>
      <c r="O1249" s="2" t="s">
        <v>72</v>
      </c>
      <c r="P1249" s="2" t="s">
        <v>73</v>
      </c>
      <c r="Q1249" s="2" t="s">
        <v>1164</v>
      </c>
      <c r="R1249" s="2" t="s">
        <v>26807</v>
      </c>
      <c r="S1249" s="2" t="s">
        <v>44</v>
      </c>
      <c r="T1249" s="2"/>
      <c r="U1249" s="2" t="s">
        <v>45</v>
      </c>
      <c r="V1249" s="2" t="s">
        <v>46</v>
      </c>
      <c r="W1249" s="2" t="s">
        <v>45</v>
      </c>
      <c r="X1249" s="2" t="s">
        <v>26766</v>
      </c>
      <c r="Y1249" s="2" t="s">
        <v>48</v>
      </c>
      <c r="Z1249" s="2" t="s">
        <v>49</v>
      </c>
      <c r="AA1249" s="2">
        <v>100</v>
      </c>
      <c r="AB1249" s="2">
        <v>60</v>
      </c>
      <c r="AC1249" s="2" t="s">
        <v>9685</v>
      </c>
      <c r="AD1249" s="2" t="s">
        <v>26767</v>
      </c>
      <c r="AE1249" s="2" t="s">
        <v>26534</v>
      </c>
      <c r="AF1249" s="2"/>
      <c r="AG1249" s="2" t="s">
        <v>18250</v>
      </c>
    </row>
    <row r="1250" spans="1:33" x14ac:dyDescent="0.45">
      <c r="A1250" s="2" t="s">
        <v>26808</v>
      </c>
      <c r="B1250" s="2" t="s">
        <v>26809</v>
      </c>
      <c r="C1250" s="2" t="s">
        <v>26810</v>
      </c>
      <c r="D1250" s="2" t="s">
        <v>26811</v>
      </c>
      <c r="E1250" s="2" t="s">
        <v>26812</v>
      </c>
      <c r="F1250" s="2"/>
      <c r="G1250" s="2"/>
      <c r="H1250" s="2" t="s">
        <v>72</v>
      </c>
      <c r="I1250" s="2" t="s">
        <v>73</v>
      </c>
      <c r="J1250" s="2" t="s">
        <v>74</v>
      </c>
      <c r="K1250" s="2" t="s">
        <v>26813</v>
      </c>
      <c r="L1250" s="2"/>
      <c r="M1250" s="2"/>
      <c r="N1250" s="2"/>
      <c r="O1250" s="2" t="s">
        <v>72</v>
      </c>
      <c r="P1250" s="2" t="s">
        <v>73</v>
      </c>
      <c r="Q1250" s="2" t="s">
        <v>74</v>
      </c>
      <c r="R1250" s="2" t="s">
        <v>26814</v>
      </c>
      <c r="S1250" s="2" t="s">
        <v>44</v>
      </c>
      <c r="T1250" s="2"/>
      <c r="U1250" s="2" t="s">
        <v>3527</v>
      </c>
      <c r="V1250" s="2" t="s">
        <v>46</v>
      </c>
      <c r="W1250" s="2" t="s">
        <v>3527</v>
      </c>
      <c r="X1250" s="2" t="s">
        <v>26815</v>
      </c>
      <c r="Y1250" s="2" t="s">
        <v>48</v>
      </c>
      <c r="Z1250" s="2" t="s">
        <v>49</v>
      </c>
      <c r="AA1250" s="2">
        <v>90</v>
      </c>
      <c r="AB1250" s="2">
        <v>30</v>
      </c>
      <c r="AC1250" s="2" t="s">
        <v>10789</v>
      </c>
      <c r="AD1250" s="2" t="s">
        <v>26816</v>
      </c>
      <c r="AE1250" s="2" t="s">
        <v>26534</v>
      </c>
      <c r="AF1250" s="2"/>
      <c r="AG1250" s="2" t="s">
        <v>18250</v>
      </c>
    </row>
    <row r="1251" spans="1:33" x14ac:dyDescent="0.45">
      <c r="A1251" s="2" t="s">
        <v>26817</v>
      </c>
      <c r="B1251" s="2" t="s">
        <v>26818</v>
      </c>
      <c r="C1251" s="2" t="s">
        <v>26819</v>
      </c>
      <c r="D1251" s="2" t="s">
        <v>26820</v>
      </c>
      <c r="E1251" s="2" t="s">
        <v>26821</v>
      </c>
      <c r="F1251" s="2" t="s">
        <v>26822</v>
      </c>
      <c r="G1251" s="2" t="s">
        <v>26822</v>
      </c>
      <c r="H1251" s="2" t="s">
        <v>72</v>
      </c>
      <c r="I1251" s="2" t="s">
        <v>73</v>
      </c>
      <c r="J1251" s="2" t="s">
        <v>74</v>
      </c>
      <c r="K1251" s="2" t="s">
        <v>26823</v>
      </c>
      <c r="L1251" s="2"/>
      <c r="M1251" s="2"/>
      <c r="N1251" s="2"/>
      <c r="O1251" s="2" t="s">
        <v>72</v>
      </c>
      <c r="P1251" s="2" t="s">
        <v>73</v>
      </c>
      <c r="Q1251" s="2" t="s">
        <v>74</v>
      </c>
      <c r="R1251" s="2" t="s">
        <v>99</v>
      </c>
      <c r="S1251" s="2" t="s">
        <v>44</v>
      </c>
      <c r="T1251" s="2"/>
      <c r="U1251" s="2" t="s">
        <v>3527</v>
      </c>
      <c r="V1251" s="2" t="s">
        <v>46</v>
      </c>
      <c r="W1251" s="2" t="s">
        <v>3527</v>
      </c>
      <c r="X1251" s="2" t="s">
        <v>26824</v>
      </c>
      <c r="Y1251" s="2" t="s">
        <v>48</v>
      </c>
      <c r="Z1251" s="2" t="s">
        <v>49</v>
      </c>
      <c r="AA1251" s="2">
        <v>100</v>
      </c>
      <c r="AB1251" s="2">
        <v>40</v>
      </c>
      <c r="AC1251" s="2" t="s">
        <v>10789</v>
      </c>
      <c r="AD1251" s="2" t="s">
        <v>26825</v>
      </c>
      <c r="AE1251" s="2" t="s">
        <v>26534</v>
      </c>
      <c r="AF1251" s="2"/>
      <c r="AG1251" s="2" t="s">
        <v>18250</v>
      </c>
    </row>
    <row r="1252" spans="1:33" x14ac:dyDescent="0.45">
      <c r="A1252" s="2" t="s">
        <v>26826</v>
      </c>
      <c r="B1252" s="2" t="s">
        <v>26827</v>
      </c>
      <c r="C1252" s="2" t="s">
        <v>26828</v>
      </c>
      <c r="D1252" s="2" t="s">
        <v>26829</v>
      </c>
      <c r="E1252" s="2"/>
      <c r="F1252" s="2" t="s">
        <v>26830</v>
      </c>
      <c r="G1252" s="2" t="s">
        <v>26830</v>
      </c>
      <c r="H1252" s="2" t="s">
        <v>72</v>
      </c>
      <c r="I1252" s="2" t="s">
        <v>73</v>
      </c>
      <c r="J1252" s="2" t="s">
        <v>1568</v>
      </c>
      <c r="K1252" s="2"/>
      <c r="L1252" s="2"/>
      <c r="M1252" s="2"/>
      <c r="N1252" s="2"/>
      <c r="O1252" s="2"/>
      <c r="P1252" s="2"/>
      <c r="Q1252" s="2"/>
      <c r="R1252" s="2" t="s">
        <v>26831</v>
      </c>
      <c r="S1252" s="2" t="s">
        <v>44</v>
      </c>
      <c r="T1252" s="2"/>
      <c r="U1252" s="2" t="s">
        <v>45</v>
      </c>
      <c r="V1252" s="2" t="s">
        <v>46</v>
      </c>
      <c r="W1252" s="2" t="s">
        <v>45</v>
      </c>
      <c r="X1252" s="2"/>
      <c r="Y1252" s="2" t="s">
        <v>17795</v>
      </c>
      <c r="Z1252" s="2" t="s">
        <v>49</v>
      </c>
      <c r="AA1252" s="2">
        <v>80</v>
      </c>
      <c r="AB1252" s="2">
        <v>5</v>
      </c>
      <c r="AC1252" s="2" t="s">
        <v>10789</v>
      </c>
      <c r="AD1252" s="2" t="s">
        <v>26832</v>
      </c>
      <c r="AE1252" s="2" t="s">
        <v>26534</v>
      </c>
      <c r="AF1252" s="2"/>
      <c r="AG1252" s="2" t="s">
        <v>18250</v>
      </c>
    </row>
    <row r="1253" spans="1:33" x14ac:dyDescent="0.45">
      <c r="A1253" s="2" t="s">
        <v>26833</v>
      </c>
      <c r="B1253" s="2" t="s">
        <v>26834</v>
      </c>
      <c r="C1253" s="2" t="s">
        <v>26835</v>
      </c>
      <c r="D1253" s="2" t="s">
        <v>26836</v>
      </c>
      <c r="E1253" s="2"/>
      <c r="F1253" s="2" t="s">
        <v>26837</v>
      </c>
      <c r="G1253" s="2" t="s">
        <v>26837</v>
      </c>
      <c r="H1253" s="2" t="s">
        <v>72</v>
      </c>
      <c r="I1253" s="2" t="s">
        <v>73</v>
      </c>
      <c r="J1253" s="2" t="s">
        <v>1164</v>
      </c>
      <c r="K1253" s="2" t="s">
        <v>26836</v>
      </c>
      <c r="L1253" s="2"/>
      <c r="M1253" s="2"/>
      <c r="N1253" s="2"/>
      <c r="O1253" s="2" t="s">
        <v>72</v>
      </c>
      <c r="P1253" s="2" t="s">
        <v>73</v>
      </c>
      <c r="Q1253" s="2" t="s">
        <v>1164</v>
      </c>
      <c r="R1253" s="2" t="s">
        <v>15350</v>
      </c>
      <c r="S1253" s="2" t="s">
        <v>44</v>
      </c>
      <c r="T1253" s="2"/>
      <c r="U1253" s="2" t="s">
        <v>45</v>
      </c>
      <c r="V1253" s="2" t="s">
        <v>46</v>
      </c>
      <c r="W1253" s="2" t="s">
        <v>45</v>
      </c>
      <c r="X1253" s="2"/>
      <c r="Y1253" s="2" t="s">
        <v>17795</v>
      </c>
      <c r="Z1253" s="2" t="s">
        <v>49</v>
      </c>
      <c r="AA1253" s="2">
        <v>80</v>
      </c>
      <c r="AB1253" s="2">
        <v>5</v>
      </c>
      <c r="AC1253" s="2" t="s">
        <v>10789</v>
      </c>
      <c r="AD1253" s="2" t="s">
        <v>26838</v>
      </c>
      <c r="AE1253" s="2" t="s">
        <v>26534</v>
      </c>
      <c r="AF1253" s="2"/>
      <c r="AG1253" s="2" t="s">
        <v>18250</v>
      </c>
    </row>
    <row r="1254" spans="1:33" x14ac:dyDescent="0.45">
      <c r="A1254" s="2" t="s">
        <v>26839</v>
      </c>
      <c r="B1254" s="2" t="s">
        <v>26840</v>
      </c>
      <c r="C1254" s="2" t="s">
        <v>26841</v>
      </c>
      <c r="D1254" s="2" t="s">
        <v>26842</v>
      </c>
      <c r="E1254" s="2" t="s">
        <v>26843</v>
      </c>
      <c r="F1254" s="2" t="s">
        <v>26844</v>
      </c>
      <c r="G1254" s="2"/>
      <c r="H1254" s="2" t="s">
        <v>72</v>
      </c>
      <c r="I1254" s="2" t="s">
        <v>73</v>
      </c>
      <c r="J1254" s="2" t="s">
        <v>1164</v>
      </c>
      <c r="K1254" s="2" t="s">
        <v>26845</v>
      </c>
      <c r="L1254" s="2"/>
      <c r="M1254" s="2"/>
      <c r="N1254" s="2"/>
      <c r="O1254" s="2" t="s">
        <v>72</v>
      </c>
      <c r="P1254" s="2" t="s">
        <v>73</v>
      </c>
      <c r="Q1254" s="2" t="s">
        <v>1164</v>
      </c>
      <c r="R1254" s="2" t="s">
        <v>7138</v>
      </c>
      <c r="S1254" s="2" t="s">
        <v>44</v>
      </c>
      <c r="T1254" s="2"/>
      <c r="U1254" s="2" t="s">
        <v>45</v>
      </c>
      <c r="V1254" s="2" t="s">
        <v>46</v>
      </c>
      <c r="W1254" s="2" t="s">
        <v>45</v>
      </c>
      <c r="X1254" s="2" t="s">
        <v>26846</v>
      </c>
      <c r="Y1254" s="2" t="s">
        <v>48</v>
      </c>
      <c r="Z1254" s="2" t="s">
        <v>49</v>
      </c>
      <c r="AA1254" s="2">
        <v>100</v>
      </c>
      <c r="AB1254" s="2">
        <v>50</v>
      </c>
      <c r="AC1254" s="2" t="s">
        <v>9685</v>
      </c>
      <c r="AD1254" s="2" t="s">
        <v>26847</v>
      </c>
      <c r="AE1254" s="2" t="s">
        <v>26534</v>
      </c>
      <c r="AF1254" s="2"/>
      <c r="AG1254" s="2" t="s">
        <v>18250</v>
      </c>
    </row>
    <row r="1255" spans="1:33" x14ac:dyDescent="0.45">
      <c r="A1255" s="2" t="s">
        <v>26848</v>
      </c>
      <c r="B1255" s="2" t="s">
        <v>26849</v>
      </c>
      <c r="C1255" s="2" t="s">
        <v>26850</v>
      </c>
      <c r="D1255" s="2" t="s">
        <v>26851</v>
      </c>
      <c r="E1255" s="2"/>
      <c r="F1255" s="2" t="s">
        <v>26852</v>
      </c>
      <c r="G1255" s="2" t="s">
        <v>26852</v>
      </c>
      <c r="H1255" s="2" t="s">
        <v>72</v>
      </c>
      <c r="I1255" s="2" t="s">
        <v>73</v>
      </c>
      <c r="J1255" s="2" t="s">
        <v>74</v>
      </c>
      <c r="K1255" s="2" t="s">
        <v>26853</v>
      </c>
      <c r="L1255" s="2"/>
      <c r="M1255" s="2"/>
      <c r="N1255" s="2"/>
      <c r="O1255" s="2" t="s">
        <v>72</v>
      </c>
      <c r="P1255" s="2" t="s">
        <v>73</v>
      </c>
      <c r="Q1255" s="2" t="s">
        <v>74</v>
      </c>
      <c r="R1255" s="2" t="s">
        <v>17953</v>
      </c>
      <c r="S1255" s="2" t="s">
        <v>44</v>
      </c>
      <c r="T1255" s="2"/>
      <c r="U1255" s="2" t="s">
        <v>45</v>
      </c>
      <c r="V1255" s="2" t="s">
        <v>46</v>
      </c>
      <c r="W1255" s="2" t="s">
        <v>45</v>
      </c>
      <c r="X1255" s="2"/>
      <c r="Y1255" s="2" t="s">
        <v>17795</v>
      </c>
      <c r="Z1255" s="2" t="s">
        <v>49</v>
      </c>
      <c r="AA1255" s="2">
        <v>80</v>
      </c>
      <c r="AB1255" s="2">
        <v>5</v>
      </c>
      <c r="AC1255" s="2" t="s">
        <v>10789</v>
      </c>
      <c r="AD1255" s="2" t="s">
        <v>26854</v>
      </c>
      <c r="AE1255" s="2" t="s">
        <v>26534</v>
      </c>
      <c r="AF1255" s="2"/>
      <c r="AG1255" s="2" t="s">
        <v>18250</v>
      </c>
    </row>
    <row r="1256" spans="1:33" x14ac:dyDescent="0.45">
      <c r="A1256" s="2" t="s">
        <v>26855</v>
      </c>
      <c r="B1256" s="2" t="s">
        <v>26856</v>
      </c>
      <c r="C1256" s="2" t="s">
        <v>26857</v>
      </c>
      <c r="D1256" s="2" t="s">
        <v>26858</v>
      </c>
      <c r="E1256" s="2" t="s">
        <v>26859</v>
      </c>
      <c r="F1256" s="2" t="s">
        <v>26860</v>
      </c>
      <c r="G1256" s="2" t="s">
        <v>26860</v>
      </c>
      <c r="H1256" s="2" t="s">
        <v>59</v>
      </c>
      <c r="I1256" s="2" t="s">
        <v>60</v>
      </c>
      <c r="J1256" s="2" t="s">
        <v>4115</v>
      </c>
      <c r="K1256" s="2" t="s">
        <v>26858</v>
      </c>
      <c r="L1256" s="2"/>
      <c r="M1256" s="2"/>
      <c r="N1256" s="2"/>
      <c r="O1256" s="2" t="s">
        <v>59</v>
      </c>
      <c r="P1256" s="2" t="s">
        <v>60</v>
      </c>
      <c r="Q1256" s="2" t="s">
        <v>4115</v>
      </c>
      <c r="R1256" s="2" t="s">
        <v>4906</v>
      </c>
      <c r="S1256" s="2" t="s">
        <v>44</v>
      </c>
      <c r="T1256" s="2"/>
      <c r="U1256" s="2" t="s">
        <v>45</v>
      </c>
      <c r="V1256" s="2" t="s">
        <v>46</v>
      </c>
      <c r="W1256" s="2" t="s">
        <v>45</v>
      </c>
      <c r="X1256" s="2" t="s">
        <v>26861</v>
      </c>
      <c r="Y1256" s="2" t="s">
        <v>48</v>
      </c>
      <c r="Z1256" s="2" t="s">
        <v>49</v>
      </c>
      <c r="AA1256" s="2">
        <v>100</v>
      </c>
      <c r="AB1256" s="2">
        <v>50</v>
      </c>
      <c r="AC1256" s="2" t="s">
        <v>9685</v>
      </c>
      <c r="AD1256" s="2" t="s">
        <v>26862</v>
      </c>
      <c r="AE1256" s="2" t="s">
        <v>26534</v>
      </c>
      <c r="AF1256" s="2"/>
      <c r="AG1256" s="2" t="s">
        <v>18250</v>
      </c>
    </row>
    <row r="1257" spans="1:33" x14ac:dyDescent="0.45">
      <c r="A1257" s="2" t="s">
        <v>26863</v>
      </c>
      <c r="B1257" s="2" t="s">
        <v>26864</v>
      </c>
      <c r="C1257" s="2" t="s">
        <v>26865</v>
      </c>
      <c r="D1257" s="2" t="s">
        <v>26866</v>
      </c>
      <c r="E1257" s="2" t="s">
        <v>26867</v>
      </c>
      <c r="F1257" s="2" t="s">
        <v>26868</v>
      </c>
      <c r="G1257" s="2" t="s">
        <v>26868</v>
      </c>
      <c r="H1257" s="2" t="s">
        <v>72</v>
      </c>
      <c r="I1257" s="2" t="s">
        <v>73</v>
      </c>
      <c r="J1257" s="2" t="s">
        <v>140</v>
      </c>
      <c r="K1257" s="2" t="s">
        <v>26866</v>
      </c>
      <c r="L1257" s="2"/>
      <c r="M1257" s="2"/>
      <c r="N1257" s="2"/>
      <c r="O1257" s="2" t="s">
        <v>72</v>
      </c>
      <c r="P1257" s="2" t="s">
        <v>73</v>
      </c>
      <c r="Q1257" s="2" t="s">
        <v>140</v>
      </c>
      <c r="R1257" s="2" t="s">
        <v>26869</v>
      </c>
      <c r="S1257" s="2" t="s">
        <v>44</v>
      </c>
      <c r="T1257" s="2"/>
      <c r="U1257" s="2" t="s">
        <v>3527</v>
      </c>
      <c r="V1257" s="2" t="s">
        <v>46</v>
      </c>
      <c r="W1257" s="2" t="s">
        <v>3527</v>
      </c>
      <c r="X1257" s="2" t="s">
        <v>26870</v>
      </c>
      <c r="Y1257" s="2" t="s">
        <v>48</v>
      </c>
      <c r="Z1257" s="2" t="s">
        <v>49</v>
      </c>
      <c r="AA1257" s="2">
        <v>100</v>
      </c>
      <c r="AB1257" s="2">
        <v>40</v>
      </c>
      <c r="AC1257" s="2" t="s">
        <v>10789</v>
      </c>
      <c r="AD1257" s="2" t="s">
        <v>26871</v>
      </c>
      <c r="AE1257" s="2" t="s">
        <v>26534</v>
      </c>
      <c r="AF1257" s="2"/>
      <c r="AG1257" s="2" t="s">
        <v>18250</v>
      </c>
    </row>
    <row r="1258" spans="1:33" x14ac:dyDescent="0.45">
      <c r="A1258" s="2" t="s">
        <v>26872</v>
      </c>
      <c r="B1258" s="2" t="s">
        <v>26873</v>
      </c>
      <c r="C1258" s="2" t="s">
        <v>26874</v>
      </c>
      <c r="D1258" s="2" t="s">
        <v>26875</v>
      </c>
      <c r="E1258" s="2" t="s">
        <v>26876</v>
      </c>
      <c r="F1258" s="2" t="s">
        <v>26877</v>
      </c>
      <c r="G1258" s="2" t="s">
        <v>26877</v>
      </c>
      <c r="H1258" s="2" t="s">
        <v>59</v>
      </c>
      <c r="I1258" s="2" t="s">
        <v>60</v>
      </c>
      <c r="J1258" s="2" t="s">
        <v>1640</v>
      </c>
      <c r="K1258" s="2" t="s">
        <v>26878</v>
      </c>
      <c r="L1258" s="2"/>
      <c r="M1258" s="2"/>
      <c r="N1258" s="2"/>
      <c r="O1258" s="2" t="s">
        <v>59</v>
      </c>
      <c r="P1258" s="2" t="s">
        <v>60</v>
      </c>
      <c r="Q1258" s="2" t="s">
        <v>1640</v>
      </c>
      <c r="R1258" s="2" t="s">
        <v>15073</v>
      </c>
      <c r="S1258" s="2" t="s">
        <v>44</v>
      </c>
      <c r="T1258" s="2"/>
      <c r="U1258" s="2" t="s">
        <v>3527</v>
      </c>
      <c r="V1258" s="2" t="s">
        <v>46</v>
      </c>
      <c r="W1258" s="2" t="s">
        <v>3527</v>
      </c>
      <c r="X1258" s="2" t="s">
        <v>26879</v>
      </c>
      <c r="Y1258" s="2" t="s">
        <v>48</v>
      </c>
      <c r="Z1258" s="2" t="s">
        <v>49</v>
      </c>
      <c r="AA1258" s="2">
        <v>100</v>
      </c>
      <c r="AB1258" s="2">
        <v>50</v>
      </c>
      <c r="AC1258" s="2" t="s">
        <v>9685</v>
      </c>
      <c r="AD1258" s="2" t="s">
        <v>26880</v>
      </c>
      <c r="AE1258" s="2" t="s">
        <v>26534</v>
      </c>
      <c r="AF1258" s="2"/>
      <c r="AG1258" s="2" t="s">
        <v>18250</v>
      </c>
    </row>
    <row r="1259" spans="1:33" x14ac:dyDescent="0.45">
      <c r="A1259" s="2" t="s">
        <v>26881</v>
      </c>
      <c r="B1259" s="2" t="s">
        <v>26882</v>
      </c>
      <c r="C1259" s="2" t="s">
        <v>26883</v>
      </c>
      <c r="D1259" s="2" t="s">
        <v>26884</v>
      </c>
      <c r="E1259" s="2" t="s">
        <v>26885</v>
      </c>
      <c r="F1259" s="2" t="s">
        <v>26886</v>
      </c>
      <c r="G1259" s="2" t="s">
        <v>26886</v>
      </c>
      <c r="H1259" s="2" t="s">
        <v>59</v>
      </c>
      <c r="I1259" s="2" t="s">
        <v>60</v>
      </c>
      <c r="J1259" s="2" t="s">
        <v>992</v>
      </c>
      <c r="K1259" s="2" t="s">
        <v>26884</v>
      </c>
      <c r="L1259" s="2"/>
      <c r="M1259" s="2"/>
      <c r="N1259" s="2"/>
      <c r="O1259" s="2" t="s">
        <v>59</v>
      </c>
      <c r="P1259" s="2" t="s">
        <v>60</v>
      </c>
      <c r="Q1259" s="2" t="s">
        <v>992</v>
      </c>
      <c r="R1259" s="2" t="s">
        <v>1178</v>
      </c>
      <c r="S1259" s="2" t="s">
        <v>44</v>
      </c>
      <c r="T1259" s="2"/>
      <c r="U1259" s="2" t="s">
        <v>45</v>
      </c>
      <c r="V1259" s="2" t="s">
        <v>46</v>
      </c>
      <c r="W1259" s="2" t="s">
        <v>45</v>
      </c>
      <c r="X1259" s="2" t="s">
        <v>26879</v>
      </c>
      <c r="Y1259" s="2" t="s">
        <v>48</v>
      </c>
      <c r="Z1259" s="2" t="s">
        <v>49</v>
      </c>
      <c r="AA1259" s="2">
        <v>100</v>
      </c>
      <c r="AB1259" s="2">
        <v>60</v>
      </c>
      <c r="AC1259" s="2" t="s">
        <v>9685</v>
      </c>
      <c r="AD1259" s="2" t="s">
        <v>26880</v>
      </c>
      <c r="AE1259" s="2" t="s">
        <v>26534</v>
      </c>
      <c r="AF1259" s="2"/>
      <c r="AG1259" s="2" t="s">
        <v>18250</v>
      </c>
    </row>
    <row r="1260" spans="1:33" x14ac:dyDescent="0.45">
      <c r="A1260" s="2" t="s">
        <v>26887</v>
      </c>
      <c r="B1260" s="2" t="s">
        <v>26888</v>
      </c>
      <c r="C1260" s="2" t="s">
        <v>26889</v>
      </c>
      <c r="D1260" s="2" t="s">
        <v>26890</v>
      </c>
      <c r="E1260" s="2" t="s">
        <v>26891</v>
      </c>
      <c r="F1260" s="2" t="s">
        <v>26892</v>
      </c>
      <c r="G1260" s="2" t="s">
        <v>26892</v>
      </c>
      <c r="H1260" s="2" t="s">
        <v>72</v>
      </c>
      <c r="I1260" s="2" t="s">
        <v>73</v>
      </c>
      <c r="J1260" s="2" t="s">
        <v>1295</v>
      </c>
      <c r="K1260" s="2" t="s">
        <v>26890</v>
      </c>
      <c r="L1260" s="2"/>
      <c r="M1260" s="2"/>
      <c r="N1260" s="2"/>
      <c r="O1260" s="2" t="s">
        <v>72</v>
      </c>
      <c r="P1260" s="2" t="s">
        <v>73</v>
      </c>
      <c r="Q1260" s="2" t="s">
        <v>1295</v>
      </c>
      <c r="R1260" s="2" t="s">
        <v>1003</v>
      </c>
      <c r="S1260" s="2" t="s">
        <v>44</v>
      </c>
      <c r="T1260" s="2"/>
      <c r="U1260" s="2" t="s">
        <v>45</v>
      </c>
      <c r="V1260" s="2" t="s">
        <v>46</v>
      </c>
      <c r="W1260" s="2" t="s">
        <v>45</v>
      </c>
      <c r="X1260" s="2" t="s">
        <v>26893</v>
      </c>
      <c r="Y1260" s="2" t="s">
        <v>48</v>
      </c>
      <c r="Z1260" s="2" t="s">
        <v>49</v>
      </c>
      <c r="AA1260" s="2">
        <v>100</v>
      </c>
      <c r="AB1260" s="2">
        <v>50</v>
      </c>
      <c r="AC1260" s="2" t="s">
        <v>9685</v>
      </c>
      <c r="AD1260" s="2" t="s">
        <v>26894</v>
      </c>
      <c r="AE1260" s="2" t="s">
        <v>26534</v>
      </c>
      <c r="AF1260" s="2"/>
      <c r="AG1260" s="2" t="s">
        <v>18250</v>
      </c>
    </row>
    <row r="1261" spans="1:33" x14ac:dyDescent="0.45">
      <c r="A1261" s="2" t="s">
        <v>26895</v>
      </c>
      <c r="B1261" s="2" t="s">
        <v>26896</v>
      </c>
      <c r="C1261" s="2" t="s">
        <v>26897</v>
      </c>
      <c r="D1261" s="2" t="s">
        <v>26898</v>
      </c>
      <c r="E1261" s="2" t="s">
        <v>26899</v>
      </c>
      <c r="F1261" s="2" t="s">
        <v>26900</v>
      </c>
      <c r="G1261" s="2" t="s">
        <v>26900</v>
      </c>
      <c r="H1261" s="2" t="s">
        <v>72</v>
      </c>
      <c r="I1261" s="2" t="s">
        <v>73</v>
      </c>
      <c r="J1261" s="2" t="s">
        <v>19211</v>
      </c>
      <c r="K1261" s="2" t="s">
        <v>26898</v>
      </c>
      <c r="L1261" s="2"/>
      <c r="M1261" s="2"/>
      <c r="N1261" s="2"/>
      <c r="O1261" s="2" t="s">
        <v>72</v>
      </c>
      <c r="P1261" s="2" t="s">
        <v>73</v>
      </c>
      <c r="Q1261" s="2" t="s">
        <v>19211</v>
      </c>
      <c r="R1261" s="2" t="s">
        <v>26901</v>
      </c>
      <c r="S1261" s="2" t="s">
        <v>44</v>
      </c>
      <c r="T1261" s="2"/>
      <c r="U1261" s="2" t="s">
        <v>821</v>
      </c>
      <c r="V1261" s="2" t="s">
        <v>199</v>
      </c>
      <c r="W1261" s="2" t="s">
        <v>821</v>
      </c>
      <c r="X1261" s="2" t="s">
        <v>26902</v>
      </c>
      <c r="Y1261" s="2" t="s">
        <v>48</v>
      </c>
      <c r="Z1261" s="2" t="s">
        <v>49</v>
      </c>
      <c r="AA1261" s="2">
        <v>100</v>
      </c>
      <c r="AB1261" s="2">
        <v>57</v>
      </c>
      <c r="AC1261" s="2" t="s">
        <v>9685</v>
      </c>
      <c r="AD1261" s="2" t="s">
        <v>26903</v>
      </c>
      <c r="AE1261" s="2" t="s">
        <v>26534</v>
      </c>
      <c r="AF1261" s="2"/>
      <c r="AG1261" s="2" t="s">
        <v>18250</v>
      </c>
    </row>
    <row r="1262" spans="1:33" x14ac:dyDescent="0.45">
      <c r="A1262" s="2" t="s">
        <v>26895</v>
      </c>
      <c r="B1262" s="2" t="s">
        <v>26904</v>
      </c>
      <c r="C1262" s="2" t="s">
        <v>26905</v>
      </c>
      <c r="D1262" s="2" t="s">
        <v>26906</v>
      </c>
      <c r="E1262" s="2" t="s">
        <v>26907</v>
      </c>
      <c r="F1262" s="2" t="s">
        <v>26908</v>
      </c>
      <c r="G1262" s="2" t="s">
        <v>26908</v>
      </c>
      <c r="H1262" s="2" t="s">
        <v>72</v>
      </c>
      <c r="I1262" s="2" t="s">
        <v>73</v>
      </c>
      <c r="J1262" s="2" t="s">
        <v>19211</v>
      </c>
      <c r="K1262" s="2" t="s">
        <v>26909</v>
      </c>
      <c r="L1262" s="2"/>
      <c r="M1262" s="2"/>
      <c r="N1262" s="2"/>
      <c r="O1262" s="2" t="s">
        <v>72</v>
      </c>
      <c r="P1262" s="2" t="s">
        <v>73</v>
      </c>
      <c r="Q1262" s="2" t="s">
        <v>19211</v>
      </c>
      <c r="R1262" s="2" t="s">
        <v>17967</v>
      </c>
      <c r="S1262" s="2" t="s">
        <v>44</v>
      </c>
      <c r="T1262" s="2"/>
      <c r="U1262" s="2" t="s">
        <v>3527</v>
      </c>
      <c r="V1262" s="2" t="s">
        <v>199</v>
      </c>
      <c r="W1262" s="2" t="s">
        <v>3527</v>
      </c>
      <c r="X1262" s="2" t="s">
        <v>26902</v>
      </c>
      <c r="Y1262" s="2" t="s">
        <v>48</v>
      </c>
      <c r="Z1262" s="2" t="s">
        <v>49</v>
      </c>
      <c r="AA1262" s="2">
        <v>100</v>
      </c>
      <c r="AB1262" s="2">
        <v>50</v>
      </c>
      <c r="AC1262" s="2" t="s">
        <v>9685</v>
      </c>
      <c r="AD1262" s="2" t="s">
        <v>26903</v>
      </c>
      <c r="AE1262" s="2" t="s">
        <v>26534</v>
      </c>
      <c r="AF1262" s="2"/>
      <c r="AG1262" s="2" t="s">
        <v>18250</v>
      </c>
    </row>
    <row r="1263" spans="1:33" x14ac:dyDescent="0.45">
      <c r="A1263" s="2" t="s">
        <v>26910</v>
      </c>
      <c r="B1263" s="2" t="s">
        <v>26911</v>
      </c>
      <c r="C1263" s="2" t="s">
        <v>26912</v>
      </c>
      <c r="D1263" s="2" t="s">
        <v>26913</v>
      </c>
      <c r="E1263" s="2"/>
      <c r="F1263" s="2" t="s">
        <v>26914</v>
      </c>
      <c r="G1263" s="2" t="s">
        <v>26914</v>
      </c>
      <c r="H1263" s="2" t="s">
        <v>72</v>
      </c>
      <c r="I1263" s="2" t="s">
        <v>73</v>
      </c>
      <c r="J1263" s="2" t="s">
        <v>1568</v>
      </c>
      <c r="K1263" s="2" t="s">
        <v>26915</v>
      </c>
      <c r="L1263" s="2"/>
      <c r="M1263" s="2"/>
      <c r="N1263" s="2"/>
      <c r="O1263" s="2" t="s">
        <v>72</v>
      </c>
      <c r="P1263" s="2" t="s">
        <v>73</v>
      </c>
      <c r="Q1263" s="2" t="s">
        <v>187</v>
      </c>
      <c r="R1263" s="2" t="s">
        <v>26916</v>
      </c>
      <c r="S1263" s="2" t="s">
        <v>44</v>
      </c>
      <c r="T1263" s="2"/>
      <c r="U1263" s="2" t="s">
        <v>45</v>
      </c>
      <c r="V1263" s="2" t="s">
        <v>46</v>
      </c>
      <c r="W1263" s="2" t="s">
        <v>45</v>
      </c>
      <c r="X1263" s="2"/>
      <c r="Y1263" s="2" t="s">
        <v>17795</v>
      </c>
      <c r="Z1263" s="2" t="s">
        <v>49</v>
      </c>
      <c r="AA1263" s="2">
        <v>80</v>
      </c>
      <c r="AB1263" s="2">
        <v>5</v>
      </c>
      <c r="AC1263" s="2" t="s">
        <v>10789</v>
      </c>
      <c r="AD1263" s="2" t="s">
        <v>26917</v>
      </c>
      <c r="AE1263" s="2" t="s">
        <v>26534</v>
      </c>
      <c r="AF1263" s="2"/>
      <c r="AG1263" s="2" t="s">
        <v>18250</v>
      </c>
    </row>
    <row r="1264" spans="1:33" x14ac:dyDescent="0.45">
      <c r="A1264" s="2" t="s">
        <v>26918</v>
      </c>
      <c r="B1264" s="2" t="s">
        <v>26919</v>
      </c>
      <c r="C1264" s="2" t="s">
        <v>26920</v>
      </c>
      <c r="D1264" s="2" t="s">
        <v>26921</v>
      </c>
      <c r="E1264" s="2" t="s">
        <v>26922</v>
      </c>
      <c r="F1264" s="2" t="s">
        <v>26923</v>
      </c>
      <c r="G1264" s="2" t="s">
        <v>26923</v>
      </c>
      <c r="H1264" s="2" t="s">
        <v>72</v>
      </c>
      <c r="I1264" s="2" t="s">
        <v>73</v>
      </c>
      <c r="J1264" s="2" t="s">
        <v>187</v>
      </c>
      <c r="K1264" s="2" t="s">
        <v>26924</v>
      </c>
      <c r="L1264" s="2"/>
      <c r="M1264" s="2"/>
      <c r="N1264" s="2"/>
      <c r="O1264" s="2" t="s">
        <v>72</v>
      </c>
      <c r="P1264" s="2" t="s">
        <v>73</v>
      </c>
      <c r="Q1264" s="2" t="s">
        <v>187</v>
      </c>
      <c r="R1264" s="2" t="s">
        <v>26925</v>
      </c>
      <c r="S1264" s="2" t="s">
        <v>44</v>
      </c>
      <c r="T1264" s="2"/>
      <c r="U1264" s="2" t="s">
        <v>3527</v>
      </c>
      <c r="V1264" s="2" t="s">
        <v>46</v>
      </c>
      <c r="W1264" s="2" t="s">
        <v>3527</v>
      </c>
      <c r="X1264" s="2" t="s">
        <v>26926</v>
      </c>
      <c r="Y1264" s="2" t="s">
        <v>48</v>
      </c>
      <c r="Z1264" s="2" t="s">
        <v>49</v>
      </c>
      <c r="AA1264" s="2">
        <v>100</v>
      </c>
      <c r="AB1264" s="2">
        <v>40</v>
      </c>
      <c r="AC1264" s="2" t="s">
        <v>10789</v>
      </c>
      <c r="AD1264" s="2" t="s">
        <v>26927</v>
      </c>
      <c r="AE1264" s="2" t="s">
        <v>26534</v>
      </c>
      <c r="AF1264" s="2"/>
      <c r="AG1264" s="2" t="s">
        <v>18250</v>
      </c>
    </row>
    <row r="1265" spans="1:33" x14ac:dyDescent="0.45">
      <c r="A1265" s="2" t="s">
        <v>26928</v>
      </c>
      <c r="B1265" s="2" t="s">
        <v>26929</v>
      </c>
      <c r="C1265" s="2" t="s">
        <v>26930</v>
      </c>
      <c r="D1265" s="2" t="s">
        <v>26931</v>
      </c>
      <c r="E1265" s="2" t="s">
        <v>26932</v>
      </c>
      <c r="F1265" s="2" t="s">
        <v>26933</v>
      </c>
      <c r="G1265" s="2" t="s">
        <v>26933</v>
      </c>
      <c r="H1265" s="2" t="s">
        <v>72</v>
      </c>
      <c r="I1265" s="2" t="s">
        <v>73</v>
      </c>
      <c r="J1265" s="2" t="s">
        <v>74</v>
      </c>
      <c r="K1265" s="2" t="s">
        <v>26931</v>
      </c>
      <c r="L1265" s="2"/>
      <c r="M1265" s="2"/>
      <c r="N1265" s="2"/>
      <c r="O1265" s="2" t="s">
        <v>72</v>
      </c>
      <c r="P1265" s="2" t="s">
        <v>73</v>
      </c>
      <c r="Q1265" s="2" t="s">
        <v>74</v>
      </c>
      <c r="R1265" s="2" t="s">
        <v>26934</v>
      </c>
      <c r="S1265" s="2" t="s">
        <v>44</v>
      </c>
      <c r="T1265" s="2"/>
      <c r="U1265" s="2" t="s">
        <v>821</v>
      </c>
      <c r="V1265" s="2" t="s">
        <v>46</v>
      </c>
      <c r="W1265" s="2" t="s">
        <v>821</v>
      </c>
      <c r="X1265" s="2" t="s">
        <v>26935</v>
      </c>
      <c r="Y1265" s="2" t="s">
        <v>48</v>
      </c>
      <c r="Z1265" s="2" t="s">
        <v>49</v>
      </c>
      <c r="AA1265" s="2">
        <v>100</v>
      </c>
      <c r="AB1265" s="2">
        <v>47</v>
      </c>
      <c r="AC1265" s="2" t="s">
        <v>9685</v>
      </c>
      <c r="AD1265" s="2" t="s">
        <v>26936</v>
      </c>
      <c r="AE1265" s="2" t="s">
        <v>26534</v>
      </c>
      <c r="AF1265" s="2"/>
      <c r="AG1265" s="2" t="s">
        <v>18250</v>
      </c>
    </row>
    <row r="1266" spans="1:33" x14ac:dyDescent="0.45">
      <c r="A1266" s="2" t="s">
        <v>26937</v>
      </c>
      <c r="B1266" s="2" t="s">
        <v>26938</v>
      </c>
      <c r="C1266" s="2" t="s">
        <v>26939</v>
      </c>
      <c r="D1266" s="2" t="s">
        <v>26940</v>
      </c>
      <c r="E1266" s="2" t="s">
        <v>26941</v>
      </c>
      <c r="F1266" s="2" t="s">
        <v>26942</v>
      </c>
      <c r="G1266" s="2" t="s">
        <v>26942</v>
      </c>
      <c r="H1266" s="2" t="s">
        <v>85</v>
      </c>
      <c r="I1266" s="2" t="s">
        <v>86</v>
      </c>
      <c r="J1266" s="2" t="s">
        <v>87</v>
      </c>
      <c r="K1266" s="2" t="s">
        <v>26943</v>
      </c>
      <c r="L1266" s="2"/>
      <c r="M1266" s="2"/>
      <c r="N1266" s="2"/>
      <c r="O1266" s="2" t="s">
        <v>72</v>
      </c>
      <c r="P1266" s="2" t="s">
        <v>73</v>
      </c>
      <c r="Q1266" s="2" t="s">
        <v>1568</v>
      </c>
      <c r="R1266" s="2" t="s">
        <v>1296</v>
      </c>
      <c r="S1266" s="2" t="s">
        <v>44</v>
      </c>
      <c r="T1266" s="2"/>
      <c r="U1266" s="2" t="s">
        <v>45</v>
      </c>
      <c r="V1266" s="2" t="s">
        <v>46</v>
      </c>
      <c r="W1266" s="2" t="s">
        <v>45</v>
      </c>
      <c r="X1266" s="2" t="s">
        <v>26944</v>
      </c>
      <c r="Y1266" s="2" t="s">
        <v>48</v>
      </c>
      <c r="Z1266" s="2" t="s">
        <v>49</v>
      </c>
      <c r="AA1266" s="2">
        <v>100</v>
      </c>
      <c r="AB1266" s="2">
        <v>50</v>
      </c>
      <c r="AC1266" s="2" t="s">
        <v>9685</v>
      </c>
      <c r="AD1266" s="2" t="s">
        <v>26945</v>
      </c>
      <c r="AE1266" s="2" t="s">
        <v>26534</v>
      </c>
      <c r="AF1266" s="2"/>
      <c r="AG1266" s="2" t="s">
        <v>18250</v>
      </c>
    </row>
    <row r="1267" spans="1:33" x14ac:dyDescent="0.45">
      <c r="A1267" s="2" t="s">
        <v>26946</v>
      </c>
      <c r="B1267" s="2" t="s">
        <v>26947</v>
      </c>
      <c r="C1267" s="2" t="s">
        <v>26948</v>
      </c>
      <c r="D1267" s="2" t="s">
        <v>26949</v>
      </c>
      <c r="E1267" s="2" t="s">
        <v>26950</v>
      </c>
      <c r="F1267" s="2" t="s">
        <v>26951</v>
      </c>
      <c r="G1267" s="2" t="s">
        <v>26951</v>
      </c>
      <c r="H1267" s="2" t="s">
        <v>72</v>
      </c>
      <c r="I1267" s="2" t="s">
        <v>73</v>
      </c>
      <c r="J1267" s="2" t="s">
        <v>140</v>
      </c>
      <c r="K1267" s="2" t="s">
        <v>26952</v>
      </c>
      <c r="L1267" s="2"/>
      <c r="M1267" s="2"/>
      <c r="N1267" s="2"/>
      <c r="O1267" s="2" t="s">
        <v>324</v>
      </c>
      <c r="P1267" s="2" t="s">
        <v>73</v>
      </c>
      <c r="Q1267" s="2" t="s">
        <v>6817</v>
      </c>
      <c r="R1267" s="2" t="s">
        <v>26953</v>
      </c>
      <c r="S1267" s="2" t="s">
        <v>44</v>
      </c>
      <c r="T1267" s="2"/>
      <c r="U1267" s="2" t="s">
        <v>821</v>
      </c>
      <c r="V1267" s="2" t="s">
        <v>199</v>
      </c>
      <c r="W1267" s="2" t="s">
        <v>821</v>
      </c>
      <c r="X1267" s="2" t="s">
        <v>26954</v>
      </c>
      <c r="Y1267" s="2" t="s">
        <v>48</v>
      </c>
      <c r="Z1267" s="2" t="s">
        <v>49</v>
      </c>
      <c r="AA1267" s="2">
        <v>100</v>
      </c>
      <c r="AB1267" s="2">
        <v>57</v>
      </c>
      <c r="AC1267" s="2" t="s">
        <v>9685</v>
      </c>
      <c r="AD1267" s="2" t="s">
        <v>26955</v>
      </c>
      <c r="AE1267" s="2" t="s">
        <v>26534</v>
      </c>
      <c r="AF1267" s="2"/>
      <c r="AG1267" s="2" t="s">
        <v>18250</v>
      </c>
    </row>
    <row r="1268" spans="1:33" x14ac:dyDescent="0.45">
      <c r="A1268" s="2" t="s">
        <v>26956</v>
      </c>
      <c r="B1268" s="2" t="s">
        <v>26957</v>
      </c>
      <c r="C1268" s="2" t="s">
        <v>26958</v>
      </c>
      <c r="D1268" s="2" t="s">
        <v>26949</v>
      </c>
      <c r="E1268" s="2" t="s">
        <v>26959</v>
      </c>
      <c r="F1268" s="2" t="s">
        <v>26960</v>
      </c>
      <c r="G1268" s="2" t="s">
        <v>26960</v>
      </c>
      <c r="H1268" s="2" t="s">
        <v>72</v>
      </c>
      <c r="I1268" s="2" t="s">
        <v>73</v>
      </c>
      <c r="J1268" s="2" t="s">
        <v>140</v>
      </c>
      <c r="K1268" s="2" t="s">
        <v>26961</v>
      </c>
      <c r="L1268" s="2"/>
      <c r="M1268" s="2"/>
      <c r="N1268" s="2"/>
      <c r="O1268" s="2" t="s">
        <v>324</v>
      </c>
      <c r="P1268" s="2" t="s">
        <v>73</v>
      </c>
      <c r="Q1268" s="2" t="s">
        <v>6817</v>
      </c>
      <c r="R1268" s="2" t="s">
        <v>6378</v>
      </c>
      <c r="S1268" s="2" t="s">
        <v>44</v>
      </c>
      <c r="T1268" s="2"/>
      <c r="U1268" s="2" t="s">
        <v>3527</v>
      </c>
      <c r="V1268" s="2" t="s">
        <v>46</v>
      </c>
      <c r="W1268" s="2" t="s">
        <v>3527</v>
      </c>
      <c r="X1268" s="2" t="s">
        <v>26954</v>
      </c>
      <c r="Y1268" s="2" t="s">
        <v>48</v>
      </c>
      <c r="Z1268" s="2" t="s">
        <v>49</v>
      </c>
      <c r="AA1268" s="2">
        <v>100</v>
      </c>
      <c r="AB1268" s="2">
        <v>50</v>
      </c>
      <c r="AC1268" s="2" t="s">
        <v>9685</v>
      </c>
      <c r="AD1268" s="2" t="s">
        <v>26955</v>
      </c>
      <c r="AE1268" s="2" t="s">
        <v>26534</v>
      </c>
      <c r="AF1268" s="2"/>
      <c r="AG1268" s="2" t="s">
        <v>18250</v>
      </c>
    </row>
    <row r="1269" spans="1:33" x14ac:dyDescent="0.45">
      <c r="A1269" s="2" t="s">
        <v>26962</v>
      </c>
      <c r="B1269" s="2" t="s">
        <v>26963</v>
      </c>
      <c r="C1269" s="2" t="s">
        <v>26964</v>
      </c>
      <c r="D1269" s="2" t="s">
        <v>26965</v>
      </c>
      <c r="E1269" s="2" t="s">
        <v>26966</v>
      </c>
      <c r="F1269" s="2" t="s">
        <v>26967</v>
      </c>
      <c r="G1269" s="2" t="s">
        <v>26967</v>
      </c>
      <c r="H1269" s="2" t="s">
        <v>72</v>
      </c>
      <c r="I1269" s="2" t="s">
        <v>73</v>
      </c>
      <c r="J1269" s="2" t="s">
        <v>140</v>
      </c>
      <c r="K1269" s="2" t="s">
        <v>26968</v>
      </c>
      <c r="L1269" s="2"/>
      <c r="M1269" s="2"/>
      <c r="N1269" s="2"/>
      <c r="O1269" s="2" t="s">
        <v>72</v>
      </c>
      <c r="P1269" s="2" t="s">
        <v>73</v>
      </c>
      <c r="Q1269" s="2" t="s">
        <v>140</v>
      </c>
      <c r="R1269" s="2" t="s">
        <v>22642</v>
      </c>
      <c r="S1269" s="2" t="s">
        <v>44</v>
      </c>
      <c r="T1269" s="2"/>
      <c r="U1269" s="2" t="s">
        <v>45</v>
      </c>
      <c r="V1269" s="2" t="s">
        <v>46</v>
      </c>
      <c r="W1269" s="2" t="s">
        <v>45</v>
      </c>
      <c r="X1269" s="2" t="s">
        <v>26969</v>
      </c>
      <c r="Y1269" s="2" t="s">
        <v>48</v>
      </c>
      <c r="Z1269" s="2" t="s">
        <v>49</v>
      </c>
      <c r="AA1269" s="2">
        <v>100</v>
      </c>
      <c r="AB1269" s="2">
        <v>50</v>
      </c>
      <c r="AC1269" s="2" t="s">
        <v>9685</v>
      </c>
      <c r="AD1269" s="2" t="s">
        <v>26970</v>
      </c>
      <c r="AE1269" s="2" t="s">
        <v>26534</v>
      </c>
      <c r="AF1269" s="2"/>
      <c r="AG1269" s="2" t="s">
        <v>18250</v>
      </c>
    </row>
    <row r="1270" spans="1:33" x14ac:dyDescent="0.45">
      <c r="A1270" s="2" t="s">
        <v>26971</v>
      </c>
      <c r="B1270" s="2" t="s">
        <v>26972</v>
      </c>
      <c r="C1270" s="2" t="s">
        <v>26973</v>
      </c>
      <c r="D1270" s="2" t="s">
        <v>26974</v>
      </c>
      <c r="E1270" s="2"/>
      <c r="F1270" s="2" t="s">
        <v>26975</v>
      </c>
      <c r="G1270" s="2" t="s">
        <v>26975</v>
      </c>
      <c r="H1270" s="2" t="s">
        <v>72</v>
      </c>
      <c r="I1270" s="2" t="s">
        <v>73</v>
      </c>
      <c r="J1270" s="2" t="s">
        <v>464</v>
      </c>
      <c r="K1270" s="2" t="s">
        <v>26976</v>
      </c>
      <c r="L1270" s="2"/>
      <c r="M1270" s="2"/>
      <c r="N1270" s="2"/>
      <c r="O1270" s="2" t="s">
        <v>72</v>
      </c>
      <c r="P1270" s="2" t="s">
        <v>73</v>
      </c>
      <c r="Q1270" s="2" t="s">
        <v>464</v>
      </c>
      <c r="R1270" s="2" t="s">
        <v>17834</v>
      </c>
      <c r="S1270" s="2" t="s">
        <v>44</v>
      </c>
      <c r="T1270" s="2"/>
      <c r="U1270" s="2" t="s">
        <v>45</v>
      </c>
      <c r="V1270" s="2" t="s">
        <v>46</v>
      </c>
      <c r="W1270" s="2" t="s">
        <v>45</v>
      </c>
      <c r="X1270" s="2"/>
      <c r="Y1270" s="2" t="s">
        <v>17795</v>
      </c>
      <c r="Z1270" s="2" t="s">
        <v>49</v>
      </c>
      <c r="AA1270" s="2">
        <v>80</v>
      </c>
      <c r="AB1270" s="2">
        <v>5</v>
      </c>
      <c r="AC1270" s="2" t="s">
        <v>10789</v>
      </c>
      <c r="AD1270" s="2" t="s">
        <v>26977</v>
      </c>
      <c r="AE1270" s="2" t="s">
        <v>26534</v>
      </c>
      <c r="AF1270" s="2"/>
      <c r="AG1270" s="2" t="s">
        <v>18250</v>
      </c>
    </row>
    <row r="1271" spans="1:33" x14ac:dyDescent="0.45">
      <c r="A1271" s="2" t="s">
        <v>26978</v>
      </c>
      <c r="B1271" s="2" t="s">
        <v>26979</v>
      </c>
      <c r="C1271" s="2" t="s">
        <v>26980</v>
      </c>
      <c r="D1271" s="2" t="s">
        <v>26981</v>
      </c>
      <c r="E1271" s="2" t="s">
        <v>26982</v>
      </c>
      <c r="F1271" s="2"/>
      <c r="G1271" s="2"/>
      <c r="H1271" s="2" t="s">
        <v>72</v>
      </c>
      <c r="I1271" s="2" t="s">
        <v>73</v>
      </c>
      <c r="J1271" s="2" t="s">
        <v>464</v>
      </c>
      <c r="K1271" s="2" t="s">
        <v>26981</v>
      </c>
      <c r="L1271" s="2"/>
      <c r="M1271" s="2"/>
      <c r="N1271" s="2"/>
      <c r="O1271" s="2" t="s">
        <v>72</v>
      </c>
      <c r="P1271" s="2" t="s">
        <v>73</v>
      </c>
      <c r="Q1271" s="2" t="s">
        <v>464</v>
      </c>
      <c r="R1271" s="2" t="s">
        <v>1683</v>
      </c>
      <c r="S1271" s="2" t="s">
        <v>44</v>
      </c>
      <c r="T1271" s="2"/>
      <c r="U1271" s="2" t="s">
        <v>821</v>
      </c>
      <c r="V1271" s="2" t="s">
        <v>46</v>
      </c>
      <c r="W1271" s="2" t="s">
        <v>821</v>
      </c>
      <c r="X1271" s="2" t="s">
        <v>26983</v>
      </c>
      <c r="Y1271" s="2" t="s">
        <v>48</v>
      </c>
      <c r="Z1271" s="2" t="s">
        <v>49</v>
      </c>
      <c r="AA1271" s="2">
        <v>90</v>
      </c>
      <c r="AB1271" s="2">
        <v>47</v>
      </c>
      <c r="AC1271" s="2" t="s">
        <v>9685</v>
      </c>
      <c r="AD1271" s="2" t="s">
        <v>26984</v>
      </c>
      <c r="AE1271" s="2" t="s">
        <v>26534</v>
      </c>
      <c r="AF1271" s="2"/>
      <c r="AG1271" s="2" t="s">
        <v>18250</v>
      </c>
    </row>
    <row r="1272" spans="1:33" x14ac:dyDescent="0.45">
      <c r="A1272" s="2" t="s">
        <v>26985</v>
      </c>
      <c r="B1272" s="2" t="s">
        <v>26986</v>
      </c>
      <c r="C1272" s="2" t="s">
        <v>26987</v>
      </c>
      <c r="D1272" s="2" t="s">
        <v>26988</v>
      </c>
      <c r="E1272" s="2" t="s">
        <v>26989</v>
      </c>
      <c r="F1272" s="2" t="s">
        <v>26990</v>
      </c>
      <c r="G1272" s="2" t="s">
        <v>26990</v>
      </c>
      <c r="H1272" s="2" t="s">
        <v>72</v>
      </c>
      <c r="I1272" s="2" t="s">
        <v>73</v>
      </c>
      <c r="J1272" s="2" t="s">
        <v>1896</v>
      </c>
      <c r="K1272" s="2" t="s">
        <v>26991</v>
      </c>
      <c r="L1272" s="2"/>
      <c r="M1272" s="2"/>
      <c r="N1272" s="2"/>
      <c r="O1272" s="2" t="s">
        <v>72</v>
      </c>
      <c r="P1272" s="2" t="s">
        <v>73</v>
      </c>
      <c r="Q1272" s="2" t="s">
        <v>1896</v>
      </c>
      <c r="R1272" s="2" t="s">
        <v>26992</v>
      </c>
      <c r="S1272" s="2" t="s">
        <v>44</v>
      </c>
      <c r="T1272" s="2"/>
      <c r="U1272" s="2" t="s">
        <v>3527</v>
      </c>
      <c r="V1272" s="2" t="s">
        <v>46</v>
      </c>
      <c r="W1272" s="2" t="s">
        <v>3527</v>
      </c>
      <c r="X1272" s="2" t="s">
        <v>26983</v>
      </c>
      <c r="Y1272" s="2" t="s">
        <v>48</v>
      </c>
      <c r="Z1272" s="2" t="s">
        <v>49</v>
      </c>
      <c r="AA1272" s="2">
        <v>100</v>
      </c>
      <c r="AB1272" s="2">
        <v>50</v>
      </c>
      <c r="AC1272" s="2" t="s">
        <v>9685</v>
      </c>
      <c r="AD1272" s="2" t="s">
        <v>26984</v>
      </c>
      <c r="AE1272" s="2" t="s">
        <v>26534</v>
      </c>
      <c r="AF1272" s="2"/>
      <c r="AG1272" s="2" t="s">
        <v>18250</v>
      </c>
    </row>
    <row r="1273" spans="1:33" x14ac:dyDescent="0.45">
      <c r="A1273" s="2" t="s">
        <v>26993</v>
      </c>
      <c r="B1273" s="2" t="s">
        <v>26994</v>
      </c>
      <c r="C1273" s="2" t="s">
        <v>26995</v>
      </c>
      <c r="D1273" s="2" t="s">
        <v>26996</v>
      </c>
      <c r="E1273" s="2" t="s">
        <v>26997</v>
      </c>
      <c r="F1273" s="2" t="s">
        <v>26998</v>
      </c>
      <c r="G1273" s="2" t="s">
        <v>26998</v>
      </c>
      <c r="H1273" s="2" t="s">
        <v>72</v>
      </c>
      <c r="I1273" s="2" t="s">
        <v>73</v>
      </c>
      <c r="J1273" s="2" t="s">
        <v>232</v>
      </c>
      <c r="K1273" s="2" t="s">
        <v>26996</v>
      </c>
      <c r="L1273" s="2"/>
      <c r="M1273" s="2"/>
      <c r="N1273" s="2"/>
      <c r="O1273" s="2" t="s">
        <v>72</v>
      </c>
      <c r="P1273" s="2" t="s">
        <v>73</v>
      </c>
      <c r="Q1273" s="2" t="s">
        <v>232</v>
      </c>
      <c r="R1273" s="2" t="s">
        <v>3064</v>
      </c>
      <c r="S1273" s="2" t="s">
        <v>44</v>
      </c>
      <c r="T1273" s="2"/>
      <c r="U1273" s="2" t="s">
        <v>821</v>
      </c>
      <c r="V1273" s="2" t="s">
        <v>199</v>
      </c>
      <c r="W1273" s="2" t="s">
        <v>821</v>
      </c>
      <c r="X1273" s="2" t="s">
        <v>26999</v>
      </c>
      <c r="Y1273" s="2" t="s">
        <v>48</v>
      </c>
      <c r="Z1273" s="2" t="s">
        <v>49</v>
      </c>
      <c r="AA1273" s="2">
        <v>100</v>
      </c>
      <c r="AB1273" s="2">
        <v>57</v>
      </c>
      <c r="AC1273" s="2" t="s">
        <v>9685</v>
      </c>
      <c r="AD1273" s="2" t="s">
        <v>27000</v>
      </c>
      <c r="AE1273" s="2" t="s">
        <v>26534</v>
      </c>
      <c r="AF1273" s="2"/>
      <c r="AG1273" s="2" t="s">
        <v>18250</v>
      </c>
    </row>
    <row r="1274" spans="1:33" x14ac:dyDescent="0.45">
      <c r="A1274" s="2" t="s">
        <v>26993</v>
      </c>
      <c r="B1274" s="2" t="s">
        <v>27001</v>
      </c>
      <c r="C1274" s="2" t="s">
        <v>26995</v>
      </c>
      <c r="D1274" s="2" t="s">
        <v>27002</v>
      </c>
      <c r="E1274" s="2" t="s">
        <v>27003</v>
      </c>
      <c r="F1274" s="2" t="s">
        <v>27004</v>
      </c>
      <c r="G1274" s="2"/>
      <c r="H1274" s="2" t="s">
        <v>72</v>
      </c>
      <c r="I1274" s="2" t="s">
        <v>73</v>
      </c>
      <c r="J1274" s="2" t="s">
        <v>232</v>
      </c>
      <c r="K1274" s="2" t="s">
        <v>27002</v>
      </c>
      <c r="L1274" s="2"/>
      <c r="M1274" s="2"/>
      <c r="N1274" s="2"/>
      <c r="O1274" s="2" t="s">
        <v>72</v>
      </c>
      <c r="P1274" s="2" t="s">
        <v>73</v>
      </c>
      <c r="Q1274" s="2" t="s">
        <v>232</v>
      </c>
      <c r="R1274" s="2" t="s">
        <v>10455</v>
      </c>
      <c r="S1274" s="2" t="s">
        <v>44</v>
      </c>
      <c r="T1274" s="2"/>
      <c r="U1274" s="2" t="s">
        <v>45</v>
      </c>
      <c r="V1274" s="2" t="s">
        <v>199</v>
      </c>
      <c r="W1274" s="2" t="s">
        <v>45</v>
      </c>
      <c r="X1274" s="2" t="s">
        <v>26999</v>
      </c>
      <c r="Y1274" s="2" t="s">
        <v>48</v>
      </c>
      <c r="Z1274" s="2" t="s">
        <v>49</v>
      </c>
      <c r="AA1274" s="2">
        <v>100</v>
      </c>
      <c r="AB1274" s="2">
        <v>60</v>
      </c>
      <c r="AC1274" s="2" t="s">
        <v>9685</v>
      </c>
      <c r="AD1274" s="2" t="s">
        <v>27000</v>
      </c>
      <c r="AE1274" s="2" t="s">
        <v>26534</v>
      </c>
      <c r="AF1274" s="2"/>
      <c r="AG1274" s="2" t="s">
        <v>18250</v>
      </c>
    </row>
    <row r="1275" spans="1:33" x14ac:dyDescent="0.45">
      <c r="A1275" s="2" t="s">
        <v>27005</v>
      </c>
      <c r="B1275" s="2" t="s">
        <v>27006</v>
      </c>
      <c r="C1275" s="2" t="s">
        <v>27007</v>
      </c>
      <c r="D1275" s="2" t="s">
        <v>27008</v>
      </c>
      <c r="E1275" s="2" t="s">
        <v>27009</v>
      </c>
      <c r="F1275" s="2" t="s">
        <v>27010</v>
      </c>
      <c r="G1275" s="2" t="s">
        <v>27010</v>
      </c>
      <c r="H1275" s="2" t="s">
        <v>1023</v>
      </c>
      <c r="I1275" s="2" t="s">
        <v>73</v>
      </c>
      <c r="J1275" s="2" t="s">
        <v>1024</v>
      </c>
      <c r="K1275" s="2" t="s">
        <v>27011</v>
      </c>
      <c r="L1275" s="2"/>
      <c r="M1275" s="2"/>
      <c r="N1275" s="2"/>
      <c r="O1275" s="2" t="s">
        <v>72</v>
      </c>
      <c r="P1275" s="2" t="s">
        <v>73</v>
      </c>
      <c r="Q1275" s="2" t="s">
        <v>98</v>
      </c>
      <c r="R1275" s="2" t="s">
        <v>4135</v>
      </c>
      <c r="S1275" s="2" t="s">
        <v>44</v>
      </c>
      <c r="T1275" s="2"/>
      <c r="U1275" s="2" t="s">
        <v>3527</v>
      </c>
      <c r="V1275" s="2" t="s">
        <v>199</v>
      </c>
      <c r="W1275" s="2" t="s">
        <v>3527</v>
      </c>
      <c r="X1275" s="2" t="s">
        <v>27012</v>
      </c>
      <c r="Y1275" s="2" t="s">
        <v>48</v>
      </c>
      <c r="Z1275" s="2" t="s">
        <v>49</v>
      </c>
      <c r="AA1275" s="2">
        <v>100</v>
      </c>
      <c r="AB1275" s="2">
        <v>40</v>
      </c>
      <c r="AC1275" s="2" t="s">
        <v>10789</v>
      </c>
      <c r="AD1275" s="2" t="s">
        <v>27013</v>
      </c>
      <c r="AE1275" s="2" t="s">
        <v>26534</v>
      </c>
      <c r="AF1275" s="2"/>
      <c r="AG1275" s="2" t="s">
        <v>18250</v>
      </c>
    </row>
    <row r="1276" spans="1:33" x14ac:dyDescent="0.45">
      <c r="A1276" s="2" t="s">
        <v>27014</v>
      </c>
      <c r="B1276" s="2" t="s">
        <v>27015</v>
      </c>
      <c r="C1276" s="2" t="s">
        <v>27016</v>
      </c>
      <c r="D1276" s="2" t="s">
        <v>27017</v>
      </c>
      <c r="E1276" s="2" t="s">
        <v>27018</v>
      </c>
      <c r="F1276" s="2" t="s">
        <v>27019</v>
      </c>
      <c r="G1276" s="2" t="s">
        <v>27019</v>
      </c>
      <c r="H1276" s="2" t="s">
        <v>651</v>
      </c>
      <c r="I1276" s="2" t="s">
        <v>86</v>
      </c>
      <c r="J1276" s="2" t="s">
        <v>9449</v>
      </c>
      <c r="K1276" s="2" t="s">
        <v>27020</v>
      </c>
      <c r="L1276" s="2"/>
      <c r="M1276" s="2"/>
      <c r="N1276" s="2"/>
      <c r="O1276" s="2" t="s">
        <v>216</v>
      </c>
      <c r="P1276" s="2" t="s">
        <v>217</v>
      </c>
      <c r="Q1276" s="2" t="s">
        <v>875</v>
      </c>
      <c r="R1276" s="2" t="s">
        <v>10493</v>
      </c>
      <c r="S1276" s="2" t="s">
        <v>44</v>
      </c>
      <c r="T1276" s="2"/>
      <c r="U1276" s="2" t="s">
        <v>3527</v>
      </c>
      <c r="V1276" s="2" t="s">
        <v>46</v>
      </c>
      <c r="W1276" s="2" t="s">
        <v>3527</v>
      </c>
      <c r="X1276" s="2" t="s">
        <v>27021</v>
      </c>
      <c r="Y1276" s="2" t="s">
        <v>48</v>
      </c>
      <c r="Z1276" s="2" t="s">
        <v>49</v>
      </c>
      <c r="AA1276" s="2">
        <v>100</v>
      </c>
      <c r="AB1276" s="2">
        <v>40</v>
      </c>
      <c r="AC1276" s="2" t="s">
        <v>10789</v>
      </c>
      <c r="AD1276" s="2" t="s">
        <v>27022</v>
      </c>
      <c r="AE1276" s="2" t="s">
        <v>26534</v>
      </c>
      <c r="AF1276" s="2"/>
      <c r="AG1276" s="2" t="s">
        <v>18250</v>
      </c>
    </row>
    <row r="1277" spans="1:33" x14ac:dyDescent="0.45">
      <c r="A1277" s="2" t="s">
        <v>27023</v>
      </c>
      <c r="B1277" s="2" t="s">
        <v>27024</v>
      </c>
      <c r="C1277" s="2" t="s">
        <v>27025</v>
      </c>
      <c r="D1277" s="2" t="s">
        <v>27026</v>
      </c>
      <c r="E1277" s="2" t="s">
        <v>27027</v>
      </c>
      <c r="F1277" s="2" t="s">
        <v>27028</v>
      </c>
      <c r="G1277" s="2" t="s">
        <v>27028</v>
      </c>
      <c r="H1277" s="2" t="s">
        <v>72</v>
      </c>
      <c r="I1277" s="2" t="s">
        <v>73</v>
      </c>
      <c r="J1277" s="2" t="s">
        <v>74</v>
      </c>
      <c r="K1277" s="2" t="s">
        <v>27029</v>
      </c>
      <c r="L1277" s="2"/>
      <c r="M1277" s="2"/>
      <c r="N1277" s="2"/>
      <c r="O1277" s="2" t="s">
        <v>72</v>
      </c>
      <c r="P1277" s="2" t="s">
        <v>73</v>
      </c>
      <c r="Q1277" s="2" t="s">
        <v>74</v>
      </c>
      <c r="R1277" s="2" t="s">
        <v>27030</v>
      </c>
      <c r="S1277" s="2" t="s">
        <v>44</v>
      </c>
      <c r="T1277" s="2"/>
      <c r="U1277" s="2" t="s">
        <v>3527</v>
      </c>
      <c r="V1277" s="2" t="s">
        <v>46</v>
      </c>
      <c r="W1277" s="2" t="s">
        <v>3527</v>
      </c>
      <c r="X1277" s="2" t="s">
        <v>27031</v>
      </c>
      <c r="Y1277" s="2" t="s">
        <v>48</v>
      </c>
      <c r="Z1277" s="2" t="s">
        <v>49</v>
      </c>
      <c r="AA1277" s="2">
        <v>100</v>
      </c>
      <c r="AB1277" s="2">
        <v>40</v>
      </c>
      <c r="AC1277" s="2" t="s">
        <v>10789</v>
      </c>
      <c r="AD1277" s="2" t="s">
        <v>27032</v>
      </c>
      <c r="AE1277" s="2" t="s">
        <v>26534</v>
      </c>
      <c r="AF1277" s="2"/>
      <c r="AG1277" s="2" t="s">
        <v>18250</v>
      </c>
    </row>
    <row r="1278" spans="1:33" x14ac:dyDescent="0.45">
      <c r="A1278" s="2" t="s">
        <v>27033</v>
      </c>
      <c r="B1278" s="2" t="s">
        <v>27034</v>
      </c>
      <c r="C1278" s="2" t="s">
        <v>27035</v>
      </c>
      <c r="D1278" s="2" t="s">
        <v>27036</v>
      </c>
      <c r="E1278" s="2" t="s">
        <v>27037</v>
      </c>
      <c r="F1278" s="2" t="s">
        <v>27038</v>
      </c>
      <c r="G1278" s="2" t="s">
        <v>27038</v>
      </c>
      <c r="H1278" s="2" t="s">
        <v>72</v>
      </c>
      <c r="I1278" s="2" t="s">
        <v>73</v>
      </c>
      <c r="J1278" s="2" t="s">
        <v>1568</v>
      </c>
      <c r="K1278" s="2" t="s">
        <v>27036</v>
      </c>
      <c r="L1278" s="2"/>
      <c r="M1278" s="2"/>
      <c r="N1278" s="2"/>
      <c r="O1278" s="2" t="s">
        <v>72</v>
      </c>
      <c r="P1278" s="2" t="s">
        <v>73</v>
      </c>
      <c r="Q1278" s="2" t="s">
        <v>1568</v>
      </c>
      <c r="R1278" s="2" t="s">
        <v>3687</v>
      </c>
      <c r="S1278" s="2" t="s">
        <v>44</v>
      </c>
      <c r="T1278" s="2"/>
      <c r="U1278" s="2" t="s">
        <v>3527</v>
      </c>
      <c r="V1278" s="2" t="s">
        <v>46</v>
      </c>
      <c r="W1278" s="2" t="s">
        <v>3527</v>
      </c>
      <c r="X1278" s="2" t="s">
        <v>27039</v>
      </c>
      <c r="Y1278" s="2" t="s">
        <v>48</v>
      </c>
      <c r="Z1278" s="2" t="s">
        <v>49</v>
      </c>
      <c r="AA1278" s="2">
        <v>100</v>
      </c>
      <c r="AB1278" s="2">
        <v>40</v>
      </c>
      <c r="AC1278" s="2" t="s">
        <v>10789</v>
      </c>
      <c r="AD1278" s="2" t="s">
        <v>27040</v>
      </c>
      <c r="AE1278" s="2" t="s">
        <v>26534</v>
      </c>
      <c r="AF1278" s="2"/>
      <c r="AG1278" s="2" t="s">
        <v>18250</v>
      </c>
    </row>
    <row r="1279" spans="1:33" x14ac:dyDescent="0.45">
      <c r="A1279" s="2" t="s">
        <v>27041</v>
      </c>
      <c r="B1279" s="2" t="s">
        <v>27042</v>
      </c>
      <c r="C1279" s="2" t="s">
        <v>27043</v>
      </c>
      <c r="D1279" s="2" t="s">
        <v>27044</v>
      </c>
      <c r="E1279" s="2" t="s">
        <v>27045</v>
      </c>
      <c r="F1279" s="2" t="s">
        <v>27046</v>
      </c>
      <c r="G1279" s="2" t="s">
        <v>27046</v>
      </c>
      <c r="H1279" s="2" t="s">
        <v>72</v>
      </c>
      <c r="I1279" s="2" t="s">
        <v>73</v>
      </c>
      <c r="J1279" s="2" t="s">
        <v>140</v>
      </c>
      <c r="K1279" s="2" t="s">
        <v>27044</v>
      </c>
      <c r="L1279" s="2"/>
      <c r="M1279" s="2"/>
      <c r="N1279" s="2"/>
      <c r="O1279" s="2" t="s">
        <v>72</v>
      </c>
      <c r="P1279" s="2" t="s">
        <v>73</v>
      </c>
      <c r="Q1279" s="2" t="s">
        <v>140</v>
      </c>
      <c r="R1279" s="2" t="s">
        <v>27047</v>
      </c>
      <c r="S1279" s="2" t="s">
        <v>44</v>
      </c>
      <c r="T1279" s="2"/>
      <c r="U1279" s="2" t="s">
        <v>3527</v>
      </c>
      <c r="V1279" s="2" t="s">
        <v>46</v>
      </c>
      <c r="W1279" s="2" t="s">
        <v>3527</v>
      </c>
      <c r="X1279" s="2" t="s">
        <v>27048</v>
      </c>
      <c r="Y1279" s="2" t="s">
        <v>48</v>
      </c>
      <c r="Z1279" s="2" t="s">
        <v>49</v>
      </c>
      <c r="AA1279" s="2">
        <v>100</v>
      </c>
      <c r="AB1279" s="2">
        <v>50</v>
      </c>
      <c r="AC1279" s="2" t="s">
        <v>9685</v>
      </c>
      <c r="AD1279" s="2" t="s">
        <v>27049</v>
      </c>
      <c r="AE1279" s="2" t="s">
        <v>26534</v>
      </c>
      <c r="AF1279" s="2"/>
      <c r="AG1279" s="2" t="s">
        <v>18250</v>
      </c>
    </row>
    <row r="1280" spans="1:33" x14ac:dyDescent="0.45">
      <c r="A1280" s="2" t="s">
        <v>27050</v>
      </c>
      <c r="B1280" s="2" t="s">
        <v>27051</v>
      </c>
      <c r="C1280" s="2" t="s">
        <v>27052</v>
      </c>
      <c r="D1280" s="2" t="s">
        <v>27053</v>
      </c>
      <c r="E1280" s="2" t="s">
        <v>27054</v>
      </c>
      <c r="F1280" s="2" t="s">
        <v>27055</v>
      </c>
      <c r="G1280" s="2" t="s">
        <v>27055</v>
      </c>
      <c r="H1280" s="2" t="s">
        <v>72</v>
      </c>
      <c r="I1280" s="2" t="s">
        <v>73</v>
      </c>
      <c r="J1280" s="2" t="s">
        <v>140</v>
      </c>
      <c r="K1280" s="2" t="s">
        <v>27056</v>
      </c>
      <c r="L1280" s="2"/>
      <c r="M1280" s="2"/>
      <c r="N1280" s="2"/>
      <c r="O1280" s="2" t="s">
        <v>72</v>
      </c>
      <c r="P1280" s="2" t="s">
        <v>73</v>
      </c>
      <c r="Q1280" s="2" t="s">
        <v>140</v>
      </c>
      <c r="R1280" s="2" t="s">
        <v>17245</v>
      </c>
      <c r="S1280" s="2" t="s">
        <v>44</v>
      </c>
      <c r="T1280" s="2"/>
      <c r="U1280" s="2" t="s">
        <v>821</v>
      </c>
      <c r="V1280" s="2" t="s">
        <v>199</v>
      </c>
      <c r="W1280" s="2" t="s">
        <v>821</v>
      </c>
      <c r="X1280" s="2" t="s">
        <v>27048</v>
      </c>
      <c r="Y1280" s="2" t="s">
        <v>48</v>
      </c>
      <c r="Z1280" s="2" t="s">
        <v>49</v>
      </c>
      <c r="AA1280" s="2">
        <v>100</v>
      </c>
      <c r="AB1280" s="2">
        <v>57</v>
      </c>
      <c r="AC1280" s="2" t="s">
        <v>9685</v>
      </c>
      <c r="AD1280" s="2" t="s">
        <v>27049</v>
      </c>
      <c r="AE1280" s="2" t="s">
        <v>26534</v>
      </c>
      <c r="AF1280" s="2"/>
      <c r="AG1280" s="2" t="s">
        <v>18250</v>
      </c>
    </row>
    <row r="1281" spans="1:33" x14ac:dyDescent="0.45">
      <c r="A1281" s="2" t="s">
        <v>27050</v>
      </c>
      <c r="B1281" s="2" t="s">
        <v>27057</v>
      </c>
      <c r="C1281" s="2" t="s">
        <v>27058</v>
      </c>
      <c r="D1281" s="2" t="s">
        <v>27059</v>
      </c>
      <c r="E1281" s="2" t="s">
        <v>27054</v>
      </c>
      <c r="F1281" s="2" t="s">
        <v>27060</v>
      </c>
      <c r="G1281" s="2" t="s">
        <v>27060</v>
      </c>
      <c r="H1281" s="2" t="s">
        <v>72</v>
      </c>
      <c r="I1281" s="2" t="s">
        <v>73</v>
      </c>
      <c r="J1281" s="2" t="s">
        <v>140</v>
      </c>
      <c r="K1281" s="2" t="s">
        <v>27059</v>
      </c>
      <c r="L1281" s="2"/>
      <c r="M1281" s="2"/>
      <c r="N1281" s="2"/>
      <c r="O1281" s="2" t="s">
        <v>72</v>
      </c>
      <c r="P1281" s="2" t="s">
        <v>73</v>
      </c>
      <c r="Q1281" s="2" t="s">
        <v>140</v>
      </c>
      <c r="R1281" s="2" t="s">
        <v>27061</v>
      </c>
      <c r="S1281" s="2" t="s">
        <v>44</v>
      </c>
      <c r="T1281" s="2"/>
      <c r="U1281" s="2" t="s">
        <v>3527</v>
      </c>
      <c r="V1281" s="2" t="s">
        <v>199</v>
      </c>
      <c r="W1281" s="2" t="s">
        <v>3527</v>
      </c>
      <c r="X1281" s="2" t="s">
        <v>27048</v>
      </c>
      <c r="Y1281" s="2" t="s">
        <v>48</v>
      </c>
      <c r="Z1281" s="2" t="s">
        <v>49</v>
      </c>
      <c r="AA1281" s="2">
        <v>100</v>
      </c>
      <c r="AB1281" s="2">
        <v>50</v>
      </c>
      <c r="AC1281" s="2" t="s">
        <v>9685</v>
      </c>
      <c r="AD1281" s="2" t="s">
        <v>27049</v>
      </c>
      <c r="AE1281" s="2" t="s">
        <v>26534</v>
      </c>
      <c r="AF1281" s="2"/>
      <c r="AG1281" s="2" t="s">
        <v>18250</v>
      </c>
    </row>
    <row r="1282" spans="1:33" x14ac:dyDescent="0.45">
      <c r="A1282" s="2" t="s">
        <v>27062</v>
      </c>
      <c r="B1282" s="2" t="s">
        <v>27063</v>
      </c>
      <c r="C1282" s="2" t="s">
        <v>27064</v>
      </c>
      <c r="D1282" s="2" t="s">
        <v>27065</v>
      </c>
      <c r="E1282" s="2" t="s">
        <v>27066</v>
      </c>
      <c r="F1282" s="2" t="s">
        <v>27067</v>
      </c>
      <c r="G1282" s="2" t="s">
        <v>27067</v>
      </c>
      <c r="H1282" s="2" t="s">
        <v>72</v>
      </c>
      <c r="I1282" s="2" t="s">
        <v>73</v>
      </c>
      <c r="J1282" s="2" t="s">
        <v>140</v>
      </c>
      <c r="K1282" s="2" t="s">
        <v>27068</v>
      </c>
      <c r="L1282" s="2"/>
      <c r="M1282" s="2"/>
      <c r="N1282" s="2"/>
      <c r="O1282" s="2" t="s">
        <v>72</v>
      </c>
      <c r="P1282" s="2" t="s">
        <v>73</v>
      </c>
      <c r="Q1282" s="2" t="s">
        <v>140</v>
      </c>
      <c r="R1282" s="2" t="s">
        <v>743</v>
      </c>
      <c r="S1282" s="2" t="s">
        <v>44</v>
      </c>
      <c r="T1282" s="2"/>
      <c r="U1282" s="2" t="s">
        <v>45</v>
      </c>
      <c r="V1282" s="2" t="s">
        <v>46</v>
      </c>
      <c r="W1282" s="2" t="s">
        <v>45</v>
      </c>
      <c r="X1282" s="2" t="s">
        <v>27048</v>
      </c>
      <c r="Y1282" s="2" t="s">
        <v>48</v>
      </c>
      <c r="Z1282" s="2" t="s">
        <v>49</v>
      </c>
      <c r="AA1282" s="2">
        <v>100</v>
      </c>
      <c r="AB1282" s="2">
        <v>60</v>
      </c>
      <c r="AC1282" s="2" t="s">
        <v>9685</v>
      </c>
      <c r="AD1282" s="2" t="s">
        <v>27049</v>
      </c>
      <c r="AE1282" s="2" t="s">
        <v>26534</v>
      </c>
      <c r="AF1282" s="2"/>
      <c r="AG1282" s="2" t="s">
        <v>18250</v>
      </c>
    </row>
    <row r="1283" spans="1:33" x14ac:dyDescent="0.45">
      <c r="A1283" s="2" t="s">
        <v>27069</v>
      </c>
      <c r="B1283" s="2" t="s">
        <v>27070</v>
      </c>
      <c r="C1283" s="2" t="s">
        <v>27071</v>
      </c>
      <c r="D1283" s="2" t="s">
        <v>27072</v>
      </c>
      <c r="E1283" s="2" t="s">
        <v>27073</v>
      </c>
      <c r="F1283" s="2" t="s">
        <v>27074</v>
      </c>
      <c r="G1283" s="2" t="s">
        <v>27074</v>
      </c>
      <c r="H1283" s="2" t="s">
        <v>72</v>
      </c>
      <c r="I1283" s="2" t="s">
        <v>73</v>
      </c>
      <c r="J1283" s="2" t="s">
        <v>140</v>
      </c>
      <c r="K1283" s="2" t="s">
        <v>27075</v>
      </c>
      <c r="L1283" s="2"/>
      <c r="M1283" s="2"/>
      <c r="N1283" s="2"/>
      <c r="O1283" s="2" t="s">
        <v>72</v>
      </c>
      <c r="P1283" s="2" t="s">
        <v>73</v>
      </c>
      <c r="Q1283" s="2" t="s">
        <v>140</v>
      </c>
      <c r="R1283" s="2" t="s">
        <v>1347</v>
      </c>
      <c r="S1283" s="2" t="s">
        <v>44</v>
      </c>
      <c r="T1283" s="2"/>
      <c r="U1283" s="2" t="s">
        <v>45</v>
      </c>
      <c r="V1283" s="2" t="s">
        <v>46</v>
      </c>
      <c r="W1283" s="2" t="s">
        <v>45</v>
      </c>
      <c r="X1283" s="2" t="s">
        <v>27048</v>
      </c>
      <c r="Y1283" s="2" t="s">
        <v>48</v>
      </c>
      <c r="Z1283" s="2" t="s">
        <v>49</v>
      </c>
      <c r="AA1283" s="2">
        <v>100</v>
      </c>
      <c r="AB1283" s="2">
        <v>60</v>
      </c>
      <c r="AC1283" s="2" t="s">
        <v>9685</v>
      </c>
      <c r="AD1283" s="2" t="s">
        <v>27049</v>
      </c>
      <c r="AE1283" s="2" t="s">
        <v>26534</v>
      </c>
      <c r="AF1283" s="2"/>
      <c r="AG1283" s="2" t="s">
        <v>18250</v>
      </c>
    </row>
    <row r="1284" spans="1:33" x14ac:dyDescent="0.45">
      <c r="A1284" s="2" t="s">
        <v>27076</v>
      </c>
      <c r="B1284" s="2" t="s">
        <v>27077</v>
      </c>
      <c r="C1284" s="2" t="s">
        <v>27078</v>
      </c>
      <c r="D1284" s="2" t="s">
        <v>27079</v>
      </c>
      <c r="E1284" s="2"/>
      <c r="F1284" s="2" t="s">
        <v>27080</v>
      </c>
      <c r="G1284" s="2" t="s">
        <v>27080</v>
      </c>
      <c r="H1284" s="2" t="s">
        <v>72</v>
      </c>
      <c r="I1284" s="2" t="s">
        <v>73</v>
      </c>
      <c r="J1284" s="2" t="s">
        <v>1164</v>
      </c>
      <c r="K1284" s="2" t="s">
        <v>27081</v>
      </c>
      <c r="L1284" s="2"/>
      <c r="M1284" s="2"/>
      <c r="N1284" s="2"/>
      <c r="O1284" s="2" t="s">
        <v>72</v>
      </c>
      <c r="P1284" s="2" t="s">
        <v>73</v>
      </c>
      <c r="Q1284" s="2" t="s">
        <v>74</v>
      </c>
      <c r="R1284" s="2" t="s">
        <v>27082</v>
      </c>
      <c r="S1284" s="2" t="s">
        <v>44</v>
      </c>
      <c r="T1284" s="2"/>
      <c r="U1284" s="2" t="s">
        <v>45</v>
      </c>
      <c r="V1284" s="2" t="s">
        <v>46</v>
      </c>
      <c r="W1284" s="2" t="s">
        <v>45</v>
      </c>
      <c r="X1284" s="2"/>
      <c r="Y1284" s="2" t="s">
        <v>17795</v>
      </c>
      <c r="Z1284" s="2" t="s">
        <v>49</v>
      </c>
      <c r="AA1284" s="2">
        <v>80</v>
      </c>
      <c r="AB1284" s="2">
        <v>5</v>
      </c>
      <c r="AC1284" s="2" t="s">
        <v>10789</v>
      </c>
      <c r="AD1284" s="2" t="s">
        <v>27083</v>
      </c>
      <c r="AE1284" s="2" t="s">
        <v>26534</v>
      </c>
      <c r="AF1284" s="2"/>
      <c r="AG1284" s="2" t="s">
        <v>18250</v>
      </c>
    </row>
    <row r="1285" spans="1:33" x14ac:dyDescent="0.45">
      <c r="A1285" s="2" t="s">
        <v>27084</v>
      </c>
      <c r="B1285" s="2" t="s">
        <v>27085</v>
      </c>
      <c r="C1285" s="2" t="s">
        <v>27086</v>
      </c>
      <c r="D1285" s="2" t="s">
        <v>27087</v>
      </c>
      <c r="E1285" s="2"/>
      <c r="F1285" s="2" t="s">
        <v>27088</v>
      </c>
      <c r="G1285" s="2" t="s">
        <v>27088</v>
      </c>
      <c r="H1285" s="2" t="s">
        <v>72</v>
      </c>
      <c r="I1285" s="2" t="s">
        <v>73</v>
      </c>
      <c r="J1285" s="2" t="s">
        <v>464</v>
      </c>
      <c r="K1285" s="2" t="s">
        <v>27089</v>
      </c>
      <c r="L1285" s="2"/>
      <c r="M1285" s="2"/>
      <c r="N1285" s="2"/>
      <c r="O1285" s="2" t="s">
        <v>72</v>
      </c>
      <c r="P1285" s="2" t="s">
        <v>73</v>
      </c>
      <c r="Q1285" s="2" t="s">
        <v>464</v>
      </c>
      <c r="R1285" s="2" t="s">
        <v>17953</v>
      </c>
      <c r="S1285" s="2" t="s">
        <v>44</v>
      </c>
      <c r="T1285" s="2"/>
      <c r="U1285" s="2" t="s">
        <v>45</v>
      </c>
      <c r="V1285" s="2" t="s">
        <v>46</v>
      </c>
      <c r="W1285" s="2" t="s">
        <v>45</v>
      </c>
      <c r="X1285" s="2"/>
      <c r="Y1285" s="2" t="s">
        <v>17795</v>
      </c>
      <c r="Z1285" s="2" t="s">
        <v>49</v>
      </c>
      <c r="AA1285" s="2">
        <v>80</v>
      </c>
      <c r="AB1285" s="2">
        <v>5</v>
      </c>
      <c r="AC1285" s="2" t="s">
        <v>10789</v>
      </c>
      <c r="AD1285" s="2" t="s">
        <v>27090</v>
      </c>
      <c r="AE1285" s="2" t="s">
        <v>26534</v>
      </c>
      <c r="AF1285" s="2"/>
      <c r="AG1285" s="2" t="s">
        <v>18250</v>
      </c>
    </row>
    <row r="1286" spans="1:33" x14ac:dyDescent="0.45">
      <c r="A1286" s="2" t="s">
        <v>27091</v>
      </c>
      <c r="B1286" s="2" t="s">
        <v>27092</v>
      </c>
      <c r="C1286" s="2" t="s">
        <v>27093</v>
      </c>
      <c r="D1286" s="2" t="s">
        <v>27094</v>
      </c>
      <c r="E1286" s="2" t="s">
        <v>27095</v>
      </c>
      <c r="F1286" s="2" t="s">
        <v>27096</v>
      </c>
      <c r="G1286" s="2" t="s">
        <v>27096</v>
      </c>
      <c r="H1286" s="2" t="s">
        <v>72</v>
      </c>
      <c r="I1286" s="2" t="s">
        <v>73</v>
      </c>
      <c r="J1286" s="2" t="s">
        <v>74</v>
      </c>
      <c r="K1286" s="2" t="s">
        <v>27097</v>
      </c>
      <c r="L1286" s="2"/>
      <c r="M1286" s="2"/>
      <c r="N1286" s="2"/>
      <c r="O1286" s="2" t="s">
        <v>72</v>
      </c>
      <c r="P1286" s="2" t="s">
        <v>73</v>
      </c>
      <c r="Q1286" s="2" t="s">
        <v>2982</v>
      </c>
      <c r="R1286" s="2" t="s">
        <v>27098</v>
      </c>
      <c r="S1286" s="2" t="s">
        <v>44</v>
      </c>
      <c r="T1286" s="2"/>
      <c r="U1286" s="2" t="s">
        <v>3527</v>
      </c>
      <c r="V1286" s="2" t="s">
        <v>46</v>
      </c>
      <c r="W1286" s="2" t="s">
        <v>3527</v>
      </c>
      <c r="X1286" s="2" t="s">
        <v>27099</v>
      </c>
      <c r="Y1286" s="2" t="s">
        <v>48</v>
      </c>
      <c r="Z1286" s="2" t="s">
        <v>49</v>
      </c>
      <c r="AA1286" s="2">
        <v>100</v>
      </c>
      <c r="AB1286" s="2">
        <v>50</v>
      </c>
      <c r="AC1286" s="2" t="s">
        <v>9685</v>
      </c>
      <c r="AD1286" s="2" t="s">
        <v>27100</v>
      </c>
      <c r="AE1286" s="2" t="s">
        <v>26534</v>
      </c>
      <c r="AF1286" s="2"/>
      <c r="AG1286" s="2" t="s">
        <v>18250</v>
      </c>
    </row>
    <row r="1287" spans="1:33" x14ac:dyDescent="0.45">
      <c r="A1287" s="2" t="s">
        <v>27101</v>
      </c>
      <c r="B1287" s="2" t="s">
        <v>27102</v>
      </c>
      <c r="C1287" s="2" t="s">
        <v>27103</v>
      </c>
      <c r="D1287" s="2" t="s">
        <v>27104</v>
      </c>
      <c r="E1287" s="2"/>
      <c r="F1287" s="2" t="s">
        <v>27105</v>
      </c>
      <c r="G1287" s="2" t="s">
        <v>27105</v>
      </c>
      <c r="H1287" s="2" t="s">
        <v>72</v>
      </c>
      <c r="I1287" s="2" t="s">
        <v>73</v>
      </c>
      <c r="J1287" s="2" t="s">
        <v>464</v>
      </c>
      <c r="K1287" s="2" t="s">
        <v>27106</v>
      </c>
      <c r="L1287" s="2"/>
      <c r="M1287" s="2"/>
      <c r="N1287" s="2"/>
      <c r="O1287" s="2" t="s">
        <v>72</v>
      </c>
      <c r="P1287" s="2" t="s">
        <v>73</v>
      </c>
      <c r="Q1287" s="2" t="s">
        <v>2982</v>
      </c>
      <c r="R1287" s="2" t="s">
        <v>8734</v>
      </c>
      <c r="S1287" s="2" t="s">
        <v>44</v>
      </c>
      <c r="T1287" s="2"/>
      <c r="U1287" s="2" t="s">
        <v>45</v>
      </c>
      <c r="V1287" s="2" t="s">
        <v>46</v>
      </c>
      <c r="W1287" s="2" t="s">
        <v>45</v>
      </c>
      <c r="X1287" s="2"/>
      <c r="Y1287" s="2" t="s">
        <v>17795</v>
      </c>
      <c r="Z1287" s="2" t="s">
        <v>49</v>
      </c>
      <c r="AA1287" s="2">
        <v>80</v>
      </c>
      <c r="AB1287" s="2">
        <v>5</v>
      </c>
      <c r="AC1287" s="2" t="s">
        <v>10789</v>
      </c>
      <c r="AD1287" s="2" t="s">
        <v>27107</v>
      </c>
      <c r="AE1287" s="2" t="s">
        <v>26534</v>
      </c>
      <c r="AF1287" s="2"/>
      <c r="AG1287" s="2" t="s">
        <v>18250</v>
      </c>
    </row>
    <row r="1288" spans="1:33" x14ac:dyDescent="0.45">
      <c r="A1288" s="2" t="s">
        <v>27108</v>
      </c>
      <c r="B1288" s="2" t="s">
        <v>27109</v>
      </c>
      <c r="C1288" s="2" t="s">
        <v>27110</v>
      </c>
      <c r="D1288" s="2" t="s">
        <v>27111</v>
      </c>
      <c r="E1288" s="2" t="s">
        <v>27112</v>
      </c>
      <c r="F1288" s="2" t="s">
        <v>27113</v>
      </c>
      <c r="G1288" s="2" t="s">
        <v>27113</v>
      </c>
      <c r="H1288" s="2" t="s">
        <v>72</v>
      </c>
      <c r="I1288" s="2" t="s">
        <v>73</v>
      </c>
      <c r="J1288" s="2" t="s">
        <v>74</v>
      </c>
      <c r="K1288" s="2" t="s">
        <v>27111</v>
      </c>
      <c r="L1288" s="2"/>
      <c r="M1288" s="2"/>
      <c r="N1288" s="2"/>
      <c r="O1288" s="2" t="s">
        <v>72</v>
      </c>
      <c r="P1288" s="2" t="s">
        <v>73</v>
      </c>
      <c r="Q1288" s="2" t="s">
        <v>74</v>
      </c>
      <c r="R1288" s="2" t="s">
        <v>14899</v>
      </c>
      <c r="S1288" s="2" t="s">
        <v>44</v>
      </c>
      <c r="T1288" s="2"/>
      <c r="U1288" s="2" t="s">
        <v>821</v>
      </c>
      <c r="V1288" s="2" t="s">
        <v>46</v>
      </c>
      <c r="W1288" s="2" t="s">
        <v>821</v>
      </c>
      <c r="X1288" s="2" t="s">
        <v>27099</v>
      </c>
      <c r="Y1288" s="2" t="s">
        <v>48</v>
      </c>
      <c r="Z1288" s="2" t="s">
        <v>49</v>
      </c>
      <c r="AA1288" s="2">
        <v>100</v>
      </c>
      <c r="AB1288" s="2">
        <v>57</v>
      </c>
      <c r="AC1288" s="2" t="s">
        <v>9685</v>
      </c>
      <c r="AD1288" s="2" t="s">
        <v>27100</v>
      </c>
      <c r="AE1288" s="2" t="s">
        <v>26534</v>
      </c>
      <c r="AF1288" s="2"/>
      <c r="AG1288" s="2" t="s">
        <v>18250</v>
      </c>
    </row>
    <row r="1289" spans="1:33" x14ac:dyDescent="0.45">
      <c r="A1289" s="2" t="s">
        <v>27114</v>
      </c>
      <c r="B1289" s="2" t="s">
        <v>27115</v>
      </c>
      <c r="C1289" s="2" t="s">
        <v>27116</v>
      </c>
      <c r="D1289" s="2" t="s">
        <v>27117</v>
      </c>
      <c r="E1289" s="2" t="s">
        <v>27118</v>
      </c>
      <c r="F1289" s="2" t="s">
        <v>27119</v>
      </c>
      <c r="G1289" s="2" t="s">
        <v>27119</v>
      </c>
      <c r="H1289" s="2" t="s">
        <v>72</v>
      </c>
      <c r="I1289" s="2" t="s">
        <v>73</v>
      </c>
      <c r="J1289" s="2" t="s">
        <v>74</v>
      </c>
      <c r="K1289" s="2" t="s">
        <v>27120</v>
      </c>
      <c r="L1289" s="2"/>
      <c r="M1289" s="2"/>
      <c r="N1289" s="2"/>
      <c r="O1289" s="2" t="s">
        <v>72</v>
      </c>
      <c r="P1289" s="2" t="s">
        <v>73</v>
      </c>
      <c r="Q1289" s="2" t="s">
        <v>74</v>
      </c>
      <c r="R1289" s="2" t="s">
        <v>27121</v>
      </c>
      <c r="S1289" s="2" t="s">
        <v>44</v>
      </c>
      <c r="T1289" s="2"/>
      <c r="U1289" s="2" t="s">
        <v>3527</v>
      </c>
      <c r="V1289" s="2" t="s">
        <v>46</v>
      </c>
      <c r="W1289" s="2" t="s">
        <v>3527</v>
      </c>
      <c r="X1289" s="2" t="s">
        <v>27122</v>
      </c>
      <c r="Y1289" s="2" t="s">
        <v>48</v>
      </c>
      <c r="Z1289" s="2" t="s">
        <v>49</v>
      </c>
      <c r="AA1289" s="2">
        <v>100</v>
      </c>
      <c r="AB1289" s="2">
        <v>40</v>
      </c>
      <c r="AC1289" s="2" t="s">
        <v>10789</v>
      </c>
      <c r="AD1289" s="2" t="s">
        <v>27123</v>
      </c>
      <c r="AE1289" s="2" t="s">
        <v>26534</v>
      </c>
      <c r="AF1289" s="2"/>
      <c r="AG1289" s="2" t="s">
        <v>18250</v>
      </c>
    </row>
    <row r="1290" spans="1:33" x14ac:dyDescent="0.45">
      <c r="A1290" s="2" t="s">
        <v>27124</v>
      </c>
      <c r="B1290" s="2" t="s">
        <v>27125</v>
      </c>
      <c r="C1290" s="2" t="s">
        <v>27126</v>
      </c>
      <c r="D1290" s="2" t="s">
        <v>27127</v>
      </c>
      <c r="E1290" s="2" t="s">
        <v>27128</v>
      </c>
      <c r="F1290" s="2" t="s">
        <v>27129</v>
      </c>
      <c r="G1290" s="2" t="s">
        <v>27129</v>
      </c>
      <c r="H1290" s="2" t="s">
        <v>72</v>
      </c>
      <c r="I1290" s="2" t="s">
        <v>73</v>
      </c>
      <c r="J1290" s="2" t="s">
        <v>5765</v>
      </c>
      <c r="K1290" s="2" t="s">
        <v>27130</v>
      </c>
      <c r="L1290" s="2"/>
      <c r="M1290" s="2"/>
      <c r="N1290" s="2"/>
      <c r="O1290" s="2" t="s">
        <v>72</v>
      </c>
      <c r="P1290" s="2" t="s">
        <v>73</v>
      </c>
      <c r="Q1290" s="2" t="s">
        <v>5765</v>
      </c>
      <c r="R1290" s="2" t="s">
        <v>1926</v>
      </c>
      <c r="S1290" s="2" t="s">
        <v>44</v>
      </c>
      <c r="T1290" s="2"/>
      <c r="U1290" s="2" t="s">
        <v>3527</v>
      </c>
      <c r="V1290" s="2" t="s">
        <v>46</v>
      </c>
      <c r="W1290" s="2" t="s">
        <v>3527</v>
      </c>
      <c r="X1290" s="2" t="s">
        <v>27131</v>
      </c>
      <c r="Y1290" s="2" t="s">
        <v>48</v>
      </c>
      <c r="Z1290" s="2" t="s">
        <v>49</v>
      </c>
      <c r="AA1290" s="2">
        <v>100</v>
      </c>
      <c r="AB1290" s="2">
        <v>40</v>
      </c>
      <c r="AC1290" s="2" t="s">
        <v>10789</v>
      </c>
      <c r="AD1290" s="2" t="s">
        <v>27132</v>
      </c>
      <c r="AE1290" s="2" t="s">
        <v>26534</v>
      </c>
      <c r="AF1290" s="2"/>
      <c r="AG1290" s="2" t="s">
        <v>18250</v>
      </c>
    </row>
    <row r="1291" spans="1:33" x14ac:dyDescent="0.45">
      <c r="A1291" s="2" t="s">
        <v>27133</v>
      </c>
      <c r="B1291" s="2" t="s">
        <v>27134</v>
      </c>
      <c r="C1291" s="2" t="s">
        <v>27135</v>
      </c>
      <c r="D1291" s="2" t="s">
        <v>27136</v>
      </c>
      <c r="E1291" s="2" t="s">
        <v>27137</v>
      </c>
      <c r="F1291" s="2" t="s">
        <v>27138</v>
      </c>
      <c r="G1291" s="2"/>
      <c r="H1291" s="2" t="s">
        <v>72</v>
      </c>
      <c r="I1291" s="2" t="s">
        <v>73</v>
      </c>
      <c r="J1291" s="2" t="s">
        <v>1164</v>
      </c>
      <c r="K1291" s="2" t="s">
        <v>27136</v>
      </c>
      <c r="L1291" s="2"/>
      <c r="M1291" s="2"/>
      <c r="N1291" s="2"/>
      <c r="O1291" s="2" t="s">
        <v>72</v>
      </c>
      <c r="P1291" s="2" t="s">
        <v>73</v>
      </c>
      <c r="Q1291" s="2" t="s">
        <v>1164</v>
      </c>
      <c r="R1291" s="2" t="s">
        <v>27139</v>
      </c>
      <c r="S1291" s="2" t="s">
        <v>44</v>
      </c>
      <c r="T1291" s="2"/>
      <c r="U1291" s="2" t="s">
        <v>45</v>
      </c>
      <c r="V1291" s="2" t="s">
        <v>46</v>
      </c>
      <c r="W1291" s="2" t="s">
        <v>45</v>
      </c>
      <c r="X1291" s="2" t="s">
        <v>27140</v>
      </c>
      <c r="Y1291" s="2" t="s">
        <v>48</v>
      </c>
      <c r="Z1291" s="2" t="s">
        <v>49</v>
      </c>
      <c r="AA1291" s="2">
        <v>100</v>
      </c>
      <c r="AB1291" s="2">
        <v>50</v>
      </c>
      <c r="AC1291" s="2" t="s">
        <v>9685</v>
      </c>
      <c r="AD1291" s="2" t="s">
        <v>27141</v>
      </c>
      <c r="AE1291" s="2" t="s">
        <v>26534</v>
      </c>
      <c r="AF1291" s="2"/>
      <c r="AG1291" s="2" t="s">
        <v>18250</v>
      </c>
    </row>
    <row r="1292" spans="1:33" x14ac:dyDescent="0.45">
      <c r="A1292" s="2" t="s">
        <v>27142</v>
      </c>
      <c r="B1292" s="2" t="s">
        <v>27143</v>
      </c>
      <c r="C1292" s="2" t="s">
        <v>27144</v>
      </c>
      <c r="D1292" s="2" t="s">
        <v>27145</v>
      </c>
      <c r="E1292" s="2" t="s">
        <v>27146</v>
      </c>
      <c r="F1292" s="2" t="s">
        <v>27147</v>
      </c>
      <c r="G1292" s="2" t="s">
        <v>27147</v>
      </c>
      <c r="H1292" s="2" t="s">
        <v>72</v>
      </c>
      <c r="I1292" s="2" t="s">
        <v>73</v>
      </c>
      <c r="J1292" s="2" t="s">
        <v>373</v>
      </c>
      <c r="K1292" s="2" t="s">
        <v>27145</v>
      </c>
      <c r="L1292" s="2"/>
      <c r="M1292" s="2"/>
      <c r="N1292" s="2"/>
      <c r="O1292" s="2" t="s">
        <v>72</v>
      </c>
      <c r="P1292" s="2" t="s">
        <v>73</v>
      </c>
      <c r="Q1292" s="2" t="s">
        <v>373</v>
      </c>
      <c r="R1292" s="2" t="s">
        <v>6388</v>
      </c>
      <c r="S1292" s="2" t="s">
        <v>44</v>
      </c>
      <c r="T1292" s="2"/>
      <c r="U1292" s="2" t="s">
        <v>3527</v>
      </c>
      <c r="V1292" s="2" t="s">
        <v>46</v>
      </c>
      <c r="W1292" s="2" t="s">
        <v>3527</v>
      </c>
      <c r="X1292" s="2" t="s">
        <v>27148</v>
      </c>
      <c r="Y1292" s="2" t="s">
        <v>48</v>
      </c>
      <c r="Z1292" s="2" t="s">
        <v>49</v>
      </c>
      <c r="AA1292" s="2">
        <v>100</v>
      </c>
      <c r="AB1292" s="2">
        <v>40</v>
      </c>
      <c r="AC1292" s="2" t="s">
        <v>10789</v>
      </c>
      <c r="AD1292" s="2" t="s">
        <v>27149</v>
      </c>
      <c r="AE1292" s="2" t="s">
        <v>26534</v>
      </c>
      <c r="AF1292" s="2"/>
      <c r="AG1292" s="2" t="s">
        <v>18250</v>
      </c>
    </row>
    <row r="1293" spans="1:33" x14ac:dyDescent="0.45">
      <c r="A1293" s="2" t="s">
        <v>27150</v>
      </c>
      <c r="B1293" s="2" t="s">
        <v>27151</v>
      </c>
      <c r="C1293" s="2" t="s">
        <v>26273</v>
      </c>
      <c r="D1293" s="2" t="s">
        <v>27152</v>
      </c>
      <c r="E1293" s="2" t="s">
        <v>27153</v>
      </c>
      <c r="F1293" s="2" t="s">
        <v>27154</v>
      </c>
      <c r="G1293" s="2" t="s">
        <v>27154</v>
      </c>
      <c r="H1293" s="2" t="s">
        <v>72</v>
      </c>
      <c r="I1293" s="2" t="s">
        <v>73</v>
      </c>
      <c r="J1293" s="2" t="s">
        <v>140</v>
      </c>
      <c r="K1293" s="2" t="s">
        <v>27152</v>
      </c>
      <c r="L1293" s="2"/>
      <c r="M1293" s="2"/>
      <c r="N1293" s="2"/>
      <c r="O1293" s="2" t="s">
        <v>72</v>
      </c>
      <c r="P1293" s="2" t="s">
        <v>73</v>
      </c>
      <c r="Q1293" s="2" t="s">
        <v>140</v>
      </c>
      <c r="R1293" s="2" t="s">
        <v>18861</v>
      </c>
      <c r="S1293" s="2" t="s">
        <v>44</v>
      </c>
      <c r="T1293" s="2"/>
      <c r="U1293" s="2" t="s">
        <v>821</v>
      </c>
      <c r="V1293" s="2" t="s">
        <v>199</v>
      </c>
      <c r="W1293" s="2" t="s">
        <v>821</v>
      </c>
      <c r="X1293" s="2" t="s">
        <v>143</v>
      </c>
      <c r="Y1293" s="2" t="s">
        <v>48</v>
      </c>
      <c r="Z1293" s="2" t="s">
        <v>49</v>
      </c>
      <c r="AA1293" s="2">
        <v>100</v>
      </c>
      <c r="AB1293" s="2">
        <v>57</v>
      </c>
      <c r="AC1293" s="2" t="s">
        <v>9685</v>
      </c>
      <c r="AD1293" s="2" t="s">
        <v>144</v>
      </c>
      <c r="AE1293" s="2" t="s">
        <v>26534</v>
      </c>
      <c r="AF1293" s="2"/>
      <c r="AG1293" s="2" t="s">
        <v>18250</v>
      </c>
    </row>
    <row r="1294" spans="1:33" x14ac:dyDescent="0.45">
      <c r="A1294" s="2" t="s">
        <v>27150</v>
      </c>
      <c r="B1294" s="2" t="s">
        <v>27155</v>
      </c>
      <c r="C1294" s="2" t="s">
        <v>27156</v>
      </c>
      <c r="D1294" s="2" t="s">
        <v>27157</v>
      </c>
      <c r="E1294" s="2"/>
      <c r="F1294" s="2" t="s">
        <v>27158</v>
      </c>
      <c r="G1294" s="2" t="s">
        <v>27158</v>
      </c>
      <c r="H1294" s="2" t="s">
        <v>72</v>
      </c>
      <c r="I1294" s="2" t="s">
        <v>73</v>
      </c>
      <c r="J1294" s="2" t="s">
        <v>140</v>
      </c>
      <c r="K1294" s="2" t="s">
        <v>27159</v>
      </c>
      <c r="L1294" s="2"/>
      <c r="M1294" s="2"/>
      <c r="N1294" s="2"/>
      <c r="O1294" s="2" t="s">
        <v>72</v>
      </c>
      <c r="P1294" s="2" t="s">
        <v>73</v>
      </c>
      <c r="Q1294" s="2" t="s">
        <v>607</v>
      </c>
      <c r="R1294" s="2" t="s">
        <v>27160</v>
      </c>
      <c r="S1294" s="2" t="s">
        <v>44</v>
      </c>
      <c r="T1294" s="2"/>
      <c r="U1294" s="2" t="s">
        <v>45</v>
      </c>
      <c r="V1294" s="2" t="s">
        <v>199</v>
      </c>
      <c r="W1294" s="2" t="s">
        <v>45</v>
      </c>
      <c r="X1294" s="2"/>
      <c r="Y1294" s="2" t="s">
        <v>17795</v>
      </c>
      <c r="Z1294" s="2" t="s">
        <v>49</v>
      </c>
      <c r="AA1294" s="2">
        <v>80</v>
      </c>
      <c r="AB1294" s="2">
        <v>5</v>
      </c>
      <c r="AC1294" s="2" t="s">
        <v>10789</v>
      </c>
      <c r="AD1294" s="2" t="s">
        <v>27161</v>
      </c>
      <c r="AE1294" s="2" t="s">
        <v>26534</v>
      </c>
      <c r="AF1294" s="2"/>
      <c r="AG1294" s="2" t="s">
        <v>18250</v>
      </c>
    </row>
    <row r="1295" spans="1:33" x14ac:dyDescent="0.45">
      <c r="A1295" s="2" t="s">
        <v>27162</v>
      </c>
      <c r="B1295" s="2" t="s">
        <v>27163</v>
      </c>
      <c r="C1295" s="2" t="s">
        <v>27164</v>
      </c>
      <c r="D1295" s="2" t="s">
        <v>27165</v>
      </c>
      <c r="E1295" s="2" t="s">
        <v>27166</v>
      </c>
      <c r="F1295" s="2" t="s">
        <v>27167</v>
      </c>
      <c r="G1295" s="2" t="s">
        <v>27167</v>
      </c>
      <c r="H1295" s="2" t="s">
        <v>72</v>
      </c>
      <c r="I1295" s="2" t="s">
        <v>73</v>
      </c>
      <c r="J1295" s="2" t="s">
        <v>140</v>
      </c>
      <c r="K1295" s="2" t="s">
        <v>27168</v>
      </c>
      <c r="L1295" s="2"/>
      <c r="M1295" s="2"/>
      <c r="N1295" s="2"/>
      <c r="O1295" s="2" t="s">
        <v>72</v>
      </c>
      <c r="P1295" s="2" t="s">
        <v>73</v>
      </c>
      <c r="Q1295" s="2" t="s">
        <v>140</v>
      </c>
      <c r="R1295" s="2" t="s">
        <v>12528</v>
      </c>
      <c r="S1295" s="2" t="s">
        <v>44</v>
      </c>
      <c r="T1295" s="2"/>
      <c r="U1295" s="2" t="s">
        <v>3527</v>
      </c>
      <c r="V1295" s="2" t="s">
        <v>46</v>
      </c>
      <c r="W1295" s="2" t="s">
        <v>3527</v>
      </c>
      <c r="X1295" s="2" t="s">
        <v>143</v>
      </c>
      <c r="Y1295" s="2" t="s">
        <v>48</v>
      </c>
      <c r="Z1295" s="2" t="s">
        <v>49</v>
      </c>
      <c r="AA1295" s="2">
        <v>100</v>
      </c>
      <c r="AB1295" s="2">
        <v>50</v>
      </c>
      <c r="AC1295" s="2" t="s">
        <v>9685</v>
      </c>
      <c r="AD1295" s="2" t="s">
        <v>144</v>
      </c>
      <c r="AE1295" s="2" t="s">
        <v>26534</v>
      </c>
      <c r="AF1295" s="2"/>
      <c r="AG1295" s="2" t="s">
        <v>18250</v>
      </c>
    </row>
    <row r="1296" spans="1:33" x14ac:dyDescent="0.45">
      <c r="A1296" s="2" t="s">
        <v>27169</v>
      </c>
      <c r="B1296" s="2" t="s">
        <v>27170</v>
      </c>
      <c r="C1296" s="2" t="s">
        <v>27171</v>
      </c>
      <c r="D1296" s="2" t="s">
        <v>27172</v>
      </c>
      <c r="E1296" s="2" t="s">
        <v>27173</v>
      </c>
      <c r="F1296" s="2" t="s">
        <v>27174</v>
      </c>
      <c r="G1296" s="2" t="s">
        <v>27174</v>
      </c>
      <c r="H1296" s="2" t="s">
        <v>72</v>
      </c>
      <c r="I1296" s="2" t="s">
        <v>73</v>
      </c>
      <c r="J1296" s="2" t="s">
        <v>373</v>
      </c>
      <c r="K1296" s="2" t="s">
        <v>27175</v>
      </c>
      <c r="L1296" s="2"/>
      <c r="M1296" s="2"/>
      <c r="N1296" s="2"/>
      <c r="O1296" s="2" t="s">
        <v>72</v>
      </c>
      <c r="P1296" s="2" t="s">
        <v>73</v>
      </c>
      <c r="Q1296" s="2" t="s">
        <v>373</v>
      </c>
      <c r="R1296" s="2" t="s">
        <v>6378</v>
      </c>
      <c r="S1296" s="2" t="s">
        <v>44</v>
      </c>
      <c r="T1296" s="2"/>
      <c r="U1296" s="2" t="s">
        <v>3527</v>
      </c>
      <c r="V1296" s="2" t="s">
        <v>46</v>
      </c>
      <c r="W1296" s="2" t="s">
        <v>3527</v>
      </c>
      <c r="X1296" s="2" t="s">
        <v>27176</v>
      </c>
      <c r="Y1296" s="2" t="s">
        <v>48</v>
      </c>
      <c r="Z1296" s="2" t="s">
        <v>49</v>
      </c>
      <c r="AA1296" s="2">
        <v>100</v>
      </c>
      <c r="AB1296" s="2">
        <v>40</v>
      </c>
      <c r="AC1296" s="2" t="s">
        <v>10789</v>
      </c>
      <c r="AD1296" s="2" t="s">
        <v>27177</v>
      </c>
      <c r="AE1296" s="2" t="s">
        <v>26534</v>
      </c>
      <c r="AF1296" s="2"/>
      <c r="AG1296" s="2" t="s">
        <v>18250</v>
      </c>
    </row>
    <row r="1297" spans="1:33" x14ac:dyDescent="0.45">
      <c r="A1297" s="2" t="s">
        <v>27178</v>
      </c>
      <c r="B1297" s="2" t="s">
        <v>27179</v>
      </c>
      <c r="C1297" s="2" t="s">
        <v>27180</v>
      </c>
      <c r="D1297" s="2" t="s">
        <v>27181</v>
      </c>
      <c r="E1297" s="2" t="s">
        <v>27182</v>
      </c>
      <c r="F1297" s="2" t="s">
        <v>27183</v>
      </c>
      <c r="G1297" s="2" t="s">
        <v>27183</v>
      </c>
      <c r="H1297" s="2" t="s">
        <v>72</v>
      </c>
      <c r="I1297" s="2" t="s">
        <v>73</v>
      </c>
      <c r="J1297" s="2" t="s">
        <v>74</v>
      </c>
      <c r="K1297" s="2" t="s">
        <v>27181</v>
      </c>
      <c r="L1297" s="2"/>
      <c r="M1297" s="2"/>
      <c r="N1297" s="2"/>
      <c r="O1297" s="2" t="s">
        <v>72</v>
      </c>
      <c r="P1297" s="2" t="s">
        <v>73</v>
      </c>
      <c r="Q1297" s="2" t="s">
        <v>74</v>
      </c>
      <c r="R1297" s="2" t="s">
        <v>27184</v>
      </c>
      <c r="S1297" s="2" t="s">
        <v>44</v>
      </c>
      <c r="T1297" s="2"/>
      <c r="U1297" s="2" t="s">
        <v>45</v>
      </c>
      <c r="V1297" s="2" t="s">
        <v>46</v>
      </c>
      <c r="W1297" s="2" t="s">
        <v>45</v>
      </c>
      <c r="X1297" s="2" t="s">
        <v>27185</v>
      </c>
      <c r="Y1297" s="2" t="s">
        <v>48</v>
      </c>
      <c r="Z1297" s="2" t="s">
        <v>49</v>
      </c>
      <c r="AA1297" s="2">
        <v>100</v>
      </c>
      <c r="AB1297" s="2">
        <v>60</v>
      </c>
      <c r="AC1297" s="2" t="s">
        <v>9685</v>
      </c>
      <c r="AD1297" s="2" t="s">
        <v>27186</v>
      </c>
      <c r="AE1297" s="2" t="s">
        <v>26534</v>
      </c>
      <c r="AF1297" s="2"/>
      <c r="AG1297" s="2" t="s">
        <v>18250</v>
      </c>
    </row>
    <row r="1298" spans="1:33" x14ac:dyDescent="0.45">
      <c r="A1298" s="2" t="s">
        <v>27187</v>
      </c>
      <c r="B1298" s="2" t="s">
        <v>27188</v>
      </c>
      <c r="C1298" s="2" t="s">
        <v>27189</v>
      </c>
      <c r="D1298" s="2" t="s">
        <v>27190</v>
      </c>
      <c r="E1298" s="2" t="s">
        <v>27191</v>
      </c>
      <c r="F1298" s="2" t="s">
        <v>27192</v>
      </c>
      <c r="G1298" s="2" t="s">
        <v>27192</v>
      </c>
      <c r="H1298" s="2" t="s">
        <v>72</v>
      </c>
      <c r="I1298" s="2" t="s">
        <v>73</v>
      </c>
      <c r="J1298" s="2" t="s">
        <v>74</v>
      </c>
      <c r="K1298" s="2" t="s">
        <v>27190</v>
      </c>
      <c r="L1298" s="2"/>
      <c r="M1298" s="2"/>
      <c r="N1298" s="2"/>
      <c r="O1298" s="2" t="s">
        <v>72</v>
      </c>
      <c r="P1298" s="2" t="s">
        <v>73</v>
      </c>
      <c r="Q1298" s="2" t="s">
        <v>74</v>
      </c>
      <c r="R1298" s="2" t="s">
        <v>27193</v>
      </c>
      <c r="S1298" s="2" t="s">
        <v>44</v>
      </c>
      <c r="T1298" s="2"/>
      <c r="U1298" s="2" t="s">
        <v>3527</v>
      </c>
      <c r="V1298" s="2" t="s">
        <v>46</v>
      </c>
      <c r="W1298" s="2" t="s">
        <v>3527</v>
      </c>
      <c r="X1298" s="2" t="s">
        <v>27185</v>
      </c>
      <c r="Y1298" s="2" t="s">
        <v>48</v>
      </c>
      <c r="Z1298" s="2" t="s">
        <v>49</v>
      </c>
      <c r="AA1298" s="2">
        <v>100</v>
      </c>
      <c r="AB1298" s="2">
        <v>50</v>
      </c>
      <c r="AC1298" s="2" t="s">
        <v>9685</v>
      </c>
      <c r="AD1298" s="2" t="s">
        <v>27186</v>
      </c>
      <c r="AE1298" s="2" t="s">
        <v>26534</v>
      </c>
      <c r="AF1298" s="2"/>
      <c r="AG1298" s="2" t="s">
        <v>18250</v>
      </c>
    </row>
    <row r="1299" spans="1:33" x14ac:dyDescent="0.45">
      <c r="A1299" s="2" t="s">
        <v>27194</v>
      </c>
      <c r="B1299" s="2" t="s">
        <v>27195</v>
      </c>
      <c r="C1299" s="2" t="s">
        <v>27196</v>
      </c>
      <c r="D1299" s="2" t="s">
        <v>27197</v>
      </c>
      <c r="E1299" s="2" t="s">
        <v>27198</v>
      </c>
      <c r="F1299" s="2" t="s">
        <v>27199</v>
      </c>
      <c r="G1299" s="2" t="s">
        <v>27199</v>
      </c>
      <c r="H1299" s="2" t="s">
        <v>72</v>
      </c>
      <c r="I1299" s="2" t="s">
        <v>73</v>
      </c>
      <c r="J1299" s="2" t="s">
        <v>98</v>
      </c>
      <c r="K1299" s="2"/>
      <c r="L1299" s="2"/>
      <c r="M1299" s="2"/>
      <c r="N1299" s="2"/>
      <c r="O1299" s="2"/>
      <c r="P1299" s="2"/>
      <c r="Q1299" s="2"/>
      <c r="R1299" s="2" t="s">
        <v>27200</v>
      </c>
      <c r="S1299" s="2" t="s">
        <v>44</v>
      </c>
      <c r="T1299" s="2"/>
      <c r="U1299" s="2" t="s">
        <v>45</v>
      </c>
      <c r="V1299" s="2" t="s">
        <v>46</v>
      </c>
      <c r="W1299" s="2" t="s">
        <v>45</v>
      </c>
      <c r="X1299" s="2" t="s">
        <v>27201</v>
      </c>
      <c r="Y1299" s="2" t="s">
        <v>48</v>
      </c>
      <c r="Z1299" s="2" t="s">
        <v>49</v>
      </c>
      <c r="AA1299" s="2">
        <v>100</v>
      </c>
      <c r="AB1299" s="2">
        <v>50</v>
      </c>
      <c r="AC1299" s="2" t="s">
        <v>9685</v>
      </c>
      <c r="AD1299" s="2" t="s">
        <v>27202</v>
      </c>
      <c r="AE1299" s="2" t="s">
        <v>26534</v>
      </c>
      <c r="AF1299" s="2"/>
      <c r="AG1299" s="2" t="s">
        <v>18250</v>
      </c>
    </row>
    <row r="1300" spans="1:33" x14ac:dyDescent="0.45">
      <c r="A1300" s="2" t="s">
        <v>27203</v>
      </c>
      <c r="B1300" s="2" t="s">
        <v>27204</v>
      </c>
      <c r="C1300" s="2" t="s">
        <v>27205</v>
      </c>
      <c r="D1300" s="2" t="s">
        <v>27206</v>
      </c>
      <c r="E1300" s="2" t="s">
        <v>27207</v>
      </c>
      <c r="F1300" s="2" t="s">
        <v>27208</v>
      </c>
      <c r="G1300" s="2" t="s">
        <v>27208</v>
      </c>
      <c r="H1300" s="2" t="s">
        <v>72</v>
      </c>
      <c r="I1300" s="2" t="s">
        <v>73</v>
      </c>
      <c r="J1300" s="2" t="s">
        <v>98</v>
      </c>
      <c r="K1300" s="2" t="s">
        <v>27209</v>
      </c>
      <c r="L1300" s="2"/>
      <c r="M1300" s="2"/>
      <c r="N1300" s="2"/>
      <c r="O1300" s="2" t="s">
        <v>72</v>
      </c>
      <c r="P1300" s="2" t="s">
        <v>73</v>
      </c>
      <c r="Q1300" s="2" t="s">
        <v>98</v>
      </c>
      <c r="R1300" s="2" t="s">
        <v>397</v>
      </c>
      <c r="S1300" s="2" t="s">
        <v>44</v>
      </c>
      <c r="T1300" s="2"/>
      <c r="U1300" s="2" t="s">
        <v>45</v>
      </c>
      <c r="V1300" s="2" t="s">
        <v>46</v>
      </c>
      <c r="W1300" s="2" t="s">
        <v>45</v>
      </c>
      <c r="X1300" s="2" t="s">
        <v>27201</v>
      </c>
      <c r="Y1300" s="2" t="s">
        <v>48</v>
      </c>
      <c r="Z1300" s="2" t="s">
        <v>49</v>
      </c>
      <c r="AA1300" s="2">
        <v>100</v>
      </c>
      <c r="AB1300" s="2">
        <v>50</v>
      </c>
      <c r="AC1300" s="2" t="s">
        <v>9685</v>
      </c>
      <c r="AD1300" s="2" t="s">
        <v>27202</v>
      </c>
      <c r="AE1300" s="2" t="s">
        <v>26534</v>
      </c>
      <c r="AF1300" s="2"/>
      <c r="AG1300" s="2" t="s">
        <v>18250</v>
      </c>
    </row>
    <row r="1301" spans="1:33" x14ac:dyDescent="0.45">
      <c r="A1301" s="2" t="s">
        <v>27210</v>
      </c>
      <c r="B1301" s="2" t="s">
        <v>27211</v>
      </c>
      <c r="C1301" s="2" t="s">
        <v>27212</v>
      </c>
      <c r="D1301" s="2" t="s">
        <v>27213</v>
      </c>
      <c r="E1301" s="2" t="s">
        <v>27214</v>
      </c>
      <c r="F1301" s="2" t="s">
        <v>27215</v>
      </c>
      <c r="G1301" s="2" t="s">
        <v>27215</v>
      </c>
      <c r="H1301" s="2" t="s">
        <v>72</v>
      </c>
      <c r="I1301" s="2" t="s">
        <v>73</v>
      </c>
      <c r="J1301" s="2" t="s">
        <v>74</v>
      </c>
      <c r="K1301" s="2"/>
      <c r="L1301" s="2"/>
      <c r="M1301" s="2"/>
      <c r="N1301" s="2"/>
      <c r="O1301" s="2"/>
      <c r="P1301" s="2"/>
      <c r="Q1301" s="2"/>
      <c r="R1301" s="2" t="s">
        <v>5594</v>
      </c>
      <c r="S1301" s="2" t="s">
        <v>44</v>
      </c>
      <c r="T1301" s="2"/>
      <c r="U1301" s="2" t="s">
        <v>821</v>
      </c>
      <c r="V1301" s="2" t="s">
        <v>46</v>
      </c>
      <c r="W1301" s="2" t="s">
        <v>821</v>
      </c>
      <c r="X1301" s="2" t="s">
        <v>27185</v>
      </c>
      <c r="Y1301" s="2" t="s">
        <v>48</v>
      </c>
      <c r="Z1301" s="2" t="s">
        <v>49</v>
      </c>
      <c r="AA1301" s="2">
        <v>100</v>
      </c>
      <c r="AB1301" s="2">
        <v>57</v>
      </c>
      <c r="AC1301" s="2" t="s">
        <v>9685</v>
      </c>
      <c r="AD1301" s="2" t="s">
        <v>27186</v>
      </c>
      <c r="AE1301" s="2" t="s">
        <v>26534</v>
      </c>
      <c r="AF1301" s="2"/>
      <c r="AG1301" s="2" t="s">
        <v>18250</v>
      </c>
    </row>
    <row r="1302" spans="1:33" x14ac:dyDescent="0.45">
      <c r="A1302" s="2" t="s">
        <v>27216</v>
      </c>
      <c r="B1302" s="2" t="s">
        <v>27217</v>
      </c>
      <c r="C1302" s="2" t="s">
        <v>27189</v>
      </c>
      <c r="D1302" s="2" t="s">
        <v>27218</v>
      </c>
      <c r="E1302" s="2" t="s">
        <v>27191</v>
      </c>
      <c r="F1302" s="2" t="s">
        <v>27219</v>
      </c>
      <c r="G1302" s="2" t="s">
        <v>27219</v>
      </c>
      <c r="H1302" s="2" t="s">
        <v>72</v>
      </c>
      <c r="I1302" s="2" t="s">
        <v>73</v>
      </c>
      <c r="J1302" s="2" t="s">
        <v>74</v>
      </c>
      <c r="K1302" s="2" t="s">
        <v>27220</v>
      </c>
      <c r="L1302" s="2"/>
      <c r="M1302" s="2"/>
      <c r="N1302" s="2"/>
      <c r="O1302" s="2" t="s">
        <v>72</v>
      </c>
      <c r="P1302" s="2" t="s">
        <v>73</v>
      </c>
      <c r="Q1302" s="2" t="s">
        <v>74</v>
      </c>
      <c r="R1302" s="2" t="s">
        <v>24585</v>
      </c>
      <c r="S1302" s="2" t="s">
        <v>44</v>
      </c>
      <c r="T1302" s="2"/>
      <c r="U1302" s="2" t="s">
        <v>821</v>
      </c>
      <c r="V1302" s="2" t="s">
        <v>46</v>
      </c>
      <c r="W1302" s="2" t="s">
        <v>821</v>
      </c>
      <c r="X1302" s="2" t="s">
        <v>27185</v>
      </c>
      <c r="Y1302" s="2" t="s">
        <v>48</v>
      </c>
      <c r="Z1302" s="2" t="s">
        <v>49</v>
      </c>
      <c r="AA1302" s="2">
        <v>100</v>
      </c>
      <c r="AB1302" s="2">
        <v>57</v>
      </c>
      <c r="AC1302" s="2" t="s">
        <v>9685</v>
      </c>
      <c r="AD1302" s="2" t="s">
        <v>27186</v>
      </c>
      <c r="AE1302" s="2" t="s">
        <v>26534</v>
      </c>
      <c r="AF1302" s="2"/>
      <c r="AG1302" s="2" t="s">
        <v>18250</v>
      </c>
    </row>
    <row r="1303" spans="1:33" x14ac:dyDescent="0.45">
      <c r="A1303" s="2" t="s">
        <v>27221</v>
      </c>
      <c r="B1303" s="2" t="s">
        <v>27222</v>
      </c>
      <c r="C1303" s="2" t="s">
        <v>27223</v>
      </c>
      <c r="D1303" s="2" t="s">
        <v>27224</v>
      </c>
      <c r="E1303" s="2" t="s">
        <v>27225</v>
      </c>
      <c r="F1303" s="2" t="s">
        <v>27226</v>
      </c>
      <c r="G1303" s="2" t="s">
        <v>27226</v>
      </c>
      <c r="H1303" s="2" t="s">
        <v>72</v>
      </c>
      <c r="I1303" s="2" t="s">
        <v>73</v>
      </c>
      <c r="J1303" s="2" t="s">
        <v>74</v>
      </c>
      <c r="K1303" s="2" t="s">
        <v>27227</v>
      </c>
      <c r="L1303" s="2"/>
      <c r="M1303" s="2"/>
      <c r="N1303" s="2"/>
      <c r="O1303" s="2" t="s">
        <v>72</v>
      </c>
      <c r="P1303" s="2" t="s">
        <v>73</v>
      </c>
      <c r="Q1303" s="2" t="s">
        <v>74</v>
      </c>
      <c r="R1303" s="2" t="s">
        <v>27228</v>
      </c>
      <c r="S1303" s="2" t="s">
        <v>44</v>
      </c>
      <c r="T1303" s="2"/>
      <c r="U1303" s="2" t="s">
        <v>3527</v>
      </c>
      <c r="V1303" s="2" t="s">
        <v>46</v>
      </c>
      <c r="W1303" s="2" t="s">
        <v>3527</v>
      </c>
      <c r="X1303" s="2" t="s">
        <v>27185</v>
      </c>
      <c r="Y1303" s="2" t="s">
        <v>48</v>
      </c>
      <c r="Z1303" s="2" t="s">
        <v>49</v>
      </c>
      <c r="AA1303" s="2">
        <v>100</v>
      </c>
      <c r="AB1303" s="2">
        <v>50</v>
      </c>
      <c r="AC1303" s="2" t="s">
        <v>9685</v>
      </c>
      <c r="AD1303" s="2" t="s">
        <v>27186</v>
      </c>
      <c r="AE1303" s="2" t="s">
        <v>26534</v>
      </c>
      <c r="AF1303" s="2"/>
      <c r="AG1303" s="2" t="s">
        <v>18250</v>
      </c>
    </row>
    <row r="1304" spans="1:33" x14ac:dyDescent="0.45">
      <c r="A1304" s="2" t="s">
        <v>27229</v>
      </c>
      <c r="B1304" s="2" t="s">
        <v>27230</v>
      </c>
      <c r="C1304" s="2" t="s">
        <v>27231</v>
      </c>
      <c r="D1304" s="2" t="s">
        <v>27232</v>
      </c>
      <c r="E1304" s="2" t="s">
        <v>27233</v>
      </c>
      <c r="F1304" s="2" t="s">
        <v>27234</v>
      </c>
      <c r="G1304" s="2" t="s">
        <v>27234</v>
      </c>
      <c r="H1304" s="2" t="s">
        <v>72</v>
      </c>
      <c r="I1304" s="2" t="s">
        <v>73</v>
      </c>
      <c r="J1304" s="2" t="s">
        <v>74</v>
      </c>
      <c r="K1304" s="2" t="s">
        <v>27232</v>
      </c>
      <c r="L1304" s="2"/>
      <c r="M1304" s="2"/>
      <c r="N1304" s="2"/>
      <c r="O1304" s="2" t="s">
        <v>72</v>
      </c>
      <c r="P1304" s="2" t="s">
        <v>73</v>
      </c>
      <c r="Q1304" s="2" t="s">
        <v>74</v>
      </c>
      <c r="R1304" s="2" t="s">
        <v>1061</v>
      </c>
      <c r="S1304" s="2" t="s">
        <v>44</v>
      </c>
      <c r="T1304" s="2"/>
      <c r="U1304" s="2" t="s">
        <v>45</v>
      </c>
      <c r="V1304" s="2" t="s">
        <v>46</v>
      </c>
      <c r="W1304" s="2" t="s">
        <v>45</v>
      </c>
      <c r="X1304" s="2" t="s">
        <v>27185</v>
      </c>
      <c r="Y1304" s="2" t="s">
        <v>48</v>
      </c>
      <c r="Z1304" s="2" t="s">
        <v>49</v>
      </c>
      <c r="AA1304" s="2">
        <v>100</v>
      </c>
      <c r="AB1304" s="2">
        <v>60</v>
      </c>
      <c r="AC1304" s="2" t="s">
        <v>9685</v>
      </c>
      <c r="AD1304" s="2" t="s">
        <v>27186</v>
      </c>
      <c r="AE1304" s="2" t="s">
        <v>26534</v>
      </c>
      <c r="AF1304" s="2"/>
      <c r="AG1304" s="2" t="s">
        <v>18250</v>
      </c>
    </row>
    <row r="1305" spans="1:33" x14ac:dyDescent="0.45">
      <c r="A1305" s="2" t="s">
        <v>27235</v>
      </c>
      <c r="B1305" s="2" t="s">
        <v>27236</v>
      </c>
      <c r="C1305" s="2" t="s">
        <v>27237</v>
      </c>
      <c r="D1305" s="2" t="s">
        <v>27238</v>
      </c>
      <c r="E1305" s="2" t="s">
        <v>27239</v>
      </c>
      <c r="F1305" s="2" t="s">
        <v>27240</v>
      </c>
      <c r="G1305" s="2" t="s">
        <v>27240</v>
      </c>
      <c r="H1305" s="2" t="s">
        <v>651</v>
      </c>
      <c r="I1305" s="2" t="s">
        <v>86</v>
      </c>
      <c r="J1305" s="2" t="s">
        <v>3073</v>
      </c>
      <c r="K1305" s="2" t="s">
        <v>27241</v>
      </c>
      <c r="L1305" s="2"/>
      <c r="M1305" s="2"/>
      <c r="N1305" s="2"/>
      <c r="O1305" s="2" t="s">
        <v>59</v>
      </c>
      <c r="P1305" s="2" t="s">
        <v>60</v>
      </c>
      <c r="Q1305" s="2" t="s">
        <v>992</v>
      </c>
      <c r="R1305" s="2" t="s">
        <v>7269</v>
      </c>
      <c r="S1305" s="2" t="s">
        <v>44</v>
      </c>
      <c r="T1305" s="2"/>
      <c r="U1305" s="2" t="s">
        <v>3527</v>
      </c>
      <c r="V1305" s="2" t="s">
        <v>46</v>
      </c>
      <c r="W1305" s="2" t="s">
        <v>3527</v>
      </c>
      <c r="X1305" s="2" t="s">
        <v>27242</v>
      </c>
      <c r="Y1305" s="2" t="s">
        <v>48</v>
      </c>
      <c r="Z1305" s="2" t="s">
        <v>49</v>
      </c>
      <c r="AA1305" s="2">
        <v>100</v>
      </c>
      <c r="AB1305" s="2">
        <v>40</v>
      </c>
      <c r="AC1305" s="2" t="s">
        <v>10789</v>
      </c>
      <c r="AD1305" s="2" t="s">
        <v>27243</v>
      </c>
      <c r="AE1305" s="2" t="s">
        <v>26534</v>
      </c>
      <c r="AF1305" s="2"/>
      <c r="AG1305" s="2" t="s">
        <v>18250</v>
      </c>
    </row>
    <row r="1306" spans="1:33" x14ac:dyDescent="0.45">
      <c r="A1306" s="2" t="s">
        <v>27244</v>
      </c>
      <c r="B1306" s="2" t="s">
        <v>27245</v>
      </c>
      <c r="C1306" s="2" t="s">
        <v>27246</v>
      </c>
      <c r="D1306" s="2" t="s">
        <v>27247</v>
      </c>
      <c r="E1306" s="2" t="s">
        <v>27248</v>
      </c>
      <c r="F1306" s="2"/>
      <c r="G1306" s="2"/>
      <c r="H1306" s="2" t="s">
        <v>59</v>
      </c>
      <c r="I1306" s="2" t="s">
        <v>60</v>
      </c>
      <c r="J1306" s="2" t="s">
        <v>992</v>
      </c>
      <c r="K1306" s="2" t="s">
        <v>27249</v>
      </c>
      <c r="L1306" s="2"/>
      <c r="M1306" s="2"/>
      <c r="N1306" s="2"/>
      <c r="O1306" s="2" t="s">
        <v>59</v>
      </c>
      <c r="P1306" s="2" t="s">
        <v>60</v>
      </c>
      <c r="Q1306" s="2" t="s">
        <v>992</v>
      </c>
      <c r="R1306" s="2" t="s">
        <v>6958</v>
      </c>
      <c r="S1306" s="2" t="s">
        <v>44</v>
      </c>
      <c r="T1306" s="2"/>
      <c r="U1306" s="2" t="s">
        <v>3527</v>
      </c>
      <c r="V1306" s="2" t="s">
        <v>46</v>
      </c>
      <c r="W1306" s="2" t="s">
        <v>3527</v>
      </c>
      <c r="X1306" s="2" t="s">
        <v>27250</v>
      </c>
      <c r="Y1306" s="2" t="s">
        <v>48</v>
      </c>
      <c r="Z1306" s="2" t="s">
        <v>49</v>
      </c>
      <c r="AA1306" s="2">
        <v>90</v>
      </c>
      <c r="AB1306" s="2">
        <v>30</v>
      </c>
      <c r="AC1306" s="2" t="s">
        <v>10789</v>
      </c>
      <c r="AD1306" s="2" t="s">
        <v>27251</v>
      </c>
      <c r="AE1306" s="2" t="s">
        <v>26534</v>
      </c>
      <c r="AF1306" s="2"/>
      <c r="AG1306" s="2" t="s">
        <v>18250</v>
      </c>
    </row>
    <row r="1307" spans="1:33" x14ac:dyDescent="0.45">
      <c r="A1307" s="2" t="s">
        <v>27252</v>
      </c>
      <c r="B1307" s="2" t="s">
        <v>27253</v>
      </c>
      <c r="C1307" s="2" t="s">
        <v>27254</v>
      </c>
      <c r="D1307" s="2" t="s">
        <v>27255</v>
      </c>
      <c r="E1307" s="2" t="s">
        <v>27256</v>
      </c>
      <c r="F1307" s="2" t="s">
        <v>27257</v>
      </c>
      <c r="G1307" s="2" t="s">
        <v>27257</v>
      </c>
      <c r="H1307" s="2" t="s">
        <v>72</v>
      </c>
      <c r="I1307" s="2" t="s">
        <v>73</v>
      </c>
      <c r="J1307" s="2" t="s">
        <v>373</v>
      </c>
      <c r="K1307" s="2" t="s">
        <v>27258</v>
      </c>
      <c r="L1307" s="2"/>
      <c r="M1307" s="2"/>
      <c r="N1307" s="2"/>
      <c r="O1307" s="2" t="s">
        <v>72</v>
      </c>
      <c r="P1307" s="2" t="s">
        <v>73</v>
      </c>
      <c r="Q1307" s="2" t="s">
        <v>373</v>
      </c>
      <c r="R1307" s="2" t="s">
        <v>4917</v>
      </c>
      <c r="S1307" s="2" t="s">
        <v>44</v>
      </c>
      <c r="T1307" s="2"/>
      <c r="U1307" s="2" t="s">
        <v>821</v>
      </c>
      <c r="V1307" s="2" t="s">
        <v>199</v>
      </c>
      <c r="W1307" s="2" t="s">
        <v>821</v>
      </c>
      <c r="X1307" s="2" t="s">
        <v>621</v>
      </c>
      <c r="Y1307" s="2" t="s">
        <v>48</v>
      </c>
      <c r="Z1307" s="2" t="s">
        <v>49</v>
      </c>
      <c r="AA1307" s="2">
        <v>100</v>
      </c>
      <c r="AB1307" s="2">
        <v>57</v>
      </c>
      <c r="AC1307" s="2" t="s">
        <v>9685</v>
      </c>
      <c r="AD1307" s="2" t="s">
        <v>622</v>
      </c>
      <c r="AE1307" s="2" t="s">
        <v>26534</v>
      </c>
      <c r="AF1307" s="2"/>
      <c r="AG1307" s="2" t="s">
        <v>18250</v>
      </c>
    </row>
    <row r="1308" spans="1:33" x14ac:dyDescent="0.45">
      <c r="A1308" s="2" t="s">
        <v>27252</v>
      </c>
      <c r="B1308" s="2" t="s">
        <v>27259</v>
      </c>
      <c r="C1308" s="2" t="s">
        <v>27260</v>
      </c>
      <c r="D1308" s="2" t="s">
        <v>27261</v>
      </c>
      <c r="E1308" s="2" t="s">
        <v>27262</v>
      </c>
      <c r="F1308" s="2" t="s">
        <v>27263</v>
      </c>
      <c r="G1308" s="2" t="s">
        <v>27263</v>
      </c>
      <c r="H1308" s="2" t="s">
        <v>72</v>
      </c>
      <c r="I1308" s="2" t="s">
        <v>73</v>
      </c>
      <c r="J1308" s="2" t="s">
        <v>373</v>
      </c>
      <c r="K1308" s="2" t="s">
        <v>27261</v>
      </c>
      <c r="L1308" s="2"/>
      <c r="M1308" s="2"/>
      <c r="N1308" s="2"/>
      <c r="O1308" s="2" t="s">
        <v>72</v>
      </c>
      <c r="P1308" s="2" t="s">
        <v>73</v>
      </c>
      <c r="Q1308" s="2" t="s">
        <v>373</v>
      </c>
      <c r="R1308" s="2" t="s">
        <v>14298</v>
      </c>
      <c r="S1308" s="2" t="s">
        <v>44</v>
      </c>
      <c r="T1308" s="2"/>
      <c r="U1308" s="2" t="s">
        <v>45</v>
      </c>
      <c r="V1308" s="2" t="s">
        <v>199</v>
      </c>
      <c r="W1308" s="2" t="s">
        <v>45</v>
      </c>
      <c r="X1308" s="2" t="s">
        <v>621</v>
      </c>
      <c r="Y1308" s="2" t="s">
        <v>48</v>
      </c>
      <c r="Z1308" s="2" t="s">
        <v>49</v>
      </c>
      <c r="AA1308" s="2">
        <v>100</v>
      </c>
      <c r="AB1308" s="2">
        <v>60</v>
      </c>
      <c r="AC1308" s="2" t="s">
        <v>9685</v>
      </c>
      <c r="AD1308" s="2" t="s">
        <v>622</v>
      </c>
      <c r="AE1308" s="2" t="s">
        <v>26534</v>
      </c>
      <c r="AF1308" s="2"/>
      <c r="AG1308" s="2" t="s">
        <v>18250</v>
      </c>
    </row>
    <row r="1309" spans="1:33" x14ac:dyDescent="0.45">
      <c r="A1309" s="2" t="s">
        <v>27252</v>
      </c>
      <c r="B1309" s="2" t="s">
        <v>27264</v>
      </c>
      <c r="C1309" s="2" t="s">
        <v>27265</v>
      </c>
      <c r="D1309" s="2" t="s">
        <v>27266</v>
      </c>
      <c r="E1309" s="2" t="s">
        <v>27256</v>
      </c>
      <c r="F1309" s="2" t="s">
        <v>27257</v>
      </c>
      <c r="G1309" s="2" t="s">
        <v>27257</v>
      </c>
      <c r="H1309" s="2" t="s">
        <v>72</v>
      </c>
      <c r="I1309" s="2" t="s">
        <v>73</v>
      </c>
      <c r="J1309" s="2" t="s">
        <v>373</v>
      </c>
      <c r="K1309" s="2" t="s">
        <v>27266</v>
      </c>
      <c r="L1309" s="2"/>
      <c r="M1309" s="2"/>
      <c r="N1309" s="2"/>
      <c r="O1309" s="2" t="s">
        <v>72</v>
      </c>
      <c r="P1309" s="2" t="s">
        <v>73</v>
      </c>
      <c r="Q1309" s="2" t="s">
        <v>373</v>
      </c>
      <c r="R1309" s="2" t="s">
        <v>25117</v>
      </c>
      <c r="S1309" s="2" t="s">
        <v>44</v>
      </c>
      <c r="T1309" s="2"/>
      <c r="U1309" s="2" t="s">
        <v>3527</v>
      </c>
      <c r="V1309" s="2" t="s">
        <v>199</v>
      </c>
      <c r="W1309" s="2" t="s">
        <v>3527</v>
      </c>
      <c r="X1309" s="2" t="s">
        <v>621</v>
      </c>
      <c r="Y1309" s="2" t="s">
        <v>48</v>
      </c>
      <c r="Z1309" s="2" t="s">
        <v>49</v>
      </c>
      <c r="AA1309" s="2">
        <v>100</v>
      </c>
      <c r="AB1309" s="2">
        <v>50</v>
      </c>
      <c r="AC1309" s="2" t="s">
        <v>9685</v>
      </c>
      <c r="AD1309" s="2" t="s">
        <v>622</v>
      </c>
      <c r="AE1309" s="2" t="s">
        <v>26534</v>
      </c>
      <c r="AF1309" s="2"/>
      <c r="AG1309" s="2" t="s">
        <v>18250</v>
      </c>
    </row>
    <row r="1310" spans="1:33" x14ac:dyDescent="0.45">
      <c r="A1310" s="2" t="s">
        <v>27267</v>
      </c>
      <c r="B1310" s="2" t="s">
        <v>27268</v>
      </c>
      <c r="C1310" s="2" t="s">
        <v>27269</v>
      </c>
      <c r="D1310" s="2" t="s">
        <v>27270</v>
      </c>
      <c r="E1310" s="2"/>
      <c r="F1310" s="2" t="s">
        <v>27271</v>
      </c>
      <c r="G1310" s="2" t="s">
        <v>27271</v>
      </c>
      <c r="H1310" s="2" t="s">
        <v>72</v>
      </c>
      <c r="I1310" s="2" t="s">
        <v>73</v>
      </c>
      <c r="J1310" s="2" t="s">
        <v>761</v>
      </c>
      <c r="K1310" s="2" t="s">
        <v>27272</v>
      </c>
      <c r="L1310" s="2"/>
      <c r="M1310" s="2"/>
      <c r="N1310" s="2"/>
      <c r="O1310" s="2" t="s">
        <v>72</v>
      </c>
      <c r="P1310" s="2" t="s">
        <v>73</v>
      </c>
      <c r="Q1310" s="2" t="s">
        <v>1568</v>
      </c>
      <c r="R1310" s="2" t="s">
        <v>27273</v>
      </c>
      <c r="S1310" s="2" t="s">
        <v>44</v>
      </c>
      <c r="T1310" s="2"/>
      <c r="U1310" s="2" t="s">
        <v>45</v>
      </c>
      <c r="V1310" s="2" t="s">
        <v>46</v>
      </c>
      <c r="W1310" s="2" t="s">
        <v>45</v>
      </c>
      <c r="X1310" s="2"/>
      <c r="Y1310" s="2" t="s">
        <v>17795</v>
      </c>
      <c r="Z1310" s="2" t="s">
        <v>49</v>
      </c>
      <c r="AA1310" s="2">
        <v>80</v>
      </c>
      <c r="AB1310" s="2">
        <v>5</v>
      </c>
      <c r="AC1310" s="2" t="s">
        <v>10789</v>
      </c>
      <c r="AD1310" s="2" t="s">
        <v>27274</v>
      </c>
      <c r="AE1310" s="2" t="s">
        <v>26534</v>
      </c>
      <c r="AF1310" s="2"/>
      <c r="AG1310" s="2" t="s">
        <v>18250</v>
      </c>
    </row>
    <row r="1311" spans="1:33" x14ac:dyDescent="0.45">
      <c r="A1311" s="2" t="s">
        <v>27275</v>
      </c>
      <c r="B1311" s="2" t="s">
        <v>27276</v>
      </c>
      <c r="C1311" s="2" t="s">
        <v>27277</v>
      </c>
      <c r="D1311" s="2" t="s">
        <v>27278</v>
      </c>
      <c r="E1311" s="2" t="s">
        <v>27279</v>
      </c>
      <c r="F1311" s="2" t="s">
        <v>27280</v>
      </c>
      <c r="G1311" s="2" t="s">
        <v>27280</v>
      </c>
      <c r="H1311" s="2" t="s">
        <v>85</v>
      </c>
      <c r="I1311" s="2" t="s">
        <v>651</v>
      </c>
      <c r="J1311" s="2" t="s">
        <v>87</v>
      </c>
      <c r="K1311" s="2" t="s">
        <v>27281</v>
      </c>
      <c r="L1311" s="2"/>
      <c r="M1311" s="2"/>
      <c r="N1311" s="2"/>
      <c r="O1311" s="2" t="s">
        <v>1188</v>
      </c>
      <c r="P1311" s="2" t="s">
        <v>221</v>
      </c>
      <c r="Q1311" s="2" t="s">
        <v>1189</v>
      </c>
      <c r="R1311" s="2" t="s">
        <v>27282</v>
      </c>
      <c r="S1311" s="2" t="s">
        <v>44</v>
      </c>
      <c r="T1311" s="2"/>
      <c r="U1311" s="2" t="s">
        <v>3527</v>
      </c>
      <c r="V1311" s="2" t="s">
        <v>46</v>
      </c>
      <c r="W1311" s="2" t="s">
        <v>3527</v>
      </c>
      <c r="X1311" s="2" t="s">
        <v>27283</v>
      </c>
      <c r="Y1311" s="2" t="s">
        <v>48</v>
      </c>
      <c r="Z1311" s="2" t="s">
        <v>49</v>
      </c>
      <c r="AA1311" s="2">
        <v>100</v>
      </c>
      <c r="AB1311" s="2">
        <v>40</v>
      </c>
      <c r="AC1311" s="2" t="s">
        <v>10789</v>
      </c>
      <c r="AD1311" s="2" t="s">
        <v>27284</v>
      </c>
      <c r="AE1311" s="2" t="s">
        <v>26534</v>
      </c>
      <c r="AF1311" s="2"/>
      <c r="AG1311" s="2" t="s">
        <v>18250</v>
      </c>
    </row>
    <row r="1312" spans="1:33" x14ac:dyDescent="0.45">
      <c r="A1312" s="2" t="s">
        <v>27285</v>
      </c>
      <c r="B1312" s="2" t="s">
        <v>27286</v>
      </c>
      <c r="C1312" s="2" t="s">
        <v>27287</v>
      </c>
      <c r="D1312" s="2" t="s">
        <v>27288</v>
      </c>
      <c r="E1312" s="2" t="s">
        <v>27289</v>
      </c>
      <c r="F1312" s="2"/>
      <c r="G1312" s="2"/>
      <c r="H1312" s="2" t="s">
        <v>72</v>
      </c>
      <c r="I1312" s="2" t="s">
        <v>73</v>
      </c>
      <c r="J1312" s="2" t="s">
        <v>74</v>
      </c>
      <c r="K1312" s="2" t="s">
        <v>27288</v>
      </c>
      <c r="L1312" s="2"/>
      <c r="M1312" s="2"/>
      <c r="N1312" s="2"/>
      <c r="O1312" s="2" t="s">
        <v>72</v>
      </c>
      <c r="P1312" s="2" t="s">
        <v>73</v>
      </c>
      <c r="Q1312" s="2" t="s">
        <v>74</v>
      </c>
      <c r="R1312" s="2" t="s">
        <v>27290</v>
      </c>
      <c r="S1312" s="2" t="s">
        <v>44</v>
      </c>
      <c r="T1312" s="2"/>
      <c r="U1312" s="2" t="s">
        <v>3527</v>
      </c>
      <c r="V1312" s="2" t="s">
        <v>46</v>
      </c>
      <c r="W1312" s="2" t="s">
        <v>3527</v>
      </c>
      <c r="X1312" s="2" t="s">
        <v>27291</v>
      </c>
      <c r="Y1312" s="2" t="s">
        <v>48</v>
      </c>
      <c r="Z1312" s="2" t="s">
        <v>49</v>
      </c>
      <c r="AA1312" s="2">
        <v>90</v>
      </c>
      <c r="AB1312" s="2">
        <v>30</v>
      </c>
      <c r="AC1312" s="2" t="s">
        <v>10789</v>
      </c>
      <c r="AD1312" s="2" t="s">
        <v>27292</v>
      </c>
      <c r="AE1312" s="2" t="s">
        <v>26534</v>
      </c>
      <c r="AF1312" s="2"/>
      <c r="AG1312" s="2" t="s">
        <v>18250</v>
      </c>
    </row>
    <row r="1313" spans="1:33" x14ac:dyDescent="0.45">
      <c r="A1313" s="2" t="s">
        <v>27293</v>
      </c>
      <c r="B1313" s="2" t="s">
        <v>27294</v>
      </c>
      <c r="C1313" s="2" t="s">
        <v>27295</v>
      </c>
      <c r="D1313" s="2" t="s">
        <v>27296</v>
      </c>
      <c r="E1313" s="2"/>
      <c r="F1313" s="2" t="s">
        <v>27297</v>
      </c>
      <c r="G1313" s="2" t="s">
        <v>27297</v>
      </c>
      <c r="H1313" s="2" t="s">
        <v>72</v>
      </c>
      <c r="I1313" s="2" t="s">
        <v>73</v>
      </c>
      <c r="J1313" s="2" t="s">
        <v>74</v>
      </c>
      <c r="K1313" s="2" t="s">
        <v>27296</v>
      </c>
      <c r="L1313" s="2"/>
      <c r="M1313" s="2"/>
      <c r="N1313" s="2"/>
      <c r="O1313" s="2" t="s">
        <v>72</v>
      </c>
      <c r="P1313" s="2" t="s">
        <v>73</v>
      </c>
      <c r="Q1313" s="2" t="s">
        <v>74</v>
      </c>
      <c r="R1313" s="2" t="s">
        <v>27298</v>
      </c>
      <c r="S1313" s="2" t="s">
        <v>44</v>
      </c>
      <c r="T1313" s="2"/>
      <c r="U1313" s="2" t="s">
        <v>45</v>
      </c>
      <c r="V1313" s="2" t="s">
        <v>46</v>
      </c>
      <c r="W1313" s="2" t="s">
        <v>45</v>
      </c>
      <c r="X1313" s="2"/>
      <c r="Y1313" s="2" t="s">
        <v>17795</v>
      </c>
      <c r="Z1313" s="2" t="s">
        <v>49</v>
      </c>
      <c r="AA1313" s="2">
        <v>80</v>
      </c>
      <c r="AB1313" s="2">
        <v>5</v>
      </c>
      <c r="AC1313" s="2" t="s">
        <v>10789</v>
      </c>
      <c r="AD1313" s="2" t="s">
        <v>27299</v>
      </c>
      <c r="AE1313" s="2" t="s">
        <v>26534</v>
      </c>
      <c r="AF1313" s="2"/>
      <c r="AG1313" s="2" t="s">
        <v>18250</v>
      </c>
    </row>
    <row r="1314" spans="1:33" x14ac:dyDescent="0.45">
      <c r="A1314" s="2" t="s">
        <v>27300</v>
      </c>
      <c r="B1314" s="2" t="s">
        <v>27301</v>
      </c>
      <c r="C1314" s="2" t="s">
        <v>27302</v>
      </c>
      <c r="D1314" s="2" t="s">
        <v>27303</v>
      </c>
      <c r="E1314" s="2" t="s">
        <v>27304</v>
      </c>
      <c r="F1314" s="2" t="s">
        <v>27305</v>
      </c>
      <c r="G1314" s="2" t="s">
        <v>27305</v>
      </c>
      <c r="H1314" s="2" t="s">
        <v>72</v>
      </c>
      <c r="I1314" s="2" t="s">
        <v>73</v>
      </c>
      <c r="J1314" s="2" t="s">
        <v>1896</v>
      </c>
      <c r="K1314" s="2" t="s">
        <v>27306</v>
      </c>
      <c r="L1314" s="2"/>
      <c r="M1314" s="2"/>
      <c r="N1314" s="2"/>
      <c r="O1314" s="2" t="s">
        <v>72</v>
      </c>
      <c r="P1314" s="2" t="s">
        <v>73</v>
      </c>
      <c r="Q1314" s="2" t="s">
        <v>98</v>
      </c>
      <c r="R1314" s="2" t="s">
        <v>20719</v>
      </c>
      <c r="S1314" s="2" t="s">
        <v>44</v>
      </c>
      <c r="T1314" s="2"/>
      <c r="U1314" s="2" t="s">
        <v>3527</v>
      </c>
      <c r="V1314" s="2" t="s">
        <v>46</v>
      </c>
      <c r="W1314" s="2" t="s">
        <v>3527</v>
      </c>
      <c r="X1314" s="2" t="s">
        <v>27307</v>
      </c>
      <c r="Y1314" s="2" t="s">
        <v>48</v>
      </c>
      <c r="Z1314" s="2" t="s">
        <v>49</v>
      </c>
      <c r="AA1314" s="2">
        <v>100</v>
      </c>
      <c r="AB1314" s="2">
        <v>40</v>
      </c>
      <c r="AC1314" s="2" t="s">
        <v>10789</v>
      </c>
      <c r="AD1314" s="2" t="s">
        <v>27308</v>
      </c>
      <c r="AE1314" s="2" t="s">
        <v>26534</v>
      </c>
      <c r="AF1314" s="2"/>
      <c r="AG1314" s="2" t="s">
        <v>18250</v>
      </c>
    </row>
    <row r="1315" spans="1:33" x14ac:dyDescent="0.45">
      <c r="A1315" s="2" t="s">
        <v>27309</v>
      </c>
      <c r="B1315" s="2" t="s">
        <v>27310</v>
      </c>
      <c r="C1315" s="2" t="s">
        <v>27311</v>
      </c>
      <c r="D1315" s="2" t="s">
        <v>27312</v>
      </c>
      <c r="E1315" s="2" t="s">
        <v>27313</v>
      </c>
      <c r="F1315" s="2" t="s">
        <v>27314</v>
      </c>
      <c r="G1315" s="2" t="s">
        <v>27314</v>
      </c>
      <c r="H1315" s="2" t="s">
        <v>72</v>
      </c>
      <c r="I1315" s="2" t="s">
        <v>73</v>
      </c>
      <c r="J1315" s="2" t="s">
        <v>74</v>
      </c>
      <c r="K1315" s="2" t="s">
        <v>27315</v>
      </c>
      <c r="L1315" s="2"/>
      <c r="M1315" s="2"/>
      <c r="N1315" s="2"/>
      <c r="O1315" s="2" t="s">
        <v>72</v>
      </c>
      <c r="P1315" s="2" t="s">
        <v>73</v>
      </c>
      <c r="Q1315" s="2" t="s">
        <v>74</v>
      </c>
      <c r="R1315" s="2" t="s">
        <v>3738</v>
      </c>
      <c r="S1315" s="2" t="s">
        <v>44</v>
      </c>
      <c r="T1315" s="2"/>
      <c r="U1315" s="2" t="s">
        <v>3527</v>
      </c>
      <c r="V1315" s="2" t="s">
        <v>46</v>
      </c>
      <c r="W1315" s="2" t="s">
        <v>3527</v>
      </c>
      <c r="X1315" s="2" t="s">
        <v>27316</v>
      </c>
      <c r="Y1315" s="2" t="s">
        <v>48</v>
      </c>
      <c r="Z1315" s="2" t="s">
        <v>15016</v>
      </c>
      <c r="AA1315" s="2">
        <v>100</v>
      </c>
      <c r="AB1315" s="2">
        <v>38</v>
      </c>
      <c r="AC1315" s="2" t="s">
        <v>10789</v>
      </c>
      <c r="AD1315" s="2" t="s">
        <v>27317</v>
      </c>
      <c r="AE1315" s="2" t="s">
        <v>26534</v>
      </c>
      <c r="AF1315" s="2"/>
      <c r="AG1315" s="2" t="s">
        <v>18250</v>
      </c>
    </row>
    <row r="1316" spans="1:33" x14ac:dyDescent="0.45">
      <c r="A1316" s="2" t="s">
        <v>27318</v>
      </c>
      <c r="B1316" s="2" t="s">
        <v>27319</v>
      </c>
      <c r="C1316" s="2" t="s">
        <v>27320</v>
      </c>
      <c r="D1316" s="2" t="s">
        <v>27321</v>
      </c>
      <c r="E1316" s="2" t="s">
        <v>27322</v>
      </c>
      <c r="F1316" s="2" t="s">
        <v>27323</v>
      </c>
      <c r="G1316" s="2" t="s">
        <v>27323</v>
      </c>
      <c r="H1316" s="2" t="s">
        <v>72</v>
      </c>
      <c r="I1316" s="2" t="s">
        <v>73</v>
      </c>
      <c r="J1316" s="2" t="s">
        <v>187</v>
      </c>
      <c r="K1316" s="2" t="s">
        <v>27324</v>
      </c>
      <c r="L1316" s="2"/>
      <c r="M1316" s="2"/>
      <c r="N1316" s="2"/>
      <c r="O1316" s="2" t="s">
        <v>72</v>
      </c>
      <c r="P1316" s="2" t="s">
        <v>73</v>
      </c>
      <c r="Q1316" s="2" t="s">
        <v>187</v>
      </c>
      <c r="R1316" s="2" t="s">
        <v>21348</v>
      </c>
      <c r="S1316" s="2" t="s">
        <v>44</v>
      </c>
      <c r="T1316" s="2"/>
      <c r="U1316" s="2" t="s">
        <v>3527</v>
      </c>
      <c r="V1316" s="2" t="s">
        <v>46</v>
      </c>
      <c r="W1316" s="2" t="s">
        <v>3527</v>
      </c>
      <c r="X1316" s="2" t="s">
        <v>27316</v>
      </c>
      <c r="Y1316" s="2" t="s">
        <v>48</v>
      </c>
      <c r="Z1316" s="2" t="s">
        <v>49</v>
      </c>
      <c r="AA1316" s="2">
        <v>100</v>
      </c>
      <c r="AB1316" s="2">
        <v>50</v>
      </c>
      <c r="AC1316" s="2" t="s">
        <v>9685</v>
      </c>
      <c r="AD1316" s="2" t="s">
        <v>27317</v>
      </c>
      <c r="AE1316" s="2" t="s">
        <v>26534</v>
      </c>
      <c r="AF1316" s="2"/>
      <c r="AG1316" s="2" t="s">
        <v>18250</v>
      </c>
    </row>
    <row r="1317" spans="1:33" x14ac:dyDescent="0.45">
      <c r="A1317" s="2" t="s">
        <v>27325</v>
      </c>
      <c r="B1317" s="2" t="s">
        <v>27326</v>
      </c>
      <c r="C1317" s="2" t="s">
        <v>27327</v>
      </c>
      <c r="D1317" s="2" t="s">
        <v>27328</v>
      </c>
      <c r="E1317" s="2" t="s">
        <v>27329</v>
      </c>
      <c r="F1317" s="2" t="s">
        <v>27330</v>
      </c>
      <c r="G1317" s="2"/>
      <c r="H1317" s="2" t="s">
        <v>72</v>
      </c>
      <c r="I1317" s="2" t="s">
        <v>73</v>
      </c>
      <c r="J1317" s="2" t="s">
        <v>5765</v>
      </c>
      <c r="K1317" s="2" t="s">
        <v>27331</v>
      </c>
      <c r="L1317" s="2"/>
      <c r="M1317" s="2"/>
      <c r="N1317" s="2"/>
      <c r="O1317" s="2" t="s">
        <v>324</v>
      </c>
      <c r="P1317" s="2" t="s">
        <v>73</v>
      </c>
      <c r="Q1317" s="2" t="s">
        <v>13703</v>
      </c>
      <c r="R1317" s="2" t="s">
        <v>10041</v>
      </c>
      <c r="S1317" s="2" t="s">
        <v>44</v>
      </c>
      <c r="T1317" s="2"/>
      <c r="U1317" s="2" t="s">
        <v>45</v>
      </c>
      <c r="V1317" s="2" t="s">
        <v>199</v>
      </c>
      <c r="W1317" s="2" t="s">
        <v>45</v>
      </c>
      <c r="X1317" s="2" t="s">
        <v>27332</v>
      </c>
      <c r="Y1317" s="2" t="s">
        <v>48</v>
      </c>
      <c r="Z1317" s="2" t="s">
        <v>49</v>
      </c>
      <c r="AA1317" s="2">
        <v>100</v>
      </c>
      <c r="AB1317" s="2">
        <v>60</v>
      </c>
      <c r="AC1317" s="2" t="s">
        <v>9685</v>
      </c>
      <c r="AD1317" s="2" t="s">
        <v>27333</v>
      </c>
      <c r="AE1317" s="2" t="s">
        <v>26534</v>
      </c>
      <c r="AF1317" s="2"/>
      <c r="AG1317" s="2" t="s">
        <v>18250</v>
      </c>
    </row>
    <row r="1318" spans="1:33" x14ac:dyDescent="0.45">
      <c r="A1318" s="2" t="s">
        <v>27325</v>
      </c>
      <c r="B1318" s="2" t="s">
        <v>27334</v>
      </c>
      <c r="C1318" s="2" t="s">
        <v>27327</v>
      </c>
      <c r="D1318" s="2" t="s">
        <v>27335</v>
      </c>
      <c r="E1318" s="2" t="s">
        <v>27329</v>
      </c>
      <c r="F1318" s="2" t="s">
        <v>27336</v>
      </c>
      <c r="G1318" s="2" t="s">
        <v>27336</v>
      </c>
      <c r="H1318" s="2" t="s">
        <v>72</v>
      </c>
      <c r="I1318" s="2" t="s">
        <v>73</v>
      </c>
      <c r="J1318" s="2" t="s">
        <v>119</v>
      </c>
      <c r="K1318" s="2"/>
      <c r="L1318" s="2"/>
      <c r="M1318" s="2"/>
      <c r="N1318" s="2"/>
      <c r="O1318" s="2"/>
      <c r="P1318" s="2"/>
      <c r="Q1318" s="2"/>
      <c r="R1318" s="2" t="s">
        <v>11088</v>
      </c>
      <c r="S1318" s="2" t="s">
        <v>44</v>
      </c>
      <c r="T1318" s="2"/>
      <c r="U1318" s="2" t="s">
        <v>3527</v>
      </c>
      <c r="V1318" s="2" t="s">
        <v>199</v>
      </c>
      <c r="W1318" s="2" t="s">
        <v>3527</v>
      </c>
      <c r="X1318" s="2" t="s">
        <v>27332</v>
      </c>
      <c r="Y1318" s="2" t="s">
        <v>48</v>
      </c>
      <c r="Z1318" s="2" t="s">
        <v>49</v>
      </c>
      <c r="AA1318" s="2">
        <v>100</v>
      </c>
      <c r="AB1318" s="2">
        <v>50</v>
      </c>
      <c r="AC1318" s="2" t="s">
        <v>9685</v>
      </c>
      <c r="AD1318" s="2" t="s">
        <v>27333</v>
      </c>
      <c r="AE1318" s="2" t="s">
        <v>26534</v>
      </c>
      <c r="AF1318" s="2"/>
      <c r="AG1318" s="2" t="s">
        <v>18250</v>
      </c>
    </row>
    <row r="1319" spans="1:33" x14ac:dyDescent="0.45">
      <c r="A1319" s="2" t="s">
        <v>27337</v>
      </c>
      <c r="B1319" s="2" t="s">
        <v>27338</v>
      </c>
      <c r="C1319" s="2" t="s">
        <v>27339</v>
      </c>
      <c r="D1319" s="2" t="s">
        <v>27340</v>
      </c>
      <c r="E1319" s="2" t="s">
        <v>27341</v>
      </c>
      <c r="F1319" s="2"/>
      <c r="G1319" s="2"/>
      <c r="H1319" s="2" t="s">
        <v>72</v>
      </c>
      <c r="I1319" s="2" t="s">
        <v>73</v>
      </c>
      <c r="J1319" s="2" t="s">
        <v>187</v>
      </c>
      <c r="K1319" s="2" t="s">
        <v>27340</v>
      </c>
      <c r="L1319" s="2"/>
      <c r="M1319" s="2"/>
      <c r="N1319" s="2"/>
      <c r="O1319" s="2" t="s">
        <v>72</v>
      </c>
      <c r="P1319" s="2" t="s">
        <v>73</v>
      </c>
      <c r="Q1319" s="2" t="s">
        <v>187</v>
      </c>
      <c r="R1319" s="2" t="s">
        <v>27342</v>
      </c>
      <c r="S1319" s="2" t="s">
        <v>44</v>
      </c>
      <c r="T1319" s="2"/>
      <c r="U1319" s="2" t="s">
        <v>821</v>
      </c>
      <c r="V1319" s="2" t="s">
        <v>46</v>
      </c>
      <c r="W1319" s="2" t="s">
        <v>821</v>
      </c>
      <c r="X1319" s="2" t="s">
        <v>27316</v>
      </c>
      <c r="Y1319" s="2" t="s">
        <v>48</v>
      </c>
      <c r="Z1319" s="2" t="s">
        <v>49</v>
      </c>
      <c r="AA1319" s="2">
        <v>90</v>
      </c>
      <c r="AB1319" s="2">
        <v>47</v>
      </c>
      <c r="AC1319" s="2" t="s">
        <v>9685</v>
      </c>
      <c r="AD1319" s="2" t="s">
        <v>27317</v>
      </c>
      <c r="AE1319" s="2" t="s">
        <v>26534</v>
      </c>
      <c r="AF1319" s="2"/>
      <c r="AG1319" s="2" t="s">
        <v>18250</v>
      </c>
    </row>
    <row r="1320" spans="1:33" x14ac:dyDescent="0.45">
      <c r="A1320" s="2" t="s">
        <v>27343</v>
      </c>
      <c r="B1320" s="2" t="s">
        <v>27344</v>
      </c>
      <c r="C1320" s="2" t="s">
        <v>27345</v>
      </c>
      <c r="D1320" s="2" t="s">
        <v>27346</v>
      </c>
      <c r="E1320" s="2" t="s">
        <v>27347</v>
      </c>
      <c r="F1320" s="2" t="s">
        <v>27348</v>
      </c>
      <c r="G1320" s="2" t="s">
        <v>27348</v>
      </c>
      <c r="H1320" s="2" t="s">
        <v>72</v>
      </c>
      <c r="I1320" s="2" t="s">
        <v>73</v>
      </c>
      <c r="J1320" s="2" t="s">
        <v>98</v>
      </c>
      <c r="K1320" s="2" t="s">
        <v>27349</v>
      </c>
      <c r="L1320" s="2"/>
      <c r="M1320" s="2"/>
      <c r="N1320" s="2"/>
      <c r="O1320" s="2" t="s">
        <v>72</v>
      </c>
      <c r="P1320" s="2" t="s">
        <v>73</v>
      </c>
      <c r="Q1320" s="2" t="s">
        <v>98</v>
      </c>
      <c r="R1320" s="2" t="s">
        <v>19788</v>
      </c>
      <c r="S1320" s="2" t="s">
        <v>44</v>
      </c>
      <c r="T1320" s="2"/>
      <c r="U1320" s="2" t="s">
        <v>3527</v>
      </c>
      <c r="V1320" s="2" t="s">
        <v>46</v>
      </c>
      <c r="W1320" s="2" t="s">
        <v>3527</v>
      </c>
      <c r="X1320" s="2" t="s">
        <v>27350</v>
      </c>
      <c r="Y1320" s="2" t="s">
        <v>48</v>
      </c>
      <c r="Z1320" s="2" t="s">
        <v>49</v>
      </c>
      <c r="AA1320" s="2">
        <v>100</v>
      </c>
      <c r="AB1320" s="2">
        <v>40</v>
      </c>
      <c r="AC1320" s="2" t="s">
        <v>10789</v>
      </c>
      <c r="AD1320" s="2" t="s">
        <v>27351</v>
      </c>
      <c r="AE1320" s="2" t="s">
        <v>26534</v>
      </c>
      <c r="AF1320" s="2"/>
      <c r="AG1320" s="2" t="s">
        <v>18250</v>
      </c>
    </row>
    <row r="1321" spans="1:33" x14ac:dyDescent="0.45">
      <c r="A1321" s="2" t="s">
        <v>27352</v>
      </c>
      <c r="B1321" s="2" t="s">
        <v>27353</v>
      </c>
      <c r="C1321" s="2" t="s">
        <v>27354</v>
      </c>
      <c r="D1321" s="2" t="s">
        <v>27355</v>
      </c>
      <c r="E1321" s="2"/>
      <c r="F1321" s="2" t="s">
        <v>27356</v>
      </c>
      <c r="G1321" s="2" t="s">
        <v>27356</v>
      </c>
      <c r="H1321" s="2" t="s">
        <v>72</v>
      </c>
      <c r="I1321" s="2" t="s">
        <v>73</v>
      </c>
      <c r="J1321" s="2" t="s">
        <v>187</v>
      </c>
      <c r="K1321" s="2" t="s">
        <v>27357</v>
      </c>
      <c r="L1321" s="2"/>
      <c r="M1321" s="2"/>
      <c r="N1321" s="2"/>
      <c r="O1321" s="2" t="s">
        <v>72</v>
      </c>
      <c r="P1321" s="2" t="s">
        <v>73</v>
      </c>
      <c r="Q1321" s="2" t="s">
        <v>187</v>
      </c>
      <c r="R1321" s="2" t="s">
        <v>27358</v>
      </c>
      <c r="S1321" s="2" t="s">
        <v>44</v>
      </c>
      <c r="T1321" s="2"/>
      <c r="U1321" s="2" t="s">
        <v>45</v>
      </c>
      <c r="V1321" s="2" t="s">
        <v>46</v>
      </c>
      <c r="W1321" s="2" t="s">
        <v>45</v>
      </c>
      <c r="X1321" s="2"/>
      <c r="Y1321" s="2" t="s">
        <v>17795</v>
      </c>
      <c r="Z1321" s="2" t="s">
        <v>15016</v>
      </c>
      <c r="AA1321" s="2">
        <v>80</v>
      </c>
      <c r="AB1321" s="2">
        <v>0</v>
      </c>
      <c r="AC1321" s="2" t="s">
        <v>10789</v>
      </c>
      <c r="AD1321" s="2" t="s">
        <v>27359</v>
      </c>
      <c r="AE1321" s="2" t="s">
        <v>26534</v>
      </c>
      <c r="AF1321" s="2"/>
      <c r="AG1321" s="2" t="s">
        <v>18250</v>
      </c>
    </row>
    <row r="1322" spans="1:33" x14ac:dyDescent="0.45">
      <c r="A1322" s="2" t="s">
        <v>27360</v>
      </c>
      <c r="B1322" s="2" t="s">
        <v>27361</v>
      </c>
      <c r="C1322" s="2" t="s">
        <v>3337</v>
      </c>
      <c r="D1322" s="2" t="s">
        <v>27362</v>
      </c>
      <c r="E1322" s="2"/>
      <c r="F1322" s="2" t="s">
        <v>27363</v>
      </c>
      <c r="G1322" s="2" t="s">
        <v>27363</v>
      </c>
      <c r="H1322" s="2" t="s">
        <v>72</v>
      </c>
      <c r="I1322" s="2" t="s">
        <v>73</v>
      </c>
      <c r="J1322" s="2" t="s">
        <v>74</v>
      </c>
      <c r="K1322" s="2" t="s">
        <v>27364</v>
      </c>
      <c r="L1322" s="2"/>
      <c r="M1322" s="2"/>
      <c r="N1322" s="2"/>
      <c r="O1322" s="2" t="s">
        <v>72</v>
      </c>
      <c r="P1322" s="2" t="s">
        <v>73</v>
      </c>
      <c r="Q1322" s="2" t="s">
        <v>464</v>
      </c>
      <c r="R1322" s="2" t="s">
        <v>18181</v>
      </c>
      <c r="S1322" s="2" t="s">
        <v>44</v>
      </c>
      <c r="T1322" s="2"/>
      <c r="U1322" s="2" t="s">
        <v>45</v>
      </c>
      <c r="V1322" s="2" t="s">
        <v>46</v>
      </c>
      <c r="W1322" s="2" t="s">
        <v>45</v>
      </c>
      <c r="X1322" s="2"/>
      <c r="Y1322" s="2" t="s">
        <v>17795</v>
      </c>
      <c r="Z1322" s="2" t="s">
        <v>49</v>
      </c>
      <c r="AA1322" s="2">
        <v>80</v>
      </c>
      <c r="AB1322" s="2">
        <v>5</v>
      </c>
      <c r="AC1322" s="2" t="s">
        <v>10789</v>
      </c>
      <c r="AD1322" s="2" t="s">
        <v>27365</v>
      </c>
      <c r="AE1322" s="2" t="s">
        <v>26534</v>
      </c>
      <c r="AF1322" s="2"/>
      <c r="AG1322" s="2" t="s">
        <v>18250</v>
      </c>
    </row>
    <row r="1323" spans="1:33" x14ac:dyDescent="0.45">
      <c r="A1323" s="2" t="s">
        <v>27366</v>
      </c>
      <c r="B1323" s="2" t="s">
        <v>27367</v>
      </c>
      <c r="C1323" s="2" t="s">
        <v>27368</v>
      </c>
      <c r="D1323" s="2" t="s">
        <v>27369</v>
      </c>
      <c r="E1323" s="2" t="s">
        <v>27370</v>
      </c>
      <c r="F1323" s="2" t="s">
        <v>27371</v>
      </c>
      <c r="G1323" s="2" t="s">
        <v>27371</v>
      </c>
      <c r="H1323" s="2" t="s">
        <v>72</v>
      </c>
      <c r="I1323" s="2" t="s">
        <v>73</v>
      </c>
      <c r="J1323" s="2" t="s">
        <v>74</v>
      </c>
      <c r="K1323" s="2" t="s">
        <v>27369</v>
      </c>
      <c r="L1323" s="2"/>
      <c r="M1323" s="2"/>
      <c r="N1323" s="2"/>
      <c r="O1323" s="2" t="s">
        <v>72</v>
      </c>
      <c r="P1323" s="2" t="s">
        <v>73</v>
      </c>
      <c r="Q1323" s="2" t="s">
        <v>74</v>
      </c>
      <c r="R1323" s="2" t="s">
        <v>12539</v>
      </c>
      <c r="S1323" s="2" t="s">
        <v>44</v>
      </c>
      <c r="T1323" s="2"/>
      <c r="U1323" s="2" t="s">
        <v>3527</v>
      </c>
      <c r="V1323" s="2" t="s">
        <v>46</v>
      </c>
      <c r="W1323" s="2" t="s">
        <v>3527</v>
      </c>
      <c r="X1323" s="2" t="s">
        <v>27372</v>
      </c>
      <c r="Y1323" s="2" t="s">
        <v>48</v>
      </c>
      <c r="Z1323" s="2" t="s">
        <v>49</v>
      </c>
      <c r="AA1323" s="2">
        <v>100</v>
      </c>
      <c r="AB1323" s="2">
        <v>40</v>
      </c>
      <c r="AC1323" s="2" t="s">
        <v>10789</v>
      </c>
      <c r="AD1323" s="2" t="s">
        <v>27373</v>
      </c>
      <c r="AE1323" s="2" t="s">
        <v>26534</v>
      </c>
      <c r="AF1323" s="2"/>
      <c r="AG1323" s="2" t="s">
        <v>18250</v>
      </c>
    </row>
    <row r="1324" spans="1:33" x14ac:dyDescent="0.45">
      <c r="A1324" s="2" t="s">
        <v>27374</v>
      </c>
      <c r="B1324" s="2" t="s">
        <v>27375</v>
      </c>
      <c r="C1324" s="2" t="s">
        <v>27376</v>
      </c>
      <c r="D1324" s="2" t="s">
        <v>27377</v>
      </c>
      <c r="E1324" s="2" t="s">
        <v>27378</v>
      </c>
      <c r="F1324" s="2" t="s">
        <v>27379</v>
      </c>
      <c r="G1324" s="2" t="s">
        <v>27379</v>
      </c>
      <c r="H1324" s="2" t="s">
        <v>651</v>
      </c>
      <c r="I1324" s="2" t="s">
        <v>86</v>
      </c>
      <c r="J1324" s="2" t="s">
        <v>87</v>
      </c>
      <c r="K1324" s="2" t="s">
        <v>27380</v>
      </c>
      <c r="L1324" s="2"/>
      <c r="M1324" s="2"/>
      <c r="N1324" s="2"/>
      <c r="O1324" s="2" t="s">
        <v>72</v>
      </c>
      <c r="P1324" s="2" t="s">
        <v>73</v>
      </c>
      <c r="Q1324" s="2" t="s">
        <v>98</v>
      </c>
      <c r="R1324" s="2" t="s">
        <v>5261</v>
      </c>
      <c r="S1324" s="2" t="s">
        <v>44</v>
      </c>
      <c r="T1324" s="2"/>
      <c r="U1324" s="2" t="s">
        <v>821</v>
      </c>
      <c r="V1324" s="2" t="s">
        <v>46</v>
      </c>
      <c r="W1324" s="2" t="s">
        <v>821</v>
      </c>
      <c r="X1324" s="2" t="s">
        <v>27381</v>
      </c>
      <c r="Y1324" s="2" t="s">
        <v>48</v>
      </c>
      <c r="Z1324" s="2" t="s">
        <v>49</v>
      </c>
      <c r="AA1324" s="2">
        <v>100</v>
      </c>
      <c r="AB1324" s="2">
        <v>57</v>
      </c>
      <c r="AC1324" s="2" t="s">
        <v>9685</v>
      </c>
      <c r="AD1324" s="2" t="s">
        <v>27382</v>
      </c>
      <c r="AE1324" s="2" t="s">
        <v>26534</v>
      </c>
      <c r="AF1324" s="2"/>
      <c r="AG1324" s="2" t="s">
        <v>18250</v>
      </c>
    </row>
    <row r="1325" spans="1:33" x14ac:dyDescent="0.45">
      <c r="A1325" s="2" t="s">
        <v>27383</v>
      </c>
      <c r="B1325" s="2" t="s">
        <v>27384</v>
      </c>
      <c r="C1325" s="2" t="s">
        <v>27385</v>
      </c>
      <c r="D1325" s="2" t="s">
        <v>27386</v>
      </c>
      <c r="E1325" s="2" t="s">
        <v>27387</v>
      </c>
      <c r="F1325" s="2" t="s">
        <v>27388</v>
      </c>
      <c r="G1325" s="2"/>
      <c r="H1325" s="2" t="s">
        <v>72</v>
      </c>
      <c r="I1325" s="2" t="s">
        <v>73</v>
      </c>
      <c r="J1325" s="2" t="s">
        <v>74</v>
      </c>
      <c r="K1325" s="2" t="s">
        <v>27389</v>
      </c>
      <c r="L1325" s="2"/>
      <c r="M1325" s="2"/>
      <c r="N1325" s="2"/>
      <c r="O1325" s="2" t="s">
        <v>424</v>
      </c>
      <c r="P1325" s="2" t="s">
        <v>217</v>
      </c>
      <c r="Q1325" s="2" t="s">
        <v>218</v>
      </c>
      <c r="R1325" s="2" t="s">
        <v>2223</v>
      </c>
      <c r="S1325" s="2" t="s">
        <v>44</v>
      </c>
      <c r="T1325" s="2"/>
      <c r="U1325" s="2" t="s">
        <v>45</v>
      </c>
      <c r="V1325" s="2" t="s">
        <v>46</v>
      </c>
      <c r="W1325" s="2" t="s">
        <v>45</v>
      </c>
      <c r="X1325" s="2" t="s">
        <v>27390</v>
      </c>
      <c r="Y1325" s="2" t="s">
        <v>48</v>
      </c>
      <c r="Z1325" s="2" t="s">
        <v>49</v>
      </c>
      <c r="AA1325" s="2">
        <v>100</v>
      </c>
      <c r="AB1325" s="2">
        <v>50</v>
      </c>
      <c r="AC1325" s="2" t="s">
        <v>9685</v>
      </c>
      <c r="AD1325" s="2" t="s">
        <v>27391</v>
      </c>
      <c r="AE1325" s="2" t="s">
        <v>26534</v>
      </c>
      <c r="AF1325" s="2"/>
      <c r="AG1325" s="2" t="s">
        <v>18250</v>
      </c>
    </row>
    <row r="1326" spans="1:33" x14ac:dyDescent="0.45">
      <c r="A1326" s="2" t="s">
        <v>27392</v>
      </c>
      <c r="B1326" s="2" t="s">
        <v>27393</v>
      </c>
      <c r="C1326" s="2" t="s">
        <v>27394</v>
      </c>
      <c r="D1326" s="2" t="s">
        <v>27395</v>
      </c>
      <c r="E1326" s="2" t="s">
        <v>27396</v>
      </c>
      <c r="F1326" s="2" t="s">
        <v>27397</v>
      </c>
      <c r="G1326" s="2" t="s">
        <v>27397</v>
      </c>
      <c r="H1326" s="2" t="s">
        <v>651</v>
      </c>
      <c r="I1326" s="2" t="s">
        <v>86</v>
      </c>
      <c r="J1326" s="2" t="s">
        <v>87</v>
      </c>
      <c r="K1326" s="2" t="s">
        <v>27398</v>
      </c>
      <c r="L1326" s="2"/>
      <c r="M1326" s="2"/>
      <c r="N1326" s="2"/>
      <c r="O1326" s="2" t="s">
        <v>72</v>
      </c>
      <c r="P1326" s="2" t="s">
        <v>73</v>
      </c>
      <c r="Q1326" s="2" t="s">
        <v>98</v>
      </c>
      <c r="R1326" s="2" t="s">
        <v>672</v>
      </c>
      <c r="S1326" s="2" t="s">
        <v>44</v>
      </c>
      <c r="T1326" s="2"/>
      <c r="U1326" s="2" t="s">
        <v>3527</v>
      </c>
      <c r="V1326" s="2" t="s">
        <v>46</v>
      </c>
      <c r="W1326" s="2" t="s">
        <v>3527</v>
      </c>
      <c r="X1326" s="2" t="s">
        <v>27381</v>
      </c>
      <c r="Y1326" s="2" t="s">
        <v>48</v>
      </c>
      <c r="Z1326" s="2" t="s">
        <v>49</v>
      </c>
      <c r="AA1326" s="2">
        <v>100</v>
      </c>
      <c r="AB1326" s="2">
        <v>50</v>
      </c>
      <c r="AC1326" s="2" t="s">
        <v>9685</v>
      </c>
      <c r="AD1326" s="2" t="s">
        <v>27382</v>
      </c>
      <c r="AE1326" s="2" t="s">
        <v>26534</v>
      </c>
      <c r="AF1326" s="2"/>
      <c r="AG1326" s="2" t="s">
        <v>18250</v>
      </c>
    </row>
    <row r="1327" spans="1:33" x14ac:dyDescent="0.45">
      <c r="A1327" s="2" t="s">
        <v>27399</v>
      </c>
      <c r="B1327" s="2" t="s">
        <v>27400</v>
      </c>
      <c r="C1327" s="2" t="s">
        <v>27401</v>
      </c>
      <c r="D1327" s="2" t="s">
        <v>27402</v>
      </c>
      <c r="E1327" s="2" t="s">
        <v>27403</v>
      </c>
      <c r="F1327" s="2" t="s">
        <v>27404</v>
      </c>
      <c r="G1327" s="2" t="s">
        <v>27404</v>
      </c>
      <c r="H1327" s="2" t="s">
        <v>72</v>
      </c>
      <c r="I1327" s="2" t="s">
        <v>73</v>
      </c>
      <c r="J1327" s="2" t="s">
        <v>98</v>
      </c>
      <c r="K1327" s="2" t="s">
        <v>27405</v>
      </c>
      <c r="L1327" s="2"/>
      <c r="M1327" s="2"/>
      <c r="N1327" s="2"/>
      <c r="O1327" s="2" t="s">
        <v>72</v>
      </c>
      <c r="P1327" s="2" t="s">
        <v>73</v>
      </c>
      <c r="Q1327" s="2" t="s">
        <v>98</v>
      </c>
      <c r="R1327" s="2" t="s">
        <v>3687</v>
      </c>
      <c r="S1327" s="2" t="s">
        <v>44</v>
      </c>
      <c r="T1327" s="2"/>
      <c r="U1327" s="2" t="s">
        <v>3527</v>
      </c>
      <c r="V1327" s="2" t="s">
        <v>46</v>
      </c>
      <c r="W1327" s="2" t="s">
        <v>3527</v>
      </c>
      <c r="X1327" s="2" t="s">
        <v>27406</v>
      </c>
      <c r="Y1327" s="2" t="s">
        <v>48</v>
      </c>
      <c r="Z1327" s="2" t="s">
        <v>49</v>
      </c>
      <c r="AA1327" s="2">
        <v>100</v>
      </c>
      <c r="AB1327" s="2">
        <v>50</v>
      </c>
      <c r="AC1327" s="2" t="s">
        <v>9685</v>
      </c>
      <c r="AD1327" s="2" t="s">
        <v>27407</v>
      </c>
      <c r="AE1327" s="2" t="s">
        <v>26534</v>
      </c>
      <c r="AF1327" s="2"/>
      <c r="AG1327" s="2" t="s">
        <v>18250</v>
      </c>
    </row>
    <row r="1328" spans="1:33" x14ac:dyDescent="0.45">
      <c r="A1328" s="2" t="s">
        <v>27408</v>
      </c>
      <c r="B1328" s="2" t="s">
        <v>27409</v>
      </c>
      <c r="C1328" s="2" t="s">
        <v>27410</v>
      </c>
      <c r="D1328" s="2" t="s">
        <v>27411</v>
      </c>
      <c r="E1328" s="2" t="s">
        <v>27412</v>
      </c>
      <c r="F1328" s="2"/>
      <c r="G1328" s="2"/>
      <c r="H1328" s="2" t="s">
        <v>72</v>
      </c>
      <c r="I1328" s="2" t="s">
        <v>73</v>
      </c>
      <c r="J1328" s="2" t="s">
        <v>98</v>
      </c>
      <c r="K1328" s="2" t="s">
        <v>27413</v>
      </c>
      <c r="L1328" s="2"/>
      <c r="M1328" s="2"/>
      <c r="N1328" s="2"/>
      <c r="O1328" s="2" t="s">
        <v>72</v>
      </c>
      <c r="P1328" s="2" t="s">
        <v>73</v>
      </c>
      <c r="Q1328" s="2" t="s">
        <v>98</v>
      </c>
      <c r="R1328" s="2" t="s">
        <v>25182</v>
      </c>
      <c r="S1328" s="2" t="s">
        <v>44</v>
      </c>
      <c r="T1328" s="2"/>
      <c r="U1328" s="2" t="s">
        <v>821</v>
      </c>
      <c r="V1328" s="2" t="s">
        <v>46</v>
      </c>
      <c r="W1328" s="2" t="s">
        <v>821</v>
      </c>
      <c r="X1328" s="2" t="s">
        <v>27406</v>
      </c>
      <c r="Y1328" s="2" t="s">
        <v>48</v>
      </c>
      <c r="Z1328" s="2" t="s">
        <v>49</v>
      </c>
      <c r="AA1328" s="2">
        <v>90</v>
      </c>
      <c r="AB1328" s="2">
        <v>47</v>
      </c>
      <c r="AC1328" s="2" t="s">
        <v>9685</v>
      </c>
      <c r="AD1328" s="2" t="s">
        <v>27407</v>
      </c>
      <c r="AE1328" s="2" t="s">
        <v>26534</v>
      </c>
      <c r="AF1328" s="2"/>
      <c r="AG1328" s="2" t="s">
        <v>18250</v>
      </c>
    </row>
    <row r="1329" spans="1:33" x14ac:dyDescent="0.45">
      <c r="A1329" s="2" t="s">
        <v>879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 t="s">
        <v>9551</v>
      </c>
      <c r="S1329" s="2" t="s">
        <v>44</v>
      </c>
      <c r="T1329" s="2"/>
      <c r="U1329" s="2" t="s">
        <v>45</v>
      </c>
      <c r="V1329" s="2" t="s">
        <v>199</v>
      </c>
      <c r="W1329" s="2" t="s">
        <v>45</v>
      </c>
      <c r="X1329" s="2"/>
      <c r="Y1329" s="2" t="s">
        <v>17795</v>
      </c>
      <c r="Z1329" s="2" t="s">
        <v>49</v>
      </c>
      <c r="AA1329" s="2">
        <v>0</v>
      </c>
      <c r="AB1329" s="2">
        <v>5</v>
      </c>
      <c r="AC1329" s="2" t="s">
        <v>10789</v>
      </c>
      <c r="AD1329" s="2" t="s">
        <v>27414</v>
      </c>
      <c r="AE1329" s="2" t="s">
        <v>27415</v>
      </c>
      <c r="AF1329" s="2"/>
      <c r="AG1329" s="2" t="s">
        <v>18250</v>
      </c>
    </row>
    <row r="1330" spans="1:33" x14ac:dyDescent="0.45">
      <c r="A1330" s="2" t="s">
        <v>27416</v>
      </c>
      <c r="B1330" s="2" t="s">
        <v>27417</v>
      </c>
      <c r="C1330" s="2"/>
      <c r="D1330" s="2" t="s">
        <v>27418</v>
      </c>
      <c r="E1330" s="2"/>
      <c r="F1330" s="2"/>
      <c r="G1330" s="2"/>
      <c r="H1330" s="2" t="s">
        <v>174</v>
      </c>
      <c r="I1330" s="2" t="s">
        <v>175</v>
      </c>
      <c r="J1330" s="2" t="s">
        <v>1316</v>
      </c>
      <c r="K1330" s="2"/>
      <c r="L1330" s="2"/>
      <c r="M1330" s="2"/>
      <c r="N1330" s="2"/>
      <c r="O1330" s="2"/>
      <c r="P1330" s="2"/>
      <c r="Q1330" s="2"/>
      <c r="R1330" s="2" t="s">
        <v>7730</v>
      </c>
      <c r="S1330" s="2" t="s">
        <v>44</v>
      </c>
      <c r="T1330" s="2"/>
      <c r="U1330" s="2" t="s">
        <v>3527</v>
      </c>
      <c r="V1330" s="2" t="s">
        <v>46</v>
      </c>
      <c r="W1330" s="2" t="s">
        <v>3527</v>
      </c>
      <c r="X1330" s="2"/>
      <c r="Y1330" s="2" t="s">
        <v>17795</v>
      </c>
      <c r="Z1330" s="2" t="s">
        <v>49</v>
      </c>
      <c r="AA1330" s="2">
        <v>55</v>
      </c>
      <c r="AB1330" s="2">
        <v>20</v>
      </c>
      <c r="AC1330" s="2" t="s">
        <v>10789</v>
      </c>
      <c r="AD1330" s="2" t="s">
        <v>27419</v>
      </c>
      <c r="AE1330" s="2" t="s">
        <v>27420</v>
      </c>
      <c r="AF1330" s="2"/>
      <c r="AG1330" s="2" t="s">
        <v>18250</v>
      </c>
    </row>
    <row r="1331" spans="1:33" x14ac:dyDescent="0.45">
      <c r="A1331" s="2" t="s">
        <v>27421</v>
      </c>
      <c r="B1331" s="2" t="s">
        <v>27422</v>
      </c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 t="s">
        <v>1799</v>
      </c>
      <c r="S1331" s="2" t="s">
        <v>44</v>
      </c>
      <c r="T1331" s="2"/>
      <c r="U1331" s="2" t="s">
        <v>45</v>
      </c>
      <c r="V1331" s="2" t="s">
        <v>199</v>
      </c>
      <c r="W1331" s="2" t="s">
        <v>45</v>
      </c>
      <c r="X1331" s="2"/>
      <c r="Y1331" s="2" t="s">
        <v>17795</v>
      </c>
      <c r="Z1331" s="2" t="s">
        <v>49</v>
      </c>
      <c r="AA1331" s="2">
        <v>25</v>
      </c>
      <c r="AB1331" s="2">
        <v>15</v>
      </c>
      <c r="AC1331" s="2" t="s">
        <v>10789</v>
      </c>
      <c r="AD1331" s="2" t="s">
        <v>27423</v>
      </c>
      <c r="AE1331" s="2" t="s">
        <v>27420</v>
      </c>
      <c r="AF1331" s="2"/>
      <c r="AG1331" s="2" t="s">
        <v>18250</v>
      </c>
    </row>
    <row r="1332" spans="1:33" x14ac:dyDescent="0.45">
      <c r="A1332" s="2" t="s">
        <v>27421</v>
      </c>
      <c r="B1332" s="2" t="s">
        <v>27424</v>
      </c>
      <c r="C1332" s="2"/>
      <c r="D1332" s="2" t="s">
        <v>27425</v>
      </c>
      <c r="E1332" s="2"/>
      <c r="F1332" s="2"/>
      <c r="G1332" s="2"/>
      <c r="H1332" s="2" t="s">
        <v>72</v>
      </c>
      <c r="I1332" s="2" t="s">
        <v>73</v>
      </c>
      <c r="J1332" s="2" t="s">
        <v>464</v>
      </c>
      <c r="K1332" s="2" t="s">
        <v>27425</v>
      </c>
      <c r="L1332" s="2"/>
      <c r="M1332" s="2"/>
      <c r="N1332" s="2"/>
      <c r="O1332" s="2" t="s">
        <v>72</v>
      </c>
      <c r="P1332" s="2" t="s">
        <v>73</v>
      </c>
      <c r="Q1332" s="2" t="s">
        <v>464</v>
      </c>
      <c r="R1332" s="2" t="s">
        <v>27426</v>
      </c>
      <c r="S1332" s="2" t="s">
        <v>44</v>
      </c>
      <c r="T1332" s="2"/>
      <c r="U1332" s="2" t="s">
        <v>3527</v>
      </c>
      <c r="V1332" s="2" t="s">
        <v>199</v>
      </c>
      <c r="W1332" s="2" t="s">
        <v>3527</v>
      </c>
      <c r="X1332" s="2"/>
      <c r="Y1332" s="2" t="s">
        <v>17795</v>
      </c>
      <c r="Z1332" s="2" t="s">
        <v>49</v>
      </c>
      <c r="AA1332" s="2">
        <v>55</v>
      </c>
      <c r="AB1332" s="2">
        <v>30</v>
      </c>
      <c r="AC1332" s="2" t="s">
        <v>10789</v>
      </c>
      <c r="AD1332" s="2" t="s">
        <v>27423</v>
      </c>
      <c r="AE1332" s="2" t="s">
        <v>27420</v>
      </c>
      <c r="AF1332" s="2"/>
      <c r="AG1332" s="2" t="s">
        <v>18250</v>
      </c>
    </row>
    <row r="1333" spans="1:33" x14ac:dyDescent="0.45">
      <c r="A1333" s="2" t="s">
        <v>27427</v>
      </c>
      <c r="B1333" s="2" t="s">
        <v>27428</v>
      </c>
      <c r="C1333" s="2"/>
      <c r="D1333" s="2" t="s">
        <v>27429</v>
      </c>
      <c r="E1333" s="2"/>
      <c r="F1333" s="2"/>
      <c r="G1333" s="2"/>
      <c r="H1333" s="2" t="s">
        <v>651</v>
      </c>
      <c r="I1333" s="2" t="s">
        <v>86</v>
      </c>
      <c r="J1333" s="2" t="s">
        <v>14044</v>
      </c>
      <c r="K1333" s="2" t="s">
        <v>27430</v>
      </c>
      <c r="L1333" s="2"/>
      <c r="M1333" s="2"/>
      <c r="N1333" s="2"/>
      <c r="O1333" s="2" t="s">
        <v>1188</v>
      </c>
      <c r="P1333" s="2" t="s">
        <v>221</v>
      </c>
      <c r="Q1333" s="2" t="s">
        <v>1189</v>
      </c>
      <c r="R1333" s="2" t="s">
        <v>14970</v>
      </c>
      <c r="S1333" s="2" t="s">
        <v>44</v>
      </c>
      <c r="T1333" s="2"/>
      <c r="U1333" s="2" t="s">
        <v>821</v>
      </c>
      <c r="V1333" s="2" t="s">
        <v>46</v>
      </c>
      <c r="W1333" s="2" t="s">
        <v>821</v>
      </c>
      <c r="X1333" s="2"/>
      <c r="Y1333" s="2" t="s">
        <v>17795</v>
      </c>
      <c r="Z1333" s="2" t="s">
        <v>49</v>
      </c>
      <c r="AA1333" s="2">
        <v>55</v>
      </c>
      <c r="AB1333" s="2">
        <v>27</v>
      </c>
      <c r="AC1333" s="2" t="s">
        <v>10789</v>
      </c>
      <c r="AD1333" s="2" t="s">
        <v>27431</v>
      </c>
      <c r="AE1333" s="2" t="s">
        <v>27420</v>
      </c>
      <c r="AF1333" s="2"/>
      <c r="AG1333" s="2" t="s">
        <v>18250</v>
      </c>
    </row>
    <row r="1334" spans="1:33" x14ac:dyDescent="0.45">
      <c r="A1334" s="2" t="s">
        <v>27432</v>
      </c>
      <c r="B1334" s="2" t="s">
        <v>27433</v>
      </c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 t="s">
        <v>2432</v>
      </c>
      <c r="S1334" s="2" t="s">
        <v>44</v>
      </c>
      <c r="T1334" s="2"/>
      <c r="U1334" s="2" t="s">
        <v>3527</v>
      </c>
      <c r="V1334" s="2" t="s">
        <v>46</v>
      </c>
      <c r="W1334" s="2" t="s">
        <v>3527</v>
      </c>
      <c r="X1334" s="2"/>
      <c r="Y1334" s="2" t="s">
        <v>17795</v>
      </c>
      <c r="Z1334" s="2" t="s">
        <v>49</v>
      </c>
      <c r="AA1334" s="2">
        <v>25</v>
      </c>
      <c r="AB1334" s="2">
        <v>0</v>
      </c>
      <c r="AC1334" s="2" t="s">
        <v>10789</v>
      </c>
      <c r="AD1334" s="2" t="s">
        <v>27434</v>
      </c>
      <c r="AE1334" s="2" t="s">
        <v>27420</v>
      </c>
      <c r="AF1334" s="2"/>
      <c r="AG1334" s="2" t="s">
        <v>18250</v>
      </c>
    </row>
    <row r="1335" spans="1:33" x14ac:dyDescent="0.45">
      <c r="A1335" s="2" t="s">
        <v>27435</v>
      </c>
      <c r="B1335" s="2" t="s">
        <v>27436</v>
      </c>
      <c r="C1335" s="2"/>
      <c r="D1335" s="2" t="s">
        <v>27437</v>
      </c>
      <c r="E1335" s="2"/>
      <c r="F1335" s="2"/>
      <c r="G1335" s="2"/>
      <c r="H1335" s="2" t="s">
        <v>220</v>
      </c>
      <c r="I1335" s="2" t="s">
        <v>221</v>
      </c>
      <c r="J1335" s="2" t="s">
        <v>10250</v>
      </c>
      <c r="K1335" s="2" t="s">
        <v>27438</v>
      </c>
      <c r="L1335" s="2"/>
      <c r="M1335" s="2"/>
      <c r="N1335" s="2"/>
      <c r="O1335" s="2" t="s">
        <v>220</v>
      </c>
      <c r="P1335" s="2" t="s">
        <v>221</v>
      </c>
      <c r="Q1335" s="2" t="s">
        <v>10250</v>
      </c>
      <c r="R1335" s="2" t="s">
        <v>16693</v>
      </c>
      <c r="S1335" s="2" t="s">
        <v>44</v>
      </c>
      <c r="T1335" s="2"/>
      <c r="U1335" s="2" t="s">
        <v>45</v>
      </c>
      <c r="V1335" s="2" t="s">
        <v>46</v>
      </c>
      <c r="W1335" s="2" t="s">
        <v>45</v>
      </c>
      <c r="X1335" s="2"/>
      <c r="Y1335" s="2" t="s">
        <v>17795</v>
      </c>
      <c r="Z1335" s="2" t="s">
        <v>49</v>
      </c>
      <c r="AA1335" s="2">
        <v>55</v>
      </c>
      <c r="AB1335" s="2">
        <v>25</v>
      </c>
      <c r="AC1335" s="2" t="s">
        <v>10789</v>
      </c>
      <c r="AD1335" s="2" t="s">
        <v>27439</v>
      </c>
      <c r="AE1335" s="2" t="s">
        <v>27420</v>
      </c>
      <c r="AF1335" s="2"/>
      <c r="AG1335" s="2" t="s">
        <v>18250</v>
      </c>
    </row>
    <row r="1336" spans="1:33" x14ac:dyDescent="0.45">
      <c r="A1336" s="2" t="s">
        <v>27440</v>
      </c>
      <c r="B1336" s="2" t="s">
        <v>27441</v>
      </c>
      <c r="C1336" s="2"/>
      <c r="D1336" s="2" t="s">
        <v>27442</v>
      </c>
      <c r="E1336" s="2"/>
      <c r="F1336" s="2"/>
      <c r="G1336" s="2"/>
      <c r="H1336" s="2" t="s">
        <v>85</v>
      </c>
      <c r="I1336" s="2" t="s">
        <v>86</v>
      </c>
      <c r="J1336" s="2" t="s">
        <v>27443</v>
      </c>
      <c r="K1336" s="2" t="s">
        <v>27444</v>
      </c>
      <c r="L1336" s="2"/>
      <c r="M1336" s="2"/>
      <c r="N1336" s="2"/>
      <c r="O1336" s="2" t="s">
        <v>85</v>
      </c>
      <c r="P1336" s="2" t="s">
        <v>86</v>
      </c>
      <c r="Q1336" s="2" t="s">
        <v>27445</v>
      </c>
      <c r="R1336" s="2" t="s">
        <v>27446</v>
      </c>
      <c r="S1336" s="2" t="s">
        <v>44</v>
      </c>
      <c r="T1336" s="2"/>
      <c r="U1336" s="2" t="s">
        <v>45</v>
      </c>
      <c r="V1336" s="2" t="s">
        <v>46</v>
      </c>
      <c r="W1336" s="2" t="s">
        <v>45</v>
      </c>
      <c r="X1336" s="2"/>
      <c r="Y1336" s="2" t="s">
        <v>17795</v>
      </c>
      <c r="Z1336" s="2" t="s">
        <v>49</v>
      </c>
      <c r="AA1336" s="2">
        <v>55</v>
      </c>
      <c r="AB1336" s="2">
        <v>30</v>
      </c>
      <c r="AC1336" s="2" t="s">
        <v>10789</v>
      </c>
      <c r="AD1336" s="2" t="s">
        <v>27447</v>
      </c>
      <c r="AE1336" s="2" t="s">
        <v>27420</v>
      </c>
      <c r="AF1336" s="2"/>
      <c r="AG1336" s="2" t="s">
        <v>18250</v>
      </c>
    </row>
    <row r="1337" spans="1:33" x14ac:dyDescent="0.45">
      <c r="A1337" s="2" t="s">
        <v>27448</v>
      </c>
      <c r="B1337" s="2" t="s">
        <v>27449</v>
      </c>
      <c r="C1337" s="2"/>
      <c r="D1337" s="2" t="s">
        <v>27450</v>
      </c>
      <c r="E1337" s="2"/>
      <c r="F1337" s="2"/>
      <c r="G1337" s="2"/>
      <c r="H1337" s="2" t="s">
        <v>85</v>
      </c>
      <c r="I1337" s="2" t="s">
        <v>86</v>
      </c>
      <c r="J1337" s="2" t="s">
        <v>579</v>
      </c>
      <c r="K1337" s="2"/>
      <c r="L1337" s="2"/>
      <c r="M1337" s="2"/>
      <c r="N1337" s="2"/>
      <c r="O1337" s="2"/>
      <c r="P1337" s="2"/>
      <c r="Q1337" s="2"/>
      <c r="R1337" s="2" t="s">
        <v>27451</v>
      </c>
      <c r="S1337" s="2" t="s">
        <v>44</v>
      </c>
      <c r="T1337" s="2"/>
      <c r="U1337" s="2" t="s">
        <v>3527</v>
      </c>
      <c r="V1337" s="2" t="s">
        <v>46</v>
      </c>
      <c r="W1337" s="2" t="s">
        <v>3527</v>
      </c>
      <c r="X1337" s="2"/>
      <c r="Y1337" s="2" t="s">
        <v>17795</v>
      </c>
      <c r="Z1337" s="2" t="s">
        <v>49</v>
      </c>
      <c r="AA1337" s="2">
        <v>55</v>
      </c>
      <c r="AB1337" s="2">
        <v>20</v>
      </c>
      <c r="AC1337" s="2" t="s">
        <v>10789</v>
      </c>
      <c r="AD1337" s="2" t="s">
        <v>27452</v>
      </c>
      <c r="AE1337" s="2" t="s">
        <v>27420</v>
      </c>
      <c r="AF1337" s="2"/>
      <c r="AG1337" s="2" t="s">
        <v>18250</v>
      </c>
    </row>
    <row r="1338" spans="1:33" x14ac:dyDescent="0.45">
      <c r="A1338" s="2" t="s">
        <v>27453</v>
      </c>
      <c r="B1338" s="2" t="s">
        <v>27454</v>
      </c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 t="s">
        <v>27282</v>
      </c>
      <c r="S1338" s="2" t="s">
        <v>44</v>
      </c>
      <c r="T1338" s="2"/>
      <c r="U1338" s="2" t="s">
        <v>45</v>
      </c>
      <c r="V1338" s="2" t="s">
        <v>46</v>
      </c>
      <c r="W1338" s="2" t="s">
        <v>45</v>
      </c>
      <c r="X1338" s="2"/>
      <c r="Y1338" s="2" t="s">
        <v>17795</v>
      </c>
      <c r="Z1338" s="2" t="s">
        <v>49</v>
      </c>
      <c r="AA1338" s="2">
        <v>25</v>
      </c>
      <c r="AB1338" s="2">
        <v>5</v>
      </c>
      <c r="AC1338" s="2" t="s">
        <v>10789</v>
      </c>
      <c r="AD1338" s="2" t="s">
        <v>27455</v>
      </c>
      <c r="AE1338" s="2" t="s">
        <v>27420</v>
      </c>
      <c r="AF1338" s="2"/>
      <c r="AG1338" s="2" t="s">
        <v>18250</v>
      </c>
    </row>
    <row r="1339" spans="1:33" x14ac:dyDescent="0.45">
      <c r="A1339" s="2" t="s">
        <v>27456</v>
      </c>
      <c r="B1339" s="2" t="s">
        <v>27457</v>
      </c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 t="s">
        <v>27458</v>
      </c>
      <c r="S1339" s="2" t="s">
        <v>44</v>
      </c>
      <c r="T1339" s="2"/>
      <c r="U1339" s="2" t="s">
        <v>45</v>
      </c>
      <c r="V1339" s="2" t="s">
        <v>46</v>
      </c>
      <c r="W1339" s="2" t="s">
        <v>45</v>
      </c>
      <c r="X1339" s="2"/>
      <c r="Y1339" s="2" t="s">
        <v>17795</v>
      </c>
      <c r="Z1339" s="2" t="s">
        <v>49</v>
      </c>
      <c r="AA1339" s="2">
        <v>25</v>
      </c>
      <c r="AB1339" s="2">
        <v>5</v>
      </c>
      <c r="AC1339" s="2" t="s">
        <v>10789</v>
      </c>
      <c r="AD1339" s="2" t="s">
        <v>27459</v>
      </c>
      <c r="AE1339" s="2" t="s">
        <v>27420</v>
      </c>
      <c r="AF1339" s="2"/>
      <c r="AG1339" s="2" t="s">
        <v>18250</v>
      </c>
    </row>
    <row r="1340" spans="1:33" x14ac:dyDescent="0.45">
      <c r="A1340" s="2" t="s">
        <v>14466</v>
      </c>
      <c r="B1340" s="2" t="s">
        <v>27460</v>
      </c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 t="s">
        <v>20324</v>
      </c>
      <c r="S1340" s="2" t="s">
        <v>44</v>
      </c>
      <c r="T1340" s="2"/>
      <c r="U1340" s="2" t="s">
        <v>45</v>
      </c>
      <c r="V1340" s="2" t="s">
        <v>199</v>
      </c>
      <c r="W1340" s="2" t="s">
        <v>45</v>
      </c>
      <c r="X1340" s="2"/>
      <c r="Y1340" s="2" t="s">
        <v>17795</v>
      </c>
      <c r="Z1340" s="2" t="s">
        <v>49</v>
      </c>
      <c r="AA1340" s="2">
        <v>25</v>
      </c>
      <c r="AB1340" s="2">
        <v>5</v>
      </c>
      <c r="AC1340" s="2" t="s">
        <v>10789</v>
      </c>
      <c r="AD1340" s="2" t="s">
        <v>27461</v>
      </c>
      <c r="AE1340" s="2" t="s">
        <v>27420</v>
      </c>
      <c r="AF1340" s="2"/>
      <c r="AG1340" s="2" t="s">
        <v>18250</v>
      </c>
    </row>
    <row r="1341" spans="1:33" x14ac:dyDescent="0.45">
      <c r="A1341" s="2" t="s">
        <v>15723</v>
      </c>
      <c r="B1341" s="2" t="s">
        <v>27462</v>
      </c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 t="s">
        <v>2587</v>
      </c>
      <c r="S1341" s="2" t="s">
        <v>44</v>
      </c>
      <c r="T1341" s="2"/>
      <c r="U1341" s="2" t="s">
        <v>45</v>
      </c>
      <c r="V1341" s="2" t="s">
        <v>199</v>
      </c>
      <c r="W1341" s="2" t="s">
        <v>45</v>
      </c>
      <c r="X1341" s="2"/>
      <c r="Y1341" s="2" t="s">
        <v>17795</v>
      </c>
      <c r="Z1341" s="2" t="s">
        <v>49</v>
      </c>
      <c r="AA1341" s="2">
        <v>25</v>
      </c>
      <c r="AB1341" s="2">
        <v>15</v>
      </c>
      <c r="AC1341" s="2" t="s">
        <v>10789</v>
      </c>
      <c r="AD1341" s="2" t="s">
        <v>15729</v>
      </c>
      <c r="AE1341" s="2" t="s">
        <v>27420</v>
      </c>
      <c r="AF1341" s="2"/>
      <c r="AG1341" s="2" t="s">
        <v>18250</v>
      </c>
    </row>
    <row r="1342" spans="1:33" x14ac:dyDescent="0.45">
      <c r="A1342" s="2" t="s">
        <v>27463</v>
      </c>
      <c r="B1342" s="2" t="s">
        <v>27464</v>
      </c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 t="s">
        <v>24935</v>
      </c>
      <c r="S1342" s="2" t="s">
        <v>44</v>
      </c>
      <c r="T1342" s="2"/>
      <c r="U1342" s="2" t="s">
        <v>45</v>
      </c>
      <c r="V1342" s="2" t="s">
        <v>46</v>
      </c>
      <c r="W1342" s="2" t="s">
        <v>45</v>
      </c>
      <c r="X1342" s="2"/>
      <c r="Y1342" s="2" t="s">
        <v>17795</v>
      </c>
      <c r="Z1342" s="2" t="s">
        <v>49</v>
      </c>
      <c r="AA1342" s="2">
        <v>25</v>
      </c>
      <c r="AB1342" s="2">
        <v>5</v>
      </c>
      <c r="AC1342" s="2" t="s">
        <v>10789</v>
      </c>
      <c r="AD1342" s="2" t="s">
        <v>27465</v>
      </c>
      <c r="AE1342" s="2" t="s">
        <v>27420</v>
      </c>
      <c r="AF1342" s="2"/>
      <c r="AG1342" s="2" t="s">
        <v>18250</v>
      </c>
    </row>
    <row r="1343" spans="1:33" x14ac:dyDescent="0.45">
      <c r="A1343" s="2" t="s">
        <v>27466</v>
      </c>
      <c r="B1343" s="2" t="s">
        <v>27467</v>
      </c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 t="s">
        <v>10728</v>
      </c>
      <c r="S1343" s="2" t="s">
        <v>44</v>
      </c>
      <c r="T1343" s="2"/>
      <c r="U1343" s="2" t="s">
        <v>45</v>
      </c>
      <c r="V1343" s="2" t="s">
        <v>46</v>
      </c>
      <c r="W1343" s="2" t="s">
        <v>45</v>
      </c>
      <c r="X1343" s="2"/>
      <c r="Y1343" s="2" t="s">
        <v>17795</v>
      </c>
      <c r="Z1343" s="2" t="s">
        <v>49</v>
      </c>
      <c r="AA1343" s="2">
        <v>25</v>
      </c>
      <c r="AB1343" s="2">
        <v>5</v>
      </c>
      <c r="AC1343" s="2" t="s">
        <v>10789</v>
      </c>
      <c r="AD1343" s="2" t="s">
        <v>27468</v>
      </c>
      <c r="AE1343" s="2" t="s">
        <v>27420</v>
      </c>
      <c r="AF1343" s="2"/>
      <c r="AG1343" s="2" t="s">
        <v>18250</v>
      </c>
    </row>
    <row r="1344" spans="1:33" x14ac:dyDescent="0.45">
      <c r="A1344" s="2" t="s">
        <v>27469</v>
      </c>
      <c r="B1344" s="2" t="s">
        <v>27470</v>
      </c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 t="s">
        <v>27471</v>
      </c>
      <c r="S1344" s="2" t="s">
        <v>44</v>
      </c>
      <c r="T1344" s="2"/>
      <c r="U1344" s="2" t="s">
        <v>821</v>
      </c>
      <c r="V1344" s="2" t="s">
        <v>46</v>
      </c>
      <c r="W1344" s="2" t="s">
        <v>821</v>
      </c>
      <c r="X1344" s="2"/>
      <c r="Y1344" s="2" t="s">
        <v>17795</v>
      </c>
      <c r="Z1344" s="2" t="s">
        <v>49</v>
      </c>
      <c r="AA1344" s="2">
        <v>25</v>
      </c>
      <c r="AB1344" s="2">
        <v>2</v>
      </c>
      <c r="AC1344" s="2" t="s">
        <v>10789</v>
      </c>
      <c r="AD1344" s="2" t="s">
        <v>27472</v>
      </c>
      <c r="AE1344" s="2" t="s">
        <v>27420</v>
      </c>
      <c r="AF1344" s="2"/>
      <c r="AG1344" s="2" t="s">
        <v>18250</v>
      </c>
    </row>
    <row r="1345" spans="1:33" x14ac:dyDescent="0.45">
      <c r="A1345" s="2" t="s">
        <v>27473</v>
      </c>
      <c r="B1345" s="2" t="s">
        <v>27474</v>
      </c>
      <c r="C1345" s="2"/>
      <c r="D1345" s="2" t="s">
        <v>27475</v>
      </c>
      <c r="E1345" s="2"/>
      <c r="F1345" s="2"/>
      <c r="G1345" s="2"/>
      <c r="H1345" s="2" t="s">
        <v>72</v>
      </c>
      <c r="I1345" s="2" t="s">
        <v>73</v>
      </c>
      <c r="J1345" s="2" t="s">
        <v>464</v>
      </c>
      <c r="K1345" s="2" t="s">
        <v>27476</v>
      </c>
      <c r="L1345" s="2"/>
      <c r="M1345" s="2"/>
      <c r="N1345" s="2"/>
      <c r="O1345" s="2" t="s">
        <v>72</v>
      </c>
      <c r="P1345" s="2" t="s">
        <v>73</v>
      </c>
      <c r="Q1345" s="2" t="s">
        <v>464</v>
      </c>
      <c r="R1345" s="2" t="s">
        <v>10624</v>
      </c>
      <c r="S1345" s="2" t="s">
        <v>44</v>
      </c>
      <c r="T1345" s="2"/>
      <c r="U1345" s="2" t="s">
        <v>45</v>
      </c>
      <c r="V1345" s="2" t="s">
        <v>46</v>
      </c>
      <c r="W1345" s="2" t="s">
        <v>45</v>
      </c>
      <c r="X1345" s="2"/>
      <c r="Y1345" s="2" t="s">
        <v>17795</v>
      </c>
      <c r="Z1345" s="2" t="s">
        <v>49</v>
      </c>
      <c r="AA1345" s="2">
        <v>55</v>
      </c>
      <c r="AB1345" s="2">
        <v>30</v>
      </c>
      <c r="AC1345" s="2" t="s">
        <v>10789</v>
      </c>
      <c r="AD1345" s="2" t="s">
        <v>27477</v>
      </c>
      <c r="AE1345" s="2" t="s">
        <v>27420</v>
      </c>
      <c r="AF1345" s="2"/>
      <c r="AG1345" s="2" t="s">
        <v>18250</v>
      </c>
    </row>
    <row r="1346" spans="1:33" x14ac:dyDescent="0.45">
      <c r="A1346" s="2" t="s">
        <v>27478</v>
      </c>
      <c r="B1346" s="2" t="s">
        <v>27479</v>
      </c>
      <c r="C1346" s="2"/>
      <c r="D1346" s="2" t="s">
        <v>27480</v>
      </c>
      <c r="E1346" s="2"/>
      <c r="F1346" s="2"/>
      <c r="G1346" s="2"/>
      <c r="H1346" s="2" t="s">
        <v>72</v>
      </c>
      <c r="I1346" s="2" t="s">
        <v>73</v>
      </c>
      <c r="J1346" s="2" t="s">
        <v>464</v>
      </c>
      <c r="K1346" s="2" t="s">
        <v>27480</v>
      </c>
      <c r="L1346" s="2"/>
      <c r="M1346" s="2"/>
      <c r="N1346" s="2"/>
      <c r="O1346" s="2" t="s">
        <v>72</v>
      </c>
      <c r="P1346" s="2" t="s">
        <v>73</v>
      </c>
      <c r="Q1346" s="2" t="s">
        <v>464</v>
      </c>
      <c r="R1346" s="2" t="s">
        <v>17834</v>
      </c>
      <c r="S1346" s="2" t="s">
        <v>44</v>
      </c>
      <c r="T1346" s="2"/>
      <c r="U1346" s="2" t="s">
        <v>45</v>
      </c>
      <c r="V1346" s="2" t="s">
        <v>46</v>
      </c>
      <c r="W1346" s="2" t="s">
        <v>45</v>
      </c>
      <c r="X1346" s="2"/>
      <c r="Y1346" s="2" t="s">
        <v>17795</v>
      </c>
      <c r="Z1346" s="2" t="s">
        <v>49</v>
      </c>
      <c r="AA1346" s="2">
        <v>55</v>
      </c>
      <c r="AB1346" s="2">
        <v>30</v>
      </c>
      <c r="AC1346" s="2" t="s">
        <v>10789</v>
      </c>
      <c r="AD1346" s="2" t="s">
        <v>27481</v>
      </c>
      <c r="AE1346" s="2" t="s">
        <v>27420</v>
      </c>
      <c r="AF1346" s="2"/>
      <c r="AG1346" s="2" t="s">
        <v>18250</v>
      </c>
    </row>
    <row r="1347" spans="1:33" x14ac:dyDescent="0.45">
      <c r="A1347" s="2" t="s">
        <v>27482</v>
      </c>
      <c r="B1347" s="2" t="s">
        <v>27483</v>
      </c>
      <c r="C1347" s="2"/>
      <c r="D1347" s="2" t="s">
        <v>27484</v>
      </c>
      <c r="E1347" s="2"/>
      <c r="F1347" s="2"/>
      <c r="G1347" s="2"/>
      <c r="H1347" s="2" t="s">
        <v>5821</v>
      </c>
      <c r="I1347" s="2" t="s">
        <v>278</v>
      </c>
      <c r="J1347" s="2" t="s">
        <v>5822</v>
      </c>
      <c r="K1347" s="2" t="s">
        <v>27484</v>
      </c>
      <c r="L1347" s="2"/>
      <c r="M1347" s="2"/>
      <c r="N1347" s="2"/>
      <c r="O1347" s="2" t="s">
        <v>5821</v>
      </c>
      <c r="P1347" s="2" t="s">
        <v>278</v>
      </c>
      <c r="Q1347" s="2" t="s">
        <v>5822</v>
      </c>
      <c r="R1347" s="2" t="s">
        <v>2838</v>
      </c>
      <c r="S1347" s="2" t="s">
        <v>44</v>
      </c>
      <c r="T1347" s="2"/>
      <c r="U1347" s="2" t="s">
        <v>821</v>
      </c>
      <c r="V1347" s="2" t="s">
        <v>46</v>
      </c>
      <c r="W1347" s="2" t="s">
        <v>821</v>
      </c>
      <c r="X1347" s="2"/>
      <c r="Y1347" s="2" t="s">
        <v>17795</v>
      </c>
      <c r="Z1347" s="2" t="s">
        <v>49</v>
      </c>
      <c r="AA1347" s="2">
        <v>55</v>
      </c>
      <c r="AB1347" s="2">
        <v>22</v>
      </c>
      <c r="AC1347" s="2" t="s">
        <v>10789</v>
      </c>
      <c r="AD1347" s="2" t="s">
        <v>27485</v>
      </c>
      <c r="AE1347" s="2" t="s">
        <v>27420</v>
      </c>
      <c r="AF1347" s="2"/>
      <c r="AG1347" s="2" t="s">
        <v>18250</v>
      </c>
    </row>
    <row r="1348" spans="1:33" x14ac:dyDescent="0.45">
      <c r="A1348" s="2" t="s">
        <v>27486</v>
      </c>
      <c r="B1348" s="2" t="s">
        <v>27487</v>
      </c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 t="s">
        <v>27488</v>
      </c>
      <c r="S1348" s="2" t="s">
        <v>44</v>
      </c>
      <c r="T1348" s="2"/>
      <c r="U1348" s="2" t="s">
        <v>3527</v>
      </c>
      <c r="V1348" s="2" t="s">
        <v>46</v>
      </c>
      <c r="W1348" s="2" t="s">
        <v>3527</v>
      </c>
      <c r="X1348" s="2"/>
      <c r="Y1348" s="2" t="s">
        <v>17795</v>
      </c>
      <c r="Z1348" s="2" t="s">
        <v>49</v>
      </c>
      <c r="AA1348" s="2">
        <v>25</v>
      </c>
      <c r="AB1348" s="2">
        <v>0</v>
      </c>
      <c r="AC1348" s="2" t="s">
        <v>10789</v>
      </c>
      <c r="AD1348" s="2" t="s">
        <v>27489</v>
      </c>
      <c r="AE1348" s="2" t="s">
        <v>27420</v>
      </c>
      <c r="AF1348" s="2"/>
      <c r="AG1348" s="2" t="s">
        <v>18250</v>
      </c>
    </row>
    <row r="1349" spans="1:33" x14ac:dyDescent="0.45">
      <c r="A1349" s="2" t="s">
        <v>27490</v>
      </c>
      <c r="B1349" s="2" t="s">
        <v>27491</v>
      </c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 t="s">
        <v>27492</v>
      </c>
      <c r="S1349" s="2" t="s">
        <v>44</v>
      </c>
      <c r="T1349" s="2"/>
      <c r="U1349" s="2" t="s">
        <v>45</v>
      </c>
      <c r="V1349" s="2" t="s">
        <v>46</v>
      </c>
      <c r="W1349" s="2" t="s">
        <v>45</v>
      </c>
      <c r="X1349" s="2"/>
      <c r="Y1349" s="2" t="s">
        <v>17795</v>
      </c>
      <c r="Z1349" s="2" t="s">
        <v>49</v>
      </c>
      <c r="AA1349" s="2">
        <v>25</v>
      </c>
      <c r="AB1349" s="2">
        <v>5</v>
      </c>
      <c r="AC1349" s="2" t="s">
        <v>10789</v>
      </c>
      <c r="AD1349" s="2" t="s">
        <v>27493</v>
      </c>
      <c r="AE1349" s="2" t="s">
        <v>27420</v>
      </c>
      <c r="AF1349" s="2"/>
      <c r="AG1349" s="2" t="s">
        <v>18250</v>
      </c>
    </row>
    <row r="1350" spans="1:33" x14ac:dyDescent="0.45">
      <c r="A1350" s="2" t="s">
        <v>27494</v>
      </c>
      <c r="B1350" s="2" t="s">
        <v>27495</v>
      </c>
      <c r="C1350" s="2"/>
      <c r="D1350" s="2" t="s">
        <v>27496</v>
      </c>
      <c r="E1350" s="2"/>
      <c r="F1350" s="2"/>
      <c r="G1350" s="2"/>
      <c r="H1350" s="2" t="s">
        <v>277</v>
      </c>
      <c r="I1350" s="2" t="s">
        <v>278</v>
      </c>
      <c r="J1350" s="2" t="s">
        <v>279</v>
      </c>
      <c r="K1350" s="2"/>
      <c r="L1350" s="2"/>
      <c r="M1350" s="2"/>
      <c r="N1350" s="2"/>
      <c r="O1350" s="2"/>
      <c r="P1350" s="2"/>
      <c r="Q1350" s="2"/>
      <c r="R1350" s="2" t="s">
        <v>3273</v>
      </c>
      <c r="S1350" s="2" t="s">
        <v>44</v>
      </c>
      <c r="T1350" s="2"/>
      <c r="U1350" s="2" t="s">
        <v>3527</v>
      </c>
      <c r="V1350" s="2" t="s">
        <v>46</v>
      </c>
      <c r="W1350" s="2" t="s">
        <v>3527</v>
      </c>
      <c r="X1350" s="2"/>
      <c r="Y1350" s="2" t="s">
        <v>17795</v>
      </c>
      <c r="Z1350" s="2" t="s">
        <v>49</v>
      </c>
      <c r="AA1350" s="2">
        <v>55</v>
      </c>
      <c r="AB1350" s="2">
        <v>20</v>
      </c>
      <c r="AC1350" s="2" t="s">
        <v>10789</v>
      </c>
      <c r="AD1350" s="2" t="s">
        <v>27497</v>
      </c>
      <c r="AE1350" s="2" t="s">
        <v>27420</v>
      </c>
      <c r="AF1350" s="2"/>
      <c r="AG1350" s="2" t="s">
        <v>18250</v>
      </c>
    </row>
    <row r="1351" spans="1:33" x14ac:dyDescent="0.45">
      <c r="A1351" s="2" t="s">
        <v>27498</v>
      </c>
      <c r="B1351" s="2" t="s">
        <v>27499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 t="s">
        <v>2441</v>
      </c>
      <c r="S1351" s="2" t="s">
        <v>44</v>
      </c>
      <c r="T1351" s="2"/>
      <c r="U1351" s="2" t="s">
        <v>45</v>
      </c>
      <c r="V1351" s="2" t="s">
        <v>46</v>
      </c>
      <c r="W1351" s="2" t="s">
        <v>45</v>
      </c>
      <c r="X1351" s="2"/>
      <c r="Y1351" s="2" t="s">
        <v>17795</v>
      </c>
      <c r="Z1351" s="2" t="s">
        <v>49</v>
      </c>
      <c r="AA1351" s="2">
        <v>25</v>
      </c>
      <c r="AB1351" s="2">
        <v>5</v>
      </c>
      <c r="AC1351" s="2" t="s">
        <v>10789</v>
      </c>
      <c r="AD1351" s="2" t="s">
        <v>27500</v>
      </c>
      <c r="AE1351" s="2" t="s">
        <v>27420</v>
      </c>
      <c r="AF1351" s="2"/>
      <c r="AG1351" s="2" t="s">
        <v>18250</v>
      </c>
    </row>
    <row r="1352" spans="1:33" x14ac:dyDescent="0.45">
      <c r="A1352" s="2" t="s">
        <v>27501</v>
      </c>
      <c r="B1352" s="2" t="s">
        <v>27502</v>
      </c>
      <c r="C1352" s="2" t="s">
        <v>27503</v>
      </c>
      <c r="D1352" s="2" t="s">
        <v>27504</v>
      </c>
      <c r="E1352" s="2"/>
      <c r="F1352" s="2"/>
      <c r="G1352" s="2"/>
      <c r="H1352" s="2" t="s">
        <v>72</v>
      </c>
      <c r="I1352" s="2" t="s">
        <v>73</v>
      </c>
      <c r="J1352" s="2" t="s">
        <v>2222</v>
      </c>
      <c r="K1352" s="2"/>
      <c r="L1352" s="2"/>
      <c r="M1352" s="2"/>
      <c r="N1352" s="2"/>
      <c r="O1352" s="2"/>
      <c r="P1352" s="2"/>
      <c r="Q1352" s="2"/>
      <c r="R1352" s="2" t="s">
        <v>5031</v>
      </c>
      <c r="S1352" s="2" t="s">
        <v>44</v>
      </c>
      <c r="T1352" s="2"/>
      <c r="U1352" s="2" t="s">
        <v>45</v>
      </c>
      <c r="V1352" s="2" t="s">
        <v>46</v>
      </c>
      <c r="W1352" s="2" t="s">
        <v>45</v>
      </c>
      <c r="X1352" s="2"/>
      <c r="Y1352" s="2" t="s">
        <v>17795</v>
      </c>
      <c r="Z1352" s="2" t="s">
        <v>49</v>
      </c>
      <c r="AA1352" s="2">
        <v>70</v>
      </c>
      <c r="AB1352" s="2">
        <v>35</v>
      </c>
      <c r="AC1352" s="2" t="s">
        <v>10789</v>
      </c>
      <c r="AD1352" s="2" t="s">
        <v>27505</v>
      </c>
      <c r="AE1352" s="2" t="s">
        <v>27420</v>
      </c>
      <c r="AF1352" s="2"/>
      <c r="AG1352" s="2" t="s">
        <v>18250</v>
      </c>
    </row>
    <row r="1353" spans="1:33" x14ac:dyDescent="0.45">
      <c r="A1353" s="2" t="s">
        <v>27506</v>
      </c>
      <c r="B1353" s="2" t="s">
        <v>27507</v>
      </c>
      <c r="C1353" s="2" t="s">
        <v>27508</v>
      </c>
      <c r="D1353" s="2" t="s">
        <v>27509</v>
      </c>
      <c r="E1353" s="2"/>
      <c r="F1353" s="2"/>
      <c r="G1353" s="2"/>
      <c r="H1353" s="2" t="s">
        <v>72</v>
      </c>
      <c r="I1353" s="2" t="s">
        <v>73</v>
      </c>
      <c r="J1353" s="2" t="s">
        <v>373</v>
      </c>
      <c r="K1353" s="2"/>
      <c r="L1353" s="2"/>
      <c r="M1353" s="2"/>
      <c r="N1353" s="2"/>
      <c r="O1353" s="2"/>
      <c r="P1353" s="2"/>
      <c r="Q1353" s="2"/>
      <c r="R1353" s="2" t="s">
        <v>9535</v>
      </c>
      <c r="S1353" s="2" t="s">
        <v>44</v>
      </c>
      <c r="T1353" s="2"/>
      <c r="U1353" s="2" t="s">
        <v>45</v>
      </c>
      <c r="V1353" s="2" t="s">
        <v>46</v>
      </c>
      <c r="W1353" s="2" t="s">
        <v>45</v>
      </c>
      <c r="X1353" s="2"/>
      <c r="Y1353" s="2" t="s">
        <v>17795</v>
      </c>
      <c r="Z1353" s="2" t="s">
        <v>49</v>
      </c>
      <c r="AA1353" s="2">
        <v>70</v>
      </c>
      <c r="AB1353" s="2">
        <v>35</v>
      </c>
      <c r="AC1353" s="2" t="s">
        <v>10789</v>
      </c>
      <c r="AD1353" s="2" t="s">
        <v>27510</v>
      </c>
      <c r="AE1353" s="2" t="s">
        <v>27420</v>
      </c>
      <c r="AF1353" s="2"/>
      <c r="AG1353" s="2" t="s">
        <v>18250</v>
      </c>
    </row>
    <row r="1354" spans="1:33" x14ac:dyDescent="0.45">
      <c r="A1354" s="2" t="s">
        <v>27511</v>
      </c>
      <c r="B1354" s="2" t="s">
        <v>27512</v>
      </c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 t="s">
        <v>1887</v>
      </c>
      <c r="S1354" s="2" t="s">
        <v>44</v>
      </c>
      <c r="T1354" s="2"/>
      <c r="U1354" s="2" t="s">
        <v>821</v>
      </c>
      <c r="V1354" s="2" t="s">
        <v>46</v>
      </c>
      <c r="W1354" s="2" t="s">
        <v>821</v>
      </c>
      <c r="X1354" s="2"/>
      <c r="Y1354" s="2" t="s">
        <v>17795</v>
      </c>
      <c r="Z1354" s="2" t="s">
        <v>49</v>
      </c>
      <c r="AA1354" s="2">
        <v>25</v>
      </c>
      <c r="AB1354" s="2">
        <v>2</v>
      </c>
      <c r="AC1354" s="2" t="s">
        <v>10789</v>
      </c>
      <c r="AD1354" s="2" t="s">
        <v>27513</v>
      </c>
      <c r="AE1354" s="2" t="s">
        <v>27420</v>
      </c>
      <c r="AF1354" s="2"/>
      <c r="AG1354" s="2" t="s">
        <v>18250</v>
      </c>
    </row>
    <row r="1355" spans="1:33" x14ac:dyDescent="0.45">
      <c r="A1355" s="2" t="s">
        <v>27514</v>
      </c>
      <c r="B1355" s="2" t="s">
        <v>27515</v>
      </c>
      <c r="C1355" s="2"/>
      <c r="D1355" s="2" t="s">
        <v>27516</v>
      </c>
      <c r="E1355" s="2"/>
      <c r="F1355" s="2"/>
      <c r="G1355" s="2"/>
      <c r="H1355" s="2" t="s">
        <v>85</v>
      </c>
      <c r="I1355" s="2" t="s">
        <v>86</v>
      </c>
      <c r="J1355" s="2" t="s">
        <v>87</v>
      </c>
      <c r="K1355" s="2" t="s">
        <v>27517</v>
      </c>
      <c r="L1355" s="2"/>
      <c r="M1355" s="2"/>
      <c r="N1355" s="2"/>
      <c r="O1355" s="2" t="s">
        <v>424</v>
      </c>
      <c r="P1355" s="2" t="s">
        <v>217</v>
      </c>
      <c r="Q1355" s="2" t="s">
        <v>2410</v>
      </c>
      <c r="R1355" s="2" t="s">
        <v>15899</v>
      </c>
      <c r="S1355" s="2" t="s">
        <v>44</v>
      </c>
      <c r="T1355" s="2"/>
      <c r="U1355" s="2" t="s">
        <v>45</v>
      </c>
      <c r="V1355" s="2" t="s">
        <v>46</v>
      </c>
      <c r="W1355" s="2" t="s">
        <v>45</v>
      </c>
      <c r="X1355" s="2"/>
      <c r="Y1355" s="2" t="s">
        <v>17795</v>
      </c>
      <c r="Z1355" s="2" t="s">
        <v>49</v>
      </c>
      <c r="AA1355" s="2">
        <v>55</v>
      </c>
      <c r="AB1355" s="2">
        <v>30</v>
      </c>
      <c r="AC1355" s="2" t="s">
        <v>10789</v>
      </c>
      <c r="AD1355" s="2" t="s">
        <v>27518</v>
      </c>
      <c r="AE1355" s="2" t="s">
        <v>27420</v>
      </c>
      <c r="AF1355" s="2"/>
      <c r="AG1355" s="2" t="s">
        <v>18250</v>
      </c>
    </row>
    <row r="1356" spans="1:33" x14ac:dyDescent="0.45">
      <c r="A1356" s="2" t="s">
        <v>27519</v>
      </c>
      <c r="B1356" s="2" t="s">
        <v>27520</v>
      </c>
      <c r="C1356" s="2" t="s">
        <v>27521</v>
      </c>
      <c r="D1356" s="2" t="s">
        <v>27522</v>
      </c>
      <c r="E1356" s="2"/>
      <c r="F1356" s="2"/>
      <c r="G1356" s="2"/>
      <c r="H1356" s="2" t="s">
        <v>384</v>
      </c>
      <c r="I1356" s="2" t="s">
        <v>73</v>
      </c>
      <c r="J1356" s="2" t="s">
        <v>10159</v>
      </c>
      <c r="K1356" s="2"/>
      <c r="L1356" s="2"/>
      <c r="M1356" s="2"/>
      <c r="N1356" s="2"/>
      <c r="O1356" s="2"/>
      <c r="P1356" s="2"/>
      <c r="Q1356" s="2"/>
      <c r="R1356" s="2" t="s">
        <v>6685</v>
      </c>
      <c r="S1356" s="2" t="s">
        <v>44</v>
      </c>
      <c r="T1356" s="2"/>
      <c r="U1356" s="2" t="s">
        <v>45</v>
      </c>
      <c r="V1356" s="2" t="s">
        <v>46</v>
      </c>
      <c r="W1356" s="2" t="s">
        <v>45</v>
      </c>
      <c r="X1356" s="2"/>
      <c r="Y1356" s="2" t="s">
        <v>17795</v>
      </c>
      <c r="Z1356" s="2" t="s">
        <v>49</v>
      </c>
      <c r="AA1356" s="2">
        <v>70</v>
      </c>
      <c r="AB1356" s="2">
        <v>35</v>
      </c>
      <c r="AC1356" s="2" t="s">
        <v>10789</v>
      </c>
      <c r="AD1356" s="2" t="s">
        <v>27523</v>
      </c>
      <c r="AE1356" s="2" t="s">
        <v>27420</v>
      </c>
      <c r="AF1356" s="2"/>
      <c r="AG1356" s="2" t="s">
        <v>18250</v>
      </c>
    </row>
    <row r="1357" spans="1:33" x14ac:dyDescent="0.45">
      <c r="A1357" s="2" t="s">
        <v>27524</v>
      </c>
      <c r="B1357" s="2" t="s">
        <v>27525</v>
      </c>
      <c r="C1357" s="2"/>
      <c r="D1357" s="2" t="s">
        <v>27526</v>
      </c>
      <c r="E1357" s="2"/>
      <c r="F1357" s="2"/>
      <c r="G1357" s="2"/>
      <c r="H1357" s="2" t="s">
        <v>85</v>
      </c>
      <c r="I1357" s="2"/>
      <c r="J1357" s="2" t="s">
        <v>3948</v>
      </c>
      <c r="K1357" s="2" t="s">
        <v>27527</v>
      </c>
      <c r="L1357" s="2"/>
      <c r="M1357" s="2"/>
      <c r="N1357" s="2"/>
      <c r="O1357" s="2" t="s">
        <v>216</v>
      </c>
      <c r="P1357" s="2" t="s">
        <v>217</v>
      </c>
      <c r="Q1357" s="2" t="s">
        <v>1151</v>
      </c>
      <c r="R1357" s="2" t="s">
        <v>27528</v>
      </c>
      <c r="S1357" s="2" t="s">
        <v>44</v>
      </c>
      <c r="T1357" s="2"/>
      <c r="U1357" s="2" t="s">
        <v>45</v>
      </c>
      <c r="V1357" s="2" t="s">
        <v>46</v>
      </c>
      <c r="W1357" s="2" t="s">
        <v>45</v>
      </c>
      <c r="X1357" s="2"/>
      <c r="Y1357" s="2" t="s">
        <v>17795</v>
      </c>
      <c r="Z1357" s="2" t="s">
        <v>49</v>
      </c>
      <c r="AA1357" s="2">
        <v>55</v>
      </c>
      <c r="AB1357" s="2">
        <v>30</v>
      </c>
      <c r="AC1357" s="2" t="s">
        <v>10789</v>
      </c>
      <c r="AD1357" s="2" t="s">
        <v>27529</v>
      </c>
      <c r="AE1357" s="2" t="s">
        <v>27420</v>
      </c>
      <c r="AF1357" s="2"/>
      <c r="AG1357" s="2" t="s">
        <v>18250</v>
      </c>
    </row>
    <row r="1358" spans="1:33" x14ac:dyDescent="0.45">
      <c r="A1358" s="2" t="s">
        <v>6637</v>
      </c>
      <c r="B1358" s="2" t="s">
        <v>27530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 t="s">
        <v>27531</v>
      </c>
      <c r="S1358" s="2" t="s">
        <v>44</v>
      </c>
      <c r="T1358" s="2"/>
      <c r="U1358" s="2" t="s">
        <v>45</v>
      </c>
      <c r="V1358" s="2" t="s">
        <v>199</v>
      </c>
      <c r="W1358" s="2" t="s">
        <v>45</v>
      </c>
      <c r="X1358" s="2"/>
      <c r="Y1358" s="2" t="s">
        <v>17795</v>
      </c>
      <c r="Z1358" s="2" t="s">
        <v>49</v>
      </c>
      <c r="AA1358" s="2">
        <v>25</v>
      </c>
      <c r="AB1358" s="2">
        <v>5</v>
      </c>
      <c r="AC1358" s="2" t="s">
        <v>10789</v>
      </c>
      <c r="AD1358" s="2" t="s">
        <v>27532</v>
      </c>
      <c r="AE1358" s="2" t="s">
        <v>27420</v>
      </c>
      <c r="AF1358" s="2"/>
      <c r="AG1358" s="2" t="s">
        <v>18250</v>
      </c>
    </row>
    <row r="1359" spans="1:33" x14ac:dyDescent="0.45">
      <c r="A1359" s="2" t="s">
        <v>27533</v>
      </c>
      <c r="B1359" s="2" t="s">
        <v>27534</v>
      </c>
      <c r="C1359" s="2"/>
      <c r="D1359" s="2" t="s">
        <v>27535</v>
      </c>
      <c r="E1359" s="2"/>
      <c r="F1359" s="2"/>
      <c r="G1359" s="2"/>
      <c r="H1359" s="2" t="s">
        <v>72</v>
      </c>
      <c r="I1359" s="2" t="s">
        <v>73</v>
      </c>
      <c r="J1359" s="2" t="s">
        <v>373</v>
      </c>
      <c r="K1359" s="2" t="s">
        <v>27536</v>
      </c>
      <c r="L1359" s="2"/>
      <c r="M1359" s="2"/>
      <c r="N1359" s="2"/>
      <c r="O1359" s="2" t="s">
        <v>72</v>
      </c>
      <c r="P1359" s="2" t="s">
        <v>73</v>
      </c>
      <c r="Q1359" s="2" t="s">
        <v>373</v>
      </c>
      <c r="R1359" s="2" t="s">
        <v>27537</v>
      </c>
      <c r="S1359" s="2" t="s">
        <v>44</v>
      </c>
      <c r="T1359" s="2"/>
      <c r="U1359" s="2" t="s">
        <v>45</v>
      </c>
      <c r="V1359" s="2" t="s">
        <v>46</v>
      </c>
      <c r="W1359" s="2" t="s">
        <v>45</v>
      </c>
      <c r="X1359" s="2"/>
      <c r="Y1359" s="2" t="s">
        <v>17795</v>
      </c>
      <c r="Z1359" s="2" t="s">
        <v>49</v>
      </c>
      <c r="AA1359" s="2">
        <v>55</v>
      </c>
      <c r="AB1359" s="2">
        <v>30</v>
      </c>
      <c r="AC1359" s="2" t="s">
        <v>10789</v>
      </c>
      <c r="AD1359" s="2" t="s">
        <v>27538</v>
      </c>
      <c r="AE1359" s="2" t="s">
        <v>27420</v>
      </c>
      <c r="AF1359" s="2"/>
      <c r="AG1359" s="2" t="s">
        <v>18250</v>
      </c>
    </row>
    <row r="1360" spans="1:33" x14ac:dyDescent="0.45">
      <c r="A1360" s="2" t="s">
        <v>27539</v>
      </c>
      <c r="B1360" s="2" t="s">
        <v>27540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 t="s">
        <v>2459</v>
      </c>
      <c r="S1360" s="2" t="s">
        <v>44</v>
      </c>
      <c r="T1360" s="2"/>
      <c r="U1360" s="2" t="s">
        <v>45</v>
      </c>
      <c r="V1360" s="2" t="s">
        <v>46</v>
      </c>
      <c r="W1360" s="2" t="s">
        <v>45</v>
      </c>
      <c r="X1360" s="2"/>
      <c r="Y1360" s="2" t="s">
        <v>17795</v>
      </c>
      <c r="Z1360" s="2" t="s">
        <v>49</v>
      </c>
      <c r="AA1360" s="2">
        <v>25</v>
      </c>
      <c r="AB1360" s="2">
        <v>5</v>
      </c>
      <c r="AC1360" s="2" t="s">
        <v>10789</v>
      </c>
      <c r="AD1360" s="2" t="s">
        <v>27541</v>
      </c>
      <c r="AE1360" s="2" t="s">
        <v>27420</v>
      </c>
      <c r="AF1360" s="2"/>
      <c r="AG1360" s="2" t="s">
        <v>18250</v>
      </c>
    </row>
    <row r="1361" spans="1:33" x14ac:dyDescent="0.45">
      <c r="A1361" s="2" t="s">
        <v>27542</v>
      </c>
      <c r="B1361" s="2" t="s">
        <v>27543</v>
      </c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 t="s">
        <v>27544</v>
      </c>
      <c r="S1361" s="2" t="s">
        <v>44</v>
      </c>
      <c r="T1361" s="2"/>
      <c r="U1361" s="2" t="s">
        <v>45</v>
      </c>
      <c r="V1361" s="2" t="s">
        <v>46</v>
      </c>
      <c r="W1361" s="2" t="s">
        <v>45</v>
      </c>
      <c r="X1361" s="2"/>
      <c r="Y1361" s="2" t="s">
        <v>17795</v>
      </c>
      <c r="Z1361" s="2" t="s">
        <v>49</v>
      </c>
      <c r="AA1361" s="2">
        <v>25</v>
      </c>
      <c r="AB1361" s="2">
        <v>5</v>
      </c>
      <c r="AC1361" s="2" t="s">
        <v>10789</v>
      </c>
      <c r="AD1361" s="2" t="s">
        <v>27545</v>
      </c>
      <c r="AE1361" s="2" t="s">
        <v>27420</v>
      </c>
      <c r="AF1361" s="2"/>
      <c r="AG1361" s="2" t="s">
        <v>18250</v>
      </c>
    </row>
    <row r="1362" spans="1:33" x14ac:dyDescent="0.45">
      <c r="A1362" s="2" t="s">
        <v>27546</v>
      </c>
      <c r="B1362" s="2" t="s">
        <v>27547</v>
      </c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 t="s">
        <v>11949</v>
      </c>
      <c r="S1362" s="2" t="s">
        <v>44</v>
      </c>
      <c r="T1362" s="2"/>
      <c r="U1362" s="2" t="s">
        <v>3527</v>
      </c>
      <c r="V1362" s="2" t="s">
        <v>46</v>
      </c>
      <c r="W1362" s="2" t="s">
        <v>3527</v>
      </c>
      <c r="X1362" s="2"/>
      <c r="Y1362" s="2" t="s">
        <v>17795</v>
      </c>
      <c r="Z1362" s="2" t="s">
        <v>49</v>
      </c>
      <c r="AA1362" s="2">
        <v>25</v>
      </c>
      <c r="AB1362" s="2">
        <v>0</v>
      </c>
      <c r="AC1362" s="2" t="s">
        <v>10789</v>
      </c>
      <c r="AD1362" s="2" t="s">
        <v>27548</v>
      </c>
      <c r="AE1362" s="2" t="s">
        <v>27420</v>
      </c>
      <c r="AF1362" s="2"/>
      <c r="AG1362" s="2" t="s">
        <v>18250</v>
      </c>
    </row>
    <row r="1363" spans="1:33" x14ac:dyDescent="0.45">
      <c r="A1363" s="2" t="s">
        <v>14860</v>
      </c>
      <c r="B1363" s="2" t="s">
        <v>27549</v>
      </c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 t="s">
        <v>843</v>
      </c>
      <c r="S1363" s="2" t="s">
        <v>44</v>
      </c>
      <c r="T1363" s="2"/>
      <c r="U1363" s="2" t="s">
        <v>821</v>
      </c>
      <c r="V1363" s="2" t="s">
        <v>199</v>
      </c>
      <c r="W1363" s="2" t="s">
        <v>821</v>
      </c>
      <c r="X1363" s="2"/>
      <c r="Y1363" s="2" t="s">
        <v>17795</v>
      </c>
      <c r="Z1363" s="2" t="s">
        <v>49</v>
      </c>
      <c r="AA1363" s="2">
        <v>25</v>
      </c>
      <c r="AB1363" s="2">
        <v>2</v>
      </c>
      <c r="AC1363" s="2" t="s">
        <v>10789</v>
      </c>
      <c r="AD1363" s="2" t="s">
        <v>27550</v>
      </c>
      <c r="AE1363" s="2" t="s">
        <v>27420</v>
      </c>
      <c r="AF1363" s="2"/>
      <c r="AG1363" s="2" t="s">
        <v>18250</v>
      </c>
    </row>
    <row r="1364" spans="1:33" x14ac:dyDescent="0.45">
      <c r="A1364" s="2" t="s">
        <v>27551</v>
      </c>
      <c r="B1364" s="2" t="s">
        <v>27552</v>
      </c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 t="s">
        <v>3148</v>
      </c>
      <c r="S1364" s="2" t="s">
        <v>44</v>
      </c>
      <c r="T1364" s="2"/>
      <c r="U1364" s="2" t="s">
        <v>821</v>
      </c>
      <c r="V1364" s="2" t="s">
        <v>46</v>
      </c>
      <c r="W1364" s="2" t="s">
        <v>821</v>
      </c>
      <c r="X1364" s="2"/>
      <c r="Y1364" s="2" t="s">
        <v>17795</v>
      </c>
      <c r="Z1364" s="2" t="s">
        <v>49</v>
      </c>
      <c r="AA1364" s="2">
        <v>25</v>
      </c>
      <c r="AB1364" s="2">
        <v>2</v>
      </c>
      <c r="AC1364" s="2" t="s">
        <v>10789</v>
      </c>
      <c r="AD1364" s="2" t="s">
        <v>27553</v>
      </c>
      <c r="AE1364" s="2" t="s">
        <v>27420</v>
      </c>
      <c r="AF1364" s="2"/>
      <c r="AG1364" s="2" t="s">
        <v>18250</v>
      </c>
    </row>
    <row r="1365" spans="1:33" x14ac:dyDescent="0.45">
      <c r="A1365" s="2" t="s">
        <v>27554</v>
      </c>
      <c r="B1365" s="2" t="s">
        <v>27555</v>
      </c>
      <c r="C1365" s="2"/>
      <c r="D1365" s="2" t="s">
        <v>27556</v>
      </c>
      <c r="E1365" s="2"/>
      <c r="F1365" s="2"/>
      <c r="G1365" s="2"/>
      <c r="H1365" s="2" t="s">
        <v>72</v>
      </c>
      <c r="I1365" s="2" t="s">
        <v>73</v>
      </c>
      <c r="J1365" s="2" t="s">
        <v>464</v>
      </c>
      <c r="K1365" s="2" t="s">
        <v>27556</v>
      </c>
      <c r="L1365" s="2"/>
      <c r="M1365" s="2"/>
      <c r="N1365" s="2"/>
      <c r="O1365" s="2" t="s">
        <v>72</v>
      </c>
      <c r="P1365" s="2" t="s">
        <v>73</v>
      </c>
      <c r="Q1365" s="2" t="s">
        <v>722</v>
      </c>
      <c r="R1365" s="2" t="s">
        <v>24292</v>
      </c>
      <c r="S1365" s="2" t="s">
        <v>44</v>
      </c>
      <c r="T1365" s="2"/>
      <c r="U1365" s="2" t="s">
        <v>45</v>
      </c>
      <c r="V1365" s="2" t="s">
        <v>46</v>
      </c>
      <c r="W1365" s="2" t="s">
        <v>45</v>
      </c>
      <c r="X1365" s="2"/>
      <c r="Y1365" s="2" t="s">
        <v>17795</v>
      </c>
      <c r="Z1365" s="2" t="s">
        <v>49</v>
      </c>
      <c r="AA1365" s="2">
        <v>55</v>
      </c>
      <c r="AB1365" s="2">
        <v>30</v>
      </c>
      <c r="AC1365" s="2" t="s">
        <v>10789</v>
      </c>
      <c r="AD1365" s="2" t="s">
        <v>27557</v>
      </c>
      <c r="AE1365" s="2" t="s">
        <v>27420</v>
      </c>
      <c r="AF1365" s="2"/>
      <c r="AG1365" s="2" t="s">
        <v>18250</v>
      </c>
    </row>
    <row r="1366" spans="1:33" x14ac:dyDescent="0.45">
      <c r="A1366" s="2" t="s">
        <v>27558</v>
      </c>
      <c r="B1366" s="2" t="s">
        <v>27559</v>
      </c>
      <c r="C1366" s="2"/>
      <c r="D1366" s="2" t="s">
        <v>27560</v>
      </c>
      <c r="E1366" s="2"/>
      <c r="F1366" s="2"/>
      <c r="G1366" s="2"/>
      <c r="H1366" s="2" t="s">
        <v>39</v>
      </c>
      <c r="I1366" s="2" t="s">
        <v>40</v>
      </c>
      <c r="J1366" s="2" t="s">
        <v>11002</v>
      </c>
      <c r="K1366" s="2"/>
      <c r="L1366" s="2"/>
      <c r="M1366" s="2"/>
      <c r="N1366" s="2"/>
      <c r="O1366" s="2"/>
      <c r="P1366" s="2"/>
      <c r="Q1366" s="2"/>
      <c r="R1366" s="2" t="s">
        <v>733</v>
      </c>
      <c r="S1366" s="2" t="s">
        <v>44</v>
      </c>
      <c r="T1366" s="2"/>
      <c r="U1366" s="2" t="s">
        <v>3527</v>
      </c>
      <c r="V1366" s="2" t="s">
        <v>46</v>
      </c>
      <c r="W1366" s="2" t="s">
        <v>3527</v>
      </c>
      <c r="X1366" s="2"/>
      <c r="Y1366" s="2" t="s">
        <v>17795</v>
      </c>
      <c r="Z1366" s="2" t="s">
        <v>49</v>
      </c>
      <c r="AA1366" s="2">
        <v>55</v>
      </c>
      <c r="AB1366" s="2">
        <v>20</v>
      </c>
      <c r="AC1366" s="2" t="s">
        <v>10789</v>
      </c>
      <c r="AD1366" s="2" t="s">
        <v>27561</v>
      </c>
      <c r="AE1366" s="2" t="s">
        <v>27420</v>
      </c>
      <c r="AF1366" s="2"/>
      <c r="AG1366" s="2" t="s">
        <v>18250</v>
      </c>
    </row>
    <row r="1367" spans="1:33" x14ac:dyDescent="0.45">
      <c r="A1367" s="2" t="s">
        <v>27562</v>
      </c>
      <c r="B1367" s="2" t="s">
        <v>27563</v>
      </c>
      <c r="C1367" s="2" t="s">
        <v>27564</v>
      </c>
      <c r="D1367" s="2" t="s">
        <v>27565</v>
      </c>
      <c r="E1367" s="2"/>
      <c r="F1367" s="2"/>
      <c r="G1367" s="2"/>
      <c r="H1367" s="2" t="s">
        <v>39</v>
      </c>
      <c r="I1367" s="2" t="s">
        <v>40</v>
      </c>
      <c r="J1367" s="2" t="s">
        <v>1877</v>
      </c>
      <c r="K1367" s="2"/>
      <c r="L1367" s="2"/>
      <c r="M1367" s="2"/>
      <c r="N1367" s="2"/>
      <c r="O1367" s="2"/>
      <c r="P1367" s="2"/>
      <c r="Q1367" s="2"/>
      <c r="R1367" s="2" t="s">
        <v>16575</v>
      </c>
      <c r="S1367" s="2" t="s">
        <v>44</v>
      </c>
      <c r="T1367" s="2"/>
      <c r="U1367" s="2" t="s">
        <v>45</v>
      </c>
      <c r="V1367" s="2" t="s">
        <v>46</v>
      </c>
      <c r="W1367" s="2" t="s">
        <v>45</v>
      </c>
      <c r="X1367" s="2"/>
      <c r="Y1367" s="2" t="s">
        <v>17795</v>
      </c>
      <c r="Z1367" s="2" t="s">
        <v>49</v>
      </c>
      <c r="AA1367" s="2">
        <v>70</v>
      </c>
      <c r="AB1367" s="2">
        <v>35</v>
      </c>
      <c r="AC1367" s="2" t="s">
        <v>10789</v>
      </c>
      <c r="AD1367" s="2" t="s">
        <v>27566</v>
      </c>
      <c r="AE1367" s="2" t="s">
        <v>27420</v>
      </c>
      <c r="AF1367" s="2"/>
      <c r="AG1367" s="2" t="s">
        <v>18250</v>
      </c>
    </row>
    <row r="1368" spans="1:33" x14ac:dyDescent="0.45">
      <c r="A1368" s="2" t="s">
        <v>27567</v>
      </c>
      <c r="B1368" s="2" t="s">
        <v>27568</v>
      </c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 t="s">
        <v>27569</v>
      </c>
      <c r="S1368" s="2" t="s">
        <v>44</v>
      </c>
      <c r="T1368" s="2"/>
      <c r="U1368" s="2" t="s">
        <v>45</v>
      </c>
      <c r="V1368" s="2" t="s">
        <v>46</v>
      </c>
      <c r="W1368" s="2" t="s">
        <v>45</v>
      </c>
      <c r="X1368" s="2"/>
      <c r="Y1368" s="2" t="s">
        <v>17795</v>
      </c>
      <c r="Z1368" s="2" t="s">
        <v>49</v>
      </c>
      <c r="AA1368" s="2">
        <v>25</v>
      </c>
      <c r="AB1368" s="2">
        <v>5</v>
      </c>
      <c r="AC1368" s="2" t="s">
        <v>10789</v>
      </c>
      <c r="AD1368" s="2" t="s">
        <v>27570</v>
      </c>
      <c r="AE1368" s="2" t="s">
        <v>27420</v>
      </c>
      <c r="AF1368" s="2"/>
      <c r="AG1368" s="2" t="s">
        <v>18250</v>
      </c>
    </row>
    <row r="1369" spans="1:33" x14ac:dyDescent="0.45">
      <c r="A1369" s="2" t="s">
        <v>27571</v>
      </c>
      <c r="B1369" s="2" t="s">
        <v>27572</v>
      </c>
      <c r="C1369" s="2" t="s">
        <v>27573</v>
      </c>
      <c r="D1369" s="2" t="s">
        <v>27574</v>
      </c>
      <c r="E1369" s="2"/>
      <c r="F1369" s="2"/>
      <c r="G1369" s="2"/>
      <c r="H1369" s="2" t="s">
        <v>5931</v>
      </c>
      <c r="I1369" s="2" t="s">
        <v>1112</v>
      </c>
      <c r="J1369" s="2" t="s">
        <v>2782</v>
      </c>
      <c r="K1369" s="2"/>
      <c r="L1369" s="2"/>
      <c r="M1369" s="2"/>
      <c r="N1369" s="2"/>
      <c r="O1369" s="2"/>
      <c r="P1369" s="2"/>
      <c r="Q1369" s="2"/>
      <c r="R1369" s="2" t="s">
        <v>885</v>
      </c>
      <c r="S1369" s="2" t="s">
        <v>44</v>
      </c>
      <c r="T1369" s="2"/>
      <c r="U1369" s="2" t="s">
        <v>45</v>
      </c>
      <c r="V1369" s="2" t="s">
        <v>46</v>
      </c>
      <c r="W1369" s="2" t="s">
        <v>45</v>
      </c>
      <c r="X1369" s="2"/>
      <c r="Y1369" s="2" t="s">
        <v>17795</v>
      </c>
      <c r="Z1369" s="2" t="s">
        <v>49</v>
      </c>
      <c r="AA1369" s="2">
        <v>70</v>
      </c>
      <c r="AB1369" s="2">
        <v>30</v>
      </c>
      <c r="AC1369" s="2" t="s">
        <v>10789</v>
      </c>
      <c r="AD1369" s="2" t="s">
        <v>27575</v>
      </c>
      <c r="AE1369" s="2" t="s">
        <v>27420</v>
      </c>
      <c r="AF1369" s="2"/>
      <c r="AG1369" s="2" t="s">
        <v>18250</v>
      </c>
    </row>
    <row r="1370" spans="1:33" x14ac:dyDescent="0.45">
      <c r="A1370" s="2" t="s">
        <v>27576</v>
      </c>
      <c r="B1370" s="2" t="s">
        <v>27577</v>
      </c>
      <c r="C1370" s="2" t="s">
        <v>27578</v>
      </c>
      <c r="D1370" s="2" t="s">
        <v>27579</v>
      </c>
      <c r="E1370" s="2"/>
      <c r="F1370" s="2"/>
      <c r="G1370" s="2"/>
      <c r="H1370" s="2" t="s">
        <v>72</v>
      </c>
      <c r="I1370" s="2" t="s">
        <v>73</v>
      </c>
      <c r="J1370" s="2" t="s">
        <v>1610</v>
      </c>
      <c r="K1370" s="2" t="s">
        <v>27580</v>
      </c>
      <c r="L1370" s="2"/>
      <c r="M1370" s="2"/>
      <c r="N1370" s="2"/>
      <c r="O1370" s="2" t="s">
        <v>72</v>
      </c>
      <c r="P1370" s="2" t="s">
        <v>73</v>
      </c>
      <c r="Q1370" s="2" t="s">
        <v>1610</v>
      </c>
      <c r="R1370" s="2" t="s">
        <v>27581</v>
      </c>
      <c r="S1370" s="2" t="s">
        <v>44</v>
      </c>
      <c r="T1370" s="2"/>
      <c r="U1370" s="2" t="s">
        <v>45</v>
      </c>
      <c r="V1370" s="2" t="s">
        <v>46</v>
      </c>
      <c r="W1370" s="2" t="s">
        <v>45</v>
      </c>
      <c r="X1370" s="2"/>
      <c r="Y1370" s="2" t="s">
        <v>17795</v>
      </c>
      <c r="Z1370" s="2" t="s">
        <v>49</v>
      </c>
      <c r="AA1370" s="2">
        <v>70</v>
      </c>
      <c r="AB1370" s="2">
        <v>35</v>
      </c>
      <c r="AC1370" s="2" t="s">
        <v>10789</v>
      </c>
      <c r="AD1370" s="2" t="s">
        <v>27582</v>
      </c>
      <c r="AE1370" s="2" t="s">
        <v>27420</v>
      </c>
      <c r="AF1370" s="2"/>
      <c r="AG1370" s="2" t="s">
        <v>18250</v>
      </c>
    </row>
    <row r="1371" spans="1:33" x14ac:dyDescent="0.45">
      <c r="A1371" s="2" t="s">
        <v>27583</v>
      </c>
      <c r="B1371" s="2" t="s">
        <v>27584</v>
      </c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 t="s">
        <v>24757</v>
      </c>
      <c r="S1371" s="2" t="s">
        <v>44</v>
      </c>
      <c r="T1371" s="2"/>
      <c r="U1371" s="2" t="s">
        <v>821</v>
      </c>
      <c r="V1371" s="2" t="s">
        <v>46</v>
      </c>
      <c r="W1371" s="2" t="s">
        <v>821</v>
      </c>
      <c r="X1371" s="2"/>
      <c r="Y1371" s="2" t="s">
        <v>17795</v>
      </c>
      <c r="Z1371" s="2" t="s">
        <v>49</v>
      </c>
      <c r="AA1371" s="2">
        <v>25</v>
      </c>
      <c r="AB1371" s="2">
        <v>2</v>
      </c>
      <c r="AC1371" s="2" t="s">
        <v>10789</v>
      </c>
      <c r="AD1371" s="2" t="s">
        <v>27585</v>
      </c>
      <c r="AE1371" s="2" t="s">
        <v>27420</v>
      </c>
      <c r="AF1371" s="2"/>
      <c r="AG1371" s="2" t="s">
        <v>18250</v>
      </c>
    </row>
    <row r="1372" spans="1:33" x14ac:dyDescent="0.45">
      <c r="A1372" s="2" t="s">
        <v>27586</v>
      </c>
      <c r="B1372" s="2" t="s">
        <v>27587</v>
      </c>
      <c r="C1372" s="2" t="s">
        <v>27588</v>
      </c>
      <c r="D1372" s="2" t="s">
        <v>27589</v>
      </c>
      <c r="E1372" s="2"/>
      <c r="F1372" s="2"/>
      <c r="G1372" s="2"/>
      <c r="H1372" s="2" t="s">
        <v>384</v>
      </c>
      <c r="I1372" s="2" t="s">
        <v>73</v>
      </c>
      <c r="J1372" s="2" t="s">
        <v>1837</v>
      </c>
      <c r="K1372" s="2" t="s">
        <v>27590</v>
      </c>
      <c r="L1372" s="2"/>
      <c r="M1372" s="2"/>
      <c r="N1372" s="2"/>
      <c r="O1372" s="2" t="s">
        <v>384</v>
      </c>
      <c r="P1372" s="2" t="s">
        <v>73</v>
      </c>
      <c r="Q1372" s="2" t="s">
        <v>1837</v>
      </c>
      <c r="R1372" s="2" t="s">
        <v>27591</v>
      </c>
      <c r="S1372" s="2" t="s">
        <v>44</v>
      </c>
      <c r="T1372" s="2"/>
      <c r="U1372" s="2" t="s">
        <v>45</v>
      </c>
      <c r="V1372" s="2" t="s">
        <v>46</v>
      </c>
      <c r="W1372" s="2" t="s">
        <v>45</v>
      </c>
      <c r="X1372" s="2"/>
      <c r="Y1372" s="2" t="s">
        <v>17795</v>
      </c>
      <c r="Z1372" s="2" t="s">
        <v>49</v>
      </c>
      <c r="AA1372" s="2">
        <v>70</v>
      </c>
      <c r="AB1372" s="2">
        <v>35</v>
      </c>
      <c r="AC1372" s="2" t="s">
        <v>10789</v>
      </c>
      <c r="AD1372" s="2" t="s">
        <v>27592</v>
      </c>
      <c r="AE1372" s="2" t="s">
        <v>27420</v>
      </c>
      <c r="AF1372" s="2"/>
      <c r="AG1372" s="2" t="s">
        <v>18250</v>
      </c>
    </row>
    <row r="1373" spans="1:33" x14ac:dyDescent="0.45">
      <c r="A1373" s="2" t="s">
        <v>27593</v>
      </c>
      <c r="B1373" s="2" t="s">
        <v>27594</v>
      </c>
      <c r="C1373" s="2"/>
      <c r="D1373" s="2" t="s">
        <v>27595</v>
      </c>
      <c r="E1373" s="2"/>
      <c r="F1373" s="2"/>
      <c r="G1373" s="2"/>
      <c r="H1373" s="2" t="s">
        <v>72</v>
      </c>
      <c r="I1373" s="2" t="s">
        <v>73</v>
      </c>
      <c r="J1373" s="2" t="s">
        <v>1896</v>
      </c>
      <c r="K1373" s="2" t="s">
        <v>27595</v>
      </c>
      <c r="L1373" s="2"/>
      <c r="M1373" s="2"/>
      <c r="N1373" s="2"/>
      <c r="O1373" s="2" t="s">
        <v>72</v>
      </c>
      <c r="P1373" s="2" t="s">
        <v>73</v>
      </c>
      <c r="Q1373" s="2" t="s">
        <v>1896</v>
      </c>
      <c r="R1373" s="2" t="s">
        <v>17794</v>
      </c>
      <c r="S1373" s="2" t="s">
        <v>44</v>
      </c>
      <c r="T1373" s="2"/>
      <c r="U1373" s="2" t="s">
        <v>45</v>
      </c>
      <c r="V1373" s="2" t="s">
        <v>46</v>
      </c>
      <c r="W1373" s="2" t="s">
        <v>45</v>
      </c>
      <c r="X1373" s="2"/>
      <c r="Y1373" s="2" t="s">
        <v>17795</v>
      </c>
      <c r="Z1373" s="2" t="s">
        <v>49</v>
      </c>
      <c r="AA1373" s="2">
        <v>55</v>
      </c>
      <c r="AB1373" s="2">
        <v>30</v>
      </c>
      <c r="AC1373" s="2" t="s">
        <v>10789</v>
      </c>
      <c r="AD1373" s="2" t="s">
        <v>27596</v>
      </c>
      <c r="AE1373" s="2" t="s">
        <v>27420</v>
      </c>
      <c r="AF1373" s="2"/>
      <c r="AG1373" s="2" t="s">
        <v>18250</v>
      </c>
    </row>
    <row r="1374" spans="1:33" x14ac:dyDescent="0.45">
      <c r="A1374" s="2" t="s">
        <v>27597</v>
      </c>
      <c r="B1374" s="2" t="s">
        <v>27598</v>
      </c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 t="s">
        <v>733</v>
      </c>
      <c r="S1374" s="2" t="s">
        <v>44</v>
      </c>
      <c r="T1374" s="2"/>
      <c r="U1374" s="2" t="s">
        <v>821</v>
      </c>
      <c r="V1374" s="2" t="s">
        <v>46</v>
      </c>
      <c r="W1374" s="2" t="s">
        <v>821</v>
      </c>
      <c r="X1374" s="2"/>
      <c r="Y1374" s="2" t="s">
        <v>17795</v>
      </c>
      <c r="Z1374" s="2" t="s">
        <v>49</v>
      </c>
      <c r="AA1374" s="2">
        <v>25</v>
      </c>
      <c r="AB1374" s="2">
        <v>2</v>
      </c>
      <c r="AC1374" s="2" t="s">
        <v>10789</v>
      </c>
      <c r="AD1374" s="2" t="s">
        <v>27599</v>
      </c>
      <c r="AE1374" s="2" t="s">
        <v>27420</v>
      </c>
      <c r="AF1374" s="2"/>
      <c r="AG1374" s="2" t="s">
        <v>18250</v>
      </c>
    </row>
    <row r="1375" spans="1:33" x14ac:dyDescent="0.45">
      <c r="A1375" s="2" t="s">
        <v>27600</v>
      </c>
      <c r="B1375" s="2" t="s">
        <v>27601</v>
      </c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 t="s">
        <v>27602</v>
      </c>
      <c r="S1375" s="2" t="s">
        <v>44</v>
      </c>
      <c r="T1375" s="2"/>
      <c r="U1375" s="2" t="s">
        <v>3527</v>
      </c>
      <c r="V1375" s="2" t="s">
        <v>46</v>
      </c>
      <c r="W1375" s="2" t="s">
        <v>3527</v>
      </c>
      <c r="X1375" s="2"/>
      <c r="Y1375" s="2" t="s">
        <v>17795</v>
      </c>
      <c r="Z1375" s="2" t="s">
        <v>49</v>
      </c>
      <c r="AA1375" s="2">
        <v>25</v>
      </c>
      <c r="AB1375" s="2">
        <v>0</v>
      </c>
      <c r="AC1375" s="2" t="s">
        <v>10789</v>
      </c>
      <c r="AD1375" s="2" t="s">
        <v>27603</v>
      </c>
      <c r="AE1375" s="2" t="s">
        <v>27420</v>
      </c>
      <c r="AF1375" s="2"/>
      <c r="AG1375" s="2" t="s">
        <v>18250</v>
      </c>
    </row>
    <row r="1376" spans="1:33" x14ac:dyDescent="0.45">
      <c r="A1376" s="2" t="s">
        <v>4803</v>
      </c>
      <c r="B1376" s="2" t="s">
        <v>27604</v>
      </c>
      <c r="C1376" s="2" t="s">
        <v>27605</v>
      </c>
      <c r="D1376" s="2" t="s">
        <v>27606</v>
      </c>
      <c r="E1376" s="2"/>
      <c r="F1376" s="2"/>
      <c r="G1376" s="2"/>
      <c r="H1376" s="2" t="s">
        <v>59</v>
      </c>
      <c r="I1376" s="2" t="s">
        <v>60</v>
      </c>
      <c r="J1376" s="2" t="s">
        <v>1589</v>
      </c>
      <c r="K1376" s="2"/>
      <c r="L1376" s="2"/>
      <c r="M1376" s="2"/>
      <c r="N1376" s="2"/>
      <c r="O1376" s="2"/>
      <c r="P1376" s="2"/>
      <c r="Q1376" s="2"/>
      <c r="R1376" s="2" t="s">
        <v>13150</v>
      </c>
      <c r="S1376" s="2" t="s">
        <v>44</v>
      </c>
      <c r="T1376" s="2"/>
      <c r="U1376" s="2" t="s">
        <v>45</v>
      </c>
      <c r="V1376" s="2" t="s">
        <v>199</v>
      </c>
      <c r="W1376" s="2" t="s">
        <v>45</v>
      </c>
      <c r="X1376" s="2"/>
      <c r="Y1376" s="2" t="s">
        <v>17795</v>
      </c>
      <c r="Z1376" s="2" t="s">
        <v>49</v>
      </c>
      <c r="AA1376" s="2">
        <v>70</v>
      </c>
      <c r="AB1376" s="2">
        <v>35</v>
      </c>
      <c r="AC1376" s="2" t="s">
        <v>10789</v>
      </c>
      <c r="AD1376" s="2" t="s">
        <v>27607</v>
      </c>
      <c r="AE1376" s="2" t="s">
        <v>27420</v>
      </c>
      <c r="AF1376" s="2"/>
      <c r="AG1376" s="2" t="s">
        <v>18250</v>
      </c>
    </row>
    <row r="1377" spans="1:33" x14ac:dyDescent="0.45">
      <c r="A1377" s="2" t="s">
        <v>27608</v>
      </c>
      <c r="B1377" s="2" t="s">
        <v>27609</v>
      </c>
      <c r="C1377" s="2"/>
      <c r="D1377" s="2" t="s">
        <v>27610</v>
      </c>
      <c r="E1377" s="2"/>
      <c r="F1377" s="2"/>
      <c r="G1377" s="2"/>
      <c r="H1377" s="2" t="s">
        <v>72</v>
      </c>
      <c r="I1377" s="2" t="s">
        <v>73</v>
      </c>
      <c r="J1377" s="2" t="s">
        <v>464</v>
      </c>
      <c r="K1377" s="2" t="s">
        <v>27611</v>
      </c>
      <c r="L1377" s="2"/>
      <c r="M1377" s="2"/>
      <c r="N1377" s="2"/>
      <c r="O1377" s="2" t="s">
        <v>72</v>
      </c>
      <c r="P1377" s="2" t="s">
        <v>73</v>
      </c>
      <c r="Q1377" s="2" t="s">
        <v>464</v>
      </c>
      <c r="R1377" s="2" t="s">
        <v>27612</v>
      </c>
      <c r="S1377" s="2" t="s">
        <v>44</v>
      </c>
      <c r="T1377" s="2"/>
      <c r="U1377" s="2" t="s">
        <v>45</v>
      </c>
      <c r="V1377" s="2" t="s">
        <v>46</v>
      </c>
      <c r="W1377" s="2" t="s">
        <v>45</v>
      </c>
      <c r="X1377" s="2"/>
      <c r="Y1377" s="2" t="s">
        <v>17795</v>
      </c>
      <c r="Z1377" s="2" t="s">
        <v>49</v>
      </c>
      <c r="AA1377" s="2">
        <v>55</v>
      </c>
      <c r="AB1377" s="2">
        <v>30</v>
      </c>
      <c r="AC1377" s="2" t="s">
        <v>10789</v>
      </c>
      <c r="AD1377" s="2" t="s">
        <v>27613</v>
      </c>
      <c r="AE1377" s="2" t="s">
        <v>27420</v>
      </c>
      <c r="AF1377" s="2"/>
      <c r="AG1377" s="2" t="s">
        <v>18250</v>
      </c>
    </row>
    <row r="1378" spans="1:33" x14ac:dyDescent="0.45">
      <c r="A1378" s="2" t="s">
        <v>27614</v>
      </c>
      <c r="B1378" s="2" t="s">
        <v>27615</v>
      </c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 t="s">
        <v>25117</v>
      </c>
      <c r="S1378" s="2" t="s">
        <v>44</v>
      </c>
      <c r="T1378" s="2"/>
      <c r="U1378" s="2" t="s">
        <v>45</v>
      </c>
      <c r="V1378" s="2" t="s">
        <v>46</v>
      </c>
      <c r="W1378" s="2" t="s">
        <v>45</v>
      </c>
      <c r="X1378" s="2"/>
      <c r="Y1378" s="2" t="s">
        <v>17795</v>
      </c>
      <c r="Z1378" s="2" t="s">
        <v>49</v>
      </c>
      <c r="AA1378" s="2">
        <v>25</v>
      </c>
      <c r="AB1378" s="2">
        <v>5</v>
      </c>
      <c r="AC1378" s="2" t="s">
        <v>10789</v>
      </c>
      <c r="AD1378" s="2" t="s">
        <v>27616</v>
      </c>
      <c r="AE1378" s="2" t="s">
        <v>27420</v>
      </c>
      <c r="AF1378" s="2"/>
      <c r="AG1378" s="2" t="s">
        <v>18250</v>
      </c>
    </row>
    <row r="1379" spans="1:33" x14ac:dyDescent="0.45">
      <c r="A1379" s="2" t="s">
        <v>27617</v>
      </c>
      <c r="B1379" s="2" t="s">
        <v>27618</v>
      </c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 t="s">
        <v>7581</v>
      </c>
      <c r="S1379" s="2" t="s">
        <v>44</v>
      </c>
      <c r="T1379" s="2"/>
      <c r="U1379" s="2" t="s">
        <v>821</v>
      </c>
      <c r="V1379" s="2" t="s">
        <v>46</v>
      </c>
      <c r="W1379" s="2" t="s">
        <v>821</v>
      </c>
      <c r="X1379" s="2"/>
      <c r="Y1379" s="2" t="s">
        <v>17795</v>
      </c>
      <c r="Z1379" s="2" t="s">
        <v>49</v>
      </c>
      <c r="AA1379" s="2">
        <v>25</v>
      </c>
      <c r="AB1379" s="2">
        <v>2</v>
      </c>
      <c r="AC1379" s="2" t="s">
        <v>10789</v>
      </c>
      <c r="AD1379" s="2" t="s">
        <v>27619</v>
      </c>
      <c r="AE1379" s="2" t="s">
        <v>27420</v>
      </c>
      <c r="AF1379" s="2"/>
      <c r="AG1379" s="2" t="s">
        <v>18250</v>
      </c>
    </row>
    <row r="1380" spans="1:33" x14ac:dyDescent="0.45">
      <c r="A1380" s="2" t="s">
        <v>27620</v>
      </c>
      <c r="B1380" s="2" t="s">
        <v>27621</v>
      </c>
      <c r="C1380" s="2"/>
      <c r="D1380" s="2" t="s">
        <v>27622</v>
      </c>
      <c r="E1380" s="2"/>
      <c r="F1380" s="2"/>
      <c r="G1380" s="2"/>
      <c r="H1380" s="2" t="s">
        <v>1115</v>
      </c>
      <c r="I1380" s="2" t="s">
        <v>1112</v>
      </c>
      <c r="J1380" s="2" t="s">
        <v>27623</v>
      </c>
      <c r="K1380" s="2" t="s">
        <v>27622</v>
      </c>
      <c r="L1380" s="2"/>
      <c r="M1380" s="2"/>
      <c r="N1380" s="2"/>
      <c r="O1380" s="2" t="s">
        <v>1115</v>
      </c>
      <c r="P1380" s="2" t="s">
        <v>1112</v>
      </c>
      <c r="Q1380" s="2" t="s">
        <v>27623</v>
      </c>
      <c r="R1380" s="2" t="s">
        <v>7034</v>
      </c>
      <c r="S1380" s="2" t="s">
        <v>44</v>
      </c>
      <c r="T1380" s="2"/>
      <c r="U1380" s="2" t="s">
        <v>821</v>
      </c>
      <c r="V1380" s="2" t="s">
        <v>46</v>
      </c>
      <c r="W1380" s="2" t="s">
        <v>821</v>
      </c>
      <c r="X1380" s="2"/>
      <c r="Y1380" s="2" t="s">
        <v>17795</v>
      </c>
      <c r="Z1380" s="2" t="s">
        <v>49</v>
      </c>
      <c r="AA1380" s="2">
        <v>55</v>
      </c>
      <c r="AB1380" s="2">
        <v>22</v>
      </c>
      <c r="AC1380" s="2" t="s">
        <v>10789</v>
      </c>
      <c r="AD1380" s="2" t="s">
        <v>27624</v>
      </c>
      <c r="AE1380" s="2" t="s">
        <v>27420</v>
      </c>
      <c r="AF1380" s="2"/>
      <c r="AG1380" s="2" t="s">
        <v>18250</v>
      </c>
    </row>
    <row r="1381" spans="1:33" x14ac:dyDescent="0.45">
      <c r="A1381" s="2" t="s">
        <v>27625</v>
      </c>
      <c r="B1381" s="2" t="s">
        <v>27626</v>
      </c>
      <c r="C1381" s="2" t="s">
        <v>27627</v>
      </c>
      <c r="D1381" s="2" t="s">
        <v>27628</v>
      </c>
      <c r="E1381" s="2"/>
      <c r="F1381" s="2"/>
      <c r="G1381" s="2"/>
      <c r="H1381" s="2" t="s">
        <v>72</v>
      </c>
      <c r="I1381" s="2" t="s">
        <v>73</v>
      </c>
      <c r="J1381" s="2" t="s">
        <v>197</v>
      </c>
      <c r="K1381" s="2" t="s">
        <v>27629</v>
      </c>
      <c r="L1381" s="2"/>
      <c r="M1381" s="2"/>
      <c r="N1381" s="2"/>
      <c r="O1381" s="2" t="s">
        <v>72</v>
      </c>
      <c r="P1381" s="2" t="s">
        <v>73</v>
      </c>
      <c r="Q1381" s="2" t="s">
        <v>197</v>
      </c>
      <c r="R1381" s="2" t="s">
        <v>27630</v>
      </c>
      <c r="S1381" s="2" t="s">
        <v>44</v>
      </c>
      <c r="T1381" s="2"/>
      <c r="U1381" s="2" t="s">
        <v>45</v>
      </c>
      <c r="V1381" s="2" t="s">
        <v>46</v>
      </c>
      <c r="W1381" s="2" t="s">
        <v>45</v>
      </c>
      <c r="X1381" s="2"/>
      <c r="Y1381" s="2" t="s">
        <v>17795</v>
      </c>
      <c r="Z1381" s="2" t="s">
        <v>49</v>
      </c>
      <c r="AA1381" s="2">
        <v>70</v>
      </c>
      <c r="AB1381" s="2">
        <v>35</v>
      </c>
      <c r="AC1381" s="2" t="s">
        <v>10789</v>
      </c>
      <c r="AD1381" s="2" t="s">
        <v>27631</v>
      </c>
      <c r="AE1381" s="2" t="s">
        <v>27420</v>
      </c>
      <c r="AF1381" s="2"/>
      <c r="AG1381" s="2" t="s">
        <v>18250</v>
      </c>
    </row>
    <row r="1382" spans="1:33" x14ac:dyDescent="0.45">
      <c r="A1382" s="2" t="s">
        <v>27632</v>
      </c>
      <c r="B1382" s="2" t="s">
        <v>27633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 t="s">
        <v>24935</v>
      </c>
      <c r="S1382" s="2" t="s">
        <v>44</v>
      </c>
      <c r="T1382" s="2"/>
      <c r="U1382" s="2" t="s">
        <v>45</v>
      </c>
      <c r="V1382" s="2" t="s">
        <v>46</v>
      </c>
      <c r="W1382" s="2" t="s">
        <v>45</v>
      </c>
      <c r="X1382" s="2"/>
      <c r="Y1382" s="2" t="s">
        <v>17795</v>
      </c>
      <c r="Z1382" s="2" t="s">
        <v>49</v>
      </c>
      <c r="AA1382" s="2">
        <v>25</v>
      </c>
      <c r="AB1382" s="2">
        <v>5</v>
      </c>
      <c r="AC1382" s="2" t="s">
        <v>10789</v>
      </c>
      <c r="AD1382" s="2" t="s">
        <v>27634</v>
      </c>
      <c r="AE1382" s="2" t="s">
        <v>27420</v>
      </c>
      <c r="AF1382" s="2"/>
      <c r="AG1382" s="2" t="s">
        <v>18250</v>
      </c>
    </row>
    <row r="1383" spans="1:33" x14ac:dyDescent="0.45">
      <c r="A1383" s="2" t="s">
        <v>6273</v>
      </c>
      <c r="B1383" s="2" t="s">
        <v>27635</v>
      </c>
      <c r="C1383" s="2" t="s">
        <v>6275</v>
      </c>
      <c r="D1383" s="2" t="s">
        <v>27636</v>
      </c>
      <c r="E1383" s="2"/>
      <c r="F1383" s="2"/>
      <c r="G1383" s="2"/>
      <c r="H1383" s="2" t="s">
        <v>72</v>
      </c>
      <c r="I1383" s="2" t="s">
        <v>73</v>
      </c>
      <c r="J1383" s="2" t="s">
        <v>373</v>
      </c>
      <c r="K1383" s="2"/>
      <c r="L1383" s="2"/>
      <c r="M1383" s="2"/>
      <c r="N1383" s="2"/>
      <c r="O1383" s="2"/>
      <c r="P1383" s="2"/>
      <c r="Q1383" s="2"/>
      <c r="R1383" s="2" t="s">
        <v>3889</v>
      </c>
      <c r="S1383" s="2" t="s">
        <v>44</v>
      </c>
      <c r="T1383" s="2"/>
      <c r="U1383" s="2" t="s">
        <v>45</v>
      </c>
      <c r="V1383" s="2" t="s">
        <v>199</v>
      </c>
      <c r="W1383" s="2" t="s">
        <v>45</v>
      </c>
      <c r="X1383" s="2"/>
      <c r="Y1383" s="2" t="s">
        <v>17795</v>
      </c>
      <c r="Z1383" s="2" t="s">
        <v>49</v>
      </c>
      <c r="AA1383" s="2">
        <v>70</v>
      </c>
      <c r="AB1383" s="2">
        <v>35</v>
      </c>
      <c r="AC1383" s="2" t="s">
        <v>10789</v>
      </c>
      <c r="AD1383" s="2" t="s">
        <v>27637</v>
      </c>
      <c r="AE1383" s="2" t="s">
        <v>27420</v>
      </c>
      <c r="AF1383" s="2"/>
      <c r="AG1383" s="2" t="s">
        <v>18250</v>
      </c>
    </row>
    <row r="1384" spans="1:33" x14ac:dyDescent="0.45">
      <c r="A1384" s="2" t="s">
        <v>27638</v>
      </c>
      <c r="B1384" s="2" t="s">
        <v>27639</v>
      </c>
      <c r="C1384" s="2"/>
      <c r="D1384" s="2" t="s">
        <v>27640</v>
      </c>
      <c r="E1384" s="2"/>
      <c r="F1384" s="2"/>
      <c r="G1384" s="2"/>
      <c r="H1384" s="2" t="s">
        <v>59</v>
      </c>
      <c r="I1384" s="2" t="s">
        <v>60</v>
      </c>
      <c r="J1384" s="2" t="s">
        <v>5251</v>
      </c>
      <c r="K1384" s="2"/>
      <c r="L1384" s="2"/>
      <c r="M1384" s="2"/>
      <c r="N1384" s="2"/>
      <c r="O1384" s="2"/>
      <c r="P1384" s="2"/>
      <c r="Q1384" s="2"/>
      <c r="R1384" s="2" t="s">
        <v>3621</v>
      </c>
      <c r="S1384" s="2" t="s">
        <v>44</v>
      </c>
      <c r="T1384" s="2"/>
      <c r="U1384" s="2" t="s">
        <v>821</v>
      </c>
      <c r="V1384" s="2" t="s">
        <v>46</v>
      </c>
      <c r="W1384" s="2" t="s">
        <v>821</v>
      </c>
      <c r="X1384" s="2"/>
      <c r="Y1384" s="2" t="s">
        <v>17795</v>
      </c>
      <c r="Z1384" s="2" t="s">
        <v>49</v>
      </c>
      <c r="AA1384" s="2">
        <v>55</v>
      </c>
      <c r="AB1384" s="2">
        <v>27</v>
      </c>
      <c r="AC1384" s="2" t="s">
        <v>10789</v>
      </c>
      <c r="AD1384" s="2" t="s">
        <v>27641</v>
      </c>
      <c r="AE1384" s="2" t="s">
        <v>27420</v>
      </c>
      <c r="AF1384" s="2"/>
      <c r="AG1384" s="2" t="s">
        <v>18250</v>
      </c>
    </row>
    <row r="1385" spans="1:33" x14ac:dyDescent="0.45">
      <c r="A1385" s="2" t="s">
        <v>27642</v>
      </c>
      <c r="B1385" s="2" t="s">
        <v>27643</v>
      </c>
      <c r="C1385" s="2"/>
      <c r="D1385" s="2" t="s">
        <v>27644</v>
      </c>
      <c r="E1385" s="2"/>
      <c r="F1385" s="2"/>
      <c r="G1385" s="2"/>
      <c r="H1385" s="2" t="s">
        <v>536</v>
      </c>
      <c r="I1385" s="2" t="s">
        <v>537</v>
      </c>
      <c r="J1385" s="2" t="s">
        <v>3214</v>
      </c>
      <c r="K1385" s="2"/>
      <c r="L1385" s="2"/>
      <c r="M1385" s="2"/>
      <c r="N1385" s="2"/>
      <c r="O1385" s="2"/>
      <c r="P1385" s="2"/>
      <c r="Q1385" s="2"/>
      <c r="R1385" s="2" t="s">
        <v>22157</v>
      </c>
      <c r="S1385" s="2" t="s">
        <v>44</v>
      </c>
      <c r="T1385" s="2"/>
      <c r="U1385" s="2" t="s">
        <v>3527</v>
      </c>
      <c r="V1385" s="2" t="s">
        <v>46</v>
      </c>
      <c r="W1385" s="2" t="s">
        <v>3527</v>
      </c>
      <c r="X1385" s="2"/>
      <c r="Y1385" s="2" t="s">
        <v>17795</v>
      </c>
      <c r="Z1385" s="2" t="s">
        <v>49</v>
      </c>
      <c r="AA1385" s="2">
        <v>55</v>
      </c>
      <c r="AB1385" s="2">
        <v>20</v>
      </c>
      <c r="AC1385" s="2" t="s">
        <v>10789</v>
      </c>
      <c r="AD1385" s="2" t="s">
        <v>27645</v>
      </c>
      <c r="AE1385" s="2" t="s">
        <v>27420</v>
      </c>
      <c r="AF1385" s="2"/>
      <c r="AG1385" s="2" t="s">
        <v>18250</v>
      </c>
    </row>
    <row r="1386" spans="1:33" x14ac:dyDescent="0.45">
      <c r="A1386" s="2" t="s">
        <v>27642</v>
      </c>
      <c r="B1386" s="2" t="s">
        <v>27643</v>
      </c>
      <c r="C1386" s="2"/>
      <c r="D1386" s="2" t="s">
        <v>27644</v>
      </c>
      <c r="E1386" s="2"/>
      <c r="F1386" s="2"/>
      <c r="G1386" s="2"/>
      <c r="H1386" s="2" t="s">
        <v>536</v>
      </c>
      <c r="I1386" s="2" t="s">
        <v>537</v>
      </c>
      <c r="J1386" s="2" t="s">
        <v>3214</v>
      </c>
      <c r="K1386" s="2"/>
      <c r="L1386" s="2"/>
      <c r="M1386" s="2"/>
      <c r="N1386" s="2"/>
      <c r="O1386" s="2"/>
      <c r="P1386" s="2"/>
      <c r="Q1386" s="2"/>
      <c r="R1386" s="2" t="s">
        <v>22157</v>
      </c>
      <c r="S1386" s="2" t="s">
        <v>44</v>
      </c>
      <c r="T1386" s="2"/>
      <c r="U1386" s="2" t="s">
        <v>3527</v>
      </c>
      <c r="V1386" s="2" t="s">
        <v>46</v>
      </c>
      <c r="W1386" s="2" t="s">
        <v>3527</v>
      </c>
      <c r="X1386" s="2"/>
      <c r="Y1386" s="2" t="s">
        <v>17795</v>
      </c>
      <c r="Z1386" s="2" t="s">
        <v>49</v>
      </c>
      <c r="AA1386" s="2">
        <v>55</v>
      </c>
      <c r="AB1386" s="2">
        <v>20</v>
      </c>
      <c r="AC1386" s="2" t="s">
        <v>10789</v>
      </c>
      <c r="AD1386" s="2" t="s">
        <v>27645</v>
      </c>
      <c r="AE1386" s="2" t="s">
        <v>27420</v>
      </c>
      <c r="AF1386" s="2"/>
      <c r="AG1386" s="2" t="s">
        <v>18250</v>
      </c>
    </row>
    <row r="1387" spans="1:33" x14ac:dyDescent="0.45">
      <c r="A1387" s="2" t="s">
        <v>27646</v>
      </c>
      <c r="B1387" s="2" t="s">
        <v>27647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 t="s">
        <v>9240</v>
      </c>
      <c r="S1387" s="2" t="s">
        <v>44</v>
      </c>
      <c r="T1387" s="2"/>
      <c r="U1387" s="2" t="s">
        <v>821</v>
      </c>
      <c r="V1387" s="2" t="s">
        <v>46</v>
      </c>
      <c r="W1387" s="2" t="s">
        <v>821</v>
      </c>
      <c r="X1387" s="2"/>
      <c r="Y1387" s="2" t="s">
        <v>17795</v>
      </c>
      <c r="Z1387" s="2" t="s">
        <v>49</v>
      </c>
      <c r="AA1387" s="2">
        <v>25</v>
      </c>
      <c r="AB1387" s="2">
        <v>2</v>
      </c>
      <c r="AC1387" s="2" t="s">
        <v>10789</v>
      </c>
      <c r="AD1387" s="2" t="s">
        <v>27648</v>
      </c>
      <c r="AE1387" s="2" t="s">
        <v>27420</v>
      </c>
      <c r="AF1387" s="2"/>
      <c r="AG1387" s="2" t="s">
        <v>18250</v>
      </c>
    </row>
    <row r="1388" spans="1:33" x14ac:dyDescent="0.45">
      <c r="A1388" s="2" t="s">
        <v>27649</v>
      </c>
      <c r="B1388" s="2" t="s">
        <v>27650</v>
      </c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 t="s">
        <v>27651</v>
      </c>
      <c r="S1388" s="2" t="s">
        <v>44</v>
      </c>
      <c r="T1388" s="2"/>
      <c r="U1388" s="2" t="s">
        <v>45</v>
      </c>
      <c r="V1388" s="2" t="s">
        <v>46</v>
      </c>
      <c r="W1388" s="2" t="s">
        <v>45</v>
      </c>
      <c r="X1388" s="2"/>
      <c r="Y1388" s="2" t="s">
        <v>17795</v>
      </c>
      <c r="Z1388" s="2" t="s">
        <v>49</v>
      </c>
      <c r="AA1388" s="2">
        <v>25</v>
      </c>
      <c r="AB1388" s="2">
        <v>5</v>
      </c>
      <c r="AC1388" s="2" t="s">
        <v>10789</v>
      </c>
      <c r="AD1388" s="2" t="s">
        <v>27652</v>
      </c>
      <c r="AE1388" s="2" t="s">
        <v>27420</v>
      </c>
      <c r="AF1388" s="2"/>
      <c r="AG1388" s="2" t="s">
        <v>18250</v>
      </c>
    </row>
    <row r="1389" spans="1:33" x14ac:dyDescent="0.45">
      <c r="A1389" s="2" t="s">
        <v>27653</v>
      </c>
      <c r="B1389" s="2" t="s">
        <v>27654</v>
      </c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 t="s">
        <v>24409</v>
      </c>
      <c r="S1389" s="2" t="s">
        <v>44</v>
      </c>
      <c r="T1389" s="2"/>
      <c r="U1389" s="2" t="s">
        <v>821</v>
      </c>
      <c r="V1389" s="2" t="s">
        <v>46</v>
      </c>
      <c r="W1389" s="2" t="s">
        <v>821</v>
      </c>
      <c r="X1389" s="2"/>
      <c r="Y1389" s="2" t="s">
        <v>17795</v>
      </c>
      <c r="Z1389" s="2" t="s">
        <v>49</v>
      </c>
      <c r="AA1389" s="2">
        <v>25</v>
      </c>
      <c r="AB1389" s="2">
        <v>2</v>
      </c>
      <c r="AC1389" s="2" t="s">
        <v>10789</v>
      </c>
      <c r="AD1389" s="2" t="s">
        <v>27655</v>
      </c>
      <c r="AE1389" s="2" t="s">
        <v>27420</v>
      </c>
      <c r="AF1389" s="2"/>
      <c r="AG1389" s="2" t="s">
        <v>18250</v>
      </c>
    </row>
    <row r="1390" spans="1:33" x14ac:dyDescent="0.45">
      <c r="A1390" s="2" t="s">
        <v>27656</v>
      </c>
      <c r="B1390" s="2" t="s">
        <v>27657</v>
      </c>
      <c r="C1390" s="2"/>
      <c r="D1390" s="2" t="s">
        <v>27658</v>
      </c>
      <c r="E1390" s="2"/>
      <c r="F1390" s="2"/>
      <c r="G1390" s="2"/>
      <c r="H1390" s="2" t="s">
        <v>72</v>
      </c>
      <c r="I1390" s="2" t="s">
        <v>73</v>
      </c>
      <c r="J1390" s="2" t="s">
        <v>464</v>
      </c>
      <c r="K1390" s="2" t="s">
        <v>27659</v>
      </c>
      <c r="L1390" s="2"/>
      <c r="M1390" s="2"/>
      <c r="N1390" s="2"/>
      <c r="O1390" s="2" t="s">
        <v>72</v>
      </c>
      <c r="P1390" s="2" t="s">
        <v>73</v>
      </c>
      <c r="Q1390" s="2" t="s">
        <v>464</v>
      </c>
      <c r="R1390" s="2" t="s">
        <v>1337</v>
      </c>
      <c r="S1390" s="2" t="s">
        <v>44</v>
      </c>
      <c r="T1390" s="2"/>
      <c r="U1390" s="2" t="s">
        <v>45</v>
      </c>
      <c r="V1390" s="2" t="s">
        <v>46</v>
      </c>
      <c r="W1390" s="2" t="s">
        <v>45</v>
      </c>
      <c r="X1390" s="2"/>
      <c r="Y1390" s="2" t="s">
        <v>17795</v>
      </c>
      <c r="Z1390" s="2" t="s">
        <v>49</v>
      </c>
      <c r="AA1390" s="2">
        <v>55</v>
      </c>
      <c r="AB1390" s="2">
        <v>30</v>
      </c>
      <c r="AC1390" s="2" t="s">
        <v>10789</v>
      </c>
      <c r="AD1390" s="2" t="s">
        <v>27660</v>
      </c>
      <c r="AE1390" s="2" t="s">
        <v>27420</v>
      </c>
      <c r="AF1390" s="2"/>
      <c r="AG1390" s="2" t="s">
        <v>18250</v>
      </c>
    </row>
    <row r="1391" spans="1:33" x14ac:dyDescent="0.45">
      <c r="A1391" s="2" t="s">
        <v>27661</v>
      </c>
      <c r="B1391" s="2" t="s">
        <v>27662</v>
      </c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 t="s">
        <v>27663</v>
      </c>
      <c r="S1391" s="2" t="s">
        <v>44</v>
      </c>
      <c r="T1391" s="2"/>
      <c r="U1391" s="2" t="s">
        <v>45</v>
      </c>
      <c r="V1391" s="2" t="s">
        <v>46</v>
      </c>
      <c r="W1391" s="2" t="s">
        <v>45</v>
      </c>
      <c r="X1391" s="2"/>
      <c r="Y1391" s="2" t="s">
        <v>17795</v>
      </c>
      <c r="Z1391" s="2" t="s">
        <v>49</v>
      </c>
      <c r="AA1391" s="2">
        <v>25</v>
      </c>
      <c r="AB1391" s="2">
        <v>5</v>
      </c>
      <c r="AC1391" s="2" t="s">
        <v>10789</v>
      </c>
      <c r="AD1391" s="2" t="s">
        <v>27664</v>
      </c>
      <c r="AE1391" s="2" t="s">
        <v>27420</v>
      </c>
      <c r="AF1391" s="2"/>
      <c r="AG1391" s="2" t="s">
        <v>18250</v>
      </c>
    </row>
    <row r="1392" spans="1:33" x14ac:dyDescent="0.45">
      <c r="A1392" s="2" t="s">
        <v>27665</v>
      </c>
      <c r="B1392" s="2" t="s">
        <v>27666</v>
      </c>
      <c r="C1392" s="2"/>
      <c r="D1392" s="2" t="s">
        <v>27667</v>
      </c>
      <c r="E1392" s="2"/>
      <c r="F1392" s="2"/>
      <c r="G1392" s="2"/>
      <c r="H1392" s="2" t="s">
        <v>536</v>
      </c>
      <c r="I1392" s="2" t="s">
        <v>537</v>
      </c>
      <c r="J1392" s="2" t="s">
        <v>27668</v>
      </c>
      <c r="K1392" s="2" t="s">
        <v>27669</v>
      </c>
      <c r="L1392" s="2"/>
      <c r="M1392" s="2"/>
      <c r="N1392" s="2"/>
      <c r="O1392" s="2" t="s">
        <v>536</v>
      </c>
      <c r="P1392" s="2" t="s">
        <v>1281</v>
      </c>
      <c r="Q1392" s="2" t="s">
        <v>27668</v>
      </c>
      <c r="R1392" s="2" t="s">
        <v>18052</v>
      </c>
      <c r="S1392" s="2" t="s">
        <v>44</v>
      </c>
      <c r="T1392" s="2"/>
      <c r="U1392" s="2" t="s">
        <v>45</v>
      </c>
      <c r="V1392" s="2" t="s">
        <v>46</v>
      </c>
      <c r="W1392" s="2" t="s">
        <v>45</v>
      </c>
      <c r="X1392" s="2"/>
      <c r="Y1392" s="2" t="s">
        <v>17795</v>
      </c>
      <c r="Z1392" s="2" t="s">
        <v>49</v>
      </c>
      <c r="AA1392" s="2">
        <v>55</v>
      </c>
      <c r="AB1392" s="2">
        <v>30</v>
      </c>
      <c r="AC1392" s="2" t="s">
        <v>10789</v>
      </c>
      <c r="AD1392" s="2" t="s">
        <v>27670</v>
      </c>
      <c r="AE1392" s="2" t="s">
        <v>27420</v>
      </c>
      <c r="AF1392" s="2"/>
      <c r="AG1392" s="2" t="s">
        <v>18250</v>
      </c>
    </row>
    <row r="1393" spans="1:33" x14ac:dyDescent="0.45">
      <c r="A1393" s="2" t="s">
        <v>27671</v>
      </c>
      <c r="B1393" s="2" t="s">
        <v>27672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 t="s">
        <v>27528</v>
      </c>
      <c r="S1393" s="2" t="s">
        <v>44</v>
      </c>
      <c r="T1393" s="2"/>
      <c r="U1393" s="2" t="s">
        <v>45</v>
      </c>
      <c r="V1393" s="2" t="s">
        <v>46</v>
      </c>
      <c r="W1393" s="2" t="s">
        <v>45</v>
      </c>
      <c r="X1393" s="2"/>
      <c r="Y1393" s="2" t="s">
        <v>17795</v>
      </c>
      <c r="Z1393" s="2" t="s">
        <v>49</v>
      </c>
      <c r="AA1393" s="2">
        <v>25</v>
      </c>
      <c r="AB1393" s="2">
        <v>5</v>
      </c>
      <c r="AC1393" s="2" t="s">
        <v>10789</v>
      </c>
      <c r="AD1393" s="2" t="s">
        <v>27673</v>
      </c>
      <c r="AE1393" s="2" t="s">
        <v>27420</v>
      </c>
      <c r="AF1393" s="2"/>
      <c r="AG1393" s="2" t="s">
        <v>18250</v>
      </c>
    </row>
    <row r="1394" spans="1:33" x14ac:dyDescent="0.45">
      <c r="A1394" s="2" t="s">
        <v>27674</v>
      </c>
      <c r="B1394" s="2" t="s">
        <v>27675</v>
      </c>
      <c r="C1394" s="2"/>
      <c r="D1394" s="2" t="s">
        <v>27676</v>
      </c>
      <c r="E1394" s="2"/>
      <c r="F1394" s="2"/>
      <c r="G1394" s="2"/>
      <c r="H1394" s="2" t="s">
        <v>39</v>
      </c>
      <c r="I1394" s="2" t="s">
        <v>40</v>
      </c>
      <c r="J1394" s="2" t="s">
        <v>1877</v>
      </c>
      <c r="K1394" s="2"/>
      <c r="L1394" s="2"/>
      <c r="M1394" s="2"/>
      <c r="N1394" s="2"/>
      <c r="O1394" s="2"/>
      <c r="P1394" s="2"/>
      <c r="Q1394" s="2"/>
      <c r="R1394" s="2" t="s">
        <v>27677</v>
      </c>
      <c r="S1394" s="2" t="s">
        <v>44</v>
      </c>
      <c r="T1394" s="2"/>
      <c r="U1394" s="2" t="s">
        <v>45</v>
      </c>
      <c r="V1394" s="2" t="s">
        <v>46</v>
      </c>
      <c r="W1394" s="2" t="s">
        <v>45</v>
      </c>
      <c r="X1394" s="2"/>
      <c r="Y1394" s="2" t="s">
        <v>17795</v>
      </c>
      <c r="Z1394" s="2" t="s">
        <v>49</v>
      </c>
      <c r="AA1394" s="2">
        <v>55</v>
      </c>
      <c r="AB1394" s="2">
        <v>30</v>
      </c>
      <c r="AC1394" s="2" t="s">
        <v>10789</v>
      </c>
      <c r="AD1394" s="2" t="s">
        <v>27678</v>
      </c>
      <c r="AE1394" s="2" t="s">
        <v>27420</v>
      </c>
      <c r="AF1394" s="2"/>
      <c r="AG1394" s="2" t="s">
        <v>18250</v>
      </c>
    </row>
    <row r="1395" spans="1:33" x14ac:dyDescent="0.45">
      <c r="A1395" s="2" t="s">
        <v>27679</v>
      </c>
      <c r="B1395" s="2" t="s">
        <v>27680</v>
      </c>
      <c r="C1395" s="2"/>
      <c r="D1395" s="2" t="s">
        <v>27681</v>
      </c>
      <c r="E1395" s="2"/>
      <c r="F1395" s="2"/>
      <c r="G1395" s="2"/>
      <c r="H1395" s="2" t="s">
        <v>72</v>
      </c>
      <c r="I1395" s="2" t="s">
        <v>73</v>
      </c>
      <c r="J1395" s="2" t="s">
        <v>74</v>
      </c>
      <c r="K1395" s="2" t="s">
        <v>27682</v>
      </c>
      <c r="L1395" s="2"/>
      <c r="M1395" s="2"/>
      <c r="N1395" s="2"/>
      <c r="O1395" s="2" t="s">
        <v>72</v>
      </c>
      <c r="P1395" s="2" t="s">
        <v>73</v>
      </c>
      <c r="Q1395" s="2" t="s">
        <v>74</v>
      </c>
      <c r="R1395" s="2" t="s">
        <v>27683</v>
      </c>
      <c r="S1395" s="2" t="s">
        <v>44</v>
      </c>
      <c r="T1395" s="2"/>
      <c r="U1395" s="2" t="s">
        <v>821</v>
      </c>
      <c r="V1395" s="2" t="s">
        <v>46</v>
      </c>
      <c r="W1395" s="2" t="s">
        <v>821</v>
      </c>
      <c r="X1395" s="2"/>
      <c r="Y1395" s="2" t="s">
        <v>17795</v>
      </c>
      <c r="Z1395" s="2" t="s">
        <v>49</v>
      </c>
      <c r="AA1395" s="2">
        <v>55</v>
      </c>
      <c r="AB1395" s="2">
        <v>27</v>
      </c>
      <c r="AC1395" s="2" t="s">
        <v>10789</v>
      </c>
      <c r="AD1395" s="2" t="s">
        <v>27684</v>
      </c>
      <c r="AE1395" s="2" t="s">
        <v>27420</v>
      </c>
      <c r="AF1395" s="2"/>
      <c r="AG1395" s="2" t="s">
        <v>18250</v>
      </c>
    </row>
    <row r="1396" spans="1:33" x14ac:dyDescent="0.45">
      <c r="A1396" s="2" t="s">
        <v>27685</v>
      </c>
      <c r="B1396" s="2" t="s">
        <v>27686</v>
      </c>
      <c r="C1396" s="2"/>
      <c r="D1396" s="2" t="s">
        <v>27687</v>
      </c>
      <c r="E1396" s="2"/>
      <c r="F1396" s="2"/>
      <c r="G1396" s="2"/>
      <c r="H1396" s="2" t="s">
        <v>72</v>
      </c>
      <c r="I1396" s="2" t="s">
        <v>73</v>
      </c>
      <c r="J1396" s="2" t="s">
        <v>1808</v>
      </c>
      <c r="K1396" s="2" t="s">
        <v>27688</v>
      </c>
      <c r="L1396" s="2"/>
      <c r="M1396" s="2"/>
      <c r="N1396" s="2"/>
      <c r="O1396" s="2" t="s">
        <v>72</v>
      </c>
      <c r="P1396" s="2" t="s">
        <v>73</v>
      </c>
      <c r="Q1396" s="2" t="s">
        <v>720</v>
      </c>
      <c r="R1396" s="2" t="s">
        <v>27689</v>
      </c>
      <c r="S1396" s="2" t="s">
        <v>44</v>
      </c>
      <c r="T1396" s="2"/>
      <c r="U1396" s="2" t="s">
        <v>45</v>
      </c>
      <c r="V1396" s="2" t="s">
        <v>46</v>
      </c>
      <c r="W1396" s="2" t="s">
        <v>45</v>
      </c>
      <c r="X1396" s="2"/>
      <c r="Y1396" s="2" t="s">
        <v>17795</v>
      </c>
      <c r="Z1396" s="2" t="s">
        <v>49</v>
      </c>
      <c r="AA1396" s="2">
        <v>55</v>
      </c>
      <c r="AB1396" s="2">
        <v>30</v>
      </c>
      <c r="AC1396" s="2" t="s">
        <v>10789</v>
      </c>
      <c r="AD1396" s="2" t="s">
        <v>27690</v>
      </c>
      <c r="AE1396" s="2" t="s">
        <v>27420</v>
      </c>
      <c r="AF1396" s="2"/>
      <c r="AG1396" s="2" t="s">
        <v>18250</v>
      </c>
    </row>
    <row r="1397" spans="1:33" x14ac:dyDescent="0.45">
      <c r="A1397" s="2" t="s">
        <v>27691</v>
      </c>
      <c r="B1397" s="2" t="s">
        <v>27692</v>
      </c>
      <c r="C1397" s="2"/>
      <c r="D1397" s="2" t="s">
        <v>27693</v>
      </c>
      <c r="E1397" s="2"/>
      <c r="F1397" s="2"/>
      <c r="G1397" s="2"/>
      <c r="H1397" s="2" t="s">
        <v>651</v>
      </c>
      <c r="I1397" s="2" t="s">
        <v>86</v>
      </c>
      <c r="J1397" s="2" t="s">
        <v>2529</v>
      </c>
      <c r="K1397" s="2" t="s">
        <v>27693</v>
      </c>
      <c r="L1397" s="2"/>
      <c r="M1397" s="2"/>
      <c r="N1397" s="2"/>
      <c r="O1397" s="2" t="s">
        <v>651</v>
      </c>
      <c r="P1397" s="2" t="s">
        <v>86</v>
      </c>
      <c r="Q1397" s="2" t="s">
        <v>2529</v>
      </c>
      <c r="R1397" s="2" t="s">
        <v>3866</v>
      </c>
      <c r="S1397" s="2" t="s">
        <v>44</v>
      </c>
      <c r="T1397" s="2"/>
      <c r="U1397" s="2" t="s">
        <v>821</v>
      </c>
      <c r="V1397" s="2" t="s">
        <v>46</v>
      </c>
      <c r="W1397" s="2" t="s">
        <v>821</v>
      </c>
      <c r="X1397" s="2"/>
      <c r="Y1397" s="2" t="s">
        <v>17795</v>
      </c>
      <c r="Z1397" s="2" t="s">
        <v>49</v>
      </c>
      <c r="AA1397" s="2">
        <v>55</v>
      </c>
      <c r="AB1397" s="2">
        <v>27</v>
      </c>
      <c r="AC1397" s="2" t="s">
        <v>10789</v>
      </c>
      <c r="AD1397" s="2" t="s">
        <v>27694</v>
      </c>
      <c r="AE1397" s="2" t="s">
        <v>27420</v>
      </c>
      <c r="AF1397" s="2"/>
      <c r="AG1397" s="2" t="s">
        <v>18250</v>
      </c>
    </row>
    <row r="1398" spans="1:33" x14ac:dyDescent="0.45">
      <c r="A1398" s="2" t="s">
        <v>27695</v>
      </c>
      <c r="B1398" s="2" t="s">
        <v>27696</v>
      </c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 t="s">
        <v>1337</v>
      </c>
      <c r="S1398" s="2" t="s">
        <v>44</v>
      </c>
      <c r="T1398" s="2"/>
      <c r="U1398" s="2" t="s">
        <v>45</v>
      </c>
      <c r="V1398" s="2" t="s">
        <v>46</v>
      </c>
      <c r="W1398" s="2" t="s">
        <v>45</v>
      </c>
      <c r="X1398" s="2"/>
      <c r="Y1398" s="2" t="s">
        <v>17795</v>
      </c>
      <c r="Z1398" s="2" t="s">
        <v>49</v>
      </c>
      <c r="AA1398" s="2">
        <v>25</v>
      </c>
      <c r="AB1398" s="2">
        <v>5</v>
      </c>
      <c r="AC1398" s="2" t="s">
        <v>10789</v>
      </c>
      <c r="AD1398" s="2" t="s">
        <v>27697</v>
      </c>
      <c r="AE1398" s="2" t="s">
        <v>27420</v>
      </c>
      <c r="AF1398" s="2"/>
      <c r="AG1398" s="2" t="s">
        <v>18250</v>
      </c>
    </row>
    <row r="1399" spans="1:33" x14ac:dyDescent="0.45">
      <c r="A1399" s="2" t="s">
        <v>27698</v>
      </c>
      <c r="B1399" s="2" t="s">
        <v>27699</v>
      </c>
      <c r="C1399" s="2"/>
      <c r="D1399" s="2" t="s">
        <v>27700</v>
      </c>
      <c r="E1399" s="2"/>
      <c r="F1399" s="2"/>
      <c r="G1399" s="2"/>
      <c r="H1399" s="2" t="s">
        <v>277</v>
      </c>
      <c r="I1399" s="2" t="s">
        <v>278</v>
      </c>
      <c r="J1399" s="2" t="s">
        <v>12269</v>
      </c>
      <c r="K1399" s="2" t="s">
        <v>27701</v>
      </c>
      <c r="L1399" s="2"/>
      <c r="M1399" s="2"/>
      <c r="N1399" s="2"/>
      <c r="O1399" s="2" t="s">
        <v>277</v>
      </c>
      <c r="P1399" s="2" t="s">
        <v>278</v>
      </c>
      <c r="Q1399" s="2" t="s">
        <v>12269</v>
      </c>
      <c r="R1399" s="2" t="s">
        <v>8734</v>
      </c>
      <c r="S1399" s="2" t="s">
        <v>44</v>
      </c>
      <c r="T1399" s="2"/>
      <c r="U1399" s="2" t="s">
        <v>45</v>
      </c>
      <c r="V1399" s="2" t="s">
        <v>46</v>
      </c>
      <c r="W1399" s="2" t="s">
        <v>45</v>
      </c>
      <c r="X1399" s="2"/>
      <c r="Y1399" s="2" t="s">
        <v>17795</v>
      </c>
      <c r="Z1399" s="2" t="s">
        <v>49</v>
      </c>
      <c r="AA1399" s="2">
        <v>55</v>
      </c>
      <c r="AB1399" s="2">
        <v>30</v>
      </c>
      <c r="AC1399" s="2" t="s">
        <v>10789</v>
      </c>
      <c r="AD1399" s="2" t="s">
        <v>27702</v>
      </c>
      <c r="AE1399" s="2" t="s">
        <v>27420</v>
      </c>
      <c r="AF1399" s="2"/>
      <c r="AG1399" s="2" t="s">
        <v>18250</v>
      </c>
    </row>
    <row r="1400" spans="1:33" x14ac:dyDescent="0.45">
      <c r="A1400" s="2" t="s">
        <v>27703</v>
      </c>
      <c r="B1400" s="2" t="s">
        <v>27704</v>
      </c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 t="s">
        <v>11706</v>
      </c>
      <c r="S1400" s="2" t="s">
        <v>44</v>
      </c>
      <c r="T1400" s="2"/>
      <c r="U1400" s="2" t="s">
        <v>3527</v>
      </c>
      <c r="V1400" s="2" t="s">
        <v>46</v>
      </c>
      <c r="W1400" s="2" t="s">
        <v>3527</v>
      </c>
      <c r="X1400" s="2"/>
      <c r="Y1400" s="2" t="s">
        <v>17795</v>
      </c>
      <c r="Z1400" s="2" t="s">
        <v>49</v>
      </c>
      <c r="AA1400" s="2">
        <v>25</v>
      </c>
      <c r="AB1400" s="2">
        <v>0</v>
      </c>
      <c r="AC1400" s="2" t="s">
        <v>10789</v>
      </c>
      <c r="AD1400" s="2" t="s">
        <v>27705</v>
      </c>
      <c r="AE1400" s="2" t="s">
        <v>27420</v>
      </c>
      <c r="AF1400" s="2"/>
      <c r="AG1400" s="2" t="s">
        <v>18250</v>
      </c>
    </row>
    <row r="1401" spans="1:33" x14ac:dyDescent="0.45">
      <c r="A1401" s="2" t="s">
        <v>27706</v>
      </c>
      <c r="B1401" s="2" t="s">
        <v>27707</v>
      </c>
      <c r="C1401" s="2"/>
      <c r="D1401" s="2" t="s">
        <v>27708</v>
      </c>
      <c r="E1401" s="2"/>
      <c r="F1401" s="2"/>
      <c r="G1401" s="2"/>
      <c r="H1401" s="2" t="s">
        <v>59</v>
      </c>
      <c r="I1401" s="2" t="s">
        <v>60</v>
      </c>
      <c r="J1401" s="2" t="s">
        <v>4840</v>
      </c>
      <c r="K1401" s="2" t="s">
        <v>27709</v>
      </c>
      <c r="L1401" s="2"/>
      <c r="M1401" s="2"/>
      <c r="N1401" s="2"/>
      <c r="O1401" s="2" t="s">
        <v>59</v>
      </c>
      <c r="P1401" s="2" t="s">
        <v>60</v>
      </c>
      <c r="Q1401" s="2" t="s">
        <v>4840</v>
      </c>
      <c r="R1401" s="2" t="s">
        <v>27710</v>
      </c>
      <c r="S1401" s="2" t="s">
        <v>44</v>
      </c>
      <c r="T1401" s="2"/>
      <c r="U1401" s="2" t="s">
        <v>821</v>
      </c>
      <c r="V1401" s="2" t="s">
        <v>46</v>
      </c>
      <c r="W1401" s="2" t="s">
        <v>821</v>
      </c>
      <c r="X1401" s="2"/>
      <c r="Y1401" s="2" t="s">
        <v>17795</v>
      </c>
      <c r="Z1401" s="2" t="s">
        <v>49</v>
      </c>
      <c r="AA1401" s="2">
        <v>55</v>
      </c>
      <c r="AB1401" s="2">
        <v>27</v>
      </c>
      <c r="AC1401" s="2" t="s">
        <v>10789</v>
      </c>
      <c r="AD1401" s="2" t="s">
        <v>27711</v>
      </c>
      <c r="AE1401" s="2" t="s">
        <v>27420</v>
      </c>
      <c r="AF1401" s="2"/>
      <c r="AG1401" s="2" t="s">
        <v>18250</v>
      </c>
    </row>
    <row r="1402" spans="1:33" x14ac:dyDescent="0.45">
      <c r="A1402" s="2" t="s">
        <v>27712</v>
      </c>
      <c r="B1402" s="2" t="s">
        <v>27713</v>
      </c>
      <c r="C1402" s="2" t="s">
        <v>27714</v>
      </c>
      <c r="D1402" s="2" t="s">
        <v>27715</v>
      </c>
      <c r="E1402" s="2"/>
      <c r="F1402" s="2"/>
      <c r="G1402" s="2"/>
      <c r="H1402" s="2" t="s">
        <v>72</v>
      </c>
      <c r="I1402" s="2" t="s">
        <v>73</v>
      </c>
      <c r="J1402" s="2" t="s">
        <v>98</v>
      </c>
      <c r="K1402" s="2" t="s">
        <v>27716</v>
      </c>
      <c r="L1402" s="2"/>
      <c r="M1402" s="2"/>
      <c r="N1402" s="2"/>
      <c r="O1402" s="2" t="s">
        <v>72</v>
      </c>
      <c r="P1402" s="2" t="s">
        <v>73</v>
      </c>
      <c r="Q1402" s="2" t="s">
        <v>98</v>
      </c>
      <c r="R1402" s="2" t="s">
        <v>3757</v>
      </c>
      <c r="S1402" s="2" t="s">
        <v>44</v>
      </c>
      <c r="T1402" s="2"/>
      <c r="U1402" s="2" t="s">
        <v>45</v>
      </c>
      <c r="V1402" s="2" t="s">
        <v>46</v>
      </c>
      <c r="W1402" s="2" t="s">
        <v>45</v>
      </c>
      <c r="X1402" s="2"/>
      <c r="Y1402" s="2" t="s">
        <v>17795</v>
      </c>
      <c r="Z1402" s="2" t="s">
        <v>49</v>
      </c>
      <c r="AA1402" s="2">
        <v>70</v>
      </c>
      <c r="AB1402" s="2">
        <v>35</v>
      </c>
      <c r="AC1402" s="2" t="s">
        <v>10789</v>
      </c>
      <c r="AD1402" s="2" t="s">
        <v>27717</v>
      </c>
      <c r="AE1402" s="2" t="s">
        <v>27420</v>
      </c>
      <c r="AF1402" s="2"/>
      <c r="AG1402" s="2" t="s">
        <v>18250</v>
      </c>
    </row>
    <row r="1403" spans="1:33" x14ac:dyDescent="0.45">
      <c r="A1403" s="2" t="s">
        <v>27718</v>
      </c>
      <c r="B1403" s="2" t="s">
        <v>27719</v>
      </c>
      <c r="C1403" s="2"/>
      <c r="D1403" s="2" t="s">
        <v>27720</v>
      </c>
      <c r="E1403" s="2"/>
      <c r="F1403" s="2"/>
      <c r="G1403" s="2"/>
      <c r="H1403" s="2" t="s">
        <v>72</v>
      </c>
      <c r="I1403" s="2" t="s">
        <v>73</v>
      </c>
      <c r="J1403" s="2" t="s">
        <v>3571</v>
      </c>
      <c r="K1403" s="2" t="s">
        <v>27720</v>
      </c>
      <c r="L1403" s="2"/>
      <c r="M1403" s="2"/>
      <c r="N1403" s="2"/>
      <c r="O1403" s="2" t="s">
        <v>72</v>
      </c>
      <c r="P1403" s="2" t="s">
        <v>73</v>
      </c>
      <c r="Q1403" s="2" t="s">
        <v>3571</v>
      </c>
      <c r="R1403" s="2" t="s">
        <v>27721</v>
      </c>
      <c r="S1403" s="2" t="s">
        <v>44</v>
      </c>
      <c r="T1403" s="2"/>
      <c r="U1403" s="2" t="s">
        <v>45</v>
      </c>
      <c r="V1403" s="2" t="s">
        <v>46</v>
      </c>
      <c r="W1403" s="2" t="s">
        <v>45</v>
      </c>
      <c r="X1403" s="2"/>
      <c r="Y1403" s="2" t="s">
        <v>17795</v>
      </c>
      <c r="Z1403" s="2" t="s">
        <v>49</v>
      </c>
      <c r="AA1403" s="2">
        <v>55</v>
      </c>
      <c r="AB1403" s="2">
        <v>30</v>
      </c>
      <c r="AC1403" s="2" t="s">
        <v>10789</v>
      </c>
      <c r="AD1403" s="2" t="s">
        <v>27722</v>
      </c>
      <c r="AE1403" s="2" t="s">
        <v>27420</v>
      </c>
      <c r="AF1403" s="2"/>
      <c r="AG1403" s="2" t="s">
        <v>18250</v>
      </c>
    </row>
    <row r="1404" spans="1:33" x14ac:dyDescent="0.45">
      <c r="A1404" s="2" t="s">
        <v>27723</v>
      </c>
      <c r="B1404" s="2" t="s">
        <v>27724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 t="s">
        <v>1399</v>
      </c>
      <c r="S1404" s="2" t="s">
        <v>44</v>
      </c>
      <c r="T1404" s="2"/>
      <c r="U1404" s="2" t="s">
        <v>45</v>
      </c>
      <c r="V1404" s="2" t="s">
        <v>46</v>
      </c>
      <c r="W1404" s="2" t="s">
        <v>45</v>
      </c>
      <c r="X1404" s="2"/>
      <c r="Y1404" s="2" t="s">
        <v>17795</v>
      </c>
      <c r="Z1404" s="2" t="s">
        <v>49</v>
      </c>
      <c r="AA1404" s="2">
        <v>25</v>
      </c>
      <c r="AB1404" s="2">
        <v>5</v>
      </c>
      <c r="AC1404" s="2" t="s">
        <v>10789</v>
      </c>
      <c r="AD1404" s="2" t="s">
        <v>27725</v>
      </c>
      <c r="AE1404" s="2" t="s">
        <v>27420</v>
      </c>
      <c r="AF1404" s="2"/>
      <c r="AG1404" s="2" t="s">
        <v>18250</v>
      </c>
    </row>
    <row r="1405" spans="1:33" x14ac:dyDescent="0.45">
      <c r="A1405" s="2" t="s">
        <v>27726</v>
      </c>
      <c r="B1405" s="2" t="s">
        <v>27727</v>
      </c>
      <c r="C1405" s="2"/>
      <c r="D1405" s="2" t="s">
        <v>27728</v>
      </c>
      <c r="E1405" s="2"/>
      <c r="F1405" s="2"/>
      <c r="G1405" s="2"/>
      <c r="H1405" s="2" t="s">
        <v>72</v>
      </c>
      <c r="I1405" s="2" t="s">
        <v>73</v>
      </c>
      <c r="J1405" s="2" t="s">
        <v>1430</v>
      </c>
      <c r="K1405" s="2" t="s">
        <v>27729</v>
      </c>
      <c r="L1405" s="2"/>
      <c r="M1405" s="2"/>
      <c r="N1405" s="2"/>
      <c r="O1405" s="2" t="s">
        <v>72</v>
      </c>
      <c r="P1405" s="2" t="s">
        <v>73</v>
      </c>
      <c r="Q1405" s="2" t="s">
        <v>232</v>
      </c>
      <c r="R1405" s="2" t="s">
        <v>6348</v>
      </c>
      <c r="S1405" s="2" t="s">
        <v>44</v>
      </c>
      <c r="T1405" s="2"/>
      <c r="U1405" s="2" t="s">
        <v>45</v>
      </c>
      <c r="V1405" s="2" t="s">
        <v>46</v>
      </c>
      <c r="W1405" s="2" t="s">
        <v>45</v>
      </c>
      <c r="X1405" s="2"/>
      <c r="Y1405" s="2" t="s">
        <v>17795</v>
      </c>
      <c r="Z1405" s="2" t="s">
        <v>49</v>
      </c>
      <c r="AA1405" s="2">
        <v>55</v>
      </c>
      <c r="AB1405" s="2">
        <v>30</v>
      </c>
      <c r="AC1405" s="2" t="s">
        <v>10789</v>
      </c>
      <c r="AD1405" s="2" t="s">
        <v>27730</v>
      </c>
      <c r="AE1405" s="2" t="s">
        <v>27420</v>
      </c>
      <c r="AF1405" s="2"/>
      <c r="AG1405" s="2" t="s">
        <v>18250</v>
      </c>
    </row>
    <row r="1406" spans="1:33" x14ac:dyDescent="0.45">
      <c r="A1406" s="2" t="s">
        <v>27731</v>
      </c>
      <c r="B1406" s="2" t="s">
        <v>27732</v>
      </c>
      <c r="C1406" s="2"/>
      <c r="D1406" s="2" t="s">
        <v>27733</v>
      </c>
      <c r="E1406" s="2"/>
      <c r="F1406" s="2"/>
      <c r="G1406" s="2"/>
      <c r="H1406" s="2" t="s">
        <v>85</v>
      </c>
      <c r="I1406" s="2" t="s">
        <v>86</v>
      </c>
      <c r="J1406" s="2" t="s">
        <v>4895</v>
      </c>
      <c r="K1406" s="2" t="s">
        <v>27733</v>
      </c>
      <c r="L1406" s="2"/>
      <c r="M1406" s="2"/>
      <c r="N1406" s="2"/>
      <c r="O1406" s="2" t="s">
        <v>85</v>
      </c>
      <c r="P1406" s="2" t="s">
        <v>86</v>
      </c>
      <c r="Q1406" s="2" t="s">
        <v>4895</v>
      </c>
      <c r="R1406" s="2" t="s">
        <v>21081</v>
      </c>
      <c r="S1406" s="2" t="s">
        <v>44</v>
      </c>
      <c r="T1406" s="2"/>
      <c r="U1406" s="2" t="s">
        <v>45</v>
      </c>
      <c r="V1406" s="2" t="s">
        <v>46</v>
      </c>
      <c r="W1406" s="2" t="s">
        <v>45</v>
      </c>
      <c r="X1406" s="2"/>
      <c r="Y1406" s="2" t="s">
        <v>17795</v>
      </c>
      <c r="Z1406" s="2" t="s">
        <v>49</v>
      </c>
      <c r="AA1406" s="2">
        <v>55</v>
      </c>
      <c r="AB1406" s="2">
        <v>30</v>
      </c>
      <c r="AC1406" s="2" t="s">
        <v>10789</v>
      </c>
      <c r="AD1406" s="2" t="s">
        <v>27734</v>
      </c>
      <c r="AE1406" s="2" t="s">
        <v>27420</v>
      </c>
      <c r="AF1406" s="2"/>
      <c r="AG1406" s="2" t="s">
        <v>18250</v>
      </c>
    </row>
    <row r="1407" spans="1:33" x14ac:dyDescent="0.45">
      <c r="A1407" s="2" t="s">
        <v>2066</v>
      </c>
      <c r="B1407" s="2" t="s">
        <v>27735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 t="s">
        <v>27736</v>
      </c>
      <c r="S1407" s="2" t="s">
        <v>44</v>
      </c>
      <c r="T1407" s="2"/>
      <c r="U1407" s="2" t="s">
        <v>3527</v>
      </c>
      <c r="V1407" s="2" t="s">
        <v>199</v>
      </c>
      <c r="W1407" s="2" t="s">
        <v>3527</v>
      </c>
      <c r="X1407" s="2"/>
      <c r="Y1407" s="2" t="s">
        <v>17795</v>
      </c>
      <c r="Z1407" s="2" t="s">
        <v>49</v>
      </c>
      <c r="AA1407" s="2">
        <v>25</v>
      </c>
      <c r="AB1407" s="2">
        <v>0</v>
      </c>
      <c r="AC1407" s="2" t="s">
        <v>10789</v>
      </c>
      <c r="AD1407" s="2" t="s">
        <v>27737</v>
      </c>
      <c r="AE1407" s="2" t="s">
        <v>27420</v>
      </c>
      <c r="AF1407" s="2"/>
      <c r="AG1407" s="2" t="s">
        <v>18250</v>
      </c>
    </row>
    <row r="1408" spans="1:33" x14ac:dyDescent="0.45">
      <c r="A1408" s="2" t="s">
        <v>27738</v>
      </c>
      <c r="B1408" s="2" t="s">
        <v>27739</v>
      </c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 t="s">
        <v>6032</v>
      </c>
      <c r="S1408" s="2" t="s">
        <v>44</v>
      </c>
      <c r="T1408" s="2"/>
      <c r="U1408" s="2" t="s">
        <v>45</v>
      </c>
      <c r="V1408" s="2" t="s">
        <v>46</v>
      </c>
      <c r="W1408" s="2" t="s">
        <v>45</v>
      </c>
      <c r="X1408" s="2"/>
      <c r="Y1408" s="2" t="s">
        <v>17795</v>
      </c>
      <c r="Z1408" s="2" t="s">
        <v>49</v>
      </c>
      <c r="AA1408" s="2">
        <v>25</v>
      </c>
      <c r="AB1408" s="2">
        <v>5</v>
      </c>
      <c r="AC1408" s="2" t="s">
        <v>10789</v>
      </c>
      <c r="AD1408" s="2" t="s">
        <v>27740</v>
      </c>
      <c r="AE1408" s="2" t="s">
        <v>27420</v>
      </c>
      <c r="AF1408" s="2"/>
      <c r="AG1408" s="2" t="s">
        <v>18250</v>
      </c>
    </row>
    <row r="1409" spans="1:33" x14ac:dyDescent="0.45">
      <c r="A1409" s="2" t="s">
        <v>27741</v>
      </c>
      <c r="B1409" s="2" t="s">
        <v>27742</v>
      </c>
      <c r="C1409" s="2"/>
      <c r="D1409" s="2" t="s">
        <v>27743</v>
      </c>
      <c r="E1409" s="2"/>
      <c r="F1409" s="2"/>
      <c r="G1409" s="2"/>
      <c r="H1409" s="2" t="s">
        <v>72</v>
      </c>
      <c r="I1409" s="2" t="s">
        <v>73</v>
      </c>
      <c r="J1409" s="2" t="s">
        <v>1164</v>
      </c>
      <c r="K1409" s="2" t="s">
        <v>27744</v>
      </c>
      <c r="L1409" s="2"/>
      <c r="M1409" s="2"/>
      <c r="N1409" s="2"/>
      <c r="O1409" s="2" t="s">
        <v>72</v>
      </c>
      <c r="P1409" s="2" t="s">
        <v>73</v>
      </c>
      <c r="Q1409" s="2" t="s">
        <v>1164</v>
      </c>
      <c r="R1409" s="2" t="s">
        <v>1251</v>
      </c>
      <c r="S1409" s="2" t="s">
        <v>44</v>
      </c>
      <c r="T1409" s="2"/>
      <c r="U1409" s="2" t="s">
        <v>3527</v>
      </c>
      <c r="V1409" s="2" t="s">
        <v>46</v>
      </c>
      <c r="W1409" s="2" t="s">
        <v>3527</v>
      </c>
      <c r="X1409" s="2"/>
      <c r="Y1409" s="2" t="s">
        <v>17795</v>
      </c>
      <c r="Z1409" s="2" t="s">
        <v>49</v>
      </c>
      <c r="AA1409" s="2">
        <v>55</v>
      </c>
      <c r="AB1409" s="2">
        <v>20</v>
      </c>
      <c r="AC1409" s="2" t="s">
        <v>10789</v>
      </c>
      <c r="AD1409" s="2" t="s">
        <v>27745</v>
      </c>
      <c r="AE1409" s="2" t="s">
        <v>27420</v>
      </c>
      <c r="AF1409" s="2"/>
      <c r="AG1409" s="2" t="s">
        <v>18250</v>
      </c>
    </row>
    <row r="1410" spans="1:33" x14ac:dyDescent="0.45">
      <c r="A1410" s="2" t="s">
        <v>27746</v>
      </c>
      <c r="B1410" s="2" t="s">
        <v>27747</v>
      </c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 t="s">
        <v>2130</v>
      </c>
      <c r="S1410" s="2" t="s">
        <v>44</v>
      </c>
      <c r="T1410" s="2"/>
      <c r="U1410" s="2" t="s">
        <v>3527</v>
      </c>
      <c r="V1410" s="2" t="s">
        <v>46</v>
      </c>
      <c r="W1410" s="2" t="s">
        <v>3527</v>
      </c>
      <c r="X1410" s="2"/>
      <c r="Y1410" s="2" t="s">
        <v>17795</v>
      </c>
      <c r="Z1410" s="2" t="s">
        <v>49</v>
      </c>
      <c r="AA1410" s="2">
        <v>25</v>
      </c>
      <c r="AB1410" s="2">
        <v>0</v>
      </c>
      <c r="AC1410" s="2" t="s">
        <v>10789</v>
      </c>
      <c r="AD1410" s="2" t="s">
        <v>27748</v>
      </c>
      <c r="AE1410" s="2" t="s">
        <v>27420</v>
      </c>
      <c r="AF1410" s="2"/>
      <c r="AG1410" s="2" t="s">
        <v>18250</v>
      </c>
    </row>
    <row r="1411" spans="1:33" x14ac:dyDescent="0.45">
      <c r="A1411" s="2" t="s">
        <v>27749</v>
      </c>
      <c r="B1411" s="2" t="s">
        <v>27750</v>
      </c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 t="s">
        <v>4742</v>
      </c>
      <c r="S1411" s="2" t="s">
        <v>44</v>
      </c>
      <c r="T1411" s="2"/>
      <c r="U1411" s="2" t="s">
        <v>3527</v>
      </c>
      <c r="V1411" s="2" t="s">
        <v>46</v>
      </c>
      <c r="W1411" s="2" t="s">
        <v>3527</v>
      </c>
      <c r="X1411" s="2"/>
      <c r="Y1411" s="2" t="s">
        <v>17795</v>
      </c>
      <c r="Z1411" s="2" t="s">
        <v>49</v>
      </c>
      <c r="AA1411" s="2">
        <v>25</v>
      </c>
      <c r="AB1411" s="2">
        <v>0</v>
      </c>
      <c r="AC1411" s="2" t="s">
        <v>10789</v>
      </c>
      <c r="AD1411" s="2" t="s">
        <v>27751</v>
      </c>
      <c r="AE1411" s="2" t="s">
        <v>27420</v>
      </c>
      <c r="AF1411" s="2"/>
      <c r="AG1411" s="2" t="s">
        <v>18250</v>
      </c>
    </row>
    <row r="1412" spans="1:33" x14ac:dyDescent="0.45">
      <c r="A1412" s="2" t="s">
        <v>27749</v>
      </c>
      <c r="B1412" s="2" t="s">
        <v>27750</v>
      </c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 t="s">
        <v>4742</v>
      </c>
      <c r="S1412" s="2" t="s">
        <v>44</v>
      </c>
      <c r="T1412" s="2"/>
      <c r="U1412" s="2" t="s">
        <v>3527</v>
      </c>
      <c r="V1412" s="2" t="s">
        <v>46</v>
      </c>
      <c r="W1412" s="2" t="s">
        <v>3527</v>
      </c>
      <c r="X1412" s="2"/>
      <c r="Y1412" s="2" t="s">
        <v>17795</v>
      </c>
      <c r="Z1412" s="2" t="s">
        <v>49</v>
      </c>
      <c r="AA1412" s="2">
        <v>25</v>
      </c>
      <c r="AB1412" s="2">
        <v>0</v>
      </c>
      <c r="AC1412" s="2" t="s">
        <v>10789</v>
      </c>
      <c r="AD1412" s="2" t="s">
        <v>27751</v>
      </c>
      <c r="AE1412" s="2" t="s">
        <v>27420</v>
      </c>
      <c r="AF1412" s="2"/>
      <c r="AG1412" s="2" t="s">
        <v>18250</v>
      </c>
    </row>
    <row r="1413" spans="1:33" x14ac:dyDescent="0.45">
      <c r="A1413" s="2" t="s">
        <v>14283</v>
      </c>
      <c r="B1413" s="2" t="s">
        <v>27752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 t="s">
        <v>27753</v>
      </c>
      <c r="S1413" s="2" t="s">
        <v>44</v>
      </c>
      <c r="T1413" s="2"/>
      <c r="U1413" s="2" t="s">
        <v>3527</v>
      </c>
      <c r="V1413" s="2" t="s">
        <v>199</v>
      </c>
      <c r="W1413" s="2" t="s">
        <v>3527</v>
      </c>
      <c r="X1413" s="2"/>
      <c r="Y1413" s="2" t="s">
        <v>17795</v>
      </c>
      <c r="Z1413" s="2" t="s">
        <v>49</v>
      </c>
      <c r="AA1413" s="2">
        <v>25</v>
      </c>
      <c r="AB1413" s="2">
        <v>0</v>
      </c>
      <c r="AC1413" s="2" t="s">
        <v>10789</v>
      </c>
      <c r="AD1413" s="2" t="s">
        <v>27754</v>
      </c>
      <c r="AE1413" s="2" t="s">
        <v>27420</v>
      </c>
      <c r="AF1413" s="2"/>
      <c r="AG1413" s="2" t="s">
        <v>18250</v>
      </c>
    </row>
    <row r="1414" spans="1:33" x14ac:dyDescent="0.45">
      <c r="A1414" s="2" t="s">
        <v>27755</v>
      </c>
      <c r="B1414" s="2" t="s">
        <v>27756</v>
      </c>
      <c r="C1414" s="2"/>
      <c r="D1414" s="2" t="s">
        <v>27757</v>
      </c>
      <c r="E1414" s="2"/>
      <c r="F1414" s="2"/>
      <c r="G1414" s="2"/>
      <c r="H1414" s="2" t="s">
        <v>72</v>
      </c>
      <c r="I1414" s="2" t="s">
        <v>73</v>
      </c>
      <c r="J1414" s="2" t="s">
        <v>74</v>
      </c>
      <c r="K1414" s="2" t="s">
        <v>27758</v>
      </c>
      <c r="L1414" s="2"/>
      <c r="M1414" s="2"/>
      <c r="N1414" s="2"/>
      <c r="O1414" s="2" t="s">
        <v>72</v>
      </c>
      <c r="P1414" s="2" t="s">
        <v>73</v>
      </c>
      <c r="Q1414" s="2" t="s">
        <v>74</v>
      </c>
      <c r="R1414" s="2" t="s">
        <v>8371</v>
      </c>
      <c r="S1414" s="2" t="s">
        <v>44</v>
      </c>
      <c r="T1414" s="2"/>
      <c r="U1414" s="2" t="s">
        <v>45</v>
      </c>
      <c r="V1414" s="2" t="s">
        <v>46</v>
      </c>
      <c r="W1414" s="2" t="s">
        <v>45</v>
      </c>
      <c r="X1414" s="2"/>
      <c r="Y1414" s="2" t="s">
        <v>17795</v>
      </c>
      <c r="Z1414" s="2" t="s">
        <v>49</v>
      </c>
      <c r="AA1414" s="2">
        <v>55</v>
      </c>
      <c r="AB1414" s="2">
        <v>30</v>
      </c>
      <c r="AC1414" s="2" t="s">
        <v>10789</v>
      </c>
      <c r="AD1414" s="2" t="s">
        <v>27759</v>
      </c>
      <c r="AE1414" s="2" t="s">
        <v>27420</v>
      </c>
      <c r="AF1414" s="2"/>
      <c r="AG1414" s="2" t="s">
        <v>18250</v>
      </c>
    </row>
    <row r="1415" spans="1:33" x14ac:dyDescent="0.45">
      <c r="A1415" s="2" t="s">
        <v>27760</v>
      </c>
      <c r="B1415" s="2" t="s">
        <v>27761</v>
      </c>
      <c r="C1415" s="2"/>
      <c r="D1415" s="2" t="s">
        <v>27762</v>
      </c>
      <c r="E1415" s="2"/>
      <c r="F1415" s="2"/>
      <c r="G1415" s="2"/>
      <c r="H1415" s="2" t="s">
        <v>39</v>
      </c>
      <c r="I1415" s="2" t="s">
        <v>40</v>
      </c>
      <c r="J1415" s="2" t="s">
        <v>256</v>
      </c>
      <c r="K1415" s="2" t="s">
        <v>27763</v>
      </c>
      <c r="L1415" s="2"/>
      <c r="M1415" s="2"/>
      <c r="N1415" s="2"/>
      <c r="O1415" s="2" t="s">
        <v>39</v>
      </c>
      <c r="P1415" s="2" t="s">
        <v>40</v>
      </c>
      <c r="Q1415" s="2" t="s">
        <v>256</v>
      </c>
      <c r="R1415" s="2" t="s">
        <v>9232</v>
      </c>
      <c r="S1415" s="2" t="s">
        <v>44</v>
      </c>
      <c r="T1415" s="2"/>
      <c r="U1415" s="2" t="s">
        <v>45</v>
      </c>
      <c r="V1415" s="2" t="s">
        <v>46</v>
      </c>
      <c r="W1415" s="2" t="s">
        <v>45</v>
      </c>
      <c r="X1415" s="2"/>
      <c r="Y1415" s="2" t="s">
        <v>17795</v>
      </c>
      <c r="Z1415" s="2" t="s">
        <v>49</v>
      </c>
      <c r="AA1415" s="2">
        <v>55</v>
      </c>
      <c r="AB1415" s="2">
        <v>30</v>
      </c>
      <c r="AC1415" s="2" t="s">
        <v>10789</v>
      </c>
      <c r="AD1415" s="2" t="s">
        <v>27764</v>
      </c>
      <c r="AE1415" s="2" t="s">
        <v>27420</v>
      </c>
      <c r="AF1415" s="2"/>
      <c r="AG1415" s="2" t="s">
        <v>18250</v>
      </c>
    </row>
    <row r="1416" spans="1:33" x14ac:dyDescent="0.45">
      <c r="A1416" s="2" t="s">
        <v>27765</v>
      </c>
      <c r="B1416" s="2" t="s">
        <v>27766</v>
      </c>
      <c r="C1416" s="2"/>
      <c r="D1416" s="2" t="s">
        <v>27767</v>
      </c>
      <c r="E1416" s="2"/>
      <c r="F1416" s="2"/>
      <c r="G1416" s="2"/>
      <c r="H1416" s="2" t="s">
        <v>277</v>
      </c>
      <c r="I1416" s="2" t="s">
        <v>278</v>
      </c>
      <c r="J1416" s="2" t="s">
        <v>279</v>
      </c>
      <c r="K1416" s="2" t="s">
        <v>27767</v>
      </c>
      <c r="L1416" s="2"/>
      <c r="M1416" s="2"/>
      <c r="N1416" s="2"/>
      <c r="O1416" s="2" t="s">
        <v>277</v>
      </c>
      <c r="P1416" s="2" t="s">
        <v>278</v>
      </c>
      <c r="Q1416" s="2" t="s">
        <v>279</v>
      </c>
      <c r="R1416" s="2" t="s">
        <v>27710</v>
      </c>
      <c r="S1416" s="2" t="s">
        <v>44</v>
      </c>
      <c r="T1416" s="2"/>
      <c r="U1416" s="2" t="s">
        <v>821</v>
      </c>
      <c r="V1416" s="2" t="s">
        <v>46</v>
      </c>
      <c r="W1416" s="2" t="s">
        <v>821</v>
      </c>
      <c r="X1416" s="2"/>
      <c r="Y1416" s="2" t="s">
        <v>17795</v>
      </c>
      <c r="Z1416" s="2" t="s">
        <v>49</v>
      </c>
      <c r="AA1416" s="2">
        <v>55</v>
      </c>
      <c r="AB1416" s="2">
        <v>27</v>
      </c>
      <c r="AC1416" s="2" t="s">
        <v>10789</v>
      </c>
      <c r="AD1416" s="2" t="s">
        <v>27768</v>
      </c>
      <c r="AE1416" s="2" t="s">
        <v>27420</v>
      </c>
      <c r="AF1416" s="2"/>
      <c r="AG1416" s="2" t="s">
        <v>18250</v>
      </c>
    </row>
    <row r="1417" spans="1:33" x14ac:dyDescent="0.45">
      <c r="A1417" s="2" t="s">
        <v>27769</v>
      </c>
      <c r="B1417" s="2" t="s">
        <v>27770</v>
      </c>
      <c r="C1417" s="2"/>
      <c r="D1417" s="2" t="s">
        <v>27771</v>
      </c>
      <c r="E1417" s="2"/>
      <c r="F1417" s="2"/>
      <c r="G1417" s="2"/>
      <c r="H1417" s="2" t="s">
        <v>216</v>
      </c>
      <c r="I1417" s="2" t="s">
        <v>217</v>
      </c>
      <c r="J1417" s="2" t="s">
        <v>3767</v>
      </c>
      <c r="K1417" s="2"/>
      <c r="L1417" s="2"/>
      <c r="M1417" s="2"/>
      <c r="N1417" s="2"/>
      <c r="O1417" s="2"/>
      <c r="P1417" s="2"/>
      <c r="Q1417" s="2"/>
      <c r="R1417" s="2" t="s">
        <v>5975</v>
      </c>
      <c r="S1417" s="2" t="s">
        <v>44</v>
      </c>
      <c r="T1417" s="2"/>
      <c r="U1417" s="2" t="s">
        <v>3527</v>
      </c>
      <c r="V1417" s="2" t="s">
        <v>46</v>
      </c>
      <c r="W1417" s="2" t="s">
        <v>3527</v>
      </c>
      <c r="X1417" s="2"/>
      <c r="Y1417" s="2" t="s">
        <v>17795</v>
      </c>
      <c r="Z1417" s="2" t="s">
        <v>49</v>
      </c>
      <c r="AA1417" s="2">
        <v>55</v>
      </c>
      <c r="AB1417" s="2">
        <v>20</v>
      </c>
      <c r="AC1417" s="2" t="s">
        <v>10789</v>
      </c>
      <c r="AD1417" s="2" t="s">
        <v>27772</v>
      </c>
      <c r="AE1417" s="2" t="s">
        <v>27420</v>
      </c>
      <c r="AF1417" s="2"/>
      <c r="AG1417" s="2" t="s">
        <v>18250</v>
      </c>
    </row>
    <row r="1418" spans="1:33" x14ac:dyDescent="0.45">
      <c r="A1418" s="2" t="s">
        <v>27773</v>
      </c>
      <c r="B1418" s="2" t="s">
        <v>27774</v>
      </c>
      <c r="C1418" s="2" t="s">
        <v>27775</v>
      </c>
      <c r="D1418" s="2" t="s">
        <v>2339</v>
      </c>
      <c r="E1418" s="2"/>
      <c r="F1418" s="2"/>
      <c r="G1418" s="2"/>
      <c r="H1418" s="2" t="s">
        <v>72</v>
      </c>
      <c r="I1418" s="2" t="s">
        <v>73</v>
      </c>
      <c r="J1418" s="2" t="s">
        <v>761</v>
      </c>
      <c r="K1418" s="2"/>
      <c r="L1418" s="2"/>
      <c r="M1418" s="2"/>
      <c r="N1418" s="2"/>
      <c r="O1418" s="2"/>
      <c r="P1418" s="2"/>
      <c r="Q1418" s="2"/>
      <c r="R1418" s="2" t="s">
        <v>15134</v>
      </c>
      <c r="S1418" s="2" t="s">
        <v>44</v>
      </c>
      <c r="T1418" s="2"/>
      <c r="U1418" s="2" t="s">
        <v>45</v>
      </c>
      <c r="V1418" s="2" t="s">
        <v>46</v>
      </c>
      <c r="W1418" s="2" t="s">
        <v>45</v>
      </c>
      <c r="X1418" s="2"/>
      <c r="Y1418" s="2" t="s">
        <v>17795</v>
      </c>
      <c r="Z1418" s="2" t="s">
        <v>49</v>
      </c>
      <c r="AA1418" s="2">
        <v>70</v>
      </c>
      <c r="AB1418" s="2">
        <v>35</v>
      </c>
      <c r="AC1418" s="2" t="s">
        <v>10789</v>
      </c>
      <c r="AD1418" s="2" t="s">
        <v>27776</v>
      </c>
      <c r="AE1418" s="2" t="s">
        <v>27420</v>
      </c>
      <c r="AF1418" s="2"/>
      <c r="AG1418" s="2" t="s">
        <v>18250</v>
      </c>
    </row>
    <row r="1419" spans="1:33" x14ac:dyDescent="0.45">
      <c r="A1419" s="2" t="s">
        <v>27777</v>
      </c>
      <c r="B1419" s="2" t="s">
        <v>27778</v>
      </c>
      <c r="C1419" s="2"/>
      <c r="D1419" s="2" t="s">
        <v>27779</v>
      </c>
      <c r="E1419" s="2"/>
      <c r="F1419" s="2"/>
      <c r="G1419" s="2"/>
      <c r="H1419" s="2" t="s">
        <v>72</v>
      </c>
      <c r="I1419" s="2" t="s">
        <v>73</v>
      </c>
      <c r="J1419" s="2" t="s">
        <v>98</v>
      </c>
      <c r="K1419" s="2" t="s">
        <v>27780</v>
      </c>
      <c r="L1419" s="2"/>
      <c r="M1419" s="2"/>
      <c r="N1419" s="2"/>
      <c r="O1419" s="2" t="s">
        <v>72</v>
      </c>
      <c r="P1419" s="2" t="s">
        <v>73</v>
      </c>
      <c r="Q1419" s="2" t="s">
        <v>98</v>
      </c>
      <c r="R1419" s="2" t="s">
        <v>27781</v>
      </c>
      <c r="S1419" s="2" t="s">
        <v>44</v>
      </c>
      <c r="T1419" s="2"/>
      <c r="U1419" s="2" t="s">
        <v>45</v>
      </c>
      <c r="V1419" s="2" t="s">
        <v>46</v>
      </c>
      <c r="W1419" s="2" t="s">
        <v>45</v>
      </c>
      <c r="X1419" s="2"/>
      <c r="Y1419" s="2" t="s">
        <v>17795</v>
      </c>
      <c r="Z1419" s="2" t="s">
        <v>49</v>
      </c>
      <c r="AA1419" s="2">
        <v>55</v>
      </c>
      <c r="AB1419" s="2">
        <v>30</v>
      </c>
      <c r="AC1419" s="2" t="s">
        <v>10789</v>
      </c>
      <c r="AD1419" s="2" t="s">
        <v>27782</v>
      </c>
      <c r="AE1419" s="2" t="s">
        <v>27420</v>
      </c>
      <c r="AF1419" s="2"/>
      <c r="AG1419" s="2" t="s">
        <v>18250</v>
      </c>
    </row>
    <row r="1420" spans="1:33" x14ac:dyDescent="0.45">
      <c r="A1420" s="2" t="s">
        <v>3452</v>
      </c>
      <c r="B1420" s="2" t="s">
        <v>27783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 t="s">
        <v>27784</v>
      </c>
      <c r="S1420" s="2" t="s">
        <v>44</v>
      </c>
      <c r="T1420" s="2"/>
      <c r="U1420" s="2" t="s">
        <v>45</v>
      </c>
      <c r="V1420" s="2" t="s">
        <v>46</v>
      </c>
      <c r="W1420" s="2" t="s">
        <v>45</v>
      </c>
      <c r="X1420" s="2"/>
      <c r="Y1420" s="2" t="s">
        <v>17795</v>
      </c>
      <c r="Z1420" s="2" t="s">
        <v>49</v>
      </c>
      <c r="AA1420" s="2">
        <v>25</v>
      </c>
      <c r="AB1420" s="2">
        <v>5</v>
      </c>
      <c r="AC1420" s="2" t="s">
        <v>10789</v>
      </c>
      <c r="AD1420" s="2" t="s">
        <v>27785</v>
      </c>
      <c r="AE1420" s="2" t="s">
        <v>27420</v>
      </c>
      <c r="AF1420" s="2"/>
      <c r="AG1420" s="2" t="s">
        <v>18250</v>
      </c>
    </row>
    <row r="1421" spans="1:33" x14ac:dyDescent="0.45">
      <c r="A1421" s="2" t="s">
        <v>27786</v>
      </c>
      <c r="B1421" s="2" t="s">
        <v>27787</v>
      </c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 t="s">
        <v>27788</v>
      </c>
      <c r="S1421" s="2" t="s">
        <v>44</v>
      </c>
      <c r="T1421" s="2"/>
      <c r="U1421" s="2" t="s">
        <v>821</v>
      </c>
      <c r="V1421" s="2" t="s">
        <v>46</v>
      </c>
      <c r="W1421" s="2" t="s">
        <v>821</v>
      </c>
      <c r="X1421" s="2"/>
      <c r="Y1421" s="2" t="s">
        <v>17795</v>
      </c>
      <c r="Z1421" s="2" t="s">
        <v>49</v>
      </c>
      <c r="AA1421" s="2">
        <v>25</v>
      </c>
      <c r="AB1421" s="2">
        <v>2</v>
      </c>
      <c r="AC1421" s="2" t="s">
        <v>10789</v>
      </c>
      <c r="AD1421" s="2" t="s">
        <v>27789</v>
      </c>
      <c r="AE1421" s="2" t="s">
        <v>27420</v>
      </c>
      <c r="AF1421" s="2"/>
      <c r="AG1421" s="2" t="s">
        <v>18250</v>
      </c>
    </row>
    <row r="1422" spans="1:33" x14ac:dyDescent="0.45">
      <c r="A1422" s="2" t="s">
        <v>27790</v>
      </c>
      <c r="B1422" s="2" t="s">
        <v>27791</v>
      </c>
      <c r="C1422" s="2"/>
      <c r="D1422" s="2" t="s">
        <v>27792</v>
      </c>
      <c r="E1422" s="2"/>
      <c r="F1422" s="2"/>
      <c r="G1422" s="2"/>
      <c r="H1422" s="2"/>
      <c r="I1422" s="2" t="s">
        <v>1281</v>
      </c>
      <c r="J1422" s="2" t="s">
        <v>4040</v>
      </c>
      <c r="K1422" s="2" t="s">
        <v>27793</v>
      </c>
      <c r="L1422" s="2"/>
      <c r="M1422" s="2"/>
      <c r="N1422" s="2"/>
      <c r="O1422" s="2"/>
      <c r="P1422" s="2" t="s">
        <v>1281</v>
      </c>
      <c r="Q1422" s="2" t="s">
        <v>4040</v>
      </c>
      <c r="R1422" s="2" t="s">
        <v>27794</v>
      </c>
      <c r="S1422" s="2" t="s">
        <v>44</v>
      </c>
      <c r="T1422" s="2"/>
      <c r="U1422" s="2" t="s">
        <v>45</v>
      </c>
      <c r="V1422" s="2" t="s">
        <v>46</v>
      </c>
      <c r="W1422" s="2" t="s">
        <v>45</v>
      </c>
      <c r="X1422" s="2"/>
      <c r="Y1422" s="2" t="s">
        <v>17795</v>
      </c>
      <c r="Z1422" s="2" t="s">
        <v>49</v>
      </c>
      <c r="AA1422" s="2">
        <v>40</v>
      </c>
      <c r="AB1422" s="2">
        <v>5</v>
      </c>
      <c r="AC1422" s="2" t="s">
        <v>10789</v>
      </c>
      <c r="AD1422" s="2" t="s">
        <v>27795</v>
      </c>
      <c r="AE1422" s="2" t="s">
        <v>27420</v>
      </c>
      <c r="AF1422" s="2"/>
      <c r="AG1422" s="2" t="s">
        <v>18250</v>
      </c>
    </row>
    <row r="1423" spans="1:33" x14ac:dyDescent="0.45">
      <c r="A1423" s="2" t="s">
        <v>27796</v>
      </c>
      <c r="B1423" s="2" t="s">
        <v>27797</v>
      </c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 t="s">
        <v>27798</v>
      </c>
      <c r="S1423" s="2" t="s">
        <v>44</v>
      </c>
      <c r="T1423" s="2"/>
      <c r="U1423" s="2" t="s">
        <v>821</v>
      </c>
      <c r="V1423" s="2" t="s">
        <v>46</v>
      </c>
      <c r="W1423" s="2" t="s">
        <v>821</v>
      </c>
      <c r="X1423" s="2"/>
      <c r="Y1423" s="2" t="s">
        <v>17795</v>
      </c>
      <c r="Z1423" s="2" t="s">
        <v>7864</v>
      </c>
      <c r="AA1423" s="2">
        <v>25</v>
      </c>
      <c r="AB1423" s="2">
        <v>0</v>
      </c>
      <c r="AC1423" s="2" t="s">
        <v>10789</v>
      </c>
      <c r="AD1423" s="2" t="s">
        <v>27799</v>
      </c>
      <c r="AE1423" s="2" t="s">
        <v>27800</v>
      </c>
      <c r="AF1423" s="2"/>
      <c r="AG1423" s="2" t="s">
        <v>18250</v>
      </c>
    </row>
    <row r="1424" spans="1:33" x14ac:dyDescent="0.45">
      <c r="A1424" s="2" t="s">
        <v>27801</v>
      </c>
      <c r="B1424" s="2" t="s">
        <v>27802</v>
      </c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 t="s">
        <v>6388</v>
      </c>
      <c r="S1424" s="2" t="s">
        <v>44</v>
      </c>
      <c r="T1424" s="2"/>
      <c r="U1424" s="2" t="s">
        <v>3527</v>
      </c>
      <c r="V1424" s="2" t="s">
        <v>46</v>
      </c>
      <c r="W1424" s="2" t="s">
        <v>3527</v>
      </c>
      <c r="X1424" s="2"/>
      <c r="Y1424" s="2" t="s">
        <v>17795</v>
      </c>
      <c r="Z1424" s="2" t="s">
        <v>7864</v>
      </c>
      <c r="AA1424" s="2">
        <v>25</v>
      </c>
      <c r="AB1424" s="2">
        <v>0</v>
      </c>
      <c r="AC1424" s="2" t="s">
        <v>10789</v>
      </c>
      <c r="AD1424" s="2" t="s">
        <v>27803</v>
      </c>
      <c r="AE1424" s="2" t="s">
        <v>27800</v>
      </c>
      <c r="AF1424" s="2"/>
      <c r="AG1424" s="2" t="s">
        <v>18250</v>
      </c>
    </row>
    <row r="1425" spans="1:33" x14ac:dyDescent="0.45">
      <c r="A1425" s="2" t="s">
        <v>27804</v>
      </c>
      <c r="B1425" s="2" t="s">
        <v>27805</v>
      </c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 t="s">
        <v>27753</v>
      </c>
      <c r="S1425" s="2" t="s">
        <v>44</v>
      </c>
      <c r="T1425" s="2"/>
      <c r="U1425" s="2" t="s">
        <v>3527</v>
      </c>
      <c r="V1425" s="2" t="s">
        <v>46</v>
      </c>
      <c r="W1425" s="2" t="s">
        <v>3527</v>
      </c>
      <c r="X1425" s="2"/>
      <c r="Y1425" s="2" t="s">
        <v>17795</v>
      </c>
      <c r="Z1425" s="2" t="s">
        <v>7864</v>
      </c>
      <c r="AA1425" s="2">
        <v>25</v>
      </c>
      <c r="AB1425" s="2">
        <v>0</v>
      </c>
      <c r="AC1425" s="2" t="s">
        <v>10789</v>
      </c>
      <c r="AD1425" s="2" t="s">
        <v>27806</v>
      </c>
      <c r="AE1425" s="2" t="s">
        <v>27800</v>
      </c>
      <c r="AF1425" s="2"/>
      <c r="AG1425" s="2" t="s">
        <v>18250</v>
      </c>
    </row>
    <row r="1426" spans="1:33" x14ac:dyDescent="0.45">
      <c r="A1426" s="2" t="s">
        <v>27807</v>
      </c>
      <c r="B1426" s="2" t="s">
        <v>27808</v>
      </c>
      <c r="C1426" s="2"/>
      <c r="D1426" s="2" t="s">
        <v>27809</v>
      </c>
      <c r="E1426" s="2"/>
      <c r="F1426" s="2"/>
      <c r="G1426" s="2"/>
      <c r="H1426" s="2" t="s">
        <v>72</v>
      </c>
      <c r="I1426" s="2" t="s">
        <v>73</v>
      </c>
      <c r="J1426" s="2" t="s">
        <v>197</v>
      </c>
      <c r="K1426" s="2"/>
      <c r="L1426" s="2"/>
      <c r="M1426" s="2"/>
      <c r="N1426" s="2"/>
      <c r="O1426" s="2"/>
      <c r="P1426" s="2"/>
      <c r="Q1426" s="2"/>
      <c r="R1426" s="2" t="s">
        <v>7916</v>
      </c>
      <c r="S1426" s="2" t="s">
        <v>44</v>
      </c>
      <c r="T1426" s="2"/>
      <c r="U1426" s="2" t="s">
        <v>821</v>
      </c>
      <c r="V1426" s="2" t="s">
        <v>46</v>
      </c>
      <c r="W1426" s="2" t="s">
        <v>821</v>
      </c>
      <c r="X1426" s="2"/>
      <c r="Y1426" s="2" t="s">
        <v>17795</v>
      </c>
      <c r="Z1426" s="2" t="s">
        <v>7864</v>
      </c>
      <c r="AA1426" s="2">
        <v>55</v>
      </c>
      <c r="AB1426" s="2">
        <v>7</v>
      </c>
      <c r="AC1426" s="2" t="s">
        <v>10789</v>
      </c>
      <c r="AD1426" s="2" t="s">
        <v>27810</v>
      </c>
      <c r="AE1426" s="2" t="s">
        <v>27800</v>
      </c>
      <c r="AF1426" s="2"/>
      <c r="AG1426" s="2" t="s">
        <v>18250</v>
      </c>
    </row>
    <row r="1427" spans="1:33" x14ac:dyDescent="0.45">
      <c r="A1427" s="2" t="s">
        <v>27811</v>
      </c>
      <c r="B1427" s="2" t="s">
        <v>27812</v>
      </c>
      <c r="C1427" s="2"/>
      <c r="D1427" s="2" t="s">
        <v>27813</v>
      </c>
      <c r="E1427" s="2"/>
      <c r="F1427" s="2"/>
      <c r="G1427" s="2"/>
      <c r="H1427" s="2" t="s">
        <v>312</v>
      </c>
      <c r="I1427" s="2" t="s">
        <v>313</v>
      </c>
      <c r="J1427" s="2" t="s">
        <v>314</v>
      </c>
      <c r="K1427" s="2"/>
      <c r="L1427" s="2"/>
      <c r="M1427" s="2"/>
      <c r="N1427" s="2"/>
      <c r="O1427" s="2"/>
      <c r="P1427" s="2"/>
      <c r="Q1427" s="2"/>
      <c r="R1427" s="2" t="s">
        <v>924</v>
      </c>
      <c r="S1427" s="2" t="s">
        <v>44</v>
      </c>
      <c r="T1427" s="2"/>
      <c r="U1427" s="2" t="s">
        <v>3527</v>
      </c>
      <c r="V1427" s="2" t="s">
        <v>46</v>
      </c>
      <c r="W1427" s="2" t="s">
        <v>3527</v>
      </c>
      <c r="X1427" s="2"/>
      <c r="Y1427" s="2" t="s">
        <v>17795</v>
      </c>
      <c r="Z1427" s="2" t="s">
        <v>7864</v>
      </c>
      <c r="AA1427" s="2">
        <v>55</v>
      </c>
      <c r="AB1427" s="2">
        <v>0</v>
      </c>
      <c r="AC1427" s="2" t="s">
        <v>10789</v>
      </c>
      <c r="AD1427" s="2" t="s">
        <v>27814</v>
      </c>
      <c r="AE1427" s="2" t="s">
        <v>27800</v>
      </c>
      <c r="AF1427" s="2"/>
      <c r="AG1427" s="2" t="s">
        <v>18250</v>
      </c>
    </row>
    <row r="1428" spans="1:33" x14ac:dyDescent="0.45">
      <c r="A1428" s="2" t="s">
        <v>27815</v>
      </c>
      <c r="B1428" s="2" t="s">
        <v>27816</v>
      </c>
      <c r="C1428" s="2"/>
      <c r="D1428" s="2" t="s">
        <v>27817</v>
      </c>
      <c r="E1428" s="2"/>
      <c r="F1428" s="2"/>
      <c r="G1428" s="2"/>
      <c r="H1428" s="2" t="s">
        <v>72</v>
      </c>
      <c r="I1428" s="2" t="s">
        <v>73</v>
      </c>
      <c r="J1428" s="2" t="s">
        <v>162</v>
      </c>
      <c r="K1428" s="2" t="s">
        <v>27817</v>
      </c>
      <c r="L1428" s="2"/>
      <c r="M1428" s="2"/>
      <c r="N1428" s="2"/>
      <c r="O1428" s="2" t="s">
        <v>72</v>
      </c>
      <c r="P1428" s="2" t="s">
        <v>73</v>
      </c>
      <c r="Q1428" s="2" t="s">
        <v>162</v>
      </c>
      <c r="R1428" s="2" t="s">
        <v>3226</v>
      </c>
      <c r="S1428" s="2" t="s">
        <v>44</v>
      </c>
      <c r="T1428" s="2"/>
      <c r="U1428" s="2" t="s">
        <v>3527</v>
      </c>
      <c r="V1428" s="2" t="s">
        <v>46</v>
      </c>
      <c r="W1428" s="2" t="s">
        <v>3527</v>
      </c>
      <c r="X1428" s="2"/>
      <c r="Y1428" s="2" t="s">
        <v>17795</v>
      </c>
      <c r="Z1428" s="2" t="s">
        <v>7864</v>
      </c>
      <c r="AA1428" s="2">
        <v>55</v>
      </c>
      <c r="AB1428" s="2">
        <v>0</v>
      </c>
      <c r="AC1428" s="2" t="s">
        <v>10789</v>
      </c>
      <c r="AD1428" s="2" t="s">
        <v>27818</v>
      </c>
      <c r="AE1428" s="2" t="s">
        <v>27800</v>
      </c>
      <c r="AF1428" s="2"/>
      <c r="AG1428" s="2" t="s">
        <v>18250</v>
      </c>
    </row>
    <row r="1429" spans="1:33" x14ac:dyDescent="0.45">
      <c r="A1429" s="2" t="s">
        <v>27819</v>
      </c>
      <c r="B1429" s="2" t="s">
        <v>27820</v>
      </c>
      <c r="C1429" s="2"/>
      <c r="D1429" s="2" t="s">
        <v>27821</v>
      </c>
      <c r="E1429" s="2"/>
      <c r="F1429" s="2"/>
      <c r="G1429" s="2"/>
      <c r="H1429" s="2" t="s">
        <v>59</v>
      </c>
      <c r="I1429" s="2" t="s">
        <v>60</v>
      </c>
      <c r="J1429" s="2" t="s">
        <v>3102</v>
      </c>
      <c r="K1429" s="2" t="s">
        <v>27821</v>
      </c>
      <c r="L1429" s="2"/>
      <c r="M1429" s="2"/>
      <c r="N1429" s="2"/>
      <c r="O1429" s="2" t="s">
        <v>59</v>
      </c>
      <c r="P1429" s="2" t="s">
        <v>60</v>
      </c>
      <c r="Q1429" s="2" t="s">
        <v>3102</v>
      </c>
      <c r="R1429" s="2" t="s">
        <v>27822</v>
      </c>
      <c r="S1429" s="2" t="s">
        <v>44</v>
      </c>
      <c r="T1429" s="2"/>
      <c r="U1429" s="2" t="s">
        <v>3527</v>
      </c>
      <c r="V1429" s="2" t="s">
        <v>46</v>
      </c>
      <c r="W1429" s="2" t="s">
        <v>3527</v>
      </c>
      <c r="X1429" s="2"/>
      <c r="Y1429" s="2" t="s">
        <v>17795</v>
      </c>
      <c r="Z1429" s="2" t="s">
        <v>7864</v>
      </c>
      <c r="AA1429" s="2">
        <v>55</v>
      </c>
      <c r="AB1429" s="2">
        <v>0</v>
      </c>
      <c r="AC1429" s="2" t="s">
        <v>10789</v>
      </c>
      <c r="AD1429" s="2" t="s">
        <v>27823</v>
      </c>
      <c r="AE1429" s="2" t="s">
        <v>27800</v>
      </c>
      <c r="AF1429" s="2"/>
      <c r="AG1429" s="2" t="s">
        <v>18250</v>
      </c>
    </row>
    <row r="1430" spans="1:33" x14ac:dyDescent="0.45">
      <c r="A1430" s="2" t="s">
        <v>27824</v>
      </c>
      <c r="B1430" s="2" t="s">
        <v>27825</v>
      </c>
      <c r="C1430" s="2"/>
      <c r="D1430" s="2" t="s">
        <v>27826</v>
      </c>
      <c r="E1430" s="2"/>
      <c r="F1430" s="2"/>
      <c r="G1430" s="2"/>
      <c r="H1430" s="2" t="s">
        <v>1208</v>
      </c>
      <c r="I1430" s="2" t="s">
        <v>1209</v>
      </c>
      <c r="J1430" s="2" t="s">
        <v>27827</v>
      </c>
      <c r="K1430" s="2" t="s">
        <v>27826</v>
      </c>
      <c r="L1430" s="2"/>
      <c r="M1430" s="2"/>
      <c r="N1430" s="2"/>
      <c r="O1430" s="2" t="s">
        <v>1208</v>
      </c>
      <c r="P1430" s="2" t="s">
        <v>1209</v>
      </c>
      <c r="Q1430" s="2" t="s">
        <v>27827</v>
      </c>
      <c r="R1430" s="2" t="s">
        <v>954</v>
      </c>
      <c r="S1430" s="2" t="s">
        <v>44</v>
      </c>
      <c r="T1430" s="2"/>
      <c r="U1430" s="2" t="s">
        <v>821</v>
      </c>
      <c r="V1430" s="2" t="s">
        <v>46</v>
      </c>
      <c r="W1430" s="2" t="s">
        <v>821</v>
      </c>
      <c r="X1430" s="2"/>
      <c r="Y1430" s="2" t="s">
        <v>17795</v>
      </c>
      <c r="Z1430" s="2" t="s">
        <v>7864</v>
      </c>
      <c r="AA1430" s="2">
        <v>55</v>
      </c>
      <c r="AB1430" s="2">
        <v>2</v>
      </c>
      <c r="AC1430" s="2" t="s">
        <v>10789</v>
      </c>
      <c r="AD1430" s="2" t="s">
        <v>27828</v>
      </c>
      <c r="AE1430" s="2" t="s">
        <v>27800</v>
      </c>
      <c r="AF1430" s="2"/>
      <c r="AG1430" s="2" t="s">
        <v>18250</v>
      </c>
    </row>
    <row r="1431" spans="1:33" x14ac:dyDescent="0.45">
      <c r="A1431" s="2" t="s">
        <v>27829</v>
      </c>
      <c r="B1431" s="2" t="s">
        <v>27830</v>
      </c>
      <c r="C1431" s="2"/>
      <c r="D1431" s="2" t="s">
        <v>27831</v>
      </c>
      <c r="E1431" s="2"/>
      <c r="F1431" s="2"/>
      <c r="G1431" s="2"/>
      <c r="H1431" s="2" t="s">
        <v>220</v>
      </c>
      <c r="I1431" s="2" t="s">
        <v>221</v>
      </c>
      <c r="J1431" s="2" t="s">
        <v>27832</v>
      </c>
      <c r="K1431" s="2" t="s">
        <v>27833</v>
      </c>
      <c r="L1431" s="2"/>
      <c r="M1431" s="2"/>
      <c r="N1431" s="2"/>
      <c r="O1431" s="2" t="s">
        <v>220</v>
      </c>
      <c r="P1431" s="2" t="s">
        <v>221</v>
      </c>
      <c r="Q1431" s="2" t="s">
        <v>27832</v>
      </c>
      <c r="R1431" s="2" t="s">
        <v>27834</v>
      </c>
      <c r="S1431" s="2" t="s">
        <v>44</v>
      </c>
      <c r="T1431" s="2"/>
      <c r="U1431" s="2" t="s">
        <v>821</v>
      </c>
      <c r="V1431" s="2" t="s">
        <v>46</v>
      </c>
      <c r="W1431" s="2" t="s">
        <v>821</v>
      </c>
      <c r="X1431" s="2"/>
      <c r="Y1431" s="2" t="s">
        <v>17795</v>
      </c>
      <c r="Z1431" s="2" t="s">
        <v>7864</v>
      </c>
      <c r="AA1431" s="2">
        <v>55</v>
      </c>
      <c r="AB1431" s="2">
        <v>2</v>
      </c>
      <c r="AC1431" s="2" t="s">
        <v>10789</v>
      </c>
      <c r="AD1431" s="2" t="s">
        <v>27835</v>
      </c>
      <c r="AE1431" s="2" t="s">
        <v>27800</v>
      </c>
      <c r="AF1431" s="2"/>
      <c r="AG1431" s="2" t="s">
        <v>18250</v>
      </c>
    </row>
    <row r="1432" spans="1:33" x14ac:dyDescent="0.45">
      <c r="A1432" s="2" t="s">
        <v>27836</v>
      </c>
      <c r="B1432" s="2" t="s">
        <v>27837</v>
      </c>
      <c r="C1432" s="2"/>
      <c r="D1432" s="2" t="s">
        <v>27838</v>
      </c>
      <c r="E1432" s="2"/>
      <c r="F1432" s="2"/>
      <c r="G1432" s="2"/>
      <c r="H1432" s="2" t="s">
        <v>12930</v>
      </c>
      <c r="I1432" s="2" t="s">
        <v>73</v>
      </c>
      <c r="J1432" s="2" t="s">
        <v>17008</v>
      </c>
      <c r="K1432" s="2" t="s">
        <v>27839</v>
      </c>
      <c r="L1432" s="2"/>
      <c r="M1432" s="2"/>
      <c r="N1432" s="2"/>
      <c r="O1432" s="2" t="s">
        <v>12930</v>
      </c>
      <c r="P1432" s="2" t="s">
        <v>73</v>
      </c>
      <c r="Q1432" s="2" t="s">
        <v>17008</v>
      </c>
      <c r="R1432" s="2" t="s">
        <v>7597</v>
      </c>
      <c r="S1432" s="2" t="s">
        <v>44</v>
      </c>
      <c r="T1432" s="2"/>
      <c r="U1432" s="2" t="s">
        <v>3527</v>
      </c>
      <c r="V1432" s="2" t="s">
        <v>46</v>
      </c>
      <c r="W1432" s="2" t="s">
        <v>3527</v>
      </c>
      <c r="X1432" s="2"/>
      <c r="Y1432" s="2" t="s">
        <v>17795</v>
      </c>
      <c r="Z1432" s="2" t="s">
        <v>7864</v>
      </c>
      <c r="AA1432" s="2">
        <v>55</v>
      </c>
      <c r="AB1432" s="2">
        <v>0</v>
      </c>
      <c r="AC1432" s="2" t="s">
        <v>10789</v>
      </c>
      <c r="AD1432" s="2" t="s">
        <v>27840</v>
      </c>
      <c r="AE1432" s="2" t="s">
        <v>27800</v>
      </c>
      <c r="AF1432" s="2"/>
      <c r="AG1432" s="2" t="s">
        <v>18250</v>
      </c>
    </row>
    <row r="1433" spans="1:33" x14ac:dyDescent="0.45">
      <c r="A1433" s="2" t="s">
        <v>27841</v>
      </c>
      <c r="B1433" s="2" t="s">
        <v>27842</v>
      </c>
      <c r="C1433" s="2"/>
      <c r="D1433" s="2" t="s">
        <v>27843</v>
      </c>
      <c r="E1433" s="2"/>
      <c r="F1433" s="2"/>
      <c r="G1433" s="2"/>
      <c r="H1433" s="2" t="s">
        <v>59</v>
      </c>
      <c r="I1433" s="2" t="s">
        <v>60</v>
      </c>
      <c r="J1433" s="2" t="s">
        <v>8999</v>
      </c>
      <c r="K1433" s="2"/>
      <c r="L1433" s="2"/>
      <c r="M1433" s="2"/>
      <c r="N1433" s="2"/>
      <c r="O1433" s="2"/>
      <c r="P1433" s="2"/>
      <c r="Q1433" s="2"/>
      <c r="R1433" s="2" t="s">
        <v>733</v>
      </c>
      <c r="S1433" s="2" t="s">
        <v>44</v>
      </c>
      <c r="T1433" s="2"/>
      <c r="U1433" s="2" t="s">
        <v>3527</v>
      </c>
      <c r="V1433" s="2" t="s">
        <v>46</v>
      </c>
      <c r="W1433" s="2" t="s">
        <v>3527</v>
      </c>
      <c r="X1433" s="2"/>
      <c r="Y1433" s="2" t="s">
        <v>17795</v>
      </c>
      <c r="Z1433" s="2" t="s">
        <v>7864</v>
      </c>
      <c r="AA1433" s="2">
        <v>55</v>
      </c>
      <c r="AB1433" s="2">
        <v>0</v>
      </c>
      <c r="AC1433" s="2" t="s">
        <v>10789</v>
      </c>
      <c r="AD1433" s="2" t="s">
        <v>27844</v>
      </c>
      <c r="AE1433" s="2" t="s">
        <v>27800</v>
      </c>
      <c r="AF1433" s="2"/>
      <c r="AG1433" s="2" t="s">
        <v>18250</v>
      </c>
    </row>
    <row r="1434" spans="1:33" x14ac:dyDescent="0.45">
      <c r="A1434" s="2" t="s">
        <v>27845</v>
      </c>
      <c r="B1434" s="2" t="s">
        <v>27846</v>
      </c>
      <c r="C1434" s="2"/>
      <c r="D1434" s="2" t="s">
        <v>27847</v>
      </c>
      <c r="E1434" s="2"/>
      <c r="F1434" s="2"/>
      <c r="G1434" s="2"/>
      <c r="H1434" s="2" t="s">
        <v>72</v>
      </c>
      <c r="I1434" s="2" t="s">
        <v>73</v>
      </c>
      <c r="J1434" s="2" t="s">
        <v>6837</v>
      </c>
      <c r="K1434" s="2" t="s">
        <v>27848</v>
      </c>
      <c r="L1434" s="2"/>
      <c r="M1434" s="2"/>
      <c r="N1434" s="2"/>
      <c r="O1434" s="2" t="s">
        <v>72</v>
      </c>
      <c r="P1434" s="2" t="s">
        <v>73</v>
      </c>
      <c r="Q1434" s="2" t="s">
        <v>1808</v>
      </c>
      <c r="R1434" s="2" t="s">
        <v>27849</v>
      </c>
      <c r="S1434" s="2" t="s">
        <v>44</v>
      </c>
      <c r="T1434" s="2"/>
      <c r="U1434" s="2" t="s">
        <v>821</v>
      </c>
      <c r="V1434" s="2" t="s">
        <v>46</v>
      </c>
      <c r="W1434" s="2" t="s">
        <v>821</v>
      </c>
      <c r="X1434" s="2"/>
      <c r="Y1434" s="2" t="s">
        <v>17795</v>
      </c>
      <c r="Z1434" s="2" t="s">
        <v>7864</v>
      </c>
      <c r="AA1434" s="2">
        <v>55</v>
      </c>
      <c r="AB1434" s="2">
        <v>7</v>
      </c>
      <c r="AC1434" s="2" t="s">
        <v>10789</v>
      </c>
      <c r="AD1434" s="2" t="s">
        <v>27850</v>
      </c>
      <c r="AE1434" s="2" t="s">
        <v>27800</v>
      </c>
      <c r="AF1434" s="2"/>
      <c r="AG1434" s="2" t="s">
        <v>18250</v>
      </c>
    </row>
    <row r="1435" spans="1:33" x14ac:dyDescent="0.45">
      <c r="A1435" s="2" t="s">
        <v>27851</v>
      </c>
      <c r="B1435" s="2" t="s">
        <v>27852</v>
      </c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 t="s">
        <v>9694</v>
      </c>
      <c r="S1435" s="2" t="s">
        <v>44</v>
      </c>
      <c r="T1435" s="2"/>
      <c r="U1435" s="2" t="s">
        <v>821</v>
      </c>
      <c r="V1435" s="2" t="s">
        <v>46</v>
      </c>
      <c r="W1435" s="2" t="s">
        <v>821</v>
      </c>
      <c r="X1435" s="2"/>
      <c r="Y1435" s="2" t="s">
        <v>17795</v>
      </c>
      <c r="Z1435" s="2" t="s">
        <v>7864</v>
      </c>
      <c r="AA1435" s="2">
        <v>25</v>
      </c>
      <c r="AB1435" s="2">
        <v>0</v>
      </c>
      <c r="AC1435" s="2" t="s">
        <v>10789</v>
      </c>
      <c r="AD1435" s="2" t="s">
        <v>27853</v>
      </c>
      <c r="AE1435" s="2" t="s">
        <v>27800</v>
      </c>
      <c r="AF1435" s="2"/>
      <c r="AG1435" s="2" t="s">
        <v>18250</v>
      </c>
    </row>
    <row r="1436" spans="1:33" x14ac:dyDescent="0.45">
      <c r="A1436" s="2" t="s">
        <v>27854</v>
      </c>
      <c r="B1436" s="2" t="s">
        <v>27855</v>
      </c>
      <c r="C1436" s="2"/>
      <c r="D1436" s="2" t="s">
        <v>27856</v>
      </c>
      <c r="E1436" s="2"/>
      <c r="F1436" s="2"/>
      <c r="G1436" s="2"/>
      <c r="H1436" s="2" t="s">
        <v>85</v>
      </c>
      <c r="I1436" s="2" t="s">
        <v>86</v>
      </c>
      <c r="J1436" s="2" t="s">
        <v>3499</v>
      </c>
      <c r="K1436" s="2"/>
      <c r="L1436" s="2"/>
      <c r="M1436" s="2"/>
      <c r="N1436" s="2"/>
      <c r="O1436" s="2"/>
      <c r="P1436" s="2"/>
      <c r="Q1436" s="2"/>
      <c r="R1436" s="2" t="s">
        <v>7730</v>
      </c>
      <c r="S1436" s="2" t="s">
        <v>44</v>
      </c>
      <c r="T1436" s="2"/>
      <c r="U1436" s="2" t="s">
        <v>3527</v>
      </c>
      <c r="V1436" s="2" t="s">
        <v>46</v>
      </c>
      <c r="W1436" s="2" t="s">
        <v>3527</v>
      </c>
      <c r="X1436" s="2"/>
      <c r="Y1436" s="2" t="s">
        <v>17795</v>
      </c>
      <c r="Z1436" s="2" t="s">
        <v>7864</v>
      </c>
      <c r="AA1436" s="2">
        <v>55</v>
      </c>
      <c r="AB1436" s="2">
        <v>0</v>
      </c>
      <c r="AC1436" s="2" t="s">
        <v>10789</v>
      </c>
      <c r="AD1436" s="2" t="s">
        <v>27857</v>
      </c>
      <c r="AE1436" s="2" t="s">
        <v>27800</v>
      </c>
      <c r="AF1436" s="2"/>
      <c r="AG1436" s="2" t="s">
        <v>18250</v>
      </c>
    </row>
    <row r="1437" spans="1:33" x14ac:dyDescent="0.45">
      <c r="A1437" s="2" t="s">
        <v>27858</v>
      </c>
      <c r="B1437" s="2" t="s">
        <v>27859</v>
      </c>
      <c r="C1437" s="2"/>
      <c r="D1437" s="2" t="s">
        <v>27860</v>
      </c>
      <c r="E1437" s="2"/>
      <c r="F1437" s="2"/>
      <c r="G1437" s="2"/>
      <c r="H1437" s="2" t="s">
        <v>59</v>
      </c>
      <c r="I1437" s="2" t="s">
        <v>60</v>
      </c>
      <c r="J1437" s="2" t="s">
        <v>108</v>
      </c>
      <c r="K1437" s="2"/>
      <c r="L1437" s="2"/>
      <c r="M1437" s="2"/>
      <c r="N1437" s="2"/>
      <c r="O1437" s="2"/>
      <c r="P1437" s="2"/>
      <c r="Q1437" s="2"/>
      <c r="R1437" s="2" t="s">
        <v>27861</v>
      </c>
      <c r="S1437" s="2" t="s">
        <v>44</v>
      </c>
      <c r="T1437" s="2"/>
      <c r="U1437" s="2" t="s">
        <v>3527</v>
      </c>
      <c r="V1437" s="2" t="s">
        <v>46</v>
      </c>
      <c r="W1437" s="2" t="s">
        <v>3527</v>
      </c>
      <c r="X1437" s="2"/>
      <c r="Y1437" s="2" t="s">
        <v>17795</v>
      </c>
      <c r="Z1437" s="2" t="s">
        <v>7864</v>
      </c>
      <c r="AA1437" s="2">
        <v>55</v>
      </c>
      <c r="AB1437" s="2">
        <v>0</v>
      </c>
      <c r="AC1437" s="2" t="s">
        <v>10789</v>
      </c>
      <c r="AD1437" s="2" t="s">
        <v>27862</v>
      </c>
      <c r="AE1437" s="2" t="s">
        <v>27800</v>
      </c>
      <c r="AF1437" s="2"/>
      <c r="AG1437" s="2" t="s">
        <v>18250</v>
      </c>
    </row>
    <row r="1438" spans="1:33" x14ac:dyDescent="0.45">
      <c r="A1438" s="2" t="s">
        <v>27863</v>
      </c>
      <c r="B1438" s="2" t="s">
        <v>27864</v>
      </c>
      <c r="C1438" s="2"/>
      <c r="D1438" s="2" t="s">
        <v>27865</v>
      </c>
      <c r="E1438" s="2"/>
      <c r="F1438" s="2"/>
      <c r="G1438" s="2"/>
      <c r="H1438" s="2" t="s">
        <v>536</v>
      </c>
      <c r="I1438" s="2" t="s">
        <v>537</v>
      </c>
      <c r="J1438" s="2" t="s">
        <v>27866</v>
      </c>
      <c r="K1438" s="2" t="s">
        <v>27865</v>
      </c>
      <c r="L1438" s="2"/>
      <c r="M1438" s="2"/>
      <c r="N1438" s="2"/>
      <c r="O1438" s="2" t="s">
        <v>536</v>
      </c>
      <c r="P1438" s="2" t="s">
        <v>537</v>
      </c>
      <c r="Q1438" s="2" t="s">
        <v>27866</v>
      </c>
      <c r="R1438" s="2" t="s">
        <v>19946</v>
      </c>
      <c r="S1438" s="2" t="s">
        <v>44</v>
      </c>
      <c r="T1438" s="2"/>
      <c r="U1438" s="2" t="s">
        <v>821</v>
      </c>
      <c r="V1438" s="2" t="s">
        <v>46</v>
      </c>
      <c r="W1438" s="2" t="s">
        <v>821</v>
      </c>
      <c r="X1438" s="2"/>
      <c r="Y1438" s="2" t="s">
        <v>17795</v>
      </c>
      <c r="Z1438" s="2" t="s">
        <v>7864</v>
      </c>
      <c r="AA1438" s="2">
        <v>55</v>
      </c>
      <c r="AB1438" s="2">
        <v>7</v>
      </c>
      <c r="AC1438" s="2" t="s">
        <v>10789</v>
      </c>
      <c r="AD1438" s="2" t="s">
        <v>27867</v>
      </c>
      <c r="AE1438" s="2" t="s">
        <v>27800</v>
      </c>
      <c r="AF1438" s="2"/>
      <c r="AG1438" s="2" t="s">
        <v>18250</v>
      </c>
    </row>
    <row r="1439" spans="1:33" x14ac:dyDescent="0.45">
      <c r="A1439" s="2" t="s">
        <v>27868</v>
      </c>
      <c r="B1439" s="2" t="s">
        <v>27869</v>
      </c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 t="s">
        <v>27870</v>
      </c>
      <c r="S1439" s="2" t="s">
        <v>44</v>
      </c>
      <c r="T1439" s="2"/>
      <c r="U1439" s="2" t="s">
        <v>3527</v>
      </c>
      <c r="V1439" s="2" t="s">
        <v>46</v>
      </c>
      <c r="W1439" s="2" t="s">
        <v>3527</v>
      </c>
      <c r="X1439" s="2"/>
      <c r="Y1439" s="2" t="s">
        <v>17795</v>
      </c>
      <c r="Z1439" s="2" t="s">
        <v>7864</v>
      </c>
      <c r="AA1439" s="2">
        <v>25</v>
      </c>
      <c r="AB1439" s="2">
        <v>0</v>
      </c>
      <c r="AC1439" s="2" t="s">
        <v>10789</v>
      </c>
      <c r="AD1439" s="2" t="s">
        <v>27871</v>
      </c>
      <c r="AE1439" s="2" t="s">
        <v>27800</v>
      </c>
      <c r="AF1439" s="2"/>
      <c r="AG1439" s="2" t="s">
        <v>18250</v>
      </c>
    </row>
    <row r="1440" spans="1:33" x14ac:dyDescent="0.45">
      <c r="A1440" s="2" t="s">
        <v>27872</v>
      </c>
      <c r="B1440" s="2" t="s">
        <v>27873</v>
      </c>
      <c r="C1440" s="2"/>
      <c r="D1440" s="2" t="s">
        <v>27874</v>
      </c>
      <c r="E1440" s="2"/>
      <c r="F1440" s="2"/>
      <c r="G1440" s="2"/>
      <c r="H1440" s="2" t="s">
        <v>85</v>
      </c>
      <c r="I1440" s="2" t="s">
        <v>86</v>
      </c>
      <c r="J1440" s="2" t="s">
        <v>7297</v>
      </c>
      <c r="K1440" s="2" t="s">
        <v>27875</v>
      </c>
      <c r="L1440" s="2"/>
      <c r="M1440" s="2"/>
      <c r="N1440" s="2"/>
      <c r="O1440" s="2" t="s">
        <v>85</v>
      </c>
      <c r="P1440" s="2" t="s">
        <v>86</v>
      </c>
      <c r="Q1440" s="2" t="s">
        <v>7297</v>
      </c>
      <c r="R1440" s="2" t="s">
        <v>14826</v>
      </c>
      <c r="S1440" s="2" t="s">
        <v>44</v>
      </c>
      <c r="T1440" s="2"/>
      <c r="U1440" s="2" t="s">
        <v>3527</v>
      </c>
      <c r="V1440" s="2" t="s">
        <v>46</v>
      </c>
      <c r="W1440" s="2" t="s">
        <v>3527</v>
      </c>
      <c r="X1440" s="2"/>
      <c r="Y1440" s="2" t="s">
        <v>17795</v>
      </c>
      <c r="Z1440" s="2" t="s">
        <v>7864</v>
      </c>
      <c r="AA1440" s="2">
        <v>55</v>
      </c>
      <c r="AB1440" s="2">
        <v>0</v>
      </c>
      <c r="AC1440" s="2" t="s">
        <v>10789</v>
      </c>
      <c r="AD1440" s="2" t="s">
        <v>27876</v>
      </c>
      <c r="AE1440" s="2" t="s">
        <v>27800</v>
      </c>
      <c r="AF1440" s="2"/>
      <c r="AG1440" s="2" t="s">
        <v>18250</v>
      </c>
    </row>
    <row r="1441" spans="1:33" x14ac:dyDescent="0.45">
      <c r="A1441" s="2" t="s">
        <v>27877</v>
      </c>
      <c r="B1441" s="2" t="s">
        <v>27878</v>
      </c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 t="s">
        <v>9955</v>
      </c>
      <c r="S1441" s="2" t="s">
        <v>44</v>
      </c>
      <c r="T1441" s="2"/>
      <c r="U1441" s="2" t="s">
        <v>3527</v>
      </c>
      <c r="V1441" s="2" t="s">
        <v>46</v>
      </c>
      <c r="W1441" s="2" t="s">
        <v>3527</v>
      </c>
      <c r="X1441" s="2"/>
      <c r="Y1441" s="2" t="s">
        <v>17795</v>
      </c>
      <c r="Z1441" s="2" t="s">
        <v>7864</v>
      </c>
      <c r="AA1441" s="2">
        <v>25</v>
      </c>
      <c r="AB1441" s="2">
        <v>0</v>
      </c>
      <c r="AC1441" s="2" t="s">
        <v>10789</v>
      </c>
      <c r="AD1441" s="2" t="s">
        <v>27879</v>
      </c>
      <c r="AE1441" s="2" t="s">
        <v>27800</v>
      </c>
      <c r="AF1441" s="2"/>
      <c r="AG1441" s="2" t="s">
        <v>18250</v>
      </c>
    </row>
    <row r="1442" spans="1:33" x14ac:dyDescent="0.45">
      <c r="A1442" s="2" t="s">
        <v>27880</v>
      </c>
      <c r="B1442" s="2" t="s">
        <v>27881</v>
      </c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 t="s">
        <v>27882</v>
      </c>
      <c r="S1442" s="2" t="s">
        <v>44</v>
      </c>
      <c r="T1442" s="2"/>
      <c r="U1442" s="2" t="s">
        <v>821</v>
      </c>
      <c r="V1442" s="2" t="s">
        <v>46</v>
      </c>
      <c r="W1442" s="2" t="s">
        <v>821</v>
      </c>
      <c r="X1442" s="2"/>
      <c r="Y1442" s="2" t="s">
        <v>17795</v>
      </c>
      <c r="Z1442" s="2" t="s">
        <v>7864</v>
      </c>
      <c r="AA1442" s="2">
        <v>25</v>
      </c>
      <c r="AB1442" s="2">
        <v>0</v>
      </c>
      <c r="AC1442" s="2" t="s">
        <v>10789</v>
      </c>
      <c r="AD1442" s="2" t="s">
        <v>27883</v>
      </c>
      <c r="AE1442" s="2" t="s">
        <v>27800</v>
      </c>
      <c r="AF1442" s="2"/>
      <c r="AG1442" s="2" t="s">
        <v>18250</v>
      </c>
    </row>
    <row r="1443" spans="1:33" x14ac:dyDescent="0.45">
      <c r="A1443" s="2" t="s">
        <v>27884</v>
      </c>
      <c r="B1443" s="2" t="s">
        <v>27885</v>
      </c>
      <c r="C1443" s="2"/>
      <c r="D1443" s="2" t="s">
        <v>27886</v>
      </c>
      <c r="E1443" s="2"/>
      <c r="F1443" s="2"/>
      <c r="G1443" s="2"/>
      <c r="H1443" s="2" t="s">
        <v>1023</v>
      </c>
      <c r="I1443" s="2" t="s">
        <v>73</v>
      </c>
      <c r="J1443" s="2" t="s">
        <v>7492</v>
      </c>
      <c r="K1443" s="2" t="s">
        <v>27887</v>
      </c>
      <c r="L1443" s="2"/>
      <c r="M1443" s="2"/>
      <c r="N1443" s="2"/>
      <c r="O1443" s="2" t="s">
        <v>1023</v>
      </c>
      <c r="P1443" s="2" t="s">
        <v>73</v>
      </c>
      <c r="Q1443" s="2" t="s">
        <v>7492</v>
      </c>
      <c r="R1443" s="2" t="s">
        <v>1199</v>
      </c>
      <c r="S1443" s="2" t="s">
        <v>44</v>
      </c>
      <c r="T1443" s="2"/>
      <c r="U1443" s="2" t="s">
        <v>3527</v>
      </c>
      <c r="V1443" s="2" t="s">
        <v>46</v>
      </c>
      <c r="W1443" s="2" t="s">
        <v>3527</v>
      </c>
      <c r="X1443" s="2"/>
      <c r="Y1443" s="2" t="s">
        <v>17795</v>
      </c>
      <c r="Z1443" s="2" t="s">
        <v>7864</v>
      </c>
      <c r="AA1443" s="2">
        <v>55</v>
      </c>
      <c r="AB1443" s="2">
        <v>0</v>
      </c>
      <c r="AC1443" s="2" t="s">
        <v>10789</v>
      </c>
      <c r="AD1443" s="2" t="s">
        <v>27888</v>
      </c>
      <c r="AE1443" s="2" t="s">
        <v>27800</v>
      </c>
      <c r="AF1443" s="2"/>
      <c r="AG1443" s="2" t="s">
        <v>18250</v>
      </c>
    </row>
    <row r="1444" spans="1:33" x14ac:dyDescent="0.45">
      <c r="A1444" s="2" t="s">
        <v>27889</v>
      </c>
      <c r="B1444" s="2" t="s">
        <v>27890</v>
      </c>
      <c r="C1444" s="2"/>
      <c r="D1444" s="2" t="s">
        <v>27891</v>
      </c>
      <c r="E1444" s="2"/>
      <c r="F1444" s="2"/>
      <c r="G1444" s="2"/>
      <c r="H1444" s="2" t="s">
        <v>384</v>
      </c>
      <c r="I1444" s="2" t="s">
        <v>73</v>
      </c>
      <c r="J1444" s="2" t="s">
        <v>953</v>
      </c>
      <c r="K1444" s="2"/>
      <c r="L1444" s="2"/>
      <c r="M1444" s="2"/>
      <c r="N1444" s="2"/>
      <c r="O1444" s="2"/>
      <c r="P1444" s="2"/>
      <c r="Q1444" s="2"/>
      <c r="R1444" s="2" t="s">
        <v>27892</v>
      </c>
      <c r="S1444" s="2" t="s">
        <v>44</v>
      </c>
      <c r="T1444" s="2"/>
      <c r="U1444" s="2" t="s">
        <v>3527</v>
      </c>
      <c r="V1444" s="2" t="s">
        <v>46</v>
      </c>
      <c r="W1444" s="2" t="s">
        <v>3527</v>
      </c>
      <c r="X1444" s="2"/>
      <c r="Y1444" s="2" t="s">
        <v>17795</v>
      </c>
      <c r="Z1444" s="2" t="s">
        <v>7864</v>
      </c>
      <c r="AA1444" s="2">
        <v>55</v>
      </c>
      <c r="AB1444" s="2">
        <v>0</v>
      </c>
      <c r="AC1444" s="2" t="s">
        <v>10789</v>
      </c>
      <c r="AD1444" s="2" t="s">
        <v>27893</v>
      </c>
      <c r="AE1444" s="2" t="s">
        <v>27800</v>
      </c>
      <c r="AF1444" s="2"/>
      <c r="AG1444" s="2" t="s">
        <v>18250</v>
      </c>
    </row>
    <row r="1445" spans="1:33" x14ac:dyDescent="0.45">
      <c r="A1445" s="2" t="s">
        <v>27894</v>
      </c>
      <c r="B1445" s="2" t="s">
        <v>27895</v>
      </c>
      <c r="C1445" s="2"/>
      <c r="D1445" s="2" t="s">
        <v>27896</v>
      </c>
      <c r="E1445" s="2"/>
      <c r="F1445" s="2"/>
      <c r="G1445" s="2"/>
      <c r="H1445" s="2" t="s">
        <v>216</v>
      </c>
      <c r="I1445" s="2" t="s">
        <v>217</v>
      </c>
      <c r="J1445" s="2" t="s">
        <v>2410</v>
      </c>
      <c r="K1445" s="2"/>
      <c r="L1445" s="2"/>
      <c r="M1445" s="2"/>
      <c r="N1445" s="2"/>
      <c r="O1445" s="2"/>
      <c r="P1445" s="2"/>
      <c r="Q1445" s="2"/>
      <c r="R1445" s="2" t="s">
        <v>8096</v>
      </c>
      <c r="S1445" s="2" t="s">
        <v>44</v>
      </c>
      <c r="T1445" s="2"/>
      <c r="U1445" s="2" t="s">
        <v>821</v>
      </c>
      <c r="V1445" s="2" t="s">
        <v>46</v>
      </c>
      <c r="W1445" s="2" t="s">
        <v>821</v>
      </c>
      <c r="X1445" s="2"/>
      <c r="Y1445" s="2" t="s">
        <v>17795</v>
      </c>
      <c r="Z1445" s="2" t="s">
        <v>7864</v>
      </c>
      <c r="AA1445" s="2">
        <v>55</v>
      </c>
      <c r="AB1445" s="2">
        <v>7</v>
      </c>
      <c r="AC1445" s="2" t="s">
        <v>10789</v>
      </c>
      <c r="AD1445" s="2" t="s">
        <v>27897</v>
      </c>
      <c r="AE1445" s="2" t="s">
        <v>27800</v>
      </c>
      <c r="AF1445" s="2"/>
      <c r="AG1445" s="2" t="s">
        <v>18250</v>
      </c>
    </row>
    <row r="1446" spans="1:33" x14ac:dyDescent="0.45">
      <c r="A1446" s="2" t="s">
        <v>27898</v>
      </c>
      <c r="B1446" s="2" t="s">
        <v>27899</v>
      </c>
      <c r="C1446" s="2"/>
      <c r="D1446" s="2" t="s">
        <v>27900</v>
      </c>
      <c r="E1446" s="2"/>
      <c r="F1446" s="2"/>
      <c r="G1446" s="2"/>
      <c r="H1446" s="2" t="s">
        <v>39</v>
      </c>
      <c r="I1446" s="2" t="s">
        <v>40</v>
      </c>
      <c r="J1446" s="2" t="s">
        <v>27901</v>
      </c>
      <c r="K1446" s="2" t="s">
        <v>27900</v>
      </c>
      <c r="L1446" s="2"/>
      <c r="M1446" s="2"/>
      <c r="N1446" s="2"/>
      <c r="O1446" s="2" t="s">
        <v>39</v>
      </c>
      <c r="P1446" s="2" t="s">
        <v>40</v>
      </c>
      <c r="Q1446" s="2" t="s">
        <v>27901</v>
      </c>
      <c r="R1446" s="2" t="s">
        <v>2520</v>
      </c>
      <c r="S1446" s="2" t="s">
        <v>44</v>
      </c>
      <c r="T1446" s="2"/>
      <c r="U1446" s="2" t="s">
        <v>821</v>
      </c>
      <c r="V1446" s="2" t="s">
        <v>46</v>
      </c>
      <c r="W1446" s="2" t="s">
        <v>821</v>
      </c>
      <c r="X1446" s="2"/>
      <c r="Y1446" s="2" t="s">
        <v>17795</v>
      </c>
      <c r="Z1446" s="2" t="s">
        <v>7864</v>
      </c>
      <c r="AA1446" s="2">
        <v>55</v>
      </c>
      <c r="AB1446" s="2">
        <v>7</v>
      </c>
      <c r="AC1446" s="2" t="s">
        <v>10789</v>
      </c>
      <c r="AD1446" s="2" t="s">
        <v>27902</v>
      </c>
      <c r="AE1446" s="2" t="s">
        <v>27800</v>
      </c>
      <c r="AF1446" s="2"/>
      <c r="AG1446" s="2" t="s">
        <v>18250</v>
      </c>
    </row>
    <row r="1447" spans="1:33" x14ac:dyDescent="0.45">
      <c r="A1447" s="2" t="s">
        <v>27903</v>
      </c>
      <c r="B1447" s="2" t="s">
        <v>27904</v>
      </c>
      <c r="C1447" s="2"/>
      <c r="D1447" s="2" t="s">
        <v>27905</v>
      </c>
      <c r="E1447" s="2"/>
      <c r="F1447" s="2"/>
      <c r="G1447" s="2"/>
      <c r="H1447" s="2" t="s">
        <v>14070</v>
      </c>
      <c r="I1447" s="2" t="s">
        <v>313</v>
      </c>
      <c r="J1447" s="2" t="s">
        <v>14071</v>
      </c>
      <c r="K1447" s="2" t="s">
        <v>27905</v>
      </c>
      <c r="L1447" s="2"/>
      <c r="M1447" s="2"/>
      <c r="N1447" s="2"/>
      <c r="O1447" s="2" t="s">
        <v>14070</v>
      </c>
      <c r="P1447" s="2" t="s">
        <v>313</v>
      </c>
      <c r="Q1447" s="2" t="s">
        <v>14071</v>
      </c>
      <c r="R1447" s="2" t="s">
        <v>4659</v>
      </c>
      <c r="S1447" s="2" t="s">
        <v>44</v>
      </c>
      <c r="T1447" s="2"/>
      <c r="U1447" s="2" t="s">
        <v>3527</v>
      </c>
      <c r="V1447" s="2" t="s">
        <v>46</v>
      </c>
      <c r="W1447" s="2" t="s">
        <v>3527</v>
      </c>
      <c r="X1447" s="2"/>
      <c r="Y1447" s="2" t="s">
        <v>17795</v>
      </c>
      <c r="Z1447" s="2" t="s">
        <v>7864</v>
      </c>
      <c r="AA1447" s="2">
        <v>55</v>
      </c>
      <c r="AB1447" s="2">
        <v>0</v>
      </c>
      <c r="AC1447" s="2" t="s">
        <v>10789</v>
      </c>
      <c r="AD1447" s="2" t="s">
        <v>27906</v>
      </c>
      <c r="AE1447" s="2" t="s">
        <v>27800</v>
      </c>
      <c r="AF1447" s="2"/>
      <c r="AG1447" s="2" t="s">
        <v>18250</v>
      </c>
    </row>
    <row r="1448" spans="1:33" x14ac:dyDescent="0.45">
      <c r="A1448" s="2" t="s">
        <v>27907</v>
      </c>
      <c r="B1448" s="2" t="s">
        <v>27908</v>
      </c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 t="s">
        <v>27909</v>
      </c>
      <c r="S1448" s="2" t="s">
        <v>44</v>
      </c>
      <c r="T1448" s="2"/>
      <c r="U1448" s="2" t="s">
        <v>45</v>
      </c>
      <c r="V1448" s="2" t="s">
        <v>46</v>
      </c>
      <c r="W1448" s="2" t="s">
        <v>45</v>
      </c>
      <c r="X1448" s="2"/>
      <c r="Y1448" s="2" t="s">
        <v>17795</v>
      </c>
      <c r="Z1448" s="2" t="s">
        <v>49</v>
      </c>
      <c r="AA1448" s="2">
        <v>25</v>
      </c>
      <c r="AB1448" s="2">
        <v>0</v>
      </c>
      <c r="AC1448" s="2" t="s">
        <v>10789</v>
      </c>
      <c r="AD1448" s="2" t="s">
        <v>27910</v>
      </c>
      <c r="AE1448" s="2" t="s">
        <v>27911</v>
      </c>
      <c r="AF1448" s="2"/>
      <c r="AG1448" s="2" t="s">
        <v>18250</v>
      </c>
    </row>
    <row r="1449" spans="1:33" x14ac:dyDescent="0.45">
      <c r="A1449" s="2" t="s">
        <v>26632</v>
      </c>
      <c r="B1449" s="2" t="s">
        <v>27912</v>
      </c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 t="s">
        <v>2984</v>
      </c>
      <c r="S1449" s="2" t="s">
        <v>44</v>
      </c>
      <c r="T1449" s="2"/>
      <c r="U1449" s="2" t="s">
        <v>45</v>
      </c>
      <c r="V1449" s="2" t="s">
        <v>199</v>
      </c>
      <c r="W1449" s="2" t="s">
        <v>45</v>
      </c>
      <c r="X1449" s="2"/>
      <c r="Y1449" s="2" t="s">
        <v>17795</v>
      </c>
      <c r="Z1449" s="2" t="s">
        <v>49</v>
      </c>
      <c r="AA1449" s="2">
        <v>25</v>
      </c>
      <c r="AB1449" s="2">
        <v>0</v>
      </c>
      <c r="AC1449" s="2" t="s">
        <v>10789</v>
      </c>
      <c r="AD1449" s="2" t="s">
        <v>27913</v>
      </c>
      <c r="AE1449" s="2" t="s">
        <v>27911</v>
      </c>
      <c r="AF1449" s="2"/>
      <c r="AG1449" s="2" t="s">
        <v>18250</v>
      </c>
    </row>
    <row r="1450" spans="1:33" x14ac:dyDescent="0.45">
      <c r="A1450" s="2" t="s">
        <v>26682</v>
      </c>
      <c r="B1450" s="2" t="s">
        <v>27914</v>
      </c>
      <c r="C1450" s="2"/>
      <c r="D1450" s="2" t="s">
        <v>27915</v>
      </c>
      <c r="E1450" s="2"/>
      <c r="F1450" s="2"/>
      <c r="G1450" s="2"/>
      <c r="H1450" s="2" t="s">
        <v>72</v>
      </c>
      <c r="I1450" s="2" t="s">
        <v>73</v>
      </c>
      <c r="J1450" s="2" t="s">
        <v>1568</v>
      </c>
      <c r="K1450" s="2"/>
      <c r="L1450" s="2"/>
      <c r="M1450" s="2"/>
      <c r="N1450" s="2"/>
      <c r="O1450" s="2"/>
      <c r="P1450" s="2"/>
      <c r="Q1450" s="2"/>
      <c r="R1450" s="2" t="s">
        <v>27916</v>
      </c>
      <c r="S1450" s="2" t="s">
        <v>44</v>
      </c>
      <c r="T1450" s="2"/>
      <c r="U1450" s="2" t="s">
        <v>45</v>
      </c>
      <c r="V1450" s="2" t="s">
        <v>199</v>
      </c>
      <c r="W1450" s="2" t="s">
        <v>45</v>
      </c>
      <c r="X1450" s="2"/>
      <c r="Y1450" s="2" t="s">
        <v>17795</v>
      </c>
      <c r="Z1450" s="2" t="s">
        <v>49</v>
      </c>
      <c r="AA1450" s="2">
        <v>55</v>
      </c>
      <c r="AB1450" s="2">
        <v>0</v>
      </c>
      <c r="AC1450" s="2" t="s">
        <v>10789</v>
      </c>
      <c r="AD1450" s="2" t="s">
        <v>27917</v>
      </c>
      <c r="AE1450" s="2" t="s">
        <v>27911</v>
      </c>
      <c r="AF1450" s="2"/>
      <c r="AG1450" s="2" t="s">
        <v>18250</v>
      </c>
    </row>
    <row r="1451" spans="1:33" x14ac:dyDescent="0.45">
      <c r="A1451" s="2" t="s">
        <v>26946</v>
      </c>
      <c r="B1451" s="2" t="s">
        <v>27918</v>
      </c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 t="s">
        <v>27919</v>
      </c>
      <c r="S1451" s="2" t="s">
        <v>44</v>
      </c>
      <c r="T1451" s="2"/>
      <c r="U1451" s="2" t="s">
        <v>45</v>
      </c>
      <c r="V1451" s="2" t="s">
        <v>199</v>
      </c>
      <c r="W1451" s="2" t="s">
        <v>45</v>
      </c>
      <c r="X1451" s="2"/>
      <c r="Y1451" s="2" t="s">
        <v>17795</v>
      </c>
      <c r="Z1451" s="2" t="s">
        <v>49</v>
      </c>
      <c r="AA1451" s="2">
        <v>25</v>
      </c>
      <c r="AB1451" s="2">
        <v>0</v>
      </c>
      <c r="AC1451" s="2" t="s">
        <v>10789</v>
      </c>
      <c r="AD1451" s="2" t="s">
        <v>27920</v>
      </c>
      <c r="AE1451" s="2" t="s">
        <v>27911</v>
      </c>
      <c r="AF1451" s="2"/>
      <c r="AG1451" s="2" t="s">
        <v>18250</v>
      </c>
    </row>
    <row r="1452" spans="1:33" x14ac:dyDescent="0.45">
      <c r="A1452" s="2" t="s">
        <v>27005</v>
      </c>
      <c r="B1452" s="2" t="s">
        <v>27921</v>
      </c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 t="s">
        <v>9108</v>
      </c>
      <c r="S1452" s="2" t="s">
        <v>44</v>
      </c>
      <c r="T1452" s="2"/>
      <c r="U1452" s="2" t="s">
        <v>821</v>
      </c>
      <c r="V1452" s="2" t="s">
        <v>199</v>
      </c>
      <c r="W1452" s="2" t="s">
        <v>821</v>
      </c>
      <c r="X1452" s="2"/>
      <c r="Y1452" s="2" t="s">
        <v>17795</v>
      </c>
      <c r="Z1452" s="2" t="s">
        <v>49</v>
      </c>
      <c r="AA1452" s="2">
        <v>25</v>
      </c>
      <c r="AB1452" s="2">
        <v>0</v>
      </c>
      <c r="AC1452" s="2" t="s">
        <v>10789</v>
      </c>
      <c r="AD1452" s="2" t="s">
        <v>27922</v>
      </c>
      <c r="AE1452" s="2" t="s">
        <v>27911</v>
      </c>
      <c r="AF1452" s="2"/>
      <c r="AG1452" s="2" t="s">
        <v>18250</v>
      </c>
    </row>
    <row r="1453" spans="1:33" x14ac:dyDescent="0.45">
      <c r="A1453" s="2" t="s">
        <v>27923</v>
      </c>
      <c r="B1453" s="2" t="s">
        <v>27924</v>
      </c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 t="s">
        <v>27925</v>
      </c>
      <c r="S1453" s="2" t="s">
        <v>44</v>
      </c>
      <c r="T1453" s="2"/>
      <c r="U1453" s="2" t="s">
        <v>45</v>
      </c>
      <c r="V1453" s="2" t="s">
        <v>46</v>
      </c>
      <c r="W1453" s="2" t="s">
        <v>45</v>
      </c>
      <c r="X1453" s="2"/>
      <c r="Y1453" s="2" t="s">
        <v>17795</v>
      </c>
      <c r="Z1453" s="2" t="s">
        <v>49</v>
      </c>
      <c r="AA1453" s="2">
        <v>25</v>
      </c>
      <c r="AB1453" s="2">
        <v>0</v>
      </c>
      <c r="AC1453" s="2" t="s">
        <v>10789</v>
      </c>
      <c r="AD1453" s="2" t="s">
        <v>27926</v>
      </c>
      <c r="AE1453" s="2" t="s">
        <v>27911</v>
      </c>
      <c r="AF1453" s="2"/>
      <c r="AG1453" s="2" t="s">
        <v>18250</v>
      </c>
    </row>
    <row r="1454" spans="1:33" x14ac:dyDescent="0.45">
      <c r="A1454" s="2" t="s">
        <v>27927</v>
      </c>
      <c r="B1454" s="2" t="s">
        <v>27928</v>
      </c>
      <c r="C1454" s="2"/>
      <c r="D1454" s="2" t="s">
        <v>27929</v>
      </c>
      <c r="E1454" s="2"/>
      <c r="F1454" s="2"/>
      <c r="G1454" s="2"/>
      <c r="H1454" s="2" t="s">
        <v>72</v>
      </c>
      <c r="I1454" s="2" t="s">
        <v>73</v>
      </c>
      <c r="J1454" s="2" t="s">
        <v>140</v>
      </c>
      <c r="K1454" s="2" t="s">
        <v>27930</v>
      </c>
      <c r="L1454" s="2"/>
      <c r="M1454" s="2"/>
      <c r="N1454" s="2"/>
      <c r="O1454" s="2" t="s">
        <v>72</v>
      </c>
      <c r="P1454" s="2" t="s">
        <v>73</v>
      </c>
      <c r="Q1454" s="2" t="s">
        <v>607</v>
      </c>
      <c r="R1454" s="2" t="s">
        <v>26916</v>
      </c>
      <c r="S1454" s="2" t="s">
        <v>44</v>
      </c>
      <c r="T1454" s="2"/>
      <c r="U1454" s="2" t="s">
        <v>45</v>
      </c>
      <c r="V1454" s="2" t="s">
        <v>46</v>
      </c>
      <c r="W1454" s="2" t="s">
        <v>45</v>
      </c>
      <c r="X1454" s="2"/>
      <c r="Y1454" s="2" t="s">
        <v>17795</v>
      </c>
      <c r="Z1454" s="2" t="s">
        <v>49</v>
      </c>
      <c r="AA1454" s="2">
        <v>55</v>
      </c>
      <c r="AB1454" s="2">
        <v>0</v>
      </c>
      <c r="AC1454" s="2" t="s">
        <v>10789</v>
      </c>
      <c r="AD1454" s="2" t="s">
        <v>27931</v>
      </c>
      <c r="AE1454" s="2" t="s">
        <v>27911</v>
      </c>
      <c r="AF1454" s="2"/>
      <c r="AG1454" s="2" t="s">
        <v>18250</v>
      </c>
    </row>
    <row r="1455" spans="1:33" x14ac:dyDescent="0.45">
      <c r="A1455" s="2" t="s">
        <v>27932</v>
      </c>
      <c r="B1455" s="2" t="s">
        <v>27933</v>
      </c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 t="s">
        <v>27934</v>
      </c>
      <c r="S1455" s="2" t="s">
        <v>44</v>
      </c>
      <c r="T1455" s="2"/>
      <c r="U1455" s="2" t="s">
        <v>821</v>
      </c>
      <c r="V1455" s="2" t="s">
        <v>46</v>
      </c>
      <c r="W1455" s="2" t="s">
        <v>821</v>
      </c>
      <c r="X1455" s="2"/>
      <c r="Y1455" s="2" t="s">
        <v>17795</v>
      </c>
      <c r="Z1455" s="2" t="s">
        <v>49</v>
      </c>
      <c r="AA1455" s="2">
        <v>25</v>
      </c>
      <c r="AB1455" s="2">
        <v>0</v>
      </c>
      <c r="AC1455" s="2" t="s">
        <v>10789</v>
      </c>
      <c r="AD1455" s="2" t="s">
        <v>27935</v>
      </c>
      <c r="AE1455" s="2" t="s">
        <v>27911</v>
      </c>
      <c r="AF1455" s="2"/>
      <c r="AG1455" s="2" t="s">
        <v>18250</v>
      </c>
    </row>
    <row r="1456" spans="1:33" x14ac:dyDescent="0.45">
      <c r="A1456" s="2" t="s">
        <v>27936</v>
      </c>
      <c r="B1456" s="2" t="s">
        <v>27937</v>
      </c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 t="s">
        <v>27938</v>
      </c>
      <c r="S1456" s="2" t="s">
        <v>44</v>
      </c>
      <c r="T1456" s="2"/>
      <c r="U1456" s="2" t="s">
        <v>45</v>
      </c>
      <c r="V1456" s="2" t="s">
        <v>46</v>
      </c>
      <c r="W1456" s="2" t="s">
        <v>45</v>
      </c>
      <c r="X1456" s="2"/>
      <c r="Y1456" s="2" t="s">
        <v>17795</v>
      </c>
      <c r="Z1456" s="2" t="s">
        <v>49</v>
      </c>
      <c r="AA1456" s="2">
        <v>25</v>
      </c>
      <c r="AB1456" s="2">
        <v>0</v>
      </c>
      <c r="AC1456" s="2" t="s">
        <v>10789</v>
      </c>
      <c r="AD1456" s="2" t="s">
        <v>27939</v>
      </c>
      <c r="AE1456" s="2" t="s">
        <v>27911</v>
      </c>
      <c r="AF1456" s="2"/>
      <c r="AG1456" s="2" t="s">
        <v>18250</v>
      </c>
    </row>
    <row r="1457" spans="1:33" x14ac:dyDescent="0.45">
      <c r="A1457" s="2" t="s">
        <v>27940</v>
      </c>
      <c r="B1457" s="2" t="s">
        <v>27941</v>
      </c>
      <c r="C1457" s="2"/>
      <c r="D1457" s="2" t="s">
        <v>27942</v>
      </c>
      <c r="E1457" s="2"/>
      <c r="F1457" s="2"/>
      <c r="G1457" s="2"/>
      <c r="H1457" s="2" t="s">
        <v>72</v>
      </c>
      <c r="I1457" s="2" t="s">
        <v>73</v>
      </c>
      <c r="J1457" s="2" t="s">
        <v>74</v>
      </c>
      <c r="K1457" s="2" t="s">
        <v>27943</v>
      </c>
      <c r="L1457" s="2"/>
      <c r="M1457" s="2"/>
      <c r="N1457" s="2"/>
      <c r="O1457" s="2" t="s">
        <v>72</v>
      </c>
      <c r="P1457" s="2" t="s">
        <v>73</v>
      </c>
      <c r="Q1457" s="2" t="s">
        <v>74</v>
      </c>
      <c r="R1457" s="2" t="s">
        <v>27492</v>
      </c>
      <c r="S1457" s="2" t="s">
        <v>44</v>
      </c>
      <c r="T1457" s="2"/>
      <c r="U1457" s="2" t="s">
        <v>45</v>
      </c>
      <c r="V1457" s="2" t="s">
        <v>46</v>
      </c>
      <c r="W1457" s="2" t="s">
        <v>45</v>
      </c>
      <c r="X1457" s="2"/>
      <c r="Y1457" s="2" t="s">
        <v>17795</v>
      </c>
      <c r="Z1457" s="2" t="s">
        <v>49</v>
      </c>
      <c r="AA1457" s="2">
        <v>55</v>
      </c>
      <c r="AB1457" s="2">
        <v>0</v>
      </c>
      <c r="AC1457" s="2" t="s">
        <v>10789</v>
      </c>
      <c r="AD1457" s="2" t="s">
        <v>27944</v>
      </c>
      <c r="AE1457" s="2" t="s">
        <v>27911</v>
      </c>
      <c r="AF1457" s="2"/>
      <c r="AG1457" s="2" t="s">
        <v>18250</v>
      </c>
    </row>
  </sheetData>
  <autoFilter ref="A1:AG1457" xr:uid="{00000000-0009-0000-0000-000002000000}"/>
  <conditionalFormatting sqref="AC2:AC1457">
    <cfRule type="cellIs" dxfId="3" priority="2" operator="equal">
      <formula>"A - Contact First"</formula>
    </cfRule>
    <cfRule type="cellIs" dxfId="2" priority="3" operator="equal">
      <formula>"B - Good Lead"</formula>
    </cfRule>
    <cfRule type="cellIs" dxfId="1" priority="4" operator="equal">
      <formula>"C - Later"</formula>
    </cfRule>
    <cfRule type="cellIs" dxfId="0" priority="5" operator="equal">
      <formula>"D - Ignore"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2"/>
  <sheetViews>
    <sheetView showGridLines="0" zoomScaleNormal="100" workbookViewId="0"/>
  </sheetViews>
  <sheetFormatPr defaultColWidth="8.6640625" defaultRowHeight="14.25" x14ac:dyDescent="0.45"/>
  <cols>
    <col min="1" max="1" width="42" customWidth="1"/>
    <col min="2" max="2" width="30" customWidth="1"/>
    <col min="3" max="3" width="16" customWidth="1"/>
    <col min="4" max="4" width="18" customWidth="1"/>
    <col min="5" max="6" width="30" customWidth="1"/>
    <col min="7" max="7" width="24" customWidth="1"/>
  </cols>
  <sheetData>
    <row r="1" spans="1:2" ht="17.649999999999999" x14ac:dyDescent="0.5">
      <c r="A1" s="3" t="s">
        <v>27945</v>
      </c>
    </row>
    <row r="3" spans="1:2" x14ac:dyDescent="0.45">
      <c r="A3" s="4" t="s">
        <v>27946</v>
      </c>
      <c r="B3" s="2">
        <f>COUNTA('Qualified Leads'!A2:A1613)+COUNTA('Need Manual Review'!A2:A568)+COUNTA('Excluded Leads'!A2:A1457)</f>
        <v>3635</v>
      </c>
    </row>
    <row r="5" spans="1:2" x14ac:dyDescent="0.45">
      <c r="A5" s="4" t="s">
        <v>27947</v>
      </c>
    </row>
    <row r="6" spans="1:2" x14ac:dyDescent="0.45">
      <c r="A6" s="2" t="s">
        <v>27948</v>
      </c>
      <c r="B6" s="2">
        <f>COUNTA('Qualified Leads'!A2:A1613)</f>
        <v>1612</v>
      </c>
    </row>
    <row r="7" spans="1:2" x14ac:dyDescent="0.45">
      <c r="A7" s="2" t="s">
        <v>27949</v>
      </c>
      <c r="B7" s="2">
        <f>COUNTA('Need Manual Review'!A2:A568)</f>
        <v>567</v>
      </c>
    </row>
    <row r="8" spans="1:2" x14ac:dyDescent="0.45">
      <c r="A8" s="2" t="s">
        <v>27950</v>
      </c>
      <c r="B8" s="2">
        <f>COUNTA('Excluded Leads'!A2:A1457)</f>
        <v>1456</v>
      </c>
    </row>
    <row r="10" spans="1:2" x14ac:dyDescent="0.45">
      <c r="A10" s="4" t="s">
        <v>27951</v>
      </c>
    </row>
    <row r="11" spans="1:2" x14ac:dyDescent="0.45">
      <c r="A11" s="2" t="s">
        <v>821</v>
      </c>
      <c r="B11" s="2">
        <f>COUNTIF('Qualified Leads'!AC2:AC1613,"Investment Adviser")+COUNTIF('Need Manual Review'!W2:W568,"Investment Adviser")+COUNTIF('Excluded Leads'!W2:W1457,"Investment Adviser")</f>
        <v>1033</v>
      </c>
    </row>
    <row r="12" spans="1:2" x14ac:dyDescent="0.45">
      <c r="A12" s="2" t="s">
        <v>45</v>
      </c>
      <c r="B12" s="2">
        <f>COUNTIF('Qualified Leads'!AC2:AC1613,"Portfolio Manager")+COUNTIF('Need Manual Review'!W2:W568,"Portfolio Manager")+COUNTIF('Excluded Leads'!W2:W1457,"Portfolio Manager")</f>
        <v>524</v>
      </c>
    </row>
    <row r="13" spans="1:2" x14ac:dyDescent="0.45">
      <c r="A13" s="2" t="s">
        <v>3527</v>
      </c>
      <c r="B13" s="2">
        <f>COUNTIF('Qualified Leads'!AC2:AC1613,"Research Analyst")+COUNTIF('Need Manual Review'!W2:W568,"Research Analyst")+COUNTIF('Excluded Leads'!W2:W1457,"Research Analyst")</f>
        <v>2078</v>
      </c>
    </row>
    <row r="15" spans="1:2" x14ac:dyDescent="0.45">
      <c r="A15" s="4" t="s">
        <v>27952</v>
      </c>
    </row>
    <row r="16" spans="1:2" x14ac:dyDescent="0.45">
      <c r="A16" s="2" t="s">
        <v>48</v>
      </c>
      <c r="B16" s="2">
        <f>COUNTIF('Qualified Leads'!AE2:AE1613,"corporate_domain")+COUNTIF('Need Manual Review'!Y2:Y568,"corporate_domain")+COUNTIF('Excluded Leads'!Y2:Y1457,"corporate_domain")</f>
        <v>1400</v>
      </c>
    </row>
    <row r="17" spans="1:2" x14ac:dyDescent="0.45">
      <c r="A17" s="2" t="s">
        <v>10801</v>
      </c>
      <c r="B17" s="2">
        <f>COUNTIF('Qualified Leads'!AE2:AE1613,"free_personal_email")+COUNTIF('Need Manual Review'!Y2:Y568,"free_personal_email")+COUNTIF('Excluded Leads'!Y2:Y1457,"free_personal_email")</f>
        <v>2035</v>
      </c>
    </row>
    <row r="18" spans="1:2" x14ac:dyDescent="0.45">
      <c r="A18" s="2" t="s">
        <v>10788</v>
      </c>
      <c r="B18" s="2">
        <f>COUNTIF('Qualified Leads'!AE2:AE1613,"invalid_email")+COUNTIF('Need Manual Review'!Y2:Y568,"invalid_email")+COUNTIF('Excluded Leads'!Y2:Y1457,"invalid_email")</f>
        <v>1</v>
      </c>
    </row>
    <row r="19" spans="1:2" x14ac:dyDescent="0.45">
      <c r="A19" s="2" t="s">
        <v>17795</v>
      </c>
      <c r="B19" s="2">
        <f>COUNTIF('Qualified Leads'!AE2:AE1613,"missing_email")+COUNTIF('Need Manual Review'!Y2:Y568,"missing_email")+COUNTIF('Excluded Leads'!Y2:Y1457,"missing_email")</f>
        <v>199</v>
      </c>
    </row>
    <row r="21" spans="1:2" x14ac:dyDescent="0.45">
      <c r="A21" s="4" t="s">
        <v>27953</v>
      </c>
    </row>
    <row r="22" spans="1:2" x14ac:dyDescent="0.45">
      <c r="A22" s="2" t="s">
        <v>49</v>
      </c>
      <c r="B22" s="2">
        <f>COUNTIF('Qualified Leads'!AF2:AF1613,"company_firm")+COUNTIF('Need Manual Review'!Z2:Z568,"company_firm")+COUNTIF('Excluded Leads'!Z2:Z1457,"company_firm")</f>
        <v>1734</v>
      </c>
    </row>
    <row r="23" spans="1:2" x14ac:dyDescent="0.45">
      <c r="A23" s="2" t="s">
        <v>7864</v>
      </c>
      <c r="B23" s="2">
        <f>COUNTIF('Qualified Leads'!AF2:AF1613,"individual_practitioner")+COUNTIF('Need Manual Review'!Z2:Z568,"individual_practitioner")+COUNTIF('Excluded Leads'!Z2:Z1457,"individual_practitioner")</f>
        <v>1885</v>
      </c>
    </row>
    <row r="24" spans="1:2" x14ac:dyDescent="0.45">
      <c r="A24" s="2" t="s">
        <v>15016</v>
      </c>
      <c r="B24" s="2">
        <f>COUNTIF('Qualified Leads'!AF2:AF1613,"unclear")+COUNTIF('Need Manual Review'!Z2:Z568,"unclear")+COUNTIF('Excluded Leads'!Z2:Z1457,"unclear")</f>
        <v>16</v>
      </c>
    </row>
    <row r="26" spans="1:2" x14ac:dyDescent="0.45">
      <c r="A26" s="4" t="s">
        <v>27954</v>
      </c>
    </row>
    <row r="27" spans="1:2" x14ac:dyDescent="0.45">
      <c r="A27" s="2" t="s">
        <v>50</v>
      </c>
      <c r="B27" s="2">
        <f>COUNTIF('Qualified Leads'!H2:H1613,"A - Contact First")+COUNTIF('Need Manual Review'!AC2:AC568,"A - Contact First")+COUNTIF('Excluded Leads'!AC2:AC1457,"A - Contact First")</f>
        <v>954</v>
      </c>
    </row>
    <row r="28" spans="1:2" x14ac:dyDescent="0.45">
      <c r="A28" s="2" t="s">
        <v>7865</v>
      </c>
      <c r="B28" s="2">
        <f>COUNTIF('Qualified Leads'!H2:H1613,"B - Good Lead")+COUNTIF('Need Manual Review'!AC2:AC568,"B - Good Lead")+COUNTIF('Excluded Leads'!AC2:AC1457,"B - Good Lead")</f>
        <v>301</v>
      </c>
    </row>
    <row r="29" spans="1:2" x14ac:dyDescent="0.45">
      <c r="A29" s="2" t="s">
        <v>9685</v>
      </c>
      <c r="B29" s="2">
        <f>COUNTIF('Qualified Leads'!H2:H1613,"C - Later")+COUNTIF('Need Manual Review'!AC2:AC568,"C - Later")+COUNTIF('Excluded Leads'!AC2:AC1457,"C - Later")</f>
        <v>517</v>
      </c>
    </row>
    <row r="30" spans="1:2" x14ac:dyDescent="0.45">
      <c r="A30" s="2" t="s">
        <v>10789</v>
      </c>
      <c r="B30" s="2">
        <f>COUNTIF('Qualified Leads'!H2:H1613,"D - Ignore")+COUNTIF('Need Manual Review'!AC2:AC568,"D - Ignore")+COUNTIF('Excluded Leads'!AC2:AC1457,"D - Ignore")</f>
        <v>1863</v>
      </c>
    </row>
    <row r="32" spans="1:2" x14ac:dyDescent="0.45">
      <c r="A32" s="4" t="s">
        <v>27955</v>
      </c>
      <c r="B32" s="5" t="s">
        <v>27956</v>
      </c>
    </row>
    <row r="33" spans="1:7" x14ac:dyDescent="0.45">
      <c r="A33" s="2" t="s">
        <v>18249</v>
      </c>
      <c r="B33" s="2">
        <f>COUNTIF('Excluded Leads'!AE2:AE1457,"*inactive_or_expired_registration*")</f>
        <v>2</v>
      </c>
    </row>
    <row r="34" spans="1:7" x14ac:dyDescent="0.45">
      <c r="A34" s="2" t="s">
        <v>18260</v>
      </c>
      <c r="B34" s="2">
        <f>COUNTIF('Excluded Leads'!AE2:AE1457,"*individual_free_email_low_priority*")</f>
        <v>1210</v>
      </c>
    </row>
    <row r="35" spans="1:7" x14ac:dyDescent="0.45">
      <c r="A35" s="2" t="s">
        <v>27957</v>
      </c>
      <c r="B35" s="2">
        <f>COUNTIF('Excluded Leads'!AE2:AE1457,"*individual_missing_email_low_priority*")</f>
        <v>25</v>
      </c>
    </row>
    <row r="36" spans="1:7" x14ac:dyDescent="0.45">
      <c r="A36" s="2" t="s">
        <v>26534</v>
      </c>
      <c r="B36" s="2">
        <f>COUNTIF('Excluded Leads'!AE2:AE1457,"*large_enterprise_slow_sales_cycle*")</f>
        <v>125</v>
      </c>
    </row>
    <row r="37" spans="1:7" x14ac:dyDescent="0.45">
      <c r="A37" s="2" t="s">
        <v>27958</v>
      </c>
      <c r="B37" s="2">
        <f>COUNTIF('Excluded Leads'!AE2:AE1457,"*missing_core_identifier*")</f>
        <v>1</v>
      </c>
    </row>
    <row r="38" spans="1:7" x14ac:dyDescent="0.45">
      <c r="A38" s="2" t="s">
        <v>27420</v>
      </c>
      <c r="B38" s="2">
        <f>COUNTIF('Excluded Leads'!AE2:AE1457,"*no_contact_channel*")</f>
        <v>130</v>
      </c>
    </row>
    <row r="41" spans="1:7" x14ac:dyDescent="0.45">
      <c r="A41" s="4" t="s">
        <v>27959</v>
      </c>
    </row>
    <row r="42" spans="1:7" x14ac:dyDescent="0.45">
      <c r="A42" s="6" t="s">
        <v>0</v>
      </c>
      <c r="B42" s="6" t="s">
        <v>27960</v>
      </c>
      <c r="C42" s="6" t="s">
        <v>27961</v>
      </c>
      <c r="D42" s="6" t="s">
        <v>27962</v>
      </c>
      <c r="E42" s="6" t="s">
        <v>27963</v>
      </c>
      <c r="F42" s="6" t="s">
        <v>27964</v>
      </c>
      <c r="G42" s="6" t="s">
        <v>27965</v>
      </c>
    </row>
    <row r="43" spans="1:7" x14ac:dyDescent="0.45">
      <c r="A43" s="2" t="s">
        <v>33</v>
      </c>
      <c r="B43" s="2" t="s">
        <v>45</v>
      </c>
      <c r="C43" s="2">
        <v>100</v>
      </c>
      <c r="D43" s="2" t="s">
        <v>50</v>
      </c>
      <c r="E43" s="2" t="s">
        <v>37</v>
      </c>
      <c r="F43" s="2"/>
      <c r="G43" s="2" t="s">
        <v>27966</v>
      </c>
    </row>
    <row r="44" spans="1:7" x14ac:dyDescent="0.45">
      <c r="A44" s="2" t="s">
        <v>53</v>
      </c>
      <c r="B44" s="2" t="s">
        <v>45</v>
      </c>
      <c r="C44" s="2">
        <v>100</v>
      </c>
      <c r="D44" s="2" t="s">
        <v>50</v>
      </c>
      <c r="E44" s="2" t="s">
        <v>57</v>
      </c>
      <c r="F44" s="2"/>
      <c r="G44" s="2" t="s">
        <v>27967</v>
      </c>
    </row>
    <row r="45" spans="1:7" x14ac:dyDescent="0.45">
      <c r="A45" s="2" t="s">
        <v>66</v>
      </c>
      <c r="B45" s="2" t="s">
        <v>45</v>
      </c>
      <c r="C45" s="2">
        <v>100</v>
      </c>
      <c r="D45" s="2" t="s">
        <v>50</v>
      </c>
      <c r="E45" s="2" t="s">
        <v>70</v>
      </c>
      <c r="F45" s="2"/>
      <c r="G45" s="2" t="s">
        <v>27968</v>
      </c>
    </row>
    <row r="46" spans="1:7" x14ac:dyDescent="0.45">
      <c r="A46" s="2" t="s">
        <v>79</v>
      </c>
      <c r="B46" s="2" t="s">
        <v>45</v>
      </c>
      <c r="C46" s="2">
        <v>100</v>
      </c>
      <c r="D46" s="2" t="s">
        <v>50</v>
      </c>
      <c r="E46" s="2" t="s">
        <v>83</v>
      </c>
      <c r="F46" s="2"/>
      <c r="G46" s="2" t="s">
        <v>27969</v>
      </c>
    </row>
    <row r="47" spans="1:7" x14ac:dyDescent="0.45">
      <c r="A47" s="2" t="s">
        <v>91</v>
      </c>
      <c r="B47" s="2" t="s">
        <v>45</v>
      </c>
      <c r="C47" s="2">
        <v>100</v>
      </c>
      <c r="D47" s="2" t="s">
        <v>50</v>
      </c>
      <c r="E47" s="2" t="s">
        <v>95</v>
      </c>
      <c r="F47" s="2"/>
      <c r="G47" s="2" t="s">
        <v>27968</v>
      </c>
    </row>
    <row r="48" spans="1:7" x14ac:dyDescent="0.45">
      <c r="A48" s="2" t="s">
        <v>102</v>
      </c>
      <c r="B48" s="2" t="s">
        <v>45</v>
      </c>
      <c r="C48" s="2">
        <v>100</v>
      </c>
      <c r="D48" s="2" t="s">
        <v>50</v>
      </c>
      <c r="E48" s="2" t="s">
        <v>106</v>
      </c>
      <c r="F48" s="2"/>
      <c r="G48" s="2" t="s">
        <v>27967</v>
      </c>
    </row>
    <row r="49" spans="1:7" x14ac:dyDescent="0.45">
      <c r="A49" s="2" t="s">
        <v>113</v>
      </c>
      <c r="B49" s="2" t="s">
        <v>45</v>
      </c>
      <c r="C49" s="2">
        <v>100</v>
      </c>
      <c r="D49" s="2" t="s">
        <v>50</v>
      </c>
      <c r="E49" s="2" t="s">
        <v>117</v>
      </c>
      <c r="F49" s="2"/>
      <c r="G49" s="2" t="s">
        <v>27968</v>
      </c>
    </row>
    <row r="50" spans="1:7" x14ac:dyDescent="0.45">
      <c r="A50" s="2" t="s">
        <v>124</v>
      </c>
      <c r="B50" s="2" t="s">
        <v>45</v>
      </c>
      <c r="C50" s="2">
        <v>100</v>
      </c>
      <c r="D50" s="2" t="s">
        <v>50</v>
      </c>
      <c r="E50" s="2" t="s">
        <v>128</v>
      </c>
      <c r="F50" s="2"/>
      <c r="G50" s="2" t="s">
        <v>27968</v>
      </c>
    </row>
    <row r="51" spans="1:7" x14ac:dyDescent="0.45">
      <c r="A51" s="2" t="s">
        <v>134</v>
      </c>
      <c r="B51" s="2" t="s">
        <v>45</v>
      </c>
      <c r="C51" s="2">
        <v>100</v>
      </c>
      <c r="D51" s="2" t="s">
        <v>50</v>
      </c>
      <c r="E51" s="2" t="s">
        <v>138</v>
      </c>
      <c r="F51" s="2"/>
      <c r="G51" s="2" t="s">
        <v>27968</v>
      </c>
    </row>
    <row r="52" spans="1:7" x14ac:dyDescent="0.45">
      <c r="A52" s="2" t="s">
        <v>145</v>
      </c>
      <c r="B52" s="2" t="s">
        <v>45</v>
      </c>
      <c r="C52" s="2">
        <v>100</v>
      </c>
      <c r="D52" s="2" t="s">
        <v>50</v>
      </c>
      <c r="E52" s="2" t="s">
        <v>149</v>
      </c>
      <c r="F52" s="2"/>
      <c r="G52" s="2" t="s">
        <v>27967</v>
      </c>
    </row>
    <row r="53" spans="1:7" x14ac:dyDescent="0.45">
      <c r="A53" s="2" t="s">
        <v>156</v>
      </c>
      <c r="B53" s="2" t="s">
        <v>45</v>
      </c>
      <c r="C53" s="2">
        <v>100</v>
      </c>
      <c r="D53" s="2" t="s">
        <v>50</v>
      </c>
      <c r="E53" s="2" t="s">
        <v>160</v>
      </c>
      <c r="F53" s="2"/>
      <c r="G53" s="2" t="s">
        <v>27968</v>
      </c>
    </row>
    <row r="54" spans="1:7" x14ac:dyDescent="0.45">
      <c r="A54" s="2" t="s">
        <v>167</v>
      </c>
      <c r="B54" s="2" t="s">
        <v>45</v>
      </c>
      <c r="C54" s="2">
        <v>100</v>
      </c>
      <c r="D54" s="2" t="s">
        <v>50</v>
      </c>
      <c r="E54" s="2" t="s">
        <v>171</v>
      </c>
      <c r="F54" s="2"/>
      <c r="G54" s="2" t="s">
        <v>27970</v>
      </c>
    </row>
    <row r="55" spans="1:7" x14ac:dyDescent="0.45">
      <c r="A55" s="2" t="s">
        <v>181</v>
      </c>
      <c r="B55" s="2" t="s">
        <v>45</v>
      </c>
      <c r="C55" s="2">
        <v>100</v>
      </c>
      <c r="D55" s="2" t="s">
        <v>50</v>
      </c>
      <c r="E55" s="2" t="s">
        <v>185</v>
      </c>
      <c r="F55" s="2"/>
      <c r="G55" s="2" t="s">
        <v>27968</v>
      </c>
    </row>
    <row r="56" spans="1:7" x14ac:dyDescent="0.45">
      <c r="A56" s="2" t="s">
        <v>191</v>
      </c>
      <c r="B56" s="2" t="s">
        <v>45</v>
      </c>
      <c r="C56" s="2">
        <v>100</v>
      </c>
      <c r="D56" s="2" t="s">
        <v>50</v>
      </c>
      <c r="E56" s="2" t="s">
        <v>195</v>
      </c>
      <c r="F56" s="2"/>
      <c r="G56" s="2" t="s">
        <v>27968</v>
      </c>
    </row>
    <row r="57" spans="1:7" x14ac:dyDescent="0.45">
      <c r="A57" s="2" t="s">
        <v>202</v>
      </c>
      <c r="B57" s="2" t="s">
        <v>45</v>
      </c>
      <c r="C57" s="2">
        <v>100</v>
      </c>
      <c r="D57" s="2" t="s">
        <v>50</v>
      </c>
      <c r="E57" s="2" t="s">
        <v>206</v>
      </c>
      <c r="F57" s="2"/>
      <c r="G57" s="2" t="s">
        <v>27968</v>
      </c>
    </row>
    <row r="58" spans="1:7" x14ac:dyDescent="0.45">
      <c r="A58" s="2" t="s">
        <v>210</v>
      </c>
      <c r="B58" s="2" t="s">
        <v>45</v>
      </c>
      <c r="C58" s="2">
        <v>100</v>
      </c>
      <c r="D58" s="2" t="s">
        <v>50</v>
      </c>
      <c r="E58" s="2" t="s">
        <v>214</v>
      </c>
      <c r="F58" s="2"/>
      <c r="G58" s="2" t="s">
        <v>27971</v>
      </c>
    </row>
    <row r="59" spans="1:7" x14ac:dyDescent="0.45">
      <c r="A59" s="2" t="s">
        <v>226</v>
      </c>
      <c r="B59" s="2" t="s">
        <v>45</v>
      </c>
      <c r="C59" s="2">
        <v>100</v>
      </c>
      <c r="D59" s="2" t="s">
        <v>50</v>
      </c>
      <c r="E59" s="2" t="s">
        <v>230</v>
      </c>
      <c r="F59" s="2"/>
      <c r="G59" s="2" t="s">
        <v>27968</v>
      </c>
    </row>
    <row r="60" spans="1:7" x14ac:dyDescent="0.45">
      <c r="A60" s="2" t="s">
        <v>237</v>
      </c>
      <c r="B60" s="2" t="s">
        <v>45</v>
      </c>
      <c r="C60" s="2">
        <v>100</v>
      </c>
      <c r="D60" s="2" t="s">
        <v>50</v>
      </c>
      <c r="E60" s="2" t="s">
        <v>241</v>
      </c>
      <c r="F60" s="2"/>
      <c r="G60" s="2" t="s">
        <v>27968</v>
      </c>
    </row>
    <row r="61" spans="1:7" x14ac:dyDescent="0.45">
      <c r="A61" s="2" t="s">
        <v>248</v>
      </c>
      <c r="B61" s="2" t="s">
        <v>45</v>
      </c>
      <c r="C61" s="2">
        <v>100</v>
      </c>
      <c r="D61" s="2" t="s">
        <v>50</v>
      </c>
      <c r="E61" s="2" t="s">
        <v>252</v>
      </c>
      <c r="F61" s="2"/>
      <c r="G61" s="2" t="s">
        <v>27966</v>
      </c>
    </row>
    <row r="62" spans="1:7" x14ac:dyDescent="0.45">
      <c r="A62" s="2" t="s">
        <v>260</v>
      </c>
      <c r="B62" s="2" t="s">
        <v>45</v>
      </c>
      <c r="C62" s="2">
        <v>100</v>
      </c>
      <c r="D62" s="2" t="s">
        <v>50</v>
      </c>
      <c r="E62" s="2" t="s">
        <v>264</v>
      </c>
      <c r="F62" s="2"/>
      <c r="G62" s="2" t="s">
        <v>27967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Qualified Leads</vt:lpstr>
      <vt:lpstr>Need Manual Review</vt:lpstr>
      <vt:lpstr>Excluded Leads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Pragati Chothe</cp:lastModifiedBy>
  <cp:revision>0</cp:revision>
  <dcterms:created xsi:type="dcterms:W3CDTF">2026-06-28T19:40:59Z</dcterms:created>
  <dcterms:modified xsi:type="dcterms:W3CDTF">2026-07-05T20:06:05Z</dcterms:modified>
  <dc:language>en-US</dc:language>
</cp:coreProperties>
</file>